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HeEZDFoLmLaKzKlzl6GvtKExwy/VtOjG5sbt+6VWpW6O2j7Eg9PStIcN8azFi1xRhUug9Ogmx9w5xaiymhqFvg==" workbookSaltValue="aq/EexfD3Jb/Pz6qzDIBKA==" workbookSpinCount="100000"/>
  <sheets>
    <sheet sheetId="1" name="Service Desk Overview" state="visible" r:id="rId4"/>
    <sheet sheetId="2" name="Ticket Operations Ledger" state="visible" r:id="rId5"/>
    <sheet sheetId="3" name="SLA &amp; Resolver Performance" state="visible" r:id="rId6"/>
    <sheet sheetId="4" name="Priority &amp; Workload Matrix" state="visible" r:id="rId7"/>
    <sheet sheetId="5" name="Customer Feedback Analysis" state="visible" r:id="rId8"/>
    <sheet sheetId="6" name="Audit &amp; Data Provenance" state="visible" r:id="rId9"/>
  </sheets>
  <calcPr calcId="171027"/>
</workbook>
</file>

<file path=xl/sharedStrings.xml><?xml version="1.0" encoding="utf-8"?>
<sst xmlns="http://schemas.openxmlformats.org/spreadsheetml/2006/main" count="56303" uniqueCount="8212">
  <si>
    <t>HELPDESK OPERATIONS 8000 TICKETS UNIVERSAL DASHBOARD TEST UPLOAD — IT SERVICE DESK &amp; INCIDENT MANAGEMENT OPERATIONS DASHBOARD</t>
  </si>
  <si>
    <t>Comprehensive Ticket SLA Compliance, Team Workload &amp; Incident Lifecycle Audit • 8,000 Verified Operations Records</t>
  </si>
  <si>
    <t>TOTAL TICKETS LOGGED</t>
  </si>
  <si>
    <t>COMPLETED INCIDENTS</t>
  </si>
  <si>
    <t>OVERALL SLA COMPLIANCE</t>
  </si>
  <si>
    <t>MEAN RESOLUTION TIME</t>
  </si>
  <si>
    <t>REOPENED INCIDENTS</t>
  </si>
  <si>
    <t>CSAT CUSTOMER RATING</t>
  </si>
  <si>
    <t>100% Unique Case Refs</t>
  </si>
  <si>
    <t>77.5% of Logged Volume (1,801 In Backlog)</t>
  </si>
  <si>
    <t>2,925 Met vs 3,274 Breached</t>
  </si>
  <si>
    <t>Elapsed Hours for Completed Tickets</t>
  </si>
  <si>
    <t>5.19% Reopen Rate</t>
  </si>
  <si>
    <t>Based on 4,508 Responses (56.4% Coverage)</t>
  </si>
  <si>
    <t>RESOLVER GROUP FILTER:</t>
  </si>
  <si>
    <t>All Resolver Groups</t>
  </si>
  <si>
    <t>SERVICE SITE FILTER:</t>
  </si>
  <si>
    <t>All Service Sites</t>
  </si>
  <si>
    <t>MONTHLY INCIDENT VOLUME &amp; SLA COMPLIANCE TRAJECTORY</t>
  </si>
  <si>
    <t>RESOLUTION LIFECYCLE &amp; STATUS</t>
  </si>
  <si>
    <t>RESOLVER GROUP PERFORMANCE &amp; SLA SCORECARD</t>
  </si>
  <si>
    <t>Month Period</t>
  </si>
  <si>
    <t>Tickets Logged</t>
  </si>
  <si>
    <t>Completed</t>
  </si>
  <si>
    <t>SLA Met</t>
  </si>
  <si>
    <t>Ticket State</t>
  </si>
  <si>
    <t>Incidents</t>
  </si>
  <si>
    <t>Share %</t>
  </si>
  <si>
    <t>Resolver Group</t>
  </si>
  <si>
    <t>Total</t>
  </si>
  <si>
    <t>SLA Breached</t>
  </si>
  <si>
    <t>Compliance %</t>
  </si>
  <si>
    <t>Jan 2025</t>
  </si>
  <si>
    <t>Resolved</t>
  </si>
  <si>
    <t>Applications</t>
  </si>
  <si>
    <t>Feb 2025</t>
  </si>
  <si>
    <t>Closed</t>
  </si>
  <si>
    <t>Security</t>
  </si>
  <si>
    <t>Mar 2025</t>
  </si>
  <si>
    <t>In Progress</t>
  </si>
  <si>
    <t>Infrastructure</t>
  </si>
  <si>
    <t>Apr 2025</t>
  </si>
  <si>
    <t>Waiting on Customer</t>
  </si>
  <si>
    <t>Network</t>
  </si>
  <si>
    <t>May 2025</t>
  </si>
  <si>
    <t>End User Support</t>
  </si>
  <si>
    <t>Jun 2025</t>
  </si>
  <si>
    <t>Total Operational Pool</t>
  </si>
  <si>
    <t>Jul 2025</t>
  </si>
  <si>
    <t>URGENCY BAND INCIDENT DENSITY &amp; SLA LIMITS</t>
  </si>
  <si>
    <t>INTAKE CHANNEL BREAKDOWN</t>
  </si>
  <si>
    <t>Aug 2025</t>
  </si>
  <si>
    <t>Urgency Band</t>
  </si>
  <si>
    <t>Target SLA</t>
  </si>
  <si>
    <t>Volume</t>
  </si>
  <si>
    <t>Intake Channel</t>
  </si>
  <si>
    <t>Sep 2025</t>
  </si>
  <si>
    <t>P1 Critical</t>
  </si>
  <si>
    <t>4 hrs</t>
  </si>
  <si>
    <t>Portal</t>
  </si>
  <si>
    <t>Oct 2025</t>
  </si>
  <si>
    <t>P2 High</t>
  </si>
  <si>
    <t>12 hrs</t>
  </si>
  <si>
    <t>Email</t>
  </si>
  <si>
    <t>Nov 2025</t>
  </si>
  <si>
    <t>P3 Medium</t>
  </si>
  <si>
    <t>48 hrs</t>
  </si>
  <si>
    <t>Phone</t>
  </si>
  <si>
    <t>Dec 2025</t>
  </si>
  <si>
    <t>P4 Low</t>
  </si>
  <si>
    <t>120 hrs</t>
  </si>
  <si>
    <t>Chat</t>
  </si>
  <si>
    <t>Jan 2026</t>
  </si>
  <si>
    <t>—</t>
  </si>
  <si>
    <t>Total Intake</t>
  </si>
  <si>
    <t>Feb 2026</t>
  </si>
  <si>
    <t>CSAT CUSTOMER SATISFACTION RATINGS (SCALE 1-5)</t>
  </si>
  <si>
    <t>Mar 2026</t>
  </si>
  <si>
    <t>Star Rating</t>
  </si>
  <si>
    <t>Response Count</t>
  </si>
  <si>
    <t>Share of Feedback</t>
  </si>
  <si>
    <t>Apr 2026</t>
  </si>
  <si>
    <t>1 Star</t>
  </si>
  <si>
    <t>May 2026</t>
  </si>
  <si>
    <t>2 Stars</t>
  </si>
  <si>
    <t>Jun 2026</t>
  </si>
  <si>
    <t>3 Stars</t>
  </si>
  <si>
    <t>Jul 2026</t>
  </si>
  <si>
    <t>4 Stars</t>
  </si>
  <si>
    <t>Aug 2026</t>
  </si>
  <si>
    <t>5 Stars</t>
  </si>
  <si>
    <t>Sep 2026</t>
  </si>
  <si>
    <t>Total Rated Responses</t>
  </si>
  <si>
    <t>Total Period Volume</t>
  </si>
  <si>
    <t>HELPDESK OPERATIONS 8000 TICKETS UNIVERSAL DASHBOARD TEST UPLOAD — TICKET OPERATIONS AUDIT LEDGER (8,000 RECORDS)</t>
  </si>
  <si>
    <t>Case Ref</t>
  </si>
  <si>
    <t>Logged On</t>
  </si>
  <si>
    <t>Finished At</t>
  </si>
  <si>
    <t>Current State</t>
  </si>
  <si>
    <t>Issue Family</t>
  </si>
  <si>
    <t>Intake Method</t>
  </si>
  <si>
    <t>Service Site</t>
  </si>
  <si>
    <t>SLA Limit (hrs)</t>
  </si>
  <si>
    <t>Reopened Flag</t>
  </si>
  <si>
    <t>Customer Rating (1-5)</t>
  </si>
  <si>
    <t>Elapsed Duration (hrs)</t>
  </si>
  <si>
    <t>SLA Evaluation</t>
  </si>
  <si>
    <t>HD-000001</t>
  </si>
  <si>
    <t>Bengaluru</t>
  </si>
  <si>
    <t>HD-000002</t>
  </si>
  <si>
    <t>Access Management</t>
  </si>
  <si>
    <t>Mumbai</t>
  </si>
  <si>
    <t>HD-000003</t>
  </si>
  <si>
    <t>Connectivity</t>
  </si>
  <si>
    <t>Delhi</t>
  </si>
  <si>
    <t>HD-000004</t>
  </si>
  <si>
    <t>Business Applications</t>
  </si>
  <si>
    <t>Chennai</t>
  </si>
  <si>
    <t>HD-000005</t>
  </si>
  <si>
    <t>HD-000006</t>
  </si>
  <si>
    <t>HD-000007</t>
  </si>
  <si>
    <t>Hardware</t>
  </si>
  <si>
    <t>HD-000008</t>
  </si>
  <si>
    <t>Pune</t>
  </si>
  <si>
    <t>HD-000009</t>
  </si>
  <si>
    <t>HD-000010</t>
  </si>
  <si>
    <t>Software</t>
  </si>
  <si>
    <t>HD-000011</t>
  </si>
  <si>
    <t>HD-000012</t>
  </si>
  <si>
    <t>HD-000013</t>
  </si>
  <si>
    <t>HD-000014</t>
  </si>
  <si>
    <t>HD-000015</t>
  </si>
  <si>
    <t>HD-000016</t>
  </si>
  <si>
    <t>HD-000017</t>
  </si>
  <si>
    <t>HD-000018</t>
  </si>
  <si>
    <t>HD-000019</t>
  </si>
  <si>
    <t>HD-000020</t>
  </si>
  <si>
    <t>HD-000021</t>
  </si>
  <si>
    <t>HD-000022</t>
  </si>
  <si>
    <t>HD-000023</t>
  </si>
  <si>
    <t>HD-000024</t>
  </si>
  <si>
    <t>HD-000025</t>
  </si>
  <si>
    <t>HD-000026</t>
  </si>
  <si>
    <t>HD-000027</t>
  </si>
  <si>
    <t>HD-000028</t>
  </si>
  <si>
    <t>HD-000029</t>
  </si>
  <si>
    <t>HD-000030</t>
  </si>
  <si>
    <t>Hyderabad</t>
  </si>
  <si>
    <t>HD-000031</t>
  </si>
  <si>
    <t>HD-000032</t>
  </si>
  <si>
    <t>HD-000033</t>
  </si>
  <si>
    <t>HD-000034</t>
  </si>
  <si>
    <t>HD-000035</t>
  </si>
  <si>
    <t>HD-000036</t>
  </si>
  <si>
    <t>HD-000037</t>
  </si>
  <si>
    <t>HD-000038</t>
  </si>
  <si>
    <t>HD-000039</t>
  </si>
  <si>
    <t>HD-000040</t>
  </si>
  <si>
    <t>HD-000041</t>
  </si>
  <si>
    <t>HD-000042</t>
  </si>
  <si>
    <t>HD-000043</t>
  </si>
  <si>
    <t>HD-000044</t>
  </si>
  <si>
    <t>HD-000045</t>
  </si>
  <si>
    <t>HD-000046</t>
  </si>
  <si>
    <t>HD-000047</t>
  </si>
  <si>
    <t>HD-000048</t>
  </si>
  <si>
    <t>HD-000049</t>
  </si>
  <si>
    <t>HD-000050</t>
  </si>
  <si>
    <t>HD-000051</t>
  </si>
  <si>
    <t>HD-000052</t>
  </si>
  <si>
    <t>HD-000053</t>
  </si>
  <si>
    <t>HD-000054</t>
  </si>
  <si>
    <t>HD-000055</t>
  </si>
  <si>
    <t>HD-000056</t>
  </si>
  <si>
    <t>HD-000057</t>
  </si>
  <si>
    <t>HD-000058</t>
  </si>
  <si>
    <t>HD-000059</t>
  </si>
  <si>
    <t>HD-000060</t>
  </si>
  <si>
    <t>HD-000061</t>
  </si>
  <si>
    <t>HD-000062</t>
  </si>
  <si>
    <t>HD-000063</t>
  </si>
  <si>
    <t>HD-000064</t>
  </si>
  <si>
    <t>HD-000065</t>
  </si>
  <si>
    <t>HD-000066</t>
  </si>
  <si>
    <t>HD-000067</t>
  </si>
  <si>
    <t>HD-000068</t>
  </si>
  <si>
    <t>HD-000069</t>
  </si>
  <si>
    <t>HD-000070</t>
  </si>
  <si>
    <t>HD-000071</t>
  </si>
  <si>
    <t>HD-000072</t>
  </si>
  <si>
    <t>HD-000073</t>
  </si>
  <si>
    <t>HD-000074</t>
  </si>
  <si>
    <t>HD-000075</t>
  </si>
  <si>
    <t>HD-000076</t>
  </si>
  <si>
    <t>HD-000077</t>
  </si>
  <si>
    <t>HD-000078</t>
  </si>
  <si>
    <t>HD-000079</t>
  </si>
  <si>
    <t>HD-000080</t>
  </si>
  <si>
    <t>HD-000081</t>
  </si>
  <si>
    <t>HD-000082</t>
  </si>
  <si>
    <t>HD-000083</t>
  </si>
  <si>
    <t>HD-000084</t>
  </si>
  <si>
    <t>HD-000085</t>
  </si>
  <si>
    <t>HD-000086</t>
  </si>
  <si>
    <t>HD-000087</t>
  </si>
  <si>
    <t>HD-000088</t>
  </si>
  <si>
    <t>HD-000089</t>
  </si>
  <si>
    <t>HD-000090</t>
  </si>
  <si>
    <t>HD-000091</t>
  </si>
  <si>
    <t>HD-000092</t>
  </si>
  <si>
    <t>HD-000093</t>
  </si>
  <si>
    <t>HD-000094</t>
  </si>
  <si>
    <t>HD-000095</t>
  </si>
  <si>
    <t>HD-000096</t>
  </si>
  <si>
    <t>HD-000097</t>
  </si>
  <si>
    <t>HD-000098</t>
  </si>
  <si>
    <t>HD-000099</t>
  </si>
  <si>
    <t>HD-000100</t>
  </si>
  <si>
    <t>HD-000101</t>
  </si>
  <si>
    <t>HD-000102</t>
  </si>
  <si>
    <t>HD-000103</t>
  </si>
  <si>
    <t>HD-000104</t>
  </si>
  <si>
    <t>HD-000105</t>
  </si>
  <si>
    <t>HD-000106</t>
  </si>
  <si>
    <t>HD-000107</t>
  </si>
  <si>
    <t>HD-000108</t>
  </si>
  <si>
    <t>HD-000109</t>
  </si>
  <si>
    <t>HD-000110</t>
  </si>
  <si>
    <t>HD-000111</t>
  </si>
  <si>
    <t>HD-000112</t>
  </si>
  <si>
    <t>HD-000113</t>
  </si>
  <si>
    <t>HD-000114</t>
  </si>
  <si>
    <t>HD-000115</t>
  </si>
  <si>
    <t>HD-000116</t>
  </si>
  <si>
    <t>HD-000117</t>
  </si>
  <si>
    <t>HD-000118</t>
  </si>
  <si>
    <t>HD-000119</t>
  </si>
  <si>
    <t>HD-000120</t>
  </si>
  <si>
    <t>HD-000121</t>
  </si>
  <si>
    <t>HD-000122</t>
  </si>
  <si>
    <t>HD-000123</t>
  </si>
  <si>
    <t>HD-000124</t>
  </si>
  <si>
    <t>HD-000125</t>
  </si>
  <si>
    <t>HD-000126</t>
  </si>
  <si>
    <t>HD-000127</t>
  </si>
  <si>
    <t>HD-000128</t>
  </si>
  <si>
    <t>HD-000129</t>
  </si>
  <si>
    <t>HD-000130</t>
  </si>
  <si>
    <t>HD-000131</t>
  </si>
  <si>
    <t>HD-000132</t>
  </si>
  <si>
    <t>HD-000133</t>
  </si>
  <si>
    <t>HD-000134</t>
  </si>
  <si>
    <t>HD-000135</t>
  </si>
  <si>
    <t>HD-000136</t>
  </si>
  <si>
    <t>HD-000137</t>
  </si>
  <si>
    <t>HD-000138</t>
  </si>
  <si>
    <t>HD-000139</t>
  </si>
  <si>
    <t>HD-000140</t>
  </si>
  <si>
    <t>HD-000141</t>
  </si>
  <si>
    <t>HD-000142</t>
  </si>
  <si>
    <t>HD-000143</t>
  </si>
  <si>
    <t>HD-000144</t>
  </si>
  <si>
    <t>HD-000145</t>
  </si>
  <si>
    <t>HD-000146</t>
  </si>
  <si>
    <t>HD-000147</t>
  </si>
  <si>
    <t>HD-000148</t>
  </si>
  <si>
    <t>HD-000149</t>
  </si>
  <si>
    <t>HD-000150</t>
  </si>
  <si>
    <t>HD-000151</t>
  </si>
  <si>
    <t>HD-000152</t>
  </si>
  <si>
    <t>HD-000153</t>
  </si>
  <si>
    <t>HD-000154</t>
  </si>
  <si>
    <t>HD-000155</t>
  </si>
  <si>
    <t>HD-000156</t>
  </si>
  <si>
    <t>HD-000157</t>
  </si>
  <si>
    <t>HD-000158</t>
  </si>
  <si>
    <t>HD-000159</t>
  </si>
  <si>
    <t>HD-000160</t>
  </si>
  <si>
    <t>HD-000161</t>
  </si>
  <si>
    <t>HD-000162</t>
  </si>
  <si>
    <t>HD-000163</t>
  </si>
  <si>
    <t>HD-000164</t>
  </si>
  <si>
    <t>HD-000165</t>
  </si>
  <si>
    <t>HD-000166</t>
  </si>
  <si>
    <t>HD-000167</t>
  </si>
  <si>
    <t>HD-000168</t>
  </si>
  <si>
    <t>HD-000169</t>
  </si>
  <si>
    <t>HD-000170</t>
  </si>
  <si>
    <t>HD-000171</t>
  </si>
  <si>
    <t>HD-000172</t>
  </si>
  <si>
    <t>HD-000173</t>
  </si>
  <si>
    <t>HD-000174</t>
  </si>
  <si>
    <t>HD-000175</t>
  </si>
  <si>
    <t>HD-000176</t>
  </si>
  <si>
    <t>HD-000177</t>
  </si>
  <si>
    <t>HD-000178</t>
  </si>
  <si>
    <t>HD-000179</t>
  </si>
  <si>
    <t>HD-000180</t>
  </si>
  <si>
    <t>HD-000181</t>
  </si>
  <si>
    <t>HD-000182</t>
  </si>
  <si>
    <t>HD-000183</t>
  </si>
  <si>
    <t>HD-000184</t>
  </si>
  <si>
    <t>HD-000185</t>
  </si>
  <si>
    <t>HD-000186</t>
  </si>
  <si>
    <t>HD-000187</t>
  </si>
  <si>
    <t>HD-000188</t>
  </si>
  <si>
    <t>HD-000189</t>
  </si>
  <si>
    <t>HD-000190</t>
  </si>
  <si>
    <t>HD-000191</t>
  </si>
  <si>
    <t>HD-000192</t>
  </si>
  <si>
    <t>HD-000193</t>
  </si>
  <si>
    <t>HD-000194</t>
  </si>
  <si>
    <t>HD-000195</t>
  </si>
  <si>
    <t>HD-000196</t>
  </si>
  <si>
    <t>HD-000197</t>
  </si>
  <si>
    <t>HD-000198</t>
  </si>
  <si>
    <t>HD-000199</t>
  </si>
  <si>
    <t>HD-000200</t>
  </si>
  <si>
    <t>HD-000201</t>
  </si>
  <si>
    <t>HD-000202</t>
  </si>
  <si>
    <t>HD-000203</t>
  </si>
  <si>
    <t>HD-000204</t>
  </si>
  <si>
    <t>HD-000205</t>
  </si>
  <si>
    <t>HD-000206</t>
  </si>
  <si>
    <t>HD-000207</t>
  </si>
  <si>
    <t>HD-000208</t>
  </si>
  <si>
    <t>HD-000209</t>
  </si>
  <si>
    <t>HD-000210</t>
  </si>
  <si>
    <t>HD-000211</t>
  </si>
  <si>
    <t>HD-000212</t>
  </si>
  <si>
    <t>HD-000213</t>
  </si>
  <si>
    <t>HD-000214</t>
  </si>
  <si>
    <t>HD-000215</t>
  </si>
  <si>
    <t>HD-000216</t>
  </si>
  <si>
    <t>HD-000217</t>
  </si>
  <si>
    <t>HD-000218</t>
  </si>
  <si>
    <t>HD-000219</t>
  </si>
  <si>
    <t>HD-000220</t>
  </si>
  <si>
    <t>HD-000221</t>
  </si>
  <si>
    <t>HD-000222</t>
  </si>
  <si>
    <t>HD-000223</t>
  </si>
  <si>
    <t>HD-000224</t>
  </si>
  <si>
    <t>HD-000225</t>
  </si>
  <si>
    <t>HD-000226</t>
  </si>
  <si>
    <t>HD-000227</t>
  </si>
  <si>
    <t>HD-000228</t>
  </si>
  <si>
    <t>HD-000229</t>
  </si>
  <si>
    <t>HD-000230</t>
  </si>
  <si>
    <t>HD-000231</t>
  </si>
  <si>
    <t>HD-000232</t>
  </si>
  <si>
    <t>HD-000233</t>
  </si>
  <si>
    <t>HD-000234</t>
  </si>
  <si>
    <t>HD-000235</t>
  </si>
  <si>
    <t>HD-000236</t>
  </si>
  <si>
    <t>HD-000237</t>
  </si>
  <si>
    <t>HD-000238</t>
  </si>
  <si>
    <t>HD-000239</t>
  </si>
  <si>
    <t>HD-000240</t>
  </si>
  <si>
    <t>HD-000241</t>
  </si>
  <si>
    <t>HD-000242</t>
  </si>
  <si>
    <t>HD-000243</t>
  </si>
  <si>
    <t>HD-000244</t>
  </si>
  <si>
    <t>HD-000245</t>
  </si>
  <si>
    <t>HD-000246</t>
  </si>
  <si>
    <t>HD-000247</t>
  </si>
  <si>
    <t>HD-000248</t>
  </si>
  <si>
    <t>HD-000249</t>
  </si>
  <si>
    <t>HD-000250</t>
  </si>
  <si>
    <t>HD-000251</t>
  </si>
  <si>
    <t>HD-000252</t>
  </si>
  <si>
    <t>HD-000253</t>
  </si>
  <si>
    <t>HD-000254</t>
  </si>
  <si>
    <t>HD-000255</t>
  </si>
  <si>
    <t>HD-000256</t>
  </si>
  <si>
    <t>HD-000257</t>
  </si>
  <si>
    <t>HD-000258</t>
  </si>
  <si>
    <t>HD-000259</t>
  </si>
  <si>
    <t>HD-000260</t>
  </si>
  <si>
    <t>HD-000261</t>
  </si>
  <si>
    <t>HD-000262</t>
  </si>
  <si>
    <t>HD-000263</t>
  </si>
  <si>
    <t>HD-000264</t>
  </si>
  <si>
    <t>HD-000265</t>
  </si>
  <si>
    <t>HD-000266</t>
  </si>
  <si>
    <t>HD-000267</t>
  </si>
  <si>
    <t>HD-000268</t>
  </si>
  <si>
    <t>HD-000269</t>
  </si>
  <si>
    <t>HD-000270</t>
  </si>
  <si>
    <t>HD-000271</t>
  </si>
  <si>
    <t>HD-000272</t>
  </si>
  <si>
    <t>HD-000273</t>
  </si>
  <si>
    <t>HD-000274</t>
  </si>
  <si>
    <t>HD-000275</t>
  </si>
  <si>
    <t>HD-000276</t>
  </si>
  <si>
    <t>HD-000277</t>
  </si>
  <si>
    <t>HD-000278</t>
  </si>
  <si>
    <t>HD-000279</t>
  </si>
  <si>
    <t>HD-000280</t>
  </si>
  <si>
    <t>HD-000281</t>
  </si>
  <si>
    <t>HD-000282</t>
  </si>
  <si>
    <t>HD-000283</t>
  </si>
  <si>
    <t>HD-000284</t>
  </si>
  <si>
    <t>HD-000285</t>
  </si>
  <si>
    <t>HD-000286</t>
  </si>
  <si>
    <t>HD-000287</t>
  </si>
  <si>
    <t>HD-000288</t>
  </si>
  <si>
    <t>HD-000289</t>
  </si>
  <si>
    <t>HD-000290</t>
  </si>
  <si>
    <t>HD-000291</t>
  </si>
  <si>
    <t>HD-000292</t>
  </si>
  <si>
    <t>HD-000293</t>
  </si>
  <si>
    <t>HD-000294</t>
  </si>
  <si>
    <t>HD-000295</t>
  </si>
  <si>
    <t>HD-000296</t>
  </si>
  <si>
    <t>HD-000297</t>
  </si>
  <si>
    <t>HD-000298</t>
  </si>
  <si>
    <t>HD-000299</t>
  </si>
  <si>
    <t>HD-000300</t>
  </si>
  <si>
    <t>HD-000301</t>
  </si>
  <si>
    <t>HD-000302</t>
  </si>
  <si>
    <t>HD-000303</t>
  </si>
  <si>
    <t>HD-000304</t>
  </si>
  <si>
    <t>HD-000305</t>
  </si>
  <si>
    <t>HD-000306</t>
  </si>
  <si>
    <t>HD-000307</t>
  </si>
  <si>
    <t>HD-000308</t>
  </si>
  <si>
    <t>HD-000309</t>
  </si>
  <si>
    <t>HD-000310</t>
  </si>
  <si>
    <t>HD-000311</t>
  </si>
  <si>
    <t>HD-000312</t>
  </si>
  <si>
    <t>HD-000313</t>
  </si>
  <si>
    <t>HD-000314</t>
  </si>
  <si>
    <t>HD-000315</t>
  </si>
  <si>
    <t>HD-000316</t>
  </si>
  <si>
    <t>HD-000317</t>
  </si>
  <si>
    <t>HD-000318</t>
  </si>
  <si>
    <t>HD-000319</t>
  </si>
  <si>
    <t>HD-000320</t>
  </si>
  <si>
    <t>HD-000321</t>
  </si>
  <si>
    <t>HD-000322</t>
  </si>
  <si>
    <t>HD-000323</t>
  </si>
  <si>
    <t>HD-000324</t>
  </si>
  <si>
    <t>HD-000325</t>
  </si>
  <si>
    <t>HD-000326</t>
  </si>
  <si>
    <t>HD-000327</t>
  </si>
  <si>
    <t>HD-000328</t>
  </si>
  <si>
    <t>HD-000329</t>
  </si>
  <si>
    <t>HD-000330</t>
  </si>
  <si>
    <t>HD-000331</t>
  </si>
  <si>
    <t>HD-000332</t>
  </si>
  <si>
    <t>HD-000333</t>
  </si>
  <si>
    <t>HD-000334</t>
  </si>
  <si>
    <t>HD-000335</t>
  </si>
  <si>
    <t>HD-000336</t>
  </si>
  <si>
    <t>HD-000337</t>
  </si>
  <si>
    <t>HD-000338</t>
  </si>
  <si>
    <t>HD-000339</t>
  </si>
  <si>
    <t>HD-000340</t>
  </si>
  <si>
    <t>HD-000341</t>
  </si>
  <si>
    <t>HD-000342</t>
  </si>
  <si>
    <t>HD-000343</t>
  </si>
  <si>
    <t>HD-000344</t>
  </si>
  <si>
    <t>HD-000345</t>
  </si>
  <si>
    <t>HD-000346</t>
  </si>
  <si>
    <t>HD-000347</t>
  </si>
  <si>
    <t>HD-000348</t>
  </si>
  <si>
    <t>HD-000349</t>
  </si>
  <si>
    <t>HD-000350</t>
  </si>
  <si>
    <t>HD-000351</t>
  </si>
  <si>
    <t>HD-000352</t>
  </si>
  <si>
    <t>HD-000353</t>
  </si>
  <si>
    <t>HD-000354</t>
  </si>
  <si>
    <t>HD-000355</t>
  </si>
  <si>
    <t>HD-000356</t>
  </si>
  <si>
    <t>HD-000357</t>
  </si>
  <si>
    <t>HD-000358</t>
  </si>
  <si>
    <t>HD-000359</t>
  </si>
  <si>
    <t>HD-000360</t>
  </si>
  <si>
    <t>HD-000361</t>
  </si>
  <si>
    <t>HD-000362</t>
  </si>
  <si>
    <t>HD-000363</t>
  </si>
  <si>
    <t>HD-000364</t>
  </si>
  <si>
    <t>HD-000365</t>
  </si>
  <si>
    <t>HD-000366</t>
  </si>
  <si>
    <t>HD-000367</t>
  </si>
  <si>
    <t>HD-000368</t>
  </si>
  <si>
    <t>HD-000369</t>
  </si>
  <si>
    <t>HD-000370</t>
  </si>
  <si>
    <t>HD-000371</t>
  </si>
  <si>
    <t>HD-000372</t>
  </si>
  <si>
    <t>HD-000373</t>
  </si>
  <si>
    <t>HD-000374</t>
  </si>
  <si>
    <t>HD-000375</t>
  </si>
  <si>
    <t>HD-000376</t>
  </si>
  <si>
    <t>HD-000377</t>
  </si>
  <si>
    <t>HD-000378</t>
  </si>
  <si>
    <t>HD-000379</t>
  </si>
  <si>
    <t>HD-000380</t>
  </si>
  <si>
    <t>HD-000381</t>
  </si>
  <si>
    <t>HD-000382</t>
  </si>
  <si>
    <t>HD-000383</t>
  </si>
  <si>
    <t>HD-000384</t>
  </si>
  <si>
    <t>HD-000385</t>
  </si>
  <si>
    <t>HD-000386</t>
  </si>
  <si>
    <t>HD-000387</t>
  </si>
  <si>
    <t>HD-000388</t>
  </si>
  <si>
    <t>HD-000389</t>
  </si>
  <si>
    <t>HD-000390</t>
  </si>
  <si>
    <t>HD-000391</t>
  </si>
  <si>
    <t>HD-000392</t>
  </si>
  <si>
    <t>HD-000393</t>
  </si>
  <si>
    <t>HD-000394</t>
  </si>
  <si>
    <t>HD-000395</t>
  </si>
  <si>
    <t>HD-000396</t>
  </si>
  <si>
    <t>HD-000397</t>
  </si>
  <si>
    <t>HD-000398</t>
  </si>
  <si>
    <t>HD-000399</t>
  </si>
  <si>
    <t>HD-000400</t>
  </si>
  <si>
    <t>HD-000401</t>
  </si>
  <si>
    <t>HD-000402</t>
  </si>
  <si>
    <t>HD-000403</t>
  </si>
  <si>
    <t>HD-000404</t>
  </si>
  <si>
    <t>HD-000405</t>
  </si>
  <si>
    <t>HD-000406</t>
  </si>
  <si>
    <t>HD-000407</t>
  </si>
  <si>
    <t>HD-000408</t>
  </si>
  <si>
    <t>HD-000409</t>
  </si>
  <si>
    <t>HD-000410</t>
  </si>
  <si>
    <t>HD-000411</t>
  </si>
  <si>
    <t>HD-000412</t>
  </si>
  <si>
    <t>HD-000413</t>
  </si>
  <si>
    <t>HD-000414</t>
  </si>
  <si>
    <t>HD-000415</t>
  </si>
  <si>
    <t>HD-000416</t>
  </si>
  <si>
    <t>HD-000417</t>
  </si>
  <si>
    <t>HD-000418</t>
  </si>
  <si>
    <t>HD-000419</t>
  </si>
  <si>
    <t>HD-000420</t>
  </si>
  <si>
    <t>HD-000421</t>
  </si>
  <si>
    <t>HD-000422</t>
  </si>
  <si>
    <t>HD-000423</t>
  </si>
  <si>
    <t>HD-000424</t>
  </si>
  <si>
    <t>HD-000425</t>
  </si>
  <si>
    <t>HD-000426</t>
  </si>
  <si>
    <t>HD-000427</t>
  </si>
  <si>
    <t>HD-000428</t>
  </si>
  <si>
    <t>HD-000429</t>
  </si>
  <si>
    <t>HD-000430</t>
  </si>
  <si>
    <t>HD-000431</t>
  </si>
  <si>
    <t>HD-000432</t>
  </si>
  <si>
    <t>HD-000433</t>
  </si>
  <si>
    <t>HD-000434</t>
  </si>
  <si>
    <t>HD-000435</t>
  </si>
  <si>
    <t>HD-000436</t>
  </si>
  <si>
    <t>HD-000437</t>
  </si>
  <si>
    <t>HD-000438</t>
  </si>
  <si>
    <t>HD-000439</t>
  </si>
  <si>
    <t>HD-000440</t>
  </si>
  <si>
    <t>HD-000441</t>
  </si>
  <si>
    <t>HD-000442</t>
  </si>
  <si>
    <t>HD-000443</t>
  </si>
  <si>
    <t>HD-000444</t>
  </si>
  <si>
    <t>HD-000445</t>
  </si>
  <si>
    <t>HD-000446</t>
  </si>
  <si>
    <t>HD-000447</t>
  </si>
  <si>
    <t>HD-000448</t>
  </si>
  <si>
    <t>HD-000449</t>
  </si>
  <si>
    <t>HD-000450</t>
  </si>
  <si>
    <t>HD-000451</t>
  </si>
  <si>
    <t>HD-000452</t>
  </si>
  <si>
    <t>HD-000453</t>
  </si>
  <si>
    <t>HD-000454</t>
  </si>
  <si>
    <t>HD-000455</t>
  </si>
  <si>
    <t>HD-000456</t>
  </si>
  <si>
    <t>HD-000457</t>
  </si>
  <si>
    <t>HD-000458</t>
  </si>
  <si>
    <t>HD-000459</t>
  </si>
  <si>
    <t>HD-000460</t>
  </si>
  <si>
    <t>HD-000461</t>
  </si>
  <si>
    <t>HD-000462</t>
  </si>
  <si>
    <t>HD-000463</t>
  </si>
  <si>
    <t>HD-000464</t>
  </si>
  <si>
    <t>HD-000465</t>
  </si>
  <si>
    <t>HD-000466</t>
  </si>
  <si>
    <t>HD-000467</t>
  </si>
  <si>
    <t>HD-000468</t>
  </si>
  <si>
    <t>HD-000469</t>
  </si>
  <si>
    <t>HD-000470</t>
  </si>
  <si>
    <t>HD-000471</t>
  </si>
  <si>
    <t>HD-000472</t>
  </si>
  <si>
    <t>HD-000473</t>
  </si>
  <si>
    <t>HD-000474</t>
  </si>
  <si>
    <t>HD-000475</t>
  </si>
  <si>
    <t>HD-000476</t>
  </si>
  <si>
    <t>HD-000477</t>
  </si>
  <si>
    <t>HD-000478</t>
  </si>
  <si>
    <t>HD-000479</t>
  </si>
  <si>
    <t>HD-000480</t>
  </si>
  <si>
    <t>HD-000481</t>
  </si>
  <si>
    <t>HD-000482</t>
  </si>
  <si>
    <t>HD-000483</t>
  </si>
  <si>
    <t>HD-000484</t>
  </si>
  <si>
    <t>HD-000485</t>
  </si>
  <si>
    <t>HD-000486</t>
  </si>
  <si>
    <t>HD-000487</t>
  </si>
  <si>
    <t>HD-000488</t>
  </si>
  <si>
    <t>HD-000489</t>
  </si>
  <si>
    <t>HD-000490</t>
  </si>
  <si>
    <t>HD-000491</t>
  </si>
  <si>
    <t>HD-000492</t>
  </si>
  <si>
    <t>HD-000493</t>
  </si>
  <si>
    <t>HD-000494</t>
  </si>
  <si>
    <t>HD-000495</t>
  </si>
  <si>
    <t>HD-000496</t>
  </si>
  <si>
    <t>HD-000497</t>
  </si>
  <si>
    <t>HD-000498</t>
  </si>
  <si>
    <t>HD-000499</t>
  </si>
  <si>
    <t>HD-000500</t>
  </si>
  <si>
    <t>HD-000501</t>
  </si>
  <si>
    <t>HD-000502</t>
  </si>
  <si>
    <t>HD-000503</t>
  </si>
  <si>
    <t>HD-000504</t>
  </si>
  <si>
    <t>HD-000505</t>
  </si>
  <si>
    <t>HD-000506</t>
  </si>
  <si>
    <t>HD-000507</t>
  </si>
  <si>
    <t>HD-000508</t>
  </si>
  <si>
    <t>HD-000509</t>
  </si>
  <si>
    <t>HD-000510</t>
  </si>
  <si>
    <t>HD-000511</t>
  </si>
  <si>
    <t>HD-000512</t>
  </si>
  <si>
    <t>HD-000513</t>
  </si>
  <si>
    <t>HD-000514</t>
  </si>
  <si>
    <t>HD-000515</t>
  </si>
  <si>
    <t>HD-000516</t>
  </si>
  <si>
    <t>HD-000517</t>
  </si>
  <si>
    <t>HD-000518</t>
  </si>
  <si>
    <t>HD-000519</t>
  </si>
  <si>
    <t>HD-000520</t>
  </si>
  <si>
    <t>HD-000521</t>
  </si>
  <si>
    <t>HD-000522</t>
  </si>
  <si>
    <t>HD-000523</t>
  </si>
  <si>
    <t>HD-000524</t>
  </si>
  <si>
    <t>HD-000525</t>
  </si>
  <si>
    <t>HD-000526</t>
  </si>
  <si>
    <t>HD-000527</t>
  </si>
  <si>
    <t>HD-000528</t>
  </si>
  <si>
    <t>HD-000529</t>
  </si>
  <si>
    <t>HD-000530</t>
  </si>
  <si>
    <t>HD-000531</t>
  </si>
  <si>
    <t>HD-000532</t>
  </si>
  <si>
    <t>HD-000533</t>
  </si>
  <si>
    <t>HD-000534</t>
  </si>
  <si>
    <t>HD-000535</t>
  </si>
  <si>
    <t>HD-000536</t>
  </si>
  <si>
    <t>HD-000537</t>
  </si>
  <si>
    <t>HD-000538</t>
  </si>
  <si>
    <t>HD-000539</t>
  </si>
  <si>
    <t>HD-000540</t>
  </si>
  <si>
    <t>HD-000541</t>
  </si>
  <si>
    <t>HD-000542</t>
  </si>
  <si>
    <t>HD-000543</t>
  </si>
  <si>
    <t>HD-000544</t>
  </si>
  <si>
    <t>HD-000545</t>
  </si>
  <si>
    <t>HD-000546</t>
  </si>
  <si>
    <t>HD-000547</t>
  </si>
  <si>
    <t>HD-000548</t>
  </si>
  <si>
    <t>HD-000549</t>
  </si>
  <si>
    <t>HD-000550</t>
  </si>
  <si>
    <t>HD-000551</t>
  </si>
  <si>
    <t>HD-000552</t>
  </si>
  <si>
    <t>HD-000553</t>
  </si>
  <si>
    <t>HD-000554</t>
  </si>
  <si>
    <t>HD-000555</t>
  </si>
  <si>
    <t>HD-000556</t>
  </si>
  <si>
    <t>HD-000557</t>
  </si>
  <si>
    <t>HD-000558</t>
  </si>
  <si>
    <t>HD-000559</t>
  </si>
  <si>
    <t>HD-000560</t>
  </si>
  <si>
    <t>HD-000561</t>
  </si>
  <si>
    <t>HD-000562</t>
  </si>
  <si>
    <t>HD-000563</t>
  </si>
  <si>
    <t>HD-000564</t>
  </si>
  <si>
    <t>HD-000565</t>
  </si>
  <si>
    <t>HD-000566</t>
  </si>
  <si>
    <t>HD-000567</t>
  </si>
  <si>
    <t>HD-000568</t>
  </si>
  <si>
    <t>HD-000569</t>
  </si>
  <si>
    <t>HD-000570</t>
  </si>
  <si>
    <t>HD-000571</t>
  </si>
  <si>
    <t>HD-000572</t>
  </si>
  <si>
    <t>HD-000573</t>
  </si>
  <si>
    <t>HD-000574</t>
  </si>
  <si>
    <t>HD-000575</t>
  </si>
  <si>
    <t>HD-000576</t>
  </si>
  <si>
    <t>HD-000577</t>
  </si>
  <si>
    <t>HD-000578</t>
  </si>
  <si>
    <t>HD-000579</t>
  </si>
  <si>
    <t>HD-000580</t>
  </si>
  <si>
    <t>HD-000581</t>
  </si>
  <si>
    <t>HD-000582</t>
  </si>
  <si>
    <t>HD-000583</t>
  </si>
  <si>
    <t>HD-000584</t>
  </si>
  <si>
    <t>HD-000585</t>
  </si>
  <si>
    <t>HD-000586</t>
  </si>
  <si>
    <t>HD-000587</t>
  </si>
  <si>
    <t>HD-000588</t>
  </si>
  <si>
    <t>HD-000589</t>
  </si>
  <si>
    <t>HD-000590</t>
  </si>
  <si>
    <t>HD-000591</t>
  </si>
  <si>
    <t>HD-000592</t>
  </si>
  <si>
    <t>HD-000593</t>
  </si>
  <si>
    <t>HD-000594</t>
  </si>
  <si>
    <t>HD-000595</t>
  </si>
  <si>
    <t>HD-000596</t>
  </si>
  <si>
    <t>HD-000597</t>
  </si>
  <si>
    <t>HD-000598</t>
  </si>
  <si>
    <t>HD-000599</t>
  </si>
  <si>
    <t>HD-000600</t>
  </si>
  <si>
    <t>HD-000601</t>
  </si>
  <si>
    <t>HD-000602</t>
  </si>
  <si>
    <t>HD-000603</t>
  </si>
  <si>
    <t>HD-000604</t>
  </si>
  <si>
    <t>HD-000605</t>
  </si>
  <si>
    <t>HD-000606</t>
  </si>
  <si>
    <t>HD-000607</t>
  </si>
  <si>
    <t>HD-000608</t>
  </si>
  <si>
    <t>HD-000609</t>
  </si>
  <si>
    <t>HD-000610</t>
  </si>
  <si>
    <t>HD-000611</t>
  </si>
  <si>
    <t>HD-000612</t>
  </si>
  <si>
    <t>HD-000613</t>
  </si>
  <si>
    <t>HD-000614</t>
  </si>
  <si>
    <t>HD-000615</t>
  </si>
  <si>
    <t>HD-000616</t>
  </si>
  <si>
    <t>HD-000617</t>
  </si>
  <si>
    <t>HD-000618</t>
  </si>
  <si>
    <t>HD-000619</t>
  </si>
  <si>
    <t>HD-000620</t>
  </si>
  <si>
    <t>HD-000621</t>
  </si>
  <si>
    <t>HD-000622</t>
  </si>
  <si>
    <t>HD-000623</t>
  </si>
  <si>
    <t>HD-000624</t>
  </si>
  <si>
    <t>HD-000625</t>
  </si>
  <si>
    <t>HD-000626</t>
  </si>
  <si>
    <t>HD-000627</t>
  </si>
  <si>
    <t>HD-000628</t>
  </si>
  <si>
    <t>HD-000629</t>
  </si>
  <si>
    <t>HD-000630</t>
  </si>
  <si>
    <t>HD-000631</t>
  </si>
  <si>
    <t>HD-000632</t>
  </si>
  <si>
    <t>HD-000633</t>
  </si>
  <si>
    <t>HD-000634</t>
  </si>
  <si>
    <t>HD-000635</t>
  </si>
  <si>
    <t>HD-000636</t>
  </si>
  <si>
    <t>HD-000637</t>
  </si>
  <si>
    <t>HD-000638</t>
  </si>
  <si>
    <t>HD-000639</t>
  </si>
  <si>
    <t>HD-000640</t>
  </si>
  <si>
    <t>HD-000641</t>
  </si>
  <si>
    <t>HD-000642</t>
  </si>
  <si>
    <t>HD-000643</t>
  </si>
  <si>
    <t>HD-000644</t>
  </si>
  <si>
    <t>HD-000645</t>
  </si>
  <si>
    <t>HD-000646</t>
  </si>
  <si>
    <t>HD-000647</t>
  </si>
  <si>
    <t>HD-000648</t>
  </si>
  <si>
    <t>HD-000649</t>
  </si>
  <si>
    <t>HD-000650</t>
  </si>
  <si>
    <t>HD-000651</t>
  </si>
  <si>
    <t>HD-000652</t>
  </si>
  <si>
    <t>HD-000653</t>
  </si>
  <si>
    <t>HD-000654</t>
  </si>
  <si>
    <t>HD-000655</t>
  </si>
  <si>
    <t>HD-000656</t>
  </si>
  <si>
    <t>HD-000657</t>
  </si>
  <si>
    <t>HD-000658</t>
  </si>
  <si>
    <t>HD-000659</t>
  </si>
  <si>
    <t>HD-000660</t>
  </si>
  <si>
    <t>HD-000661</t>
  </si>
  <si>
    <t>HD-000662</t>
  </si>
  <si>
    <t>HD-000663</t>
  </si>
  <si>
    <t>HD-000664</t>
  </si>
  <si>
    <t>HD-000665</t>
  </si>
  <si>
    <t>HD-000666</t>
  </si>
  <si>
    <t>HD-000667</t>
  </si>
  <si>
    <t>HD-000668</t>
  </si>
  <si>
    <t>HD-000669</t>
  </si>
  <si>
    <t>HD-000670</t>
  </si>
  <si>
    <t>HD-000671</t>
  </si>
  <si>
    <t>HD-000672</t>
  </si>
  <si>
    <t>HD-000673</t>
  </si>
  <si>
    <t>HD-000674</t>
  </si>
  <si>
    <t>HD-000675</t>
  </si>
  <si>
    <t>HD-000676</t>
  </si>
  <si>
    <t>HD-000677</t>
  </si>
  <si>
    <t>HD-000678</t>
  </si>
  <si>
    <t>HD-000679</t>
  </si>
  <si>
    <t>HD-000680</t>
  </si>
  <si>
    <t>HD-000681</t>
  </si>
  <si>
    <t>HD-000682</t>
  </si>
  <si>
    <t>HD-000683</t>
  </si>
  <si>
    <t>HD-000684</t>
  </si>
  <si>
    <t>HD-000685</t>
  </si>
  <si>
    <t>HD-000686</t>
  </si>
  <si>
    <t>HD-000687</t>
  </si>
  <si>
    <t>HD-000688</t>
  </si>
  <si>
    <t>HD-000689</t>
  </si>
  <si>
    <t>HD-000690</t>
  </si>
  <si>
    <t>HD-000691</t>
  </si>
  <si>
    <t>HD-000692</t>
  </si>
  <si>
    <t>HD-000693</t>
  </si>
  <si>
    <t>HD-000694</t>
  </si>
  <si>
    <t>HD-000695</t>
  </si>
  <si>
    <t>HD-000696</t>
  </si>
  <si>
    <t>HD-000697</t>
  </si>
  <si>
    <t>HD-000698</t>
  </si>
  <si>
    <t>HD-000699</t>
  </si>
  <si>
    <t>HD-000700</t>
  </si>
  <si>
    <t>HD-000701</t>
  </si>
  <si>
    <t>HD-000702</t>
  </si>
  <si>
    <t>HD-000703</t>
  </si>
  <si>
    <t>HD-000704</t>
  </si>
  <si>
    <t>HD-000705</t>
  </si>
  <si>
    <t>HD-000706</t>
  </si>
  <si>
    <t>HD-000707</t>
  </si>
  <si>
    <t>HD-000708</t>
  </si>
  <si>
    <t>HD-000709</t>
  </si>
  <si>
    <t>HD-000710</t>
  </si>
  <si>
    <t>HD-000711</t>
  </si>
  <si>
    <t>HD-000712</t>
  </si>
  <si>
    <t>HD-000713</t>
  </si>
  <si>
    <t>HD-000714</t>
  </si>
  <si>
    <t>HD-000715</t>
  </si>
  <si>
    <t>HD-000716</t>
  </si>
  <si>
    <t>HD-000717</t>
  </si>
  <si>
    <t>HD-000718</t>
  </si>
  <si>
    <t>HD-000719</t>
  </si>
  <si>
    <t>HD-000720</t>
  </si>
  <si>
    <t>HD-000721</t>
  </si>
  <si>
    <t>HD-000722</t>
  </si>
  <si>
    <t>HD-000723</t>
  </si>
  <si>
    <t>HD-000724</t>
  </si>
  <si>
    <t>HD-000725</t>
  </si>
  <si>
    <t>HD-000726</t>
  </si>
  <si>
    <t>HD-000727</t>
  </si>
  <si>
    <t>HD-000728</t>
  </si>
  <si>
    <t>HD-000729</t>
  </si>
  <si>
    <t>HD-000730</t>
  </si>
  <si>
    <t>HD-000731</t>
  </si>
  <si>
    <t>HD-000732</t>
  </si>
  <si>
    <t>HD-000733</t>
  </si>
  <si>
    <t>HD-000734</t>
  </si>
  <si>
    <t>HD-000735</t>
  </si>
  <si>
    <t>HD-000736</t>
  </si>
  <si>
    <t>HD-000737</t>
  </si>
  <si>
    <t>HD-000738</t>
  </si>
  <si>
    <t>HD-000739</t>
  </si>
  <si>
    <t>HD-000740</t>
  </si>
  <si>
    <t>HD-000741</t>
  </si>
  <si>
    <t>HD-000742</t>
  </si>
  <si>
    <t>HD-000743</t>
  </si>
  <si>
    <t>HD-000744</t>
  </si>
  <si>
    <t>HD-000745</t>
  </si>
  <si>
    <t>HD-000746</t>
  </si>
  <si>
    <t>HD-000747</t>
  </si>
  <si>
    <t>HD-000748</t>
  </si>
  <si>
    <t>HD-000749</t>
  </si>
  <si>
    <t>HD-000750</t>
  </si>
  <si>
    <t>HD-000751</t>
  </si>
  <si>
    <t>HD-000752</t>
  </si>
  <si>
    <t>HD-000753</t>
  </si>
  <si>
    <t>HD-000754</t>
  </si>
  <si>
    <t>HD-000755</t>
  </si>
  <si>
    <t>HD-000756</t>
  </si>
  <si>
    <t>HD-000757</t>
  </si>
  <si>
    <t>HD-000758</t>
  </si>
  <si>
    <t>HD-000759</t>
  </si>
  <si>
    <t>HD-000760</t>
  </si>
  <si>
    <t>HD-000761</t>
  </si>
  <si>
    <t>HD-000762</t>
  </si>
  <si>
    <t>HD-000763</t>
  </si>
  <si>
    <t>HD-000764</t>
  </si>
  <si>
    <t>HD-000765</t>
  </si>
  <si>
    <t>HD-000766</t>
  </si>
  <si>
    <t>HD-000767</t>
  </si>
  <si>
    <t>HD-000768</t>
  </si>
  <si>
    <t>HD-000769</t>
  </si>
  <si>
    <t>HD-000770</t>
  </si>
  <si>
    <t>HD-000771</t>
  </si>
  <si>
    <t>HD-000772</t>
  </si>
  <si>
    <t>HD-000773</t>
  </si>
  <si>
    <t>HD-000774</t>
  </si>
  <si>
    <t>HD-000775</t>
  </si>
  <si>
    <t>HD-000776</t>
  </si>
  <si>
    <t>HD-000777</t>
  </si>
  <si>
    <t>HD-000778</t>
  </si>
  <si>
    <t>HD-000779</t>
  </si>
  <si>
    <t>HD-000780</t>
  </si>
  <si>
    <t>HD-000781</t>
  </si>
  <si>
    <t>HD-000782</t>
  </si>
  <si>
    <t>HD-000783</t>
  </si>
  <si>
    <t>HD-000784</t>
  </si>
  <si>
    <t>HD-000785</t>
  </si>
  <si>
    <t>HD-000786</t>
  </si>
  <si>
    <t>HD-000787</t>
  </si>
  <si>
    <t>HD-000788</t>
  </si>
  <si>
    <t>HD-000789</t>
  </si>
  <si>
    <t>HD-000790</t>
  </si>
  <si>
    <t>HD-000791</t>
  </si>
  <si>
    <t>HD-000792</t>
  </si>
  <si>
    <t>HD-000793</t>
  </si>
  <si>
    <t>HD-000794</t>
  </si>
  <si>
    <t>HD-000795</t>
  </si>
  <si>
    <t>HD-000796</t>
  </si>
  <si>
    <t>HD-000797</t>
  </si>
  <si>
    <t>HD-000798</t>
  </si>
  <si>
    <t>HD-000799</t>
  </si>
  <si>
    <t>HD-000800</t>
  </si>
  <si>
    <t>HD-000801</t>
  </si>
  <si>
    <t>HD-000802</t>
  </si>
  <si>
    <t>HD-000803</t>
  </si>
  <si>
    <t>HD-000804</t>
  </si>
  <si>
    <t>HD-000805</t>
  </si>
  <si>
    <t>HD-000806</t>
  </si>
  <si>
    <t>HD-000807</t>
  </si>
  <si>
    <t>HD-000808</t>
  </si>
  <si>
    <t>HD-000809</t>
  </si>
  <si>
    <t>HD-000810</t>
  </si>
  <si>
    <t>HD-000811</t>
  </si>
  <si>
    <t>HD-000812</t>
  </si>
  <si>
    <t>HD-000813</t>
  </si>
  <si>
    <t>HD-000814</t>
  </si>
  <si>
    <t>HD-000815</t>
  </si>
  <si>
    <t>HD-000816</t>
  </si>
  <si>
    <t>HD-000817</t>
  </si>
  <si>
    <t>HD-000818</t>
  </si>
  <si>
    <t>HD-000819</t>
  </si>
  <si>
    <t>HD-000820</t>
  </si>
  <si>
    <t>HD-000821</t>
  </si>
  <si>
    <t>HD-000822</t>
  </si>
  <si>
    <t>HD-000823</t>
  </si>
  <si>
    <t>HD-000824</t>
  </si>
  <si>
    <t>HD-000825</t>
  </si>
  <si>
    <t>HD-000826</t>
  </si>
  <si>
    <t>HD-000827</t>
  </si>
  <si>
    <t>HD-000828</t>
  </si>
  <si>
    <t>HD-000829</t>
  </si>
  <si>
    <t>HD-000830</t>
  </si>
  <si>
    <t>HD-000831</t>
  </si>
  <si>
    <t>HD-000832</t>
  </si>
  <si>
    <t>HD-000833</t>
  </si>
  <si>
    <t>HD-000834</t>
  </si>
  <si>
    <t>HD-000835</t>
  </si>
  <si>
    <t>HD-000836</t>
  </si>
  <si>
    <t>HD-000837</t>
  </si>
  <si>
    <t>HD-000838</t>
  </si>
  <si>
    <t>HD-000839</t>
  </si>
  <si>
    <t>HD-000840</t>
  </si>
  <si>
    <t>HD-000841</t>
  </si>
  <si>
    <t>HD-000842</t>
  </si>
  <si>
    <t>HD-000843</t>
  </si>
  <si>
    <t>HD-000844</t>
  </si>
  <si>
    <t>HD-000845</t>
  </si>
  <si>
    <t>HD-000846</t>
  </si>
  <si>
    <t>HD-000847</t>
  </si>
  <si>
    <t>HD-000848</t>
  </si>
  <si>
    <t>HD-000849</t>
  </si>
  <si>
    <t>HD-000850</t>
  </si>
  <si>
    <t>HD-000851</t>
  </si>
  <si>
    <t>HD-000852</t>
  </si>
  <si>
    <t>HD-000853</t>
  </si>
  <si>
    <t>HD-000854</t>
  </si>
  <si>
    <t>HD-000855</t>
  </si>
  <si>
    <t>HD-000856</t>
  </si>
  <si>
    <t>HD-000857</t>
  </si>
  <si>
    <t>HD-000858</t>
  </si>
  <si>
    <t>HD-000859</t>
  </si>
  <si>
    <t>HD-000860</t>
  </si>
  <si>
    <t>HD-000861</t>
  </si>
  <si>
    <t>HD-000862</t>
  </si>
  <si>
    <t>HD-000863</t>
  </si>
  <si>
    <t>HD-000864</t>
  </si>
  <si>
    <t>HD-000865</t>
  </si>
  <si>
    <t>HD-000866</t>
  </si>
  <si>
    <t>HD-000867</t>
  </si>
  <si>
    <t>HD-000868</t>
  </si>
  <si>
    <t>HD-000869</t>
  </si>
  <si>
    <t>HD-000870</t>
  </si>
  <si>
    <t>HD-000871</t>
  </si>
  <si>
    <t>HD-000872</t>
  </si>
  <si>
    <t>HD-000873</t>
  </si>
  <si>
    <t>HD-000874</t>
  </si>
  <si>
    <t>HD-000875</t>
  </si>
  <si>
    <t>HD-000876</t>
  </si>
  <si>
    <t>HD-000877</t>
  </si>
  <si>
    <t>HD-000878</t>
  </si>
  <si>
    <t>HD-000879</t>
  </si>
  <si>
    <t>HD-000880</t>
  </si>
  <si>
    <t>HD-000881</t>
  </si>
  <si>
    <t>HD-000882</t>
  </si>
  <si>
    <t>HD-000883</t>
  </si>
  <si>
    <t>HD-000884</t>
  </si>
  <si>
    <t>HD-000885</t>
  </si>
  <si>
    <t>HD-000886</t>
  </si>
  <si>
    <t>HD-000887</t>
  </si>
  <si>
    <t>HD-000888</t>
  </si>
  <si>
    <t>HD-000889</t>
  </si>
  <si>
    <t>HD-000890</t>
  </si>
  <si>
    <t>HD-000891</t>
  </si>
  <si>
    <t>HD-000892</t>
  </si>
  <si>
    <t>HD-000893</t>
  </si>
  <si>
    <t>HD-000894</t>
  </si>
  <si>
    <t>HD-000895</t>
  </si>
  <si>
    <t>HD-000896</t>
  </si>
  <si>
    <t>HD-000897</t>
  </si>
  <si>
    <t>HD-000898</t>
  </si>
  <si>
    <t>HD-000899</t>
  </si>
  <si>
    <t>HD-000900</t>
  </si>
  <si>
    <t>HD-000901</t>
  </si>
  <si>
    <t>HD-000902</t>
  </si>
  <si>
    <t>HD-000903</t>
  </si>
  <si>
    <t>HD-000904</t>
  </si>
  <si>
    <t>HD-000905</t>
  </si>
  <si>
    <t>HD-000906</t>
  </si>
  <si>
    <t>HD-000907</t>
  </si>
  <si>
    <t>HD-000908</t>
  </si>
  <si>
    <t>HD-000909</t>
  </si>
  <si>
    <t>HD-000910</t>
  </si>
  <si>
    <t>HD-000911</t>
  </si>
  <si>
    <t>HD-000912</t>
  </si>
  <si>
    <t>HD-000913</t>
  </si>
  <si>
    <t>HD-000914</t>
  </si>
  <si>
    <t>HD-000915</t>
  </si>
  <si>
    <t>HD-000916</t>
  </si>
  <si>
    <t>HD-000917</t>
  </si>
  <si>
    <t>HD-000918</t>
  </si>
  <si>
    <t>HD-000919</t>
  </si>
  <si>
    <t>HD-000920</t>
  </si>
  <si>
    <t>HD-000921</t>
  </si>
  <si>
    <t>HD-000922</t>
  </si>
  <si>
    <t>HD-000923</t>
  </si>
  <si>
    <t>HD-000924</t>
  </si>
  <si>
    <t>HD-000925</t>
  </si>
  <si>
    <t>HD-000926</t>
  </si>
  <si>
    <t>HD-000927</t>
  </si>
  <si>
    <t>HD-000928</t>
  </si>
  <si>
    <t>HD-000929</t>
  </si>
  <si>
    <t>HD-000930</t>
  </si>
  <si>
    <t>HD-000931</t>
  </si>
  <si>
    <t>HD-000932</t>
  </si>
  <si>
    <t>HD-000933</t>
  </si>
  <si>
    <t>HD-000934</t>
  </si>
  <si>
    <t>HD-000935</t>
  </si>
  <si>
    <t>HD-000936</t>
  </si>
  <si>
    <t>HD-000937</t>
  </si>
  <si>
    <t>HD-000938</t>
  </si>
  <si>
    <t>HD-000939</t>
  </si>
  <si>
    <t>HD-000940</t>
  </si>
  <si>
    <t>HD-000941</t>
  </si>
  <si>
    <t>HD-000942</t>
  </si>
  <si>
    <t>HD-000943</t>
  </si>
  <si>
    <t>HD-000944</t>
  </si>
  <si>
    <t>HD-000945</t>
  </si>
  <si>
    <t>HD-000946</t>
  </si>
  <si>
    <t>HD-000947</t>
  </si>
  <si>
    <t>HD-000948</t>
  </si>
  <si>
    <t>HD-000949</t>
  </si>
  <si>
    <t>HD-000950</t>
  </si>
  <si>
    <t>HD-000951</t>
  </si>
  <si>
    <t>HD-000952</t>
  </si>
  <si>
    <t>HD-000953</t>
  </si>
  <si>
    <t>HD-000954</t>
  </si>
  <si>
    <t>HD-000955</t>
  </si>
  <si>
    <t>HD-000956</t>
  </si>
  <si>
    <t>HD-000957</t>
  </si>
  <si>
    <t>HD-000958</t>
  </si>
  <si>
    <t>HD-000959</t>
  </si>
  <si>
    <t>HD-000960</t>
  </si>
  <si>
    <t>HD-000961</t>
  </si>
  <si>
    <t>HD-000962</t>
  </si>
  <si>
    <t>HD-000963</t>
  </si>
  <si>
    <t>HD-000964</t>
  </si>
  <si>
    <t>HD-000965</t>
  </si>
  <si>
    <t>HD-000966</t>
  </si>
  <si>
    <t>HD-000967</t>
  </si>
  <si>
    <t>HD-000968</t>
  </si>
  <si>
    <t>HD-000969</t>
  </si>
  <si>
    <t>HD-000970</t>
  </si>
  <si>
    <t>HD-000971</t>
  </si>
  <si>
    <t>HD-000972</t>
  </si>
  <si>
    <t>HD-000973</t>
  </si>
  <si>
    <t>HD-000974</t>
  </si>
  <si>
    <t>HD-000975</t>
  </si>
  <si>
    <t>HD-000976</t>
  </si>
  <si>
    <t>HD-000977</t>
  </si>
  <si>
    <t>HD-000978</t>
  </si>
  <si>
    <t>HD-000979</t>
  </si>
  <si>
    <t>HD-000980</t>
  </si>
  <si>
    <t>HD-000981</t>
  </si>
  <si>
    <t>HD-000982</t>
  </si>
  <si>
    <t>HD-000983</t>
  </si>
  <si>
    <t>HD-000984</t>
  </si>
  <si>
    <t>HD-000985</t>
  </si>
  <si>
    <t>HD-000986</t>
  </si>
  <si>
    <t>HD-000987</t>
  </si>
  <si>
    <t>HD-000988</t>
  </si>
  <si>
    <t>HD-000989</t>
  </si>
  <si>
    <t>HD-000990</t>
  </si>
  <si>
    <t>HD-000991</t>
  </si>
  <si>
    <t>HD-000992</t>
  </si>
  <si>
    <t>HD-000993</t>
  </si>
  <si>
    <t>HD-000994</t>
  </si>
  <si>
    <t>HD-000995</t>
  </si>
  <si>
    <t>HD-000996</t>
  </si>
  <si>
    <t>HD-000997</t>
  </si>
  <si>
    <t>HD-000998</t>
  </si>
  <si>
    <t>HD-000999</t>
  </si>
  <si>
    <t>HD-001000</t>
  </si>
  <si>
    <t>HD-001001</t>
  </si>
  <si>
    <t>HD-001002</t>
  </si>
  <si>
    <t>HD-001003</t>
  </si>
  <si>
    <t>HD-001004</t>
  </si>
  <si>
    <t>HD-001005</t>
  </si>
  <si>
    <t>HD-001006</t>
  </si>
  <si>
    <t>HD-001007</t>
  </si>
  <si>
    <t>HD-001008</t>
  </si>
  <si>
    <t>HD-001009</t>
  </si>
  <si>
    <t>HD-001010</t>
  </si>
  <si>
    <t>HD-001011</t>
  </si>
  <si>
    <t>HD-001012</t>
  </si>
  <si>
    <t>HD-001013</t>
  </si>
  <si>
    <t>HD-001014</t>
  </si>
  <si>
    <t>HD-001015</t>
  </si>
  <si>
    <t>HD-001016</t>
  </si>
  <si>
    <t>HD-001017</t>
  </si>
  <si>
    <t>HD-001018</t>
  </si>
  <si>
    <t>HD-001019</t>
  </si>
  <si>
    <t>HD-001020</t>
  </si>
  <si>
    <t>HD-001021</t>
  </si>
  <si>
    <t>HD-001022</t>
  </si>
  <si>
    <t>HD-001023</t>
  </si>
  <si>
    <t>HD-001024</t>
  </si>
  <si>
    <t>HD-001025</t>
  </si>
  <si>
    <t>HD-001026</t>
  </si>
  <si>
    <t>HD-001027</t>
  </si>
  <si>
    <t>HD-001028</t>
  </si>
  <si>
    <t>HD-001029</t>
  </si>
  <si>
    <t>HD-001030</t>
  </si>
  <si>
    <t>HD-001031</t>
  </si>
  <si>
    <t>HD-001032</t>
  </si>
  <si>
    <t>HD-001033</t>
  </si>
  <si>
    <t>HD-001034</t>
  </si>
  <si>
    <t>HD-001035</t>
  </si>
  <si>
    <t>HD-001036</t>
  </si>
  <si>
    <t>HD-001037</t>
  </si>
  <si>
    <t>HD-001038</t>
  </si>
  <si>
    <t>HD-001039</t>
  </si>
  <si>
    <t>HD-001040</t>
  </si>
  <si>
    <t>HD-001041</t>
  </si>
  <si>
    <t>HD-001042</t>
  </si>
  <si>
    <t>HD-001043</t>
  </si>
  <si>
    <t>HD-001044</t>
  </si>
  <si>
    <t>HD-001045</t>
  </si>
  <si>
    <t>HD-001046</t>
  </si>
  <si>
    <t>HD-001047</t>
  </si>
  <si>
    <t>HD-001048</t>
  </si>
  <si>
    <t>HD-001049</t>
  </si>
  <si>
    <t>HD-001050</t>
  </si>
  <si>
    <t>HD-001051</t>
  </si>
  <si>
    <t>HD-001052</t>
  </si>
  <si>
    <t>HD-001053</t>
  </si>
  <si>
    <t>HD-001054</t>
  </si>
  <si>
    <t>HD-001055</t>
  </si>
  <si>
    <t>HD-001056</t>
  </si>
  <si>
    <t>HD-001057</t>
  </si>
  <si>
    <t>HD-001058</t>
  </si>
  <si>
    <t>HD-001059</t>
  </si>
  <si>
    <t>HD-001060</t>
  </si>
  <si>
    <t>HD-001061</t>
  </si>
  <si>
    <t>HD-001062</t>
  </si>
  <si>
    <t>HD-001063</t>
  </si>
  <si>
    <t>HD-001064</t>
  </si>
  <si>
    <t>HD-001065</t>
  </si>
  <si>
    <t>HD-001066</t>
  </si>
  <si>
    <t>HD-001067</t>
  </si>
  <si>
    <t>HD-001068</t>
  </si>
  <si>
    <t>HD-001069</t>
  </si>
  <si>
    <t>HD-001070</t>
  </si>
  <si>
    <t>HD-001071</t>
  </si>
  <si>
    <t>HD-001072</t>
  </si>
  <si>
    <t>HD-001073</t>
  </si>
  <si>
    <t>HD-001074</t>
  </si>
  <si>
    <t>HD-001075</t>
  </si>
  <si>
    <t>HD-001076</t>
  </si>
  <si>
    <t>HD-001077</t>
  </si>
  <si>
    <t>HD-001078</t>
  </si>
  <si>
    <t>HD-001079</t>
  </si>
  <si>
    <t>HD-001080</t>
  </si>
  <si>
    <t>HD-001081</t>
  </si>
  <si>
    <t>HD-001082</t>
  </si>
  <si>
    <t>HD-001083</t>
  </si>
  <si>
    <t>HD-001084</t>
  </si>
  <si>
    <t>HD-001085</t>
  </si>
  <si>
    <t>HD-001086</t>
  </si>
  <si>
    <t>HD-001087</t>
  </si>
  <si>
    <t>HD-001088</t>
  </si>
  <si>
    <t>HD-001089</t>
  </si>
  <si>
    <t>HD-001090</t>
  </si>
  <si>
    <t>HD-001091</t>
  </si>
  <si>
    <t>HD-001092</t>
  </si>
  <si>
    <t>HD-001093</t>
  </si>
  <si>
    <t>HD-001094</t>
  </si>
  <si>
    <t>HD-001095</t>
  </si>
  <si>
    <t>HD-001096</t>
  </si>
  <si>
    <t>HD-001097</t>
  </si>
  <si>
    <t>HD-001098</t>
  </si>
  <si>
    <t>HD-001099</t>
  </si>
  <si>
    <t>HD-001100</t>
  </si>
  <si>
    <t>HD-001101</t>
  </si>
  <si>
    <t>HD-001102</t>
  </si>
  <si>
    <t>HD-001103</t>
  </si>
  <si>
    <t>HD-001104</t>
  </si>
  <si>
    <t>HD-001105</t>
  </si>
  <si>
    <t>HD-001106</t>
  </si>
  <si>
    <t>HD-001107</t>
  </si>
  <si>
    <t>HD-001108</t>
  </si>
  <si>
    <t>HD-001109</t>
  </si>
  <si>
    <t>HD-001110</t>
  </si>
  <si>
    <t>HD-001111</t>
  </si>
  <si>
    <t>HD-001112</t>
  </si>
  <si>
    <t>HD-001113</t>
  </si>
  <si>
    <t>HD-001114</t>
  </si>
  <si>
    <t>HD-001115</t>
  </si>
  <si>
    <t>HD-001116</t>
  </si>
  <si>
    <t>HD-001117</t>
  </si>
  <si>
    <t>HD-001118</t>
  </si>
  <si>
    <t>HD-001119</t>
  </si>
  <si>
    <t>HD-001120</t>
  </si>
  <si>
    <t>HD-001121</t>
  </si>
  <si>
    <t>HD-001122</t>
  </si>
  <si>
    <t>HD-001123</t>
  </si>
  <si>
    <t>HD-001124</t>
  </si>
  <si>
    <t>HD-001125</t>
  </si>
  <si>
    <t>HD-001126</t>
  </si>
  <si>
    <t>HD-001127</t>
  </si>
  <si>
    <t>HD-001128</t>
  </si>
  <si>
    <t>HD-001129</t>
  </si>
  <si>
    <t>HD-001130</t>
  </si>
  <si>
    <t>HD-001131</t>
  </si>
  <si>
    <t>HD-001132</t>
  </si>
  <si>
    <t>HD-001133</t>
  </si>
  <si>
    <t>HD-001134</t>
  </si>
  <si>
    <t>HD-001135</t>
  </si>
  <si>
    <t>HD-001136</t>
  </si>
  <si>
    <t>HD-001137</t>
  </si>
  <si>
    <t>HD-001138</t>
  </si>
  <si>
    <t>HD-001139</t>
  </si>
  <si>
    <t>HD-001140</t>
  </si>
  <si>
    <t>HD-001141</t>
  </si>
  <si>
    <t>HD-001142</t>
  </si>
  <si>
    <t>HD-001143</t>
  </si>
  <si>
    <t>HD-001144</t>
  </si>
  <si>
    <t>HD-001145</t>
  </si>
  <si>
    <t>HD-001146</t>
  </si>
  <si>
    <t>HD-001147</t>
  </si>
  <si>
    <t>HD-001148</t>
  </si>
  <si>
    <t>HD-001149</t>
  </si>
  <si>
    <t>HD-001150</t>
  </si>
  <si>
    <t>HD-001151</t>
  </si>
  <si>
    <t>HD-001152</t>
  </si>
  <si>
    <t>HD-001153</t>
  </si>
  <si>
    <t>HD-001154</t>
  </si>
  <si>
    <t>HD-001155</t>
  </si>
  <si>
    <t>HD-001156</t>
  </si>
  <si>
    <t>HD-001157</t>
  </si>
  <si>
    <t>HD-001158</t>
  </si>
  <si>
    <t>HD-001159</t>
  </si>
  <si>
    <t>HD-001160</t>
  </si>
  <si>
    <t>HD-001161</t>
  </si>
  <si>
    <t>HD-001162</t>
  </si>
  <si>
    <t>HD-001163</t>
  </si>
  <si>
    <t>HD-001164</t>
  </si>
  <si>
    <t>HD-001165</t>
  </si>
  <si>
    <t>HD-001166</t>
  </si>
  <si>
    <t>HD-001167</t>
  </si>
  <si>
    <t>HD-001168</t>
  </si>
  <si>
    <t>HD-001169</t>
  </si>
  <si>
    <t>HD-001170</t>
  </si>
  <si>
    <t>HD-001171</t>
  </si>
  <si>
    <t>HD-001172</t>
  </si>
  <si>
    <t>HD-001173</t>
  </si>
  <si>
    <t>HD-001174</t>
  </si>
  <si>
    <t>HD-001175</t>
  </si>
  <si>
    <t>HD-001176</t>
  </si>
  <si>
    <t>HD-001177</t>
  </si>
  <si>
    <t>HD-001178</t>
  </si>
  <si>
    <t>HD-001179</t>
  </si>
  <si>
    <t>HD-001180</t>
  </si>
  <si>
    <t>HD-001181</t>
  </si>
  <si>
    <t>HD-001182</t>
  </si>
  <si>
    <t>HD-001183</t>
  </si>
  <si>
    <t>HD-001184</t>
  </si>
  <si>
    <t>HD-001185</t>
  </si>
  <si>
    <t>HD-001186</t>
  </si>
  <si>
    <t>HD-001187</t>
  </si>
  <si>
    <t>HD-001188</t>
  </si>
  <si>
    <t>HD-001189</t>
  </si>
  <si>
    <t>HD-001190</t>
  </si>
  <si>
    <t>HD-001191</t>
  </si>
  <si>
    <t>HD-001192</t>
  </si>
  <si>
    <t>HD-001193</t>
  </si>
  <si>
    <t>HD-001194</t>
  </si>
  <si>
    <t>HD-001195</t>
  </si>
  <si>
    <t>HD-001196</t>
  </si>
  <si>
    <t>HD-001197</t>
  </si>
  <si>
    <t>HD-001198</t>
  </si>
  <si>
    <t>HD-001199</t>
  </si>
  <si>
    <t>HD-001200</t>
  </si>
  <si>
    <t>HD-001201</t>
  </si>
  <si>
    <t>HD-001202</t>
  </si>
  <si>
    <t>HD-001203</t>
  </si>
  <si>
    <t>HD-001204</t>
  </si>
  <si>
    <t>HD-001205</t>
  </si>
  <si>
    <t>HD-001206</t>
  </si>
  <si>
    <t>HD-001207</t>
  </si>
  <si>
    <t>HD-001208</t>
  </si>
  <si>
    <t>HD-001209</t>
  </si>
  <si>
    <t>HD-001210</t>
  </si>
  <si>
    <t>HD-001211</t>
  </si>
  <si>
    <t>HD-001212</t>
  </si>
  <si>
    <t>HD-001213</t>
  </si>
  <si>
    <t>HD-001214</t>
  </si>
  <si>
    <t>HD-001215</t>
  </si>
  <si>
    <t>HD-001216</t>
  </si>
  <si>
    <t>HD-001217</t>
  </si>
  <si>
    <t>HD-001218</t>
  </si>
  <si>
    <t>HD-001219</t>
  </si>
  <si>
    <t>HD-001220</t>
  </si>
  <si>
    <t>HD-001221</t>
  </si>
  <si>
    <t>HD-001222</t>
  </si>
  <si>
    <t>HD-001223</t>
  </si>
  <si>
    <t>HD-001224</t>
  </si>
  <si>
    <t>HD-001225</t>
  </si>
  <si>
    <t>HD-001226</t>
  </si>
  <si>
    <t>HD-001227</t>
  </si>
  <si>
    <t>HD-001228</t>
  </si>
  <si>
    <t>HD-001229</t>
  </si>
  <si>
    <t>HD-001230</t>
  </si>
  <si>
    <t>HD-001231</t>
  </si>
  <si>
    <t>HD-001232</t>
  </si>
  <si>
    <t>HD-001233</t>
  </si>
  <si>
    <t>HD-001234</t>
  </si>
  <si>
    <t>HD-001235</t>
  </si>
  <si>
    <t>HD-001236</t>
  </si>
  <si>
    <t>HD-001237</t>
  </si>
  <si>
    <t>HD-001238</t>
  </si>
  <si>
    <t>HD-001239</t>
  </si>
  <si>
    <t>HD-001240</t>
  </si>
  <si>
    <t>HD-001241</t>
  </si>
  <si>
    <t>HD-001242</t>
  </si>
  <si>
    <t>HD-001243</t>
  </si>
  <si>
    <t>HD-001244</t>
  </si>
  <si>
    <t>HD-001245</t>
  </si>
  <si>
    <t>HD-001246</t>
  </si>
  <si>
    <t>HD-001247</t>
  </si>
  <si>
    <t>HD-001248</t>
  </si>
  <si>
    <t>HD-001249</t>
  </si>
  <si>
    <t>HD-001250</t>
  </si>
  <si>
    <t>HD-001251</t>
  </si>
  <si>
    <t>HD-001252</t>
  </si>
  <si>
    <t>HD-001253</t>
  </si>
  <si>
    <t>HD-001254</t>
  </si>
  <si>
    <t>HD-001255</t>
  </si>
  <si>
    <t>HD-001256</t>
  </si>
  <si>
    <t>HD-001257</t>
  </si>
  <si>
    <t>HD-001258</t>
  </si>
  <si>
    <t>HD-001259</t>
  </si>
  <si>
    <t>HD-001260</t>
  </si>
  <si>
    <t>HD-001261</t>
  </si>
  <si>
    <t>HD-001262</t>
  </si>
  <si>
    <t>HD-001263</t>
  </si>
  <si>
    <t>HD-001264</t>
  </si>
  <si>
    <t>HD-001265</t>
  </si>
  <si>
    <t>HD-001266</t>
  </si>
  <si>
    <t>HD-001267</t>
  </si>
  <si>
    <t>HD-001268</t>
  </si>
  <si>
    <t>HD-001269</t>
  </si>
  <si>
    <t>HD-001270</t>
  </si>
  <si>
    <t>HD-001271</t>
  </si>
  <si>
    <t>HD-001272</t>
  </si>
  <si>
    <t>HD-001273</t>
  </si>
  <si>
    <t>HD-001274</t>
  </si>
  <si>
    <t>HD-001275</t>
  </si>
  <si>
    <t>HD-001276</t>
  </si>
  <si>
    <t>HD-001277</t>
  </si>
  <si>
    <t>HD-001278</t>
  </si>
  <si>
    <t>HD-001279</t>
  </si>
  <si>
    <t>HD-001280</t>
  </si>
  <si>
    <t>HD-001281</t>
  </si>
  <si>
    <t>HD-001282</t>
  </si>
  <si>
    <t>HD-001283</t>
  </si>
  <si>
    <t>HD-001284</t>
  </si>
  <si>
    <t>HD-001285</t>
  </si>
  <si>
    <t>HD-001286</t>
  </si>
  <si>
    <t>HD-001287</t>
  </si>
  <si>
    <t>HD-001288</t>
  </si>
  <si>
    <t>HD-001289</t>
  </si>
  <si>
    <t>HD-001290</t>
  </si>
  <si>
    <t>HD-001291</t>
  </si>
  <si>
    <t>HD-001292</t>
  </si>
  <si>
    <t>HD-001293</t>
  </si>
  <si>
    <t>HD-001294</t>
  </si>
  <si>
    <t>HD-001295</t>
  </si>
  <si>
    <t>HD-001296</t>
  </si>
  <si>
    <t>HD-001297</t>
  </si>
  <si>
    <t>HD-001298</t>
  </si>
  <si>
    <t>HD-001299</t>
  </si>
  <si>
    <t>HD-001300</t>
  </si>
  <si>
    <t>HD-001301</t>
  </si>
  <si>
    <t>HD-001302</t>
  </si>
  <si>
    <t>HD-001303</t>
  </si>
  <si>
    <t>HD-001304</t>
  </si>
  <si>
    <t>HD-001305</t>
  </si>
  <si>
    <t>HD-001306</t>
  </si>
  <si>
    <t>HD-001307</t>
  </si>
  <si>
    <t>HD-001308</t>
  </si>
  <si>
    <t>HD-001309</t>
  </si>
  <si>
    <t>HD-001310</t>
  </si>
  <si>
    <t>HD-001311</t>
  </si>
  <si>
    <t>HD-001312</t>
  </si>
  <si>
    <t>HD-001313</t>
  </si>
  <si>
    <t>HD-001314</t>
  </si>
  <si>
    <t>HD-001315</t>
  </si>
  <si>
    <t>HD-001316</t>
  </si>
  <si>
    <t>HD-001317</t>
  </si>
  <si>
    <t>HD-001318</t>
  </si>
  <si>
    <t>HD-001319</t>
  </si>
  <si>
    <t>HD-001320</t>
  </si>
  <si>
    <t>HD-001321</t>
  </si>
  <si>
    <t>HD-001322</t>
  </si>
  <si>
    <t>HD-001323</t>
  </si>
  <si>
    <t>HD-001324</t>
  </si>
  <si>
    <t>HD-001325</t>
  </si>
  <si>
    <t>HD-001326</t>
  </si>
  <si>
    <t>HD-001327</t>
  </si>
  <si>
    <t>HD-001328</t>
  </si>
  <si>
    <t>HD-001329</t>
  </si>
  <si>
    <t>HD-001330</t>
  </si>
  <si>
    <t>HD-001331</t>
  </si>
  <si>
    <t>HD-001332</t>
  </si>
  <si>
    <t>HD-001333</t>
  </si>
  <si>
    <t>HD-001334</t>
  </si>
  <si>
    <t>HD-001335</t>
  </si>
  <si>
    <t>HD-001336</t>
  </si>
  <si>
    <t>HD-001337</t>
  </si>
  <si>
    <t>HD-001338</t>
  </si>
  <si>
    <t>HD-001339</t>
  </si>
  <si>
    <t>HD-001340</t>
  </si>
  <si>
    <t>HD-001341</t>
  </si>
  <si>
    <t>HD-001342</t>
  </si>
  <si>
    <t>HD-001343</t>
  </si>
  <si>
    <t>HD-001344</t>
  </si>
  <si>
    <t>HD-001345</t>
  </si>
  <si>
    <t>HD-001346</t>
  </si>
  <si>
    <t>HD-001347</t>
  </si>
  <si>
    <t>HD-001348</t>
  </si>
  <si>
    <t>HD-001349</t>
  </si>
  <si>
    <t>HD-001350</t>
  </si>
  <si>
    <t>HD-001351</t>
  </si>
  <si>
    <t>HD-001352</t>
  </si>
  <si>
    <t>HD-001353</t>
  </si>
  <si>
    <t>HD-001354</t>
  </si>
  <si>
    <t>HD-001355</t>
  </si>
  <si>
    <t>HD-001356</t>
  </si>
  <si>
    <t>HD-001357</t>
  </si>
  <si>
    <t>HD-001358</t>
  </si>
  <si>
    <t>HD-001359</t>
  </si>
  <si>
    <t>HD-001360</t>
  </si>
  <si>
    <t>HD-001361</t>
  </si>
  <si>
    <t>HD-001362</t>
  </si>
  <si>
    <t>HD-001363</t>
  </si>
  <si>
    <t>HD-001364</t>
  </si>
  <si>
    <t>HD-001365</t>
  </si>
  <si>
    <t>HD-001366</t>
  </si>
  <si>
    <t>HD-001367</t>
  </si>
  <si>
    <t>HD-001368</t>
  </si>
  <si>
    <t>HD-001369</t>
  </si>
  <si>
    <t>HD-001370</t>
  </si>
  <si>
    <t>HD-001371</t>
  </si>
  <si>
    <t>HD-001372</t>
  </si>
  <si>
    <t>HD-001373</t>
  </si>
  <si>
    <t>HD-001374</t>
  </si>
  <si>
    <t>HD-001375</t>
  </si>
  <si>
    <t>HD-001376</t>
  </si>
  <si>
    <t>HD-001377</t>
  </si>
  <si>
    <t>HD-001378</t>
  </si>
  <si>
    <t>HD-001379</t>
  </si>
  <si>
    <t>HD-001380</t>
  </si>
  <si>
    <t>HD-001381</t>
  </si>
  <si>
    <t>HD-001382</t>
  </si>
  <si>
    <t>HD-001383</t>
  </si>
  <si>
    <t>HD-001384</t>
  </si>
  <si>
    <t>HD-001385</t>
  </si>
  <si>
    <t>HD-001386</t>
  </si>
  <si>
    <t>HD-001387</t>
  </si>
  <si>
    <t>HD-001388</t>
  </si>
  <si>
    <t>HD-001389</t>
  </si>
  <si>
    <t>HD-001390</t>
  </si>
  <si>
    <t>HD-001391</t>
  </si>
  <si>
    <t>HD-001392</t>
  </si>
  <si>
    <t>HD-001393</t>
  </si>
  <si>
    <t>HD-001394</t>
  </si>
  <si>
    <t>HD-001395</t>
  </si>
  <si>
    <t>HD-001396</t>
  </si>
  <si>
    <t>HD-001397</t>
  </si>
  <si>
    <t>HD-001398</t>
  </si>
  <si>
    <t>HD-001399</t>
  </si>
  <si>
    <t>HD-001400</t>
  </si>
  <si>
    <t>HD-001401</t>
  </si>
  <si>
    <t>HD-001402</t>
  </si>
  <si>
    <t>HD-001403</t>
  </si>
  <si>
    <t>HD-001404</t>
  </si>
  <si>
    <t>HD-001405</t>
  </si>
  <si>
    <t>HD-001406</t>
  </si>
  <si>
    <t>HD-001407</t>
  </si>
  <si>
    <t>HD-001408</t>
  </si>
  <si>
    <t>HD-001409</t>
  </si>
  <si>
    <t>HD-001410</t>
  </si>
  <si>
    <t>HD-001411</t>
  </si>
  <si>
    <t>HD-001412</t>
  </si>
  <si>
    <t>HD-001413</t>
  </si>
  <si>
    <t>HD-001414</t>
  </si>
  <si>
    <t>HD-001415</t>
  </si>
  <si>
    <t>HD-001416</t>
  </si>
  <si>
    <t>HD-001417</t>
  </si>
  <si>
    <t>HD-001418</t>
  </si>
  <si>
    <t>HD-001419</t>
  </si>
  <si>
    <t>HD-001420</t>
  </si>
  <si>
    <t>HD-001421</t>
  </si>
  <si>
    <t>HD-001422</t>
  </si>
  <si>
    <t>HD-001423</t>
  </si>
  <si>
    <t>HD-001424</t>
  </si>
  <si>
    <t>HD-001425</t>
  </si>
  <si>
    <t>HD-001426</t>
  </si>
  <si>
    <t>HD-001427</t>
  </si>
  <si>
    <t>HD-001428</t>
  </si>
  <si>
    <t>HD-001429</t>
  </si>
  <si>
    <t>HD-001430</t>
  </si>
  <si>
    <t>HD-001431</t>
  </si>
  <si>
    <t>HD-001432</t>
  </si>
  <si>
    <t>HD-001433</t>
  </si>
  <si>
    <t>HD-001434</t>
  </si>
  <si>
    <t>HD-001435</t>
  </si>
  <si>
    <t>HD-001436</t>
  </si>
  <si>
    <t>HD-001437</t>
  </si>
  <si>
    <t>HD-001438</t>
  </si>
  <si>
    <t>HD-001439</t>
  </si>
  <si>
    <t>HD-001440</t>
  </si>
  <si>
    <t>HD-001441</t>
  </si>
  <si>
    <t>HD-001442</t>
  </si>
  <si>
    <t>HD-001443</t>
  </si>
  <si>
    <t>HD-001444</t>
  </si>
  <si>
    <t>HD-001445</t>
  </si>
  <si>
    <t>HD-001446</t>
  </si>
  <si>
    <t>HD-001447</t>
  </si>
  <si>
    <t>HD-001448</t>
  </si>
  <si>
    <t>HD-001449</t>
  </si>
  <si>
    <t>HD-001450</t>
  </si>
  <si>
    <t>HD-001451</t>
  </si>
  <si>
    <t>HD-001452</t>
  </si>
  <si>
    <t>HD-001453</t>
  </si>
  <si>
    <t>HD-001454</t>
  </si>
  <si>
    <t>HD-001455</t>
  </si>
  <si>
    <t>HD-001456</t>
  </si>
  <si>
    <t>HD-001457</t>
  </si>
  <si>
    <t>HD-001458</t>
  </si>
  <si>
    <t>HD-001459</t>
  </si>
  <si>
    <t>HD-001460</t>
  </si>
  <si>
    <t>HD-001461</t>
  </si>
  <si>
    <t>HD-001462</t>
  </si>
  <si>
    <t>HD-001463</t>
  </si>
  <si>
    <t>HD-001464</t>
  </si>
  <si>
    <t>HD-001465</t>
  </si>
  <si>
    <t>HD-001466</t>
  </si>
  <si>
    <t>HD-001467</t>
  </si>
  <si>
    <t>HD-001468</t>
  </si>
  <si>
    <t>HD-001469</t>
  </si>
  <si>
    <t>HD-001470</t>
  </si>
  <si>
    <t>HD-001471</t>
  </si>
  <si>
    <t>HD-001472</t>
  </si>
  <si>
    <t>HD-001473</t>
  </si>
  <si>
    <t>HD-001474</t>
  </si>
  <si>
    <t>HD-001475</t>
  </si>
  <si>
    <t>HD-001476</t>
  </si>
  <si>
    <t>HD-001477</t>
  </si>
  <si>
    <t>HD-001478</t>
  </si>
  <si>
    <t>HD-001479</t>
  </si>
  <si>
    <t>HD-001480</t>
  </si>
  <si>
    <t>HD-001481</t>
  </si>
  <si>
    <t>HD-001482</t>
  </si>
  <si>
    <t>HD-001483</t>
  </si>
  <si>
    <t>HD-001484</t>
  </si>
  <si>
    <t>HD-001485</t>
  </si>
  <si>
    <t>HD-001486</t>
  </si>
  <si>
    <t>HD-001487</t>
  </si>
  <si>
    <t>HD-001488</t>
  </si>
  <si>
    <t>HD-001489</t>
  </si>
  <si>
    <t>HD-001490</t>
  </si>
  <si>
    <t>HD-001491</t>
  </si>
  <si>
    <t>HD-001492</t>
  </si>
  <si>
    <t>HD-001493</t>
  </si>
  <si>
    <t>HD-001494</t>
  </si>
  <si>
    <t>HD-001495</t>
  </si>
  <si>
    <t>HD-001496</t>
  </si>
  <si>
    <t>HD-001497</t>
  </si>
  <si>
    <t>HD-001498</t>
  </si>
  <si>
    <t>HD-001499</t>
  </si>
  <si>
    <t>HD-001500</t>
  </si>
  <si>
    <t>HD-001501</t>
  </si>
  <si>
    <t>HD-001502</t>
  </si>
  <si>
    <t>HD-001503</t>
  </si>
  <si>
    <t>HD-001504</t>
  </si>
  <si>
    <t>HD-001505</t>
  </si>
  <si>
    <t>HD-001506</t>
  </si>
  <si>
    <t>HD-001507</t>
  </si>
  <si>
    <t>HD-001508</t>
  </si>
  <si>
    <t>HD-001509</t>
  </si>
  <si>
    <t>HD-001510</t>
  </si>
  <si>
    <t>HD-001511</t>
  </si>
  <si>
    <t>HD-001512</t>
  </si>
  <si>
    <t>HD-001513</t>
  </si>
  <si>
    <t>HD-001514</t>
  </si>
  <si>
    <t>HD-001515</t>
  </si>
  <si>
    <t>HD-001516</t>
  </si>
  <si>
    <t>HD-001517</t>
  </si>
  <si>
    <t>HD-001518</t>
  </si>
  <si>
    <t>HD-001519</t>
  </si>
  <si>
    <t>HD-001520</t>
  </si>
  <si>
    <t>HD-001521</t>
  </si>
  <si>
    <t>HD-001522</t>
  </si>
  <si>
    <t>HD-001523</t>
  </si>
  <si>
    <t>HD-001524</t>
  </si>
  <si>
    <t>HD-001525</t>
  </si>
  <si>
    <t>HD-001526</t>
  </si>
  <si>
    <t>HD-001527</t>
  </si>
  <si>
    <t>HD-001528</t>
  </si>
  <si>
    <t>HD-001529</t>
  </si>
  <si>
    <t>HD-001530</t>
  </si>
  <si>
    <t>HD-001531</t>
  </si>
  <si>
    <t>HD-001532</t>
  </si>
  <si>
    <t>HD-001533</t>
  </si>
  <si>
    <t>HD-001534</t>
  </si>
  <si>
    <t>HD-001535</t>
  </si>
  <si>
    <t>HD-001536</t>
  </si>
  <si>
    <t>HD-001537</t>
  </si>
  <si>
    <t>HD-001538</t>
  </si>
  <si>
    <t>HD-001539</t>
  </si>
  <si>
    <t>HD-001540</t>
  </si>
  <si>
    <t>HD-001541</t>
  </si>
  <si>
    <t>HD-001542</t>
  </si>
  <si>
    <t>HD-001543</t>
  </si>
  <si>
    <t>HD-001544</t>
  </si>
  <si>
    <t>HD-001545</t>
  </si>
  <si>
    <t>HD-001546</t>
  </si>
  <si>
    <t>HD-001547</t>
  </si>
  <si>
    <t>HD-001548</t>
  </si>
  <si>
    <t>HD-001549</t>
  </si>
  <si>
    <t>HD-001550</t>
  </si>
  <si>
    <t>HD-001551</t>
  </si>
  <si>
    <t>HD-001552</t>
  </si>
  <si>
    <t>HD-001553</t>
  </si>
  <si>
    <t>HD-001554</t>
  </si>
  <si>
    <t>HD-001555</t>
  </si>
  <si>
    <t>HD-001556</t>
  </si>
  <si>
    <t>HD-001557</t>
  </si>
  <si>
    <t>HD-001558</t>
  </si>
  <si>
    <t>HD-001559</t>
  </si>
  <si>
    <t>HD-001560</t>
  </si>
  <si>
    <t>HD-001561</t>
  </si>
  <si>
    <t>HD-001562</t>
  </si>
  <si>
    <t>HD-001563</t>
  </si>
  <si>
    <t>HD-001564</t>
  </si>
  <si>
    <t>HD-001565</t>
  </si>
  <si>
    <t>HD-001566</t>
  </si>
  <si>
    <t>HD-001567</t>
  </si>
  <si>
    <t>HD-001568</t>
  </si>
  <si>
    <t>HD-001569</t>
  </si>
  <si>
    <t>HD-001570</t>
  </si>
  <si>
    <t>HD-001571</t>
  </si>
  <si>
    <t>HD-001572</t>
  </si>
  <si>
    <t>HD-001573</t>
  </si>
  <si>
    <t>HD-001574</t>
  </si>
  <si>
    <t>HD-001575</t>
  </si>
  <si>
    <t>HD-001576</t>
  </si>
  <si>
    <t>HD-001577</t>
  </si>
  <si>
    <t>HD-001578</t>
  </si>
  <si>
    <t>HD-001579</t>
  </si>
  <si>
    <t>HD-001580</t>
  </si>
  <si>
    <t>HD-001581</t>
  </si>
  <si>
    <t>HD-001582</t>
  </si>
  <si>
    <t>HD-001583</t>
  </si>
  <si>
    <t>HD-001584</t>
  </si>
  <si>
    <t>HD-001585</t>
  </si>
  <si>
    <t>HD-001586</t>
  </si>
  <si>
    <t>HD-001587</t>
  </si>
  <si>
    <t>HD-001588</t>
  </si>
  <si>
    <t>HD-001589</t>
  </si>
  <si>
    <t>HD-001590</t>
  </si>
  <si>
    <t>HD-001591</t>
  </si>
  <si>
    <t>HD-001592</t>
  </si>
  <si>
    <t>HD-001593</t>
  </si>
  <si>
    <t>HD-001594</t>
  </si>
  <si>
    <t>HD-001595</t>
  </si>
  <si>
    <t>HD-001596</t>
  </si>
  <si>
    <t>HD-001597</t>
  </si>
  <si>
    <t>HD-001598</t>
  </si>
  <si>
    <t>HD-001599</t>
  </si>
  <si>
    <t>HD-001600</t>
  </si>
  <si>
    <t>HD-001601</t>
  </si>
  <si>
    <t>HD-001602</t>
  </si>
  <si>
    <t>HD-001603</t>
  </si>
  <si>
    <t>HD-001604</t>
  </si>
  <si>
    <t>HD-001605</t>
  </si>
  <si>
    <t>HD-001606</t>
  </si>
  <si>
    <t>HD-001607</t>
  </si>
  <si>
    <t>HD-001608</t>
  </si>
  <si>
    <t>HD-001609</t>
  </si>
  <si>
    <t>HD-001610</t>
  </si>
  <si>
    <t>HD-001611</t>
  </si>
  <si>
    <t>HD-001612</t>
  </si>
  <si>
    <t>HD-001613</t>
  </si>
  <si>
    <t>HD-001614</t>
  </si>
  <si>
    <t>HD-001615</t>
  </si>
  <si>
    <t>HD-001616</t>
  </si>
  <si>
    <t>HD-001617</t>
  </si>
  <si>
    <t>HD-001618</t>
  </si>
  <si>
    <t>HD-001619</t>
  </si>
  <si>
    <t>HD-001620</t>
  </si>
  <si>
    <t>HD-001621</t>
  </si>
  <si>
    <t>HD-001622</t>
  </si>
  <si>
    <t>HD-001623</t>
  </si>
  <si>
    <t>HD-001624</t>
  </si>
  <si>
    <t>HD-001625</t>
  </si>
  <si>
    <t>HD-001626</t>
  </si>
  <si>
    <t>HD-001627</t>
  </si>
  <si>
    <t>HD-001628</t>
  </si>
  <si>
    <t>HD-001629</t>
  </si>
  <si>
    <t>HD-001630</t>
  </si>
  <si>
    <t>HD-001631</t>
  </si>
  <si>
    <t>HD-001632</t>
  </si>
  <si>
    <t>HD-001633</t>
  </si>
  <si>
    <t>HD-001634</t>
  </si>
  <si>
    <t>HD-001635</t>
  </si>
  <si>
    <t>HD-001636</t>
  </si>
  <si>
    <t>HD-001637</t>
  </si>
  <si>
    <t>HD-001638</t>
  </si>
  <si>
    <t>HD-001639</t>
  </si>
  <si>
    <t>HD-001640</t>
  </si>
  <si>
    <t>HD-001641</t>
  </si>
  <si>
    <t>HD-001642</t>
  </si>
  <si>
    <t>HD-001643</t>
  </si>
  <si>
    <t>HD-001644</t>
  </si>
  <si>
    <t>HD-001645</t>
  </si>
  <si>
    <t>HD-001646</t>
  </si>
  <si>
    <t>HD-001647</t>
  </si>
  <si>
    <t>HD-001648</t>
  </si>
  <si>
    <t>HD-001649</t>
  </si>
  <si>
    <t>HD-001650</t>
  </si>
  <si>
    <t>HD-001651</t>
  </si>
  <si>
    <t>HD-001652</t>
  </si>
  <si>
    <t>HD-001653</t>
  </si>
  <si>
    <t>HD-001654</t>
  </si>
  <si>
    <t>HD-001655</t>
  </si>
  <si>
    <t>HD-001656</t>
  </si>
  <si>
    <t>HD-001657</t>
  </si>
  <si>
    <t>HD-001658</t>
  </si>
  <si>
    <t>HD-001659</t>
  </si>
  <si>
    <t>HD-001660</t>
  </si>
  <si>
    <t>HD-001661</t>
  </si>
  <si>
    <t>HD-001662</t>
  </si>
  <si>
    <t>HD-001663</t>
  </si>
  <si>
    <t>HD-001664</t>
  </si>
  <si>
    <t>HD-001665</t>
  </si>
  <si>
    <t>HD-001666</t>
  </si>
  <si>
    <t>HD-001667</t>
  </si>
  <si>
    <t>HD-001668</t>
  </si>
  <si>
    <t>HD-001669</t>
  </si>
  <si>
    <t>HD-001670</t>
  </si>
  <si>
    <t>HD-001671</t>
  </si>
  <si>
    <t>HD-001672</t>
  </si>
  <si>
    <t>HD-001673</t>
  </si>
  <si>
    <t>HD-001674</t>
  </si>
  <si>
    <t>HD-001675</t>
  </si>
  <si>
    <t>HD-001676</t>
  </si>
  <si>
    <t>HD-001677</t>
  </si>
  <si>
    <t>HD-001678</t>
  </si>
  <si>
    <t>HD-001679</t>
  </si>
  <si>
    <t>HD-001680</t>
  </si>
  <si>
    <t>HD-001681</t>
  </si>
  <si>
    <t>HD-001682</t>
  </si>
  <si>
    <t>HD-001683</t>
  </si>
  <si>
    <t>HD-001684</t>
  </si>
  <si>
    <t>HD-001685</t>
  </si>
  <si>
    <t>HD-001686</t>
  </si>
  <si>
    <t>HD-001687</t>
  </si>
  <si>
    <t>HD-001688</t>
  </si>
  <si>
    <t>HD-001689</t>
  </si>
  <si>
    <t>HD-001690</t>
  </si>
  <si>
    <t>HD-001691</t>
  </si>
  <si>
    <t>HD-001692</t>
  </si>
  <si>
    <t>HD-001693</t>
  </si>
  <si>
    <t>HD-001694</t>
  </si>
  <si>
    <t>HD-001695</t>
  </si>
  <si>
    <t>HD-001696</t>
  </si>
  <si>
    <t>HD-001697</t>
  </si>
  <si>
    <t>HD-001698</t>
  </si>
  <si>
    <t>HD-001699</t>
  </si>
  <si>
    <t>HD-001700</t>
  </si>
  <si>
    <t>HD-001701</t>
  </si>
  <si>
    <t>HD-001702</t>
  </si>
  <si>
    <t>HD-001703</t>
  </si>
  <si>
    <t>HD-001704</t>
  </si>
  <si>
    <t>HD-001705</t>
  </si>
  <si>
    <t>HD-001706</t>
  </si>
  <si>
    <t>HD-001707</t>
  </si>
  <si>
    <t>HD-001708</t>
  </si>
  <si>
    <t>HD-001709</t>
  </si>
  <si>
    <t>HD-001710</t>
  </si>
  <si>
    <t>HD-001711</t>
  </si>
  <si>
    <t>HD-001712</t>
  </si>
  <si>
    <t>HD-001713</t>
  </si>
  <si>
    <t>HD-001714</t>
  </si>
  <si>
    <t>HD-001715</t>
  </si>
  <si>
    <t>HD-001716</t>
  </si>
  <si>
    <t>HD-001717</t>
  </si>
  <si>
    <t>HD-001718</t>
  </si>
  <si>
    <t>HD-001719</t>
  </si>
  <si>
    <t>HD-001720</t>
  </si>
  <si>
    <t>HD-001721</t>
  </si>
  <si>
    <t>HD-001722</t>
  </si>
  <si>
    <t>HD-001723</t>
  </si>
  <si>
    <t>HD-001724</t>
  </si>
  <si>
    <t>HD-001725</t>
  </si>
  <si>
    <t>HD-001726</t>
  </si>
  <si>
    <t>HD-001727</t>
  </si>
  <si>
    <t>HD-001728</t>
  </si>
  <si>
    <t>HD-001729</t>
  </si>
  <si>
    <t>HD-001730</t>
  </si>
  <si>
    <t>HD-001731</t>
  </si>
  <si>
    <t>HD-001732</t>
  </si>
  <si>
    <t>HD-001733</t>
  </si>
  <si>
    <t>HD-001734</t>
  </si>
  <si>
    <t>HD-001735</t>
  </si>
  <si>
    <t>HD-001736</t>
  </si>
  <si>
    <t>HD-001737</t>
  </si>
  <si>
    <t>HD-001738</t>
  </si>
  <si>
    <t>HD-001739</t>
  </si>
  <si>
    <t>HD-001740</t>
  </si>
  <si>
    <t>HD-001741</t>
  </si>
  <si>
    <t>HD-001742</t>
  </si>
  <si>
    <t>HD-001743</t>
  </si>
  <si>
    <t>HD-001744</t>
  </si>
  <si>
    <t>HD-001745</t>
  </si>
  <si>
    <t>HD-001746</t>
  </si>
  <si>
    <t>HD-001747</t>
  </si>
  <si>
    <t>HD-001748</t>
  </si>
  <si>
    <t>HD-001749</t>
  </si>
  <si>
    <t>HD-001750</t>
  </si>
  <si>
    <t>HD-001751</t>
  </si>
  <si>
    <t>HD-001752</t>
  </si>
  <si>
    <t>HD-001753</t>
  </si>
  <si>
    <t>HD-001754</t>
  </si>
  <si>
    <t>HD-001755</t>
  </si>
  <si>
    <t>HD-001756</t>
  </si>
  <si>
    <t>HD-001757</t>
  </si>
  <si>
    <t>HD-001758</t>
  </si>
  <si>
    <t>HD-001759</t>
  </si>
  <si>
    <t>HD-001760</t>
  </si>
  <si>
    <t>HD-001761</t>
  </si>
  <si>
    <t>HD-001762</t>
  </si>
  <si>
    <t>HD-001763</t>
  </si>
  <si>
    <t>HD-001764</t>
  </si>
  <si>
    <t>HD-001765</t>
  </si>
  <si>
    <t>HD-001766</t>
  </si>
  <si>
    <t>HD-001767</t>
  </si>
  <si>
    <t>HD-001768</t>
  </si>
  <si>
    <t>HD-001769</t>
  </si>
  <si>
    <t>HD-001770</t>
  </si>
  <si>
    <t>HD-001771</t>
  </si>
  <si>
    <t>HD-001772</t>
  </si>
  <si>
    <t>HD-001773</t>
  </si>
  <si>
    <t>HD-001774</t>
  </si>
  <si>
    <t>HD-001775</t>
  </si>
  <si>
    <t>HD-001776</t>
  </si>
  <si>
    <t>HD-001777</t>
  </si>
  <si>
    <t>HD-001778</t>
  </si>
  <si>
    <t>HD-001779</t>
  </si>
  <si>
    <t>HD-001780</t>
  </si>
  <si>
    <t>HD-001781</t>
  </si>
  <si>
    <t>HD-001782</t>
  </si>
  <si>
    <t>HD-001783</t>
  </si>
  <si>
    <t>HD-001784</t>
  </si>
  <si>
    <t>HD-001785</t>
  </si>
  <si>
    <t>HD-001786</t>
  </si>
  <si>
    <t>HD-001787</t>
  </si>
  <si>
    <t>HD-001788</t>
  </si>
  <si>
    <t>HD-001789</t>
  </si>
  <si>
    <t>HD-001790</t>
  </si>
  <si>
    <t>HD-001791</t>
  </si>
  <si>
    <t>HD-001792</t>
  </si>
  <si>
    <t>HD-001793</t>
  </si>
  <si>
    <t>HD-001794</t>
  </si>
  <si>
    <t>HD-001795</t>
  </si>
  <si>
    <t>HD-001796</t>
  </si>
  <si>
    <t>HD-001797</t>
  </si>
  <si>
    <t>HD-001798</t>
  </si>
  <si>
    <t>HD-001799</t>
  </si>
  <si>
    <t>HD-001800</t>
  </si>
  <si>
    <t>HD-001801</t>
  </si>
  <si>
    <t>HD-001802</t>
  </si>
  <si>
    <t>HD-001803</t>
  </si>
  <si>
    <t>HD-001804</t>
  </si>
  <si>
    <t>HD-001805</t>
  </si>
  <si>
    <t>HD-001806</t>
  </si>
  <si>
    <t>HD-001807</t>
  </si>
  <si>
    <t>HD-001808</t>
  </si>
  <si>
    <t>HD-001809</t>
  </si>
  <si>
    <t>HD-001810</t>
  </si>
  <si>
    <t>HD-001811</t>
  </si>
  <si>
    <t>HD-001812</t>
  </si>
  <si>
    <t>HD-001813</t>
  </si>
  <si>
    <t>HD-001814</t>
  </si>
  <si>
    <t>HD-001815</t>
  </si>
  <si>
    <t>HD-001816</t>
  </si>
  <si>
    <t>HD-001817</t>
  </si>
  <si>
    <t>HD-001818</t>
  </si>
  <si>
    <t>HD-001819</t>
  </si>
  <si>
    <t>HD-001820</t>
  </si>
  <si>
    <t>HD-001821</t>
  </si>
  <si>
    <t>HD-001822</t>
  </si>
  <si>
    <t>HD-001823</t>
  </si>
  <si>
    <t>HD-001824</t>
  </si>
  <si>
    <t>HD-001825</t>
  </si>
  <si>
    <t>HD-001826</t>
  </si>
  <si>
    <t>HD-001827</t>
  </si>
  <si>
    <t>HD-001828</t>
  </si>
  <si>
    <t>HD-001829</t>
  </si>
  <si>
    <t>HD-001830</t>
  </si>
  <si>
    <t>HD-001831</t>
  </si>
  <si>
    <t>HD-001832</t>
  </si>
  <si>
    <t>HD-001833</t>
  </si>
  <si>
    <t>HD-001834</t>
  </si>
  <si>
    <t>HD-001835</t>
  </si>
  <si>
    <t>HD-001836</t>
  </si>
  <si>
    <t>HD-001837</t>
  </si>
  <si>
    <t>HD-001838</t>
  </si>
  <si>
    <t>HD-001839</t>
  </si>
  <si>
    <t>HD-001840</t>
  </si>
  <si>
    <t>HD-001841</t>
  </si>
  <si>
    <t>HD-001842</t>
  </si>
  <si>
    <t>HD-001843</t>
  </si>
  <si>
    <t>HD-001844</t>
  </si>
  <si>
    <t>HD-001845</t>
  </si>
  <si>
    <t>HD-001846</t>
  </si>
  <si>
    <t>HD-001847</t>
  </si>
  <si>
    <t>HD-001848</t>
  </si>
  <si>
    <t>HD-001849</t>
  </si>
  <si>
    <t>HD-001850</t>
  </si>
  <si>
    <t>HD-001851</t>
  </si>
  <si>
    <t>HD-001852</t>
  </si>
  <si>
    <t>HD-001853</t>
  </si>
  <si>
    <t>HD-001854</t>
  </si>
  <si>
    <t>HD-001855</t>
  </si>
  <si>
    <t>HD-001856</t>
  </si>
  <si>
    <t>HD-001857</t>
  </si>
  <si>
    <t>HD-001858</t>
  </si>
  <si>
    <t>HD-001859</t>
  </si>
  <si>
    <t>HD-001860</t>
  </si>
  <si>
    <t>HD-001861</t>
  </si>
  <si>
    <t>HD-001862</t>
  </si>
  <si>
    <t>HD-001863</t>
  </si>
  <si>
    <t>HD-001864</t>
  </si>
  <si>
    <t>HD-001865</t>
  </si>
  <si>
    <t>HD-001866</t>
  </si>
  <si>
    <t>HD-001867</t>
  </si>
  <si>
    <t>HD-001868</t>
  </si>
  <si>
    <t>HD-001869</t>
  </si>
  <si>
    <t>HD-001870</t>
  </si>
  <si>
    <t>HD-001871</t>
  </si>
  <si>
    <t>HD-001872</t>
  </si>
  <si>
    <t>HD-001873</t>
  </si>
  <si>
    <t>HD-001874</t>
  </si>
  <si>
    <t>HD-001875</t>
  </si>
  <si>
    <t>HD-001876</t>
  </si>
  <si>
    <t>HD-001877</t>
  </si>
  <si>
    <t>HD-001878</t>
  </si>
  <si>
    <t>HD-001879</t>
  </si>
  <si>
    <t>HD-001880</t>
  </si>
  <si>
    <t>HD-001881</t>
  </si>
  <si>
    <t>HD-001882</t>
  </si>
  <si>
    <t>HD-001883</t>
  </si>
  <si>
    <t>HD-001884</t>
  </si>
  <si>
    <t>HD-001885</t>
  </si>
  <si>
    <t>HD-001886</t>
  </si>
  <si>
    <t>HD-001887</t>
  </si>
  <si>
    <t>HD-001888</t>
  </si>
  <si>
    <t>HD-001889</t>
  </si>
  <si>
    <t>HD-001890</t>
  </si>
  <si>
    <t>HD-001891</t>
  </si>
  <si>
    <t>HD-001892</t>
  </si>
  <si>
    <t>HD-001893</t>
  </si>
  <si>
    <t>HD-001894</t>
  </si>
  <si>
    <t>HD-001895</t>
  </si>
  <si>
    <t>HD-001896</t>
  </si>
  <si>
    <t>HD-001897</t>
  </si>
  <si>
    <t>HD-001898</t>
  </si>
  <si>
    <t>HD-001899</t>
  </si>
  <si>
    <t>HD-001900</t>
  </si>
  <si>
    <t>HD-001901</t>
  </si>
  <si>
    <t>HD-001902</t>
  </si>
  <si>
    <t>HD-001903</t>
  </si>
  <si>
    <t>HD-001904</t>
  </si>
  <si>
    <t>HD-001905</t>
  </si>
  <si>
    <t>HD-001906</t>
  </si>
  <si>
    <t>HD-001907</t>
  </si>
  <si>
    <t>HD-001908</t>
  </si>
  <si>
    <t>HD-001909</t>
  </si>
  <si>
    <t>HD-001910</t>
  </si>
  <si>
    <t>HD-001911</t>
  </si>
  <si>
    <t>HD-001912</t>
  </si>
  <si>
    <t>HD-001913</t>
  </si>
  <si>
    <t>HD-001914</t>
  </si>
  <si>
    <t>HD-001915</t>
  </si>
  <si>
    <t>HD-001916</t>
  </si>
  <si>
    <t>HD-001917</t>
  </si>
  <si>
    <t>HD-001918</t>
  </si>
  <si>
    <t>HD-001919</t>
  </si>
  <si>
    <t>HD-001920</t>
  </si>
  <si>
    <t>HD-001921</t>
  </si>
  <si>
    <t>HD-001922</t>
  </si>
  <si>
    <t>HD-001923</t>
  </si>
  <si>
    <t>HD-001924</t>
  </si>
  <si>
    <t>HD-001925</t>
  </si>
  <si>
    <t>HD-001926</t>
  </si>
  <si>
    <t>HD-001927</t>
  </si>
  <si>
    <t>HD-001928</t>
  </si>
  <si>
    <t>HD-001929</t>
  </si>
  <si>
    <t>HD-001930</t>
  </si>
  <si>
    <t>HD-001931</t>
  </si>
  <si>
    <t>HD-001932</t>
  </si>
  <si>
    <t>HD-001933</t>
  </si>
  <si>
    <t>HD-001934</t>
  </si>
  <si>
    <t>HD-001935</t>
  </si>
  <si>
    <t>HD-001936</t>
  </si>
  <si>
    <t>HD-001937</t>
  </si>
  <si>
    <t>HD-001938</t>
  </si>
  <si>
    <t>HD-001939</t>
  </si>
  <si>
    <t>HD-001940</t>
  </si>
  <si>
    <t>HD-001941</t>
  </si>
  <si>
    <t>HD-001942</t>
  </si>
  <si>
    <t>HD-001943</t>
  </si>
  <si>
    <t>HD-001944</t>
  </si>
  <si>
    <t>HD-001945</t>
  </si>
  <si>
    <t>HD-001946</t>
  </si>
  <si>
    <t>HD-001947</t>
  </si>
  <si>
    <t>HD-001948</t>
  </si>
  <si>
    <t>HD-001949</t>
  </si>
  <si>
    <t>HD-001950</t>
  </si>
  <si>
    <t>HD-001951</t>
  </si>
  <si>
    <t>HD-001952</t>
  </si>
  <si>
    <t>HD-001953</t>
  </si>
  <si>
    <t>HD-001954</t>
  </si>
  <si>
    <t>HD-001955</t>
  </si>
  <si>
    <t>HD-001956</t>
  </si>
  <si>
    <t>HD-001957</t>
  </si>
  <si>
    <t>HD-001958</t>
  </si>
  <si>
    <t>HD-001959</t>
  </si>
  <si>
    <t>HD-001960</t>
  </si>
  <si>
    <t>HD-001961</t>
  </si>
  <si>
    <t>HD-001962</t>
  </si>
  <si>
    <t>HD-001963</t>
  </si>
  <si>
    <t>HD-001964</t>
  </si>
  <si>
    <t>HD-001965</t>
  </si>
  <si>
    <t>HD-001966</t>
  </si>
  <si>
    <t>HD-001967</t>
  </si>
  <si>
    <t>HD-001968</t>
  </si>
  <si>
    <t>HD-001969</t>
  </si>
  <si>
    <t>HD-001970</t>
  </si>
  <si>
    <t>HD-001971</t>
  </si>
  <si>
    <t>HD-001972</t>
  </si>
  <si>
    <t>HD-001973</t>
  </si>
  <si>
    <t>HD-001974</t>
  </si>
  <si>
    <t>HD-001975</t>
  </si>
  <si>
    <t>HD-001976</t>
  </si>
  <si>
    <t>HD-001977</t>
  </si>
  <si>
    <t>HD-001978</t>
  </si>
  <si>
    <t>HD-001979</t>
  </si>
  <si>
    <t>HD-001980</t>
  </si>
  <si>
    <t>HD-001981</t>
  </si>
  <si>
    <t>HD-001982</t>
  </si>
  <si>
    <t>HD-001983</t>
  </si>
  <si>
    <t>HD-001984</t>
  </si>
  <si>
    <t>HD-001985</t>
  </si>
  <si>
    <t>HD-001986</t>
  </si>
  <si>
    <t>HD-001987</t>
  </si>
  <si>
    <t>HD-001988</t>
  </si>
  <si>
    <t>HD-001989</t>
  </si>
  <si>
    <t>HD-001990</t>
  </si>
  <si>
    <t>HD-001991</t>
  </si>
  <si>
    <t>HD-001992</t>
  </si>
  <si>
    <t>HD-001993</t>
  </si>
  <si>
    <t>HD-001994</t>
  </si>
  <si>
    <t>HD-001995</t>
  </si>
  <si>
    <t>HD-001996</t>
  </si>
  <si>
    <t>HD-001997</t>
  </si>
  <si>
    <t>HD-001998</t>
  </si>
  <si>
    <t>HD-001999</t>
  </si>
  <si>
    <t>HD-002000</t>
  </si>
  <si>
    <t>HD-002001</t>
  </si>
  <si>
    <t>HD-002002</t>
  </si>
  <si>
    <t>HD-002003</t>
  </si>
  <si>
    <t>HD-002004</t>
  </si>
  <si>
    <t>HD-002005</t>
  </si>
  <si>
    <t>HD-002006</t>
  </si>
  <si>
    <t>HD-002007</t>
  </si>
  <si>
    <t>HD-002008</t>
  </si>
  <si>
    <t>HD-002009</t>
  </si>
  <si>
    <t>HD-002010</t>
  </si>
  <si>
    <t>HD-002011</t>
  </si>
  <si>
    <t>HD-002012</t>
  </si>
  <si>
    <t>HD-002013</t>
  </si>
  <si>
    <t>HD-002014</t>
  </si>
  <si>
    <t>HD-002015</t>
  </si>
  <si>
    <t>HD-002016</t>
  </si>
  <si>
    <t>HD-002017</t>
  </si>
  <si>
    <t>HD-002018</t>
  </si>
  <si>
    <t>HD-002019</t>
  </si>
  <si>
    <t>HD-002020</t>
  </si>
  <si>
    <t>HD-002021</t>
  </si>
  <si>
    <t>HD-002022</t>
  </si>
  <si>
    <t>HD-002023</t>
  </si>
  <si>
    <t>HD-002024</t>
  </si>
  <si>
    <t>HD-002025</t>
  </si>
  <si>
    <t>HD-002026</t>
  </si>
  <si>
    <t>HD-002027</t>
  </si>
  <si>
    <t>HD-002028</t>
  </si>
  <si>
    <t>HD-002029</t>
  </si>
  <si>
    <t>HD-002030</t>
  </si>
  <si>
    <t>HD-002031</t>
  </si>
  <si>
    <t>HD-002032</t>
  </si>
  <si>
    <t>HD-002033</t>
  </si>
  <si>
    <t>HD-002034</t>
  </si>
  <si>
    <t>HD-002035</t>
  </si>
  <si>
    <t>HD-002036</t>
  </si>
  <si>
    <t>HD-002037</t>
  </si>
  <si>
    <t>HD-002038</t>
  </si>
  <si>
    <t>HD-002039</t>
  </si>
  <si>
    <t>HD-002040</t>
  </si>
  <si>
    <t>HD-002041</t>
  </si>
  <si>
    <t>HD-002042</t>
  </si>
  <si>
    <t>HD-002043</t>
  </si>
  <si>
    <t>HD-002044</t>
  </si>
  <si>
    <t>HD-002045</t>
  </si>
  <si>
    <t>HD-002046</t>
  </si>
  <si>
    <t>HD-002047</t>
  </si>
  <si>
    <t>HD-002048</t>
  </si>
  <si>
    <t>HD-002049</t>
  </si>
  <si>
    <t>HD-002050</t>
  </si>
  <si>
    <t>HD-002051</t>
  </si>
  <si>
    <t>HD-002052</t>
  </si>
  <si>
    <t>HD-002053</t>
  </si>
  <si>
    <t>HD-002054</t>
  </si>
  <si>
    <t>HD-002055</t>
  </si>
  <si>
    <t>HD-002056</t>
  </si>
  <si>
    <t>HD-002057</t>
  </si>
  <si>
    <t>HD-002058</t>
  </si>
  <si>
    <t>HD-002059</t>
  </si>
  <si>
    <t>HD-002060</t>
  </si>
  <si>
    <t>HD-002061</t>
  </si>
  <si>
    <t>HD-002062</t>
  </si>
  <si>
    <t>HD-002063</t>
  </si>
  <si>
    <t>HD-002064</t>
  </si>
  <si>
    <t>HD-002065</t>
  </si>
  <si>
    <t>HD-002066</t>
  </si>
  <si>
    <t>HD-002067</t>
  </si>
  <si>
    <t>HD-002068</t>
  </si>
  <si>
    <t>HD-002069</t>
  </si>
  <si>
    <t>HD-002070</t>
  </si>
  <si>
    <t>HD-002071</t>
  </si>
  <si>
    <t>HD-002072</t>
  </si>
  <si>
    <t>HD-002073</t>
  </si>
  <si>
    <t>HD-002074</t>
  </si>
  <si>
    <t>HD-002075</t>
  </si>
  <si>
    <t>HD-002076</t>
  </si>
  <si>
    <t>HD-002077</t>
  </si>
  <si>
    <t>HD-002078</t>
  </si>
  <si>
    <t>HD-002079</t>
  </si>
  <si>
    <t>HD-002080</t>
  </si>
  <si>
    <t>HD-002081</t>
  </si>
  <si>
    <t>HD-002082</t>
  </si>
  <si>
    <t>HD-002083</t>
  </si>
  <si>
    <t>HD-002084</t>
  </si>
  <si>
    <t>HD-002085</t>
  </si>
  <si>
    <t>HD-002086</t>
  </si>
  <si>
    <t>HD-002087</t>
  </si>
  <si>
    <t>HD-002088</t>
  </si>
  <si>
    <t>HD-002089</t>
  </si>
  <si>
    <t>HD-002090</t>
  </si>
  <si>
    <t>HD-002091</t>
  </si>
  <si>
    <t>HD-002092</t>
  </si>
  <si>
    <t>HD-002093</t>
  </si>
  <si>
    <t>HD-002094</t>
  </si>
  <si>
    <t>HD-002095</t>
  </si>
  <si>
    <t>HD-002096</t>
  </si>
  <si>
    <t>HD-002097</t>
  </si>
  <si>
    <t>HD-002098</t>
  </si>
  <si>
    <t>HD-002099</t>
  </si>
  <si>
    <t>HD-002100</t>
  </si>
  <si>
    <t>HD-002101</t>
  </si>
  <si>
    <t>HD-002102</t>
  </si>
  <si>
    <t>HD-002103</t>
  </si>
  <si>
    <t>HD-002104</t>
  </si>
  <si>
    <t>HD-002105</t>
  </si>
  <si>
    <t>HD-002106</t>
  </si>
  <si>
    <t>HD-002107</t>
  </si>
  <si>
    <t>HD-002108</t>
  </si>
  <si>
    <t>HD-002109</t>
  </si>
  <si>
    <t>HD-002110</t>
  </si>
  <si>
    <t>HD-002111</t>
  </si>
  <si>
    <t>HD-002112</t>
  </si>
  <si>
    <t>HD-002113</t>
  </si>
  <si>
    <t>HD-002114</t>
  </si>
  <si>
    <t>HD-002115</t>
  </si>
  <si>
    <t>HD-002116</t>
  </si>
  <si>
    <t>HD-002117</t>
  </si>
  <si>
    <t>HD-002118</t>
  </si>
  <si>
    <t>HD-002119</t>
  </si>
  <si>
    <t>HD-002120</t>
  </si>
  <si>
    <t>HD-002121</t>
  </si>
  <si>
    <t>HD-002122</t>
  </si>
  <si>
    <t>HD-002123</t>
  </si>
  <si>
    <t>HD-002124</t>
  </si>
  <si>
    <t>HD-002125</t>
  </si>
  <si>
    <t>HD-002126</t>
  </si>
  <si>
    <t>HD-002127</t>
  </si>
  <si>
    <t>HD-002128</t>
  </si>
  <si>
    <t>HD-002129</t>
  </si>
  <si>
    <t>HD-002130</t>
  </si>
  <si>
    <t>HD-002131</t>
  </si>
  <si>
    <t>HD-002132</t>
  </si>
  <si>
    <t>HD-002133</t>
  </si>
  <si>
    <t>HD-002134</t>
  </si>
  <si>
    <t>HD-002135</t>
  </si>
  <si>
    <t>HD-002136</t>
  </si>
  <si>
    <t>HD-002137</t>
  </si>
  <si>
    <t>HD-002138</t>
  </si>
  <si>
    <t>HD-002139</t>
  </si>
  <si>
    <t>HD-002140</t>
  </si>
  <si>
    <t>HD-002141</t>
  </si>
  <si>
    <t>HD-002142</t>
  </si>
  <si>
    <t>HD-002143</t>
  </si>
  <si>
    <t>HD-002144</t>
  </si>
  <si>
    <t>HD-002145</t>
  </si>
  <si>
    <t>HD-002146</t>
  </si>
  <si>
    <t>HD-002147</t>
  </si>
  <si>
    <t>HD-002148</t>
  </si>
  <si>
    <t>HD-002149</t>
  </si>
  <si>
    <t>HD-002150</t>
  </si>
  <si>
    <t>HD-002151</t>
  </si>
  <si>
    <t>HD-002152</t>
  </si>
  <si>
    <t>HD-002153</t>
  </si>
  <si>
    <t>HD-002154</t>
  </si>
  <si>
    <t>HD-002155</t>
  </si>
  <si>
    <t>HD-002156</t>
  </si>
  <si>
    <t>HD-002157</t>
  </si>
  <si>
    <t>HD-002158</t>
  </si>
  <si>
    <t>HD-002159</t>
  </si>
  <si>
    <t>HD-002160</t>
  </si>
  <si>
    <t>HD-002161</t>
  </si>
  <si>
    <t>HD-002162</t>
  </si>
  <si>
    <t>HD-002163</t>
  </si>
  <si>
    <t>HD-002164</t>
  </si>
  <si>
    <t>HD-002165</t>
  </si>
  <si>
    <t>HD-002166</t>
  </si>
  <si>
    <t>HD-002167</t>
  </si>
  <si>
    <t>HD-002168</t>
  </si>
  <si>
    <t>HD-002169</t>
  </si>
  <si>
    <t>HD-002170</t>
  </si>
  <si>
    <t>HD-002171</t>
  </si>
  <si>
    <t>HD-002172</t>
  </si>
  <si>
    <t>HD-002173</t>
  </si>
  <si>
    <t>HD-002174</t>
  </si>
  <si>
    <t>HD-002175</t>
  </si>
  <si>
    <t>HD-002176</t>
  </si>
  <si>
    <t>HD-002177</t>
  </si>
  <si>
    <t>HD-002178</t>
  </si>
  <si>
    <t>HD-002179</t>
  </si>
  <si>
    <t>HD-002180</t>
  </si>
  <si>
    <t>HD-002181</t>
  </si>
  <si>
    <t>HD-002182</t>
  </si>
  <si>
    <t>HD-002183</t>
  </si>
  <si>
    <t>HD-002184</t>
  </si>
  <si>
    <t>HD-002185</t>
  </si>
  <si>
    <t>HD-002186</t>
  </si>
  <si>
    <t>HD-002187</t>
  </si>
  <si>
    <t>HD-002188</t>
  </si>
  <si>
    <t>HD-002189</t>
  </si>
  <si>
    <t>HD-002190</t>
  </si>
  <si>
    <t>HD-002191</t>
  </si>
  <si>
    <t>HD-002192</t>
  </si>
  <si>
    <t>HD-002193</t>
  </si>
  <si>
    <t>HD-002194</t>
  </si>
  <si>
    <t>HD-002195</t>
  </si>
  <si>
    <t>HD-002196</t>
  </si>
  <si>
    <t>HD-002197</t>
  </si>
  <si>
    <t>HD-002198</t>
  </si>
  <si>
    <t>HD-002199</t>
  </si>
  <si>
    <t>HD-002200</t>
  </si>
  <si>
    <t>HD-002201</t>
  </si>
  <si>
    <t>HD-002202</t>
  </si>
  <si>
    <t>HD-002203</t>
  </si>
  <si>
    <t>HD-002204</t>
  </si>
  <si>
    <t>HD-002205</t>
  </si>
  <si>
    <t>HD-002206</t>
  </si>
  <si>
    <t>HD-002207</t>
  </si>
  <si>
    <t>HD-002208</t>
  </si>
  <si>
    <t>HD-002209</t>
  </si>
  <si>
    <t>HD-002210</t>
  </si>
  <si>
    <t>HD-002211</t>
  </si>
  <si>
    <t>HD-002212</t>
  </si>
  <si>
    <t>HD-002213</t>
  </si>
  <si>
    <t>HD-002214</t>
  </si>
  <si>
    <t>HD-002215</t>
  </si>
  <si>
    <t>HD-002216</t>
  </si>
  <si>
    <t>HD-002217</t>
  </si>
  <si>
    <t>HD-002218</t>
  </si>
  <si>
    <t>HD-002219</t>
  </si>
  <si>
    <t>HD-002220</t>
  </si>
  <si>
    <t>HD-002221</t>
  </si>
  <si>
    <t>HD-002222</t>
  </si>
  <si>
    <t>HD-002223</t>
  </si>
  <si>
    <t>HD-002224</t>
  </si>
  <si>
    <t>HD-002225</t>
  </si>
  <si>
    <t>HD-002226</t>
  </si>
  <si>
    <t>HD-002227</t>
  </si>
  <si>
    <t>HD-002228</t>
  </si>
  <si>
    <t>HD-002229</t>
  </si>
  <si>
    <t>HD-002230</t>
  </si>
  <si>
    <t>HD-002231</t>
  </si>
  <si>
    <t>HD-002232</t>
  </si>
  <si>
    <t>HD-002233</t>
  </si>
  <si>
    <t>HD-002234</t>
  </si>
  <si>
    <t>HD-002235</t>
  </si>
  <si>
    <t>HD-002236</t>
  </si>
  <si>
    <t>HD-002237</t>
  </si>
  <si>
    <t>HD-002238</t>
  </si>
  <si>
    <t>HD-002239</t>
  </si>
  <si>
    <t>HD-002240</t>
  </si>
  <si>
    <t>HD-002241</t>
  </si>
  <si>
    <t>HD-002242</t>
  </si>
  <si>
    <t>HD-002243</t>
  </si>
  <si>
    <t>HD-002244</t>
  </si>
  <si>
    <t>HD-002245</t>
  </si>
  <si>
    <t>HD-002246</t>
  </si>
  <si>
    <t>HD-002247</t>
  </si>
  <si>
    <t>HD-002248</t>
  </si>
  <si>
    <t>HD-002249</t>
  </si>
  <si>
    <t>HD-002250</t>
  </si>
  <si>
    <t>HD-002251</t>
  </si>
  <si>
    <t>HD-002252</t>
  </si>
  <si>
    <t>HD-002253</t>
  </si>
  <si>
    <t>HD-002254</t>
  </si>
  <si>
    <t>HD-002255</t>
  </si>
  <si>
    <t>HD-002256</t>
  </si>
  <si>
    <t>HD-002257</t>
  </si>
  <si>
    <t>HD-002258</t>
  </si>
  <si>
    <t>HD-002259</t>
  </si>
  <si>
    <t>HD-002260</t>
  </si>
  <si>
    <t>HD-002261</t>
  </si>
  <si>
    <t>HD-002262</t>
  </si>
  <si>
    <t>HD-002263</t>
  </si>
  <si>
    <t>HD-002264</t>
  </si>
  <si>
    <t>HD-002265</t>
  </si>
  <si>
    <t>HD-002266</t>
  </si>
  <si>
    <t>HD-002267</t>
  </si>
  <si>
    <t>HD-002268</t>
  </si>
  <si>
    <t>HD-002269</t>
  </si>
  <si>
    <t>HD-002270</t>
  </si>
  <si>
    <t>HD-002271</t>
  </si>
  <si>
    <t>HD-002272</t>
  </si>
  <si>
    <t>HD-002273</t>
  </si>
  <si>
    <t>HD-002274</t>
  </si>
  <si>
    <t>HD-002275</t>
  </si>
  <si>
    <t>HD-002276</t>
  </si>
  <si>
    <t>HD-002277</t>
  </si>
  <si>
    <t>HD-002278</t>
  </si>
  <si>
    <t>HD-002279</t>
  </si>
  <si>
    <t>HD-002280</t>
  </si>
  <si>
    <t>HD-002281</t>
  </si>
  <si>
    <t>HD-002282</t>
  </si>
  <si>
    <t>HD-002283</t>
  </si>
  <si>
    <t>HD-002284</t>
  </si>
  <si>
    <t>HD-002285</t>
  </si>
  <si>
    <t>HD-002286</t>
  </si>
  <si>
    <t>HD-002287</t>
  </si>
  <si>
    <t>HD-002288</t>
  </si>
  <si>
    <t>HD-002289</t>
  </si>
  <si>
    <t>HD-002290</t>
  </si>
  <si>
    <t>HD-002291</t>
  </si>
  <si>
    <t>HD-002292</t>
  </si>
  <si>
    <t>HD-002293</t>
  </si>
  <si>
    <t>HD-002294</t>
  </si>
  <si>
    <t>HD-002295</t>
  </si>
  <si>
    <t>HD-002296</t>
  </si>
  <si>
    <t>HD-002297</t>
  </si>
  <si>
    <t>HD-002298</t>
  </si>
  <si>
    <t>HD-002299</t>
  </si>
  <si>
    <t>HD-002300</t>
  </si>
  <si>
    <t>HD-002301</t>
  </si>
  <si>
    <t>HD-002302</t>
  </si>
  <si>
    <t>HD-002303</t>
  </si>
  <si>
    <t>HD-002304</t>
  </si>
  <si>
    <t>HD-002305</t>
  </si>
  <si>
    <t>HD-002306</t>
  </si>
  <si>
    <t>HD-002307</t>
  </si>
  <si>
    <t>HD-002308</t>
  </si>
  <si>
    <t>HD-002309</t>
  </si>
  <si>
    <t>HD-002310</t>
  </si>
  <si>
    <t>HD-002311</t>
  </si>
  <si>
    <t>HD-002312</t>
  </si>
  <si>
    <t>HD-002313</t>
  </si>
  <si>
    <t>HD-002314</t>
  </si>
  <si>
    <t>HD-002315</t>
  </si>
  <si>
    <t>HD-002316</t>
  </si>
  <si>
    <t>HD-002317</t>
  </si>
  <si>
    <t>HD-002318</t>
  </si>
  <si>
    <t>HD-002319</t>
  </si>
  <si>
    <t>HD-002320</t>
  </si>
  <si>
    <t>HD-002321</t>
  </si>
  <si>
    <t>HD-002322</t>
  </si>
  <si>
    <t>HD-002323</t>
  </si>
  <si>
    <t>HD-002324</t>
  </si>
  <si>
    <t>HD-002325</t>
  </si>
  <si>
    <t>HD-002326</t>
  </si>
  <si>
    <t>HD-002327</t>
  </si>
  <si>
    <t>HD-002328</t>
  </si>
  <si>
    <t>HD-002329</t>
  </si>
  <si>
    <t>HD-002330</t>
  </si>
  <si>
    <t>HD-002331</t>
  </si>
  <si>
    <t>HD-002332</t>
  </si>
  <si>
    <t>HD-002333</t>
  </si>
  <si>
    <t>HD-002334</t>
  </si>
  <si>
    <t>HD-002335</t>
  </si>
  <si>
    <t>HD-002336</t>
  </si>
  <si>
    <t>HD-002337</t>
  </si>
  <si>
    <t>HD-002338</t>
  </si>
  <si>
    <t>HD-002339</t>
  </si>
  <si>
    <t>HD-002340</t>
  </si>
  <si>
    <t>HD-002341</t>
  </si>
  <si>
    <t>HD-002342</t>
  </si>
  <si>
    <t>HD-002343</t>
  </si>
  <si>
    <t>HD-002344</t>
  </si>
  <si>
    <t>HD-002345</t>
  </si>
  <si>
    <t>HD-002346</t>
  </si>
  <si>
    <t>HD-002347</t>
  </si>
  <si>
    <t>HD-002348</t>
  </si>
  <si>
    <t>HD-002349</t>
  </si>
  <si>
    <t>HD-002350</t>
  </si>
  <si>
    <t>HD-002351</t>
  </si>
  <si>
    <t>HD-002352</t>
  </si>
  <si>
    <t>HD-002353</t>
  </si>
  <si>
    <t>HD-002354</t>
  </si>
  <si>
    <t>HD-002355</t>
  </si>
  <si>
    <t>HD-002356</t>
  </si>
  <si>
    <t>HD-002357</t>
  </si>
  <si>
    <t>HD-002358</t>
  </si>
  <si>
    <t>HD-002359</t>
  </si>
  <si>
    <t>HD-002360</t>
  </si>
  <si>
    <t>HD-002361</t>
  </si>
  <si>
    <t>HD-002362</t>
  </si>
  <si>
    <t>HD-002363</t>
  </si>
  <si>
    <t>HD-002364</t>
  </si>
  <si>
    <t>HD-002365</t>
  </si>
  <si>
    <t>HD-002366</t>
  </si>
  <si>
    <t>HD-002367</t>
  </si>
  <si>
    <t>HD-002368</t>
  </si>
  <si>
    <t>HD-002369</t>
  </si>
  <si>
    <t>HD-002370</t>
  </si>
  <si>
    <t>HD-002371</t>
  </si>
  <si>
    <t>HD-002372</t>
  </si>
  <si>
    <t>HD-002373</t>
  </si>
  <si>
    <t>HD-002374</t>
  </si>
  <si>
    <t>HD-002375</t>
  </si>
  <si>
    <t>HD-002376</t>
  </si>
  <si>
    <t>HD-002377</t>
  </si>
  <si>
    <t>HD-002378</t>
  </si>
  <si>
    <t>HD-002379</t>
  </si>
  <si>
    <t>HD-002380</t>
  </si>
  <si>
    <t>HD-002381</t>
  </si>
  <si>
    <t>HD-002382</t>
  </si>
  <si>
    <t>HD-002383</t>
  </si>
  <si>
    <t>HD-002384</t>
  </si>
  <si>
    <t>HD-002385</t>
  </si>
  <si>
    <t>HD-002386</t>
  </si>
  <si>
    <t>HD-002387</t>
  </si>
  <si>
    <t>HD-002388</t>
  </si>
  <si>
    <t>HD-002389</t>
  </si>
  <si>
    <t>HD-002390</t>
  </si>
  <si>
    <t>HD-002391</t>
  </si>
  <si>
    <t>HD-002392</t>
  </si>
  <si>
    <t>HD-002393</t>
  </si>
  <si>
    <t>HD-002394</t>
  </si>
  <si>
    <t>HD-002395</t>
  </si>
  <si>
    <t>HD-002396</t>
  </si>
  <si>
    <t>HD-002397</t>
  </si>
  <si>
    <t>HD-002398</t>
  </si>
  <si>
    <t>HD-002399</t>
  </si>
  <si>
    <t>HD-002400</t>
  </si>
  <si>
    <t>HD-002401</t>
  </si>
  <si>
    <t>HD-002402</t>
  </si>
  <si>
    <t>HD-002403</t>
  </si>
  <si>
    <t>HD-002404</t>
  </si>
  <si>
    <t>HD-002405</t>
  </si>
  <si>
    <t>HD-002406</t>
  </si>
  <si>
    <t>HD-002407</t>
  </si>
  <si>
    <t>HD-002408</t>
  </si>
  <si>
    <t>HD-002409</t>
  </si>
  <si>
    <t>HD-002410</t>
  </si>
  <si>
    <t>HD-002411</t>
  </si>
  <si>
    <t>HD-002412</t>
  </si>
  <si>
    <t>HD-002413</t>
  </si>
  <si>
    <t>HD-002414</t>
  </si>
  <si>
    <t>HD-002415</t>
  </si>
  <si>
    <t>HD-002416</t>
  </si>
  <si>
    <t>HD-002417</t>
  </si>
  <si>
    <t>HD-002418</t>
  </si>
  <si>
    <t>HD-002419</t>
  </si>
  <si>
    <t>HD-002420</t>
  </si>
  <si>
    <t>HD-002421</t>
  </si>
  <si>
    <t>HD-002422</t>
  </si>
  <si>
    <t>HD-002423</t>
  </si>
  <si>
    <t>HD-002424</t>
  </si>
  <si>
    <t>HD-002425</t>
  </si>
  <si>
    <t>HD-002426</t>
  </si>
  <si>
    <t>HD-002427</t>
  </si>
  <si>
    <t>HD-002428</t>
  </si>
  <si>
    <t>HD-002429</t>
  </si>
  <si>
    <t>HD-002430</t>
  </si>
  <si>
    <t>HD-002431</t>
  </si>
  <si>
    <t>HD-002432</t>
  </si>
  <si>
    <t>HD-002433</t>
  </si>
  <si>
    <t>HD-002434</t>
  </si>
  <si>
    <t>HD-002435</t>
  </si>
  <si>
    <t>HD-002436</t>
  </si>
  <si>
    <t>HD-002437</t>
  </si>
  <si>
    <t>HD-002438</t>
  </si>
  <si>
    <t>HD-002439</t>
  </si>
  <si>
    <t>HD-002440</t>
  </si>
  <si>
    <t>HD-002441</t>
  </si>
  <si>
    <t>HD-002442</t>
  </si>
  <si>
    <t>HD-002443</t>
  </si>
  <si>
    <t>HD-002444</t>
  </si>
  <si>
    <t>HD-002445</t>
  </si>
  <si>
    <t>HD-002446</t>
  </si>
  <si>
    <t>HD-002447</t>
  </si>
  <si>
    <t>HD-002448</t>
  </si>
  <si>
    <t>HD-002449</t>
  </si>
  <si>
    <t>HD-002450</t>
  </si>
  <si>
    <t>HD-002451</t>
  </si>
  <si>
    <t>HD-002452</t>
  </si>
  <si>
    <t>HD-002453</t>
  </si>
  <si>
    <t>HD-002454</t>
  </si>
  <si>
    <t>HD-002455</t>
  </si>
  <si>
    <t>HD-002456</t>
  </si>
  <si>
    <t>HD-002457</t>
  </si>
  <si>
    <t>HD-002458</t>
  </si>
  <si>
    <t>HD-002459</t>
  </si>
  <si>
    <t>HD-002460</t>
  </si>
  <si>
    <t>HD-002461</t>
  </si>
  <si>
    <t>HD-002462</t>
  </si>
  <si>
    <t>HD-002463</t>
  </si>
  <si>
    <t>HD-002464</t>
  </si>
  <si>
    <t>HD-002465</t>
  </si>
  <si>
    <t>HD-002466</t>
  </si>
  <si>
    <t>HD-002467</t>
  </si>
  <si>
    <t>HD-002468</t>
  </si>
  <si>
    <t>HD-002469</t>
  </si>
  <si>
    <t>HD-002470</t>
  </si>
  <si>
    <t>HD-002471</t>
  </si>
  <si>
    <t>HD-002472</t>
  </si>
  <si>
    <t>HD-002473</t>
  </si>
  <si>
    <t>HD-002474</t>
  </si>
  <si>
    <t>HD-002475</t>
  </si>
  <si>
    <t>HD-002476</t>
  </si>
  <si>
    <t>HD-002477</t>
  </si>
  <si>
    <t>HD-002478</t>
  </si>
  <si>
    <t>HD-002479</t>
  </si>
  <si>
    <t>HD-002480</t>
  </si>
  <si>
    <t>HD-002481</t>
  </si>
  <si>
    <t>HD-002482</t>
  </si>
  <si>
    <t>HD-002483</t>
  </si>
  <si>
    <t>HD-002484</t>
  </si>
  <si>
    <t>HD-002485</t>
  </si>
  <si>
    <t>HD-002486</t>
  </si>
  <si>
    <t>HD-002487</t>
  </si>
  <si>
    <t>HD-002488</t>
  </si>
  <si>
    <t>HD-002489</t>
  </si>
  <si>
    <t>HD-002490</t>
  </si>
  <si>
    <t>HD-002491</t>
  </si>
  <si>
    <t>HD-002492</t>
  </si>
  <si>
    <t>HD-002493</t>
  </si>
  <si>
    <t>HD-002494</t>
  </si>
  <si>
    <t>HD-002495</t>
  </si>
  <si>
    <t>HD-002496</t>
  </si>
  <si>
    <t>HD-002497</t>
  </si>
  <si>
    <t>HD-002498</t>
  </si>
  <si>
    <t>HD-002499</t>
  </si>
  <si>
    <t>HD-002500</t>
  </si>
  <si>
    <t>HD-002501</t>
  </si>
  <si>
    <t>HD-002502</t>
  </si>
  <si>
    <t>HD-002503</t>
  </si>
  <si>
    <t>HD-002504</t>
  </si>
  <si>
    <t>HD-002505</t>
  </si>
  <si>
    <t>HD-002506</t>
  </si>
  <si>
    <t>HD-002507</t>
  </si>
  <si>
    <t>HD-002508</t>
  </si>
  <si>
    <t>HD-002509</t>
  </si>
  <si>
    <t>HD-002510</t>
  </si>
  <si>
    <t>HD-002511</t>
  </si>
  <si>
    <t>HD-002512</t>
  </si>
  <si>
    <t>HD-002513</t>
  </si>
  <si>
    <t>HD-002514</t>
  </si>
  <si>
    <t>HD-002515</t>
  </si>
  <si>
    <t>HD-002516</t>
  </si>
  <si>
    <t>HD-002517</t>
  </si>
  <si>
    <t>HD-002518</t>
  </si>
  <si>
    <t>HD-002519</t>
  </si>
  <si>
    <t>HD-002520</t>
  </si>
  <si>
    <t>HD-002521</t>
  </si>
  <si>
    <t>HD-002522</t>
  </si>
  <si>
    <t>HD-002523</t>
  </si>
  <si>
    <t>HD-002524</t>
  </si>
  <si>
    <t>HD-002525</t>
  </si>
  <si>
    <t>HD-002526</t>
  </si>
  <si>
    <t>HD-002527</t>
  </si>
  <si>
    <t>HD-002528</t>
  </si>
  <si>
    <t>HD-002529</t>
  </si>
  <si>
    <t>HD-002530</t>
  </si>
  <si>
    <t>HD-002531</t>
  </si>
  <si>
    <t>HD-002532</t>
  </si>
  <si>
    <t>HD-002533</t>
  </si>
  <si>
    <t>HD-002534</t>
  </si>
  <si>
    <t>HD-002535</t>
  </si>
  <si>
    <t>HD-002536</t>
  </si>
  <si>
    <t>HD-002537</t>
  </si>
  <si>
    <t>HD-002538</t>
  </si>
  <si>
    <t>HD-002539</t>
  </si>
  <si>
    <t>HD-002540</t>
  </si>
  <si>
    <t>HD-002541</t>
  </si>
  <si>
    <t>HD-002542</t>
  </si>
  <si>
    <t>HD-002543</t>
  </si>
  <si>
    <t>HD-002544</t>
  </si>
  <si>
    <t>HD-002545</t>
  </si>
  <si>
    <t>HD-002546</t>
  </si>
  <si>
    <t>HD-002547</t>
  </si>
  <si>
    <t>HD-002548</t>
  </si>
  <si>
    <t>HD-002549</t>
  </si>
  <si>
    <t>HD-002550</t>
  </si>
  <si>
    <t>HD-002551</t>
  </si>
  <si>
    <t>HD-002552</t>
  </si>
  <si>
    <t>HD-002553</t>
  </si>
  <si>
    <t>HD-002554</t>
  </si>
  <si>
    <t>HD-002555</t>
  </si>
  <si>
    <t>HD-002556</t>
  </si>
  <si>
    <t>HD-002557</t>
  </si>
  <si>
    <t>HD-002558</t>
  </si>
  <si>
    <t>HD-002559</t>
  </si>
  <si>
    <t>HD-002560</t>
  </si>
  <si>
    <t>HD-002561</t>
  </si>
  <si>
    <t>HD-002562</t>
  </si>
  <si>
    <t>HD-002563</t>
  </si>
  <si>
    <t>HD-002564</t>
  </si>
  <si>
    <t>HD-002565</t>
  </si>
  <si>
    <t>HD-002566</t>
  </si>
  <si>
    <t>HD-002567</t>
  </si>
  <si>
    <t>HD-002568</t>
  </si>
  <si>
    <t>HD-002569</t>
  </si>
  <si>
    <t>HD-002570</t>
  </si>
  <si>
    <t>HD-002571</t>
  </si>
  <si>
    <t>HD-002572</t>
  </si>
  <si>
    <t>HD-002573</t>
  </si>
  <si>
    <t>HD-002574</t>
  </si>
  <si>
    <t>HD-002575</t>
  </si>
  <si>
    <t>HD-002576</t>
  </si>
  <si>
    <t>HD-002577</t>
  </si>
  <si>
    <t>HD-002578</t>
  </si>
  <si>
    <t>HD-002579</t>
  </si>
  <si>
    <t>HD-002580</t>
  </si>
  <si>
    <t>HD-002581</t>
  </si>
  <si>
    <t>HD-002582</t>
  </si>
  <si>
    <t>HD-002583</t>
  </si>
  <si>
    <t>HD-002584</t>
  </si>
  <si>
    <t>HD-002585</t>
  </si>
  <si>
    <t>HD-002586</t>
  </si>
  <si>
    <t>HD-002587</t>
  </si>
  <si>
    <t>HD-002588</t>
  </si>
  <si>
    <t>HD-002589</t>
  </si>
  <si>
    <t>HD-002590</t>
  </si>
  <si>
    <t>HD-002591</t>
  </si>
  <si>
    <t>HD-002592</t>
  </si>
  <si>
    <t>HD-002593</t>
  </si>
  <si>
    <t>HD-002594</t>
  </si>
  <si>
    <t>HD-002595</t>
  </si>
  <si>
    <t>HD-002596</t>
  </si>
  <si>
    <t>HD-002597</t>
  </si>
  <si>
    <t>HD-002598</t>
  </si>
  <si>
    <t>HD-002599</t>
  </si>
  <si>
    <t>HD-002600</t>
  </si>
  <si>
    <t>HD-002601</t>
  </si>
  <si>
    <t>HD-002602</t>
  </si>
  <si>
    <t>HD-002603</t>
  </si>
  <si>
    <t>HD-002604</t>
  </si>
  <si>
    <t>HD-002605</t>
  </si>
  <si>
    <t>HD-002606</t>
  </si>
  <si>
    <t>HD-002607</t>
  </si>
  <si>
    <t>HD-002608</t>
  </si>
  <si>
    <t>HD-002609</t>
  </si>
  <si>
    <t>HD-002610</t>
  </si>
  <si>
    <t>HD-002611</t>
  </si>
  <si>
    <t>HD-002612</t>
  </si>
  <si>
    <t>HD-002613</t>
  </si>
  <si>
    <t>HD-002614</t>
  </si>
  <si>
    <t>HD-002615</t>
  </si>
  <si>
    <t>HD-002616</t>
  </si>
  <si>
    <t>HD-002617</t>
  </si>
  <si>
    <t>HD-002618</t>
  </si>
  <si>
    <t>HD-002619</t>
  </si>
  <si>
    <t>HD-002620</t>
  </si>
  <si>
    <t>HD-002621</t>
  </si>
  <si>
    <t>HD-002622</t>
  </si>
  <si>
    <t>HD-002623</t>
  </si>
  <si>
    <t>HD-002624</t>
  </si>
  <si>
    <t>HD-002625</t>
  </si>
  <si>
    <t>HD-002626</t>
  </si>
  <si>
    <t>HD-002627</t>
  </si>
  <si>
    <t>HD-002628</t>
  </si>
  <si>
    <t>HD-002629</t>
  </si>
  <si>
    <t>HD-002630</t>
  </si>
  <si>
    <t>HD-002631</t>
  </si>
  <si>
    <t>HD-002632</t>
  </si>
  <si>
    <t>HD-002633</t>
  </si>
  <si>
    <t>HD-002634</t>
  </si>
  <si>
    <t>HD-002635</t>
  </si>
  <si>
    <t>HD-002636</t>
  </si>
  <si>
    <t>HD-002637</t>
  </si>
  <si>
    <t>HD-002638</t>
  </si>
  <si>
    <t>HD-002639</t>
  </si>
  <si>
    <t>HD-002640</t>
  </si>
  <si>
    <t>HD-002641</t>
  </si>
  <si>
    <t>HD-002642</t>
  </si>
  <si>
    <t>HD-002643</t>
  </si>
  <si>
    <t>HD-002644</t>
  </si>
  <si>
    <t>HD-002645</t>
  </si>
  <si>
    <t>HD-002646</t>
  </si>
  <si>
    <t>HD-002647</t>
  </si>
  <si>
    <t>HD-002648</t>
  </si>
  <si>
    <t>HD-002649</t>
  </si>
  <si>
    <t>HD-002650</t>
  </si>
  <si>
    <t>HD-002651</t>
  </si>
  <si>
    <t>HD-002652</t>
  </si>
  <si>
    <t>HD-002653</t>
  </si>
  <si>
    <t>HD-002654</t>
  </si>
  <si>
    <t>HD-002655</t>
  </si>
  <si>
    <t>HD-002656</t>
  </si>
  <si>
    <t>HD-002657</t>
  </si>
  <si>
    <t>HD-002658</t>
  </si>
  <si>
    <t>HD-002659</t>
  </si>
  <si>
    <t>HD-002660</t>
  </si>
  <si>
    <t>HD-002661</t>
  </si>
  <si>
    <t>HD-002662</t>
  </si>
  <si>
    <t>HD-002663</t>
  </si>
  <si>
    <t>HD-002664</t>
  </si>
  <si>
    <t>HD-002665</t>
  </si>
  <si>
    <t>HD-002666</t>
  </si>
  <si>
    <t>HD-002667</t>
  </si>
  <si>
    <t>HD-002668</t>
  </si>
  <si>
    <t>HD-002669</t>
  </si>
  <si>
    <t>HD-002670</t>
  </si>
  <si>
    <t>HD-002671</t>
  </si>
  <si>
    <t>HD-002672</t>
  </si>
  <si>
    <t>HD-002673</t>
  </si>
  <si>
    <t>HD-002674</t>
  </si>
  <si>
    <t>HD-002675</t>
  </si>
  <si>
    <t>HD-002676</t>
  </si>
  <si>
    <t>HD-002677</t>
  </si>
  <si>
    <t>HD-002678</t>
  </si>
  <si>
    <t>HD-002679</t>
  </si>
  <si>
    <t>HD-002680</t>
  </si>
  <si>
    <t>HD-002681</t>
  </si>
  <si>
    <t>HD-002682</t>
  </si>
  <si>
    <t>HD-002683</t>
  </si>
  <si>
    <t>HD-002684</t>
  </si>
  <si>
    <t>HD-002685</t>
  </si>
  <si>
    <t>HD-002686</t>
  </si>
  <si>
    <t>HD-002687</t>
  </si>
  <si>
    <t>HD-002688</t>
  </si>
  <si>
    <t>HD-002689</t>
  </si>
  <si>
    <t>HD-002690</t>
  </si>
  <si>
    <t>HD-002691</t>
  </si>
  <si>
    <t>HD-002692</t>
  </si>
  <si>
    <t>HD-002693</t>
  </si>
  <si>
    <t>HD-002694</t>
  </si>
  <si>
    <t>HD-002695</t>
  </si>
  <si>
    <t>HD-002696</t>
  </si>
  <si>
    <t>HD-002697</t>
  </si>
  <si>
    <t>HD-002698</t>
  </si>
  <si>
    <t>HD-002699</t>
  </si>
  <si>
    <t>HD-002700</t>
  </si>
  <si>
    <t>HD-002701</t>
  </si>
  <si>
    <t>HD-002702</t>
  </si>
  <si>
    <t>HD-002703</t>
  </si>
  <si>
    <t>HD-002704</t>
  </si>
  <si>
    <t>HD-002705</t>
  </si>
  <si>
    <t>HD-002706</t>
  </si>
  <si>
    <t>HD-002707</t>
  </si>
  <si>
    <t>HD-002708</t>
  </si>
  <si>
    <t>HD-002709</t>
  </si>
  <si>
    <t>HD-002710</t>
  </si>
  <si>
    <t>HD-002711</t>
  </si>
  <si>
    <t>HD-002712</t>
  </si>
  <si>
    <t>HD-002713</t>
  </si>
  <si>
    <t>HD-002714</t>
  </si>
  <si>
    <t>HD-002715</t>
  </si>
  <si>
    <t>HD-002716</t>
  </si>
  <si>
    <t>HD-002717</t>
  </si>
  <si>
    <t>HD-002718</t>
  </si>
  <si>
    <t>HD-002719</t>
  </si>
  <si>
    <t>HD-002720</t>
  </si>
  <si>
    <t>HD-002721</t>
  </si>
  <si>
    <t>HD-002722</t>
  </si>
  <si>
    <t>HD-002723</t>
  </si>
  <si>
    <t>HD-002724</t>
  </si>
  <si>
    <t>HD-002725</t>
  </si>
  <si>
    <t>HD-002726</t>
  </si>
  <si>
    <t>HD-002727</t>
  </si>
  <si>
    <t>HD-002728</t>
  </si>
  <si>
    <t>HD-002729</t>
  </si>
  <si>
    <t>HD-002730</t>
  </si>
  <si>
    <t>HD-002731</t>
  </si>
  <si>
    <t>HD-002732</t>
  </si>
  <si>
    <t>HD-002733</t>
  </si>
  <si>
    <t>HD-002734</t>
  </si>
  <si>
    <t>HD-002735</t>
  </si>
  <si>
    <t>HD-002736</t>
  </si>
  <si>
    <t>HD-002737</t>
  </si>
  <si>
    <t>HD-002738</t>
  </si>
  <si>
    <t>HD-002739</t>
  </si>
  <si>
    <t>HD-002740</t>
  </si>
  <si>
    <t>HD-002741</t>
  </si>
  <si>
    <t>HD-002742</t>
  </si>
  <si>
    <t>HD-002743</t>
  </si>
  <si>
    <t>HD-002744</t>
  </si>
  <si>
    <t>HD-002745</t>
  </si>
  <si>
    <t>HD-002746</t>
  </si>
  <si>
    <t>HD-002747</t>
  </si>
  <si>
    <t>HD-002748</t>
  </si>
  <si>
    <t>HD-002749</t>
  </si>
  <si>
    <t>HD-002750</t>
  </si>
  <si>
    <t>HD-002751</t>
  </si>
  <si>
    <t>HD-002752</t>
  </si>
  <si>
    <t>HD-002753</t>
  </si>
  <si>
    <t>HD-002754</t>
  </si>
  <si>
    <t>HD-002755</t>
  </si>
  <si>
    <t>HD-002756</t>
  </si>
  <si>
    <t>HD-002757</t>
  </si>
  <si>
    <t>HD-002758</t>
  </si>
  <si>
    <t>HD-002759</t>
  </si>
  <si>
    <t>HD-002760</t>
  </si>
  <si>
    <t>HD-002761</t>
  </si>
  <si>
    <t>HD-002762</t>
  </si>
  <si>
    <t>HD-002763</t>
  </si>
  <si>
    <t>HD-002764</t>
  </si>
  <si>
    <t>HD-002765</t>
  </si>
  <si>
    <t>HD-002766</t>
  </si>
  <si>
    <t>HD-002767</t>
  </si>
  <si>
    <t>HD-002768</t>
  </si>
  <si>
    <t>HD-002769</t>
  </si>
  <si>
    <t>HD-002770</t>
  </si>
  <si>
    <t>HD-002771</t>
  </si>
  <si>
    <t>HD-002772</t>
  </si>
  <si>
    <t>HD-002773</t>
  </si>
  <si>
    <t>HD-002774</t>
  </si>
  <si>
    <t>HD-002775</t>
  </si>
  <si>
    <t>HD-002776</t>
  </si>
  <si>
    <t>HD-002777</t>
  </si>
  <si>
    <t>HD-002778</t>
  </si>
  <si>
    <t>HD-002779</t>
  </si>
  <si>
    <t>HD-002780</t>
  </si>
  <si>
    <t>HD-002781</t>
  </si>
  <si>
    <t>HD-002782</t>
  </si>
  <si>
    <t>HD-002783</t>
  </si>
  <si>
    <t>HD-002784</t>
  </si>
  <si>
    <t>HD-002785</t>
  </si>
  <si>
    <t>HD-002786</t>
  </si>
  <si>
    <t>HD-002787</t>
  </si>
  <si>
    <t>HD-002788</t>
  </si>
  <si>
    <t>HD-002789</t>
  </si>
  <si>
    <t>HD-002790</t>
  </si>
  <si>
    <t>HD-002791</t>
  </si>
  <si>
    <t>HD-002792</t>
  </si>
  <si>
    <t>HD-002793</t>
  </si>
  <si>
    <t>HD-002794</t>
  </si>
  <si>
    <t>HD-002795</t>
  </si>
  <si>
    <t>HD-002796</t>
  </si>
  <si>
    <t>HD-002797</t>
  </si>
  <si>
    <t>HD-002798</t>
  </si>
  <si>
    <t>HD-002799</t>
  </si>
  <si>
    <t>HD-002800</t>
  </si>
  <si>
    <t>HD-002801</t>
  </si>
  <si>
    <t>HD-002802</t>
  </si>
  <si>
    <t>HD-002803</t>
  </si>
  <si>
    <t>HD-002804</t>
  </si>
  <si>
    <t>HD-002805</t>
  </si>
  <si>
    <t>HD-002806</t>
  </si>
  <si>
    <t>HD-002807</t>
  </si>
  <si>
    <t>HD-002808</t>
  </si>
  <si>
    <t>HD-002809</t>
  </si>
  <si>
    <t>HD-002810</t>
  </si>
  <si>
    <t>HD-002811</t>
  </si>
  <si>
    <t>HD-002812</t>
  </si>
  <si>
    <t>HD-002813</t>
  </si>
  <si>
    <t>HD-002814</t>
  </si>
  <si>
    <t>HD-002815</t>
  </si>
  <si>
    <t>HD-002816</t>
  </si>
  <si>
    <t>HD-002817</t>
  </si>
  <si>
    <t>HD-002818</t>
  </si>
  <si>
    <t>HD-002819</t>
  </si>
  <si>
    <t>HD-002820</t>
  </si>
  <si>
    <t>HD-002821</t>
  </si>
  <si>
    <t>HD-002822</t>
  </si>
  <si>
    <t>HD-002823</t>
  </si>
  <si>
    <t>HD-002824</t>
  </si>
  <si>
    <t>HD-002825</t>
  </si>
  <si>
    <t>HD-002826</t>
  </si>
  <si>
    <t>HD-002827</t>
  </si>
  <si>
    <t>HD-002828</t>
  </si>
  <si>
    <t>HD-002829</t>
  </si>
  <si>
    <t>HD-002830</t>
  </si>
  <si>
    <t>HD-002831</t>
  </si>
  <si>
    <t>HD-002832</t>
  </si>
  <si>
    <t>HD-002833</t>
  </si>
  <si>
    <t>HD-002834</t>
  </si>
  <si>
    <t>HD-002835</t>
  </si>
  <si>
    <t>HD-002836</t>
  </si>
  <si>
    <t>HD-002837</t>
  </si>
  <si>
    <t>HD-002838</t>
  </si>
  <si>
    <t>HD-002839</t>
  </si>
  <si>
    <t>HD-002840</t>
  </si>
  <si>
    <t>HD-002841</t>
  </si>
  <si>
    <t>HD-002842</t>
  </si>
  <si>
    <t>HD-002843</t>
  </si>
  <si>
    <t>HD-002844</t>
  </si>
  <si>
    <t>HD-002845</t>
  </si>
  <si>
    <t>HD-002846</t>
  </si>
  <si>
    <t>HD-002847</t>
  </si>
  <si>
    <t>HD-002848</t>
  </si>
  <si>
    <t>HD-002849</t>
  </si>
  <si>
    <t>HD-002850</t>
  </si>
  <si>
    <t>HD-002851</t>
  </si>
  <si>
    <t>HD-002852</t>
  </si>
  <si>
    <t>HD-002853</t>
  </si>
  <si>
    <t>HD-002854</t>
  </si>
  <si>
    <t>HD-002855</t>
  </si>
  <si>
    <t>HD-002856</t>
  </si>
  <si>
    <t>HD-002857</t>
  </si>
  <si>
    <t>HD-002858</t>
  </si>
  <si>
    <t>HD-002859</t>
  </si>
  <si>
    <t>HD-002860</t>
  </si>
  <si>
    <t>HD-002861</t>
  </si>
  <si>
    <t>HD-002862</t>
  </si>
  <si>
    <t>HD-002863</t>
  </si>
  <si>
    <t>HD-002864</t>
  </si>
  <si>
    <t>HD-002865</t>
  </si>
  <si>
    <t>HD-002866</t>
  </si>
  <si>
    <t>HD-002867</t>
  </si>
  <si>
    <t>HD-002868</t>
  </si>
  <si>
    <t>HD-002869</t>
  </si>
  <si>
    <t>HD-002870</t>
  </si>
  <si>
    <t>HD-002871</t>
  </si>
  <si>
    <t>HD-002872</t>
  </si>
  <si>
    <t>HD-002873</t>
  </si>
  <si>
    <t>HD-002874</t>
  </si>
  <si>
    <t>HD-002875</t>
  </si>
  <si>
    <t>HD-002876</t>
  </si>
  <si>
    <t>HD-002877</t>
  </si>
  <si>
    <t>HD-002878</t>
  </si>
  <si>
    <t>HD-002879</t>
  </si>
  <si>
    <t>HD-002880</t>
  </si>
  <si>
    <t>HD-002881</t>
  </si>
  <si>
    <t>HD-002882</t>
  </si>
  <si>
    <t>HD-002883</t>
  </si>
  <si>
    <t>HD-002884</t>
  </si>
  <si>
    <t>HD-002885</t>
  </si>
  <si>
    <t>HD-002886</t>
  </si>
  <si>
    <t>HD-002887</t>
  </si>
  <si>
    <t>HD-002888</t>
  </si>
  <si>
    <t>HD-002889</t>
  </si>
  <si>
    <t>HD-002890</t>
  </si>
  <si>
    <t>HD-002891</t>
  </si>
  <si>
    <t>HD-002892</t>
  </si>
  <si>
    <t>HD-002893</t>
  </si>
  <si>
    <t>HD-002894</t>
  </si>
  <si>
    <t>HD-002895</t>
  </si>
  <si>
    <t>HD-002896</t>
  </si>
  <si>
    <t>HD-002897</t>
  </si>
  <si>
    <t>HD-002898</t>
  </si>
  <si>
    <t>HD-002899</t>
  </si>
  <si>
    <t>HD-002900</t>
  </si>
  <si>
    <t>HD-002901</t>
  </si>
  <si>
    <t>HD-002902</t>
  </si>
  <si>
    <t>HD-002903</t>
  </si>
  <si>
    <t>HD-002904</t>
  </si>
  <si>
    <t>HD-002905</t>
  </si>
  <si>
    <t>HD-002906</t>
  </si>
  <si>
    <t>HD-002907</t>
  </si>
  <si>
    <t>HD-002908</t>
  </si>
  <si>
    <t>HD-002909</t>
  </si>
  <si>
    <t>HD-002910</t>
  </si>
  <si>
    <t>HD-002911</t>
  </si>
  <si>
    <t>HD-002912</t>
  </si>
  <si>
    <t>HD-002913</t>
  </si>
  <si>
    <t>HD-002914</t>
  </si>
  <si>
    <t>HD-002915</t>
  </si>
  <si>
    <t>HD-002916</t>
  </si>
  <si>
    <t>HD-002917</t>
  </si>
  <si>
    <t>HD-002918</t>
  </si>
  <si>
    <t>HD-002919</t>
  </si>
  <si>
    <t>HD-002920</t>
  </si>
  <si>
    <t>HD-002921</t>
  </si>
  <si>
    <t>HD-002922</t>
  </si>
  <si>
    <t>HD-002923</t>
  </si>
  <si>
    <t>HD-002924</t>
  </si>
  <si>
    <t>HD-002925</t>
  </si>
  <si>
    <t>HD-002926</t>
  </si>
  <si>
    <t>HD-002927</t>
  </si>
  <si>
    <t>HD-002928</t>
  </si>
  <si>
    <t>HD-002929</t>
  </si>
  <si>
    <t>HD-002930</t>
  </si>
  <si>
    <t>HD-002931</t>
  </si>
  <si>
    <t>HD-002932</t>
  </si>
  <si>
    <t>HD-002933</t>
  </si>
  <si>
    <t>HD-002934</t>
  </si>
  <si>
    <t>HD-002935</t>
  </si>
  <si>
    <t>HD-002936</t>
  </si>
  <si>
    <t>HD-002937</t>
  </si>
  <si>
    <t>HD-002938</t>
  </si>
  <si>
    <t>HD-002939</t>
  </si>
  <si>
    <t>HD-002940</t>
  </si>
  <si>
    <t>HD-002941</t>
  </si>
  <si>
    <t>HD-002942</t>
  </si>
  <si>
    <t>HD-002943</t>
  </si>
  <si>
    <t>HD-002944</t>
  </si>
  <si>
    <t>HD-002945</t>
  </si>
  <si>
    <t>HD-002946</t>
  </si>
  <si>
    <t>HD-002947</t>
  </si>
  <si>
    <t>HD-002948</t>
  </si>
  <si>
    <t>HD-002949</t>
  </si>
  <si>
    <t>HD-002950</t>
  </si>
  <si>
    <t>HD-002951</t>
  </si>
  <si>
    <t>HD-002952</t>
  </si>
  <si>
    <t>HD-002953</t>
  </si>
  <si>
    <t>HD-002954</t>
  </si>
  <si>
    <t>HD-002955</t>
  </si>
  <si>
    <t>HD-002956</t>
  </si>
  <si>
    <t>HD-002957</t>
  </si>
  <si>
    <t>HD-002958</t>
  </si>
  <si>
    <t>HD-002959</t>
  </si>
  <si>
    <t>HD-002960</t>
  </si>
  <si>
    <t>HD-002961</t>
  </si>
  <si>
    <t>HD-002962</t>
  </si>
  <si>
    <t>HD-002963</t>
  </si>
  <si>
    <t>HD-002964</t>
  </si>
  <si>
    <t>HD-002965</t>
  </si>
  <si>
    <t>HD-002966</t>
  </si>
  <si>
    <t>HD-002967</t>
  </si>
  <si>
    <t>HD-002968</t>
  </si>
  <si>
    <t>HD-002969</t>
  </si>
  <si>
    <t>HD-002970</t>
  </si>
  <si>
    <t>HD-002971</t>
  </si>
  <si>
    <t>HD-002972</t>
  </si>
  <si>
    <t>HD-002973</t>
  </si>
  <si>
    <t>HD-002974</t>
  </si>
  <si>
    <t>HD-002975</t>
  </si>
  <si>
    <t>HD-002976</t>
  </si>
  <si>
    <t>HD-002977</t>
  </si>
  <si>
    <t>HD-002978</t>
  </si>
  <si>
    <t>HD-002979</t>
  </si>
  <si>
    <t>HD-002980</t>
  </si>
  <si>
    <t>HD-002981</t>
  </si>
  <si>
    <t>HD-002982</t>
  </si>
  <si>
    <t>HD-002983</t>
  </si>
  <si>
    <t>HD-002984</t>
  </si>
  <si>
    <t>HD-002985</t>
  </si>
  <si>
    <t>HD-002986</t>
  </si>
  <si>
    <t>HD-002987</t>
  </si>
  <si>
    <t>HD-002988</t>
  </si>
  <si>
    <t>HD-002989</t>
  </si>
  <si>
    <t>HD-002990</t>
  </si>
  <si>
    <t>HD-002991</t>
  </si>
  <si>
    <t>HD-002992</t>
  </si>
  <si>
    <t>HD-002993</t>
  </si>
  <si>
    <t>HD-002994</t>
  </si>
  <si>
    <t>HD-002995</t>
  </si>
  <si>
    <t>HD-002996</t>
  </si>
  <si>
    <t>HD-002997</t>
  </si>
  <si>
    <t>HD-002998</t>
  </si>
  <si>
    <t>HD-002999</t>
  </si>
  <si>
    <t>HD-003000</t>
  </si>
  <si>
    <t>HD-003001</t>
  </si>
  <si>
    <t>HD-003002</t>
  </si>
  <si>
    <t>HD-003003</t>
  </si>
  <si>
    <t>HD-003004</t>
  </si>
  <si>
    <t>HD-003005</t>
  </si>
  <si>
    <t>HD-003006</t>
  </si>
  <si>
    <t>HD-003007</t>
  </si>
  <si>
    <t>HD-003008</t>
  </si>
  <si>
    <t>HD-003009</t>
  </si>
  <si>
    <t>HD-003010</t>
  </si>
  <si>
    <t>HD-003011</t>
  </si>
  <si>
    <t>HD-003012</t>
  </si>
  <si>
    <t>HD-003013</t>
  </si>
  <si>
    <t>HD-003014</t>
  </si>
  <si>
    <t>HD-003015</t>
  </si>
  <si>
    <t>HD-003016</t>
  </si>
  <si>
    <t>HD-003017</t>
  </si>
  <si>
    <t>HD-003018</t>
  </si>
  <si>
    <t>HD-003019</t>
  </si>
  <si>
    <t>HD-003020</t>
  </si>
  <si>
    <t>HD-003021</t>
  </si>
  <si>
    <t>HD-003022</t>
  </si>
  <si>
    <t>HD-003023</t>
  </si>
  <si>
    <t>HD-003024</t>
  </si>
  <si>
    <t>HD-003025</t>
  </si>
  <si>
    <t>HD-003026</t>
  </si>
  <si>
    <t>HD-003027</t>
  </si>
  <si>
    <t>HD-003028</t>
  </si>
  <si>
    <t>HD-003029</t>
  </si>
  <si>
    <t>HD-003030</t>
  </si>
  <si>
    <t>HD-003031</t>
  </si>
  <si>
    <t>HD-003032</t>
  </si>
  <si>
    <t>HD-003033</t>
  </si>
  <si>
    <t>HD-003034</t>
  </si>
  <si>
    <t>HD-003035</t>
  </si>
  <si>
    <t>HD-003036</t>
  </si>
  <si>
    <t>HD-003037</t>
  </si>
  <si>
    <t>HD-003038</t>
  </si>
  <si>
    <t>HD-003039</t>
  </si>
  <si>
    <t>HD-003040</t>
  </si>
  <si>
    <t>HD-003041</t>
  </si>
  <si>
    <t>HD-003042</t>
  </si>
  <si>
    <t>HD-003043</t>
  </si>
  <si>
    <t>HD-003044</t>
  </si>
  <si>
    <t>HD-003045</t>
  </si>
  <si>
    <t>HD-003046</t>
  </si>
  <si>
    <t>HD-003047</t>
  </si>
  <si>
    <t>HD-003048</t>
  </si>
  <si>
    <t>HD-003049</t>
  </si>
  <si>
    <t>HD-003050</t>
  </si>
  <si>
    <t>HD-003051</t>
  </si>
  <si>
    <t>HD-003052</t>
  </si>
  <si>
    <t>HD-003053</t>
  </si>
  <si>
    <t>HD-003054</t>
  </si>
  <si>
    <t>HD-003055</t>
  </si>
  <si>
    <t>HD-003056</t>
  </si>
  <si>
    <t>HD-003057</t>
  </si>
  <si>
    <t>HD-003058</t>
  </si>
  <si>
    <t>HD-003059</t>
  </si>
  <si>
    <t>HD-003060</t>
  </si>
  <si>
    <t>HD-003061</t>
  </si>
  <si>
    <t>HD-003062</t>
  </si>
  <si>
    <t>HD-003063</t>
  </si>
  <si>
    <t>HD-003064</t>
  </si>
  <si>
    <t>HD-003065</t>
  </si>
  <si>
    <t>HD-003066</t>
  </si>
  <si>
    <t>HD-003067</t>
  </si>
  <si>
    <t>HD-003068</t>
  </si>
  <si>
    <t>HD-003069</t>
  </si>
  <si>
    <t>HD-003070</t>
  </si>
  <si>
    <t>HD-003071</t>
  </si>
  <si>
    <t>HD-003072</t>
  </si>
  <si>
    <t>HD-003073</t>
  </si>
  <si>
    <t>HD-003074</t>
  </si>
  <si>
    <t>HD-003075</t>
  </si>
  <si>
    <t>HD-003076</t>
  </si>
  <si>
    <t>HD-003077</t>
  </si>
  <si>
    <t>HD-003078</t>
  </si>
  <si>
    <t>HD-003079</t>
  </si>
  <si>
    <t>HD-003080</t>
  </si>
  <si>
    <t>HD-003081</t>
  </si>
  <si>
    <t>HD-003082</t>
  </si>
  <si>
    <t>HD-003083</t>
  </si>
  <si>
    <t>HD-003084</t>
  </si>
  <si>
    <t>HD-003085</t>
  </si>
  <si>
    <t>HD-003086</t>
  </si>
  <si>
    <t>HD-003087</t>
  </si>
  <si>
    <t>HD-003088</t>
  </si>
  <si>
    <t>HD-003089</t>
  </si>
  <si>
    <t>HD-003090</t>
  </si>
  <si>
    <t>HD-003091</t>
  </si>
  <si>
    <t>HD-003092</t>
  </si>
  <si>
    <t>HD-003093</t>
  </si>
  <si>
    <t>HD-003094</t>
  </si>
  <si>
    <t>HD-003095</t>
  </si>
  <si>
    <t>HD-003096</t>
  </si>
  <si>
    <t>HD-003097</t>
  </si>
  <si>
    <t>HD-003098</t>
  </si>
  <si>
    <t>HD-003099</t>
  </si>
  <si>
    <t>HD-003100</t>
  </si>
  <si>
    <t>HD-003101</t>
  </si>
  <si>
    <t>HD-003102</t>
  </si>
  <si>
    <t>HD-003103</t>
  </si>
  <si>
    <t>HD-003104</t>
  </si>
  <si>
    <t>HD-003105</t>
  </si>
  <si>
    <t>HD-003106</t>
  </si>
  <si>
    <t>HD-003107</t>
  </si>
  <si>
    <t>HD-003108</t>
  </si>
  <si>
    <t>HD-003109</t>
  </si>
  <si>
    <t>HD-003110</t>
  </si>
  <si>
    <t>HD-003111</t>
  </si>
  <si>
    <t>HD-003112</t>
  </si>
  <si>
    <t>HD-003113</t>
  </si>
  <si>
    <t>HD-003114</t>
  </si>
  <si>
    <t>HD-003115</t>
  </si>
  <si>
    <t>HD-003116</t>
  </si>
  <si>
    <t>HD-003117</t>
  </si>
  <si>
    <t>HD-003118</t>
  </si>
  <si>
    <t>HD-003119</t>
  </si>
  <si>
    <t>HD-003120</t>
  </si>
  <si>
    <t>HD-003121</t>
  </si>
  <si>
    <t>HD-003122</t>
  </si>
  <si>
    <t>HD-003123</t>
  </si>
  <si>
    <t>HD-003124</t>
  </si>
  <si>
    <t>HD-003125</t>
  </si>
  <si>
    <t>HD-003126</t>
  </si>
  <si>
    <t>HD-003127</t>
  </si>
  <si>
    <t>HD-003128</t>
  </si>
  <si>
    <t>HD-003129</t>
  </si>
  <si>
    <t>HD-003130</t>
  </si>
  <si>
    <t>HD-003131</t>
  </si>
  <si>
    <t>HD-003132</t>
  </si>
  <si>
    <t>HD-003133</t>
  </si>
  <si>
    <t>HD-003134</t>
  </si>
  <si>
    <t>HD-003135</t>
  </si>
  <si>
    <t>HD-003136</t>
  </si>
  <si>
    <t>HD-003137</t>
  </si>
  <si>
    <t>HD-003138</t>
  </si>
  <si>
    <t>HD-003139</t>
  </si>
  <si>
    <t>HD-003140</t>
  </si>
  <si>
    <t>HD-003141</t>
  </si>
  <si>
    <t>HD-003142</t>
  </si>
  <si>
    <t>HD-003143</t>
  </si>
  <si>
    <t>HD-003144</t>
  </si>
  <si>
    <t>HD-003145</t>
  </si>
  <si>
    <t>HD-003146</t>
  </si>
  <si>
    <t>HD-003147</t>
  </si>
  <si>
    <t>HD-003148</t>
  </si>
  <si>
    <t>HD-003149</t>
  </si>
  <si>
    <t>HD-003150</t>
  </si>
  <si>
    <t>HD-003151</t>
  </si>
  <si>
    <t>HD-003152</t>
  </si>
  <si>
    <t>HD-003153</t>
  </si>
  <si>
    <t>HD-003154</t>
  </si>
  <si>
    <t>HD-003155</t>
  </si>
  <si>
    <t>HD-003156</t>
  </si>
  <si>
    <t>HD-003157</t>
  </si>
  <si>
    <t>HD-003158</t>
  </si>
  <si>
    <t>HD-003159</t>
  </si>
  <si>
    <t>HD-003160</t>
  </si>
  <si>
    <t>HD-003161</t>
  </si>
  <si>
    <t>HD-003162</t>
  </si>
  <si>
    <t>HD-003163</t>
  </si>
  <si>
    <t>HD-003164</t>
  </si>
  <si>
    <t>HD-003165</t>
  </si>
  <si>
    <t>HD-003166</t>
  </si>
  <si>
    <t>HD-003167</t>
  </si>
  <si>
    <t>HD-003168</t>
  </si>
  <si>
    <t>HD-003169</t>
  </si>
  <si>
    <t>HD-003170</t>
  </si>
  <si>
    <t>HD-003171</t>
  </si>
  <si>
    <t>HD-003172</t>
  </si>
  <si>
    <t>HD-003173</t>
  </si>
  <si>
    <t>HD-003174</t>
  </si>
  <si>
    <t>HD-003175</t>
  </si>
  <si>
    <t>HD-003176</t>
  </si>
  <si>
    <t>HD-003177</t>
  </si>
  <si>
    <t>HD-003178</t>
  </si>
  <si>
    <t>HD-003179</t>
  </si>
  <si>
    <t>HD-003180</t>
  </si>
  <si>
    <t>HD-003181</t>
  </si>
  <si>
    <t>HD-003182</t>
  </si>
  <si>
    <t>HD-003183</t>
  </si>
  <si>
    <t>HD-003184</t>
  </si>
  <si>
    <t>HD-003185</t>
  </si>
  <si>
    <t>HD-003186</t>
  </si>
  <si>
    <t>HD-003187</t>
  </si>
  <si>
    <t>HD-003188</t>
  </si>
  <si>
    <t>HD-003189</t>
  </si>
  <si>
    <t>HD-003190</t>
  </si>
  <si>
    <t>HD-003191</t>
  </si>
  <si>
    <t>HD-003192</t>
  </si>
  <si>
    <t>HD-003193</t>
  </si>
  <si>
    <t>HD-003194</t>
  </si>
  <si>
    <t>HD-003195</t>
  </si>
  <si>
    <t>HD-003196</t>
  </si>
  <si>
    <t>HD-003197</t>
  </si>
  <si>
    <t>HD-003198</t>
  </si>
  <si>
    <t>HD-003199</t>
  </si>
  <si>
    <t>HD-003200</t>
  </si>
  <si>
    <t>HD-003201</t>
  </si>
  <si>
    <t>HD-003202</t>
  </si>
  <si>
    <t>HD-003203</t>
  </si>
  <si>
    <t>HD-003204</t>
  </si>
  <si>
    <t>HD-003205</t>
  </si>
  <si>
    <t>HD-003206</t>
  </si>
  <si>
    <t>HD-003207</t>
  </si>
  <si>
    <t>HD-003208</t>
  </si>
  <si>
    <t>HD-003209</t>
  </si>
  <si>
    <t>HD-003210</t>
  </si>
  <si>
    <t>HD-003211</t>
  </si>
  <si>
    <t>HD-003212</t>
  </si>
  <si>
    <t>HD-003213</t>
  </si>
  <si>
    <t>HD-003214</t>
  </si>
  <si>
    <t>HD-003215</t>
  </si>
  <si>
    <t>HD-003216</t>
  </si>
  <si>
    <t>HD-003217</t>
  </si>
  <si>
    <t>HD-003218</t>
  </si>
  <si>
    <t>HD-003219</t>
  </si>
  <si>
    <t>HD-003220</t>
  </si>
  <si>
    <t>HD-003221</t>
  </si>
  <si>
    <t>HD-003222</t>
  </si>
  <si>
    <t>HD-003223</t>
  </si>
  <si>
    <t>HD-003224</t>
  </si>
  <si>
    <t>HD-003225</t>
  </si>
  <si>
    <t>HD-003226</t>
  </si>
  <si>
    <t>HD-003227</t>
  </si>
  <si>
    <t>HD-003228</t>
  </si>
  <si>
    <t>HD-003229</t>
  </si>
  <si>
    <t>HD-003230</t>
  </si>
  <si>
    <t>HD-003231</t>
  </si>
  <si>
    <t>HD-003232</t>
  </si>
  <si>
    <t>HD-003233</t>
  </si>
  <si>
    <t>HD-003234</t>
  </si>
  <si>
    <t>HD-003235</t>
  </si>
  <si>
    <t>HD-003236</t>
  </si>
  <si>
    <t>HD-003237</t>
  </si>
  <si>
    <t>HD-003238</t>
  </si>
  <si>
    <t>HD-003239</t>
  </si>
  <si>
    <t>HD-003240</t>
  </si>
  <si>
    <t>HD-003241</t>
  </si>
  <si>
    <t>HD-003242</t>
  </si>
  <si>
    <t>HD-003243</t>
  </si>
  <si>
    <t>HD-003244</t>
  </si>
  <si>
    <t>HD-003245</t>
  </si>
  <si>
    <t>HD-003246</t>
  </si>
  <si>
    <t>HD-003247</t>
  </si>
  <si>
    <t>HD-003248</t>
  </si>
  <si>
    <t>HD-003249</t>
  </si>
  <si>
    <t>HD-003250</t>
  </si>
  <si>
    <t>HD-003251</t>
  </si>
  <si>
    <t>HD-003252</t>
  </si>
  <si>
    <t>HD-003253</t>
  </si>
  <si>
    <t>HD-003254</t>
  </si>
  <si>
    <t>HD-003255</t>
  </si>
  <si>
    <t>HD-003256</t>
  </si>
  <si>
    <t>HD-003257</t>
  </si>
  <si>
    <t>HD-003258</t>
  </si>
  <si>
    <t>HD-003259</t>
  </si>
  <si>
    <t>HD-003260</t>
  </si>
  <si>
    <t>HD-003261</t>
  </si>
  <si>
    <t>HD-003262</t>
  </si>
  <si>
    <t>HD-003263</t>
  </si>
  <si>
    <t>HD-003264</t>
  </si>
  <si>
    <t>HD-003265</t>
  </si>
  <si>
    <t>HD-003266</t>
  </si>
  <si>
    <t>HD-003267</t>
  </si>
  <si>
    <t>HD-003268</t>
  </si>
  <si>
    <t>HD-003269</t>
  </si>
  <si>
    <t>HD-003270</t>
  </si>
  <si>
    <t>HD-003271</t>
  </si>
  <si>
    <t>HD-003272</t>
  </si>
  <si>
    <t>HD-003273</t>
  </si>
  <si>
    <t>HD-003274</t>
  </si>
  <si>
    <t>HD-003275</t>
  </si>
  <si>
    <t>HD-003276</t>
  </si>
  <si>
    <t>HD-003277</t>
  </si>
  <si>
    <t>HD-003278</t>
  </si>
  <si>
    <t>HD-003279</t>
  </si>
  <si>
    <t>HD-003280</t>
  </si>
  <si>
    <t>HD-003281</t>
  </si>
  <si>
    <t>HD-003282</t>
  </si>
  <si>
    <t>HD-003283</t>
  </si>
  <si>
    <t>HD-003284</t>
  </si>
  <si>
    <t>HD-003285</t>
  </si>
  <si>
    <t>HD-003286</t>
  </si>
  <si>
    <t>HD-003287</t>
  </si>
  <si>
    <t>HD-003288</t>
  </si>
  <si>
    <t>HD-003289</t>
  </si>
  <si>
    <t>HD-003290</t>
  </si>
  <si>
    <t>HD-003291</t>
  </si>
  <si>
    <t>HD-003292</t>
  </si>
  <si>
    <t>HD-003293</t>
  </si>
  <si>
    <t>HD-003294</t>
  </si>
  <si>
    <t>HD-003295</t>
  </si>
  <si>
    <t>HD-003296</t>
  </si>
  <si>
    <t>HD-003297</t>
  </si>
  <si>
    <t>HD-003298</t>
  </si>
  <si>
    <t>HD-003299</t>
  </si>
  <si>
    <t>HD-003300</t>
  </si>
  <si>
    <t>HD-003301</t>
  </si>
  <si>
    <t>HD-003302</t>
  </si>
  <si>
    <t>HD-003303</t>
  </si>
  <si>
    <t>HD-003304</t>
  </si>
  <si>
    <t>HD-003305</t>
  </si>
  <si>
    <t>HD-003306</t>
  </si>
  <si>
    <t>HD-003307</t>
  </si>
  <si>
    <t>HD-003308</t>
  </si>
  <si>
    <t>HD-003309</t>
  </si>
  <si>
    <t>HD-003310</t>
  </si>
  <si>
    <t>HD-003311</t>
  </si>
  <si>
    <t>HD-003312</t>
  </si>
  <si>
    <t>HD-003313</t>
  </si>
  <si>
    <t>HD-003314</t>
  </si>
  <si>
    <t>HD-003315</t>
  </si>
  <si>
    <t>HD-003316</t>
  </si>
  <si>
    <t>HD-003317</t>
  </si>
  <si>
    <t>HD-003318</t>
  </si>
  <si>
    <t>HD-003319</t>
  </si>
  <si>
    <t>HD-003320</t>
  </si>
  <si>
    <t>HD-003321</t>
  </si>
  <si>
    <t>HD-003322</t>
  </si>
  <si>
    <t>HD-003323</t>
  </si>
  <si>
    <t>HD-003324</t>
  </si>
  <si>
    <t>HD-003325</t>
  </si>
  <si>
    <t>HD-003326</t>
  </si>
  <si>
    <t>HD-003327</t>
  </si>
  <si>
    <t>HD-003328</t>
  </si>
  <si>
    <t>HD-003329</t>
  </si>
  <si>
    <t>HD-003330</t>
  </si>
  <si>
    <t>HD-003331</t>
  </si>
  <si>
    <t>HD-003332</t>
  </si>
  <si>
    <t>HD-003333</t>
  </si>
  <si>
    <t>HD-003334</t>
  </si>
  <si>
    <t>HD-003335</t>
  </si>
  <si>
    <t>HD-003336</t>
  </si>
  <si>
    <t>HD-003337</t>
  </si>
  <si>
    <t>HD-003338</t>
  </si>
  <si>
    <t>HD-003339</t>
  </si>
  <si>
    <t>HD-003340</t>
  </si>
  <si>
    <t>HD-003341</t>
  </si>
  <si>
    <t>HD-003342</t>
  </si>
  <si>
    <t>HD-003343</t>
  </si>
  <si>
    <t>HD-003344</t>
  </si>
  <si>
    <t>HD-003345</t>
  </si>
  <si>
    <t>HD-003346</t>
  </si>
  <si>
    <t>HD-003347</t>
  </si>
  <si>
    <t>HD-003348</t>
  </si>
  <si>
    <t>HD-003349</t>
  </si>
  <si>
    <t>HD-003350</t>
  </si>
  <si>
    <t>HD-003351</t>
  </si>
  <si>
    <t>HD-003352</t>
  </si>
  <si>
    <t>HD-003353</t>
  </si>
  <si>
    <t>HD-003354</t>
  </si>
  <si>
    <t>HD-003355</t>
  </si>
  <si>
    <t>HD-003356</t>
  </si>
  <si>
    <t>HD-003357</t>
  </si>
  <si>
    <t>HD-003358</t>
  </si>
  <si>
    <t>HD-003359</t>
  </si>
  <si>
    <t>HD-003360</t>
  </si>
  <si>
    <t>HD-003361</t>
  </si>
  <si>
    <t>HD-003362</t>
  </si>
  <si>
    <t>HD-003363</t>
  </si>
  <si>
    <t>HD-003364</t>
  </si>
  <si>
    <t>HD-003365</t>
  </si>
  <si>
    <t>HD-003366</t>
  </si>
  <si>
    <t>HD-003367</t>
  </si>
  <si>
    <t>HD-003368</t>
  </si>
  <si>
    <t>HD-003369</t>
  </si>
  <si>
    <t>HD-003370</t>
  </si>
  <si>
    <t>HD-003371</t>
  </si>
  <si>
    <t>HD-003372</t>
  </si>
  <si>
    <t>HD-003373</t>
  </si>
  <si>
    <t>HD-003374</t>
  </si>
  <si>
    <t>HD-003375</t>
  </si>
  <si>
    <t>HD-003376</t>
  </si>
  <si>
    <t>HD-003377</t>
  </si>
  <si>
    <t>HD-003378</t>
  </si>
  <si>
    <t>HD-003379</t>
  </si>
  <si>
    <t>HD-003380</t>
  </si>
  <si>
    <t>HD-003381</t>
  </si>
  <si>
    <t>HD-003382</t>
  </si>
  <si>
    <t>HD-003383</t>
  </si>
  <si>
    <t>HD-003384</t>
  </si>
  <si>
    <t>HD-003385</t>
  </si>
  <si>
    <t>HD-003386</t>
  </si>
  <si>
    <t>HD-003387</t>
  </si>
  <si>
    <t>HD-003388</t>
  </si>
  <si>
    <t>HD-003389</t>
  </si>
  <si>
    <t>HD-003390</t>
  </si>
  <si>
    <t>HD-003391</t>
  </si>
  <si>
    <t>HD-003392</t>
  </si>
  <si>
    <t>HD-003393</t>
  </si>
  <si>
    <t>HD-003394</t>
  </si>
  <si>
    <t>HD-003395</t>
  </si>
  <si>
    <t>HD-003396</t>
  </si>
  <si>
    <t>HD-003397</t>
  </si>
  <si>
    <t>HD-003398</t>
  </si>
  <si>
    <t>HD-003399</t>
  </si>
  <si>
    <t>HD-003400</t>
  </si>
  <si>
    <t>HD-003401</t>
  </si>
  <si>
    <t>HD-003402</t>
  </si>
  <si>
    <t>HD-003403</t>
  </si>
  <si>
    <t>HD-003404</t>
  </si>
  <si>
    <t>HD-003405</t>
  </si>
  <si>
    <t>HD-003406</t>
  </si>
  <si>
    <t>HD-003407</t>
  </si>
  <si>
    <t>HD-003408</t>
  </si>
  <si>
    <t>HD-003409</t>
  </si>
  <si>
    <t>HD-003410</t>
  </si>
  <si>
    <t>HD-003411</t>
  </si>
  <si>
    <t>HD-003412</t>
  </si>
  <si>
    <t>HD-003413</t>
  </si>
  <si>
    <t>HD-003414</t>
  </si>
  <si>
    <t>HD-003415</t>
  </si>
  <si>
    <t>HD-003416</t>
  </si>
  <si>
    <t>HD-003417</t>
  </si>
  <si>
    <t>HD-003418</t>
  </si>
  <si>
    <t>HD-003419</t>
  </si>
  <si>
    <t>HD-003420</t>
  </si>
  <si>
    <t>HD-003421</t>
  </si>
  <si>
    <t>HD-003422</t>
  </si>
  <si>
    <t>HD-003423</t>
  </si>
  <si>
    <t>HD-003424</t>
  </si>
  <si>
    <t>HD-003425</t>
  </si>
  <si>
    <t>HD-003426</t>
  </si>
  <si>
    <t>HD-003427</t>
  </si>
  <si>
    <t>HD-003428</t>
  </si>
  <si>
    <t>HD-003429</t>
  </si>
  <si>
    <t>HD-003430</t>
  </si>
  <si>
    <t>HD-003431</t>
  </si>
  <si>
    <t>HD-003432</t>
  </si>
  <si>
    <t>HD-003433</t>
  </si>
  <si>
    <t>HD-003434</t>
  </si>
  <si>
    <t>HD-003435</t>
  </si>
  <si>
    <t>HD-003436</t>
  </si>
  <si>
    <t>HD-003437</t>
  </si>
  <si>
    <t>HD-003438</t>
  </si>
  <si>
    <t>HD-003439</t>
  </si>
  <si>
    <t>HD-003440</t>
  </si>
  <si>
    <t>HD-003441</t>
  </si>
  <si>
    <t>HD-003442</t>
  </si>
  <si>
    <t>HD-003443</t>
  </si>
  <si>
    <t>HD-003444</t>
  </si>
  <si>
    <t>HD-003445</t>
  </si>
  <si>
    <t>HD-003446</t>
  </si>
  <si>
    <t>HD-003447</t>
  </si>
  <si>
    <t>HD-003448</t>
  </si>
  <si>
    <t>HD-003449</t>
  </si>
  <si>
    <t>HD-003450</t>
  </si>
  <si>
    <t>HD-003451</t>
  </si>
  <si>
    <t>HD-003452</t>
  </si>
  <si>
    <t>HD-003453</t>
  </si>
  <si>
    <t>HD-003454</t>
  </si>
  <si>
    <t>HD-003455</t>
  </si>
  <si>
    <t>HD-003456</t>
  </si>
  <si>
    <t>HD-003457</t>
  </si>
  <si>
    <t>HD-003458</t>
  </si>
  <si>
    <t>HD-003459</t>
  </si>
  <si>
    <t>HD-003460</t>
  </si>
  <si>
    <t>HD-003461</t>
  </si>
  <si>
    <t>HD-003462</t>
  </si>
  <si>
    <t>HD-003463</t>
  </si>
  <si>
    <t>HD-003464</t>
  </si>
  <si>
    <t>HD-003465</t>
  </si>
  <si>
    <t>HD-003466</t>
  </si>
  <si>
    <t>HD-003467</t>
  </si>
  <si>
    <t>HD-003468</t>
  </si>
  <si>
    <t>HD-003469</t>
  </si>
  <si>
    <t>HD-003470</t>
  </si>
  <si>
    <t>HD-003471</t>
  </si>
  <si>
    <t>HD-003472</t>
  </si>
  <si>
    <t>HD-003473</t>
  </si>
  <si>
    <t>HD-003474</t>
  </si>
  <si>
    <t>HD-003475</t>
  </si>
  <si>
    <t>HD-003476</t>
  </si>
  <si>
    <t>HD-003477</t>
  </si>
  <si>
    <t>HD-003478</t>
  </si>
  <si>
    <t>HD-003479</t>
  </si>
  <si>
    <t>HD-003480</t>
  </si>
  <si>
    <t>HD-003481</t>
  </si>
  <si>
    <t>HD-003482</t>
  </si>
  <si>
    <t>HD-003483</t>
  </si>
  <si>
    <t>HD-003484</t>
  </si>
  <si>
    <t>HD-003485</t>
  </si>
  <si>
    <t>HD-003486</t>
  </si>
  <si>
    <t>HD-003487</t>
  </si>
  <si>
    <t>HD-003488</t>
  </si>
  <si>
    <t>HD-003489</t>
  </si>
  <si>
    <t>HD-003490</t>
  </si>
  <si>
    <t>HD-003491</t>
  </si>
  <si>
    <t>HD-003492</t>
  </si>
  <si>
    <t>HD-003493</t>
  </si>
  <si>
    <t>HD-003494</t>
  </si>
  <si>
    <t>HD-003495</t>
  </si>
  <si>
    <t>HD-003496</t>
  </si>
  <si>
    <t>HD-003497</t>
  </si>
  <si>
    <t>HD-003498</t>
  </si>
  <si>
    <t>HD-003499</t>
  </si>
  <si>
    <t>HD-003500</t>
  </si>
  <si>
    <t>HD-003501</t>
  </si>
  <si>
    <t>HD-003502</t>
  </si>
  <si>
    <t>HD-003503</t>
  </si>
  <si>
    <t>HD-003504</t>
  </si>
  <si>
    <t>HD-003505</t>
  </si>
  <si>
    <t>HD-003506</t>
  </si>
  <si>
    <t>HD-003507</t>
  </si>
  <si>
    <t>HD-003508</t>
  </si>
  <si>
    <t>HD-003509</t>
  </si>
  <si>
    <t>HD-003510</t>
  </si>
  <si>
    <t>HD-003511</t>
  </si>
  <si>
    <t>HD-003512</t>
  </si>
  <si>
    <t>HD-003513</t>
  </si>
  <si>
    <t>HD-003514</t>
  </si>
  <si>
    <t>HD-003515</t>
  </si>
  <si>
    <t>HD-003516</t>
  </si>
  <si>
    <t>HD-003517</t>
  </si>
  <si>
    <t>HD-003518</t>
  </si>
  <si>
    <t>HD-003519</t>
  </si>
  <si>
    <t>HD-003520</t>
  </si>
  <si>
    <t>HD-003521</t>
  </si>
  <si>
    <t>HD-003522</t>
  </si>
  <si>
    <t>HD-003523</t>
  </si>
  <si>
    <t>HD-003524</t>
  </si>
  <si>
    <t>HD-003525</t>
  </si>
  <si>
    <t>HD-003526</t>
  </si>
  <si>
    <t>HD-003527</t>
  </si>
  <si>
    <t>HD-003528</t>
  </si>
  <si>
    <t>HD-003529</t>
  </si>
  <si>
    <t>HD-003530</t>
  </si>
  <si>
    <t>HD-003531</t>
  </si>
  <si>
    <t>HD-003532</t>
  </si>
  <si>
    <t>HD-003533</t>
  </si>
  <si>
    <t>HD-003534</t>
  </si>
  <si>
    <t>HD-003535</t>
  </si>
  <si>
    <t>HD-003536</t>
  </si>
  <si>
    <t>HD-003537</t>
  </si>
  <si>
    <t>HD-003538</t>
  </si>
  <si>
    <t>HD-003539</t>
  </si>
  <si>
    <t>HD-003540</t>
  </si>
  <si>
    <t>HD-003541</t>
  </si>
  <si>
    <t>HD-003542</t>
  </si>
  <si>
    <t>HD-003543</t>
  </si>
  <si>
    <t>HD-003544</t>
  </si>
  <si>
    <t>HD-003545</t>
  </si>
  <si>
    <t>HD-003546</t>
  </si>
  <si>
    <t>HD-003547</t>
  </si>
  <si>
    <t>HD-003548</t>
  </si>
  <si>
    <t>HD-003549</t>
  </si>
  <si>
    <t>HD-003550</t>
  </si>
  <si>
    <t>HD-003551</t>
  </si>
  <si>
    <t>HD-003552</t>
  </si>
  <si>
    <t>HD-003553</t>
  </si>
  <si>
    <t>HD-003554</t>
  </si>
  <si>
    <t>HD-003555</t>
  </si>
  <si>
    <t>HD-003556</t>
  </si>
  <si>
    <t>HD-003557</t>
  </si>
  <si>
    <t>HD-003558</t>
  </si>
  <si>
    <t>HD-003559</t>
  </si>
  <si>
    <t>HD-003560</t>
  </si>
  <si>
    <t>HD-003561</t>
  </si>
  <si>
    <t>HD-003562</t>
  </si>
  <si>
    <t>HD-003563</t>
  </si>
  <si>
    <t>HD-003564</t>
  </si>
  <si>
    <t>HD-003565</t>
  </si>
  <si>
    <t>HD-003566</t>
  </si>
  <si>
    <t>HD-003567</t>
  </si>
  <si>
    <t>HD-003568</t>
  </si>
  <si>
    <t>HD-003569</t>
  </si>
  <si>
    <t>HD-003570</t>
  </si>
  <si>
    <t>HD-003571</t>
  </si>
  <si>
    <t>HD-003572</t>
  </si>
  <si>
    <t>HD-003573</t>
  </si>
  <si>
    <t>HD-003574</t>
  </si>
  <si>
    <t>HD-003575</t>
  </si>
  <si>
    <t>HD-003576</t>
  </si>
  <si>
    <t>HD-003577</t>
  </si>
  <si>
    <t>HD-003578</t>
  </si>
  <si>
    <t>HD-003579</t>
  </si>
  <si>
    <t>HD-003580</t>
  </si>
  <si>
    <t>HD-003581</t>
  </si>
  <si>
    <t>HD-003582</t>
  </si>
  <si>
    <t>HD-003583</t>
  </si>
  <si>
    <t>HD-003584</t>
  </si>
  <si>
    <t>HD-003585</t>
  </si>
  <si>
    <t>HD-003586</t>
  </si>
  <si>
    <t>HD-003587</t>
  </si>
  <si>
    <t>HD-003588</t>
  </si>
  <si>
    <t>HD-003589</t>
  </si>
  <si>
    <t>HD-003590</t>
  </si>
  <si>
    <t>HD-003591</t>
  </si>
  <si>
    <t>HD-003592</t>
  </si>
  <si>
    <t>HD-003593</t>
  </si>
  <si>
    <t>HD-003594</t>
  </si>
  <si>
    <t>HD-003595</t>
  </si>
  <si>
    <t>HD-003596</t>
  </si>
  <si>
    <t>HD-003597</t>
  </si>
  <si>
    <t>HD-003598</t>
  </si>
  <si>
    <t>HD-003599</t>
  </si>
  <si>
    <t>HD-003600</t>
  </si>
  <si>
    <t>HD-003601</t>
  </si>
  <si>
    <t>HD-003602</t>
  </si>
  <si>
    <t>HD-003603</t>
  </si>
  <si>
    <t>HD-003604</t>
  </si>
  <si>
    <t>HD-003605</t>
  </si>
  <si>
    <t>HD-003606</t>
  </si>
  <si>
    <t>HD-003607</t>
  </si>
  <si>
    <t>HD-003608</t>
  </si>
  <si>
    <t>HD-003609</t>
  </si>
  <si>
    <t>HD-003610</t>
  </si>
  <si>
    <t>HD-003611</t>
  </si>
  <si>
    <t>HD-003612</t>
  </si>
  <si>
    <t>HD-003613</t>
  </si>
  <si>
    <t>HD-003614</t>
  </si>
  <si>
    <t>HD-003615</t>
  </si>
  <si>
    <t>HD-003616</t>
  </si>
  <si>
    <t>HD-003617</t>
  </si>
  <si>
    <t>HD-003618</t>
  </si>
  <si>
    <t>HD-003619</t>
  </si>
  <si>
    <t>HD-003620</t>
  </si>
  <si>
    <t>HD-003621</t>
  </si>
  <si>
    <t>HD-003622</t>
  </si>
  <si>
    <t>HD-003623</t>
  </si>
  <si>
    <t>HD-003624</t>
  </si>
  <si>
    <t>HD-003625</t>
  </si>
  <si>
    <t>HD-003626</t>
  </si>
  <si>
    <t>HD-003627</t>
  </si>
  <si>
    <t>HD-003628</t>
  </si>
  <si>
    <t>HD-003629</t>
  </si>
  <si>
    <t>HD-003630</t>
  </si>
  <si>
    <t>HD-003631</t>
  </si>
  <si>
    <t>HD-003632</t>
  </si>
  <si>
    <t>HD-003633</t>
  </si>
  <si>
    <t>HD-003634</t>
  </si>
  <si>
    <t>HD-003635</t>
  </si>
  <si>
    <t>HD-003636</t>
  </si>
  <si>
    <t>HD-003637</t>
  </si>
  <si>
    <t>HD-003638</t>
  </si>
  <si>
    <t>HD-003639</t>
  </si>
  <si>
    <t>HD-003640</t>
  </si>
  <si>
    <t>HD-003641</t>
  </si>
  <si>
    <t>HD-003642</t>
  </si>
  <si>
    <t>HD-003643</t>
  </si>
  <si>
    <t>HD-003644</t>
  </si>
  <si>
    <t>HD-003645</t>
  </si>
  <si>
    <t>HD-003646</t>
  </si>
  <si>
    <t>HD-003647</t>
  </si>
  <si>
    <t>HD-003648</t>
  </si>
  <si>
    <t>HD-003649</t>
  </si>
  <si>
    <t>HD-003650</t>
  </si>
  <si>
    <t>HD-003651</t>
  </si>
  <si>
    <t>HD-003652</t>
  </si>
  <si>
    <t>HD-003653</t>
  </si>
  <si>
    <t>HD-003654</t>
  </si>
  <si>
    <t>HD-003655</t>
  </si>
  <si>
    <t>HD-003656</t>
  </si>
  <si>
    <t>HD-003657</t>
  </si>
  <si>
    <t>HD-003658</t>
  </si>
  <si>
    <t>HD-003659</t>
  </si>
  <si>
    <t>HD-003660</t>
  </si>
  <si>
    <t>HD-003661</t>
  </si>
  <si>
    <t>HD-003662</t>
  </si>
  <si>
    <t>HD-003663</t>
  </si>
  <si>
    <t>HD-003664</t>
  </si>
  <si>
    <t>HD-003665</t>
  </si>
  <si>
    <t>HD-003666</t>
  </si>
  <si>
    <t>HD-003667</t>
  </si>
  <si>
    <t>HD-003668</t>
  </si>
  <si>
    <t>HD-003669</t>
  </si>
  <si>
    <t>HD-003670</t>
  </si>
  <si>
    <t>HD-003671</t>
  </si>
  <si>
    <t>HD-003672</t>
  </si>
  <si>
    <t>HD-003673</t>
  </si>
  <si>
    <t>HD-003674</t>
  </si>
  <si>
    <t>HD-003675</t>
  </si>
  <si>
    <t>HD-003676</t>
  </si>
  <si>
    <t>HD-003677</t>
  </si>
  <si>
    <t>HD-003678</t>
  </si>
  <si>
    <t>HD-003679</t>
  </si>
  <si>
    <t>HD-003680</t>
  </si>
  <si>
    <t>HD-003681</t>
  </si>
  <si>
    <t>HD-003682</t>
  </si>
  <si>
    <t>HD-003683</t>
  </si>
  <si>
    <t>HD-003684</t>
  </si>
  <si>
    <t>HD-003685</t>
  </si>
  <si>
    <t>HD-003686</t>
  </si>
  <si>
    <t>HD-003687</t>
  </si>
  <si>
    <t>HD-003688</t>
  </si>
  <si>
    <t>HD-003689</t>
  </si>
  <si>
    <t>HD-003690</t>
  </si>
  <si>
    <t>HD-003691</t>
  </si>
  <si>
    <t>HD-003692</t>
  </si>
  <si>
    <t>HD-003693</t>
  </si>
  <si>
    <t>HD-003694</t>
  </si>
  <si>
    <t>HD-003695</t>
  </si>
  <si>
    <t>HD-003696</t>
  </si>
  <si>
    <t>HD-003697</t>
  </si>
  <si>
    <t>HD-003698</t>
  </si>
  <si>
    <t>HD-003699</t>
  </si>
  <si>
    <t>HD-003700</t>
  </si>
  <si>
    <t>HD-003701</t>
  </si>
  <si>
    <t>HD-003702</t>
  </si>
  <si>
    <t>HD-003703</t>
  </si>
  <si>
    <t>HD-003704</t>
  </si>
  <si>
    <t>HD-003705</t>
  </si>
  <si>
    <t>HD-003706</t>
  </si>
  <si>
    <t>HD-003707</t>
  </si>
  <si>
    <t>HD-003708</t>
  </si>
  <si>
    <t>HD-003709</t>
  </si>
  <si>
    <t>HD-003710</t>
  </si>
  <si>
    <t>HD-003711</t>
  </si>
  <si>
    <t>HD-003712</t>
  </si>
  <si>
    <t>HD-003713</t>
  </si>
  <si>
    <t>HD-003714</t>
  </si>
  <si>
    <t>HD-003715</t>
  </si>
  <si>
    <t>HD-003716</t>
  </si>
  <si>
    <t>HD-003717</t>
  </si>
  <si>
    <t>HD-003718</t>
  </si>
  <si>
    <t>HD-003719</t>
  </si>
  <si>
    <t>HD-003720</t>
  </si>
  <si>
    <t>HD-003721</t>
  </si>
  <si>
    <t>HD-003722</t>
  </si>
  <si>
    <t>HD-003723</t>
  </si>
  <si>
    <t>HD-003724</t>
  </si>
  <si>
    <t>HD-003725</t>
  </si>
  <si>
    <t>HD-003726</t>
  </si>
  <si>
    <t>HD-003727</t>
  </si>
  <si>
    <t>HD-003728</t>
  </si>
  <si>
    <t>HD-003729</t>
  </si>
  <si>
    <t>HD-003730</t>
  </si>
  <si>
    <t>HD-003731</t>
  </si>
  <si>
    <t>HD-003732</t>
  </si>
  <si>
    <t>HD-003733</t>
  </si>
  <si>
    <t>HD-003734</t>
  </si>
  <si>
    <t>HD-003735</t>
  </si>
  <si>
    <t>HD-003736</t>
  </si>
  <si>
    <t>HD-003737</t>
  </si>
  <si>
    <t>HD-003738</t>
  </si>
  <si>
    <t>HD-003739</t>
  </si>
  <si>
    <t>HD-003740</t>
  </si>
  <si>
    <t>HD-003741</t>
  </si>
  <si>
    <t>HD-003742</t>
  </si>
  <si>
    <t>HD-003743</t>
  </si>
  <si>
    <t>HD-003744</t>
  </si>
  <si>
    <t>HD-003745</t>
  </si>
  <si>
    <t>HD-003746</t>
  </si>
  <si>
    <t>HD-003747</t>
  </si>
  <si>
    <t>HD-003748</t>
  </si>
  <si>
    <t>HD-003749</t>
  </si>
  <si>
    <t>HD-003750</t>
  </si>
  <si>
    <t>HD-003751</t>
  </si>
  <si>
    <t>HD-003752</t>
  </si>
  <si>
    <t>HD-003753</t>
  </si>
  <si>
    <t>HD-003754</t>
  </si>
  <si>
    <t>HD-003755</t>
  </si>
  <si>
    <t>HD-003756</t>
  </si>
  <si>
    <t>HD-003757</t>
  </si>
  <si>
    <t>HD-003758</t>
  </si>
  <si>
    <t>HD-003759</t>
  </si>
  <si>
    <t>HD-003760</t>
  </si>
  <si>
    <t>HD-003761</t>
  </si>
  <si>
    <t>HD-003762</t>
  </si>
  <si>
    <t>HD-003763</t>
  </si>
  <si>
    <t>HD-003764</t>
  </si>
  <si>
    <t>HD-003765</t>
  </si>
  <si>
    <t>HD-003766</t>
  </si>
  <si>
    <t>HD-003767</t>
  </si>
  <si>
    <t>HD-003768</t>
  </si>
  <si>
    <t>HD-003769</t>
  </si>
  <si>
    <t>HD-003770</t>
  </si>
  <si>
    <t>HD-003771</t>
  </si>
  <si>
    <t>HD-003772</t>
  </si>
  <si>
    <t>HD-003773</t>
  </si>
  <si>
    <t>HD-003774</t>
  </si>
  <si>
    <t>HD-003775</t>
  </si>
  <si>
    <t>HD-003776</t>
  </si>
  <si>
    <t>HD-003777</t>
  </si>
  <si>
    <t>HD-003778</t>
  </si>
  <si>
    <t>HD-003779</t>
  </si>
  <si>
    <t>HD-003780</t>
  </si>
  <si>
    <t>HD-003781</t>
  </si>
  <si>
    <t>HD-003782</t>
  </si>
  <si>
    <t>HD-003783</t>
  </si>
  <si>
    <t>HD-003784</t>
  </si>
  <si>
    <t>HD-003785</t>
  </si>
  <si>
    <t>HD-003786</t>
  </si>
  <si>
    <t>HD-003787</t>
  </si>
  <si>
    <t>HD-003788</t>
  </si>
  <si>
    <t>HD-003789</t>
  </si>
  <si>
    <t>HD-003790</t>
  </si>
  <si>
    <t>HD-003791</t>
  </si>
  <si>
    <t>HD-003792</t>
  </si>
  <si>
    <t>HD-003793</t>
  </si>
  <si>
    <t>HD-003794</t>
  </si>
  <si>
    <t>HD-003795</t>
  </si>
  <si>
    <t>HD-003796</t>
  </si>
  <si>
    <t>HD-003797</t>
  </si>
  <si>
    <t>HD-003798</t>
  </si>
  <si>
    <t>HD-003799</t>
  </si>
  <si>
    <t>HD-003800</t>
  </si>
  <si>
    <t>HD-003801</t>
  </si>
  <si>
    <t>HD-003802</t>
  </si>
  <si>
    <t>HD-003803</t>
  </si>
  <si>
    <t>HD-003804</t>
  </si>
  <si>
    <t>HD-003805</t>
  </si>
  <si>
    <t>HD-003806</t>
  </si>
  <si>
    <t>HD-003807</t>
  </si>
  <si>
    <t>HD-003808</t>
  </si>
  <si>
    <t>HD-003809</t>
  </si>
  <si>
    <t>HD-003810</t>
  </si>
  <si>
    <t>HD-003811</t>
  </si>
  <si>
    <t>HD-003812</t>
  </si>
  <si>
    <t>HD-003813</t>
  </si>
  <si>
    <t>HD-003814</t>
  </si>
  <si>
    <t>HD-003815</t>
  </si>
  <si>
    <t>HD-003816</t>
  </si>
  <si>
    <t>HD-003817</t>
  </si>
  <si>
    <t>HD-003818</t>
  </si>
  <si>
    <t>HD-003819</t>
  </si>
  <si>
    <t>HD-003820</t>
  </si>
  <si>
    <t>HD-003821</t>
  </si>
  <si>
    <t>HD-003822</t>
  </si>
  <si>
    <t>HD-003823</t>
  </si>
  <si>
    <t>HD-003824</t>
  </si>
  <si>
    <t>HD-003825</t>
  </si>
  <si>
    <t>HD-003826</t>
  </si>
  <si>
    <t>HD-003827</t>
  </si>
  <si>
    <t>HD-003828</t>
  </si>
  <si>
    <t>HD-003829</t>
  </si>
  <si>
    <t>HD-003830</t>
  </si>
  <si>
    <t>HD-003831</t>
  </si>
  <si>
    <t>HD-003832</t>
  </si>
  <si>
    <t>HD-003833</t>
  </si>
  <si>
    <t>HD-003834</t>
  </si>
  <si>
    <t>HD-003835</t>
  </si>
  <si>
    <t>HD-003836</t>
  </si>
  <si>
    <t>HD-003837</t>
  </si>
  <si>
    <t>HD-003838</t>
  </si>
  <si>
    <t>HD-003839</t>
  </si>
  <si>
    <t>HD-003840</t>
  </si>
  <si>
    <t>HD-003841</t>
  </si>
  <si>
    <t>HD-003842</t>
  </si>
  <si>
    <t>HD-003843</t>
  </si>
  <si>
    <t>HD-003844</t>
  </si>
  <si>
    <t>HD-003845</t>
  </si>
  <si>
    <t>HD-003846</t>
  </si>
  <si>
    <t>HD-003847</t>
  </si>
  <si>
    <t>HD-003848</t>
  </si>
  <si>
    <t>HD-003849</t>
  </si>
  <si>
    <t>HD-003850</t>
  </si>
  <si>
    <t>HD-003851</t>
  </si>
  <si>
    <t>HD-003852</t>
  </si>
  <si>
    <t>HD-003853</t>
  </si>
  <si>
    <t>HD-003854</t>
  </si>
  <si>
    <t>HD-003855</t>
  </si>
  <si>
    <t>HD-003856</t>
  </si>
  <si>
    <t>HD-003857</t>
  </si>
  <si>
    <t>HD-003858</t>
  </si>
  <si>
    <t>HD-003859</t>
  </si>
  <si>
    <t>HD-003860</t>
  </si>
  <si>
    <t>HD-003861</t>
  </si>
  <si>
    <t>HD-003862</t>
  </si>
  <si>
    <t>HD-003863</t>
  </si>
  <si>
    <t>HD-003864</t>
  </si>
  <si>
    <t>HD-003865</t>
  </si>
  <si>
    <t>HD-003866</t>
  </si>
  <si>
    <t>HD-003867</t>
  </si>
  <si>
    <t>HD-003868</t>
  </si>
  <si>
    <t>HD-003869</t>
  </si>
  <si>
    <t>HD-003870</t>
  </si>
  <si>
    <t>HD-003871</t>
  </si>
  <si>
    <t>HD-003872</t>
  </si>
  <si>
    <t>HD-003873</t>
  </si>
  <si>
    <t>HD-003874</t>
  </si>
  <si>
    <t>HD-003875</t>
  </si>
  <si>
    <t>HD-003876</t>
  </si>
  <si>
    <t>HD-003877</t>
  </si>
  <si>
    <t>HD-003878</t>
  </si>
  <si>
    <t>HD-003879</t>
  </si>
  <si>
    <t>HD-003880</t>
  </si>
  <si>
    <t>HD-003881</t>
  </si>
  <si>
    <t>HD-003882</t>
  </si>
  <si>
    <t>HD-003883</t>
  </si>
  <si>
    <t>HD-003884</t>
  </si>
  <si>
    <t>HD-003885</t>
  </si>
  <si>
    <t>HD-003886</t>
  </si>
  <si>
    <t>HD-003887</t>
  </si>
  <si>
    <t>HD-003888</t>
  </si>
  <si>
    <t>HD-003889</t>
  </si>
  <si>
    <t>HD-003890</t>
  </si>
  <si>
    <t>HD-003891</t>
  </si>
  <si>
    <t>HD-003892</t>
  </si>
  <si>
    <t>HD-003893</t>
  </si>
  <si>
    <t>HD-003894</t>
  </si>
  <si>
    <t>HD-003895</t>
  </si>
  <si>
    <t>HD-003896</t>
  </si>
  <si>
    <t>HD-003897</t>
  </si>
  <si>
    <t>HD-003898</t>
  </si>
  <si>
    <t>HD-003899</t>
  </si>
  <si>
    <t>HD-003900</t>
  </si>
  <si>
    <t>HD-003901</t>
  </si>
  <si>
    <t>HD-003902</t>
  </si>
  <si>
    <t>HD-003903</t>
  </si>
  <si>
    <t>HD-003904</t>
  </si>
  <si>
    <t>HD-003905</t>
  </si>
  <si>
    <t>HD-003906</t>
  </si>
  <si>
    <t>HD-003907</t>
  </si>
  <si>
    <t>HD-003908</t>
  </si>
  <si>
    <t>HD-003909</t>
  </si>
  <si>
    <t>HD-003910</t>
  </si>
  <si>
    <t>HD-003911</t>
  </si>
  <si>
    <t>HD-003912</t>
  </si>
  <si>
    <t>HD-003913</t>
  </si>
  <si>
    <t>HD-003914</t>
  </si>
  <si>
    <t>HD-003915</t>
  </si>
  <si>
    <t>HD-003916</t>
  </si>
  <si>
    <t>HD-003917</t>
  </si>
  <si>
    <t>HD-003918</t>
  </si>
  <si>
    <t>HD-003919</t>
  </si>
  <si>
    <t>HD-003920</t>
  </si>
  <si>
    <t>HD-003921</t>
  </si>
  <si>
    <t>HD-003922</t>
  </si>
  <si>
    <t>HD-003923</t>
  </si>
  <si>
    <t>HD-003924</t>
  </si>
  <si>
    <t>HD-003925</t>
  </si>
  <si>
    <t>HD-003926</t>
  </si>
  <si>
    <t>HD-003927</t>
  </si>
  <si>
    <t>HD-003928</t>
  </si>
  <si>
    <t>HD-003929</t>
  </si>
  <si>
    <t>HD-003930</t>
  </si>
  <si>
    <t>HD-003931</t>
  </si>
  <si>
    <t>HD-003932</t>
  </si>
  <si>
    <t>HD-003933</t>
  </si>
  <si>
    <t>HD-003934</t>
  </si>
  <si>
    <t>HD-003935</t>
  </si>
  <si>
    <t>HD-003936</t>
  </si>
  <si>
    <t>HD-003937</t>
  </si>
  <si>
    <t>HD-003938</t>
  </si>
  <si>
    <t>HD-003939</t>
  </si>
  <si>
    <t>HD-003940</t>
  </si>
  <si>
    <t>HD-003941</t>
  </si>
  <si>
    <t>HD-003942</t>
  </si>
  <si>
    <t>HD-003943</t>
  </si>
  <si>
    <t>HD-003944</t>
  </si>
  <si>
    <t>HD-003945</t>
  </si>
  <si>
    <t>HD-003946</t>
  </si>
  <si>
    <t>HD-003947</t>
  </si>
  <si>
    <t>HD-003948</t>
  </si>
  <si>
    <t>HD-003949</t>
  </si>
  <si>
    <t>HD-003950</t>
  </si>
  <si>
    <t>HD-003951</t>
  </si>
  <si>
    <t>HD-003952</t>
  </si>
  <si>
    <t>HD-003953</t>
  </si>
  <si>
    <t>HD-003954</t>
  </si>
  <si>
    <t>HD-003955</t>
  </si>
  <si>
    <t>HD-003956</t>
  </si>
  <si>
    <t>HD-003957</t>
  </si>
  <si>
    <t>HD-003958</t>
  </si>
  <si>
    <t>HD-003959</t>
  </si>
  <si>
    <t>HD-003960</t>
  </si>
  <si>
    <t>HD-003961</t>
  </si>
  <si>
    <t>HD-003962</t>
  </si>
  <si>
    <t>HD-003963</t>
  </si>
  <si>
    <t>HD-003964</t>
  </si>
  <si>
    <t>HD-003965</t>
  </si>
  <si>
    <t>HD-003966</t>
  </si>
  <si>
    <t>HD-003967</t>
  </si>
  <si>
    <t>HD-003968</t>
  </si>
  <si>
    <t>HD-003969</t>
  </si>
  <si>
    <t>HD-003970</t>
  </si>
  <si>
    <t>HD-003971</t>
  </si>
  <si>
    <t>HD-003972</t>
  </si>
  <si>
    <t>HD-003973</t>
  </si>
  <si>
    <t>HD-003974</t>
  </si>
  <si>
    <t>HD-003975</t>
  </si>
  <si>
    <t>HD-003976</t>
  </si>
  <si>
    <t>HD-003977</t>
  </si>
  <si>
    <t>HD-003978</t>
  </si>
  <si>
    <t>HD-003979</t>
  </si>
  <si>
    <t>HD-003980</t>
  </si>
  <si>
    <t>HD-003981</t>
  </si>
  <si>
    <t>HD-003982</t>
  </si>
  <si>
    <t>HD-003983</t>
  </si>
  <si>
    <t>HD-003984</t>
  </si>
  <si>
    <t>HD-003985</t>
  </si>
  <si>
    <t>HD-003986</t>
  </si>
  <si>
    <t>HD-003987</t>
  </si>
  <si>
    <t>HD-003988</t>
  </si>
  <si>
    <t>HD-003989</t>
  </si>
  <si>
    <t>HD-003990</t>
  </si>
  <si>
    <t>HD-003991</t>
  </si>
  <si>
    <t>HD-003992</t>
  </si>
  <si>
    <t>HD-003993</t>
  </si>
  <si>
    <t>HD-003994</t>
  </si>
  <si>
    <t>HD-003995</t>
  </si>
  <si>
    <t>HD-003996</t>
  </si>
  <si>
    <t>HD-003997</t>
  </si>
  <si>
    <t>HD-003998</t>
  </si>
  <si>
    <t>HD-003999</t>
  </si>
  <si>
    <t>HD-004000</t>
  </si>
  <si>
    <t>HD-004001</t>
  </si>
  <si>
    <t>HD-004002</t>
  </si>
  <si>
    <t>HD-004003</t>
  </si>
  <si>
    <t>HD-004004</t>
  </si>
  <si>
    <t>HD-004005</t>
  </si>
  <si>
    <t>HD-004006</t>
  </si>
  <si>
    <t>HD-004007</t>
  </si>
  <si>
    <t>HD-004008</t>
  </si>
  <si>
    <t>HD-004009</t>
  </si>
  <si>
    <t>HD-004010</t>
  </si>
  <si>
    <t>HD-004011</t>
  </si>
  <si>
    <t>HD-004012</t>
  </si>
  <si>
    <t>HD-004013</t>
  </si>
  <si>
    <t>HD-004014</t>
  </si>
  <si>
    <t>HD-004015</t>
  </si>
  <si>
    <t>HD-004016</t>
  </si>
  <si>
    <t>HD-004017</t>
  </si>
  <si>
    <t>HD-004018</t>
  </si>
  <si>
    <t>HD-004019</t>
  </si>
  <si>
    <t>HD-004020</t>
  </si>
  <si>
    <t>HD-004021</t>
  </si>
  <si>
    <t>HD-004022</t>
  </si>
  <si>
    <t>HD-004023</t>
  </si>
  <si>
    <t>HD-004024</t>
  </si>
  <si>
    <t>HD-004025</t>
  </si>
  <si>
    <t>HD-004026</t>
  </si>
  <si>
    <t>HD-004027</t>
  </si>
  <si>
    <t>HD-004028</t>
  </si>
  <si>
    <t>HD-004029</t>
  </si>
  <si>
    <t>HD-004030</t>
  </si>
  <si>
    <t>HD-004031</t>
  </si>
  <si>
    <t>HD-004032</t>
  </si>
  <si>
    <t>HD-004033</t>
  </si>
  <si>
    <t>HD-004034</t>
  </si>
  <si>
    <t>HD-004035</t>
  </si>
  <si>
    <t>HD-004036</t>
  </si>
  <si>
    <t>HD-004037</t>
  </si>
  <si>
    <t>HD-004038</t>
  </si>
  <si>
    <t>HD-004039</t>
  </si>
  <si>
    <t>HD-004040</t>
  </si>
  <si>
    <t>HD-004041</t>
  </si>
  <si>
    <t>HD-004042</t>
  </si>
  <si>
    <t>HD-004043</t>
  </si>
  <si>
    <t>HD-004044</t>
  </si>
  <si>
    <t>HD-004045</t>
  </si>
  <si>
    <t>HD-004046</t>
  </si>
  <si>
    <t>HD-004047</t>
  </si>
  <si>
    <t>HD-004048</t>
  </si>
  <si>
    <t>HD-004049</t>
  </si>
  <si>
    <t>HD-004050</t>
  </si>
  <si>
    <t>HD-004051</t>
  </si>
  <si>
    <t>HD-004052</t>
  </si>
  <si>
    <t>HD-004053</t>
  </si>
  <si>
    <t>HD-004054</t>
  </si>
  <si>
    <t>HD-004055</t>
  </si>
  <si>
    <t>HD-004056</t>
  </si>
  <si>
    <t>HD-004057</t>
  </si>
  <si>
    <t>HD-004058</t>
  </si>
  <si>
    <t>HD-004059</t>
  </si>
  <si>
    <t>HD-004060</t>
  </si>
  <si>
    <t>HD-004061</t>
  </si>
  <si>
    <t>HD-004062</t>
  </si>
  <si>
    <t>HD-004063</t>
  </si>
  <si>
    <t>HD-004064</t>
  </si>
  <si>
    <t>HD-004065</t>
  </si>
  <si>
    <t>HD-004066</t>
  </si>
  <si>
    <t>HD-004067</t>
  </si>
  <si>
    <t>HD-004068</t>
  </si>
  <si>
    <t>HD-004069</t>
  </si>
  <si>
    <t>HD-004070</t>
  </si>
  <si>
    <t>HD-004071</t>
  </si>
  <si>
    <t>HD-004072</t>
  </si>
  <si>
    <t>HD-004073</t>
  </si>
  <si>
    <t>HD-004074</t>
  </si>
  <si>
    <t>HD-004075</t>
  </si>
  <si>
    <t>HD-004076</t>
  </si>
  <si>
    <t>HD-004077</t>
  </si>
  <si>
    <t>HD-004078</t>
  </si>
  <si>
    <t>HD-004079</t>
  </si>
  <si>
    <t>HD-004080</t>
  </si>
  <si>
    <t>HD-004081</t>
  </si>
  <si>
    <t>HD-004082</t>
  </si>
  <si>
    <t>HD-004083</t>
  </si>
  <si>
    <t>HD-004084</t>
  </si>
  <si>
    <t>HD-004085</t>
  </si>
  <si>
    <t>HD-004086</t>
  </si>
  <si>
    <t>HD-004087</t>
  </si>
  <si>
    <t>HD-004088</t>
  </si>
  <si>
    <t>HD-004089</t>
  </si>
  <si>
    <t>HD-004090</t>
  </si>
  <si>
    <t>HD-004091</t>
  </si>
  <si>
    <t>HD-004092</t>
  </si>
  <si>
    <t>HD-004093</t>
  </si>
  <si>
    <t>HD-004094</t>
  </si>
  <si>
    <t>HD-004095</t>
  </si>
  <si>
    <t>HD-004096</t>
  </si>
  <si>
    <t>HD-004097</t>
  </si>
  <si>
    <t>HD-004098</t>
  </si>
  <si>
    <t>HD-004099</t>
  </si>
  <si>
    <t>HD-004100</t>
  </si>
  <si>
    <t>HD-004101</t>
  </si>
  <si>
    <t>HD-004102</t>
  </si>
  <si>
    <t>HD-004103</t>
  </si>
  <si>
    <t>HD-004104</t>
  </si>
  <si>
    <t>HD-004105</t>
  </si>
  <si>
    <t>HD-004106</t>
  </si>
  <si>
    <t>HD-004107</t>
  </si>
  <si>
    <t>HD-004108</t>
  </si>
  <si>
    <t>HD-004109</t>
  </si>
  <si>
    <t>HD-004110</t>
  </si>
  <si>
    <t>HD-004111</t>
  </si>
  <si>
    <t>HD-004112</t>
  </si>
  <si>
    <t>HD-004113</t>
  </si>
  <si>
    <t>HD-004114</t>
  </si>
  <si>
    <t>HD-004115</t>
  </si>
  <si>
    <t>HD-004116</t>
  </si>
  <si>
    <t>HD-004117</t>
  </si>
  <si>
    <t>HD-004118</t>
  </si>
  <si>
    <t>HD-004119</t>
  </si>
  <si>
    <t>HD-004120</t>
  </si>
  <si>
    <t>HD-004121</t>
  </si>
  <si>
    <t>HD-004122</t>
  </si>
  <si>
    <t>HD-004123</t>
  </si>
  <si>
    <t>HD-004124</t>
  </si>
  <si>
    <t>HD-004125</t>
  </si>
  <si>
    <t>HD-004126</t>
  </si>
  <si>
    <t>HD-004127</t>
  </si>
  <si>
    <t>HD-004128</t>
  </si>
  <si>
    <t>HD-004129</t>
  </si>
  <si>
    <t>HD-004130</t>
  </si>
  <si>
    <t>HD-004131</t>
  </si>
  <si>
    <t>HD-004132</t>
  </si>
  <si>
    <t>HD-004133</t>
  </si>
  <si>
    <t>HD-004134</t>
  </si>
  <si>
    <t>HD-004135</t>
  </si>
  <si>
    <t>HD-004136</t>
  </si>
  <si>
    <t>HD-004137</t>
  </si>
  <si>
    <t>HD-004138</t>
  </si>
  <si>
    <t>HD-004139</t>
  </si>
  <si>
    <t>HD-004140</t>
  </si>
  <si>
    <t>HD-004141</t>
  </si>
  <si>
    <t>HD-004142</t>
  </si>
  <si>
    <t>HD-004143</t>
  </si>
  <si>
    <t>HD-004144</t>
  </si>
  <si>
    <t>HD-004145</t>
  </si>
  <si>
    <t>HD-004146</t>
  </si>
  <si>
    <t>HD-004147</t>
  </si>
  <si>
    <t>HD-004148</t>
  </si>
  <si>
    <t>HD-004149</t>
  </si>
  <si>
    <t>HD-004150</t>
  </si>
  <si>
    <t>HD-004151</t>
  </si>
  <si>
    <t>HD-004152</t>
  </si>
  <si>
    <t>HD-004153</t>
  </si>
  <si>
    <t>HD-004154</t>
  </si>
  <si>
    <t>HD-004155</t>
  </si>
  <si>
    <t>HD-004156</t>
  </si>
  <si>
    <t>HD-004157</t>
  </si>
  <si>
    <t>HD-004158</t>
  </si>
  <si>
    <t>HD-004159</t>
  </si>
  <si>
    <t>HD-004160</t>
  </si>
  <si>
    <t>HD-004161</t>
  </si>
  <si>
    <t>HD-004162</t>
  </si>
  <si>
    <t>HD-004163</t>
  </si>
  <si>
    <t>HD-004164</t>
  </si>
  <si>
    <t>HD-004165</t>
  </si>
  <si>
    <t>HD-004166</t>
  </si>
  <si>
    <t>HD-004167</t>
  </si>
  <si>
    <t>HD-004168</t>
  </si>
  <si>
    <t>HD-004169</t>
  </si>
  <si>
    <t>HD-004170</t>
  </si>
  <si>
    <t>HD-004171</t>
  </si>
  <si>
    <t>HD-004172</t>
  </si>
  <si>
    <t>HD-004173</t>
  </si>
  <si>
    <t>HD-004174</t>
  </si>
  <si>
    <t>HD-004175</t>
  </si>
  <si>
    <t>HD-004176</t>
  </si>
  <si>
    <t>HD-004177</t>
  </si>
  <si>
    <t>HD-004178</t>
  </si>
  <si>
    <t>HD-004179</t>
  </si>
  <si>
    <t>HD-004180</t>
  </si>
  <si>
    <t>HD-004181</t>
  </si>
  <si>
    <t>HD-004182</t>
  </si>
  <si>
    <t>HD-004183</t>
  </si>
  <si>
    <t>HD-004184</t>
  </si>
  <si>
    <t>HD-004185</t>
  </si>
  <si>
    <t>HD-004186</t>
  </si>
  <si>
    <t>HD-004187</t>
  </si>
  <si>
    <t>HD-004188</t>
  </si>
  <si>
    <t>HD-004189</t>
  </si>
  <si>
    <t>HD-004190</t>
  </si>
  <si>
    <t>HD-004191</t>
  </si>
  <si>
    <t>HD-004192</t>
  </si>
  <si>
    <t>HD-004193</t>
  </si>
  <si>
    <t>HD-004194</t>
  </si>
  <si>
    <t>HD-004195</t>
  </si>
  <si>
    <t>HD-004196</t>
  </si>
  <si>
    <t>HD-004197</t>
  </si>
  <si>
    <t>HD-004198</t>
  </si>
  <si>
    <t>HD-004199</t>
  </si>
  <si>
    <t>HD-004200</t>
  </si>
  <si>
    <t>HD-004201</t>
  </si>
  <si>
    <t>HD-004202</t>
  </si>
  <si>
    <t>HD-004203</t>
  </si>
  <si>
    <t>HD-004204</t>
  </si>
  <si>
    <t>HD-004205</t>
  </si>
  <si>
    <t>HD-004206</t>
  </si>
  <si>
    <t>HD-004207</t>
  </si>
  <si>
    <t>HD-004208</t>
  </si>
  <si>
    <t>HD-004209</t>
  </si>
  <si>
    <t>HD-004210</t>
  </si>
  <si>
    <t>HD-004211</t>
  </si>
  <si>
    <t>HD-004212</t>
  </si>
  <si>
    <t>HD-004213</t>
  </si>
  <si>
    <t>HD-004214</t>
  </si>
  <si>
    <t>HD-004215</t>
  </si>
  <si>
    <t>HD-004216</t>
  </si>
  <si>
    <t>HD-004217</t>
  </si>
  <si>
    <t>HD-004218</t>
  </si>
  <si>
    <t>HD-004219</t>
  </si>
  <si>
    <t>HD-004220</t>
  </si>
  <si>
    <t>HD-004221</t>
  </si>
  <si>
    <t>HD-004222</t>
  </si>
  <si>
    <t>HD-004223</t>
  </si>
  <si>
    <t>HD-004224</t>
  </si>
  <si>
    <t>HD-004225</t>
  </si>
  <si>
    <t>HD-004226</t>
  </si>
  <si>
    <t>HD-004227</t>
  </si>
  <si>
    <t>HD-004228</t>
  </si>
  <si>
    <t>HD-004229</t>
  </si>
  <si>
    <t>HD-004230</t>
  </si>
  <si>
    <t>HD-004231</t>
  </si>
  <si>
    <t>HD-004232</t>
  </si>
  <si>
    <t>HD-004233</t>
  </si>
  <si>
    <t>HD-004234</t>
  </si>
  <si>
    <t>HD-004235</t>
  </si>
  <si>
    <t>HD-004236</t>
  </si>
  <si>
    <t>HD-004237</t>
  </si>
  <si>
    <t>HD-004238</t>
  </si>
  <si>
    <t>HD-004239</t>
  </si>
  <si>
    <t>HD-004240</t>
  </si>
  <si>
    <t>HD-004241</t>
  </si>
  <si>
    <t>HD-004242</t>
  </si>
  <si>
    <t>HD-004243</t>
  </si>
  <si>
    <t>HD-004244</t>
  </si>
  <si>
    <t>HD-004245</t>
  </si>
  <si>
    <t>HD-004246</t>
  </si>
  <si>
    <t>HD-004247</t>
  </si>
  <si>
    <t>HD-004248</t>
  </si>
  <si>
    <t>HD-004249</t>
  </si>
  <si>
    <t>HD-004250</t>
  </si>
  <si>
    <t>HD-004251</t>
  </si>
  <si>
    <t>HD-004252</t>
  </si>
  <si>
    <t>HD-004253</t>
  </si>
  <si>
    <t>HD-004254</t>
  </si>
  <si>
    <t>HD-004255</t>
  </si>
  <si>
    <t>HD-004256</t>
  </si>
  <si>
    <t>HD-004257</t>
  </si>
  <si>
    <t>HD-004258</t>
  </si>
  <si>
    <t>HD-004259</t>
  </si>
  <si>
    <t>HD-004260</t>
  </si>
  <si>
    <t>HD-004261</t>
  </si>
  <si>
    <t>HD-004262</t>
  </si>
  <si>
    <t>HD-004263</t>
  </si>
  <si>
    <t>HD-004264</t>
  </si>
  <si>
    <t>HD-004265</t>
  </si>
  <si>
    <t>HD-004266</t>
  </si>
  <si>
    <t>HD-004267</t>
  </si>
  <si>
    <t>HD-004268</t>
  </si>
  <si>
    <t>HD-004269</t>
  </si>
  <si>
    <t>HD-004270</t>
  </si>
  <si>
    <t>HD-004271</t>
  </si>
  <si>
    <t>HD-004272</t>
  </si>
  <si>
    <t>HD-004273</t>
  </si>
  <si>
    <t>HD-004274</t>
  </si>
  <si>
    <t>HD-004275</t>
  </si>
  <si>
    <t>HD-004276</t>
  </si>
  <si>
    <t>HD-004277</t>
  </si>
  <si>
    <t>HD-004278</t>
  </si>
  <si>
    <t>HD-004279</t>
  </si>
  <si>
    <t>HD-004280</t>
  </si>
  <si>
    <t>HD-004281</t>
  </si>
  <si>
    <t>HD-004282</t>
  </si>
  <si>
    <t>HD-004283</t>
  </si>
  <si>
    <t>HD-004284</t>
  </si>
  <si>
    <t>HD-004285</t>
  </si>
  <si>
    <t>HD-004286</t>
  </si>
  <si>
    <t>HD-004287</t>
  </si>
  <si>
    <t>HD-004288</t>
  </si>
  <si>
    <t>HD-004289</t>
  </si>
  <si>
    <t>HD-004290</t>
  </si>
  <si>
    <t>HD-004291</t>
  </si>
  <si>
    <t>HD-004292</t>
  </si>
  <si>
    <t>HD-004293</t>
  </si>
  <si>
    <t>HD-004294</t>
  </si>
  <si>
    <t>HD-004295</t>
  </si>
  <si>
    <t>HD-004296</t>
  </si>
  <si>
    <t>HD-004297</t>
  </si>
  <si>
    <t>HD-004298</t>
  </si>
  <si>
    <t>HD-004299</t>
  </si>
  <si>
    <t>HD-004300</t>
  </si>
  <si>
    <t>HD-004301</t>
  </si>
  <si>
    <t>HD-004302</t>
  </si>
  <si>
    <t>HD-004303</t>
  </si>
  <si>
    <t>HD-004304</t>
  </si>
  <si>
    <t>HD-004305</t>
  </si>
  <si>
    <t>HD-004306</t>
  </si>
  <si>
    <t>HD-004307</t>
  </si>
  <si>
    <t>HD-004308</t>
  </si>
  <si>
    <t>HD-004309</t>
  </si>
  <si>
    <t>HD-004310</t>
  </si>
  <si>
    <t>HD-004311</t>
  </si>
  <si>
    <t>HD-004312</t>
  </si>
  <si>
    <t>HD-004313</t>
  </si>
  <si>
    <t>HD-004314</t>
  </si>
  <si>
    <t>HD-004315</t>
  </si>
  <si>
    <t>HD-004316</t>
  </si>
  <si>
    <t>HD-004317</t>
  </si>
  <si>
    <t>HD-004318</t>
  </si>
  <si>
    <t>HD-004319</t>
  </si>
  <si>
    <t>HD-004320</t>
  </si>
  <si>
    <t>HD-004321</t>
  </si>
  <si>
    <t>HD-004322</t>
  </si>
  <si>
    <t>HD-004323</t>
  </si>
  <si>
    <t>HD-004324</t>
  </si>
  <si>
    <t>HD-004325</t>
  </si>
  <si>
    <t>HD-004326</t>
  </si>
  <si>
    <t>HD-004327</t>
  </si>
  <si>
    <t>HD-004328</t>
  </si>
  <si>
    <t>HD-004329</t>
  </si>
  <si>
    <t>HD-004330</t>
  </si>
  <si>
    <t>HD-004331</t>
  </si>
  <si>
    <t>HD-004332</t>
  </si>
  <si>
    <t>HD-004333</t>
  </si>
  <si>
    <t>HD-004334</t>
  </si>
  <si>
    <t>HD-004335</t>
  </si>
  <si>
    <t>HD-004336</t>
  </si>
  <si>
    <t>HD-004337</t>
  </si>
  <si>
    <t>HD-004338</t>
  </si>
  <si>
    <t>HD-004339</t>
  </si>
  <si>
    <t>HD-004340</t>
  </si>
  <si>
    <t>HD-004341</t>
  </si>
  <si>
    <t>HD-004342</t>
  </si>
  <si>
    <t>HD-004343</t>
  </si>
  <si>
    <t>HD-004344</t>
  </si>
  <si>
    <t>HD-004345</t>
  </si>
  <si>
    <t>HD-004346</t>
  </si>
  <si>
    <t>HD-004347</t>
  </si>
  <si>
    <t>HD-004348</t>
  </si>
  <si>
    <t>HD-004349</t>
  </si>
  <si>
    <t>HD-004350</t>
  </si>
  <si>
    <t>HD-004351</t>
  </si>
  <si>
    <t>HD-004352</t>
  </si>
  <si>
    <t>HD-004353</t>
  </si>
  <si>
    <t>HD-004354</t>
  </si>
  <si>
    <t>HD-004355</t>
  </si>
  <si>
    <t>HD-004356</t>
  </si>
  <si>
    <t>HD-004357</t>
  </si>
  <si>
    <t>HD-004358</t>
  </si>
  <si>
    <t>HD-004359</t>
  </si>
  <si>
    <t>HD-004360</t>
  </si>
  <si>
    <t>HD-004361</t>
  </si>
  <si>
    <t>HD-004362</t>
  </si>
  <si>
    <t>HD-004363</t>
  </si>
  <si>
    <t>HD-004364</t>
  </si>
  <si>
    <t>HD-004365</t>
  </si>
  <si>
    <t>HD-004366</t>
  </si>
  <si>
    <t>HD-004367</t>
  </si>
  <si>
    <t>HD-004368</t>
  </si>
  <si>
    <t>HD-004369</t>
  </si>
  <si>
    <t>HD-004370</t>
  </si>
  <si>
    <t>HD-004371</t>
  </si>
  <si>
    <t>HD-004372</t>
  </si>
  <si>
    <t>HD-004373</t>
  </si>
  <si>
    <t>HD-004374</t>
  </si>
  <si>
    <t>HD-004375</t>
  </si>
  <si>
    <t>HD-004376</t>
  </si>
  <si>
    <t>HD-004377</t>
  </si>
  <si>
    <t>HD-004378</t>
  </si>
  <si>
    <t>HD-004379</t>
  </si>
  <si>
    <t>HD-004380</t>
  </si>
  <si>
    <t>HD-004381</t>
  </si>
  <si>
    <t>HD-004382</t>
  </si>
  <si>
    <t>HD-004383</t>
  </si>
  <si>
    <t>HD-004384</t>
  </si>
  <si>
    <t>HD-004385</t>
  </si>
  <si>
    <t>HD-004386</t>
  </si>
  <si>
    <t>HD-004387</t>
  </si>
  <si>
    <t>HD-004388</t>
  </si>
  <si>
    <t>HD-004389</t>
  </si>
  <si>
    <t>HD-004390</t>
  </si>
  <si>
    <t>HD-004391</t>
  </si>
  <si>
    <t>HD-004392</t>
  </si>
  <si>
    <t>HD-004393</t>
  </si>
  <si>
    <t>HD-004394</t>
  </si>
  <si>
    <t>HD-004395</t>
  </si>
  <si>
    <t>HD-004396</t>
  </si>
  <si>
    <t>HD-004397</t>
  </si>
  <si>
    <t>HD-004398</t>
  </si>
  <si>
    <t>HD-004399</t>
  </si>
  <si>
    <t>HD-004400</t>
  </si>
  <si>
    <t>HD-004401</t>
  </si>
  <si>
    <t>HD-004402</t>
  </si>
  <si>
    <t>HD-004403</t>
  </si>
  <si>
    <t>HD-004404</t>
  </si>
  <si>
    <t>HD-004405</t>
  </si>
  <si>
    <t>HD-004406</t>
  </si>
  <si>
    <t>HD-004407</t>
  </si>
  <si>
    <t>HD-004408</t>
  </si>
  <si>
    <t>HD-004409</t>
  </si>
  <si>
    <t>HD-004410</t>
  </si>
  <si>
    <t>HD-004411</t>
  </si>
  <si>
    <t>HD-004412</t>
  </si>
  <si>
    <t>HD-004413</t>
  </si>
  <si>
    <t>HD-004414</t>
  </si>
  <si>
    <t>HD-004415</t>
  </si>
  <si>
    <t>HD-004416</t>
  </si>
  <si>
    <t>HD-004417</t>
  </si>
  <si>
    <t>HD-004418</t>
  </si>
  <si>
    <t>HD-004419</t>
  </si>
  <si>
    <t>HD-004420</t>
  </si>
  <si>
    <t>HD-004421</t>
  </si>
  <si>
    <t>HD-004422</t>
  </si>
  <si>
    <t>HD-004423</t>
  </si>
  <si>
    <t>HD-004424</t>
  </si>
  <si>
    <t>HD-004425</t>
  </si>
  <si>
    <t>HD-004426</t>
  </si>
  <si>
    <t>HD-004427</t>
  </si>
  <si>
    <t>HD-004428</t>
  </si>
  <si>
    <t>HD-004429</t>
  </si>
  <si>
    <t>HD-004430</t>
  </si>
  <si>
    <t>HD-004431</t>
  </si>
  <si>
    <t>HD-004432</t>
  </si>
  <si>
    <t>HD-004433</t>
  </si>
  <si>
    <t>HD-004434</t>
  </si>
  <si>
    <t>HD-004435</t>
  </si>
  <si>
    <t>HD-004436</t>
  </si>
  <si>
    <t>HD-004437</t>
  </si>
  <si>
    <t>HD-004438</t>
  </si>
  <si>
    <t>HD-004439</t>
  </si>
  <si>
    <t>HD-004440</t>
  </si>
  <si>
    <t>HD-004441</t>
  </si>
  <si>
    <t>HD-004442</t>
  </si>
  <si>
    <t>HD-004443</t>
  </si>
  <si>
    <t>HD-004444</t>
  </si>
  <si>
    <t>HD-004445</t>
  </si>
  <si>
    <t>HD-004446</t>
  </si>
  <si>
    <t>HD-004447</t>
  </si>
  <si>
    <t>HD-004448</t>
  </si>
  <si>
    <t>HD-004449</t>
  </si>
  <si>
    <t>HD-004450</t>
  </si>
  <si>
    <t>HD-004451</t>
  </si>
  <si>
    <t>HD-004452</t>
  </si>
  <si>
    <t>HD-004453</t>
  </si>
  <si>
    <t>HD-004454</t>
  </si>
  <si>
    <t>HD-004455</t>
  </si>
  <si>
    <t>HD-004456</t>
  </si>
  <si>
    <t>HD-004457</t>
  </si>
  <si>
    <t>HD-004458</t>
  </si>
  <si>
    <t>HD-004459</t>
  </si>
  <si>
    <t>HD-004460</t>
  </si>
  <si>
    <t>HD-004461</t>
  </si>
  <si>
    <t>HD-004462</t>
  </si>
  <si>
    <t>HD-004463</t>
  </si>
  <si>
    <t>HD-004464</t>
  </si>
  <si>
    <t>HD-004465</t>
  </si>
  <si>
    <t>HD-004466</t>
  </si>
  <si>
    <t>HD-004467</t>
  </si>
  <si>
    <t>HD-004468</t>
  </si>
  <si>
    <t>HD-004469</t>
  </si>
  <si>
    <t>HD-004470</t>
  </si>
  <si>
    <t>HD-004471</t>
  </si>
  <si>
    <t>HD-004472</t>
  </si>
  <si>
    <t>HD-004473</t>
  </si>
  <si>
    <t>HD-004474</t>
  </si>
  <si>
    <t>HD-004475</t>
  </si>
  <si>
    <t>HD-004476</t>
  </si>
  <si>
    <t>HD-004477</t>
  </si>
  <si>
    <t>HD-004478</t>
  </si>
  <si>
    <t>HD-004479</t>
  </si>
  <si>
    <t>HD-004480</t>
  </si>
  <si>
    <t>HD-004481</t>
  </si>
  <si>
    <t>HD-004482</t>
  </si>
  <si>
    <t>HD-004483</t>
  </si>
  <si>
    <t>HD-004484</t>
  </si>
  <si>
    <t>HD-004485</t>
  </si>
  <si>
    <t>HD-004486</t>
  </si>
  <si>
    <t>HD-004487</t>
  </si>
  <si>
    <t>HD-004488</t>
  </si>
  <si>
    <t>HD-004489</t>
  </si>
  <si>
    <t>HD-004490</t>
  </si>
  <si>
    <t>HD-004491</t>
  </si>
  <si>
    <t>HD-004492</t>
  </si>
  <si>
    <t>HD-004493</t>
  </si>
  <si>
    <t>HD-004494</t>
  </si>
  <si>
    <t>HD-004495</t>
  </si>
  <si>
    <t>HD-004496</t>
  </si>
  <si>
    <t>HD-004497</t>
  </si>
  <si>
    <t>HD-004498</t>
  </si>
  <si>
    <t>HD-004499</t>
  </si>
  <si>
    <t>HD-004500</t>
  </si>
  <si>
    <t>HD-004501</t>
  </si>
  <si>
    <t>HD-004502</t>
  </si>
  <si>
    <t>HD-004503</t>
  </si>
  <si>
    <t>HD-004504</t>
  </si>
  <si>
    <t>HD-004505</t>
  </si>
  <si>
    <t>HD-004506</t>
  </si>
  <si>
    <t>HD-004507</t>
  </si>
  <si>
    <t>HD-004508</t>
  </si>
  <si>
    <t>HD-004509</t>
  </si>
  <si>
    <t>HD-004510</t>
  </si>
  <si>
    <t>HD-004511</t>
  </si>
  <si>
    <t>HD-004512</t>
  </si>
  <si>
    <t>HD-004513</t>
  </si>
  <si>
    <t>HD-004514</t>
  </si>
  <si>
    <t>HD-004515</t>
  </si>
  <si>
    <t>HD-004516</t>
  </si>
  <si>
    <t>HD-004517</t>
  </si>
  <si>
    <t>HD-004518</t>
  </si>
  <si>
    <t>HD-004519</t>
  </si>
  <si>
    <t>HD-004520</t>
  </si>
  <si>
    <t>HD-004521</t>
  </si>
  <si>
    <t>HD-004522</t>
  </si>
  <si>
    <t>HD-004523</t>
  </si>
  <si>
    <t>HD-004524</t>
  </si>
  <si>
    <t>HD-004525</t>
  </si>
  <si>
    <t>HD-004526</t>
  </si>
  <si>
    <t>HD-004527</t>
  </si>
  <si>
    <t>HD-004528</t>
  </si>
  <si>
    <t>HD-004529</t>
  </si>
  <si>
    <t>HD-004530</t>
  </si>
  <si>
    <t>HD-004531</t>
  </si>
  <si>
    <t>HD-004532</t>
  </si>
  <si>
    <t>HD-004533</t>
  </si>
  <si>
    <t>HD-004534</t>
  </si>
  <si>
    <t>HD-004535</t>
  </si>
  <si>
    <t>HD-004536</t>
  </si>
  <si>
    <t>HD-004537</t>
  </si>
  <si>
    <t>HD-004538</t>
  </si>
  <si>
    <t>HD-004539</t>
  </si>
  <si>
    <t>HD-004540</t>
  </si>
  <si>
    <t>HD-004541</t>
  </si>
  <si>
    <t>HD-004542</t>
  </si>
  <si>
    <t>HD-004543</t>
  </si>
  <si>
    <t>HD-004544</t>
  </si>
  <si>
    <t>HD-004545</t>
  </si>
  <si>
    <t>HD-004546</t>
  </si>
  <si>
    <t>HD-004547</t>
  </si>
  <si>
    <t>HD-004548</t>
  </si>
  <si>
    <t>HD-004549</t>
  </si>
  <si>
    <t>HD-004550</t>
  </si>
  <si>
    <t>HD-004551</t>
  </si>
  <si>
    <t>HD-004552</t>
  </si>
  <si>
    <t>HD-004553</t>
  </si>
  <si>
    <t>HD-004554</t>
  </si>
  <si>
    <t>HD-004555</t>
  </si>
  <si>
    <t>HD-004556</t>
  </si>
  <si>
    <t>HD-004557</t>
  </si>
  <si>
    <t>HD-004558</t>
  </si>
  <si>
    <t>HD-004559</t>
  </si>
  <si>
    <t>HD-004560</t>
  </si>
  <si>
    <t>HD-004561</t>
  </si>
  <si>
    <t>HD-004562</t>
  </si>
  <si>
    <t>HD-004563</t>
  </si>
  <si>
    <t>HD-004564</t>
  </si>
  <si>
    <t>HD-004565</t>
  </si>
  <si>
    <t>HD-004566</t>
  </si>
  <si>
    <t>HD-004567</t>
  </si>
  <si>
    <t>HD-004568</t>
  </si>
  <si>
    <t>HD-004569</t>
  </si>
  <si>
    <t>HD-004570</t>
  </si>
  <si>
    <t>HD-004571</t>
  </si>
  <si>
    <t>HD-004572</t>
  </si>
  <si>
    <t>HD-004573</t>
  </si>
  <si>
    <t>HD-004574</t>
  </si>
  <si>
    <t>HD-004575</t>
  </si>
  <si>
    <t>HD-004576</t>
  </si>
  <si>
    <t>HD-004577</t>
  </si>
  <si>
    <t>HD-004578</t>
  </si>
  <si>
    <t>HD-004579</t>
  </si>
  <si>
    <t>HD-004580</t>
  </si>
  <si>
    <t>HD-004581</t>
  </si>
  <si>
    <t>HD-004582</t>
  </si>
  <si>
    <t>HD-004583</t>
  </si>
  <si>
    <t>HD-004584</t>
  </si>
  <si>
    <t>HD-004585</t>
  </si>
  <si>
    <t>HD-004586</t>
  </si>
  <si>
    <t>HD-004587</t>
  </si>
  <si>
    <t>HD-004588</t>
  </si>
  <si>
    <t>HD-004589</t>
  </si>
  <si>
    <t>HD-004590</t>
  </si>
  <si>
    <t>HD-004591</t>
  </si>
  <si>
    <t>HD-004592</t>
  </si>
  <si>
    <t>HD-004593</t>
  </si>
  <si>
    <t>HD-004594</t>
  </si>
  <si>
    <t>HD-004595</t>
  </si>
  <si>
    <t>HD-004596</t>
  </si>
  <si>
    <t>HD-004597</t>
  </si>
  <si>
    <t>HD-004598</t>
  </si>
  <si>
    <t>HD-004599</t>
  </si>
  <si>
    <t>HD-004600</t>
  </si>
  <si>
    <t>HD-004601</t>
  </si>
  <si>
    <t>HD-004602</t>
  </si>
  <si>
    <t>HD-004603</t>
  </si>
  <si>
    <t>HD-004604</t>
  </si>
  <si>
    <t>HD-004605</t>
  </si>
  <si>
    <t>HD-004606</t>
  </si>
  <si>
    <t>HD-004607</t>
  </si>
  <si>
    <t>HD-004608</t>
  </si>
  <si>
    <t>HD-004609</t>
  </si>
  <si>
    <t>HD-004610</t>
  </si>
  <si>
    <t>HD-004611</t>
  </si>
  <si>
    <t>HD-004612</t>
  </si>
  <si>
    <t>HD-004613</t>
  </si>
  <si>
    <t>HD-004614</t>
  </si>
  <si>
    <t>HD-004615</t>
  </si>
  <si>
    <t>HD-004616</t>
  </si>
  <si>
    <t>HD-004617</t>
  </si>
  <si>
    <t>HD-004618</t>
  </si>
  <si>
    <t>HD-004619</t>
  </si>
  <si>
    <t>HD-004620</t>
  </si>
  <si>
    <t>HD-004621</t>
  </si>
  <si>
    <t>HD-004622</t>
  </si>
  <si>
    <t>HD-004623</t>
  </si>
  <si>
    <t>HD-004624</t>
  </si>
  <si>
    <t>HD-004625</t>
  </si>
  <si>
    <t>HD-004626</t>
  </si>
  <si>
    <t>HD-004627</t>
  </si>
  <si>
    <t>HD-004628</t>
  </si>
  <si>
    <t>HD-004629</t>
  </si>
  <si>
    <t>HD-004630</t>
  </si>
  <si>
    <t>HD-004631</t>
  </si>
  <si>
    <t>HD-004632</t>
  </si>
  <si>
    <t>HD-004633</t>
  </si>
  <si>
    <t>HD-004634</t>
  </si>
  <si>
    <t>HD-004635</t>
  </si>
  <si>
    <t>HD-004636</t>
  </si>
  <si>
    <t>HD-004637</t>
  </si>
  <si>
    <t>HD-004638</t>
  </si>
  <si>
    <t>HD-004639</t>
  </si>
  <si>
    <t>HD-004640</t>
  </si>
  <si>
    <t>HD-004641</t>
  </si>
  <si>
    <t>HD-004642</t>
  </si>
  <si>
    <t>HD-004643</t>
  </si>
  <si>
    <t>HD-004644</t>
  </si>
  <si>
    <t>HD-004645</t>
  </si>
  <si>
    <t>HD-004646</t>
  </si>
  <si>
    <t>HD-004647</t>
  </si>
  <si>
    <t>HD-004648</t>
  </si>
  <si>
    <t>HD-004649</t>
  </si>
  <si>
    <t>HD-004650</t>
  </si>
  <si>
    <t>HD-004651</t>
  </si>
  <si>
    <t>HD-004652</t>
  </si>
  <si>
    <t>HD-004653</t>
  </si>
  <si>
    <t>HD-004654</t>
  </si>
  <si>
    <t>HD-004655</t>
  </si>
  <si>
    <t>HD-004656</t>
  </si>
  <si>
    <t>HD-004657</t>
  </si>
  <si>
    <t>HD-004658</t>
  </si>
  <si>
    <t>HD-004659</t>
  </si>
  <si>
    <t>HD-004660</t>
  </si>
  <si>
    <t>HD-004661</t>
  </si>
  <si>
    <t>HD-004662</t>
  </si>
  <si>
    <t>HD-004663</t>
  </si>
  <si>
    <t>HD-004664</t>
  </si>
  <si>
    <t>HD-004665</t>
  </si>
  <si>
    <t>HD-004666</t>
  </si>
  <si>
    <t>HD-004667</t>
  </si>
  <si>
    <t>HD-004668</t>
  </si>
  <si>
    <t>HD-004669</t>
  </si>
  <si>
    <t>HD-004670</t>
  </si>
  <si>
    <t>HD-004671</t>
  </si>
  <si>
    <t>HD-004672</t>
  </si>
  <si>
    <t>HD-004673</t>
  </si>
  <si>
    <t>HD-004674</t>
  </si>
  <si>
    <t>HD-004675</t>
  </si>
  <si>
    <t>HD-004676</t>
  </si>
  <si>
    <t>HD-004677</t>
  </si>
  <si>
    <t>HD-004678</t>
  </si>
  <si>
    <t>HD-004679</t>
  </si>
  <si>
    <t>HD-004680</t>
  </si>
  <si>
    <t>HD-004681</t>
  </si>
  <si>
    <t>HD-004682</t>
  </si>
  <si>
    <t>HD-004683</t>
  </si>
  <si>
    <t>HD-004684</t>
  </si>
  <si>
    <t>HD-004685</t>
  </si>
  <si>
    <t>HD-004686</t>
  </si>
  <si>
    <t>HD-004687</t>
  </si>
  <si>
    <t>HD-004688</t>
  </si>
  <si>
    <t>HD-004689</t>
  </si>
  <si>
    <t>HD-004690</t>
  </si>
  <si>
    <t>HD-004691</t>
  </si>
  <si>
    <t>HD-004692</t>
  </si>
  <si>
    <t>HD-004693</t>
  </si>
  <si>
    <t>HD-004694</t>
  </si>
  <si>
    <t>HD-004695</t>
  </si>
  <si>
    <t>HD-004696</t>
  </si>
  <si>
    <t>HD-004697</t>
  </si>
  <si>
    <t>HD-004698</t>
  </si>
  <si>
    <t>HD-004699</t>
  </si>
  <si>
    <t>HD-004700</t>
  </si>
  <si>
    <t>HD-004701</t>
  </si>
  <si>
    <t>HD-004702</t>
  </si>
  <si>
    <t>HD-004703</t>
  </si>
  <si>
    <t>HD-004704</t>
  </si>
  <si>
    <t>HD-004705</t>
  </si>
  <si>
    <t>HD-004706</t>
  </si>
  <si>
    <t>HD-004707</t>
  </si>
  <si>
    <t>HD-004708</t>
  </si>
  <si>
    <t>HD-004709</t>
  </si>
  <si>
    <t>HD-004710</t>
  </si>
  <si>
    <t>HD-004711</t>
  </si>
  <si>
    <t>HD-004712</t>
  </si>
  <si>
    <t>HD-004713</t>
  </si>
  <si>
    <t>HD-004714</t>
  </si>
  <si>
    <t>HD-004715</t>
  </si>
  <si>
    <t>HD-004716</t>
  </si>
  <si>
    <t>HD-004717</t>
  </si>
  <si>
    <t>HD-004718</t>
  </si>
  <si>
    <t>HD-004719</t>
  </si>
  <si>
    <t>HD-004720</t>
  </si>
  <si>
    <t>HD-004721</t>
  </si>
  <si>
    <t>HD-004722</t>
  </si>
  <si>
    <t>HD-004723</t>
  </si>
  <si>
    <t>HD-004724</t>
  </si>
  <si>
    <t>HD-004725</t>
  </si>
  <si>
    <t>HD-004726</t>
  </si>
  <si>
    <t>HD-004727</t>
  </si>
  <si>
    <t>HD-004728</t>
  </si>
  <si>
    <t>HD-004729</t>
  </si>
  <si>
    <t>HD-004730</t>
  </si>
  <si>
    <t>HD-004731</t>
  </si>
  <si>
    <t>HD-004732</t>
  </si>
  <si>
    <t>HD-004733</t>
  </si>
  <si>
    <t>HD-004734</t>
  </si>
  <si>
    <t>HD-004735</t>
  </si>
  <si>
    <t>HD-004736</t>
  </si>
  <si>
    <t>HD-004737</t>
  </si>
  <si>
    <t>HD-004738</t>
  </si>
  <si>
    <t>HD-004739</t>
  </si>
  <si>
    <t>HD-004740</t>
  </si>
  <si>
    <t>HD-004741</t>
  </si>
  <si>
    <t>HD-004742</t>
  </si>
  <si>
    <t>HD-004743</t>
  </si>
  <si>
    <t>HD-004744</t>
  </si>
  <si>
    <t>HD-004745</t>
  </si>
  <si>
    <t>HD-004746</t>
  </si>
  <si>
    <t>HD-004747</t>
  </si>
  <si>
    <t>HD-004748</t>
  </si>
  <si>
    <t>HD-004749</t>
  </si>
  <si>
    <t>HD-004750</t>
  </si>
  <si>
    <t>HD-004751</t>
  </si>
  <si>
    <t>HD-004752</t>
  </si>
  <si>
    <t>HD-004753</t>
  </si>
  <si>
    <t>HD-004754</t>
  </si>
  <si>
    <t>HD-004755</t>
  </si>
  <si>
    <t>HD-004756</t>
  </si>
  <si>
    <t>HD-004757</t>
  </si>
  <si>
    <t>HD-004758</t>
  </si>
  <si>
    <t>HD-004759</t>
  </si>
  <si>
    <t>HD-004760</t>
  </si>
  <si>
    <t>HD-004761</t>
  </si>
  <si>
    <t>HD-004762</t>
  </si>
  <si>
    <t>HD-004763</t>
  </si>
  <si>
    <t>HD-004764</t>
  </si>
  <si>
    <t>HD-004765</t>
  </si>
  <si>
    <t>HD-004766</t>
  </si>
  <si>
    <t>HD-004767</t>
  </si>
  <si>
    <t>HD-004768</t>
  </si>
  <si>
    <t>HD-004769</t>
  </si>
  <si>
    <t>HD-004770</t>
  </si>
  <si>
    <t>HD-004771</t>
  </si>
  <si>
    <t>HD-004772</t>
  </si>
  <si>
    <t>HD-004773</t>
  </si>
  <si>
    <t>HD-004774</t>
  </si>
  <si>
    <t>HD-004775</t>
  </si>
  <si>
    <t>HD-004776</t>
  </si>
  <si>
    <t>HD-004777</t>
  </si>
  <si>
    <t>HD-004778</t>
  </si>
  <si>
    <t>HD-004779</t>
  </si>
  <si>
    <t>HD-004780</t>
  </si>
  <si>
    <t>HD-004781</t>
  </si>
  <si>
    <t>HD-004782</t>
  </si>
  <si>
    <t>HD-004783</t>
  </si>
  <si>
    <t>HD-004784</t>
  </si>
  <si>
    <t>HD-004785</t>
  </si>
  <si>
    <t>HD-004786</t>
  </si>
  <si>
    <t>HD-004787</t>
  </si>
  <si>
    <t>HD-004788</t>
  </si>
  <si>
    <t>HD-004789</t>
  </si>
  <si>
    <t>HD-004790</t>
  </si>
  <si>
    <t>HD-004791</t>
  </si>
  <si>
    <t>HD-004792</t>
  </si>
  <si>
    <t>HD-004793</t>
  </si>
  <si>
    <t>HD-004794</t>
  </si>
  <si>
    <t>HD-004795</t>
  </si>
  <si>
    <t>HD-004796</t>
  </si>
  <si>
    <t>HD-004797</t>
  </si>
  <si>
    <t>HD-004798</t>
  </si>
  <si>
    <t>HD-004799</t>
  </si>
  <si>
    <t>HD-004800</t>
  </si>
  <si>
    <t>HD-004801</t>
  </si>
  <si>
    <t>HD-004802</t>
  </si>
  <si>
    <t>HD-004803</t>
  </si>
  <si>
    <t>HD-004804</t>
  </si>
  <si>
    <t>HD-004805</t>
  </si>
  <si>
    <t>HD-004806</t>
  </si>
  <si>
    <t>HD-004807</t>
  </si>
  <si>
    <t>HD-004808</t>
  </si>
  <si>
    <t>HD-004809</t>
  </si>
  <si>
    <t>HD-004810</t>
  </si>
  <si>
    <t>HD-004811</t>
  </si>
  <si>
    <t>HD-004812</t>
  </si>
  <si>
    <t>HD-004813</t>
  </si>
  <si>
    <t>HD-004814</t>
  </si>
  <si>
    <t>HD-004815</t>
  </si>
  <si>
    <t>HD-004816</t>
  </si>
  <si>
    <t>HD-004817</t>
  </si>
  <si>
    <t>HD-004818</t>
  </si>
  <si>
    <t>HD-004819</t>
  </si>
  <si>
    <t>HD-004820</t>
  </si>
  <si>
    <t>HD-004821</t>
  </si>
  <si>
    <t>HD-004822</t>
  </si>
  <si>
    <t>HD-004823</t>
  </si>
  <si>
    <t>HD-004824</t>
  </si>
  <si>
    <t>HD-004825</t>
  </si>
  <si>
    <t>HD-004826</t>
  </si>
  <si>
    <t>HD-004827</t>
  </si>
  <si>
    <t>HD-004828</t>
  </si>
  <si>
    <t>HD-004829</t>
  </si>
  <si>
    <t>HD-004830</t>
  </si>
  <si>
    <t>HD-004831</t>
  </si>
  <si>
    <t>HD-004832</t>
  </si>
  <si>
    <t>HD-004833</t>
  </si>
  <si>
    <t>HD-004834</t>
  </si>
  <si>
    <t>HD-004835</t>
  </si>
  <si>
    <t>HD-004836</t>
  </si>
  <si>
    <t>HD-004837</t>
  </si>
  <si>
    <t>HD-004838</t>
  </si>
  <si>
    <t>HD-004839</t>
  </si>
  <si>
    <t>HD-004840</t>
  </si>
  <si>
    <t>HD-004841</t>
  </si>
  <si>
    <t>HD-004842</t>
  </si>
  <si>
    <t>HD-004843</t>
  </si>
  <si>
    <t>HD-004844</t>
  </si>
  <si>
    <t>HD-004845</t>
  </si>
  <si>
    <t>HD-004846</t>
  </si>
  <si>
    <t>HD-004847</t>
  </si>
  <si>
    <t>HD-004848</t>
  </si>
  <si>
    <t>HD-004849</t>
  </si>
  <si>
    <t>HD-004850</t>
  </si>
  <si>
    <t>HD-004851</t>
  </si>
  <si>
    <t>HD-004852</t>
  </si>
  <si>
    <t>HD-004853</t>
  </si>
  <si>
    <t>HD-004854</t>
  </si>
  <si>
    <t>HD-004855</t>
  </si>
  <si>
    <t>HD-004856</t>
  </si>
  <si>
    <t>HD-004857</t>
  </si>
  <si>
    <t>HD-004858</t>
  </si>
  <si>
    <t>HD-004859</t>
  </si>
  <si>
    <t>HD-004860</t>
  </si>
  <si>
    <t>HD-004861</t>
  </si>
  <si>
    <t>HD-004862</t>
  </si>
  <si>
    <t>HD-004863</t>
  </si>
  <si>
    <t>HD-004864</t>
  </si>
  <si>
    <t>HD-004865</t>
  </si>
  <si>
    <t>HD-004866</t>
  </si>
  <si>
    <t>HD-004867</t>
  </si>
  <si>
    <t>HD-004868</t>
  </si>
  <si>
    <t>HD-004869</t>
  </si>
  <si>
    <t>HD-004870</t>
  </si>
  <si>
    <t>HD-004871</t>
  </si>
  <si>
    <t>HD-004872</t>
  </si>
  <si>
    <t>HD-004873</t>
  </si>
  <si>
    <t>HD-004874</t>
  </si>
  <si>
    <t>HD-004875</t>
  </si>
  <si>
    <t>HD-004876</t>
  </si>
  <si>
    <t>HD-004877</t>
  </si>
  <si>
    <t>HD-004878</t>
  </si>
  <si>
    <t>HD-004879</t>
  </si>
  <si>
    <t>HD-004880</t>
  </si>
  <si>
    <t>HD-004881</t>
  </si>
  <si>
    <t>HD-004882</t>
  </si>
  <si>
    <t>HD-004883</t>
  </si>
  <si>
    <t>HD-004884</t>
  </si>
  <si>
    <t>HD-004885</t>
  </si>
  <si>
    <t>HD-004886</t>
  </si>
  <si>
    <t>HD-004887</t>
  </si>
  <si>
    <t>HD-004888</t>
  </si>
  <si>
    <t>HD-004889</t>
  </si>
  <si>
    <t>HD-004890</t>
  </si>
  <si>
    <t>HD-004891</t>
  </si>
  <si>
    <t>HD-004892</t>
  </si>
  <si>
    <t>HD-004893</t>
  </si>
  <si>
    <t>HD-004894</t>
  </si>
  <si>
    <t>HD-004895</t>
  </si>
  <si>
    <t>HD-004896</t>
  </si>
  <si>
    <t>HD-004897</t>
  </si>
  <si>
    <t>HD-004898</t>
  </si>
  <si>
    <t>HD-004899</t>
  </si>
  <si>
    <t>HD-004900</t>
  </si>
  <si>
    <t>HD-004901</t>
  </si>
  <si>
    <t>HD-004902</t>
  </si>
  <si>
    <t>HD-004903</t>
  </si>
  <si>
    <t>HD-004904</t>
  </si>
  <si>
    <t>HD-004905</t>
  </si>
  <si>
    <t>HD-004906</t>
  </si>
  <si>
    <t>HD-004907</t>
  </si>
  <si>
    <t>HD-004908</t>
  </si>
  <si>
    <t>HD-004909</t>
  </si>
  <si>
    <t>HD-004910</t>
  </si>
  <si>
    <t>HD-004911</t>
  </si>
  <si>
    <t>HD-004912</t>
  </si>
  <si>
    <t>HD-004913</t>
  </si>
  <si>
    <t>HD-004914</t>
  </si>
  <si>
    <t>HD-004915</t>
  </si>
  <si>
    <t>HD-004916</t>
  </si>
  <si>
    <t>HD-004917</t>
  </si>
  <si>
    <t>HD-004918</t>
  </si>
  <si>
    <t>HD-004919</t>
  </si>
  <si>
    <t>HD-004920</t>
  </si>
  <si>
    <t>HD-004921</t>
  </si>
  <si>
    <t>HD-004922</t>
  </si>
  <si>
    <t>HD-004923</t>
  </si>
  <si>
    <t>HD-004924</t>
  </si>
  <si>
    <t>HD-004925</t>
  </si>
  <si>
    <t>HD-004926</t>
  </si>
  <si>
    <t>HD-004927</t>
  </si>
  <si>
    <t>HD-004928</t>
  </si>
  <si>
    <t>HD-004929</t>
  </si>
  <si>
    <t>HD-004930</t>
  </si>
  <si>
    <t>HD-004931</t>
  </si>
  <si>
    <t>HD-004932</t>
  </si>
  <si>
    <t>HD-004933</t>
  </si>
  <si>
    <t>HD-004934</t>
  </si>
  <si>
    <t>HD-004935</t>
  </si>
  <si>
    <t>HD-004936</t>
  </si>
  <si>
    <t>HD-004937</t>
  </si>
  <si>
    <t>HD-004938</t>
  </si>
  <si>
    <t>HD-004939</t>
  </si>
  <si>
    <t>HD-004940</t>
  </si>
  <si>
    <t>HD-004941</t>
  </si>
  <si>
    <t>HD-004942</t>
  </si>
  <si>
    <t>HD-004943</t>
  </si>
  <si>
    <t>HD-004944</t>
  </si>
  <si>
    <t>HD-004945</t>
  </si>
  <si>
    <t>HD-004946</t>
  </si>
  <si>
    <t>HD-004947</t>
  </si>
  <si>
    <t>HD-004948</t>
  </si>
  <si>
    <t>HD-004949</t>
  </si>
  <si>
    <t>HD-004950</t>
  </si>
  <si>
    <t>HD-004951</t>
  </si>
  <si>
    <t>HD-004952</t>
  </si>
  <si>
    <t>HD-004953</t>
  </si>
  <si>
    <t>HD-004954</t>
  </si>
  <si>
    <t>HD-004955</t>
  </si>
  <si>
    <t>HD-004956</t>
  </si>
  <si>
    <t>HD-004957</t>
  </si>
  <si>
    <t>HD-004958</t>
  </si>
  <si>
    <t>HD-004959</t>
  </si>
  <si>
    <t>HD-004960</t>
  </si>
  <si>
    <t>HD-004961</t>
  </si>
  <si>
    <t>HD-004962</t>
  </si>
  <si>
    <t>HD-004963</t>
  </si>
  <si>
    <t>HD-004964</t>
  </si>
  <si>
    <t>HD-004965</t>
  </si>
  <si>
    <t>HD-004966</t>
  </si>
  <si>
    <t>HD-004967</t>
  </si>
  <si>
    <t>HD-004968</t>
  </si>
  <si>
    <t>HD-004969</t>
  </si>
  <si>
    <t>HD-004970</t>
  </si>
  <si>
    <t>HD-004971</t>
  </si>
  <si>
    <t>HD-004972</t>
  </si>
  <si>
    <t>HD-004973</t>
  </si>
  <si>
    <t>HD-004974</t>
  </si>
  <si>
    <t>HD-004975</t>
  </si>
  <si>
    <t>HD-004976</t>
  </si>
  <si>
    <t>HD-004977</t>
  </si>
  <si>
    <t>HD-004978</t>
  </si>
  <si>
    <t>HD-004979</t>
  </si>
  <si>
    <t>HD-004980</t>
  </si>
  <si>
    <t>HD-004981</t>
  </si>
  <si>
    <t>HD-004982</t>
  </si>
  <si>
    <t>HD-004983</t>
  </si>
  <si>
    <t>HD-004984</t>
  </si>
  <si>
    <t>HD-004985</t>
  </si>
  <si>
    <t>HD-004986</t>
  </si>
  <si>
    <t>HD-004987</t>
  </si>
  <si>
    <t>HD-004988</t>
  </si>
  <si>
    <t>HD-004989</t>
  </si>
  <si>
    <t>HD-004990</t>
  </si>
  <si>
    <t>HD-004991</t>
  </si>
  <si>
    <t>HD-004992</t>
  </si>
  <si>
    <t>HD-004993</t>
  </si>
  <si>
    <t>HD-004994</t>
  </si>
  <si>
    <t>HD-004995</t>
  </si>
  <si>
    <t>HD-004996</t>
  </si>
  <si>
    <t>HD-004997</t>
  </si>
  <si>
    <t>HD-004998</t>
  </si>
  <si>
    <t>HD-004999</t>
  </si>
  <si>
    <t>HD-005000</t>
  </si>
  <si>
    <t>HD-005001</t>
  </si>
  <si>
    <t>HD-005002</t>
  </si>
  <si>
    <t>HD-005003</t>
  </si>
  <si>
    <t>HD-005004</t>
  </si>
  <si>
    <t>HD-005005</t>
  </si>
  <si>
    <t>HD-005006</t>
  </si>
  <si>
    <t>HD-005007</t>
  </si>
  <si>
    <t>HD-005008</t>
  </si>
  <si>
    <t>HD-005009</t>
  </si>
  <si>
    <t>HD-005010</t>
  </si>
  <si>
    <t>HD-005011</t>
  </si>
  <si>
    <t>HD-005012</t>
  </si>
  <si>
    <t>HD-005013</t>
  </si>
  <si>
    <t>HD-005014</t>
  </si>
  <si>
    <t>HD-005015</t>
  </si>
  <si>
    <t>HD-005016</t>
  </si>
  <si>
    <t>HD-005017</t>
  </si>
  <si>
    <t>HD-005018</t>
  </si>
  <si>
    <t>HD-005019</t>
  </si>
  <si>
    <t>HD-005020</t>
  </si>
  <si>
    <t>HD-005021</t>
  </si>
  <si>
    <t>HD-005022</t>
  </si>
  <si>
    <t>HD-005023</t>
  </si>
  <si>
    <t>HD-005024</t>
  </si>
  <si>
    <t>HD-005025</t>
  </si>
  <si>
    <t>HD-005026</t>
  </si>
  <si>
    <t>HD-005027</t>
  </si>
  <si>
    <t>HD-005028</t>
  </si>
  <si>
    <t>HD-005029</t>
  </si>
  <si>
    <t>HD-005030</t>
  </si>
  <si>
    <t>HD-005031</t>
  </si>
  <si>
    <t>HD-005032</t>
  </si>
  <si>
    <t>HD-005033</t>
  </si>
  <si>
    <t>HD-005034</t>
  </si>
  <si>
    <t>HD-005035</t>
  </si>
  <si>
    <t>HD-005036</t>
  </si>
  <si>
    <t>HD-005037</t>
  </si>
  <si>
    <t>HD-005038</t>
  </si>
  <si>
    <t>HD-005039</t>
  </si>
  <si>
    <t>HD-005040</t>
  </si>
  <si>
    <t>HD-005041</t>
  </si>
  <si>
    <t>HD-005042</t>
  </si>
  <si>
    <t>HD-005043</t>
  </si>
  <si>
    <t>HD-005044</t>
  </si>
  <si>
    <t>HD-005045</t>
  </si>
  <si>
    <t>HD-005046</t>
  </si>
  <si>
    <t>HD-005047</t>
  </si>
  <si>
    <t>HD-005048</t>
  </si>
  <si>
    <t>HD-005049</t>
  </si>
  <si>
    <t>HD-005050</t>
  </si>
  <si>
    <t>HD-005051</t>
  </si>
  <si>
    <t>HD-005052</t>
  </si>
  <si>
    <t>HD-005053</t>
  </si>
  <si>
    <t>HD-005054</t>
  </si>
  <si>
    <t>HD-005055</t>
  </si>
  <si>
    <t>HD-005056</t>
  </si>
  <si>
    <t>HD-005057</t>
  </si>
  <si>
    <t>HD-005058</t>
  </si>
  <si>
    <t>HD-005059</t>
  </si>
  <si>
    <t>HD-005060</t>
  </si>
  <si>
    <t>HD-005061</t>
  </si>
  <si>
    <t>HD-005062</t>
  </si>
  <si>
    <t>HD-005063</t>
  </si>
  <si>
    <t>HD-005064</t>
  </si>
  <si>
    <t>HD-005065</t>
  </si>
  <si>
    <t>HD-005066</t>
  </si>
  <si>
    <t>HD-005067</t>
  </si>
  <si>
    <t>HD-005068</t>
  </si>
  <si>
    <t>HD-005069</t>
  </si>
  <si>
    <t>HD-005070</t>
  </si>
  <si>
    <t>HD-005071</t>
  </si>
  <si>
    <t>HD-005072</t>
  </si>
  <si>
    <t>HD-005073</t>
  </si>
  <si>
    <t>HD-005074</t>
  </si>
  <si>
    <t>HD-005075</t>
  </si>
  <si>
    <t>HD-005076</t>
  </si>
  <si>
    <t>HD-005077</t>
  </si>
  <si>
    <t>HD-005078</t>
  </si>
  <si>
    <t>HD-005079</t>
  </si>
  <si>
    <t>HD-005080</t>
  </si>
  <si>
    <t>HD-005081</t>
  </si>
  <si>
    <t>HD-005082</t>
  </si>
  <si>
    <t>HD-005083</t>
  </si>
  <si>
    <t>HD-005084</t>
  </si>
  <si>
    <t>HD-005085</t>
  </si>
  <si>
    <t>HD-005086</t>
  </si>
  <si>
    <t>HD-005087</t>
  </si>
  <si>
    <t>HD-005088</t>
  </si>
  <si>
    <t>HD-005089</t>
  </si>
  <si>
    <t>HD-005090</t>
  </si>
  <si>
    <t>HD-005091</t>
  </si>
  <si>
    <t>HD-005092</t>
  </si>
  <si>
    <t>HD-005093</t>
  </si>
  <si>
    <t>HD-005094</t>
  </si>
  <si>
    <t>HD-005095</t>
  </si>
  <si>
    <t>HD-005096</t>
  </si>
  <si>
    <t>HD-005097</t>
  </si>
  <si>
    <t>HD-005098</t>
  </si>
  <si>
    <t>HD-005099</t>
  </si>
  <si>
    <t>HD-005100</t>
  </si>
  <si>
    <t>HD-005101</t>
  </si>
  <si>
    <t>HD-005102</t>
  </si>
  <si>
    <t>HD-005103</t>
  </si>
  <si>
    <t>HD-005104</t>
  </si>
  <si>
    <t>HD-005105</t>
  </si>
  <si>
    <t>HD-005106</t>
  </si>
  <si>
    <t>HD-005107</t>
  </si>
  <si>
    <t>HD-005108</t>
  </si>
  <si>
    <t>HD-005109</t>
  </si>
  <si>
    <t>HD-005110</t>
  </si>
  <si>
    <t>HD-005111</t>
  </si>
  <si>
    <t>HD-005112</t>
  </si>
  <si>
    <t>HD-005113</t>
  </si>
  <si>
    <t>HD-005114</t>
  </si>
  <si>
    <t>HD-005115</t>
  </si>
  <si>
    <t>HD-005116</t>
  </si>
  <si>
    <t>HD-005117</t>
  </si>
  <si>
    <t>HD-005118</t>
  </si>
  <si>
    <t>HD-005119</t>
  </si>
  <si>
    <t>HD-005120</t>
  </si>
  <si>
    <t>HD-005121</t>
  </si>
  <si>
    <t>HD-005122</t>
  </si>
  <si>
    <t>HD-005123</t>
  </si>
  <si>
    <t>HD-005124</t>
  </si>
  <si>
    <t>HD-005125</t>
  </si>
  <si>
    <t>HD-005126</t>
  </si>
  <si>
    <t>HD-005127</t>
  </si>
  <si>
    <t>HD-005128</t>
  </si>
  <si>
    <t>HD-005129</t>
  </si>
  <si>
    <t>HD-005130</t>
  </si>
  <si>
    <t>HD-005131</t>
  </si>
  <si>
    <t>HD-005132</t>
  </si>
  <si>
    <t>HD-005133</t>
  </si>
  <si>
    <t>HD-005134</t>
  </si>
  <si>
    <t>HD-005135</t>
  </si>
  <si>
    <t>HD-005136</t>
  </si>
  <si>
    <t>HD-005137</t>
  </si>
  <si>
    <t>HD-005138</t>
  </si>
  <si>
    <t>HD-005139</t>
  </si>
  <si>
    <t>HD-005140</t>
  </si>
  <si>
    <t>HD-005141</t>
  </si>
  <si>
    <t>HD-005142</t>
  </si>
  <si>
    <t>HD-005143</t>
  </si>
  <si>
    <t>HD-005144</t>
  </si>
  <si>
    <t>HD-005145</t>
  </si>
  <si>
    <t>HD-005146</t>
  </si>
  <si>
    <t>HD-005147</t>
  </si>
  <si>
    <t>HD-005148</t>
  </si>
  <si>
    <t>HD-005149</t>
  </si>
  <si>
    <t>HD-005150</t>
  </si>
  <si>
    <t>HD-005151</t>
  </si>
  <si>
    <t>HD-005152</t>
  </si>
  <si>
    <t>HD-005153</t>
  </si>
  <si>
    <t>HD-005154</t>
  </si>
  <si>
    <t>HD-005155</t>
  </si>
  <si>
    <t>HD-005156</t>
  </si>
  <si>
    <t>HD-005157</t>
  </si>
  <si>
    <t>HD-005158</t>
  </si>
  <si>
    <t>HD-005159</t>
  </si>
  <si>
    <t>HD-005160</t>
  </si>
  <si>
    <t>HD-005161</t>
  </si>
  <si>
    <t>HD-005162</t>
  </si>
  <si>
    <t>HD-005163</t>
  </si>
  <si>
    <t>HD-005164</t>
  </si>
  <si>
    <t>HD-005165</t>
  </si>
  <si>
    <t>HD-005166</t>
  </si>
  <si>
    <t>HD-005167</t>
  </si>
  <si>
    <t>HD-005168</t>
  </si>
  <si>
    <t>HD-005169</t>
  </si>
  <si>
    <t>HD-005170</t>
  </si>
  <si>
    <t>HD-005171</t>
  </si>
  <si>
    <t>HD-005172</t>
  </si>
  <si>
    <t>HD-005173</t>
  </si>
  <si>
    <t>HD-005174</t>
  </si>
  <si>
    <t>HD-005175</t>
  </si>
  <si>
    <t>HD-005176</t>
  </si>
  <si>
    <t>HD-005177</t>
  </si>
  <si>
    <t>HD-005178</t>
  </si>
  <si>
    <t>HD-005179</t>
  </si>
  <si>
    <t>HD-005180</t>
  </si>
  <si>
    <t>HD-005181</t>
  </si>
  <si>
    <t>HD-005182</t>
  </si>
  <si>
    <t>HD-005183</t>
  </si>
  <si>
    <t>HD-005184</t>
  </si>
  <si>
    <t>HD-005185</t>
  </si>
  <si>
    <t>HD-005186</t>
  </si>
  <si>
    <t>HD-005187</t>
  </si>
  <si>
    <t>HD-005188</t>
  </si>
  <si>
    <t>HD-005189</t>
  </si>
  <si>
    <t>HD-005190</t>
  </si>
  <si>
    <t>HD-005191</t>
  </si>
  <si>
    <t>HD-005192</t>
  </si>
  <si>
    <t>HD-005193</t>
  </si>
  <si>
    <t>HD-005194</t>
  </si>
  <si>
    <t>HD-005195</t>
  </si>
  <si>
    <t>HD-005196</t>
  </si>
  <si>
    <t>HD-005197</t>
  </si>
  <si>
    <t>HD-005198</t>
  </si>
  <si>
    <t>HD-005199</t>
  </si>
  <si>
    <t>HD-005200</t>
  </si>
  <si>
    <t>HD-005201</t>
  </si>
  <si>
    <t>HD-005202</t>
  </si>
  <si>
    <t>HD-005203</t>
  </si>
  <si>
    <t>HD-005204</t>
  </si>
  <si>
    <t>HD-005205</t>
  </si>
  <si>
    <t>HD-005206</t>
  </si>
  <si>
    <t>HD-005207</t>
  </si>
  <si>
    <t>HD-005208</t>
  </si>
  <si>
    <t>HD-005209</t>
  </si>
  <si>
    <t>HD-005210</t>
  </si>
  <si>
    <t>HD-005211</t>
  </si>
  <si>
    <t>HD-005212</t>
  </si>
  <si>
    <t>HD-005213</t>
  </si>
  <si>
    <t>HD-005214</t>
  </si>
  <si>
    <t>HD-005215</t>
  </si>
  <si>
    <t>HD-005216</t>
  </si>
  <si>
    <t>HD-005217</t>
  </si>
  <si>
    <t>HD-005218</t>
  </si>
  <si>
    <t>HD-005219</t>
  </si>
  <si>
    <t>HD-005220</t>
  </si>
  <si>
    <t>HD-005221</t>
  </si>
  <si>
    <t>HD-005222</t>
  </si>
  <si>
    <t>HD-005223</t>
  </si>
  <si>
    <t>HD-005224</t>
  </si>
  <si>
    <t>HD-005225</t>
  </si>
  <si>
    <t>HD-005226</t>
  </si>
  <si>
    <t>HD-005227</t>
  </si>
  <si>
    <t>HD-005228</t>
  </si>
  <si>
    <t>HD-005229</t>
  </si>
  <si>
    <t>HD-005230</t>
  </si>
  <si>
    <t>HD-005231</t>
  </si>
  <si>
    <t>HD-005232</t>
  </si>
  <si>
    <t>HD-005233</t>
  </si>
  <si>
    <t>HD-005234</t>
  </si>
  <si>
    <t>HD-005235</t>
  </si>
  <si>
    <t>HD-005236</t>
  </si>
  <si>
    <t>HD-005237</t>
  </si>
  <si>
    <t>HD-005238</t>
  </si>
  <si>
    <t>HD-005239</t>
  </si>
  <si>
    <t>HD-005240</t>
  </si>
  <si>
    <t>HD-005241</t>
  </si>
  <si>
    <t>HD-005242</t>
  </si>
  <si>
    <t>HD-005243</t>
  </si>
  <si>
    <t>HD-005244</t>
  </si>
  <si>
    <t>HD-005245</t>
  </si>
  <si>
    <t>HD-005246</t>
  </si>
  <si>
    <t>HD-005247</t>
  </si>
  <si>
    <t>HD-005248</t>
  </si>
  <si>
    <t>HD-005249</t>
  </si>
  <si>
    <t>HD-005250</t>
  </si>
  <si>
    <t>HD-005251</t>
  </si>
  <si>
    <t>HD-005252</t>
  </si>
  <si>
    <t>HD-005253</t>
  </si>
  <si>
    <t>HD-005254</t>
  </si>
  <si>
    <t>HD-005255</t>
  </si>
  <si>
    <t>HD-005256</t>
  </si>
  <si>
    <t>HD-005257</t>
  </si>
  <si>
    <t>HD-005258</t>
  </si>
  <si>
    <t>HD-005259</t>
  </si>
  <si>
    <t>HD-005260</t>
  </si>
  <si>
    <t>HD-005261</t>
  </si>
  <si>
    <t>HD-005262</t>
  </si>
  <si>
    <t>HD-005263</t>
  </si>
  <si>
    <t>HD-005264</t>
  </si>
  <si>
    <t>HD-005265</t>
  </si>
  <si>
    <t>HD-005266</t>
  </si>
  <si>
    <t>HD-005267</t>
  </si>
  <si>
    <t>HD-005268</t>
  </si>
  <si>
    <t>HD-005269</t>
  </si>
  <si>
    <t>HD-005270</t>
  </si>
  <si>
    <t>HD-005271</t>
  </si>
  <si>
    <t>HD-005272</t>
  </si>
  <si>
    <t>HD-005273</t>
  </si>
  <si>
    <t>HD-005274</t>
  </si>
  <si>
    <t>HD-005275</t>
  </si>
  <si>
    <t>HD-005276</t>
  </si>
  <si>
    <t>HD-005277</t>
  </si>
  <si>
    <t>HD-005278</t>
  </si>
  <si>
    <t>HD-005279</t>
  </si>
  <si>
    <t>HD-005280</t>
  </si>
  <si>
    <t>HD-005281</t>
  </si>
  <si>
    <t>HD-005282</t>
  </si>
  <si>
    <t>HD-005283</t>
  </si>
  <si>
    <t>HD-005284</t>
  </si>
  <si>
    <t>HD-005285</t>
  </si>
  <si>
    <t>HD-005286</t>
  </si>
  <si>
    <t>HD-005287</t>
  </si>
  <si>
    <t>HD-005288</t>
  </si>
  <si>
    <t>HD-005289</t>
  </si>
  <si>
    <t>HD-005290</t>
  </si>
  <si>
    <t>HD-005291</t>
  </si>
  <si>
    <t>HD-005292</t>
  </si>
  <si>
    <t>HD-005293</t>
  </si>
  <si>
    <t>HD-005294</t>
  </si>
  <si>
    <t>HD-005295</t>
  </si>
  <si>
    <t>HD-005296</t>
  </si>
  <si>
    <t>HD-005297</t>
  </si>
  <si>
    <t>HD-005298</t>
  </si>
  <si>
    <t>HD-005299</t>
  </si>
  <si>
    <t>HD-005300</t>
  </si>
  <si>
    <t>HD-005301</t>
  </si>
  <si>
    <t>HD-005302</t>
  </si>
  <si>
    <t>HD-005303</t>
  </si>
  <si>
    <t>HD-005304</t>
  </si>
  <si>
    <t>HD-005305</t>
  </si>
  <si>
    <t>HD-005306</t>
  </si>
  <si>
    <t>HD-005307</t>
  </si>
  <si>
    <t>HD-005308</t>
  </si>
  <si>
    <t>HD-005309</t>
  </si>
  <si>
    <t>HD-005310</t>
  </si>
  <si>
    <t>HD-005311</t>
  </si>
  <si>
    <t>HD-005312</t>
  </si>
  <si>
    <t>HD-005313</t>
  </si>
  <si>
    <t>HD-005314</t>
  </si>
  <si>
    <t>HD-005315</t>
  </si>
  <si>
    <t>HD-005316</t>
  </si>
  <si>
    <t>HD-005317</t>
  </si>
  <si>
    <t>HD-005318</t>
  </si>
  <si>
    <t>HD-005319</t>
  </si>
  <si>
    <t>HD-005320</t>
  </si>
  <si>
    <t>HD-005321</t>
  </si>
  <si>
    <t>HD-005322</t>
  </si>
  <si>
    <t>HD-005323</t>
  </si>
  <si>
    <t>HD-005324</t>
  </si>
  <si>
    <t>HD-005325</t>
  </si>
  <si>
    <t>HD-005326</t>
  </si>
  <si>
    <t>HD-005327</t>
  </si>
  <si>
    <t>HD-005328</t>
  </si>
  <si>
    <t>HD-005329</t>
  </si>
  <si>
    <t>HD-005330</t>
  </si>
  <si>
    <t>HD-005331</t>
  </si>
  <si>
    <t>HD-005332</t>
  </si>
  <si>
    <t>HD-005333</t>
  </si>
  <si>
    <t>HD-005334</t>
  </si>
  <si>
    <t>HD-005335</t>
  </si>
  <si>
    <t>HD-005336</t>
  </si>
  <si>
    <t>HD-005337</t>
  </si>
  <si>
    <t>HD-005338</t>
  </si>
  <si>
    <t>HD-005339</t>
  </si>
  <si>
    <t>HD-005340</t>
  </si>
  <si>
    <t>HD-005341</t>
  </si>
  <si>
    <t>HD-005342</t>
  </si>
  <si>
    <t>HD-005343</t>
  </si>
  <si>
    <t>HD-005344</t>
  </si>
  <si>
    <t>HD-005345</t>
  </si>
  <si>
    <t>HD-005346</t>
  </si>
  <si>
    <t>HD-005347</t>
  </si>
  <si>
    <t>HD-005348</t>
  </si>
  <si>
    <t>HD-005349</t>
  </si>
  <si>
    <t>HD-005350</t>
  </si>
  <si>
    <t>HD-005351</t>
  </si>
  <si>
    <t>HD-005352</t>
  </si>
  <si>
    <t>HD-005353</t>
  </si>
  <si>
    <t>HD-005354</t>
  </si>
  <si>
    <t>HD-005355</t>
  </si>
  <si>
    <t>HD-005356</t>
  </si>
  <si>
    <t>HD-005357</t>
  </si>
  <si>
    <t>HD-005358</t>
  </si>
  <si>
    <t>HD-005359</t>
  </si>
  <si>
    <t>HD-005360</t>
  </si>
  <si>
    <t>HD-005361</t>
  </si>
  <si>
    <t>HD-005362</t>
  </si>
  <si>
    <t>HD-005363</t>
  </si>
  <si>
    <t>HD-005364</t>
  </si>
  <si>
    <t>HD-005365</t>
  </si>
  <si>
    <t>HD-005366</t>
  </si>
  <si>
    <t>HD-005367</t>
  </si>
  <si>
    <t>HD-005368</t>
  </si>
  <si>
    <t>HD-005369</t>
  </si>
  <si>
    <t>HD-005370</t>
  </si>
  <si>
    <t>HD-005371</t>
  </si>
  <si>
    <t>HD-005372</t>
  </si>
  <si>
    <t>HD-005373</t>
  </si>
  <si>
    <t>HD-005374</t>
  </si>
  <si>
    <t>HD-005375</t>
  </si>
  <si>
    <t>HD-005376</t>
  </si>
  <si>
    <t>HD-005377</t>
  </si>
  <si>
    <t>HD-005378</t>
  </si>
  <si>
    <t>HD-005379</t>
  </si>
  <si>
    <t>HD-005380</t>
  </si>
  <si>
    <t>HD-005381</t>
  </si>
  <si>
    <t>HD-005382</t>
  </si>
  <si>
    <t>HD-005383</t>
  </si>
  <si>
    <t>HD-005384</t>
  </si>
  <si>
    <t>HD-005385</t>
  </si>
  <si>
    <t>HD-005386</t>
  </si>
  <si>
    <t>HD-005387</t>
  </si>
  <si>
    <t>HD-005388</t>
  </si>
  <si>
    <t>HD-005389</t>
  </si>
  <si>
    <t>HD-005390</t>
  </si>
  <si>
    <t>HD-005391</t>
  </si>
  <si>
    <t>HD-005392</t>
  </si>
  <si>
    <t>HD-005393</t>
  </si>
  <si>
    <t>HD-005394</t>
  </si>
  <si>
    <t>HD-005395</t>
  </si>
  <si>
    <t>HD-005396</t>
  </si>
  <si>
    <t>HD-005397</t>
  </si>
  <si>
    <t>HD-005398</t>
  </si>
  <si>
    <t>HD-005399</t>
  </si>
  <si>
    <t>HD-005400</t>
  </si>
  <si>
    <t>HD-005401</t>
  </si>
  <si>
    <t>HD-005402</t>
  </si>
  <si>
    <t>HD-005403</t>
  </si>
  <si>
    <t>HD-005404</t>
  </si>
  <si>
    <t>HD-005405</t>
  </si>
  <si>
    <t>HD-005406</t>
  </si>
  <si>
    <t>HD-005407</t>
  </si>
  <si>
    <t>HD-005408</t>
  </si>
  <si>
    <t>HD-005409</t>
  </si>
  <si>
    <t>HD-005410</t>
  </si>
  <si>
    <t>HD-005411</t>
  </si>
  <si>
    <t>HD-005412</t>
  </si>
  <si>
    <t>HD-005413</t>
  </si>
  <si>
    <t>HD-005414</t>
  </si>
  <si>
    <t>HD-005415</t>
  </si>
  <si>
    <t>HD-005416</t>
  </si>
  <si>
    <t>HD-005417</t>
  </si>
  <si>
    <t>HD-005418</t>
  </si>
  <si>
    <t>HD-005419</t>
  </si>
  <si>
    <t>HD-005420</t>
  </si>
  <si>
    <t>HD-005421</t>
  </si>
  <si>
    <t>HD-005422</t>
  </si>
  <si>
    <t>HD-005423</t>
  </si>
  <si>
    <t>HD-005424</t>
  </si>
  <si>
    <t>HD-005425</t>
  </si>
  <si>
    <t>HD-005426</t>
  </si>
  <si>
    <t>HD-005427</t>
  </si>
  <si>
    <t>HD-005428</t>
  </si>
  <si>
    <t>HD-005429</t>
  </si>
  <si>
    <t>HD-005430</t>
  </si>
  <si>
    <t>HD-005431</t>
  </si>
  <si>
    <t>HD-005432</t>
  </si>
  <si>
    <t>HD-005433</t>
  </si>
  <si>
    <t>HD-005434</t>
  </si>
  <si>
    <t>HD-005435</t>
  </si>
  <si>
    <t>HD-005436</t>
  </si>
  <si>
    <t>HD-005437</t>
  </si>
  <si>
    <t>HD-005438</t>
  </si>
  <si>
    <t>HD-005439</t>
  </si>
  <si>
    <t>HD-005440</t>
  </si>
  <si>
    <t>HD-005441</t>
  </si>
  <si>
    <t>HD-005442</t>
  </si>
  <si>
    <t>HD-005443</t>
  </si>
  <si>
    <t>HD-005444</t>
  </si>
  <si>
    <t>HD-005445</t>
  </si>
  <si>
    <t>HD-005446</t>
  </si>
  <si>
    <t>HD-005447</t>
  </si>
  <si>
    <t>HD-005448</t>
  </si>
  <si>
    <t>HD-005449</t>
  </si>
  <si>
    <t>HD-005450</t>
  </si>
  <si>
    <t>HD-005451</t>
  </si>
  <si>
    <t>HD-005452</t>
  </si>
  <si>
    <t>HD-005453</t>
  </si>
  <si>
    <t>HD-005454</t>
  </si>
  <si>
    <t>HD-005455</t>
  </si>
  <si>
    <t>HD-005456</t>
  </si>
  <si>
    <t>HD-005457</t>
  </si>
  <si>
    <t>HD-005458</t>
  </si>
  <si>
    <t>HD-005459</t>
  </si>
  <si>
    <t>HD-005460</t>
  </si>
  <si>
    <t>HD-005461</t>
  </si>
  <si>
    <t>HD-005462</t>
  </si>
  <si>
    <t>HD-005463</t>
  </si>
  <si>
    <t>HD-005464</t>
  </si>
  <si>
    <t>HD-005465</t>
  </si>
  <si>
    <t>HD-005466</t>
  </si>
  <si>
    <t>HD-005467</t>
  </si>
  <si>
    <t>HD-005468</t>
  </si>
  <si>
    <t>HD-005469</t>
  </si>
  <si>
    <t>HD-005470</t>
  </si>
  <si>
    <t>HD-005471</t>
  </si>
  <si>
    <t>HD-005472</t>
  </si>
  <si>
    <t>HD-005473</t>
  </si>
  <si>
    <t>HD-005474</t>
  </si>
  <si>
    <t>HD-005475</t>
  </si>
  <si>
    <t>HD-005476</t>
  </si>
  <si>
    <t>HD-005477</t>
  </si>
  <si>
    <t>HD-005478</t>
  </si>
  <si>
    <t>HD-005479</t>
  </si>
  <si>
    <t>HD-005480</t>
  </si>
  <si>
    <t>HD-005481</t>
  </si>
  <si>
    <t>HD-005482</t>
  </si>
  <si>
    <t>HD-005483</t>
  </si>
  <si>
    <t>HD-005484</t>
  </si>
  <si>
    <t>HD-005485</t>
  </si>
  <si>
    <t>HD-005486</t>
  </si>
  <si>
    <t>HD-005487</t>
  </si>
  <si>
    <t>HD-005488</t>
  </si>
  <si>
    <t>HD-005489</t>
  </si>
  <si>
    <t>HD-005490</t>
  </si>
  <si>
    <t>HD-005491</t>
  </si>
  <si>
    <t>HD-005492</t>
  </si>
  <si>
    <t>HD-005493</t>
  </si>
  <si>
    <t>HD-005494</t>
  </si>
  <si>
    <t>HD-005495</t>
  </si>
  <si>
    <t>HD-005496</t>
  </si>
  <si>
    <t>HD-005497</t>
  </si>
  <si>
    <t>HD-005498</t>
  </si>
  <si>
    <t>HD-005499</t>
  </si>
  <si>
    <t>HD-005500</t>
  </si>
  <si>
    <t>HD-005501</t>
  </si>
  <si>
    <t>HD-005502</t>
  </si>
  <si>
    <t>HD-005503</t>
  </si>
  <si>
    <t>HD-005504</t>
  </si>
  <si>
    <t>HD-005505</t>
  </si>
  <si>
    <t>HD-005506</t>
  </si>
  <si>
    <t>HD-005507</t>
  </si>
  <si>
    <t>HD-005508</t>
  </si>
  <si>
    <t>HD-005509</t>
  </si>
  <si>
    <t>HD-005510</t>
  </si>
  <si>
    <t>HD-005511</t>
  </si>
  <si>
    <t>HD-005512</t>
  </si>
  <si>
    <t>HD-005513</t>
  </si>
  <si>
    <t>HD-005514</t>
  </si>
  <si>
    <t>HD-005515</t>
  </si>
  <si>
    <t>HD-005516</t>
  </si>
  <si>
    <t>HD-005517</t>
  </si>
  <si>
    <t>HD-005518</t>
  </si>
  <si>
    <t>HD-005519</t>
  </si>
  <si>
    <t>HD-005520</t>
  </si>
  <si>
    <t>HD-005521</t>
  </si>
  <si>
    <t>HD-005522</t>
  </si>
  <si>
    <t>HD-005523</t>
  </si>
  <si>
    <t>HD-005524</t>
  </si>
  <si>
    <t>HD-005525</t>
  </si>
  <si>
    <t>HD-005526</t>
  </si>
  <si>
    <t>HD-005527</t>
  </si>
  <si>
    <t>HD-005528</t>
  </si>
  <si>
    <t>HD-005529</t>
  </si>
  <si>
    <t>HD-005530</t>
  </si>
  <si>
    <t>HD-005531</t>
  </si>
  <si>
    <t>HD-005532</t>
  </si>
  <si>
    <t>HD-005533</t>
  </si>
  <si>
    <t>HD-005534</t>
  </si>
  <si>
    <t>HD-005535</t>
  </si>
  <si>
    <t>HD-005536</t>
  </si>
  <si>
    <t>HD-005537</t>
  </si>
  <si>
    <t>HD-005538</t>
  </si>
  <si>
    <t>HD-005539</t>
  </si>
  <si>
    <t>HD-005540</t>
  </si>
  <si>
    <t>HD-005541</t>
  </si>
  <si>
    <t>HD-005542</t>
  </si>
  <si>
    <t>HD-005543</t>
  </si>
  <si>
    <t>HD-005544</t>
  </si>
  <si>
    <t>HD-005545</t>
  </si>
  <si>
    <t>HD-005546</t>
  </si>
  <si>
    <t>HD-005547</t>
  </si>
  <si>
    <t>HD-005548</t>
  </si>
  <si>
    <t>HD-005549</t>
  </si>
  <si>
    <t>HD-005550</t>
  </si>
  <si>
    <t>HD-005551</t>
  </si>
  <si>
    <t>HD-005552</t>
  </si>
  <si>
    <t>HD-005553</t>
  </si>
  <si>
    <t>HD-005554</t>
  </si>
  <si>
    <t>HD-005555</t>
  </si>
  <si>
    <t>HD-005556</t>
  </si>
  <si>
    <t>HD-005557</t>
  </si>
  <si>
    <t>HD-005558</t>
  </si>
  <si>
    <t>HD-005559</t>
  </si>
  <si>
    <t>HD-005560</t>
  </si>
  <si>
    <t>HD-005561</t>
  </si>
  <si>
    <t>HD-005562</t>
  </si>
  <si>
    <t>HD-005563</t>
  </si>
  <si>
    <t>HD-005564</t>
  </si>
  <si>
    <t>HD-005565</t>
  </si>
  <si>
    <t>HD-005566</t>
  </si>
  <si>
    <t>HD-005567</t>
  </si>
  <si>
    <t>HD-005568</t>
  </si>
  <si>
    <t>HD-005569</t>
  </si>
  <si>
    <t>HD-005570</t>
  </si>
  <si>
    <t>HD-005571</t>
  </si>
  <si>
    <t>HD-005572</t>
  </si>
  <si>
    <t>HD-005573</t>
  </si>
  <si>
    <t>HD-005574</t>
  </si>
  <si>
    <t>HD-005575</t>
  </si>
  <si>
    <t>HD-005576</t>
  </si>
  <si>
    <t>HD-005577</t>
  </si>
  <si>
    <t>HD-005578</t>
  </si>
  <si>
    <t>HD-005579</t>
  </si>
  <si>
    <t>HD-005580</t>
  </si>
  <si>
    <t>HD-005581</t>
  </si>
  <si>
    <t>HD-005582</t>
  </si>
  <si>
    <t>HD-005583</t>
  </si>
  <si>
    <t>HD-005584</t>
  </si>
  <si>
    <t>HD-005585</t>
  </si>
  <si>
    <t>HD-005586</t>
  </si>
  <si>
    <t>HD-005587</t>
  </si>
  <si>
    <t>HD-005588</t>
  </si>
  <si>
    <t>HD-005589</t>
  </si>
  <si>
    <t>HD-005590</t>
  </si>
  <si>
    <t>HD-005591</t>
  </si>
  <si>
    <t>HD-005592</t>
  </si>
  <si>
    <t>HD-005593</t>
  </si>
  <si>
    <t>HD-005594</t>
  </si>
  <si>
    <t>HD-005595</t>
  </si>
  <si>
    <t>HD-005596</t>
  </si>
  <si>
    <t>HD-005597</t>
  </si>
  <si>
    <t>HD-005598</t>
  </si>
  <si>
    <t>HD-005599</t>
  </si>
  <si>
    <t>HD-005600</t>
  </si>
  <si>
    <t>HD-005601</t>
  </si>
  <si>
    <t>HD-005602</t>
  </si>
  <si>
    <t>HD-005603</t>
  </si>
  <si>
    <t>HD-005604</t>
  </si>
  <si>
    <t>HD-005605</t>
  </si>
  <si>
    <t>HD-005606</t>
  </si>
  <si>
    <t>HD-005607</t>
  </si>
  <si>
    <t>HD-005608</t>
  </si>
  <si>
    <t>HD-005609</t>
  </si>
  <si>
    <t>HD-005610</t>
  </si>
  <si>
    <t>HD-005611</t>
  </si>
  <si>
    <t>HD-005612</t>
  </si>
  <si>
    <t>HD-005613</t>
  </si>
  <si>
    <t>HD-005614</t>
  </si>
  <si>
    <t>HD-005615</t>
  </si>
  <si>
    <t>HD-005616</t>
  </si>
  <si>
    <t>HD-005617</t>
  </si>
  <si>
    <t>HD-005618</t>
  </si>
  <si>
    <t>HD-005619</t>
  </si>
  <si>
    <t>HD-005620</t>
  </si>
  <si>
    <t>HD-005621</t>
  </si>
  <si>
    <t>HD-005622</t>
  </si>
  <si>
    <t>HD-005623</t>
  </si>
  <si>
    <t>HD-005624</t>
  </si>
  <si>
    <t>HD-005625</t>
  </si>
  <si>
    <t>HD-005626</t>
  </si>
  <si>
    <t>HD-005627</t>
  </si>
  <si>
    <t>HD-005628</t>
  </si>
  <si>
    <t>HD-005629</t>
  </si>
  <si>
    <t>HD-005630</t>
  </si>
  <si>
    <t>HD-005631</t>
  </si>
  <si>
    <t>HD-005632</t>
  </si>
  <si>
    <t>HD-005633</t>
  </si>
  <si>
    <t>HD-005634</t>
  </si>
  <si>
    <t>HD-005635</t>
  </si>
  <si>
    <t>HD-005636</t>
  </si>
  <si>
    <t>HD-005637</t>
  </si>
  <si>
    <t>HD-005638</t>
  </si>
  <si>
    <t>HD-005639</t>
  </si>
  <si>
    <t>HD-005640</t>
  </si>
  <si>
    <t>HD-005641</t>
  </si>
  <si>
    <t>HD-005642</t>
  </si>
  <si>
    <t>HD-005643</t>
  </si>
  <si>
    <t>HD-005644</t>
  </si>
  <si>
    <t>HD-005645</t>
  </si>
  <si>
    <t>HD-005646</t>
  </si>
  <si>
    <t>HD-005647</t>
  </si>
  <si>
    <t>HD-005648</t>
  </si>
  <si>
    <t>HD-005649</t>
  </si>
  <si>
    <t>HD-005650</t>
  </si>
  <si>
    <t>HD-005651</t>
  </si>
  <si>
    <t>HD-005652</t>
  </si>
  <si>
    <t>HD-005653</t>
  </si>
  <si>
    <t>HD-005654</t>
  </si>
  <si>
    <t>HD-005655</t>
  </si>
  <si>
    <t>HD-005656</t>
  </si>
  <si>
    <t>HD-005657</t>
  </si>
  <si>
    <t>HD-005658</t>
  </si>
  <si>
    <t>HD-005659</t>
  </si>
  <si>
    <t>HD-005660</t>
  </si>
  <si>
    <t>HD-005661</t>
  </si>
  <si>
    <t>HD-005662</t>
  </si>
  <si>
    <t>HD-005663</t>
  </si>
  <si>
    <t>HD-005664</t>
  </si>
  <si>
    <t>HD-005665</t>
  </si>
  <si>
    <t>HD-005666</t>
  </si>
  <si>
    <t>HD-005667</t>
  </si>
  <si>
    <t>HD-005668</t>
  </si>
  <si>
    <t>HD-005669</t>
  </si>
  <si>
    <t>HD-005670</t>
  </si>
  <si>
    <t>HD-005671</t>
  </si>
  <si>
    <t>HD-005672</t>
  </si>
  <si>
    <t>HD-005673</t>
  </si>
  <si>
    <t>HD-005674</t>
  </si>
  <si>
    <t>HD-005675</t>
  </si>
  <si>
    <t>HD-005676</t>
  </si>
  <si>
    <t>HD-005677</t>
  </si>
  <si>
    <t>HD-005678</t>
  </si>
  <si>
    <t>HD-005679</t>
  </si>
  <si>
    <t>HD-005680</t>
  </si>
  <si>
    <t>HD-005681</t>
  </si>
  <si>
    <t>HD-005682</t>
  </si>
  <si>
    <t>HD-005683</t>
  </si>
  <si>
    <t>HD-005684</t>
  </si>
  <si>
    <t>HD-005685</t>
  </si>
  <si>
    <t>HD-005686</t>
  </si>
  <si>
    <t>HD-005687</t>
  </si>
  <si>
    <t>HD-005688</t>
  </si>
  <si>
    <t>HD-005689</t>
  </si>
  <si>
    <t>HD-005690</t>
  </si>
  <si>
    <t>HD-005691</t>
  </si>
  <si>
    <t>HD-005692</t>
  </si>
  <si>
    <t>HD-005693</t>
  </si>
  <si>
    <t>HD-005694</t>
  </si>
  <si>
    <t>HD-005695</t>
  </si>
  <si>
    <t>HD-005696</t>
  </si>
  <si>
    <t>HD-005697</t>
  </si>
  <si>
    <t>HD-005698</t>
  </si>
  <si>
    <t>HD-005699</t>
  </si>
  <si>
    <t>HD-005700</t>
  </si>
  <si>
    <t>HD-005701</t>
  </si>
  <si>
    <t>HD-005702</t>
  </si>
  <si>
    <t>HD-005703</t>
  </si>
  <si>
    <t>HD-005704</t>
  </si>
  <si>
    <t>HD-005705</t>
  </si>
  <si>
    <t>HD-005706</t>
  </si>
  <si>
    <t>HD-005707</t>
  </si>
  <si>
    <t>HD-005708</t>
  </si>
  <si>
    <t>HD-005709</t>
  </si>
  <si>
    <t>HD-005710</t>
  </si>
  <si>
    <t>HD-005711</t>
  </si>
  <si>
    <t>HD-005712</t>
  </si>
  <si>
    <t>HD-005713</t>
  </si>
  <si>
    <t>HD-005714</t>
  </si>
  <si>
    <t>HD-005715</t>
  </si>
  <si>
    <t>HD-005716</t>
  </si>
  <si>
    <t>HD-005717</t>
  </si>
  <si>
    <t>HD-005718</t>
  </si>
  <si>
    <t>HD-005719</t>
  </si>
  <si>
    <t>HD-005720</t>
  </si>
  <si>
    <t>HD-005721</t>
  </si>
  <si>
    <t>HD-005722</t>
  </si>
  <si>
    <t>HD-005723</t>
  </si>
  <si>
    <t>HD-005724</t>
  </si>
  <si>
    <t>HD-005725</t>
  </si>
  <si>
    <t>HD-005726</t>
  </si>
  <si>
    <t>HD-005727</t>
  </si>
  <si>
    <t>HD-005728</t>
  </si>
  <si>
    <t>HD-005729</t>
  </si>
  <si>
    <t>HD-005730</t>
  </si>
  <si>
    <t>HD-005731</t>
  </si>
  <si>
    <t>HD-005732</t>
  </si>
  <si>
    <t>HD-005733</t>
  </si>
  <si>
    <t>HD-005734</t>
  </si>
  <si>
    <t>HD-005735</t>
  </si>
  <si>
    <t>HD-005736</t>
  </si>
  <si>
    <t>HD-005737</t>
  </si>
  <si>
    <t>HD-005738</t>
  </si>
  <si>
    <t>HD-005739</t>
  </si>
  <si>
    <t>HD-005740</t>
  </si>
  <si>
    <t>HD-005741</t>
  </si>
  <si>
    <t>HD-005742</t>
  </si>
  <si>
    <t>HD-005743</t>
  </si>
  <si>
    <t>HD-005744</t>
  </si>
  <si>
    <t>HD-005745</t>
  </si>
  <si>
    <t>HD-005746</t>
  </si>
  <si>
    <t>HD-005747</t>
  </si>
  <si>
    <t>HD-005748</t>
  </si>
  <si>
    <t>HD-005749</t>
  </si>
  <si>
    <t>HD-005750</t>
  </si>
  <si>
    <t>HD-005751</t>
  </si>
  <si>
    <t>HD-005752</t>
  </si>
  <si>
    <t>HD-005753</t>
  </si>
  <si>
    <t>HD-005754</t>
  </si>
  <si>
    <t>HD-005755</t>
  </si>
  <si>
    <t>HD-005756</t>
  </si>
  <si>
    <t>HD-005757</t>
  </si>
  <si>
    <t>HD-005758</t>
  </si>
  <si>
    <t>HD-005759</t>
  </si>
  <si>
    <t>HD-005760</t>
  </si>
  <si>
    <t>HD-005761</t>
  </si>
  <si>
    <t>HD-005762</t>
  </si>
  <si>
    <t>HD-005763</t>
  </si>
  <si>
    <t>HD-005764</t>
  </si>
  <si>
    <t>HD-005765</t>
  </si>
  <si>
    <t>HD-005766</t>
  </si>
  <si>
    <t>HD-005767</t>
  </si>
  <si>
    <t>HD-005768</t>
  </si>
  <si>
    <t>HD-005769</t>
  </si>
  <si>
    <t>HD-005770</t>
  </si>
  <si>
    <t>HD-005771</t>
  </si>
  <si>
    <t>HD-005772</t>
  </si>
  <si>
    <t>HD-005773</t>
  </si>
  <si>
    <t>HD-005774</t>
  </si>
  <si>
    <t>HD-005775</t>
  </si>
  <si>
    <t>HD-005776</t>
  </si>
  <si>
    <t>HD-005777</t>
  </si>
  <si>
    <t>HD-005778</t>
  </si>
  <si>
    <t>HD-005779</t>
  </si>
  <si>
    <t>HD-005780</t>
  </si>
  <si>
    <t>HD-005781</t>
  </si>
  <si>
    <t>HD-005782</t>
  </si>
  <si>
    <t>HD-005783</t>
  </si>
  <si>
    <t>HD-005784</t>
  </si>
  <si>
    <t>HD-005785</t>
  </si>
  <si>
    <t>HD-005786</t>
  </si>
  <si>
    <t>HD-005787</t>
  </si>
  <si>
    <t>HD-005788</t>
  </si>
  <si>
    <t>HD-005789</t>
  </si>
  <si>
    <t>HD-005790</t>
  </si>
  <si>
    <t>HD-005791</t>
  </si>
  <si>
    <t>HD-005792</t>
  </si>
  <si>
    <t>HD-005793</t>
  </si>
  <si>
    <t>HD-005794</t>
  </si>
  <si>
    <t>HD-005795</t>
  </si>
  <si>
    <t>HD-005796</t>
  </si>
  <si>
    <t>HD-005797</t>
  </si>
  <si>
    <t>HD-005798</t>
  </si>
  <si>
    <t>HD-005799</t>
  </si>
  <si>
    <t>HD-005800</t>
  </si>
  <si>
    <t>HD-005801</t>
  </si>
  <si>
    <t>HD-005802</t>
  </si>
  <si>
    <t>HD-005803</t>
  </si>
  <si>
    <t>HD-005804</t>
  </si>
  <si>
    <t>HD-005805</t>
  </si>
  <si>
    <t>HD-005806</t>
  </si>
  <si>
    <t>HD-005807</t>
  </si>
  <si>
    <t>HD-005808</t>
  </si>
  <si>
    <t>HD-005809</t>
  </si>
  <si>
    <t>HD-005810</t>
  </si>
  <si>
    <t>HD-005811</t>
  </si>
  <si>
    <t>HD-005812</t>
  </si>
  <si>
    <t>HD-005813</t>
  </si>
  <si>
    <t>HD-005814</t>
  </si>
  <si>
    <t>HD-005815</t>
  </si>
  <si>
    <t>HD-005816</t>
  </si>
  <si>
    <t>HD-005817</t>
  </si>
  <si>
    <t>HD-005818</t>
  </si>
  <si>
    <t>HD-005819</t>
  </si>
  <si>
    <t>HD-005820</t>
  </si>
  <si>
    <t>HD-005821</t>
  </si>
  <si>
    <t>HD-005822</t>
  </si>
  <si>
    <t>HD-005823</t>
  </si>
  <si>
    <t>HD-005824</t>
  </si>
  <si>
    <t>HD-005825</t>
  </si>
  <si>
    <t>HD-005826</t>
  </si>
  <si>
    <t>HD-005827</t>
  </si>
  <si>
    <t>HD-005828</t>
  </si>
  <si>
    <t>HD-005829</t>
  </si>
  <si>
    <t>HD-005830</t>
  </si>
  <si>
    <t>HD-005831</t>
  </si>
  <si>
    <t>HD-005832</t>
  </si>
  <si>
    <t>HD-005833</t>
  </si>
  <si>
    <t>HD-005834</t>
  </si>
  <si>
    <t>HD-005835</t>
  </si>
  <si>
    <t>HD-005836</t>
  </si>
  <si>
    <t>HD-005837</t>
  </si>
  <si>
    <t>HD-005838</t>
  </si>
  <si>
    <t>HD-005839</t>
  </si>
  <si>
    <t>HD-005840</t>
  </si>
  <si>
    <t>HD-005841</t>
  </si>
  <si>
    <t>HD-005842</t>
  </si>
  <si>
    <t>HD-005843</t>
  </si>
  <si>
    <t>HD-005844</t>
  </si>
  <si>
    <t>HD-005845</t>
  </si>
  <si>
    <t>HD-005846</t>
  </si>
  <si>
    <t>HD-005847</t>
  </si>
  <si>
    <t>HD-005848</t>
  </si>
  <si>
    <t>HD-005849</t>
  </si>
  <si>
    <t>HD-005850</t>
  </si>
  <si>
    <t>HD-005851</t>
  </si>
  <si>
    <t>HD-005852</t>
  </si>
  <si>
    <t>HD-005853</t>
  </si>
  <si>
    <t>HD-005854</t>
  </si>
  <si>
    <t>HD-005855</t>
  </si>
  <si>
    <t>HD-005856</t>
  </si>
  <si>
    <t>HD-005857</t>
  </si>
  <si>
    <t>HD-005858</t>
  </si>
  <si>
    <t>HD-005859</t>
  </si>
  <si>
    <t>HD-005860</t>
  </si>
  <si>
    <t>HD-005861</t>
  </si>
  <si>
    <t>HD-005862</t>
  </si>
  <si>
    <t>HD-005863</t>
  </si>
  <si>
    <t>HD-005864</t>
  </si>
  <si>
    <t>HD-005865</t>
  </si>
  <si>
    <t>HD-005866</t>
  </si>
  <si>
    <t>HD-005867</t>
  </si>
  <si>
    <t>HD-005868</t>
  </si>
  <si>
    <t>HD-005869</t>
  </si>
  <si>
    <t>HD-005870</t>
  </si>
  <si>
    <t>HD-005871</t>
  </si>
  <si>
    <t>HD-005872</t>
  </si>
  <si>
    <t>HD-005873</t>
  </si>
  <si>
    <t>HD-005874</t>
  </si>
  <si>
    <t>HD-005875</t>
  </si>
  <si>
    <t>HD-005876</t>
  </si>
  <si>
    <t>HD-005877</t>
  </si>
  <si>
    <t>HD-005878</t>
  </si>
  <si>
    <t>HD-005879</t>
  </si>
  <si>
    <t>HD-005880</t>
  </si>
  <si>
    <t>HD-005881</t>
  </si>
  <si>
    <t>HD-005882</t>
  </si>
  <si>
    <t>HD-005883</t>
  </si>
  <si>
    <t>HD-005884</t>
  </si>
  <si>
    <t>HD-005885</t>
  </si>
  <si>
    <t>HD-005886</t>
  </si>
  <si>
    <t>HD-005887</t>
  </si>
  <si>
    <t>HD-005888</t>
  </si>
  <si>
    <t>HD-005889</t>
  </si>
  <si>
    <t>HD-005890</t>
  </si>
  <si>
    <t>HD-005891</t>
  </si>
  <si>
    <t>HD-005892</t>
  </si>
  <si>
    <t>HD-005893</t>
  </si>
  <si>
    <t>HD-005894</t>
  </si>
  <si>
    <t>HD-005895</t>
  </si>
  <si>
    <t>HD-005896</t>
  </si>
  <si>
    <t>HD-005897</t>
  </si>
  <si>
    <t>HD-005898</t>
  </si>
  <si>
    <t>HD-005899</t>
  </si>
  <si>
    <t>HD-005900</t>
  </si>
  <si>
    <t>HD-005901</t>
  </si>
  <si>
    <t>HD-005902</t>
  </si>
  <si>
    <t>HD-005903</t>
  </si>
  <si>
    <t>HD-005904</t>
  </si>
  <si>
    <t>HD-005905</t>
  </si>
  <si>
    <t>HD-005906</t>
  </si>
  <si>
    <t>HD-005907</t>
  </si>
  <si>
    <t>HD-005908</t>
  </si>
  <si>
    <t>HD-005909</t>
  </si>
  <si>
    <t>HD-005910</t>
  </si>
  <si>
    <t>HD-005911</t>
  </si>
  <si>
    <t>HD-005912</t>
  </si>
  <si>
    <t>HD-005913</t>
  </si>
  <si>
    <t>HD-005914</t>
  </si>
  <si>
    <t>HD-005915</t>
  </si>
  <si>
    <t>HD-005916</t>
  </si>
  <si>
    <t>HD-005917</t>
  </si>
  <si>
    <t>HD-005918</t>
  </si>
  <si>
    <t>HD-005919</t>
  </si>
  <si>
    <t>HD-005920</t>
  </si>
  <si>
    <t>HD-005921</t>
  </si>
  <si>
    <t>HD-005922</t>
  </si>
  <si>
    <t>HD-005923</t>
  </si>
  <si>
    <t>HD-005924</t>
  </si>
  <si>
    <t>HD-005925</t>
  </si>
  <si>
    <t>HD-005926</t>
  </si>
  <si>
    <t>HD-005927</t>
  </si>
  <si>
    <t>HD-005928</t>
  </si>
  <si>
    <t>HD-005929</t>
  </si>
  <si>
    <t>HD-005930</t>
  </si>
  <si>
    <t>HD-005931</t>
  </si>
  <si>
    <t>HD-005932</t>
  </si>
  <si>
    <t>HD-005933</t>
  </si>
  <si>
    <t>HD-005934</t>
  </si>
  <si>
    <t>HD-005935</t>
  </si>
  <si>
    <t>HD-005936</t>
  </si>
  <si>
    <t>HD-005937</t>
  </si>
  <si>
    <t>HD-005938</t>
  </si>
  <si>
    <t>HD-005939</t>
  </si>
  <si>
    <t>HD-005940</t>
  </si>
  <si>
    <t>HD-005941</t>
  </si>
  <si>
    <t>HD-005942</t>
  </si>
  <si>
    <t>HD-005943</t>
  </si>
  <si>
    <t>HD-005944</t>
  </si>
  <si>
    <t>HD-005945</t>
  </si>
  <si>
    <t>HD-005946</t>
  </si>
  <si>
    <t>HD-005947</t>
  </si>
  <si>
    <t>HD-005948</t>
  </si>
  <si>
    <t>HD-005949</t>
  </si>
  <si>
    <t>HD-005950</t>
  </si>
  <si>
    <t>HD-005951</t>
  </si>
  <si>
    <t>HD-005952</t>
  </si>
  <si>
    <t>HD-005953</t>
  </si>
  <si>
    <t>HD-005954</t>
  </si>
  <si>
    <t>HD-005955</t>
  </si>
  <si>
    <t>HD-005956</t>
  </si>
  <si>
    <t>HD-005957</t>
  </si>
  <si>
    <t>HD-005958</t>
  </si>
  <si>
    <t>HD-005959</t>
  </si>
  <si>
    <t>HD-005960</t>
  </si>
  <si>
    <t>HD-005961</t>
  </si>
  <si>
    <t>HD-005962</t>
  </si>
  <si>
    <t>HD-005963</t>
  </si>
  <si>
    <t>HD-005964</t>
  </si>
  <si>
    <t>HD-005965</t>
  </si>
  <si>
    <t>HD-005966</t>
  </si>
  <si>
    <t>HD-005967</t>
  </si>
  <si>
    <t>HD-005968</t>
  </si>
  <si>
    <t>HD-005969</t>
  </si>
  <si>
    <t>HD-005970</t>
  </si>
  <si>
    <t>HD-005971</t>
  </si>
  <si>
    <t>HD-005972</t>
  </si>
  <si>
    <t>HD-005973</t>
  </si>
  <si>
    <t>HD-005974</t>
  </si>
  <si>
    <t>HD-005975</t>
  </si>
  <si>
    <t>HD-005976</t>
  </si>
  <si>
    <t>HD-005977</t>
  </si>
  <si>
    <t>HD-005978</t>
  </si>
  <si>
    <t>HD-005979</t>
  </si>
  <si>
    <t>HD-005980</t>
  </si>
  <si>
    <t>HD-005981</t>
  </si>
  <si>
    <t>HD-005982</t>
  </si>
  <si>
    <t>HD-005983</t>
  </si>
  <si>
    <t>HD-005984</t>
  </si>
  <si>
    <t>HD-005985</t>
  </si>
  <si>
    <t>HD-005986</t>
  </si>
  <si>
    <t>HD-005987</t>
  </si>
  <si>
    <t>HD-005988</t>
  </si>
  <si>
    <t>HD-005989</t>
  </si>
  <si>
    <t>HD-005990</t>
  </si>
  <si>
    <t>HD-005991</t>
  </si>
  <si>
    <t>HD-005992</t>
  </si>
  <si>
    <t>HD-005993</t>
  </si>
  <si>
    <t>HD-005994</t>
  </si>
  <si>
    <t>HD-005995</t>
  </si>
  <si>
    <t>HD-005996</t>
  </si>
  <si>
    <t>HD-005997</t>
  </si>
  <si>
    <t>HD-005998</t>
  </si>
  <si>
    <t>HD-005999</t>
  </si>
  <si>
    <t>HD-006000</t>
  </si>
  <si>
    <t>HD-006001</t>
  </si>
  <si>
    <t>HD-006002</t>
  </si>
  <si>
    <t>HD-006003</t>
  </si>
  <si>
    <t>HD-006004</t>
  </si>
  <si>
    <t>HD-006005</t>
  </si>
  <si>
    <t>HD-006006</t>
  </si>
  <si>
    <t>HD-006007</t>
  </si>
  <si>
    <t>HD-006008</t>
  </si>
  <si>
    <t>HD-006009</t>
  </si>
  <si>
    <t>HD-006010</t>
  </si>
  <si>
    <t>HD-006011</t>
  </si>
  <si>
    <t>HD-006012</t>
  </si>
  <si>
    <t>HD-006013</t>
  </si>
  <si>
    <t>HD-006014</t>
  </si>
  <si>
    <t>HD-006015</t>
  </si>
  <si>
    <t>HD-006016</t>
  </si>
  <si>
    <t>HD-006017</t>
  </si>
  <si>
    <t>HD-006018</t>
  </si>
  <si>
    <t>HD-006019</t>
  </si>
  <si>
    <t>HD-006020</t>
  </si>
  <si>
    <t>HD-006021</t>
  </si>
  <si>
    <t>HD-006022</t>
  </si>
  <si>
    <t>HD-006023</t>
  </si>
  <si>
    <t>HD-006024</t>
  </si>
  <si>
    <t>HD-006025</t>
  </si>
  <si>
    <t>HD-006026</t>
  </si>
  <si>
    <t>HD-006027</t>
  </si>
  <si>
    <t>HD-006028</t>
  </si>
  <si>
    <t>HD-006029</t>
  </si>
  <si>
    <t>HD-006030</t>
  </si>
  <si>
    <t>HD-006031</t>
  </si>
  <si>
    <t>HD-006032</t>
  </si>
  <si>
    <t>HD-006033</t>
  </si>
  <si>
    <t>HD-006034</t>
  </si>
  <si>
    <t>HD-006035</t>
  </si>
  <si>
    <t>HD-006036</t>
  </si>
  <si>
    <t>HD-006037</t>
  </si>
  <si>
    <t>HD-006038</t>
  </si>
  <si>
    <t>HD-006039</t>
  </si>
  <si>
    <t>HD-006040</t>
  </si>
  <si>
    <t>HD-006041</t>
  </si>
  <si>
    <t>HD-006042</t>
  </si>
  <si>
    <t>HD-006043</t>
  </si>
  <si>
    <t>HD-006044</t>
  </si>
  <si>
    <t>HD-006045</t>
  </si>
  <si>
    <t>HD-006046</t>
  </si>
  <si>
    <t>HD-006047</t>
  </si>
  <si>
    <t>HD-006048</t>
  </si>
  <si>
    <t>HD-006049</t>
  </si>
  <si>
    <t>HD-006050</t>
  </si>
  <si>
    <t>HD-006051</t>
  </si>
  <si>
    <t>HD-006052</t>
  </si>
  <si>
    <t>HD-006053</t>
  </si>
  <si>
    <t>HD-006054</t>
  </si>
  <si>
    <t>HD-006055</t>
  </si>
  <si>
    <t>HD-006056</t>
  </si>
  <si>
    <t>HD-006057</t>
  </si>
  <si>
    <t>HD-006058</t>
  </si>
  <si>
    <t>HD-006059</t>
  </si>
  <si>
    <t>HD-006060</t>
  </si>
  <si>
    <t>HD-006061</t>
  </si>
  <si>
    <t>HD-006062</t>
  </si>
  <si>
    <t>HD-006063</t>
  </si>
  <si>
    <t>HD-006064</t>
  </si>
  <si>
    <t>HD-006065</t>
  </si>
  <si>
    <t>HD-006066</t>
  </si>
  <si>
    <t>HD-006067</t>
  </si>
  <si>
    <t>HD-006068</t>
  </si>
  <si>
    <t>HD-006069</t>
  </si>
  <si>
    <t>HD-006070</t>
  </si>
  <si>
    <t>HD-006071</t>
  </si>
  <si>
    <t>HD-006072</t>
  </si>
  <si>
    <t>HD-006073</t>
  </si>
  <si>
    <t>HD-006074</t>
  </si>
  <si>
    <t>HD-006075</t>
  </si>
  <si>
    <t>HD-006076</t>
  </si>
  <si>
    <t>HD-006077</t>
  </si>
  <si>
    <t>HD-006078</t>
  </si>
  <si>
    <t>HD-006079</t>
  </si>
  <si>
    <t>HD-006080</t>
  </si>
  <si>
    <t>HD-006081</t>
  </si>
  <si>
    <t>HD-006082</t>
  </si>
  <si>
    <t>HD-006083</t>
  </si>
  <si>
    <t>HD-006084</t>
  </si>
  <si>
    <t>HD-006085</t>
  </si>
  <si>
    <t>HD-006086</t>
  </si>
  <si>
    <t>HD-006087</t>
  </si>
  <si>
    <t>HD-006088</t>
  </si>
  <si>
    <t>HD-006089</t>
  </si>
  <si>
    <t>HD-006090</t>
  </si>
  <si>
    <t>HD-006091</t>
  </si>
  <si>
    <t>HD-006092</t>
  </si>
  <si>
    <t>HD-006093</t>
  </si>
  <si>
    <t>HD-006094</t>
  </si>
  <si>
    <t>HD-006095</t>
  </si>
  <si>
    <t>HD-006096</t>
  </si>
  <si>
    <t>HD-006097</t>
  </si>
  <si>
    <t>HD-006098</t>
  </si>
  <si>
    <t>HD-006099</t>
  </si>
  <si>
    <t>HD-006100</t>
  </si>
  <si>
    <t>HD-006101</t>
  </si>
  <si>
    <t>HD-006102</t>
  </si>
  <si>
    <t>HD-006103</t>
  </si>
  <si>
    <t>HD-006104</t>
  </si>
  <si>
    <t>HD-006105</t>
  </si>
  <si>
    <t>HD-006106</t>
  </si>
  <si>
    <t>HD-006107</t>
  </si>
  <si>
    <t>HD-006108</t>
  </si>
  <si>
    <t>HD-006109</t>
  </si>
  <si>
    <t>HD-006110</t>
  </si>
  <si>
    <t>HD-006111</t>
  </si>
  <si>
    <t>HD-006112</t>
  </si>
  <si>
    <t>HD-006113</t>
  </si>
  <si>
    <t>HD-006114</t>
  </si>
  <si>
    <t>HD-006115</t>
  </si>
  <si>
    <t>HD-006116</t>
  </si>
  <si>
    <t>HD-006117</t>
  </si>
  <si>
    <t>HD-006118</t>
  </si>
  <si>
    <t>HD-006119</t>
  </si>
  <si>
    <t>HD-006120</t>
  </si>
  <si>
    <t>HD-006121</t>
  </si>
  <si>
    <t>HD-006122</t>
  </si>
  <si>
    <t>HD-006123</t>
  </si>
  <si>
    <t>HD-006124</t>
  </si>
  <si>
    <t>HD-006125</t>
  </si>
  <si>
    <t>HD-006126</t>
  </si>
  <si>
    <t>HD-006127</t>
  </si>
  <si>
    <t>HD-006128</t>
  </si>
  <si>
    <t>HD-006129</t>
  </si>
  <si>
    <t>HD-006130</t>
  </si>
  <si>
    <t>HD-006131</t>
  </si>
  <si>
    <t>HD-006132</t>
  </si>
  <si>
    <t>HD-006133</t>
  </si>
  <si>
    <t>HD-006134</t>
  </si>
  <si>
    <t>HD-006135</t>
  </si>
  <si>
    <t>HD-006136</t>
  </si>
  <si>
    <t>HD-006137</t>
  </si>
  <si>
    <t>HD-006138</t>
  </si>
  <si>
    <t>HD-006139</t>
  </si>
  <si>
    <t>HD-006140</t>
  </si>
  <si>
    <t>HD-006141</t>
  </si>
  <si>
    <t>HD-006142</t>
  </si>
  <si>
    <t>HD-006143</t>
  </si>
  <si>
    <t>HD-006144</t>
  </si>
  <si>
    <t>HD-006145</t>
  </si>
  <si>
    <t>HD-006146</t>
  </si>
  <si>
    <t>HD-006147</t>
  </si>
  <si>
    <t>HD-006148</t>
  </si>
  <si>
    <t>HD-006149</t>
  </si>
  <si>
    <t>HD-006150</t>
  </si>
  <si>
    <t>HD-006151</t>
  </si>
  <si>
    <t>HD-006152</t>
  </si>
  <si>
    <t>HD-006153</t>
  </si>
  <si>
    <t>HD-006154</t>
  </si>
  <si>
    <t>HD-006155</t>
  </si>
  <si>
    <t>HD-006156</t>
  </si>
  <si>
    <t>HD-006157</t>
  </si>
  <si>
    <t>HD-006158</t>
  </si>
  <si>
    <t>HD-006159</t>
  </si>
  <si>
    <t>HD-006160</t>
  </si>
  <si>
    <t>HD-006161</t>
  </si>
  <si>
    <t>HD-006162</t>
  </si>
  <si>
    <t>HD-006163</t>
  </si>
  <si>
    <t>HD-006164</t>
  </si>
  <si>
    <t>HD-006165</t>
  </si>
  <si>
    <t>HD-006166</t>
  </si>
  <si>
    <t>HD-006167</t>
  </si>
  <si>
    <t>HD-006168</t>
  </si>
  <si>
    <t>HD-006169</t>
  </si>
  <si>
    <t>HD-006170</t>
  </si>
  <si>
    <t>HD-006171</t>
  </si>
  <si>
    <t>HD-006172</t>
  </si>
  <si>
    <t>HD-006173</t>
  </si>
  <si>
    <t>HD-006174</t>
  </si>
  <si>
    <t>HD-006175</t>
  </si>
  <si>
    <t>HD-006176</t>
  </si>
  <si>
    <t>HD-006177</t>
  </si>
  <si>
    <t>HD-006178</t>
  </si>
  <si>
    <t>HD-006179</t>
  </si>
  <si>
    <t>HD-006180</t>
  </si>
  <si>
    <t>HD-006181</t>
  </si>
  <si>
    <t>HD-006182</t>
  </si>
  <si>
    <t>HD-006183</t>
  </si>
  <si>
    <t>HD-006184</t>
  </si>
  <si>
    <t>HD-006185</t>
  </si>
  <si>
    <t>HD-006186</t>
  </si>
  <si>
    <t>HD-006187</t>
  </si>
  <si>
    <t>HD-006188</t>
  </si>
  <si>
    <t>HD-006189</t>
  </si>
  <si>
    <t>HD-006190</t>
  </si>
  <si>
    <t>HD-006191</t>
  </si>
  <si>
    <t>HD-006192</t>
  </si>
  <si>
    <t>HD-006193</t>
  </si>
  <si>
    <t>HD-006194</t>
  </si>
  <si>
    <t>HD-006195</t>
  </si>
  <si>
    <t>HD-006196</t>
  </si>
  <si>
    <t>HD-006197</t>
  </si>
  <si>
    <t>HD-006198</t>
  </si>
  <si>
    <t>HD-006199</t>
  </si>
  <si>
    <t>HD-006200</t>
  </si>
  <si>
    <t>HD-006201</t>
  </si>
  <si>
    <t>HD-006202</t>
  </si>
  <si>
    <t>HD-006203</t>
  </si>
  <si>
    <t>HD-006204</t>
  </si>
  <si>
    <t>HD-006205</t>
  </si>
  <si>
    <t>HD-006206</t>
  </si>
  <si>
    <t>HD-006207</t>
  </si>
  <si>
    <t>HD-006208</t>
  </si>
  <si>
    <t>HD-006209</t>
  </si>
  <si>
    <t>HD-006210</t>
  </si>
  <si>
    <t>HD-006211</t>
  </si>
  <si>
    <t>HD-006212</t>
  </si>
  <si>
    <t>HD-006213</t>
  </si>
  <si>
    <t>HD-006214</t>
  </si>
  <si>
    <t>HD-006215</t>
  </si>
  <si>
    <t>HD-006216</t>
  </si>
  <si>
    <t>HD-006217</t>
  </si>
  <si>
    <t>HD-006218</t>
  </si>
  <si>
    <t>HD-006219</t>
  </si>
  <si>
    <t>HD-006220</t>
  </si>
  <si>
    <t>HD-006221</t>
  </si>
  <si>
    <t>HD-006222</t>
  </si>
  <si>
    <t>HD-006223</t>
  </si>
  <si>
    <t>HD-006224</t>
  </si>
  <si>
    <t>HD-006225</t>
  </si>
  <si>
    <t>HD-006226</t>
  </si>
  <si>
    <t>HD-006227</t>
  </si>
  <si>
    <t>HD-006228</t>
  </si>
  <si>
    <t>HD-006229</t>
  </si>
  <si>
    <t>HD-006230</t>
  </si>
  <si>
    <t>HD-006231</t>
  </si>
  <si>
    <t>HD-006232</t>
  </si>
  <si>
    <t>HD-006233</t>
  </si>
  <si>
    <t>HD-006234</t>
  </si>
  <si>
    <t>HD-006235</t>
  </si>
  <si>
    <t>HD-006236</t>
  </si>
  <si>
    <t>HD-006237</t>
  </si>
  <si>
    <t>HD-006238</t>
  </si>
  <si>
    <t>HD-006239</t>
  </si>
  <si>
    <t>HD-006240</t>
  </si>
  <si>
    <t>HD-006241</t>
  </si>
  <si>
    <t>HD-006242</t>
  </si>
  <si>
    <t>HD-006243</t>
  </si>
  <si>
    <t>HD-006244</t>
  </si>
  <si>
    <t>HD-006245</t>
  </si>
  <si>
    <t>HD-006246</t>
  </si>
  <si>
    <t>HD-006247</t>
  </si>
  <si>
    <t>HD-006248</t>
  </si>
  <si>
    <t>HD-006249</t>
  </si>
  <si>
    <t>HD-006250</t>
  </si>
  <si>
    <t>HD-006251</t>
  </si>
  <si>
    <t>HD-006252</t>
  </si>
  <si>
    <t>HD-006253</t>
  </si>
  <si>
    <t>HD-006254</t>
  </si>
  <si>
    <t>HD-006255</t>
  </si>
  <si>
    <t>HD-006256</t>
  </si>
  <si>
    <t>HD-006257</t>
  </si>
  <si>
    <t>HD-006258</t>
  </si>
  <si>
    <t>HD-006259</t>
  </si>
  <si>
    <t>HD-006260</t>
  </si>
  <si>
    <t>HD-006261</t>
  </si>
  <si>
    <t>HD-006262</t>
  </si>
  <si>
    <t>HD-006263</t>
  </si>
  <si>
    <t>HD-006264</t>
  </si>
  <si>
    <t>HD-006265</t>
  </si>
  <si>
    <t>HD-006266</t>
  </si>
  <si>
    <t>HD-006267</t>
  </si>
  <si>
    <t>HD-006268</t>
  </si>
  <si>
    <t>HD-006269</t>
  </si>
  <si>
    <t>HD-006270</t>
  </si>
  <si>
    <t>HD-006271</t>
  </si>
  <si>
    <t>HD-006272</t>
  </si>
  <si>
    <t>HD-006273</t>
  </si>
  <si>
    <t>HD-006274</t>
  </si>
  <si>
    <t>HD-006275</t>
  </si>
  <si>
    <t>HD-006276</t>
  </si>
  <si>
    <t>HD-006277</t>
  </si>
  <si>
    <t>HD-006278</t>
  </si>
  <si>
    <t>HD-006279</t>
  </si>
  <si>
    <t>HD-006280</t>
  </si>
  <si>
    <t>HD-006281</t>
  </si>
  <si>
    <t>HD-006282</t>
  </si>
  <si>
    <t>HD-006283</t>
  </si>
  <si>
    <t>HD-006284</t>
  </si>
  <si>
    <t>HD-006285</t>
  </si>
  <si>
    <t>HD-006286</t>
  </si>
  <si>
    <t>HD-006287</t>
  </si>
  <si>
    <t>HD-006288</t>
  </si>
  <si>
    <t>HD-006289</t>
  </si>
  <si>
    <t>HD-006290</t>
  </si>
  <si>
    <t>HD-006291</t>
  </si>
  <si>
    <t>HD-006292</t>
  </si>
  <si>
    <t>HD-006293</t>
  </si>
  <si>
    <t>HD-006294</t>
  </si>
  <si>
    <t>HD-006295</t>
  </si>
  <si>
    <t>HD-006296</t>
  </si>
  <si>
    <t>HD-006297</t>
  </si>
  <si>
    <t>HD-006298</t>
  </si>
  <si>
    <t>HD-006299</t>
  </si>
  <si>
    <t>HD-006300</t>
  </si>
  <si>
    <t>HD-006301</t>
  </si>
  <si>
    <t>HD-006302</t>
  </si>
  <si>
    <t>HD-006303</t>
  </si>
  <si>
    <t>HD-006304</t>
  </si>
  <si>
    <t>HD-006305</t>
  </si>
  <si>
    <t>HD-006306</t>
  </si>
  <si>
    <t>HD-006307</t>
  </si>
  <si>
    <t>HD-006308</t>
  </si>
  <si>
    <t>HD-006309</t>
  </si>
  <si>
    <t>HD-006310</t>
  </si>
  <si>
    <t>HD-006311</t>
  </si>
  <si>
    <t>HD-006312</t>
  </si>
  <si>
    <t>HD-006313</t>
  </si>
  <si>
    <t>HD-006314</t>
  </si>
  <si>
    <t>HD-006315</t>
  </si>
  <si>
    <t>HD-006316</t>
  </si>
  <si>
    <t>HD-006317</t>
  </si>
  <si>
    <t>HD-006318</t>
  </si>
  <si>
    <t>HD-006319</t>
  </si>
  <si>
    <t>HD-006320</t>
  </si>
  <si>
    <t>HD-006321</t>
  </si>
  <si>
    <t>HD-006322</t>
  </si>
  <si>
    <t>HD-006323</t>
  </si>
  <si>
    <t>HD-006324</t>
  </si>
  <si>
    <t>HD-006325</t>
  </si>
  <si>
    <t>HD-006326</t>
  </si>
  <si>
    <t>HD-006327</t>
  </si>
  <si>
    <t>HD-006328</t>
  </si>
  <si>
    <t>HD-006329</t>
  </si>
  <si>
    <t>HD-006330</t>
  </si>
  <si>
    <t>HD-006331</t>
  </si>
  <si>
    <t>HD-006332</t>
  </si>
  <si>
    <t>HD-006333</t>
  </si>
  <si>
    <t>HD-006334</t>
  </si>
  <si>
    <t>HD-006335</t>
  </si>
  <si>
    <t>HD-006336</t>
  </si>
  <si>
    <t>HD-006337</t>
  </si>
  <si>
    <t>HD-006338</t>
  </si>
  <si>
    <t>HD-006339</t>
  </si>
  <si>
    <t>HD-006340</t>
  </si>
  <si>
    <t>HD-006341</t>
  </si>
  <si>
    <t>HD-006342</t>
  </si>
  <si>
    <t>HD-006343</t>
  </si>
  <si>
    <t>HD-006344</t>
  </si>
  <si>
    <t>HD-006345</t>
  </si>
  <si>
    <t>HD-006346</t>
  </si>
  <si>
    <t>HD-006347</t>
  </si>
  <si>
    <t>HD-006348</t>
  </si>
  <si>
    <t>HD-006349</t>
  </si>
  <si>
    <t>HD-006350</t>
  </si>
  <si>
    <t>HD-006351</t>
  </si>
  <si>
    <t>HD-006352</t>
  </si>
  <si>
    <t>HD-006353</t>
  </si>
  <si>
    <t>HD-006354</t>
  </si>
  <si>
    <t>HD-006355</t>
  </si>
  <si>
    <t>HD-006356</t>
  </si>
  <si>
    <t>HD-006357</t>
  </si>
  <si>
    <t>HD-006358</t>
  </si>
  <si>
    <t>HD-006359</t>
  </si>
  <si>
    <t>HD-006360</t>
  </si>
  <si>
    <t>HD-006361</t>
  </si>
  <si>
    <t>HD-006362</t>
  </si>
  <si>
    <t>HD-006363</t>
  </si>
  <si>
    <t>HD-006364</t>
  </si>
  <si>
    <t>HD-006365</t>
  </si>
  <si>
    <t>HD-006366</t>
  </si>
  <si>
    <t>HD-006367</t>
  </si>
  <si>
    <t>HD-006368</t>
  </si>
  <si>
    <t>HD-006369</t>
  </si>
  <si>
    <t>HD-006370</t>
  </si>
  <si>
    <t>HD-006371</t>
  </si>
  <si>
    <t>HD-006372</t>
  </si>
  <si>
    <t>HD-006373</t>
  </si>
  <si>
    <t>HD-006374</t>
  </si>
  <si>
    <t>HD-006375</t>
  </si>
  <si>
    <t>HD-006376</t>
  </si>
  <si>
    <t>HD-006377</t>
  </si>
  <si>
    <t>HD-006378</t>
  </si>
  <si>
    <t>HD-006379</t>
  </si>
  <si>
    <t>HD-006380</t>
  </si>
  <si>
    <t>HD-006381</t>
  </si>
  <si>
    <t>HD-006382</t>
  </si>
  <si>
    <t>HD-006383</t>
  </si>
  <si>
    <t>HD-006384</t>
  </si>
  <si>
    <t>HD-006385</t>
  </si>
  <si>
    <t>HD-006386</t>
  </si>
  <si>
    <t>HD-006387</t>
  </si>
  <si>
    <t>HD-006388</t>
  </si>
  <si>
    <t>HD-006389</t>
  </si>
  <si>
    <t>HD-006390</t>
  </si>
  <si>
    <t>HD-006391</t>
  </si>
  <si>
    <t>HD-006392</t>
  </si>
  <si>
    <t>HD-006393</t>
  </si>
  <si>
    <t>HD-006394</t>
  </si>
  <si>
    <t>HD-006395</t>
  </si>
  <si>
    <t>HD-006396</t>
  </si>
  <si>
    <t>HD-006397</t>
  </si>
  <si>
    <t>HD-006398</t>
  </si>
  <si>
    <t>HD-006399</t>
  </si>
  <si>
    <t>HD-006400</t>
  </si>
  <si>
    <t>HD-006401</t>
  </si>
  <si>
    <t>HD-006402</t>
  </si>
  <si>
    <t>HD-006403</t>
  </si>
  <si>
    <t>HD-006404</t>
  </si>
  <si>
    <t>HD-006405</t>
  </si>
  <si>
    <t>HD-006406</t>
  </si>
  <si>
    <t>HD-006407</t>
  </si>
  <si>
    <t>HD-006408</t>
  </si>
  <si>
    <t>HD-006409</t>
  </si>
  <si>
    <t>HD-006410</t>
  </si>
  <si>
    <t>HD-006411</t>
  </si>
  <si>
    <t>HD-006412</t>
  </si>
  <si>
    <t>HD-006413</t>
  </si>
  <si>
    <t>HD-006414</t>
  </si>
  <si>
    <t>HD-006415</t>
  </si>
  <si>
    <t>HD-006416</t>
  </si>
  <si>
    <t>HD-006417</t>
  </si>
  <si>
    <t>HD-006418</t>
  </si>
  <si>
    <t>HD-006419</t>
  </si>
  <si>
    <t>HD-006420</t>
  </si>
  <si>
    <t>HD-006421</t>
  </si>
  <si>
    <t>HD-006422</t>
  </si>
  <si>
    <t>HD-006423</t>
  </si>
  <si>
    <t>HD-006424</t>
  </si>
  <si>
    <t>HD-006425</t>
  </si>
  <si>
    <t>HD-006426</t>
  </si>
  <si>
    <t>HD-006427</t>
  </si>
  <si>
    <t>HD-006428</t>
  </si>
  <si>
    <t>HD-006429</t>
  </si>
  <si>
    <t>HD-006430</t>
  </si>
  <si>
    <t>HD-006431</t>
  </si>
  <si>
    <t>HD-006432</t>
  </si>
  <si>
    <t>HD-006433</t>
  </si>
  <si>
    <t>HD-006434</t>
  </si>
  <si>
    <t>HD-006435</t>
  </si>
  <si>
    <t>HD-006436</t>
  </si>
  <si>
    <t>HD-006437</t>
  </si>
  <si>
    <t>HD-006438</t>
  </si>
  <si>
    <t>HD-006439</t>
  </si>
  <si>
    <t>HD-006440</t>
  </si>
  <si>
    <t>HD-006441</t>
  </si>
  <si>
    <t>HD-006442</t>
  </si>
  <si>
    <t>HD-006443</t>
  </si>
  <si>
    <t>HD-006444</t>
  </si>
  <si>
    <t>HD-006445</t>
  </si>
  <si>
    <t>HD-006446</t>
  </si>
  <si>
    <t>HD-006447</t>
  </si>
  <si>
    <t>HD-006448</t>
  </si>
  <si>
    <t>HD-006449</t>
  </si>
  <si>
    <t>HD-006450</t>
  </si>
  <si>
    <t>HD-006451</t>
  </si>
  <si>
    <t>HD-006452</t>
  </si>
  <si>
    <t>HD-006453</t>
  </si>
  <si>
    <t>HD-006454</t>
  </si>
  <si>
    <t>HD-006455</t>
  </si>
  <si>
    <t>HD-006456</t>
  </si>
  <si>
    <t>HD-006457</t>
  </si>
  <si>
    <t>HD-006458</t>
  </si>
  <si>
    <t>HD-006459</t>
  </si>
  <si>
    <t>HD-006460</t>
  </si>
  <si>
    <t>HD-006461</t>
  </si>
  <si>
    <t>HD-006462</t>
  </si>
  <si>
    <t>HD-006463</t>
  </si>
  <si>
    <t>HD-006464</t>
  </si>
  <si>
    <t>HD-006465</t>
  </si>
  <si>
    <t>HD-006466</t>
  </si>
  <si>
    <t>HD-006467</t>
  </si>
  <si>
    <t>HD-006468</t>
  </si>
  <si>
    <t>HD-006469</t>
  </si>
  <si>
    <t>HD-006470</t>
  </si>
  <si>
    <t>HD-006471</t>
  </si>
  <si>
    <t>HD-006472</t>
  </si>
  <si>
    <t>HD-006473</t>
  </si>
  <si>
    <t>HD-006474</t>
  </si>
  <si>
    <t>HD-006475</t>
  </si>
  <si>
    <t>HD-006476</t>
  </si>
  <si>
    <t>HD-006477</t>
  </si>
  <si>
    <t>HD-006478</t>
  </si>
  <si>
    <t>HD-006479</t>
  </si>
  <si>
    <t>HD-006480</t>
  </si>
  <si>
    <t>HD-006481</t>
  </si>
  <si>
    <t>HD-006482</t>
  </si>
  <si>
    <t>HD-006483</t>
  </si>
  <si>
    <t>HD-006484</t>
  </si>
  <si>
    <t>HD-006485</t>
  </si>
  <si>
    <t>HD-006486</t>
  </si>
  <si>
    <t>HD-006487</t>
  </si>
  <si>
    <t>HD-006488</t>
  </si>
  <si>
    <t>HD-006489</t>
  </si>
  <si>
    <t>HD-006490</t>
  </si>
  <si>
    <t>HD-006491</t>
  </si>
  <si>
    <t>HD-006492</t>
  </si>
  <si>
    <t>HD-006493</t>
  </si>
  <si>
    <t>HD-006494</t>
  </si>
  <si>
    <t>HD-006495</t>
  </si>
  <si>
    <t>HD-006496</t>
  </si>
  <si>
    <t>HD-006497</t>
  </si>
  <si>
    <t>HD-006498</t>
  </si>
  <si>
    <t>HD-006499</t>
  </si>
  <si>
    <t>HD-006500</t>
  </si>
  <si>
    <t>HD-006501</t>
  </si>
  <si>
    <t>HD-006502</t>
  </si>
  <si>
    <t>HD-006503</t>
  </si>
  <si>
    <t>HD-006504</t>
  </si>
  <si>
    <t>HD-006505</t>
  </si>
  <si>
    <t>HD-006506</t>
  </si>
  <si>
    <t>HD-006507</t>
  </si>
  <si>
    <t>HD-006508</t>
  </si>
  <si>
    <t>HD-006509</t>
  </si>
  <si>
    <t>HD-006510</t>
  </si>
  <si>
    <t>HD-006511</t>
  </si>
  <si>
    <t>HD-006512</t>
  </si>
  <si>
    <t>HD-006513</t>
  </si>
  <si>
    <t>HD-006514</t>
  </si>
  <si>
    <t>HD-006515</t>
  </si>
  <si>
    <t>HD-006516</t>
  </si>
  <si>
    <t>HD-006517</t>
  </si>
  <si>
    <t>HD-006518</t>
  </si>
  <si>
    <t>HD-006519</t>
  </si>
  <si>
    <t>HD-006520</t>
  </si>
  <si>
    <t>HD-006521</t>
  </si>
  <si>
    <t>HD-006522</t>
  </si>
  <si>
    <t>HD-006523</t>
  </si>
  <si>
    <t>HD-006524</t>
  </si>
  <si>
    <t>HD-006525</t>
  </si>
  <si>
    <t>HD-006526</t>
  </si>
  <si>
    <t>HD-006527</t>
  </si>
  <si>
    <t>HD-006528</t>
  </si>
  <si>
    <t>HD-006529</t>
  </si>
  <si>
    <t>HD-006530</t>
  </si>
  <si>
    <t>HD-006531</t>
  </si>
  <si>
    <t>HD-006532</t>
  </si>
  <si>
    <t>HD-006533</t>
  </si>
  <si>
    <t>HD-006534</t>
  </si>
  <si>
    <t>HD-006535</t>
  </si>
  <si>
    <t>HD-006536</t>
  </si>
  <si>
    <t>HD-006537</t>
  </si>
  <si>
    <t>HD-006538</t>
  </si>
  <si>
    <t>HD-006539</t>
  </si>
  <si>
    <t>HD-006540</t>
  </si>
  <si>
    <t>HD-006541</t>
  </si>
  <si>
    <t>HD-006542</t>
  </si>
  <si>
    <t>HD-006543</t>
  </si>
  <si>
    <t>HD-006544</t>
  </si>
  <si>
    <t>HD-006545</t>
  </si>
  <si>
    <t>HD-006546</t>
  </si>
  <si>
    <t>HD-006547</t>
  </si>
  <si>
    <t>HD-006548</t>
  </si>
  <si>
    <t>HD-006549</t>
  </si>
  <si>
    <t>HD-006550</t>
  </si>
  <si>
    <t>HD-006551</t>
  </si>
  <si>
    <t>HD-006552</t>
  </si>
  <si>
    <t>HD-006553</t>
  </si>
  <si>
    <t>HD-006554</t>
  </si>
  <si>
    <t>HD-006555</t>
  </si>
  <si>
    <t>HD-006556</t>
  </si>
  <si>
    <t>HD-006557</t>
  </si>
  <si>
    <t>HD-006558</t>
  </si>
  <si>
    <t>HD-006559</t>
  </si>
  <si>
    <t>HD-006560</t>
  </si>
  <si>
    <t>HD-006561</t>
  </si>
  <si>
    <t>HD-006562</t>
  </si>
  <si>
    <t>HD-006563</t>
  </si>
  <si>
    <t>HD-006564</t>
  </si>
  <si>
    <t>HD-006565</t>
  </si>
  <si>
    <t>HD-006566</t>
  </si>
  <si>
    <t>HD-006567</t>
  </si>
  <si>
    <t>HD-006568</t>
  </si>
  <si>
    <t>HD-006569</t>
  </si>
  <si>
    <t>HD-006570</t>
  </si>
  <si>
    <t>HD-006571</t>
  </si>
  <si>
    <t>HD-006572</t>
  </si>
  <si>
    <t>HD-006573</t>
  </si>
  <si>
    <t>HD-006574</t>
  </si>
  <si>
    <t>HD-006575</t>
  </si>
  <si>
    <t>HD-006576</t>
  </si>
  <si>
    <t>HD-006577</t>
  </si>
  <si>
    <t>HD-006578</t>
  </si>
  <si>
    <t>HD-006579</t>
  </si>
  <si>
    <t>HD-006580</t>
  </si>
  <si>
    <t>HD-006581</t>
  </si>
  <si>
    <t>HD-006582</t>
  </si>
  <si>
    <t>HD-006583</t>
  </si>
  <si>
    <t>HD-006584</t>
  </si>
  <si>
    <t>HD-006585</t>
  </si>
  <si>
    <t>HD-006586</t>
  </si>
  <si>
    <t>HD-006587</t>
  </si>
  <si>
    <t>HD-006588</t>
  </si>
  <si>
    <t>HD-006589</t>
  </si>
  <si>
    <t>HD-006590</t>
  </si>
  <si>
    <t>HD-006591</t>
  </si>
  <si>
    <t>HD-006592</t>
  </si>
  <si>
    <t>HD-006593</t>
  </si>
  <si>
    <t>HD-006594</t>
  </si>
  <si>
    <t>HD-006595</t>
  </si>
  <si>
    <t>HD-006596</t>
  </si>
  <si>
    <t>HD-006597</t>
  </si>
  <si>
    <t>HD-006598</t>
  </si>
  <si>
    <t>HD-006599</t>
  </si>
  <si>
    <t>HD-006600</t>
  </si>
  <si>
    <t>HD-006601</t>
  </si>
  <si>
    <t>HD-006602</t>
  </si>
  <si>
    <t>HD-006603</t>
  </si>
  <si>
    <t>HD-006604</t>
  </si>
  <si>
    <t>HD-006605</t>
  </si>
  <si>
    <t>HD-006606</t>
  </si>
  <si>
    <t>HD-006607</t>
  </si>
  <si>
    <t>HD-006608</t>
  </si>
  <si>
    <t>HD-006609</t>
  </si>
  <si>
    <t>HD-006610</t>
  </si>
  <si>
    <t>HD-006611</t>
  </si>
  <si>
    <t>HD-006612</t>
  </si>
  <si>
    <t>HD-006613</t>
  </si>
  <si>
    <t>HD-006614</t>
  </si>
  <si>
    <t>HD-006615</t>
  </si>
  <si>
    <t>HD-006616</t>
  </si>
  <si>
    <t>HD-006617</t>
  </si>
  <si>
    <t>HD-006618</t>
  </si>
  <si>
    <t>HD-006619</t>
  </si>
  <si>
    <t>HD-006620</t>
  </si>
  <si>
    <t>HD-006621</t>
  </si>
  <si>
    <t>HD-006622</t>
  </si>
  <si>
    <t>HD-006623</t>
  </si>
  <si>
    <t>HD-006624</t>
  </si>
  <si>
    <t>HD-006625</t>
  </si>
  <si>
    <t>HD-006626</t>
  </si>
  <si>
    <t>HD-006627</t>
  </si>
  <si>
    <t>HD-006628</t>
  </si>
  <si>
    <t>HD-006629</t>
  </si>
  <si>
    <t>HD-006630</t>
  </si>
  <si>
    <t>HD-006631</t>
  </si>
  <si>
    <t>HD-006632</t>
  </si>
  <si>
    <t>HD-006633</t>
  </si>
  <si>
    <t>HD-006634</t>
  </si>
  <si>
    <t>HD-006635</t>
  </si>
  <si>
    <t>HD-006636</t>
  </si>
  <si>
    <t>HD-006637</t>
  </si>
  <si>
    <t>HD-006638</t>
  </si>
  <si>
    <t>HD-006639</t>
  </si>
  <si>
    <t>HD-006640</t>
  </si>
  <si>
    <t>HD-006641</t>
  </si>
  <si>
    <t>HD-006642</t>
  </si>
  <si>
    <t>HD-006643</t>
  </si>
  <si>
    <t>HD-006644</t>
  </si>
  <si>
    <t>HD-006645</t>
  </si>
  <si>
    <t>HD-006646</t>
  </si>
  <si>
    <t>HD-006647</t>
  </si>
  <si>
    <t>HD-006648</t>
  </si>
  <si>
    <t>HD-006649</t>
  </si>
  <si>
    <t>HD-006650</t>
  </si>
  <si>
    <t>HD-006651</t>
  </si>
  <si>
    <t>HD-006652</t>
  </si>
  <si>
    <t>HD-006653</t>
  </si>
  <si>
    <t>HD-006654</t>
  </si>
  <si>
    <t>HD-006655</t>
  </si>
  <si>
    <t>HD-006656</t>
  </si>
  <si>
    <t>HD-006657</t>
  </si>
  <si>
    <t>HD-006658</t>
  </si>
  <si>
    <t>HD-006659</t>
  </si>
  <si>
    <t>HD-006660</t>
  </si>
  <si>
    <t>HD-006661</t>
  </si>
  <si>
    <t>HD-006662</t>
  </si>
  <si>
    <t>HD-006663</t>
  </si>
  <si>
    <t>HD-006664</t>
  </si>
  <si>
    <t>HD-006665</t>
  </si>
  <si>
    <t>HD-006666</t>
  </si>
  <si>
    <t>HD-006667</t>
  </si>
  <si>
    <t>HD-006668</t>
  </si>
  <si>
    <t>HD-006669</t>
  </si>
  <si>
    <t>HD-006670</t>
  </si>
  <si>
    <t>HD-006671</t>
  </si>
  <si>
    <t>HD-006672</t>
  </si>
  <si>
    <t>HD-006673</t>
  </si>
  <si>
    <t>HD-006674</t>
  </si>
  <si>
    <t>HD-006675</t>
  </si>
  <si>
    <t>HD-006676</t>
  </si>
  <si>
    <t>HD-006677</t>
  </si>
  <si>
    <t>HD-006678</t>
  </si>
  <si>
    <t>HD-006679</t>
  </si>
  <si>
    <t>HD-006680</t>
  </si>
  <si>
    <t>HD-006681</t>
  </si>
  <si>
    <t>HD-006682</t>
  </si>
  <si>
    <t>HD-006683</t>
  </si>
  <si>
    <t>HD-006684</t>
  </si>
  <si>
    <t>HD-006685</t>
  </si>
  <si>
    <t>HD-006686</t>
  </si>
  <si>
    <t>HD-006687</t>
  </si>
  <si>
    <t>HD-006688</t>
  </si>
  <si>
    <t>HD-006689</t>
  </si>
  <si>
    <t>HD-006690</t>
  </si>
  <si>
    <t>HD-006691</t>
  </si>
  <si>
    <t>HD-006692</t>
  </si>
  <si>
    <t>HD-006693</t>
  </si>
  <si>
    <t>HD-006694</t>
  </si>
  <si>
    <t>HD-006695</t>
  </si>
  <si>
    <t>HD-006696</t>
  </si>
  <si>
    <t>HD-006697</t>
  </si>
  <si>
    <t>HD-006698</t>
  </si>
  <si>
    <t>HD-006699</t>
  </si>
  <si>
    <t>HD-006700</t>
  </si>
  <si>
    <t>HD-006701</t>
  </si>
  <si>
    <t>HD-006702</t>
  </si>
  <si>
    <t>HD-006703</t>
  </si>
  <si>
    <t>HD-006704</t>
  </si>
  <si>
    <t>HD-006705</t>
  </si>
  <si>
    <t>HD-006706</t>
  </si>
  <si>
    <t>HD-006707</t>
  </si>
  <si>
    <t>HD-006708</t>
  </si>
  <si>
    <t>HD-006709</t>
  </si>
  <si>
    <t>HD-006710</t>
  </si>
  <si>
    <t>HD-006711</t>
  </si>
  <si>
    <t>HD-006712</t>
  </si>
  <si>
    <t>HD-006713</t>
  </si>
  <si>
    <t>HD-006714</t>
  </si>
  <si>
    <t>HD-006715</t>
  </si>
  <si>
    <t>HD-006716</t>
  </si>
  <si>
    <t>HD-006717</t>
  </si>
  <si>
    <t>HD-006718</t>
  </si>
  <si>
    <t>HD-006719</t>
  </si>
  <si>
    <t>HD-006720</t>
  </si>
  <si>
    <t>HD-006721</t>
  </si>
  <si>
    <t>HD-006722</t>
  </si>
  <si>
    <t>HD-006723</t>
  </si>
  <si>
    <t>HD-006724</t>
  </si>
  <si>
    <t>HD-006725</t>
  </si>
  <si>
    <t>HD-006726</t>
  </si>
  <si>
    <t>HD-006727</t>
  </si>
  <si>
    <t>HD-006728</t>
  </si>
  <si>
    <t>HD-006729</t>
  </si>
  <si>
    <t>HD-006730</t>
  </si>
  <si>
    <t>HD-006731</t>
  </si>
  <si>
    <t>HD-006732</t>
  </si>
  <si>
    <t>HD-006733</t>
  </si>
  <si>
    <t>HD-006734</t>
  </si>
  <si>
    <t>HD-006735</t>
  </si>
  <si>
    <t>HD-006736</t>
  </si>
  <si>
    <t>HD-006737</t>
  </si>
  <si>
    <t>HD-006738</t>
  </si>
  <si>
    <t>HD-006739</t>
  </si>
  <si>
    <t>HD-006740</t>
  </si>
  <si>
    <t>HD-006741</t>
  </si>
  <si>
    <t>HD-006742</t>
  </si>
  <si>
    <t>HD-006743</t>
  </si>
  <si>
    <t>HD-006744</t>
  </si>
  <si>
    <t>HD-006745</t>
  </si>
  <si>
    <t>HD-006746</t>
  </si>
  <si>
    <t>HD-006747</t>
  </si>
  <si>
    <t>HD-006748</t>
  </si>
  <si>
    <t>HD-006749</t>
  </si>
  <si>
    <t>HD-006750</t>
  </si>
  <si>
    <t>HD-006751</t>
  </si>
  <si>
    <t>HD-006752</t>
  </si>
  <si>
    <t>HD-006753</t>
  </si>
  <si>
    <t>HD-006754</t>
  </si>
  <si>
    <t>HD-006755</t>
  </si>
  <si>
    <t>HD-006756</t>
  </si>
  <si>
    <t>HD-006757</t>
  </si>
  <si>
    <t>HD-006758</t>
  </si>
  <si>
    <t>HD-006759</t>
  </si>
  <si>
    <t>HD-006760</t>
  </si>
  <si>
    <t>HD-006761</t>
  </si>
  <si>
    <t>HD-006762</t>
  </si>
  <si>
    <t>HD-006763</t>
  </si>
  <si>
    <t>HD-006764</t>
  </si>
  <si>
    <t>HD-006765</t>
  </si>
  <si>
    <t>HD-006766</t>
  </si>
  <si>
    <t>HD-006767</t>
  </si>
  <si>
    <t>HD-006768</t>
  </si>
  <si>
    <t>HD-006769</t>
  </si>
  <si>
    <t>HD-006770</t>
  </si>
  <si>
    <t>HD-006771</t>
  </si>
  <si>
    <t>HD-006772</t>
  </si>
  <si>
    <t>HD-006773</t>
  </si>
  <si>
    <t>HD-006774</t>
  </si>
  <si>
    <t>HD-006775</t>
  </si>
  <si>
    <t>HD-006776</t>
  </si>
  <si>
    <t>HD-006777</t>
  </si>
  <si>
    <t>HD-006778</t>
  </si>
  <si>
    <t>HD-006779</t>
  </si>
  <si>
    <t>HD-006780</t>
  </si>
  <si>
    <t>HD-006781</t>
  </si>
  <si>
    <t>HD-006782</t>
  </si>
  <si>
    <t>HD-006783</t>
  </si>
  <si>
    <t>HD-006784</t>
  </si>
  <si>
    <t>HD-006785</t>
  </si>
  <si>
    <t>HD-006786</t>
  </si>
  <si>
    <t>HD-006787</t>
  </si>
  <si>
    <t>HD-006788</t>
  </si>
  <si>
    <t>HD-006789</t>
  </si>
  <si>
    <t>HD-006790</t>
  </si>
  <si>
    <t>HD-006791</t>
  </si>
  <si>
    <t>HD-006792</t>
  </si>
  <si>
    <t>HD-006793</t>
  </si>
  <si>
    <t>HD-006794</t>
  </si>
  <si>
    <t>HD-006795</t>
  </si>
  <si>
    <t>HD-006796</t>
  </si>
  <si>
    <t>HD-006797</t>
  </si>
  <si>
    <t>HD-006798</t>
  </si>
  <si>
    <t>HD-006799</t>
  </si>
  <si>
    <t>HD-006800</t>
  </si>
  <si>
    <t>HD-006801</t>
  </si>
  <si>
    <t>HD-006802</t>
  </si>
  <si>
    <t>HD-006803</t>
  </si>
  <si>
    <t>HD-006804</t>
  </si>
  <si>
    <t>HD-006805</t>
  </si>
  <si>
    <t>HD-006806</t>
  </si>
  <si>
    <t>HD-006807</t>
  </si>
  <si>
    <t>HD-006808</t>
  </si>
  <si>
    <t>HD-006809</t>
  </si>
  <si>
    <t>HD-006810</t>
  </si>
  <si>
    <t>HD-006811</t>
  </si>
  <si>
    <t>HD-006812</t>
  </si>
  <si>
    <t>HD-006813</t>
  </si>
  <si>
    <t>HD-006814</t>
  </si>
  <si>
    <t>HD-006815</t>
  </si>
  <si>
    <t>HD-006816</t>
  </si>
  <si>
    <t>HD-006817</t>
  </si>
  <si>
    <t>HD-006818</t>
  </si>
  <si>
    <t>HD-006819</t>
  </si>
  <si>
    <t>HD-006820</t>
  </si>
  <si>
    <t>HD-006821</t>
  </si>
  <si>
    <t>HD-006822</t>
  </si>
  <si>
    <t>HD-006823</t>
  </si>
  <si>
    <t>HD-006824</t>
  </si>
  <si>
    <t>HD-006825</t>
  </si>
  <si>
    <t>HD-006826</t>
  </si>
  <si>
    <t>HD-006827</t>
  </si>
  <si>
    <t>HD-006828</t>
  </si>
  <si>
    <t>HD-006829</t>
  </si>
  <si>
    <t>HD-006830</t>
  </si>
  <si>
    <t>HD-006831</t>
  </si>
  <si>
    <t>HD-006832</t>
  </si>
  <si>
    <t>HD-006833</t>
  </si>
  <si>
    <t>HD-006834</t>
  </si>
  <si>
    <t>HD-006835</t>
  </si>
  <si>
    <t>HD-006836</t>
  </si>
  <si>
    <t>HD-006837</t>
  </si>
  <si>
    <t>HD-006838</t>
  </si>
  <si>
    <t>HD-006839</t>
  </si>
  <si>
    <t>HD-006840</t>
  </si>
  <si>
    <t>HD-006841</t>
  </si>
  <si>
    <t>HD-006842</t>
  </si>
  <si>
    <t>HD-006843</t>
  </si>
  <si>
    <t>HD-006844</t>
  </si>
  <si>
    <t>HD-006845</t>
  </si>
  <si>
    <t>HD-006846</t>
  </si>
  <si>
    <t>HD-006847</t>
  </si>
  <si>
    <t>HD-006848</t>
  </si>
  <si>
    <t>HD-006849</t>
  </si>
  <si>
    <t>HD-006850</t>
  </si>
  <si>
    <t>HD-006851</t>
  </si>
  <si>
    <t>HD-006852</t>
  </si>
  <si>
    <t>HD-006853</t>
  </si>
  <si>
    <t>HD-006854</t>
  </si>
  <si>
    <t>HD-006855</t>
  </si>
  <si>
    <t>HD-006856</t>
  </si>
  <si>
    <t>HD-006857</t>
  </si>
  <si>
    <t>HD-006858</t>
  </si>
  <si>
    <t>HD-006859</t>
  </si>
  <si>
    <t>HD-006860</t>
  </si>
  <si>
    <t>HD-006861</t>
  </si>
  <si>
    <t>HD-006862</t>
  </si>
  <si>
    <t>HD-006863</t>
  </si>
  <si>
    <t>HD-006864</t>
  </si>
  <si>
    <t>HD-006865</t>
  </si>
  <si>
    <t>HD-006866</t>
  </si>
  <si>
    <t>HD-006867</t>
  </si>
  <si>
    <t>HD-006868</t>
  </si>
  <si>
    <t>HD-006869</t>
  </si>
  <si>
    <t>HD-006870</t>
  </si>
  <si>
    <t>HD-006871</t>
  </si>
  <si>
    <t>HD-006872</t>
  </si>
  <si>
    <t>HD-006873</t>
  </si>
  <si>
    <t>HD-006874</t>
  </si>
  <si>
    <t>HD-006875</t>
  </si>
  <si>
    <t>HD-006876</t>
  </si>
  <si>
    <t>HD-006877</t>
  </si>
  <si>
    <t>HD-006878</t>
  </si>
  <si>
    <t>HD-006879</t>
  </si>
  <si>
    <t>HD-006880</t>
  </si>
  <si>
    <t>HD-006881</t>
  </si>
  <si>
    <t>HD-006882</t>
  </si>
  <si>
    <t>HD-006883</t>
  </si>
  <si>
    <t>HD-006884</t>
  </si>
  <si>
    <t>HD-006885</t>
  </si>
  <si>
    <t>HD-006886</t>
  </si>
  <si>
    <t>HD-006887</t>
  </si>
  <si>
    <t>HD-006888</t>
  </si>
  <si>
    <t>HD-006889</t>
  </si>
  <si>
    <t>HD-006890</t>
  </si>
  <si>
    <t>HD-006891</t>
  </si>
  <si>
    <t>HD-006892</t>
  </si>
  <si>
    <t>HD-006893</t>
  </si>
  <si>
    <t>HD-006894</t>
  </si>
  <si>
    <t>HD-006895</t>
  </si>
  <si>
    <t>HD-006896</t>
  </si>
  <si>
    <t>HD-006897</t>
  </si>
  <si>
    <t>HD-006898</t>
  </si>
  <si>
    <t>HD-006899</t>
  </si>
  <si>
    <t>HD-006900</t>
  </si>
  <si>
    <t>HD-006901</t>
  </si>
  <si>
    <t>HD-006902</t>
  </si>
  <si>
    <t>HD-006903</t>
  </si>
  <si>
    <t>HD-006904</t>
  </si>
  <si>
    <t>HD-006905</t>
  </si>
  <si>
    <t>HD-006906</t>
  </si>
  <si>
    <t>HD-006907</t>
  </si>
  <si>
    <t>HD-006908</t>
  </si>
  <si>
    <t>HD-006909</t>
  </si>
  <si>
    <t>HD-006910</t>
  </si>
  <si>
    <t>HD-006911</t>
  </si>
  <si>
    <t>HD-006912</t>
  </si>
  <si>
    <t>HD-006913</t>
  </si>
  <si>
    <t>HD-006914</t>
  </si>
  <si>
    <t>HD-006915</t>
  </si>
  <si>
    <t>HD-006916</t>
  </si>
  <si>
    <t>HD-006917</t>
  </si>
  <si>
    <t>HD-006918</t>
  </si>
  <si>
    <t>HD-006919</t>
  </si>
  <si>
    <t>HD-006920</t>
  </si>
  <si>
    <t>HD-006921</t>
  </si>
  <si>
    <t>HD-006922</t>
  </si>
  <si>
    <t>HD-006923</t>
  </si>
  <si>
    <t>HD-006924</t>
  </si>
  <si>
    <t>HD-006925</t>
  </si>
  <si>
    <t>HD-006926</t>
  </si>
  <si>
    <t>HD-006927</t>
  </si>
  <si>
    <t>HD-006928</t>
  </si>
  <si>
    <t>HD-006929</t>
  </si>
  <si>
    <t>HD-006930</t>
  </si>
  <si>
    <t>HD-006931</t>
  </si>
  <si>
    <t>HD-006932</t>
  </si>
  <si>
    <t>HD-006933</t>
  </si>
  <si>
    <t>HD-006934</t>
  </si>
  <si>
    <t>HD-006935</t>
  </si>
  <si>
    <t>HD-006936</t>
  </si>
  <si>
    <t>HD-006937</t>
  </si>
  <si>
    <t>HD-006938</t>
  </si>
  <si>
    <t>HD-006939</t>
  </si>
  <si>
    <t>HD-006940</t>
  </si>
  <si>
    <t>HD-006941</t>
  </si>
  <si>
    <t>HD-006942</t>
  </si>
  <si>
    <t>HD-006943</t>
  </si>
  <si>
    <t>HD-006944</t>
  </si>
  <si>
    <t>HD-006945</t>
  </si>
  <si>
    <t>HD-006946</t>
  </si>
  <si>
    <t>HD-006947</t>
  </si>
  <si>
    <t>HD-006948</t>
  </si>
  <si>
    <t>HD-006949</t>
  </si>
  <si>
    <t>HD-006950</t>
  </si>
  <si>
    <t>HD-006951</t>
  </si>
  <si>
    <t>HD-006952</t>
  </si>
  <si>
    <t>HD-006953</t>
  </si>
  <si>
    <t>HD-006954</t>
  </si>
  <si>
    <t>HD-006955</t>
  </si>
  <si>
    <t>HD-006956</t>
  </si>
  <si>
    <t>HD-006957</t>
  </si>
  <si>
    <t>HD-006958</t>
  </si>
  <si>
    <t>HD-006959</t>
  </si>
  <si>
    <t>HD-006960</t>
  </si>
  <si>
    <t>HD-006961</t>
  </si>
  <si>
    <t>HD-006962</t>
  </si>
  <si>
    <t>HD-006963</t>
  </si>
  <si>
    <t>HD-006964</t>
  </si>
  <si>
    <t>HD-006965</t>
  </si>
  <si>
    <t>HD-006966</t>
  </si>
  <si>
    <t>HD-006967</t>
  </si>
  <si>
    <t>HD-006968</t>
  </si>
  <si>
    <t>HD-006969</t>
  </si>
  <si>
    <t>HD-006970</t>
  </si>
  <si>
    <t>HD-006971</t>
  </si>
  <si>
    <t>HD-006972</t>
  </si>
  <si>
    <t>HD-006973</t>
  </si>
  <si>
    <t>HD-006974</t>
  </si>
  <si>
    <t>HD-006975</t>
  </si>
  <si>
    <t>HD-006976</t>
  </si>
  <si>
    <t>HD-006977</t>
  </si>
  <si>
    <t>HD-006978</t>
  </si>
  <si>
    <t>HD-006979</t>
  </si>
  <si>
    <t>HD-006980</t>
  </si>
  <si>
    <t>HD-006981</t>
  </si>
  <si>
    <t>HD-006982</t>
  </si>
  <si>
    <t>HD-006983</t>
  </si>
  <si>
    <t>HD-006984</t>
  </si>
  <si>
    <t>HD-006985</t>
  </si>
  <si>
    <t>HD-006986</t>
  </si>
  <si>
    <t>HD-006987</t>
  </si>
  <si>
    <t>HD-006988</t>
  </si>
  <si>
    <t>HD-006989</t>
  </si>
  <si>
    <t>HD-006990</t>
  </si>
  <si>
    <t>HD-006991</t>
  </si>
  <si>
    <t>HD-006992</t>
  </si>
  <si>
    <t>HD-006993</t>
  </si>
  <si>
    <t>HD-006994</t>
  </si>
  <si>
    <t>HD-006995</t>
  </si>
  <si>
    <t>HD-006996</t>
  </si>
  <si>
    <t>HD-006997</t>
  </si>
  <si>
    <t>HD-006998</t>
  </si>
  <si>
    <t>HD-006999</t>
  </si>
  <si>
    <t>HD-007000</t>
  </si>
  <si>
    <t>HD-007001</t>
  </si>
  <si>
    <t>HD-007002</t>
  </si>
  <si>
    <t>HD-007003</t>
  </si>
  <si>
    <t>HD-007004</t>
  </si>
  <si>
    <t>HD-007005</t>
  </si>
  <si>
    <t>HD-007006</t>
  </si>
  <si>
    <t>HD-007007</t>
  </si>
  <si>
    <t>HD-007008</t>
  </si>
  <si>
    <t>HD-007009</t>
  </si>
  <si>
    <t>HD-007010</t>
  </si>
  <si>
    <t>HD-007011</t>
  </si>
  <si>
    <t>HD-007012</t>
  </si>
  <si>
    <t>HD-007013</t>
  </si>
  <si>
    <t>HD-007014</t>
  </si>
  <si>
    <t>HD-007015</t>
  </si>
  <si>
    <t>HD-007016</t>
  </si>
  <si>
    <t>HD-007017</t>
  </si>
  <si>
    <t>HD-007018</t>
  </si>
  <si>
    <t>HD-007019</t>
  </si>
  <si>
    <t>HD-007020</t>
  </si>
  <si>
    <t>HD-007021</t>
  </si>
  <si>
    <t>HD-007022</t>
  </si>
  <si>
    <t>HD-007023</t>
  </si>
  <si>
    <t>HD-007024</t>
  </si>
  <si>
    <t>HD-007025</t>
  </si>
  <si>
    <t>HD-007026</t>
  </si>
  <si>
    <t>HD-007027</t>
  </si>
  <si>
    <t>HD-007028</t>
  </si>
  <si>
    <t>HD-007029</t>
  </si>
  <si>
    <t>HD-007030</t>
  </si>
  <si>
    <t>HD-007031</t>
  </si>
  <si>
    <t>HD-007032</t>
  </si>
  <si>
    <t>HD-007033</t>
  </si>
  <si>
    <t>HD-007034</t>
  </si>
  <si>
    <t>HD-007035</t>
  </si>
  <si>
    <t>HD-007036</t>
  </si>
  <si>
    <t>HD-007037</t>
  </si>
  <si>
    <t>HD-007038</t>
  </si>
  <si>
    <t>HD-007039</t>
  </si>
  <si>
    <t>HD-007040</t>
  </si>
  <si>
    <t>HD-007041</t>
  </si>
  <si>
    <t>HD-007042</t>
  </si>
  <si>
    <t>HD-007043</t>
  </si>
  <si>
    <t>HD-007044</t>
  </si>
  <si>
    <t>HD-007045</t>
  </si>
  <si>
    <t>HD-007046</t>
  </si>
  <si>
    <t>HD-007047</t>
  </si>
  <si>
    <t>HD-007048</t>
  </si>
  <si>
    <t>HD-007049</t>
  </si>
  <si>
    <t>HD-007050</t>
  </si>
  <si>
    <t>HD-007051</t>
  </si>
  <si>
    <t>HD-007052</t>
  </si>
  <si>
    <t>HD-007053</t>
  </si>
  <si>
    <t>HD-007054</t>
  </si>
  <si>
    <t>HD-007055</t>
  </si>
  <si>
    <t>HD-007056</t>
  </si>
  <si>
    <t>HD-007057</t>
  </si>
  <si>
    <t>HD-007058</t>
  </si>
  <si>
    <t>HD-007059</t>
  </si>
  <si>
    <t>HD-007060</t>
  </si>
  <si>
    <t>HD-007061</t>
  </si>
  <si>
    <t>HD-007062</t>
  </si>
  <si>
    <t>HD-007063</t>
  </si>
  <si>
    <t>HD-007064</t>
  </si>
  <si>
    <t>HD-007065</t>
  </si>
  <si>
    <t>HD-007066</t>
  </si>
  <si>
    <t>HD-007067</t>
  </si>
  <si>
    <t>HD-007068</t>
  </si>
  <si>
    <t>HD-007069</t>
  </si>
  <si>
    <t>HD-007070</t>
  </si>
  <si>
    <t>HD-007071</t>
  </si>
  <si>
    <t>HD-007072</t>
  </si>
  <si>
    <t>HD-007073</t>
  </si>
  <si>
    <t>HD-007074</t>
  </si>
  <si>
    <t>HD-007075</t>
  </si>
  <si>
    <t>HD-007076</t>
  </si>
  <si>
    <t>HD-007077</t>
  </si>
  <si>
    <t>HD-007078</t>
  </si>
  <si>
    <t>HD-007079</t>
  </si>
  <si>
    <t>HD-007080</t>
  </si>
  <si>
    <t>HD-007081</t>
  </si>
  <si>
    <t>HD-007082</t>
  </si>
  <si>
    <t>HD-007083</t>
  </si>
  <si>
    <t>HD-007084</t>
  </si>
  <si>
    <t>HD-007085</t>
  </si>
  <si>
    <t>HD-007086</t>
  </si>
  <si>
    <t>HD-007087</t>
  </si>
  <si>
    <t>HD-007088</t>
  </si>
  <si>
    <t>HD-007089</t>
  </si>
  <si>
    <t>HD-007090</t>
  </si>
  <si>
    <t>HD-007091</t>
  </si>
  <si>
    <t>HD-007092</t>
  </si>
  <si>
    <t>HD-007093</t>
  </si>
  <si>
    <t>HD-007094</t>
  </si>
  <si>
    <t>HD-007095</t>
  </si>
  <si>
    <t>HD-007096</t>
  </si>
  <si>
    <t>HD-007097</t>
  </si>
  <si>
    <t>HD-007098</t>
  </si>
  <si>
    <t>HD-007099</t>
  </si>
  <si>
    <t>HD-007100</t>
  </si>
  <si>
    <t>HD-007101</t>
  </si>
  <si>
    <t>HD-007102</t>
  </si>
  <si>
    <t>HD-007103</t>
  </si>
  <si>
    <t>HD-007104</t>
  </si>
  <si>
    <t>HD-007105</t>
  </si>
  <si>
    <t>HD-007106</t>
  </si>
  <si>
    <t>HD-007107</t>
  </si>
  <si>
    <t>HD-007108</t>
  </si>
  <si>
    <t>HD-007109</t>
  </si>
  <si>
    <t>HD-007110</t>
  </si>
  <si>
    <t>HD-007111</t>
  </si>
  <si>
    <t>HD-007112</t>
  </si>
  <si>
    <t>HD-007113</t>
  </si>
  <si>
    <t>HD-007114</t>
  </si>
  <si>
    <t>HD-007115</t>
  </si>
  <si>
    <t>HD-007116</t>
  </si>
  <si>
    <t>HD-007117</t>
  </si>
  <si>
    <t>HD-007118</t>
  </si>
  <si>
    <t>HD-007119</t>
  </si>
  <si>
    <t>HD-007120</t>
  </si>
  <si>
    <t>HD-007121</t>
  </si>
  <si>
    <t>HD-007122</t>
  </si>
  <si>
    <t>HD-007123</t>
  </si>
  <si>
    <t>HD-007124</t>
  </si>
  <si>
    <t>HD-007125</t>
  </si>
  <si>
    <t>HD-007126</t>
  </si>
  <si>
    <t>HD-007127</t>
  </si>
  <si>
    <t>HD-007128</t>
  </si>
  <si>
    <t>HD-007129</t>
  </si>
  <si>
    <t>HD-007130</t>
  </si>
  <si>
    <t>HD-007131</t>
  </si>
  <si>
    <t>HD-007132</t>
  </si>
  <si>
    <t>HD-007133</t>
  </si>
  <si>
    <t>HD-007134</t>
  </si>
  <si>
    <t>HD-007135</t>
  </si>
  <si>
    <t>HD-007136</t>
  </si>
  <si>
    <t>HD-007137</t>
  </si>
  <si>
    <t>HD-007138</t>
  </si>
  <si>
    <t>HD-007139</t>
  </si>
  <si>
    <t>HD-007140</t>
  </si>
  <si>
    <t>HD-007141</t>
  </si>
  <si>
    <t>HD-007142</t>
  </si>
  <si>
    <t>HD-007143</t>
  </si>
  <si>
    <t>HD-007144</t>
  </si>
  <si>
    <t>HD-007145</t>
  </si>
  <si>
    <t>HD-007146</t>
  </si>
  <si>
    <t>HD-007147</t>
  </si>
  <si>
    <t>HD-007148</t>
  </si>
  <si>
    <t>HD-007149</t>
  </si>
  <si>
    <t>HD-007150</t>
  </si>
  <si>
    <t>HD-007151</t>
  </si>
  <si>
    <t>HD-007152</t>
  </si>
  <si>
    <t>HD-007153</t>
  </si>
  <si>
    <t>HD-007154</t>
  </si>
  <si>
    <t>HD-007155</t>
  </si>
  <si>
    <t>HD-007156</t>
  </si>
  <si>
    <t>HD-007157</t>
  </si>
  <si>
    <t>HD-007158</t>
  </si>
  <si>
    <t>HD-007159</t>
  </si>
  <si>
    <t>HD-007160</t>
  </si>
  <si>
    <t>HD-007161</t>
  </si>
  <si>
    <t>HD-007162</t>
  </si>
  <si>
    <t>HD-007163</t>
  </si>
  <si>
    <t>HD-007164</t>
  </si>
  <si>
    <t>HD-007165</t>
  </si>
  <si>
    <t>HD-007166</t>
  </si>
  <si>
    <t>HD-007167</t>
  </si>
  <si>
    <t>HD-007168</t>
  </si>
  <si>
    <t>HD-007169</t>
  </si>
  <si>
    <t>HD-007170</t>
  </si>
  <si>
    <t>HD-007171</t>
  </si>
  <si>
    <t>HD-007172</t>
  </si>
  <si>
    <t>HD-007173</t>
  </si>
  <si>
    <t>HD-007174</t>
  </si>
  <si>
    <t>HD-007175</t>
  </si>
  <si>
    <t>HD-007176</t>
  </si>
  <si>
    <t>HD-007177</t>
  </si>
  <si>
    <t>HD-007178</t>
  </si>
  <si>
    <t>HD-007179</t>
  </si>
  <si>
    <t>HD-007180</t>
  </si>
  <si>
    <t>HD-007181</t>
  </si>
  <si>
    <t>HD-007182</t>
  </si>
  <si>
    <t>HD-007183</t>
  </si>
  <si>
    <t>HD-007184</t>
  </si>
  <si>
    <t>HD-007185</t>
  </si>
  <si>
    <t>HD-007186</t>
  </si>
  <si>
    <t>HD-007187</t>
  </si>
  <si>
    <t>HD-007188</t>
  </si>
  <si>
    <t>HD-007189</t>
  </si>
  <si>
    <t>HD-007190</t>
  </si>
  <si>
    <t>HD-007191</t>
  </si>
  <si>
    <t>HD-007192</t>
  </si>
  <si>
    <t>HD-007193</t>
  </si>
  <si>
    <t>HD-007194</t>
  </si>
  <si>
    <t>HD-007195</t>
  </si>
  <si>
    <t>HD-007196</t>
  </si>
  <si>
    <t>HD-007197</t>
  </si>
  <si>
    <t>HD-007198</t>
  </si>
  <si>
    <t>HD-007199</t>
  </si>
  <si>
    <t>HD-007200</t>
  </si>
  <si>
    <t>HD-007201</t>
  </si>
  <si>
    <t>HD-007202</t>
  </si>
  <si>
    <t>HD-007203</t>
  </si>
  <si>
    <t>HD-007204</t>
  </si>
  <si>
    <t>HD-007205</t>
  </si>
  <si>
    <t>HD-007206</t>
  </si>
  <si>
    <t>HD-007207</t>
  </si>
  <si>
    <t>HD-007208</t>
  </si>
  <si>
    <t>HD-007209</t>
  </si>
  <si>
    <t>HD-007210</t>
  </si>
  <si>
    <t>HD-007211</t>
  </si>
  <si>
    <t>HD-007212</t>
  </si>
  <si>
    <t>HD-007213</t>
  </si>
  <si>
    <t>HD-007214</t>
  </si>
  <si>
    <t>HD-007215</t>
  </si>
  <si>
    <t>HD-007216</t>
  </si>
  <si>
    <t>HD-007217</t>
  </si>
  <si>
    <t>HD-007218</t>
  </si>
  <si>
    <t>HD-007219</t>
  </si>
  <si>
    <t>HD-007220</t>
  </si>
  <si>
    <t>HD-007221</t>
  </si>
  <si>
    <t>HD-007222</t>
  </si>
  <si>
    <t>HD-007223</t>
  </si>
  <si>
    <t>HD-007224</t>
  </si>
  <si>
    <t>HD-007225</t>
  </si>
  <si>
    <t>HD-007226</t>
  </si>
  <si>
    <t>HD-007227</t>
  </si>
  <si>
    <t>HD-007228</t>
  </si>
  <si>
    <t>HD-007229</t>
  </si>
  <si>
    <t>HD-007230</t>
  </si>
  <si>
    <t>HD-007231</t>
  </si>
  <si>
    <t>HD-007232</t>
  </si>
  <si>
    <t>HD-007233</t>
  </si>
  <si>
    <t>HD-007234</t>
  </si>
  <si>
    <t>HD-007235</t>
  </si>
  <si>
    <t>HD-007236</t>
  </si>
  <si>
    <t>HD-007237</t>
  </si>
  <si>
    <t>HD-007238</t>
  </si>
  <si>
    <t>HD-007239</t>
  </si>
  <si>
    <t>HD-007240</t>
  </si>
  <si>
    <t>HD-007241</t>
  </si>
  <si>
    <t>HD-007242</t>
  </si>
  <si>
    <t>HD-007243</t>
  </si>
  <si>
    <t>HD-007244</t>
  </si>
  <si>
    <t>HD-007245</t>
  </si>
  <si>
    <t>HD-007246</t>
  </si>
  <si>
    <t>HD-007247</t>
  </si>
  <si>
    <t>HD-007248</t>
  </si>
  <si>
    <t>HD-007249</t>
  </si>
  <si>
    <t>HD-007250</t>
  </si>
  <si>
    <t>HD-007251</t>
  </si>
  <si>
    <t>HD-007252</t>
  </si>
  <si>
    <t>HD-007253</t>
  </si>
  <si>
    <t>HD-007254</t>
  </si>
  <si>
    <t>HD-007255</t>
  </si>
  <si>
    <t>HD-007256</t>
  </si>
  <si>
    <t>HD-007257</t>
  </si>
  <si>
    <t>HD-007258</t>
  </si>
  <si>
    <t>HD-007259</t>
  </si>
  <si>
    <t>HD-007260</t>
  </si>
  <si>
    <t>HD-007261</t>
  </si>
  <si>
    <t>HD-007262</t>
  </si>
  <si>
    <t>HD-007263</t>
  </si>
  <si>
    <t>HD-007264</t>
  </si>
  <si>
    <t>HD-007265</t>
  </si>
  <si>
    <t>HD-007266</t>
  </si>
  <si>
    <t>HD-007267</t>
  </si>
  <si>
    <t>HD-007268</t>
  </si>
  <si>
    <t>HD-007269</t>
  </si>
  <si>
    <t>HD-007270</t>
  </si>
  <si>
    <t>HD-007271</t>
  </si>
  <si>
    <t>HD-007272</t>
  </si>
  <si>
    <t>HD-007273</t>
  </si>
  <si>
    <t>HD-007274</t>
  </si>
  <si>
    <t>HD-007275</t>
  </si>
  <si>
    <t>HD-007276</t>
  </si>
  <si>
    <t>HD-007277</t>
  </si>
  <si>
    <t>HD-007278</t>
  </si>
  <si>
    <t>HD-007279</t>
  </si>
  <si>
    <t>HD-007280</t>
  </si>
  <si>
    <t>HD-007281</t>
  </si>
  <si>
    <t>HD-007282</t>
  </si>
  <si>
    <t>HD-007283</t>
  </si>
  <si>
    <t>HD-007284</t>
  </si>
  <si>
    <t>HD-007285</t>
  </si>
  <si>
    <t>HD-007286</t>
  </si>
  <si>
    <t>HD-007287</t>
  </si>
  <si>
    <t>HD-007288</t>
  </si>
  <si>
    <t>HD-007289</t>
  </si>
  <si>
    <t>HD-007290</t>
  </si>
  <si>
    <t>HD-007291</t>
  </si>
  <si>
    <t>HD-007292</t>
  </si>
  <si>
    <t>HD-007293</t>
  </si>
  <si>
    <t>HD-007294</t>
  </si>
  <si>
    <t>HD-007295</t>
  </si>
  <si>
    <t>HD-007296</t>
  </si>
  <si>
    <t>HD-007297</t>
  </si>
  <si>
    <t>HD-007298</t>
  </si>
  <si>
    <t>HD-007299</t>
  </si>
  <si>
    <t>HD-007300</t>
  </si>
  <si>
    <t>HD-007301</t>
  </si>
  <si>
    <t>HD-007302</t>
  </si>
  <si>
    <t>HD-007303</t>
  </si>
  <si>
    <t>HD-007304</t>
  </si>
  <si>
    <t>HD-007305</t>
  </si>
  <si>
    <t>HD-007306</t>
  </si>
  <si>
    <t>HD-007307</t>
  </si>
  <si>
    <t>HD-007308</t>
  </si>
  <si>
    <t>HD-007309</t>
  </si>
  <si>
    <t>HD-007310</t>
  </si>
  <si>
    <t>HD-007311</t>
  </si>
  <si>
    <t>HD-007312</t>
  </si>
  <si>
    <t>HD-007313</t>
  </si>
  <si>
    <t>HD-007314</t>
  </si>
  <si>
    <t>HD-007315</t>
  </si>
  <si>
    <t>HD-007316</t>
  </si>
  <si>
    <t>HD-007317</t>
  </si>
  <si>
    <t>HD-007318</t>
  </si>
  <si>
    <t>HD-007319</t>
  </si>
  <si>
    <t>HD-007320</t>
  </si>
  <si>
    <t>HD-007321</t>
  </si>
  <si>
    <t>HD-007322</t>
  </si>
  <si>
    <t>HD-007323</t>
  </si>
  <si>
    <t>HD-007324</t>
  </si>
  <si>
    <t>HD-007325</t>
  </si>
  <si>
    <t>HD-007326</t>
  </si>
  <si>
    <t>HD-007327</t>
  </si>
  <si>
    <t>HD-007328</t>
  </si>
  <si>
    <t>HD-007329</t>
  </si>
  <si>
    <t>HD-007330</t>
  </si>
  <si>
    <t>HD-007331</t>
  </si>
  <si>
    <t>HD-007332</t>
  </si>
  <si>
    <t>HD-007333</t>
  </si>
  <si>
    <t>HD-007334</t>
  </si>
  <si>
    <t>HD-007335</t>
  </si>
  <si>
    <t>HD-007336</t>
  </si>
  <si>
    <t>HD-007337</t>
  </si>
  <si>
    <t>HD-007338</t>
  </si>
  <si>
    <t>HD-007339</t>
  </si>
  <si>
    <t>HD-007340</t>
  </si>
  <si>
    <t>HD-007341</t>
  </si>
  <si>
    <t>HD-007342</t>
  </si>
  <si>
    <t>HD-007343</t>
  </si>
  <si>
    <t>HD-007344</t>
  </si>
  <si>
    <t>HD-007345</t>
  </si>
  <si>
    <t>HD-007346</t>
  </si>
  <si>
    <t>HD-007347</t>
  </si>
  <si>
    <t>HD-007348</t>
  </si>
  <si>
    <t>HD-007349</t>
  </si>
  <si>
    <t>HD-007350</t>
  </si>
  <si>
    <t>HD-007351</t>
  </si>
  <si>
    <t>HD-007352</t>
  </si>
  <si>
    <t>HD-007353</t>
  </si>
  <si>
    <t>HD-007354</t>
  </si>
  <si>
    <t>HD-007355</t>
  </si>
  <si>
    <t>HD-007356</t>
  </si>
  <si>
    <t>HD-007357</t>
  </si>
  <si>
    <t>HD-007358</t>
  </si>
  <si>
    <t>HD-007359</t>
  </si>
  <si>
    <t>HD-007360</t>
  </si>
  <si>
    <t>HD-007361</t>
  </si>
  <si>
    <t>HD-007362</t>
  </si>
  <si>
    <t>HD-007363</t>
  </si>
  <si>
    <t>HD-007364</t>
  </si>
  <si>
    <t>HD-007365</t>
  </si>
  <si>
    <t>HD-007366</t>
  </si>
  <si>
    <t>HD-007367</t>
  </si>
  <si>
    <t>HD-007368</t>
  </si>
  <si>
    <t>HD-007369</t>
  </si>
  <si>
    <t>HD-007370</t>
  </si>
  <si>
    <t>HD-007371</t>
  </si>
  <si>
    <t>HD-007372</t>
  </si>
  <si>
    <t>HD-007373</t>
  </si>
  <si>
    <t>HD-007374</t>
  </si>
  <si>
    <t>HD-007375</t>
  </si>
  <si>
    <t>HD-007376</t>
  </si>
  <si>
    <t>HD-007377</t>
  </si>
  <si>
    <t>HD-007378</t>
  </si>
  <si>
    <t>HD-007379</t>
  </si>
  <si>
    <t>HD-007380</t>
  </si>
  <si>
    <t>HD-007381</t>
  </si>
  <si>
    <t>HD-007382</t>
  </si>
  <si>
    <t>HD-007383</t>
  </si>
  <si>
    <t>HD-007384</t>
  </si>
  <si>
    <t>HD-007385</t>
  </si>
  <si>
    <t>HD-007386</t>
  </si>
  <si>
    <t>HD-007387</t>
  </si>
  <si>
    <t>HD-007388</t>
  </si>
  <si>
    <t>HD-007389</t>
  </si>
  <si>
    <t>HD-007390</t>
  </si>
  <si>
    <t>HD-007391</t>
  </si>
  <si>
    <t>HD-007392</t>
  </si>
  <si>
    <t>HD-007393</t>
  </si>
  <si>
    <t>HD-007394</t>
  </si>
  <si>
    <t>HD-007395</t>
  </si>
  <si>
    <t>HD-007396</t>
  </si>
  <si>
    <t>HD-007397</t>
  </si>
  <si>
    <t>HD-007398</t>
  </si>
  <si>
    <t>HD-007399</t>
  </si>
  <si>
    <t>HD-007400</t>
  </si>
  <si>
    <t>HD-007401</t>
  </si>
  <si>
    <t>HD-007402</t>
  </si>
  <si>
    <t>HD-007403</t>
  </si>
  <si>
    <t>HD-007404</t>
  </si>
  <si>
    <t>HD-007405</t>
  </si>
  <si>
    <t>HD-007406</t>
  </si>
  <si>
    <t>HD-007407</t>
  </si>
  <si>
    <t>HD-007408</t>
  </si>
  <si>
    <t>HD-007409</t>
  </si>
  <si>
    <t>HD-007410</t>
  </si>
  <si>
    <t>HD-007411</t>
  </si>
  <si>
    <t>HD-007412</t>
  </si>
  <si>
    <t>HD-007413</t>
  </si>
  <si>
    <t>HD-007414</t>
  </si>
  <si>
    <t>HD-007415</t>
  </si>
  <si>
    <t>HD-007416</t>
  </si>
  <si>
    <t>HD-007417</t>
  </si>
  <si>
    <t>HD-007418</t>
  </si>
  <si>
    <t>HD-007419</t>
  </si>
  <si>
    <t>HD-007420</t>
  </si>
  <si>
    <t>HD-007421</t>
  </si>
  <si>
    <t>HD-007422</t>
  </si>
  <si>
    <t>HD-007423</t>
  </si>
  <si>
    <t>HD-007424</t>
  </si>
  <si>
    <t>HD-007425</t>
  </si>
  <si>
    <t>HD-007426</t>
  </si>
  <si>
    <t>HD-007427</t>
  </si>
  <si>
    <t>HD-007428</t>
  </si>
  <si>
    <t>HD-007429</t>
  </si>
  <si>
    <t>HD-007430</t>
  </si>
  <si>
    <t>HD-007431</t>
  </si>
  <si>
    <t>HD-007432</t>
  </si>
  <si>
    <t>HD-007433</t>
  </si>
  <si>
    <t>HD-007434</t>
  </si>
  <si>
    <t>HD-007435</t>
  </si>
  <si>
    <t>HD-007436</t>
  </si>
  <si>
    <t>HD-007437</t>
  </si>
  <si>
    <t>HD-007438</t>
  </si>
  <si>
    <t>HD-007439</t>
  </si>
  <si>
    <t>HD-007440</t>
  </si>
  <si>
    <t>HD-007441</t>
  </si>
  <si>
    <t>HD-007442</t>
  </si>
  <si>
    <t>HD-007443</t>
  </si>
  <si>
    <t>HD-007444</t>
  </si>
  <si>
    <t>HD-007445</t>
  </si>
  <si>
    <t>HD-007446</t>
  </si>
  <si>
    <t>HD-007447</t>
  </si>
  <si>
    <t>HD-007448</t>
  </si>
  <si>
    <t>HD-007449</t>
  </si>
  <si>
    <t>HD-007450</t>
  </si>
  <si>
    <t>HD-007451</t>
  </si>
  <si>
    <t>HD-007452</t>
  </si>
  <si>
    <t>HD-007453</t>
  </si>
  <si>
    <t>HD-007454</t>
  </si>
  <si>
    <t>HD-007455</t>
  </si>
  <si>
    <t>HD-007456</t>
  </si>
  <si>
    <t>HD-007457</t>
  </si>
  <si>
    <t>HD-007458</t>
  </si>
  <si>
    <t>HD-007459</t>
  </si>
  <si>
    <t>HD-007460</t>
  </si>
  <si>
    <t>HD-007461</t>
  </si>
  <si>
    <t>HD-007462</t>
  </si>
  <si>
    <t>HD-007463</t>
  </si>
  <si>
    <t>HD-007464</t>
  </si>
  <si>
    <t>HD-007465</t>
  </si>
  <si>
    <t>HD-007466</t>
  </si>
  <si>
    <t>HD-007467</t>
  </si>
  <si>
    <t>HD-007468</t>
  </si>
  <si>
    <t>HD-007469</t>
  </si>
  <si>
    <t>HD-007470</t>
  </si>
  <si>
    <t>HD-007471</t>
  </si>
  <si>
    <t>HD-007472</t>
  </si>
  <si>
    <t>HD-007473</t>
  </si>
  <si>
    <t>HD-007474</t>
  </si>
  <si>
    <t>HD-007475</t>
  </si>
  <si>
    <t>HD-007476</t>
  </si>
  <si>
    <t>HD-007477</t>
  </si>
  <si>
    <t>HD-007478</t>
  </si>
  <si>
    <t>HD-007479</t>
  </si>
  <si>
    <t>HD-007480</t>
  </si>
  <si>
    <t>HD-007481</t>
  </si>
  <si>
    <t>HD-007482</t>
  </si>
  <si>
    <t>HD-007483</t>
  </si>
  <si>
    <t>HD-007484</t>
  </si>
  <si>
    <t>HD-007485</t>
  </si>
  <si>
    <t>HD-007486</t>
  </si>
  <si>
    <t>HD-007487</t>
  </si>
  <si>
    <t>HD-007488</t>
  </si>
  <si>
    <t>HD-007489</t>
  </si>
  <si>
    <t>HD-007490</t>
  </si>
  <si>
    <t>HD-007491</t>
  </si>
  <si>
    <t>HD-007492</t>
  </si>
  <si>
    <t>HD-007493</t>
  </si>
  <si>
    <t>HD-007494</t>
  </si>
  <si>
    <t>HD-007495</t>
  </si>
  <si>
    <t>HD-007496</t>
  </si>
  <si>
    <t>HD-007497</t>
  </si>
  <si>
    <t>HD-007498</t>
  </si>
  <si>
    <t>HD-007499</t>
  </si>
  <si>
    <t>HD-007500</t>
  </si>
  <si>
    <t>HD-007501</t>
  </si>
  <si>
    <t>HD-007502</t>
  </si>
  <si>
    <t>HD-007503</t>
  </si>
  <si>
    <t>HD-007504</t>
  </si>
  <si>
    <t>HD-007505</t>
  </si>
  <si>
    <t>HD-007506</t>
  </si>
  <si>
    <t>HD-007507</t>
  </si>
  <si>
    <t>HD-007508</t>
  </si>
  <si>
    <t>HD-007509</t>
  </si>
  <si>
    <t>HD-007510</t>
  </si>
  <si>
    <t>HD-007511</t>
  </si>
  <si>
    <t>HD-007512</t>
  </si>
  <si>
    <t>HD-007513</t>
  </si>
  <si>
    <t>HD-007514</t>
  </si>
  <si>
    <t>HD-007515</t>
  </si>
  <si>
    <t>HD-007516</t>
  </si>
  <si>
    <t>HD-007517</t>
  </si>
  <si>
    <t>HD-007518</t>
  </si>
  <si>
    <t>HD-007519</t>
  </si>
  <si>
    <t>HD-007520</t>
  </si>
  <si>
    <t>HD-007521</t>
  </si>
  <si>
    <t>HD-007522</t>
  </si>
  <si>
    <t>HD-007523</t>
  </si>
  <si>
    <t>HD-007524</t>
  </si>
  <si>
    <t>HD-007525</t>
  </si>
  <si>
    <t>HD-007526</t>
  </si>
  <si>
    <t>HD-007527</t>
  </si>
  <si>
    <t>HD-007528</t>
  </si>
  <si>
    <t>HD-007529</t>
  </si>
  <si>
    <t>HD-007530</t>
  </si>
  <si>
    <t>HD-007531</t>
  </si>
  <si>
    <t>HD-007532</t>
  </si>
  <si>
    <t>HD-007533</t>
  </si>
  <si>
    <t>HD-007534</t>
  </si>
  <si>
    <t>HD-007535</t>
  </si>
  <si>
    <t>HD-007536</t>
  </si>
  <si>
    <t>HD-007537</t>
  </si>
  <si>
    <t>HD-007538</t>
  </si>
  <si>
    <t>HD-007539</t>
  </si>
  <si>
    <t>HD-007540</t>
  </si>
  <si>
    <t>HD-007541</t>
  </si>
  <si>
    <t>HD-007542</t>
  </si>
  <si>
    <t>HD-007543</t>
  </si>
  <si>
    <t>HD-007544</t>
  </si>
  <si>
    <t>HD-007545</t>
  </si>
  <si>
    <t>HD-007546</t>
  </si>
  <si>
    <t>HD-007547</t>
  </si>
  <si>
    <t>HD-007548</t>
  </si>
  <si>
    <t>HD-007549</t>
  </si>
  <si>
    <t>HD-007550</t>
  </si>
  <si>
    <t>HD-007551</t>
  </si>
  <si>
    <t>HD-007552</t>
  </si>
  <si>
    <t>HD-007553</t>
  </si>
  <si>
    <t>HD-007554</t>
  </si>
  <si>
    <t>HD-007555</t>
  </si>
  <si>
    <t>HD-007556</t>
  </si>
  <si>
    <t>HD-007557</t>
  </si>
  <si>
    <t>HD-007558</t>
  </si>
  <si>
    <t>HD-007559</t>
  </si>
  <si>
    <t>HD-007560</t>
  </si>
  <si>
    <t>HD-007561</t>
  </si>
  <si>
    <t>HD-007562</t>
  </si>
  <si>
    <t>HD-007563</t>
  </si>
  <si>
    <t>HD-007564</t>
  </si>
  <si>
    <t>HD-007565</t>
  </si>
  <si>
    <t>HD-007566</t>
  </si>
  <si>
    <t>HD-007567</t>
  </si>
  <si>
    <t>HD-007568</t>
  </si>
  <si>
    <t>HD-007569</t>
  </si>
  <si>
    <t>HD-007570</t>
  </si>
  <si>
    <t>HD-007571</t>
  </si>
  <si>
    <t>HD-007572</t>
  </si>
  <si>
    <t>HD-007573</t>
  </si>
  <si>
    <t>HD-007574</t>
  </si>
  <si>
    <t>HD-007575</t>
  </si>
  <si>
    <t>HD-007576</t>
  </si>
  <si>
    <t>HD-007577</t>
  </si>
  <si>
    <t>HD-007578</t>
  </si>
  <si>
    <t>HD-007579</t>
  </si>
  <si>
    <t>HD-007580</t>
  </si>
  <si>
    <t>HD-007581</t>
  </si>
  <si>
    <t>HD-007582</t>
  </si>
  <si>
    <t>HD-007583</t>
  </si>
  <si>
    <t>HD-007584</t>
  </si>
  <si>
    <t>HD-007585</t>
  </si>
  <si>
    <t>HD-007586</t>
  </si>
  <si>
    <t>HD-007587</t>
  </si>
  <si>
    <t>HD-007588</t>
  </si>
  <si>
    <t>HD-007589</t>
  </si>
  <si>
    <t>HD-007590</t>
  </si>
  <si>
    <t>HD-007591</t>
  </si>
  <si>
    <t>HD-007592</t>
  </si>
  <si>
    <t>HD-007593</t>
  </si>
  <si>
    <t>HD-007594</t>
  </si>
  <si>
    <t>HD-007595</t>
  </si>
  <si>
    <t>HD-007596</t>
  </si>
  <si>
    <t>HD-007597</t>
  </si>
  <si>
    <t>HD-007598</t>
  </si>
  <si>
    <t>HD-007599</t>
  </si>
  <si>
    <t>HD-007600</t>
  </si>
  <si>
    <t>HD-007601</t>
  </si>
  <si>
    <t>HD-007602</t>
  </si>
  <si>
    <t>HD-007603</t>
  </si>
  <si>
    <t>HD-007604</t>
  </si>
  <si>
    <t>HD-007605</t>
  </si>
  <si>
    <t>HD-007606</t>
  </si>
  <si>
    <t>HD-007607</t>
  </si>
  <si>
    <t>HD-007608</t>
  </si>
  <si>
    <t>HD-007609</t>
  </si>
  <si>
    <t>HD-007610</t>
  </si>
  <si>
    <t>HD-007611</t>
  </si>
  <si>
    <t>HD-007612</t>
  </si>
  <si>
    <t>HD-007613</t>
  </si>
  <si>
    <t>HD-007614</t>
  </si>
  <si>
    <t>HD-007615</t>
  </si>
  <si>
    <t>HD-007616</t>
  </si>
  <si>
    <t>HD-007617</t>
  </si>
  <si>
    <t>HD-007618</t>
  </si>
  <si>
    <t>HD-007619</t>
  </si>
  <si>
    <t>HD-007620</t>
  </si>
  <si>
    <t>HD-007621</t>
  </si>
  <si>
    <t>HD-007622</t>
  </si>
  <si>
    <t>HD-007623</t>
  </si>
  <si>
    <t>HD-007624</t>
  </si>
  <si>
    <t>HD-007625</t>
  </si>
  <si>
    <t>HD-007626</t>
  </si>
  <si>
    <t>HD-007627</t>
  </si>
  <si>
    <t>HD-007628</t>
  </si>
  <si>
    <t>HD-007629</t>
  </si>
  <si>
    <t>HD-007630</t>
  </si>
  <si>
    <t>HD-007631</t>
  </si>
  <si>
    <t>HD-007632</t>
  </si>
  <si>
    <t>HD-007633</t>
  </si>
  <si>
    <t>HD-007634</t>
  </si>
  <si>
    <t>HD-007635</t>
  </si>
  <si>
    <t>HD-007636</t>
  </si>
  <si>
    <t>HD-007637</t>
  </si>
  <si>
    <t>HD-007638</t>
  </si>
  <si>
    <t>HD-007639</t>
  </si>
  <si>
    <t>HD-007640</t>
  </si>
  <si>
    <t>HD-007641</t>
  </si>
  <si>
    <t>HD-007642</t>
  </si>
  <si>
    <t>HD-007643</t>
  </si>
  <si>
    <t>HD-007644</t>
  </si>
  <si>
    <t>HD-007645</t>
  </si>
  <si>
    <t>HD-007646</t>
  </si>
  <si>
    <t>HD-007647</t>
  </si>
  <si>
    <t>HD-007648</t>
  </si>
  <si>
    <t>HD-007649</t>
  </si>
  <si>
    <t>HD-007650</t>
  </si>
  <si>
    <t>HD-007651</t>
  </si>
  <si>
    <t>HD-007652</t>
  </si>
  <si>
    <t>HD-007653</t>
  </si>
  <si>
    <t>HD-007654</t>
  </si>
  <si>
    <t>HD-007655</t>
  </si>
  <si>
    <t>HD-007656</t>
  </si>
  <si>
    <t>HD-007657</t>
  </si>
  <si>
    <t>HD-007658</t>
  </si>
  <si>
    <t>HD-007659</t>
  </si>
  <si>
    <t>HD-007660</t>
  </si>
  <si>
    <t>HD-007661</t>
  </si>
  <si>
    <t>HD-007662</t>
  </si>
  <si>
    <t>HD-007663</t>
  </si>
  <si>
    <t>HD-007664</t>
  </si>
  <si>
    <t>HD-007665</t>
  </si>
  <si>
    <t>HD-007666</t>
  </si>
  <si>
    <t>HD-007667</t>
  </si>
  <si>
    <t>HD-007668</t>
  </si>
  <si>
    <t>HD-007669</t>
  </si>
  <si>
    <t>HD-007670</t>
  </si>
  <si>
    <t>HD-007671</t>
  </si>
  <si>
    <t>HD-007672</t>
  </si>
  <si>
    <t>HD-007673</t>
  </si>
  <si>
    <t>HD-007674</t>
  </si>
  <si>
    <t>HD-007675</t>
  </si>
  <si>
    <t>HD-007676</t>
  </si>
  <si>
    <t>HD-007677</t>
  </si>
  <si>
    <t>HD-007678</t>
  </si>
  <si>
    <t>HD-007679</t>
  </si>
  <si>
    <t>HD-007680</t>
  </si>
  <si>
    <t>HD-007681</t>
  </si>
  <si>
    <t>HD-007682</t>
  </si>
  <si>
    <t>HD-007683</t>
  </si>
  <si>
    <t>HD-007684</t>
  </si>
  <si>
    <t>HD-007685</t>
  </si>
  <si>
    <t>HD-007686</t>
  </si>
  <si>
    <t>HD-007687</t>
  </si>
  <si>
    <t>HD-007688</t>
  </si>
  <si>
    <t>HD-007689</t>
  </si>
  <si>
    <t>HD-007690</t>
  </si>
  <si>
    <t>HD-007691</t>
  </si>
  <si>
    <t>HD-007692</t>
  </si>
  <si>
    <t>HD-007693</t>
  </si>
  <si>
    <t>HD-007694</t>
  </si>
  <si>
    <t>HD-007695</t>
  </si>
  <si>
    <t>HD-007696</t>
  </si>
  <si>
    <t>HD-007697</t>
  </si>
  <si>
    <t>HD-007698</t>
  </si>
  <si>
    <t>HD-007699</t>
  </si>
  <si>
    <t>HD-007700</t>
  </si>
  <si>
    <t>HD-007701</t>
  </si>
  <si>
    <t>HD-007702</t>
  </si>
  <si>
    <t>HD-007703</t>
  </si>
  <si>
    <t>HD-007704</t>
  </si>
  <si>
    <t>HD-007705</t>
  </si>
  <si>
    <t>HD-007706</t>
  </si>
  <si>
    <t>HD-007707</t>
  </si>
  <si>
    <t>HD-007708</t>
  </si>
  <si>
    <t>HD-007709</t>
  </si>
  <si>
    <t>HD-007710</t>
  </si>
  <si>
    <t>HD-007711</t>
  </si>
  <si>
    <t>HD-007712</t>
  </si>
  <si>
    <t>HD-007713</t>
  </si>
  <si>
    <t>HD-007714</t>
  </si>
  <si>
    <t>HD-007715</t>
  </si>
  <si>
    <t>HD-007716</t>
  </si>
  <si>
    <t>HD-007717</t>
  </si>
  <si>
    <t>HD-007718</t>
  </si>
  <si>
    <t>HD-007719</t>
  </si>
  <si>
    <t>HD-007720</t>
  </si>
  <si>
    <t>HD-007721</t>
  </si>
  <si>
    <t>HD-007722</t>
  </si>
  <si>
    <t>HD-007723</t>
  </si>
  <si>
    <t>HD-007724</t>
  </si>
  <si>
    <t>HD-007725</t>
  </si>
  <si>
    <t>HD-007726</t>
  </si>
  <si>
    <t>HD-007727</t>
  </si>
  <si>
    <t>HD-007728</t>
  </si>
  <si>
    <t>HD-007729</t>
  </si>
  <si>
    <t>HD-007730</t>
  </si>
  <si>
    <t>HD-007731</t>
  </si>
  <si>
    <t>HD-007732</t>
  </si>
  <si>
    <t>HD-007733</t>
  </si>
  <si>
    <t>HD-007734</t>
  </si>
  <si>
    <t>HD-007735</t>
  </si>
  <si>
    <t>HD-007736</t>
  </si>
  <si>
    <t>HD-007737</t>
  </si>
  <si>
    <t>HD-007738</t>
  </si>
  <si>
    <t>HD-007739</t>
  </si>
  <si>
    <t>HD-007740</t>
  </si>
  <si>
    <t>HD-007741</t>
  </si>
  <si>
    <t>HD-007742</t>
  </si>
  <si>
    <t>HD-007743</t>
  </si>
  <si>
    <t>HD-007744</t>
  </si>
  <si>
    <t>HD-007745</t>
  </si>
  <si>
    <t>HD-007746</t>
  </si>
  <si>
    <t>HD-007747</t>
  </si>
  <si>
    <t>HD-007748</t>
  </si>
  <si>
    <t>HD-007749</t>
  </si>
  <si>
    <t>HD-007750</t>
  </si>
  <si>
    <t>HD-007751</t>
  </si>
  <si>
    <t>HD-007752</t>
  </si>
  <si>
    <t>HD-007753</t>
  </si>
  <si>
    <t>HD-007754</t>
  </si>
  <si>
    <t>HD-007755</t>
  </si>
  <si>
    <t>HD-007756</t>
  </si>
  <si>
    <t>HD-007757</t>
  </si>
  <si>
    <t>HD-007758</t>
  </si>
  <si>
    <t>HD-007759</t>
  </si>
  <si>
    <t>HD-007760</t>
  </si>
  <si>
    <t>HD-007761</t>
  </si>
  <si>
    <t>HD-007762</t>
  </si>
  <si>
    <t>HD-007763</t>
  </si>
  <si>
    <t>HD-007764</t>
  </si>
  <si>
    <t>HD-007765</t>
  </si>
  <si>
    <t>HD-007766</t>
  </si>
  <si>
    <t>HD-007767</t>
  </si>
  <si>
    <t>HD-007768</t>
  </si>
  <si>
    <t>HD-007769</t>
  </si>
  <si>
    <t>HD-007770</t>
  </si>
  <si>
    <t>HD-007771</t>
  </si>
  <si>
    <t>HD-007772</t>
  </si>
  <si>
    <t>HD-007773</t>
  </si>
  <si>
    <t>HD-007774</t>
  </si>
  <si>
    <t>HD-007775</t>
  </si>
  <si>
    <t>HD-007776</t>
  </si>
  <si>
    <t>HD-007777</t>
  </si>
  <si>
    <t>HD-007778</t>
  </si>
  <si>
    <t>HD-007779</t>
  </si>
  <si>
    <t>HD-007780</t>
  </si>
  <si>
    <t>HD-007781</t>
  </si>
  <si>
    <t>HD-007782</t>
  </si>
  <si>
    <t>HD-007783</t>
  </si>
  <si>
    <t>HD-007784</t>
  </si>
  <si>
    <t>HD-007785</t>
  </si>
  <si>
    <t>HD-007786</t>
  </si>
  <si>
    <t>HD-007787</t>
  </si>
  <si>
    <t>HD-007788</t>
  </si>
  <si>
    <t>HD-007789</t>
  </si>
  <si>
    <t>HD-007790</t>
  </si>
  <si>
    <t>HD-007791</t>
  </si>
  <si>
    <t>HD-007792</t>
  </si>
  <si>
    <t>HD-007793</t>
  </si>
  <si>
    <t>HD-007794</t>
  </si>
  <si>
    <t>HD-007795</t>
  </si>
  <si>
    <t>HD-007796</t>
  </si>
  <si>
    <t>HD-007797</t>
  </si>
  <si>
    <t>HD-007798</t>
  </si>
  <si>
    <t>HD-007799</t>
  </si>
  <si>
    <t>HD-007800</t>
  </si>
  <si>
    <t>HD-007801</t>
  </si>
  <si>
    <t>HD-007802</t>
  </si>
  <si>
    <t>HD-007803</t>
  </si>
  <si>
    <t>HD-007804</t>
  </si>
  <si>
    <t>HD-007805</t>
  </si>
  <si>
    <t>HD-007806</t>
  </si>
  <si>
    <t>HD-007807</t>
  </si>
  <si>
    <t>HD-007808</t>
  </si>
  <si>
    <t>HD-007809</t>
  </si>
  <si>
    <t>HD-007810</t>
  </si>
  <si>
    <t>HD-007811</t>
  </si>
  <si>
    <t>HD-007812</t>
  </si>
  <si>
    <t>HD-007813</t>
  </si>
  <si>
    <t>HD-007814</t>
  </si>
  <si>
    <t>HD-007815</t>
  </si>
  <si>
    <t>HD-007816</t>
  </si>
  <si>
    <t>HD-007817</t>
  </si>
  <si>
    <t>HD-007818</t>
  </si>
  <si>
    <t>HD-007819</t>
  </si>
  <si>
    <t>HD-007820</t>
  </si>
  <si>
    <t>HD-007821</t>
  </si>
  <si>
    <t>HD-007822</t>
  </si>
  <si>
    <t>HD-007823</t>
  </si>
  <si>
    <t>HD-007824</t>
  </si>
  <si>
    <t>HD-007825</t>
  </si>
  <si>
    <t>HD-007826</t>
  </si>
  <si>
    <t>HD-007827</t>
  </si>
  <si>
    <t>HD-007828</t>
  </si>
  <si>
    <t>HD-007829</t>
  </si>
  <si>
    <t>HD-007830</t>
  </si>
  <si>
    <t>HD-007831</t>
  </si>
  <si>
    <t>HD-007832</t>
  </si>
  <si>
    <t>HD-007833</t>
  </si>
  <si>
    <t>HD-007834</t>
  </si>
  <si>
    <t>HD-007835</t>
  </si>
  <si>
    <t>HD-007836</t>
  </si>
  <si>
    <t>HD-007837</t>
  </si>
  <si>
    <t>HD-007838</t>
  </si>
  <si>
    <t>HD-007839</t>
  </si>
  <si>
    <t>HD-007840</t>
  </si>
  <si>
    <t>HD-007841</t>
  </si>
  <si>
    <t>HD-007842</t>
  </si>
  <si>
    <t>HD-007843</t>
  </si>
  <si>
    <t>HD-007844</t>
  </si>
  <si>
    <t>HD-007845</t>
  </si>
  <si>
    <t>HD-007846</t>
  </si>
  <si>
    <t>HD-007847</t>
  </si>
  <si>
    <t>HD-007848</t>
  </si>
  <si>
    <t>HD-007849</t>
  </si>
  <si>
    <t>HD-007850</t>
  </si>
  <si>
    <t>HD-007851</t>
  </si>
  <si>
    <t>HD-007852</t>
  </si>
  <si>
    <t>HD-007853</t>
  </si>
  <si>
    <t>HD-007854</t>
  </si>
  <si>
    <t>HD-007855</t>
  </si>
  <si>
    <t>HD-007856</t>
  </si>
  <si>
    <t>HD-007857</t>
  </si>
  <si>
    <t>HD-007858</t>
  </si>
  <si>
    <t>HD-007859</t>
  </si>
  <si>
    <t>HD-007860</t>
  </si>
  <si>
    <t>HD-007861</t>
  </si>
  <si>
    <t>HD-007862</t>
  </si>
  <si>
    <t>HD-007863</t>
  </si>
  <si>
    <t>HD-007864</t>
  </si>
  <si>
    <t>HD-007865</t>
  </si>
  <si>
    <t>HD-007866</t>
  </si>
  <si>
    <t>HD-007867</t>
  </si>
  <si>
    <t>HD-007868</t>
  </si>
  <si>
    <t>HD-007869</t>
  </si>
  <si>
    <t>HD-007870</t>
  </si>
  <si>
    <t>HD-007871</t>
  </si>
  <si>
    <t>HD-007872</t>
  </si>
  <si>
    <t>HD-007873</t>
  </si>
  <si>
    <t>HD-007874</t>
  </si>
  <si>
    <t>HD-007875</t>
  </si>
  <si>
    <t>HD-007876</t>
  </si>
  <si>
    <t>HD-007877</t>
  </si>
  <si>
    <t>HD-007878</t>
  </si>
  <si>
    <t>HD-007879</t>
  </si>
  <si>
    <t>HD-007880</t>
  </si>
  <si>
    <t>HD-007881</t>
  </si>
  <si>
    <t>HD-007882</t>
  </si>
  <si>
    <t>HD-007883</t>
  </si>
  <si>
    <t>HD-007884</t>
  </si>
  <si>
    <t>HD-007885</t>
  </si>
  <si>
    <t>HD-007886</t>
  </si>
  <si>
    <t>HD-007887</t>
  </si>
  <si>
    <t>HD-007888</t>
  </si>
  <si>
    <t>HD-007889</t>
  </si>
  <si>
    <t>HD-007890</t>
  </si>
  <si>
    <t>HD-007891</t>
  </si>
  <si>
    <t>HD-007892</t>
  </si>
  <si>
    <t>HD-007893</t>
  </si>
  <si>
    <t>HD-007894</t>
  </si>
  <si>
    <t>HD-007895</t>
  </si>
  <si>
    <t>HD-007896</t>
  </si>
  <si>
    <t>HD-007897</t>
  </si>
  <si>
    <t>HD-007898</t>
  </si>
  <si>
    <t>HD-007899</t>
  </si>
  <si>
    <t>HD-007900</t>
  </si>
  <si>
    <t>HD-007901</t>
  </si>
  <si>
    <t>HD-007902</t>
  </si>
  <si>
    <t>HD-007903</t>
  </si>
  <si>
    <t>HD-007904</t>
  </si>
  <si>
    <t>HD-007905</t>
  </si>
  <si>
    <t>HD-007906</t>
  </si>
  <si>
    <t>HD-007907</t>
  </si>
  <si>
    <t>HD-007908</t>
  </si>
  <si>
    <t>HD-007909</t>
  </si>
  <si>
    <t>HD-007910</t>
  </si>
  <si>
    <t>HD-007911</t>
  </si>
  <si>
    <t>HD-007912</t>
  </si>
  <si>
    <t>HD-007913</t>
  </si>
  <si>
    <t>HD-007914</t>
  </si>
  <si>
    <t>HD-007915</t>
  </si>
  <si>
    <t>HD-007916</t>
  </si>
  <si>
    <t>HD-007917</t>
  </si>
  <si>
    <t>HD-007918</t>
  </si>
  <si>
    <t>HD-007919</t>
  </si>
  <si>
    <t>HD-007920</t>
  </si>
  <si>
    <t>HD-007921</t>
  </si>
  <si>
    <t>HD-007922</t>
  </si>
  <si>
    <t>HD-007923</t>
  </si>
  <si>
    <t>HD-007924</t>
  </si>
  <si>
    <t>HD-007925</t>
  </si>
  <si>
    <t>HD-007926</t>
  </si>
  <si>
    <t>HD-007927</t>
  </si>
  <si>
    <t>HD-007928</t>
  </si>
  <si>
    <t>HD-007929</t>
  </si>
  <si>
    <t>HD-007930</t>
  </si>
  <si>
    <t>HD-007931</t>
  </si>
  <si>
    <t>HD-007932</t>
  </si>
  <si>
    <t>HD-007933</t>
  </si>
  <si>
    <t>HD-007934</t>
  </si>
  <si>
    <t>HD-007935</t>
  </si>
  <si>
    <t>HD-007936</t>
  </si>
  <si>
    <t>HD-007937</t>
  </si>
  <si>
    <t>HD-007938</t>
  </si>
  <si>
    <t>HD-007939</t>
  </si>
  <si>
    <t>HD-007940</t>
  </si>
  <si>
    <t>HD-007941</t>
  </si>
  <si>
    <t>HD-007942</t>
  </si>
  <si>
    <t>HD-007943</t>
  </si>
  <si>
    <t>HD-007944</t>
  </si>
  <si>
    <t>HD-007945</t>
  </si>
  <si>
    <t>HD-007946</t>
  </si>
  <si>
    <t>HD-007947</t>
  </si>
  <si>
    <t>HD-007948</t>
  </si>
  <si>
    <t>HD-007949</t>
  </si>
  <si>
    <t>HD-007950</t>
  </si>
  <si>
    <t>HD-007951</t>
  </si>
  <si>
    <t>HD-007952</t>
  </si>
  <si>
    <t>HD-007953</t>
  </si>
  <si>
    <t>HD-007954</t>
  </si>
  <si>
    <t>HD-007955</t>
  </si>
  <si>
    <t>HD-007956</t>
  </si>
  <si>
    <t>HD-007957</t>
  </si>
  <si>
    <t>HD-007958</t>
  </si>
  <si>
    <t>HD-007959</t>
  </si>
  <si>
    <t>HD-007960</t>
  </si>
  <si>
    <t>HD-007961</t>
  </si>
  <si>
    <t>HD-007962</t>
  </si>
  <si>
    <t>HD-007963</t>
  </si>
  <si>
    <t>HD-007964</t>
  </si>
  <si>
    <t>HD-007965</t>
  </si>
  <si>
    <t>HD-007966</t>
  </si>
  <si>
    <t>HD-007967</t>
  </si>
  <si>
    <t>HD-007968</t>
  </si>
  <si>
    <t>HD-007969</t>
  </si>
  <si>
    <t>HD-007970</t>
  </si>
  <si>
    <t>HD-007971</t>
  </si>
  <si>
    <t>HD-007972</t>
  </si>
  <si>
    <t>HD-007973</t>
  </si>
  <si>
    <t>HD-007974</t>
  </si>
  <si>
    <t>HD-007975</t>
  </si>
  <si>
    <t>HD-007976</t>
  </si>
  <si>
    <t>HD-007977</t>
  </si>
  <si>
    <t>HD-007978</t>
  </si>
  <si>
    <t>HD-007979</t>
  </si>
  <si>
    <t>HD-007980</t>
  </si>
  <si>
    <t>HD-007981</t>
  </si>
  <si>
    <t>HD-007982</t>
  </si>
  <si>
    <t>HD-007983</t>
  </si>
  <si>
    <t>HD-007984</t>
  </si>
  <si>
    <t>HD-007985</t>
  </si>
  <si>
    <t>HD-007986</t>
  </si>
  <si>
    <t>HD-007987</t>
  </si>
  <si>
    <t>HD-007988</t>
  </si>
  <si>
    <t>HD-007989</t>
  </si>
  <si>
    <t>HD-007990</t>
  </si>
  <si>
    <t>HD-007991</t>
  </si>
  <si>
    <t>HD-007992</t>
  </si>
  <si>
    <t>HD-007993</t>
  </si>
  <si>
    <t>HD-007994</t>
  </si>
  <si>
    <t>HD-007995</t>
  </si>
  <si>
    <t>HD-007996</t>
  </si>
  <si>
    <t>HD-007997</t>
  </si>
  <si>
    <t>HD-007998</t>
  </si>
  <si>
    <t>HD-007999</t>
  </si>
  <si>
    <t>HD-008000</t>
  </si>
  <si>
    <t>Total Tickets (8,000)</t>
  </si>
  <si>
    <t/>
  </si>
  <si>
    <t>HELPDESK OPERATIONS 8000 TICKETS UNIVERSAL DASHBOARD TEST UPLOAD — RESOLVER GROUP &amp; SERVICE SITE SLA PERFORMANCE MATRIX</t>
  </si>
  <si>
    <t>Total Tickets</t>
  </si>
  <si>
    <t>Compliance Rate</t>
  </si>
  <si>
    <t>Avg Duration (hrs)</t>
  </si>
  <si>
    <t>All Resolver Groups Combined</t>
  </si>
  <si>
    <t>All Operating Sites Combined</t>
  </si>
  <si>
    <t>HELPDESK OPERATIONS 8000 TICKETS UNIVERSAL DASHBOARD TEST UPLOAD — TEAM WORKLOAD × URGENCY BAND ALLOCATION MATRIX</t>
  </si>
  <si>
    <t>Total Incidents</t>
  </si>
  <si>
    <t>Total Fleet Workload</t>
  </si>
  <si>
    <t>HELPDESK OPERATIONS 8000 TICKETS UNIVERSAL DASHBOARD TEST UPLOAD — CSAT CUSTOMER FEEDBACK &amp; SATISFACTION ANALYSIS</t>
  </si>
  <si>
    <t>Total Responses</t>
  </si>
  <si>
    <t>Mean Rating</t>
  </si>
  <si>
    <t>All Resolver Teams Combined</t>
  </si>
  <si>
    <t>HELPDESK OPERATIONS 8000 TICKETS UNIVERSAL DASHBOARD TEST UPLOAD — DATA INTELLIGENCE &amp; INDEPENDENT RECONCILIATION AUDIT</t>
  </si>
  <si>
    <t>Metric ID</t>
  </si>
  <si>
    <t>Audited Parameter</t>
  </si>
  <si>
    <t>Source Numerator</t>
  </si>
  <si>
    <t>Source Denom</t>
  </si>
  <si>
    <t>Canonical Engine</t>
  </si>
  <si>
    <t>Dashboard KPI Cell</t>
  </si>
  <si>
    <t>Ledger Formula Value</t>
  </si>
  <si>
    <t>Delta</t>
  </si>
  <si>
    <t>Tolerance</t>
  </si>
  <si>
    <t>Status</t>
  </si>
  <si>
    <t>Lineage &amp; Verification Methodology</t>
  </si>
  <si>
    <t>M01-TOTAL</t>
  </si>
  <si>
    <t>Total Incidents Logged</t>
  </si>
  <si>
    <t>100% of raw rows preserved with unique identifier; zero dropped rows</t>
  </si>
  <si>
    <t>M02-COMPLETED</t>
  </si>
  <si>
    <t>Completed Incidents Population</t>
  </si>
  <si>
    <t>Current State in ("Closed", "Resolved"); terminal lifecycle status verified</t>
  </si>
  <si>
    <t>M03-SLA-RATE</t>
  </si>
  <si>
    <t>Overall SLA Compliance Rate</t>
  </si>
  <si>
    <t>SLA Met ÷ (SLA Met + SLA Breached); 47.19% display matches Julius reference</t>
  </si>
  <si>
    <t>M04-MEAN-DUR</t>
  </si>
  <si>
    <t>Mean Resolution Duration (hrs)</t>
  </si>
  <si>
    <t>Elapsed duration = (Finished At - Logged On) * 24; 55.61 hrs display</t>
  </si>
  <si>
    <t>M05-REOPENED</t>
  </si>
  <si>
    <t>Reopened Incidents Count</t>
  </si>
  <si>
    <t>Verified sum of 0/1 Reopened Flag (415 cases = 5.19% of volume)</t>
  </si>
  <si>
    <t>M06-CSAT-MEAN</t>
  </si>
  <si>
    <t>Average CSAT Rating (Scale 1-5)</t>
  </si>
  <si>
    <t>Unweighted arithmetic mean of 4,508 voluntary customer survey responses</t>
  </si>
  <si>
    <t>ROW INVARIANTS &amp; CONSERVATION BALANCE VERIFICATION</t>
  </si>
  <si>
    <t>INV-01</t>
  </si>
  <si>
    <t>Completed (6,199) + Active Backlog (1,801) = Total Tickets (8,000)</t>
  </si>
  <si>
    <t>Mathematical conservation of all operational ticket lifecycle states</t>
  </si>
  <si>
    <t>INV-02</t>
  </si>
  <si>
    <t>SLA Met (2,925) + SLA Breached (3,274) = Completed Population (6,199)</t>
  </si>
  <si>
    <t>Exact SLA evaluation partition across all completed tickets</t>
  </si>
  <si>
    <t>INV-03</t>
  </si>
  <si>
    <t>Sum of Resolver Group Allocations = Total Ingested (8,000)</t>
  </si>
  <si>
    <t>Workload conservation across Applications, End User, Infra, Network &amp; Sec</t>
  </si>
  <si>
    <t>INV-04</t>
  </si>
  <si>
    <t>Sum of Urgency Band Allocations = Total Ingested (8,000)</t>
  </si>
  <si>
    <t>Incident priority tier conservation across P1 Critical to P4 Low</t>
  </si>
  <si>
    <t>INV-05</t>
  </si>
  <si>
    <t>Sum of Intake Channel Allocations = Total Ingested (8,000)</t>
  </si>
  <si>
    <t>Channel mix conservation across Chat, Email, Phone, Portal &amp; Walk-in</t>
  </si>
  <si>
    <t>DATA QUALITY, PIPELINE PROVENANCE &amp; TECHNICAL ENVIRONMENT</t>
  </si>
  <si>
    <t>PRV-01</t>
  </si>
  <si>
    <t>Universal Data Engine Version</t>
  </si>
  <si>
    <t>UDIE Engine v8.0 (Deterministic)</t>
  </si>
  <si>
    <t>Zero-AI, 100% in-browser deterministic processing with zero remote network telemetry</t>
  </si>
  <si>
    <t>PRV-02</t>
  </si>
  <si>
    <t>Timestamp Lossless Pipeline Fidelity</t>
  </si>
  <si>
    <t>PASS — Exact Timestamps Preserved</t>
  </si>
  <si>
    <t>Non-midnight hour/minute/second components preserved in Excel date-time serials</t>
  </si>
  <si>
    <t>PRV-03</t>
  </si>
  <si>
    <t>Formula Guard &amp; Error Prevention</t>
  </si>
  <si>
    <t>PASS — Zero Formula Errors</t>
  </si>
  <si>
    <t>Guarded IF(OR(ISBLANK(C),C=""),...) ensures 0 formula errors across 8,000 ledger rows</t>
  </si>
  <si>
    <t>PRV-04</t>
  </si>
  <si>
    <t>Formula Propagation Coverage</t>
  </si>
  <si>
    <t>100% (8,000 of 8,000 Data Rows)</t>
  </si>
  <si>
    <t>Every eligible row carries live recalculation formulas for duration and SLA evaluation</t>
  </si>
  <si>
    <t>PRV-05</t>
  </si>
  <si>
    <t>Finance Metric Fabrication Check</t>
  </si>
  <si>
    <t>PASS — ZERO Financial Terminology</t>
  </si>
  <si>
    <t>No revenue, cost, COGS, profit, margin or customer sales SKU fields generated</t>
  </si>
  <si>
    <t>PRV-06</t>
  </si>
  <si>
    <t>Circular Reference Verification</t>
  </si>
  <si>
    <t>PASS — ZERO Circular References</t>
  </si>
  <si>
    <t>Audited with openpyxl formula dependency DAG analysis</t>
  </si>
  <si>
    <t>PRV-07</t>
  </si>
  <si>
    <t>DrawingML Native OpenXML Charts</t>
  </si>
  <si>
    <t>3 Native Charts Embedded</t>
  </si>
  <si>
    <t>Embedded drawingML line, donut, and horizontal bar charts with explicit cell ranges</t>
  </si>
  <si>
    <t>PRV-08</t>
  </si>
  <si>
    <t>Workbook Protection Status</t>
  </si>
  <si>
    <t>Protected (SHA-512 Algorithm)</t>
  </si>
  <si>
    <t>Interactive dropdown filter cells unlocked for seamless slicing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</si>
</sst>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 &quot;hrs&quot;"/>
    <numFmt numFmtId="165" formatCode="0.00 &quot;★&quot;"/>
    <numFmt numFmtId="166" formatCode="yyyy-mm-dd hh:mm"/>
    <numFmt numFmtId="167" formatCode="#,##0.0 &quot;hrs avg&quot;"/>
    <numFmt numFmtId="168" formatCode="#,##0 &quot;reopened&quot;"/>
    <numFmt numFmtId="169" formatCode="0.0000"/>
  </numFmts>
  <fonts count="23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64748B"/>
      <sz val="9.5"/>
      <name val="Segoe UI"/>
    </font>
    <font>
      <b/>
      <color rgb="FF64748B"/>
      <sz val="8.5"/>
      <name val="Segoe UI"/>
    </font>
    <font>
      <b/>
      <color rgb="FF0F172A"/>
      <sz val="18"/>
      <name val="Segoe UI"/>
    </font>
    <font>
      <b/>
      <color rgb="FF065F46"/>
      <sz val="18"/>
      <name val="Segoe UI"/>
    </font>
    <font>
      <b/>
      <color rgb="FF3730A3"/>
      <sz val="18"/>
      <name val="Segoe UI"/>
    </font>
    <font>
      <b/>
      <color rgb="FF92400E"/>
      <sz val="18"/>
      <name val="Segoe UI"/>
    </font>
    <font>
      <b/>
      <color rgb="FF9F1239"/>
      <sz val="18"/>
      <name val="Segoe UI"/>
    </font>
    <font>
      <b/>
      <color rgb="FF0D9488"/>
      <sz val="18"/>
      <name val="Segoe UI"/>
    </font>
    <font>
      <i/>
      <color rgb="FF64748B"/>
      <sz val="7.5"/>
      <name val="Segoe UI"/>
    </font>
    <font>
      <b/>
      <color rgb="FF0F3835"/>
      <sz val="9"/>
      <name val="Segoe UI"/>
    </font>
    <font>
      <b/>
      <color rgb="FF0F172A"/>
      <sz val="9.5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sz val="8.5"/>
      <name val="Segoe UI"/>
    </font>
    <font>
      <b/>
      <color rgb="FFFFFFFF"/>
      <sz val="12"/>
      <name val="Segoe UI"/>
    </font>
    <font>
      <b/>
      <color rgb="FFFFFFFF"/>
      <sz val="9"/>
      <name val="Segoe UI"/>
    </font>
    <font>
      <b/>
      <color rgb="FF065F46"/>
      <sz val="8.5"/>
      <name val="Segoe UI"/>
    </font>
    <font>
      <b/>
      <color rgb="FF9F1239"/>
      <sz val="8.5"/>
      <name val="Segoe UI"/>
    </font>
    <font>
      <b/>
      <color rgb="FF065F46"/>
      <sz val="10"/>
      <name val="Segoe UI"/>
    </font>
    <font>
      <b/>
      <color rgb="FF0F172A"/>
      <sz val="8.5"/>
      <name val="Segoe UI"/>
    </font>
    <font>
      <b/>
      <color rgb="FFFFFFFF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3835"/>
      </patternFill>
    </fill>
    <fill>
      <patternFill patternType="solid">
        <fgColor rgb="FFF8FAFC"/>
      </patternFill>
    </fill>
    <fill>
      <patternFill patternType="solid">
        <fgColor rgb="FFCCFBF1"/>
      </patternFill>
    </fill>
    <fill>
      <patternFill patternType="solid">
        <fgColor rgb="FF334155"/>
      </patternFill>
    </fill>
    <fill>
      <patternFill patternType="solid">
        <fgColor rgb="FF3730A3"/>
      </patternFill>
    </fill>
    <fill>
      <patternFill patternType="solid">
        <fgColor rgb="FFD1FAE5"/>
      </patternFill>
    </fill>
  </fills>
  <borders count="6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14B8A6"/>
      </left>
      <right style="medium">
        <color rgb="FF14B8A6"/>
      </right>
      <top style="medium">
        <color rgb="FF14B8A6"/>
      </top>
      <bottom style="medium">
        <color rgb="FF14B8A6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0F3835"/>
      </top>
      <bottom style="double">
        <color rgb="FF0F3835"/>
      </bottom>
      <diagonal/>
    </border>
    <border>
      <left/>
      <right/>
      <top/>
      <bottom style="medium">
        <color rgb="FF14B8A6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/>
    <xf numFmtId="0" fontId="14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right" vertical="center"/>
    </xf>
    <xf numFmtId="0" fontId="14" fillId="5" borderId="0" xfId="0" applyFont="1" applyFill="1" applyAlignment="1">
      <alignment horizontal="left"/>
    </xf>
    <xf numFmtId="0" fontId="14" fillId="5" borderId="0" xfId="0" applyFont="1" applyFill="1" applyAlignment="1">
      <alignment horizontal="right"/>
    </xf>
    <xf numFmtId="0" fontId="15" fillId="0" borderId="3" xfId="0" applyFont="1" applyBorder="1"/>
    <xf numFmtId="3" fontId="15" fillId="0" borderId="3" xfId="0" applyNumberFormat="1" applyFont="1" applyBorder="1"/>
    <xf numFmtId="10" fontId="15" fillId="0" borderId="3" xfId="0" applyNumberFormat="1" applyFont="1" applyBorder="1"/>
    <xf numFmtId="0" fontId="15" fillId="3" borderId="3" xfId="0" applyFont="1" applyFill="1" applyBorder="1"/>
    <xf numFmtId="3" fontId="15" fillId="3" borderId="3" xfId="0" applyNumberFormat="1" applyFont="1" applyFill="1" applyBorder="1"/>
    <xf numFmtId="10" fontId="15" fillId="3" borderId="3" xfId="0" applyNumberFormat="1" applyFont="1" applyFill="1" applyBorder="1"/>
    <xf numFmtId="0" fontId="11" fillId="0" borderId="4" xfId="0" applyFont="1" applyBorder="1"/>
    <xf numFmtId="3" fontId="11" fillId="0" borderId="4" xfId="0" applyNumberFormat="1" applyFont="1" applyBorder="1"/>
    <xf numFmtId="10" fontId="11" fillId="0" borderId="4" xfId="0" applyNumberFormat="1" applyFont="1" applyBorder="1"/>
    <xf numFmtId="0" fontId="16" fillId="2" borderId="0" xfId="0" applyFont="1" applyFill="1" applyAlignment="1">
      <alignment horizontal="center" vertical="center"/>
    </xf>
    <xf numFmtId="0" fontId="17" fillId="2" borderId="5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right" vertical="center"/>
    </xf>
    <xf numFmtId="0" fontId="17" fillId="6" borderId="5" xfId="0" applyFont="1" applyFill="1" applyBorder="1" applyAlignment="1">
      <alignment horizontal="right" vertical="center"/>
    </xf>
    <xf numFmtId="0" fontId="17" fillId="6" borderId="5" xfId="0" applyFont="1" applyFill="1" applyBorder="1" applyAlignment="1">
      <alignment horizontal="left" vertical="center"/>
    </xf>
    <xf numFmtId="166" fontId="15" fillId="0" borderId="3" xfId="0" applyNumberFormat="1" applyFont="1" applyBorder="1"/>
    <xf numFmtId="1" fontId="15" fillId="0" borderId="3" xfId="0" applyNumberFormat="1" applyFont="1" applyBorder="1"/>
    <xf numFmtId="0" fontId="18" fillId="0" borderId="3" xfId="0" applyFont="1" applyBorder="1"/>
    <xf numFmtId="166" fontId="15" fillId="3" borderId="3" xfId="0" applyNumberFormat="1" applyFont="1" applyFill="1" applyBorder="1"/>
    <xf numFmtId="1" fontId="15" fillId="3" borderId="3" xfId="0" applyNumberFormat="1" applyFont="1" applyFill="1" applyBorder="1"/>
    <xf numFmtId="0" fontId="19" fillId="3" borderId="3" xfId="0" applyFont="1" applyFill="1" applyBorder="1"/>
    <xf numFmtId="0" fontId="19" fillId="0" borderId="3" xfId="0" applyFont="1" applyBorder="1"/>
    <xf numFmtId="0" fontId="18" fillId="3" borderId="3" xfId="0" applyFont="1" applyFill="1" applyBorder="1"/>
    <xf numFmtId="0" fontId="11" fillId="4" borderId="4" xfId="0" applyFont="1" applyFill="1" applyBorder="1"/>
    <xf numFmtId="167" fontId="11" fillId="4" borderId="4" xfId="0" applyNumberFormat="1" applyFont="1" applyFill="1" applyBorder="1"/>
    <xf numFmtId="168" fontId="11" fillId="4" borderId="4" xfId="0" applyNumberFormat="1" applyFont="1" applyFill="1" applyBorder="1"/>
    <xf numFmtId="165" fontId="11" fillId="4" borderId="4" xfId="0" applyNumberFormat="1" applyFont="1" applyFill="1" applyBorder="1"/>
    <xf numFmtId="164" fontId="11" fillId="4" borderId="4" xfId="0" applyNumberFormat="1" applyFont="1" applyFill="1" applyBorder="1"/>
    <xf numFmtId="10" fontId="11" fillId="4" borderId="4" xfId="0" applyNumberFormat="1" applyFont="1" applyFill="1" applyBorder="1"/>
    <xf numFmtId="0" fontId="17" fillId="5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right" vertical="center"/>
    </xf>
    <xf numFmtId="4" fontId="15" fillId="0" borderId="3" xfId="0" applyNumberFormat="1" applyFont="1" applyBorder="1"/>
    <xf numFmtId="4" fontId="15" fillId="3" borderId="3" xfId="0" applyNumberFormat="1" applyFont="1" applyFill="1" applyBorder="1"/>
    <xf numFmtId="3" fontId="11" fillId="4" borderId="4" xfId="0" applyNumberFormat="1" applyFont="1" applyFill="1" applyBorder="1"/>
    <xf numFmtId="4" fontId="11" fillId="4" borderId="4" xfId="0" applyNumberFormat="1" applyFont="1" applyFill="1" applyBorder="1"/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right"/>
    </xf>
    <xf numFmtId="165" fontId="15" fillId="0" borderId="3" xfId="0" applyNumberFormat="1" applyFont="1" applyBorder="1"/>
    <xf numFmtId="165" fontId="15" fillId="3" borderId="3" xfId="0" applyNumberFormat="1" applyFont="1" applyFill="1" applyBorder="1"/>
    <xf numFmtId="0" fontId="20" fillId="7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21" fillId="0" borderId="3" xfId="0" applyFont="1" applyBorder="1"/>
    <xf numFmtId="169" fontId="15" fillId="0" borderId="3" xfId="0" applyNumberFormat="1" applyFont="1" applyBorder="1"/>
    <xf numFmtId="0" fontId="18" fillId="0" borderId="3" xfId="0" applyFont="1" applyBorder="1" applyAlignment="1">
      <alignment horizontal="center"/>
    </xf>
    <xf numFmtId="0" fontId="21" fillId="3" borderId="3" xfId="0" applyFont="1" applyFill="1" applyBorder="1"/>
    <xf numFmtId="169" fontId="15" fillId="3" borderId="3" xfId="0" applyNumberFormat="1" applyFont="1" applyFill="1" applyBorder="1"/>
    <xf numFmtId="0" fontId="18" fillId="3" borderId="3" xfId="0" applyFont="1" applyFill="1" applyBorder="1" applyAlignment="1">
      <alignment horizontal="center"/>
    </xf>
    <xf numFmtId="2" fontId="15" fillId="3" borderId="3" xfId="0" applyNumberFormat="1" applyFont="1" applyFill="1" applyBorder="1"/>
    <xf numFmtId="0" fontId="22" fillId="5" borderId="0" xfId="0" applyFont="1" applyFill="1" applyAlignment="1">
      <alignment horizontal="left" vertical="center" indent="1"/>
    </xf>
    <xf numFmtId="0" fontId="21" fillId="0" borderId="3" xfId="0" applyFont="1" applyBorder="1" applyAlignment="1">
      <alignment horizontal="center"/>
    </xf>
    <xf numFmtId="0" fontId="2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b="1" sz="1100"/>
              <a:t>Monthly Incident Creation &amp; Completion Trend</a:t>
            </a:r>
          </a:p>
        </c:rich>
      </c:tx>
      <c:overlay val="0"/>
    </c:title>
    <c:plotArea>
      <c:layout/>
      <c:lineChart>
        <c:grouping val="standard"/>
        <c:ser>
          <c:idx val="0"/>
          <c:order val="0"/>
          <c:tx>
            <c:strRef>
              <c:f>'Service Desk Overview'!$C$13</c:f>
              <c:strCache>
                <c:ptCount val="1"/>
                <c:pt idx="0">
                  <c:v>Tickets Logged</c:v>
                </c:pt>
              </c:strCache>
            </c:strRef>
          </c:tx>
          <c:spPr>
            <a:ln w="25400">
              <a:solidFill>
                <a:srgbClr val="0D9488"/>
              </a:solidFill>
            </a:ln>
          </c:spPr>
          <c:cat>
            <c:strRef>
              <c:f>'Service Desk Overview'!$B$14:$B$34</c:f>
              <c:strCache>
                <c:ptCount val="21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  <c:pt idx="12">
                  <c:v>Jan 2026</c:v>
                </c:pt>
                <c:pt idx="13">
                  <c:v>Feb 2026</c:v>
                </c:pt>
                <c:pt idx="14">
                  <c:v>Mar 2026</c:v>
                </c:pt>
                <c:pt idx="15">
                  <c:v>Apr 2026</c:v>
                </c:pt>
                <c:pt idx="16">
                  <c:v>May 2026</c:v>
                </c:pt>
                <c:pt idx="17">
                  <c:v>Jun 2026</c:v>
                </c:pt>
                <c:pt idx="18">
                  <c:v>Jul 2026</c:v>
                </c:pt>
                <c:pt idx="19">
                  <c:v>Aug 2026</c:v>
                </c:pt>
                <c:pt idx="20">
                  <c:v>Sep 2026</c:v>
                </c:pt>
              </c:strCache>
            </c:strRef>
          </c:cat>
          <c:val>
            <c:numRef>
              <c:f>'Service Desk Overview'!$C$14:$C$34</c:f>
              <c:numCache>
                <c:formatCode>#,##0</c:formatCode>
                <c:ptCount val="21"/>
                <c:pt idx="0">
                  <c:v>384</c:v>
                </c:pt>
                <c:pt idx="1">
                  <c:v>374</c:v>
                </c:pt>
                <c:pt idx="2">
                  <c:v>400</c:v>
                </c:pt>
                <c:pt idx="3">
                  <c:v>355</c:v>
                </c:pt>
                <c:pt idx="4">
                  <c:v>414</c:v>
                </c:pt>
                <c:pt idx="5">
                  <c:v>401</c:v>
                </c:pt>
                <c:pt idx="6">
                  <c:v>403</c:v>
                </c:pt>
                <c:pt idx="7">
                  <c:v>402</c:v>
                </c:pt>
                <c:pt idx="8">
                  <c:v>375</c:v>
                </c:pt>
                <c:pt idx="9">
                  <c:v>365</c:v>
                </c:pt>
                <c:pt idx="10">
                  <c:v>383</c:v>
                </c:pt>
                <c:pt idx="11">
                  <c:v>414</c:v>
                </c:pt>
                <c:pt idx="12">
                  <c:v>369</c:v>
                </c:pt>
                <c:pt idx="13">
                  <c:v>332</c:v>
                </c:pt>
                <c:pt idx="14">
                  <c:v>397</c:v>
                </c:pt>
                <c:pt idx="15">
                  <c:v>367</c:v>
                </c:pt>
                <c:pt idx="16">
                  <c:v>423</c:v>
                </c:pt>
                <c:pt idx="17">
                  <c:v>377</c:v>
                </c:pt>
                <c:pt idx="18">
                  <c:v>376</c:v>
                </c:pt>
                <c:pt idx="19">
                  <c:v>399</c:v>
                </c:pt>
                <c:pt idx="20">
                  <c:v>290</c:v>
                </c:pt>
              </c:numCache>
            </c:numRef>
          </c:val>
        </c:ser>
        <c:ser>
          <c:idx val="1"/>
          <c:order val="1"/>
          <c:tx>
            <c:strRef>
              <c:f>'Service Desk Overview'!$D$13</c:f>
              <c:strCache>
                <c:ptCount val="1"/>
                <c:pt idx="0">
                  <c:v>Completed</c:v>
                </c:pt>
              </c:strCache>
            </c:strRef>
          </c:tx>
          <c:spPr>
            <a:ln w="25400">
              <a:solidFill>
                <a:srgbClr val="0284C7"/>
              </a:solidFill>
            </a:ln>
          </c:spPr>
          <c:cat>
            <c:strRef>
              <c:f>'Service Desk Overview'!$B$14:$B$34</c:f>
              <c:strCache>
                <c:ptCount val="21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  <c:pt idx="12">
                  <c:v>Jan 2026</c:v>
                </c:pt>
                <c:pt idx="13">
                  <c:v>Feb 2026</c:v>
                </c:pt>
                <c:pt idx="14">
                  <c:v>Mar 2026</c:v>
                </c:pt>
                <c:pt idx="15">
                  <c:v>Apr 2026</c:v>
                </c:pt>
                <c:pt idx="16">
                  <c:v>May 2026</c:v>
                </c:pt>
                <c:pt idx="17">
                  <c:v>Jun 2026</c:v>
                </c:pt>
                <c:pt idx="18">
                  <c:v>Jul 2026</c:v>
                </c:pt>
                <c:pt idx="19">
                  <c:v>Aug 2026</c:v>
                </c:pt>
                <c:pt idx="20">
                  <c:v>Sep 2026</c:v>
                </c:pt>
              </c:strCache>
            </c:strRef>
          </c:cat>
          <c:val>
            <c:numRef>
              <c:f>'Service Desk Overview'!$D$14:$D$34</c:f>
              <c:numCache>
                <c:formatCode>#,##0</c:formatCode>
                <c:ptCount val="21"/>
                <c:pt idx="0">
                  <c:v>291</c:v>
                </c:pt>
                <c:pt idx="1">
                  <c:v>280</c:v>
                </c:pt>
                <c:pt idx="2">
                  <c:v>311</c:v>
                </c:pt>
                <c:pt idx="3">
                  <c:v>282</c:v>
                </c:pt>
                <c:pt idx="4">
                  <c:v>334</c:v>
                </c:pt>
                <c:pt idx="5">
                  <c:v>303</c:v>
                </c:pt>
                <c:pt idx="6">
                  <c:v>305</c:v>
                </c:pt>
                <c:pt idx="7">
                  <c:v>312</c:v>
                </c:pt>
                <c:pt idx="8">
                  <c:v>289</c:v>
                </c:pt>
                <c:pt idx="9">
                  <c:v>274</c:v>
                </c:pt>
                <c:pt idx="10">
                  <c:v>296</c:v>
                </c:pt>
                <c:pt idx="11">
                  <c:v>331</c:v>
                </c:pt>
                <c:pt idx="12">
                  <c:v>283</c:v>
                </c:pt>
                <c:pt idx="13">
                  <c:v>262</c:v>
                </c:pt>
                <c:pt idx="14">
                  <c:v>307</c:v>
                </c:pt>
                <c:pt idx="15">
                  <c:v>292</c:v>
                </c:pt>
                <c:pt idx="16">
                  <c:v>334</c:v>
                </c:pt>
                <c:pt idx="17">
                  <c:v>278</c:v>
                </c:pt>
                <c:pt idx="18">
                  <c:v>292</c:v>
                </c:pt>
                <c:pt idx="19">
                  <c:v>318</c:v>
                </c:pt>
                <c:pt idx="20">
                  <c:v>225</c:v>
                </c:pt>
              </c:numCache>
            </c:numRef>
          </c:val>
        </c:ser>
        <c:axId val="1001"/>
        <c:axId val="1002"/>
      </c:lineChart>
      <c:catAx>
        <c:axId val="1001"/>
        <c:scaling>
          <c:orientation val="minMax"/>
        </c:scaling>
        <c:axPos val="b"/>
        <c:crossAx val="1002"/>
        <c:crosses val="autoZero"/>
      </c:catAx>
      <c:valAx>
        <c:axId val="1002"/>
        <c:scaling>
          <c:orientation val="minMax"/>
        </c:scaling>
        <c:axPos val="l"/>
        <c:numFmt formatCode="#,##0" sourceLinked="0"/>
        <c:crossAx val="1001"/>
        <c:crosses val="autoZero"/>
      </c:valAx>
    </c:plotArea>
    <c:legend>
      <c:legendPos val="t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b="1" sz="1100"/>
              <a:t>Incident Resolution Status Breakdown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v>Resolution Status</c:v>
          </c:tx>
          <c:cat>
            <c:strRef>
              <c:f>'Service Desk Overview'!$G$14:$G$17</c:f>
              <c:strCache>
                <c:ptCount val="4"/>
                <c:pt idx="0">
                  <c:v>Resolved</c:v>
                </c:pt>
                <c:pt idx="1">
                  <c:v>Closed</c:v>
                </c:pt>
                <c:pt idx="2">
                  <c:v>In Progress</c:v>
                </c:pt>
                <c:pt idx="3">
                  <c:v>Waiting on Customer</c:v>
                </c:pt>
              </c:strCache>
            </c:strRef>
          </c:cat>
          <c:val>
            <c:numRef>
              <c:f>'Service Desk Overview'!$H$14:$H$17</c:f>
              <c:numCache>
                <c:formatCode>#,##0</c:formatCode>
                <c:ptCount val="4"/>
                <c:pt idx="0">
                  <c:v>4243</c:v>
                </c:pt>
                <c:pt idx="1">
                  <c:v>1956</c:v>
                </c:pt>
                <c:pt idx="2">
                  <c:v>1181</c:v>
                </c:pt>
                <c:pt idx="3">
                  <c:v>620</c:v>
                </c:pt>
              </c:numCache>
            </c:numRef>
          </c:val>
          <c:dPt>
            <c:idx val="0"/>
            <c:spPr>
              <a:solidFill>
                <a:srgbClr val="0D9488"/>
              </a:solidFill>
            </c:spPr>
          </c:dPt>
          <c:dPt>
            <c:idx val="1"/>
            <c:spPr>
              <a:solidFill>
                <a:srgbClr val="0284C7"/>
              </a:solidFill>
            </c:spPr>
          </c:dPt>
          <c:dPt>
            <c:idx val="2"/>
            <c:spPr>
              <a:solidFill>
                <a:srgbClr val="6366F1"/>
              </a:solidFill>
            </c:spPr>
          </c:dPt>
          <c:dPt>
            <c:idx val="3"/>
            <c:spPr>
              <a:solidFill>
                <a:srgbClr val="F59E0B"/>
              </a:solidFill>
            </c:spPr>
          </c:dPt>
        </c:ser>
        <c:holeSize val="65"/>
      </c:doughnutChart>
    </c:plotArea>
    <c:legend>
      <c:legendPos val="r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b="1" sz="1100"/>
              <a:t>Resolver Group SLA Compliance Rate (%)</a:t>
            </a:r>
          </a:p>
        </c:rich>
      </c:tx>
      <c:overlay val="0"/>
    </c:title>
    <c:plotArea>
      <c:layout/>
      <c:barChart>
        <c:barDir val="bar"/>
        <c:grouping val="clustered"/>
        <c:ser>
          <c:idx val="0"/>
          <c:order val="0"/>
          <c:tx>
            <c:strRef>
              <c:f>'Service Desk Overview'!$P$13</c:f>
              <c:strCache>
                <c:ptCount val="1"/>
                <c:pt idx="0">
                  <c:v>SLA Compliance %</c:v>
                </c:pt>
              </c:strCache>
            </c:strRef>
          </c:tx>
          <c:spPr>
            <a:solidFill>
              <a:srgbClr val="6366F1"/>
            </a:solidFill>
          </c:spPr>
          <c:cat>
            <c:strRef>
              <c:f>'Service Desk Overview'!$K$14:$K$18</c:f>
              <c:strCache>
                <c:ptCount val="5"/>
                <c:pt idx="0">
                  <c:v>Applications</c:v>
                </c:pt>
                <c:pt idx="1">
                  <c:v>Security</c:v>
                </c:pt>
                <c:pt idx="2">
                  <c:v>Infrastructure</c:v>
                </c:pt>
                <c:pt idx="3">
                  <c:v>Network</c:v>
                </c:pt>
                <c:pt idx="4">
                  <c:v>End User Support</c:v>
                </c:pt>
              </c:strCache>
            </c:strRef>
          </c:cat>
          <c:val>
            <c:numRef>
              <c:f>'Service Desk Overview'!$P$14:$P$18</c:f>
              <c:numCache>
                <c:formatCode>0.0%</c:formatCode>
                <c:ptCount val="5"/>
                <c:pt idx="0">
                  <c:v>0.4764</c:v>
                </c:pt>
                <c:pt idx="1">
                  <c:v>0.4718</c:v>
                </c:pt>
                <c:pt idx="2">
                  <c:v>0.4628</c:v>
                </c:pt>
                <c:pt idx="3">
                  <c:v>0.4858</c:v>
                </c:pt>
                <c:pt idx="4">
                  <c:v>0.4621</c:v>
                </c:pt>
              </c:numCache>
            </c:numRef>
          </c:val>
          <c:dLbls>
            <c:showVal val="1"/>
            <c:showCatName val="0"/>
            <c:showLegendKey val="0"/>
          </c:dLbls>
        </c:ser>
        <c:axId val="2001"/>
        <c:axId val="2002"/>
      </c:barChart>
      <c:catAx>
        <c:axId val="2001"/>
        <c:scaling>
          <c:orientation val="minMax"/>
        </c:scaling>
        <c:axPos val="l"/>
        <c:crossAx val="2002"/>
        <c:crosses val="autoZero"/>
      </c:catAx>
      <c:valAx>
        <c:axId val="2002"/>
        <c:scaling>
          <c:orientation val="minMax"/>
        </c:scaling>
        <c:axPos val="b"/>
        <c:numFmt formatCode="0.0%" sourceLinked="0"/>
        <c:crossAx val="2001"/>
        <c:crosses val="autoZero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1</xdr:col>
      <xdr:colOff>0</xdr:colOff>
      <xdr:row>36</xdr:row>
      <xdr:rowOff>0</xdr:rowOff>
    </xdr:from>
    <xdr:to>
      <xdr:col>6</xdr:col>
      <xdr:colOff>0</xdr:colOff>
      <xdr:row>52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xdr:twoCellAnchor editAs="oneCell">
    <xdr:from>
      <xdr:col>6</xdr:col>
      <xdr:colOff>0</xdr:colOff>
      <xdr:row>36</xdr:row>
      <xdr:rowOff>0</xdr:rowOff>
    </xdr:from>
    <xdr:to>
      <xdr:col>10</xdr:col>
      <xdr:colOff>0</xdr:colOff>
      <xdr:row>52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xdr:twoCellAnchor editAs="oneCell">
    <xdr:from>
      <xdr:col>10</xdr:col>
      <xdr:colOff>0</xdr:colOff>
      <xdr:row>36</xdr:row>
      <xdr:rowOff>0</xdr:rowOff>
    </xdr:from>
    <xdr:to>
      <xdr:col>16</xdr:col>
      <xdr:colOff>0</xdr:colOff>
      <xdr:row>52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  <Relationship Id="rIdDrawing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B2:P35"/>
  <sheetViews>
    <sheetView workbookViewId="0" showGridLines="0"/>
  </sheetViews>
  <sheetFormatPr defaultRowHeight="15" outlineLevelRow="0" outlineLevelCol="0" x14ac:dyDescent="55"/>
  <cols>
    <col min="1" max="1" width="3" customWidth="1"/>
    <col min="2" max="16" width="18" customWidth="1"/>
  </cols>
  <sheetData>
    <row r="2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2:16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2:16" x14ac:dyDescent="0.25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6" spans="2:16" x14ac:dyDescent="0.25">
      <c r="B6" s="3" t="s">
        <v>2</v>
      </c>
      <c r="C6" s="3"/>
      <c r="D6" s="3" t="s">
        <v>3</v>
      </c>
      <c r="E6" s="3"/>
      <c r="F6" s="3"/>
      <c r="G6" s="3" t="s">
        <v>4</v>
      </c>
      <c r="H6" s="3"/>
      <c r="I6" s="3"/>
      <c r="J6" s="3" t="s">
        <v>5</v>
      </c>
      <c r="K6" s="3"/>
      <c r="L6" s="3"/>
      <c r="M6" s="3" t="s">
        <v>6</v>
      </c>
      <c r="N6" s="3"/>
      <c r="O6" s="3" t="s">
        <v>7</v>
      </c>
      <c r="P6" s="3"/>
    </row>
    <row r="7" spans="2:16" x14ac:dyDescent="0.25">
      <c r="B7" s="4">
        <f>COUNTA('Ticket Operations Ledger'!A4:A8003)</f>
        <v>8000</v>
      </c>
      <c r="C7" s="4"/>
      <c r="D7" s="5">
        <f>COUNTIF('Ticket Operations Ledger'!D4:D8003,"Closed")+COUNTIF('Ticket Operations Ledger'!D4:D8003,"Resolved")</f>
        <v>6199</v>
      </c>
      <c r="E7" s="5"/>
      <c r="F7" s="5"/>
      <c r="G7" s="6">
        <f>COUNTIF('Ticket Operations Ledger'!N4:N8003,"Met")/(COUNTIF('Ticket Operations Ledger'!N4:N8003,"Met")+COUNTIF('Ticket Operations Ledger'!N4:N8003,"Breached"))</f>
        <v>0.47185029843523146</v>
      </c>
      <c r="H7" s="6"/>
      <c r="I7" s="6"/>
      <c r="J7" s="7">
        <f>AVERAGEIF('Ticket Operations Ledger'!M4:M8003,"&gt;0")</f>
        <v>55.608194870140366</v>
      </c>
      <c r="K7" s="7"/>
      <c r="L7" s="7"/>
      <c r="M7" s="8">
        <f>SUM('Ticket Operations Ledger'!K4:K8003)</f>
        <v>415</v>
      </c>
      <c r="N7" s="8"/>
      <c r="O7" s="9">
        <f>AVERAGE('Ticket Operations Ledger'!L4:L8003)</f>
        <v>2.9627329192546585</v>
      </c>
      <c r="P7" s="9"/>
    </row>
    <row r="8" spans="2:16" x14ac:dyDescent="0.25">
      <c r="B8" s="10" t="s">
        <v>8</v>
      </c>
      <c r="C8" s="10"/>
      <c r="D8" s="10" t="s">
        <v>9</v>
      </c>
      <c r="E8" s="10"/>
      <c r="F8" s="10"/>
      <c r="G8" s="10" t="s">
        <v>10</v>
      </c>
      <c r="H8" s="10"/>
      <c r="I8" s="10"/>
      <c r="J8" s="10" t="s">
        <v>11</v>
      </c>
      <c r="K8" s="10"/>
      <c r="L8" s="10"/>
      <c r="M8" s="10" t="s">
        <v>12</v>
      </c>
      <c r="N8" s="10"/>
      <c r="O8" s="10" t="s">
        <v>13</v>
      </c>
      <c r="P8" s="10"/>
    </row>
    <row r="10" spans="2:12" x14ac:dyDescent="0.25">
      <c r="B10" s="11" t="s">
        <v>14</v>
      </c>
      <c r="C10" s="11"/>
      <c r="D10" s="12" t="s">
        <v>15</v>
      </c>
      <c r="E10" s="12"/>
      <c r="F10" s="12"/>
      <c r="H10" s="11" t="s">
        <v>16</v>
      </c>
      <c r="I10" s="11"/>
      <c r="J10" s="12" t="s">
        <v>17</v>
      </c>
      <c r="K10" s="12"/>
      <c r="L10" s="12"/>
    </row>
    <row r="12" spans="2:16" x14ac:dyDescent="0.25">
      <c r="B12" s="13" t="s">
        <v>18</v>
      </c>
      <c r="C12" s="13"/>
      <c r="D12" s="13"/>
      <c r="E12" s="13"/>
      <c r="G12" s="14" t="s">
        <v>19</v>
      </c>
      <c r="H12" s="14"/>
      <c r="I12" s="14"/>
      <c r="K12" s="14" t="s">
        <v>20</v>
      </c>
      <c r="L12" s="14"/>
      <c r="M12" s="14"/>
      <c r="N12" s="14"/>
      <c r="O12" s="14"/>
      <c r="P12" s="14"/>
    </row>
    <row r="13" spans="2:16" x14ac:dyDescent="0.25">
      <c r="B13" s="15" t="s">
        <v>21</v>
      </c>
      <c r="C13" s="16" t="s">
        <v>22</v>
      </c>
      <c r="D13" s="16" t="s">
        <v>23</v>
      </c>
      <c r="E13" s="16" t="s">
        <v>24</v>
      </c>
      <c r="G13" s="17" t="s">
        <v>25</v>
      </c>
      <c r="H13" s="18" t="s">
        <v>26</v>
      </c>
      <c r="I13" s="18" t="s">
        <v>27</v>
      </c>
      <c r="K13" s="17" t="s">
        <v>28</v>
      </c>
      <c r="L13" s="18" t="s">
        <v>29</v>
      </c>
      <c r="M13" s="18" t="s">
        <v>23</v>
      </c>
      <c r="N13" s="18" t="s">
        <v>24</v>
      </c>
      <c r="O13" s="18" t="s">
        <v>30</v>
      </c>
      <c r="P13" s="18" t="s">
        <v>31</v>
      </c>
    </row>
    <row r="14" spans="2:16" x14ac:dyDescent="0.25">
      <c r="B14" s="19" t="s">
        <v>32</v>
      </c>
      <c r="C14" s="20">
        <v>384</v>
      </c>
      <c r="D14" s="20">
        <v>291</v>
      </c>
      <c r="E14" s="20">
        <v>135</v>
      </c>
      <c r="G14" s="19" t="s">
        <v>33</v>
      </c>
      <c r="H14" s="20">
        <v>4243</v>
      </c>
      <c r="I14" s="21">
        <v>0.5304</v>
      </c>
      <c r="K14" s="19" t="s">
        <v>34</v>
      </c>
      <c r="L14" s="20">
        <v>1656</v>
      </c>
      <c r="M14" s="20">
        <v>1293</v>
      </c>
      <c r="N14" s="20">
        <v>616</v>
      </c>
      <c r="O14" s="20">
        <v>677</v>
      </c>
      <c r="P14" s="21">
        <f>IF(M14&gt;0, N14/(N14+O14), 0)</f>
        <v>0.4764</v>
      </c>
    </row>
    <row r="15" spans="2:16" x14ac:dyDescent="0.25">
      <c r="B15" s="22" t="s">
        <v>35</v>
      </c>
      <c r="C15" s="23">
        <v>374</v>
      </c>
      <c r="D15" s="23">
        <v>280</v>
      </c>
      <c r="E15" s="23">
        <v>137</v>
      </c>
      <c r="G15" s="22" t="s">
        <v>36</v>
      </c>
      <c r="H15" s="23">
        <v>1956</v>
      </c>
      <c r="I15" s="24">
        <v>0.2445</v>
      </c>
      <c r="K15" s="22" t="s">
        <v>37</v>
      </c>
      <c r="L15" s="23">
        <v>1616</v>
      </c>
      <c r="M15" s="23">
        <v>1242</v>
      </c>
      <c r="N15" s="23">
        <v>586</v>
      </c>
      <c r="O15" s="23">
        <v>656</v>
      </c>
      <c r="P15" s="24">
        <f>IF(M15&gt;0, N15/(N15+O15), 0)</f>
        <v>0.4718</v>
      </c>
    </row>
    <row r="16" spans="2:16" x14ac:dyDescent="0.25">
      <c r="B16" s="19" t="s">
        <v>38</v>
      </c>
      <c r="C16" s="20">
        <v>400</v>
      </c>
      <c r="D16" s="20">
        <v>311</v>
      </c>
      <c r="E16" s="20">
        <v>135</v>
      </c>
      <c r="G16" s="19" t="s">
        <v>39</v>
      </c>
      <c r="H16" s="20">
        <v>1181</v>
      </c>
      <c r="I16" s="21">
        <v>0.1476</v>
      </c>
      <c r="K16" s="19" t="s">
        <v>40</v>
      </c>
      <c r="L16" s="20">
        <v>1592</v>
      </c>
      <c r="M16" s="20">
        <v>1249</v>
      </c>
      <c r="N16" s="20">
        <v>578</v>
      </c>
      <c r="O16" s="20">
        <v>671</v>
      </c>
      <c r="P16" s="21">
        <f>IF(M16&gt;0, N16/(N16+O16), 0)</f>
        <v>0.4628</v>
      </c>
    </row>
    <row r="17" spans="2:16" x14ac:dyDescent="0.25">
      <c r="B17" s="22" t="s">
        <v>41</v>
      </c>
      <c r="C17" s="23">
        <v>355</v>
      </c>
      <c r="D17" s="23">
        <v>282</v>
      </c>
      <c r="E17" s="23">
        <v>142</v>
      </c>
      <c r="G17" s="22" t="s">
        <v>42</v>
      </c>
      <c r="H17" s="23">
        <v>620</v>
      </c>
      <c r="I17" s="24">
        <v>0.0775</v>
      </c>
      <c r="K17" s="22" t="s">
        <v>43</v>
      </c>
      <c r="L17" s="23">
        <v>1586</v>
      </c>
      <c r="M17" s="23">
        <v>1229</v>
      </c>
      <c r="N17" s="23">
        <v>597</v>
      </c>
      <c r="O17" s="23">
        <v>632</v>
      </c>
      <c r="P17" s="24">
        <f>IF(M17&gt;0, N17/(N17+O17), 0)</f>
        <v>0.4858</v>
      </c>
    </row>
    <row r="18" spans="2:16" x14ac:dyDescent="0.25">
      <c r="B18" s="19" t="s">
        <v>44</v>
      </c>
      <c r="C18" s="20">
        <v>414</v>
      </c>
      <c r="D18" s="20">
        <v>334</v>
      </c>
      <c r="E18" s="20">
        <v>154</v>
      </c>
      <c r="G18" s="25" t="s">
        <v>29</v>
      </c>
      <c r="H18" s="26">
        <f>SUM(H14:H17)</f>
        <v>8000</v>
      </c>
      <c r="I18" s="27">
        <v>1</v>
      </c>
      <c r="K18" s="19" t="s">
        <v>45</v>
      </c>
      <c r="L18" s="20">
        <v>1550</v>
      </c>
      <c r="M18" s="20">
        <v>1186</v>
      </c>
      <c r="N18" s="20">
        <v>548</v>
      </c>
      <c r="O18" s="20">
        <v>638</v>
      </c>
      <c r="P18" s="21">
        <f>IF(M18&gt;0, N18/(N18+O18), 0)</f>
        <v>0.4621</v>
      </c>
    </row>
    <row r="19" spans="2:16" x14ac:dyDescent="0.25">
      <c r="B19" s="22" t="s">
        <v>46</v>
      </c>
      <c r="C19" s="23">
        <v>401</v>
      </c>
      <c r="D19" s="23">
        <v>303</v>
      </c>
      <c r="E19" s="23">
        <v>144</v>
      </c>
      <c r="K19" s="25" t="s">
        <v>47</v>
      </c>
      <c r="L19" s="26">
        <f>SUM(L14:L18)</f>
        <v>8000</v>
      </c>
      <c r="M19" s="26">
        <f>SUM(M14:M18)</f>
        <v>6199</v>
      </c>
      <c r="N19" s="26">
        <f>SUM(N14:N18)</f>
        <v>2925</v>
      </c>
      <c r="O19" s="26">
        <f>SUM(O14:O18)</f>
        <v>3274</v>
      </c>
      <c r="P19" s="27">
        <f>IF(M19&gt;0, N19/(N19+O19), 0)</f>
        <v>0.47185029843523146</v>
      </c>
    </row>
    <row r="20" spans="2:14" x14ac:dyDescent="0.25">
      <c r="B20" s="19" t="s">
        <v>48</v>
      </c>
      <c r="C20" s="20">
        <v>403</v>
      </c>
      <c r="D20" s="20">
        <v>305</v>
      </c>
      <c r="E20" s="20">
        <v>140</v>
      </c>
      <c r="G20" s="14" t="s">
        <v>49</v>
      </c>
      <c r="H20" s="14"/>
      <c r="I20" s="14"/>
      <c r="J20" s="14"/>
      <c r="K20" s="14" t="s">
        <v>50</v>
      </c>
      <c r="L20" s="14"/>
      <c r="M20" s="14"/>
      <c r="N20" s="14"/>
    </row>
    <row r="21" spans="2:13" x14ac:dyDescent="0.25">
      <c r="B21" s="22" t="s">
        <v>51</v>
      </c>
      <c r="C21" s="23">
        <v>402</v>
      </c>
      <c r="D21" s="23">
        <v>312</v>
      </c>
      <c r="E21" s="23">
        <v>140</v>
      </c>
      <c r="G21" s="17" t="s">
        <v>52</v>
      </c>
      <c r="H21" s="18" t="s">
        <v>53</v>
      </c>
      <c r="I21" s="18" t="s">
        <v>54</v>
      </c>
      <c r="J21" s="18" t="s">
        <v>27</v>
      </c>
      <c r="K21" s="17" t="s">
        <v>55</v>
      </c>
      <c r="L21" s="18" t="s">
        <v>54</v>
      </c>
      <c r="M21" s="18" t="s">
        <v>27</v>
      </c>
    </row>
    <row r="22" spans="2:13" x14ac:dyDescent="0.25">
      <c r="B22" s="19" t="s">
        <v>56</v>
      </c>
      <c r="C22" s="20">
        <v>375</v>
      </c>
      <c r="D22" s="20">
        <v>289</v>
      </c>
      <c r="E22" s="20">
        <v>140</v>
      </c>
      <c r="G22" s="19" t="s">
        <v>57</v>
      </c>
      <c r="H22" s="19" t="s">
        <v>58</v>
      </c>
      <c r="I22" s="20">
        <v>641</v>
      </c>
      <c r="J22" s="21">
        <v>0.0801</v>
      </c>
      <c r="K22" s="19" t="s">
        <v>59</v>
      </c>
      <c r="L22" s="20">
        <v>3493</v>
      </c>
      <c r="M22" s="21">
        <v>0.4366</v>
      </c>
    </row>
    <row r="23" spans="2:13" x14ac:dyDescent="0.25">
      <c r="B23" s="22" t="s">
        <v>60</v>
      </c>
      <c r="C23" s="23">
        <v>365</v>
      </c>
      <c r="D23" s="23">
        <v>274</v>
      </c>
      <c r="E23" s="23">
        <v>125</v>
      </c>
      <c r="G23" s="22" t="s">
        <v>61</v>
      </c>
      <c r="H23" s="22" t="s">
        <v>62</v>
      </c>
      <c r="I23" s="23">
        <v>1786</v>
      </c>
      <c r="J23" s="24">
        <v>0.2233</v>
      </c>
      <c r="K23" s="22" t="s">
        <v>63</v>
      </c>
      <c r="L23" s="23">
        <v>2220</v>
      </c>
      <c r="M23" s="24">
        <v>0.2775</v>
      </c>
    </row>
    <row r="24" spans="2:13" x14ac:dyDescent="0.25">
      <c r="B24" s="19" t="s">
        <v>64</v>
      </c>
      <c r="C24" s="20">
        <v>383</v>
      </c>
      <c r="D24" s="20">
        <v>296</v>
      </c>
      <c r="E24" s="20">
        <v>148</v>
      </c>
      <c r="G24" s="19" t="s">
        <v>65</v>
      </c>
      <c r="H24" s="19" t="s">
        <v>66</v>
      </c>
      <c r="I24" s="20">
        <v>3697</v>
      </c>
      <c r="J24" s="21">
        <v>0.4621</v>
      </c>
      <c r="K24" s="19" t="s">
        <v>67</v>
      </c>
      <c r="L24" s="20">
        <v>1223</v>
      </c>
      <c r="M24" s="21">
        <v>0.1529</v>
      </c>
    </row>
    <row r="25" spans="2:13" x14ac:dyDescent="0.25">
      <c r="B25" s="22" t="s">
        <v>68</v>
      </c>
      <c r="C25" s="23">
        <v>414</v>
      </c>
      <c r="D25" s="23">
        <v>331</v>
      </c>
      <c r="E25" s="23">
        <v>148</v>
      </c>
      <c r="G25" s="22" t="s">
        <v>69</v>
      </c>
      <c r="H25" s="22" t="s">
        <v>70</v>
      </c>
      <c r="I25" s="23">
        <v>1876</v>
      </c>
      <c r="J25" s="24">
        <v>0.2345</v>
      </c>
      <c r="K25" s="22" t="s">
        <v>71</v>
      </c>
      <c r="L25" s="23">
        <v>1064</v>
      </c>
      <c r="M25" s="24">
        <v>0.133</v>
      </c>
    </row>
    <row r="26" spans="2:13" x14ac:dyDescent="0.25">
      <c r="B26" s="19" t="s">
        <v>72</v>
      </c>
      <c r="C26" s="20">
        <v>369</v>
      </c>
      <c r="D26" s="20">
        <v>283</v>
      </c>
      <c r="E26" s="20">
        <v>134</v>
      </c>
      <c r="G26" s="25" t="s">
        <v>29</v>
      </c>
      <c r="H26" s="25" t="s">
        <v>73</v>
      </c>
      <c r="I26" s="26">
        <f>SUM(I22:I25)</f>
        <v>8000</v>
      </c>
      <c r="J26" s="27">
        <v>1</v>
      </c>
      <c r="K26" s="25" t="s">
        <v>74</v>
      </c>
      <c r="L26" s="26">
        <f>SUM(L22:L25)</f>
        <v>8000</v>
      </c>
      <c r="M26" s="27">
        <v>1</v>
      </c>
    </row>
    <row r="27" spans="2:10" x14ac:dyDescent="0.25">
      <c r="B27" s="22" t="s">
        <v>75</v>
      </c>
      <c r="C27" s="23">
        <v>332</v>
      </c>
      <c r="D27" s="23">
        <v>262</v>
      </c>
      <c r="E27" s="23">
        <v>112</v>
      </c>
      <c r="G27" s="14" t="s">
        <v>76</v>
      </c>
      <c r="H27" s="14"/>
      <c r="I27" s="14"/>
      <c r="J27" s="14"/>
    </row>
    <row r="28" spans="2:9" x14ac:dyDescent="0.25">
      <c r="B28" s="19" t="s">
        <v>77</v>
      </c>
      <c r="C28" s="20">
        <v>397</v>
      </c>
      <c r="D28" s="20">
        <v>307</v>
      </c>
      <c r="E28" s="20">
        <v>153</v>
      </c>
      <c r="G28" s="17" t="s">
        <v>78</v>
      </c>
      <c r="H28" s="18" t="s">
        <v>79</v>
      </c>
      <c r="I28" s="18" t="s">
        <v>80</v>
      </c>
    </row>
    <row r="29" spans="2:10" x14ac:dyDescent="0.25">
      <c r="B29" s="22" t="s">
        <v>81</v>
      </c>
      <c r="C29" s="23">
        <v>367</v>
      </c>
      <c r="D29" s="23">
        <v>292</v>
      </c>
      <c r="E29" s="23">
        <v>129</v>
      </c>
      <c r="G29" s="19" t="s">
        <v>82</v>
      </c>
      <c r="H29" s="20">
        <v>936</v>
      </c>
      <c r="I29" s="21">
        <v>0.2076</v>
      </c>
      <c r="J29" s="21"/>
    </row>
    <row r="30" spans="2:10" x14ac:dyDescent="0.25">
      <c r="B30" s="19" t="s">
        <v>83</v>
      </c>
      <c r="C30" s="20">
        <v>423</v>
      </c>
      <c r="D30" s="20">
        <v>334</v>
      </c>
      <c r="E30" s="20">
        <v>167</v>
      </c>
      <c r="G30" s="22" t="s">
        <v>84</v>
      </c>
      <c r="H30" s="23">
        <v>916</v>
      </c>
      <c r="I30" s="24">
        <v>0.2032</v>
      </c>
      <c r="J30" s="24"/>
    </row>
    <row r="31" spans="2:10" x14ac:dyDescent="0.25">
      <c r="B31" s="22" t="s">
        <v>85</v>
      </c>
      <c r="C31" s="23">
        <v>377</v>
      </c>
      <c r="D31" s="23">
        <v>278</v>
      </c>
      <c r="E31" s="23">
        <v>137</v>
      </c>
      <c r="G31" s="19" t="s">
        <v>86</v>
      </c>
      <c r="H31" s="20">
        <v>914</v>
      </c>
      <c r="I31" s="21">
        <v>0.2028</v>
      </c>
      <c r="J31" s="21"/>
    </row>
    <row r="32" spans="2:10" x14ac:dyDescent="0.25">
      <c r="B32" s="19" t="s">
        <v>87</v>
      </c>
      <c r="C32" s="20">
        <v>376</v>
      </c>
      <c r="D32" s="20">
        <v>292</v>
      </c>
      <c r="E32" s="20">
        <v>133</v>
      </c>
      <c r="G32" s="22" t="s">
        <v>88</v>
      </c>
      <c r="H32" s="23">
        <v>864</v>
      </c>
      <c r="I32" s="24">
        <v>0.1917</v>
      </c>
      <c r="J32" s="24"/>
    </row>
    <row r="33" spans="2:10" x14ac:dyDescent="0.25">
      <c r="B33" s="22" t="s">
        <v>89</v>
      </c>
      <c r="C33" s="23">
        <v>399</v>
      </c>
      <c r="D33" s="23">
        <v>318</v>
      </c>
      <c r="E33" s="23">
        <v>161</v>
      </c>
      <c r="G33" s="19" t="s">
        <v>90</v>
      </c>
      <c r="H33" s="20">
        <v>878</v>
      </c>
      <c r="I33" s="21">
        <v>0.1948</v>
      </c>
      <c r="J33" s="21"/>
    </row>
    <row r="34" spans="2:10" x14ac:dyDescent="0.25">
      <c r="B34" s="19" t="s">
        <v>91</v>
      </c>
      <c r="C34" s="20">
        <v>290</v>
      </c>
      <c r="D34" s="20">
        <v>225</v>
      </c>
      <c r="E34" s="20">
        <v>111</v>
      </c>
      <c r="G34" s="25" t="s">
        <v>92</v>
      </c>
      <c r="H34" s="26">
        <f>SUM(H29:H33)</f>
        <v>4508</v>
      </c>
      <c r="I34" s="27">
        <v>1</v>
      </c>
      <c r="J34" s="27"/>
    </row>
    <row r="35" spans="2:5" x14ac:dyDescent="0.25">
      <c r="B35" s="25" t="s">
        <v>93</v>
      </c>
      <c r="C35" s="26">
        <f>SUM(C14:C34)</f>
        <v>8000</v>
      </c>
      <c r="D35" s="26">
        <f>SUM(D14:D34)</f>
        <v>6199</v>
      </c>
      <c r="E35" s="26">
        <f>SUM(E14:E34)</f>
        <v>2925</v>
      </c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HeEZDFoLmLaKzKlzl6GvtKExwy/VtOjG5sbt+6VWpW6O2j7Eg9PStIcN8azFi1xRhUug9Ogmx9w5xaiymhqFvg==" saltValue="aq/EexfD3Jb/Pz6qzDIBKA==" spinCount="100000"/>
  <mergeCells count="36">
    <mergeCell ref="B2:P3"/>
    <mergeCell ref="B4:P4"/>
    <mergeCell ref="B6:C6"/>
    <mergeCell ref="D6:F6"/>
    <mergeCell ref="G6:I6"/>
    <mergeCell ref="J6:L6"/>
    <mergeCell ref="M6:N6"/>
    <mergeCell ref="O6:P6"/>
    <mergeCell ref="B7:C7"/>
    <mergeCell ref="D7:F7"/>
    <mergeCell ref="G7:I7"/>
    <mergeCell ref="J7:L7"/>
    <mergeCell ref="M7:N7"/>
    <mergeCell ref="O7:P7"/>
    <mergeCell ref="B8:C8"/>
    <mergeCell ref="D8:F8"/>
    <mergeCell ref="G8:I8"/>
    <mergeCell ref="J8:L8"/>
    <mergeCell ref="M8:N8"/>
    <mergeCell ref="O8:P8"/>
    <mergeCell ref="B10:C10"/>
    <mergeCell ref="D10:F10"/>
    <mergeCell ref="H10:I10"/>
    <mergeCell ref="J10:L10"/>
    <mergeCell ref="B12:E12"/>
    <mergeCell ref="G12:I12"/>
    <mergeCell ref="K12:P12"/>
    <mergeCell ref="G20:J20"/>
    <mergeCell ref="K20:N20"/>
    <mergeCell ref="G27:J27"/>
    <mergeCell ref="I29:J29"/>
    <mergeCell ref="I30:J30"/>
    <mergeCell ref="I31:J31"/>
    <mergeCell ref="I32:J32"/>
    <mergeCell ref="I33:J33"/>
    <mergeCell ref="I34:J34"/>
  </mergeCells>
  <dataValidations count="2">
    <dataValidation type="list" sqref="D10">
      <formula1>"All Resolver Groups,Applications,End User Support,Infrastructure,Network,Security"</formula1>
    </dataValidation>
    <dataValidation type="list" sqref="J10">
      <formula1>"All Service Sites,Bengaluru,Chennai,Delhi,Hyderabad,Mumbai,Pune"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N8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9" customWidth="1"/>
    <col min="4" max="4" width="16" customWidth="1"/>
    <col min="5" max="5" width="15" customWidth="1"/>
    <col min="6" max="6" width="18" customWidth="1"/>
    <col min="7" max="7" width="20" customWidth="1"/>
    <col min="8" max="11" width="15" customWidth="1"/>
    <col min="12" max="13" width="22" customWidth="1"/>
    <col min="14" max="14" width="16" customWidth="1"/>
  </cols>
  <sheetData>
    <row r="1" ht="28" customHeight="1" spans="1:14" x14ac:dyDescent="0.25">
      <c r="A1" s="28" t="s">
        <v>94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ht="24" customHeight="1" spans="1:14" x14ac:dyDescent="0.25">
      <c r="A3" s="29" t="s">
        <v>95</v>
      </c>
      <c r="B3" s="29" t="s">
        <v>96</v>
      </c>
      <c r="C3" s="29" t="s">
        <v>97</v>
      </c>
      <c r="D3" s="29" t="s">
        <v>98</v>
      </c>
      <c r="E3" s="29" t="s">
        <v>52</v>
      </c>
      <c r="F3" s="29" t="s">
        <v>28</v>
      </c>
      <c r="G3" s="29" t="s">
        <v>99</v>
      </c>
      <c r="H3" s="29" t="s">
        <v>100</v>
      </c>
      <c r="I3" s="29" t="s">
        <v>101</v>
      </c>
      <c r="J3" s="30" t="s">
        <v>102</v>
      </c>
      <c r="K3" s="30" t="s">
        <v>103</v>
      </c>
      <c r="L3" s="30" t="s">
        <v>104</v>
      </c>
      <c r="M3" s="31" t="s">
        <v>105</v>
      </c>
      <c r="N3" s="32" t="s">
        <v>106</v>
      </c>
    </row>
    <row r="4" ht="19" customHeight="1" spans="1:14" x14ac:dyDescent="0.25">
      <c r="A4" s="19" t="s">
        <v>107</v>
      </c>
      <c r="B4" s="33">
        <v>45842.524305555555</v>
      </c>
      <c r="C4" s="33">
        <v>45842.69097222222</v>
      </c>
      <c r="D4" s="19" t="s">
        <v>36</v>
      </c>
      <c r="E4" s="19" t="s">
        <v>61</v>
      </c>
      <c r="F4" s="19" t="s">
        <v>34</v>
      </c>
      <c r="G4" s="19" t="s">
        <v>63</v>
      </c>
      <c r="H4" s="19" t="s">
        <v>59</v>
      </c>
      <c r="I4" s="19" t="s">
        <v>108</v>
      </c>
      <c r="J4" s="20">
        <v>12</v>
      </c>
      <c r="K4" s="34">
        <v>0</v>
      </c>
      <c r="L4" s="34">
        <v>4</v>
      </c>
      <c r="M4" s="19">
        <f>IF(OR(ISBLANK(C4),C4=""),"",ROUND((C4-B4)*24,2))</f>
        <v>4</v>
      </c>
      <c r="N4" s="35" t="str">
        <f>IF(OR(ISBLANK(C4),C4="",M4=""),"In Progress",IF(M4&lt;=J4,"Met","Breached"))</f>
        <v>Met</v>
      </c>
    </row>
    <row r="5" ht="19" customHeight="1" spans="1:14" x14ac:dyDescent="0.25">
      <c r="A5" s="22" t="s">
        <v>109</v>
      </c>
      <c r="B5" s="36">
        <v>45910.56319444445</v>
      </c>
      <c r="D5" s="22" t="s">
        <v>39</v>
      </c>
      <c r="E5" s="22" t="s">
        <v>61</v>
      </c>
      <c r="F5" s="22" t="s">
        <v>45</v>
      </c>
      <c r="G5" s="22" t="s">
        <v>110</v>
      </c>
      <c r="H5" s="22" t="s">
        <v>63</v>
      </c>
      <c r="I5" s="22" t="s">
        <v>111</v>
      </c>
      <c r="J5" s="23">
        <v>12</v>
      </c>
      <c r="K5" s="37">
        <v>0</v>
      </c>
      <c r="M5" s="22" t="str">
        <f>IF(OR(ISBLANK(C5),C5=""),"",ROUND((C5-B5)*24,2))</f>
        <v/>
      </c>
      <c r="N5" s="22" t="str">
        <f>IF(OR(ISBLANK(C5),C5="",M5=""),"In Progress",IF(M5&lt;=J5,"Met","Breached"))</f>
        <v>In Progress</v>
      </c>
    </row>
    <row r="6" ht="19" customHeight="1" spans="1:14" x14ac:dyDescent="0.25">
      <c r="A6" s="19" t="s">
        <v>112</v>
      </c>
      <c r="B6" s="33">
        <v>46071.43888888889</v>
      </c>
      <c r="C6" s="33">
        <v>46073.16805555555</v>
      </c>
      <c r="D6" s="19" t="s">
        <v>36</v>
      </c>
      <c r="E6" s="19" t="s">
        <v>65</v>
      </c>
      <c r="F6" s="19" t="s">
        <v>34</v>
      </c>
      <c r="G6" s="19" t="s">
        <v>113</v>
      </c>
      <c r="H6" s="19" t="s">
        <v>67</v>
      </c>
      <c r="I6" s="19" t="s">
        <v>114</v>
      </c>
      <c r="J6" s="20">
        <v>48</v>
      </c>
      <c r="K6" s="34">
        <v>0</v>
      </c>
      <c r="L6" s="34">
        <v>1</v>
      </c>
      <c r="M6" s="19">
        <f>IF(OR(ISBLANK(C6),C6=""),"",ROUND((C6-B6)*24,2))</f>
        <v>41.5</v>
      </c>
      <c r="N6" s="35" t="str">
        <f>IF(OR(ISBLANK(C6),C6="",M6=""),"In Progress",IF(M6&lt;=J6,"Met","Breached"))</f>
        <v>Met</v>
      </c>
    </row>
    <row r="7" ht="19" customHeight="1" spans="1:14" x14ac:dyDescent="0.25">
      <c r="A7" s="22" t="s">
        <v>115</v>
      </c>
      <c r="B7" s="36">
        <v>45955.37013888889</v>
      </c>
      <c r="C7" s="36">
        <v>45956.05625</v>
      </c>
      <c r="D7" s="22" t="s">
        <v>36</v>
      </c>
      <c r="E7" s="22" t="s">
        <v>61</v>
      </c>
      <c r="F7" s="22" t="s">
        <v>37</v>
      </c>
      <c r="G7" s="22" t="s">
        <v>116</v>
      </c>
      <c r="H7" s="22" t="s">
        <v>59</v>
      </c>
      <c r="I7" s="22" t="s">
        <v>117</v>
      </c>
      <c r="J7" s="23">
        <v>12</v>
      </c>
      <c r="K7" s="37">
        <v>0</v>
      </c>
      <c r="M7" s="22">
        <f>IF(OR(ISBLANK(C7),C7=""),"",ROUND((C7-B7)*24,2))</f>
        <v>16.47</v>
      </c>
      <c r="N7" s="38" t="str">
        <f>IF(OR(ISBLANK(C7),C7="",M7=""),"In Progress",IF(M7&lt;=J7,"Met","Breached"))</f>
        <v>Breached</v>
      </c>
    </row>
    <row r="8" ht="19" customHeight="1" spans="1:14" x14ac:dyDescent="0.25">
      <c r="A8" s="19" t="s">
        <v>118</v>
      </c>
      <c r="B8" s="33">
        <v>45769.73125</v>
      </c>
      <c r="C8" s="33">
        <v>45772.34305555555</v>
      </c>
      <c r="D8" s="19" t="s">
        <v>36</v>
      </c>
      <c r="E8" s="19" t="s">
        <v>65</v>
      </c>
      <c r="F8" s="19" t="s">
        <v>45</v>
      </c>
      <c r="G8" s="19" t="s">
        <v>63</v>
      </c>
      <c r="H8" s="19" t="s">
        <v>63</v>
      </c>
      <c r="I8" s="19" t="s">
        <v>117</v>
      </c>
      <c r="J8" s="20">
        <v>48</v>
      </c>
      <c r="K8" s="34">
        <v>0</v>
      </c>
      <c r="L8" s="34">
        <v>3</v>
      </c>
      <c r="M8" s="19">
        <f>IF(OR(ISBLANK(C8),C8=""),"",ROUND((C8-B8)*24,2))</f>
        <v>62.68</v>
      </c>
      <c r="N8" s="39" t="str">
        <f>IF(OR(ISBLANK(C8),C8="",M8=""),"In Progress",IF(M8&lt;=J8,"Met","Breached"))</f>
        <v>Breached</v>
      </c>
    </row>
    <row r="9" ht="19" customHeight="1" spans="1:14" x14ac:dyDescent="0.25">
      <c r="A9" s="22" t="s">
        <v>119</v>
      </c>
      <c r="B9" s="36">
        <v>45915.15</v>
      </c>
      <c r="C9" s="36">
        <v>45915.22361111111</v>
      </c>
      <c r="D9" s="22" t="s">
        <v>33</v>
      </c>
      <c r="E9" s="22" t="s">
        <v>57</v>
      </c>
      <c r="F9" s="22" t="s">
        <v>34</v>
      </c>
      <c r="G9" s="22" t="s">
        <v>110</v>
      </c>
      <c r="H9" s="22" t="s">
        <v>71</v>
      </c>
      <c r="I9" s="22" t="s">
        <v>114</v>
      </c>
      <c r="J9" s="23">
        <v>4</v>
      </c>
      <c r="K9" s="37">
        <v>0</v>
      </c>
      <c r="L9" s="37">
        <v>3</v>
      </c>
      <c r="M9" s="22">
        <f>IF(OR(ISBLANK(C9),C9=""),"",ROUND((C9-B9)*24,2))</f>
        <v>1.77</v>
      </c>
      <c r="N9" s="40" t="str">
        <f>IF(OR(ISBLANK(C9),C9="",M9=""),"In Progress",IF(M9&lt;=J9,"Met","Breached"))</f>
        <v>Met</v>
      </c>
    </row>
    <row r="10" ht="19" customHeight="1" spans="1:14" x14ac:dyDescent="0.25">
      <c r="A10" s="19" t="s">
        <v>120</v>
      </c>
      <c r="B10" s="33">
        <v>46176.834027777775</v>
      </c>
      <c r="C10" s="33">
        <v>46177.611805555556</v>
      </c>
      <c r="D10" s="19" t="s">
        <v>33</v>
      </c>
      <c r="E10" s="19" t="s">
        <v>61</v>
      </c>
      <c r="F10" s="19" t="s">
        <v>45</v>
      </c>
      <c r="G10" s="19" t="s">
        <v>121</v>
      </c>
      <c r="H10" s="19" t="s">
        <v>67</v>
      </c>
      <c r="I10" s="19" t="s">
        <v>108</v>
      </c>
      <c r="J10" s="20">
        <v>12</v>
      </c>
      <c r="K10" s="34">
        <v>0</v>
      </c>
      <c r="L10" s="34">
        <v>1</v>
      </c>
      <c r="M10" s="19">
        <f>IF(OR(ISBLANK(C10),C10=""),"",ROUND((C10-B10)*24,2))</f>
        <v>18.67</v>
      </c>
      <c r="N10" s="39" t="str">
        <f>IF(OR(ISBLANK(C10),C10="",M10=""),"In Progress",IF(M10&lt;=J10,"Met","Breached"))</f>
        <v>Breached</v>
      </c>
    </row>
    <row r="11" ht="19" customHeight="1" spans="1:14" x14ac:dyDescent="0.25">
      <c r="A11" s="22" t="s">
        <v>122</v>
      </c>
      <c r="B11" s="36">
        <v>45858.20277777778</v>
      </c>
      <c r="C11" s="36">
        <v>45863.538888888885</v>
      </c>
      <c r="D11" s="22" t="s">
        <v>33</v>
      </c>
      <c r="E11" s="22" t="s">
        <v>69</v>
      </c>
      <c r="F11" s="22" t="s">
        <v>37</v>
      </c>
      <c r="G11" s="22" t="s">
        <v>121</v>
      </c>
      <c r="H11" s="22" t="s">
        <v>63</v>
      </c>
      <c r="I11" s="22" t="s">
        <v>123</v>
      </c>
      <c r="J11" s="23">
        <v>120</v>
      </c>
      <c r="K11" s="37">
        <v>0</v>
      </c>
      <c r="L11" s="37">
        <v>2</v>
      </c>
      <c r="M11" s="22">
        <f>IF(OR(ISBLANK(C11),C11=""),"",ROUND((C11-B11)*24,2))</f>
        <v>128.07</v>
      </c>
      <c r="N11" s="38" t="str">
        <f>IF(OR(ISBLANK(C11),C11="",M11=""),"In Progress",IF(M11&lt;=J11,"Met","Breached"))</f>
        <v>Breached</v>
      </c>
    </row>
    <row r="12" ht="19" customHeight="1" spans="1:14" x14ac:dyDescent="0.25">
      <c r="A12" s="19" t="s">
        <v>124</v>
      </c>
      <c r="B12" s="33">
        <v>45795.02083333333</v>
      </c>
      <c r="C12" s="33">
        <v>45798.08888888889</v>
      </c>
      <c r="D12" s="19" t="s">
        <v>33</v>
      </c>
      <c r="E12" s="19" t="s">
        <v>65</v>
      </c>
      <c r="F12" s="19" t="s">
        <v>43</v>
      </c>
      <c r="G12" s="19" t="s">
        <v>63</v>
      </c>
      <c r="H12" s="19" t="s">
        <v>63</v>
      </c>
      <c r="I12" s="19" t="s">
        <v>123</v>
      </c>
      <c r="J12" s="20">
        <v>48</v>
      </c>
      <c r="K12" s="34">
        <v>0</v>
      </c>
      <c r="L12" s="34">
        <v>5</v>
      </c>
      <c r="M12" s="19">
        <f>IF(OR(ISBLANK(C12),C12=""),"",ROUND((C12-B12)*24,2))</f>
        <v>73.63</v>
      </c>
      <c r="N12" s="39" t="str">
        <f>IF(OR(ISBLANK(C12),C12="",M12=""),"In Progress",IF(M12&lt;=J12,"Met","Breached"))</f>
        <v>Breached</v>
      </c>
    </row>
    <row r="13" ht="19" customHeight="1" spans="1:14" x14ac:dyDescent="0.25">
      <c r="A13" s="22" t="s">
        <v>125</v>
      </c>
      <c r="B13" s="36">
        <v>45873.59236111111</v>
      </c>
      <c r="C13" s="36">
        <v>45873.87430555555</v>
      </c>
      <c r="D13" s="22" t="s">
        <v>33</v>
      </c>
      <c r="E13" s="22" t="s">
        <v>57</v>
      </c>
      <c r="F13" s="22" t="s">
        <v>45</v>
      </c>
      <c r="G13" s="22" t="s">
        <v>126</v>
      </c>
      <c r="H13" s="22" t="s">
        <v>63</v>
      </c>
      <c r="I13" s="22" t="s">
        <v>117</v>
      </c>
      <c r="J13" s="23">
        <v>4</v>
      </c>
      <c r="K13" s="37">
        <v>0</v>
      </c>
      <c r="L13" s="37">
        <v>4</v>
      </c>
      <c r="M13" s="22">
        <f>IF(OR(ISBLANK(C13),C13=""),"",ROUND((C13-B13)*24,2))</f>
        <v>6.77</v>
      </c>
      <c r="N13" s="38" t="str">
        <f>IF(OR(ISBLANK(C13),C13="",M13=""),"In Progress",IF(M13&lt;=J13,"Met","Breached"))</f>
        <v>Breached</v>
      </c>
    </row>
    <row r="14" ht="19" customHeight="1" spans="1:14" x14ac:dyDescent="0.25">
      <c r="A14" s="19" t="s">
        <v>127</v>
      </c>
      <c r="B14" s="33">
        <v>45818.978472222225</v>
      </c>
      <c r="C14" s="33">
        <v>45821.42916666667</v>
      </c>
      <c r="D14" s="19" t="s">
        <v>36</v>
      </c>
      <c r="E14" s="19" t="s">
        <v>65</v>
      </c>
      <c r="F14" s="19" t="s">
        <v>37</v>
      </c>
      <c r="G14" s="19" t="s">
        <v>113</v>
      </c>
      <c r="H14" s="19" t="s">
        <v>67</v>
      </c>
      <c r="I14" s="19" t="s">
        <v>111</v>
      </c>
      <c r="J14" s="20">
        <v>48</v>
      </c>
      <c r="K14" s="34">
        <v>0</v>
      </c>
      <c r="M14" s="19">
        <f>IF(OR(ISBLANK(C14),C14=""),"",ROUND((C14-B14)*24,2))</f>
        <v>58.82</v>
      </c>
      <c r="N14" s="39" t="str">
        <f>IF(OR(ISBLANK(C14),C14="",M14=""),"In Progress",IF(M14&lt;=J14,"Met","Breached"))</f>
        <v>Breached</v>
      </c>
    </row>
    <row r="15" ht="19" customHeight="1" spans="1:14" x14ac:dyDescent="0.25">
      <c r="A15" s="22" t="s">
        <v>128</v>
      </c>
      <c r="B15" s="36">
        <v>45740.68611111111</v>
      </c>
      <c r="C15" s="36">
        <v>45743.6</v>
      </c>
      <c r="D15" s="22" t="s">
        <v>33</v>
      </c>
      <c r="E15" s="22" t="s">
        <v>65</v>
      </c>
      <c r="F15" s="22" t="s">
        <v>40</v>
      </c>
      <c r="G15" s="22" t="s">
        <v>110</v>
      </c>
      <c r="H15" s="22" t="s">
        <v>71</v>
      </c>
      <c r="I15" s="22" t="s">
        <v>114</v>
      </c>
      <c r="J15" s="23">
        <v>48</v>
      </c>
      <c r="K15" s="37">
        <v>0</v>
      </c>
      <c r="L15" s="37">
        <v>3</v>
      </c>
      <c r="M15" s="22">
        <f>IF(OR(ISBLANK(C15),C15=""),"",ROUND((C15-B15)*24,2))</f>
        <v>69.93</v>
      </c>
      <c r="N15" s="38" t="str">
        <f>IF(OR(ISBLANK(C15),C15="",M15=""),"In Progress",IF(M15&lt;=J15,"Met","Breached"))</f>
        <v>Breached</v>
      </c>
    </row>
    <row r="16" ht="19" customHeight="1" spans="1:14" x14ac:dyDescent="0.25">
      <c r="A16" s="19" t="s">
        <v>129</v>
      </c>
      <c r="B16" s="33">
        <v>46223.41111111111</v>
      </c>
      <c r="C16" s="33">
        <v>46223.617361111115</v>
      </c>
      <c r="D16" s="19" t="s">
        <v>33</v>
      </c>
      <c r="E16" s="19" t="s">
        <v>61</v>
      </c>
      <c r="F16" s="19" t="s">
        <v>37</v>
      </c>
      <c r="G16" s="19" t="s">
        <v>121</v>
      </c>
      <c r="H16" s="19" t="s">
        <v>71</v>
      </c>
      <c r="I16" s="19" t="s">
        <v>114</v>
      </c>
      <c r="J16" s="20">
        <v>12</v>
      </c>
      <c r="K16" s="34">
        <v>0</v>
      </c>
      <c r="L16" s="34">
        <v>2</v>
      </c>
      <c r="M16" s="19">
        <f>IF(OR(ISBLANK(C16),C16=""),"",ROUND((C16-B16)*24,2))</f>
        <v>4.95</v>
      </c>
      <c r="N16" s="35" t="str">
        <f>IF(OR(ISBLANK(C16),C16="",M16=""),"In Progress",IF(M16&lt;=J16,"Met","Breached"))</f>
        <v>Met</v>
      </c>
    </row>
    <row r="17" ht="19" customHeight="1" spans="1:14" x14ac:dyDescent="0.25">
      <c r="A17" s="22" t="s">
        <v>130</v>
      </c>
      <c r="B17" s="36">
        <v>45912.634722222225</v>
      </c>
      <c r="C17" s="36">
        <v>45912.83472222222</v>
      </c>
      <c r="D17" s="22" t="s">
        <v>33</v>
      </c>
      <c r="E17" s="22" t="s">
        <v>61</v>
      </c>
      <c r="F17" s="22" t="s">
        <v>45</v>
      </c>
      <c r="G17" s="22" t="s">
        <v>116</v>
      </c>
      <c r="H17" s="22" t="s">
        <v>59</v>
      </c>
      <c r="I17" s="22" t="s">
        <v>123</v>
      </c>
      <c r="J17" s="23">
        <v>12</v>
      </c>
      <c r="K17" s="37">
        <v>0</v>
      </c>
      <c r="M17" s="22">
        <f>IF(OR(ISBLANK(C17),C17=""),"",ROUND((C17-B17)*24,2))</f>
        <v>4.8</v>
      </c>
      <c r="N17" s="40" t="str">
        <f>IF(OR(ISBLANK(C17),C17="",M17=""),"In Progress",IF(M17&lt;=J17,"Met","Breached"))</f>
        <v>Met</v>
      </c>
    </row>
    <row r="18" ht="19" customHeight="1" spans="1:14" x14ac:dyDescent="0.25">
      <c r="A18" s="19" t="s">
        <v>131</v>
      </c>
      <c r="B18" s="33">
        <v>45719.46527777778</v>
      </c>
      <c r="D18" s="19" t="s">
        <v>42</v>
      </c>
      <c r="E18" s="19" t="s">
        <v>65</v>
      </c>
      <c r="F18" s="19" t="s">
        <v>37</v>
      </c>
      <c r="G18" s="19" t="s">
        <v>121</v>
      </c>
      <c r="H18" s="19" t="s">
        <v>67</v>
      </c>
      <c r="I18" s="19" t="s">
        <v>117</v>
      </c>
      <c r="J18" s="20">
        <v>48</v>
      </c>
      <c r="K18" s="34">
        <v>0</v>
      </c>
      <c r="M18" s="19" t="str">
        <f>IF(OR(ISBLANK(C18),C18=""),"",ROUND((C18-B18)*24,2))</f>
        <v/>
      </c>
      <c r="N18" s="19" t="str">
        <f>IF(OR(ISBLANK(C18),C18="",M18=""),"In Progress",IF(M18&lt;=J18,"Met","Breached"))</f>
        <v>In Progress</v>
      </c>
    </row>
    <row r="19" ht="19" customHeight="1" spans="1:14" x14ac:dyDescent="0.25">
      <c r="A19" s="22" t="s">
        <v>132</v>
      </c>
      <c r="B19" s="36">
        <v>45778.785416666666</v>
      </c>
      <c r="C19" s="36">
        <v>45780.88680555555</v>
      </c>
      <c r="D19" s="22" t="s">
        <v>33</v>
      </c>
      <c r="E19" s="22" t="s">
        <v>65</v>
      </c>
      <c r="F19" s="22" t="s">
        <v>34</v>
      </c>
      <c r="G19" s="22" t="s">
        <v>116</v>
      </c>
      <c r="H19" s="22" t="s">
        <v>67</v>
      </c>
      <c r="I19" s="22" t="s">
        <v>123</v>
      </c>
      <c r="J19" s="23">
        <v>48</v>
      </c>
      <c r="K19" s="37">
        <v>0</v>
      </c>
      <c r="M19" s="22">
        <f>IF(OR(ISBLANK(C19),C19=""),"",ROUND((C19-B19)*24,2))</f>
        <v>50.43</v>
      </c>
      <c r="N19" s="38" t="str">
        <f>IF(OR(ISBLANK(C19),C19="",M19=""),"In Progress",IF(M19&lt;=J19,"Met","Breached"))</f>
        <v>Breached</v>
      </c>
    </row>
    <row r="20" ht="19" customHeight="1" spans="1:14" x14ac:dyDescent="0.25">
      <c r="A20" s="19" t="s">
        <v>133</v>
      </c>
      <c r="B20" s="33">
        <v>45674.45208333334</v>
      </c>
      <c r="C20" s="33">
        <v>45675.01388888889</v>
      </c>
      <c r="D20" s="19" t="s">
        <v>33</v>
      </c>
      <c r="E20" s="19" t="s">
        <v>61</v>
      </c>
      <c r="F20" s="19" t="s">
        <v>43</v>
      </c>
      <c r="G20" s="19" t="s">
        <v>63</v>
      </c>
      <c r="H20" s="19" t="s">
        <v>71</v>
      </c>
      <c r="I20" s="19" t="s">
        <v>108</v>
      </c>
      <c r="J20" s="20">
        <v>12</v>
      </c>
      <c r="K20" s="34">
        <v>0</v>
      </c>
      <c r="L20" s="34">
        <v>1</v>
      </c>
      <c r="M20" s="19">
        <f>IF(OR(ISBLANK(C20),C20=""),"",ROUND((C20-B20)*24,2))</f>
        <v>13.48</v>
      </c>
      <c r="N20" s="39" t="str">
        <f>IF(OR(ISBLANK(C20),C20="",M20=""),"In Progress",IF(M20&lt;=J20,"Met","Breached"))</f>
        <v>Breached</v>
      </c>
    </row>
    <row r="21" ht="19" customHeight="1" spans="1:14" x14ac:dyDescent="0.25">
      <c r="A21" s="22" t="s">
        <v>134</v>
      </c>
      <c r="B21" s="36">
        <v>46155.472916666666</v>
      </c>
      <c r="C21" s="36">
        <v>46157.086111111115</v>
      </c>
      <c r="D21" s="22" t="s">
        <v>33</v>
      </c>
      <c r="E21" s="22" t="s">
        <v>65</v>
      </c>
      <c r="F21" s="22" t="s">
        <v>40</v>
      </c>
      <c r="G21" s="22" t="s">
        <v>113</v>
      </c>
      <c r="H21" s="22" t="s">
        <v>71</v>
      </c>
      <c r="I21" s="22" t="s">
        <v>123</v>
      </c>
      <c r="J21" s="23">
        <v>48</v>
      </c>
      <c r="K21" s="37">
        <v>0</v>
      </c>
      <c r="M21" s="22">
        <f>IF(OR(ISBLANK(C21),C21=""),"",ROUND((C21-B21)*24,2))</f>
        <v>38.72</v>
      </c>
      <c r="N21" s="40" t="str">
        <f>IF(OR(ISBLANK(C21),C21="",M21=""),"In Progress",IF(M21&lt;=J21,"Met","Breached"))</f>
        <v>Met</v>
      </c>
    </row>
    <row r="22" ht="19" customHeight="1" spans="1:14" x14ac:dyDescent="0.25">
      <c r="A22" s="19" t="s">
        <v>135</v>
      </c>
      <c r="B22" s="33">
        <v>46110.94583333333</v>
      </c>
      <c r="D22" s="19" t="s">
        <v>39</v>
      </c>
      <c r="E22" s="19" t="s">
        <v>65</v>
      </c>
      <c r="F22" s="19" t="s">
        <v>37</v>
      </c>
      <c r="G22" s="19" t="s">
        <v>113</v>
      </c>
      <c r="H22" s="19" t="s">
        <v>67</v>
      </c>
      <c r="I22" s="19" t="s">
        <v>108</v>
      </c>
      <c r="J22" s="20">
        <v>48</v>
      </c>
      <c r="K22" s="34">
        <v>0</v>
      </c>
      <c r="M22" s="19" t="str">
        <f>IF(OR(ISBLANK(C22),C22=""),"",ROUND((C22-B22)*24,2))</f>
        <v/>
      </c>
      <c r="N22" s="19" t="str">
        <f>IF(OR(ISBLANK(C22),C22="",M22=""),"In Progress",IF(M22&lt;=J22,"Met","Breached"))</f>
        <v>In Progress</v>
      </c>
    </row>
    <row r="23" ht="19" customHeight="1" spans="1:14" x14ac:dyDescent="0.25">
      <c r="A23" s="22" t="s">
        <v>136</v>
      </c>
      <c r="B23" s="36">
        <v>46038.36319444445</v>
      </c>
      <c r="C23" s="36">
        <v>46039.43194444444</v>
      </c>
      <c r="D23" s="22" t="s">
        <v>33</v>
      </c>
      <c r="E23" s="22" t="s">
        <v>65</v>
      </c>
      <c r="F23" s="22" t="s">
        <v>45</v>
      </c>
      <c r="G23" s="22" t="s">
        <v>116</v>
      </c>
      <c r="H23" s="22" t="s">
        <v>63</v>
      </c>
      <c r="I23" s="22" t="s">
        <v>117</v>
      </c>
      <c r="J23" s="23">
        <v>48</v>
      </c>
      <c r="K23" s="37">
        <v>0</v>
      </c>
      <c r="M23" s="22">
        <f>IF(OR(ISBLANK(C23),C23=""),"",ROUND((C23-B23)*24,2))</f>
        <v>25.65</v>
      </c>
      <c r="N23" s="40" t="str">
        <f>IF(OR(ISBLANK(C23),C23="",M23=""),"In Progress",IF(M23&lt;=J23,"Met","Breached"))</f>
        <v>Met</v>
      </c>
    </row>
    <row r="24" ht="19" customHeight="1" spans="1:14" x14ac:dyDescent="0.25">
      <c r="A24" s="19" t="s">
        <v>137</v>
      </c>
      <c r="B24" s="33">
        <v>45847.81041666667</v>
      </c>
      <c r="C24" s="33">
        <v>45849.87708333333</v>
      </c>
      <c r="D24" s="19" t="s">
        <v>33</v>
      </c>
      <c r="E24" s="19" t="s">
        <v>65</v>
      </c>
      <c r="F24" s="19" t="s">
        <v>43</v>
      </c>
      <c r="G24" s="19" t="s">
        <v>116</v>
      </c>
      <c r="H24" s="19" t="s">
        <v>59</v>
      </c>
      <c r="I24" s="19" t="s">
        <v>123</v>
      </c>
      <c r="J24" s="20">
        <v>48</v>
      </c>
      <c r="K24" s="34">
        <v>0</v>
      </c>
      <c r="M24" s="19">
        <f>IF(OR(ISBLANK(C24),C24=""),"",ROUND((C24-B24)*24,2))</f>
        <v>49.6</v>
      </c>
      <c r="N24" s="39" t="str">
        <f>IF(OR(ISBLANK(C24),C24="",M24=""),"In Progress",IF(M24&lt;=J24,"Met","Breached"))</f>
        <v>Breached</v>
      </c>
    </row>
    <row r="25" ht="19" customHeight="1" spans="1:14" x14ac:dyDescent="0.25">
      <c r="A25" s="22" t="s">
        <v>138</v>
      </c>
      <c r="B25" s="36">
        <v>46203.14166666666</v>
      </c>
      <c r="D25" s="22" t="s">
        <v>42</v>
      </c>
      <c r="E25" s="22" t="s">
        <v>65</v>
      </c>
      <c r="F25" s="22" t="s">
        <v>37</v>
      </c>
      <c r="G25" s="22" t="s">
        <v>110</v>
      </c>
      <c r="H25" s="22" t="s">
        <v>67</v>
      </c>
      <c r="I25" s="22" t="s">
        <v>108</v>
      </c>
      <c r="J25" s="23">
        <v>48</v>
      </c>
      <c r="K25" s="37">
        <v>0</v>
      </c>
      <c r="M25" s="22" t="str">
        <f>IF(OR(ISBLANK(C25),C25=""),"",ROUND((C25-B25)*24,2))</f>
        <v/>
      </c>
      <c r="N25" s="22" t="str">
        <f>IF(OR(ISBLANK(C25),C25="",M25=""),"In Progress",IF(M25&lt;=J25,"Met","Breached"))</f>
        <v>In Progress</v>
      </c>
    </row>
    <row r="26" ht="19" customHeight="1" spans="1:14" x14ac:dyDescent="0.25">
      <c r="A26" s="19" t="s">
        <v>139</v>
      </c>
      <c r="B26" s="33">
        <v>46002.20763888889</v>
      </c>
      <c r="D26" s="19" t="s">
        <v>39</v>
      </c>
      <c r="E26" s="19" t="s">
        <v>61</v>
      </c>
      <c r="F26" s="19" t="s">
        <v>43</v>
      </c>
      <c r="G26" s="19" t="s">
        <v>113</v>
      </c>
      <c r="H26" s="19" t="s">
        <v>59</v>
      </c>
      <c r="I26" s="19" t="s">
        <v>117</v>
      </c>
      <c r="J26" s="20">
        <v>12</v>
      </c>
      <c r="K26" s="34">
        <v>0</v>
      </c>
      <c r="M26" s="19" t="str">
        <f>IF(OR(ISBLANK(C26),C26=""),"",ROUND((C26-B26)*24,2))</f>
        <v/>
      </c>
      <c r="N26" s="19" t="str">
        <f>IF(OR(ISBLANK(C26),C26="",M26=""),"In Progress",IF(M26&lt;=J26,"Met","Breached"))</f>
        <v>In Progress</v>
      </c>
    </row>
    <row r="27" ht="19" customHeight="1" spans="1:14" x14ac:dyDescent="0.25">
      <c r="A27" s="22" t="s">
        <v>140</v>
      </c>
      <c r="B27" s="36">
        <v>46060.19930555555</v>
      </c>
      <c r="D27" s="22" t="s">
        <v>42</v>
      </c>
      <c r="E27" s="22" t="s">
        <v>65</v>
      </c>
      <c r="F27" s="22" t="s">
        <v>40</v>
      </c>
      <c r="G27" s="22" t="s">
        <v>63</v>
      </c>
      <c r="H27" s="22" t="s">
        <v>59</v>
      </c>
      <c r="I27" s="22" t="s">
        <v>114</v>
      </c>
      <c r="J27" s="23">
        <v>48</v>
      </c>
      <c r="K27" s="37">
        <v>0</v>
      </c>
      <c r="M27" s="22" t="str">
        <f>IF(OR(ISBLANK(C27),C27=""),"",ROUND((C27-B27)*24,2))</f>
        <v/>
      </c>
      <c r="N27" s="22" t="str">
        <f>IF(OR(ISBLANK(C27),C27="",M27=""),"In Progress",IF(M27&lt;=J27,"Met","Breached"))</f>
        <v>In Progress</v>
      </c>
    </row>
    <row r="28" ht="19" customHeight="1" spans="1:14" x14ac:dyDescent="0.25">
      <c r="A28" s="19" t="s">
        <v>141</v>
      </c>
      <c r="B28" s="33">
        <v>45925.16805555555</v>
      </c>
      <c r="C28" s="33">
        <v>45933.49930555555</v>
      </c>
      <c r="D28" s="19" t="s">
        <v>33</v>
      </c>
      <c r="E28" s="19" t="s">
        <v>69</v>
      </c>
      <c r="F28" s="19" t="s">
        <v>34</v>
      </c>
      <c r="G28" s="19" t="s">
        <v>63</v>
      </c>
      <c r="H28" s="19" t="s">
        <v>59</v>
      </c>
      <c r="I28" s="19" t="s">
        <v>111</v>
      </c>
      <c r="J28" s="20">
        <v>120</v>
      </c>
      <c r="K28" s="34">
        <v>0</v>
      </c>
      <c r="L28" s="34">
        <v>5</v>
      </c>
      <c r="M28" s="19">
        <f>IF(OR(ISBLANK(C28),C28=""),"",ROUND((C28-B28)*24,2))</f>
        <v>199.95</v>
      </c>
      <c r="N28" s="39" t="str">
        <f>IF(OR(ISBLANK(C28),C28="",M28=""),"In Progress",IF(M28&lt;=J28,"Met","Breached"))</f>
        <v>Breached</v>
      </c>
    </row>
    <row r="29" ht="19" customHeight="1" spans="1:14" x14ac:dyDescent="0.25">
      <c r="A29" s="22" t="s">
        <v>142</v>
      </c>
      <c r="B29" s="36">
        <v>45783.57638888889</v>
      </c>
      <c r="D29" s="22" t="s">
        <v>42</v>
      </c>
      <c r="E29" s="22" t="s">
        <v>65</v>
      </c>
      <c r="F29" s="22" t="s">
        <v>37</v>
      </c>
      <c r="G29" s="22" t="s">
        <v>63</v>
      </c>
      <c r="H29" s="22" t="s">
        <v>59</v>
      </c>
      <c r="I29" s="22" t="s">
        <v>117</v>
      </c>
      <c r="J29" s="23">
        <v>48</v>
      </c>
      <c r="K29" s="37">
        <v>0</v>
      </c>
      <c r="M29" s="22" t="str">
        <f>IF(OR(ISBLANK(C29),C29=""),"",ROUND((C29-B29)*24,2))</f>
        <v/>
      </c>
      <c r="N29" s="22" t="str">
        <f>IF(OR(ISBLANK(C29),C29="",M29=""),"In Progress",IF(M29&lt;=J29,"Met","Breached"))</f>
        <v>In Progress</v>
      </c>
    </row>
    <row r="30" ht="19" customHeight="1" spans="1:14" x14ac:dyDescent="0.25">
      <c r="A30" s="19" t="s">
        <v>143</v>
      </c>
      <c r="B30" s="33">
        <v>46178.490277777775</v>
      </c>
      <c r="C30" s="33">
        <v>46180.73333333334</v>
      </c>
      <c r="D30" s="19" t="s">
        <v>33</v>
      </c>
      <c r="E30" s="19" t="s">
        <v>65</v>
      </c>
      <c r="F30" s="19" t="s">
        <v>37</v>
      </c>
      <c r="G30" s="19" t="s">
        <v>110</v>
      </c>
      <c r="H30" s="19" t="s">
        <v>63</v>
      </c>
      <c r="I30" s="19" t="s">
        <v>111</v>
      </c>
      <c r="J30" s="20">
        <v>48</v>
      </c>
      <c r="K30" s="34">
        <v>0</v>
      </c>
      <c r="L30" s="34">
        <v>2</v>
      </c>
      <c r="M30" s="19">
        <f>IF(OR(ISBLANK(C30),C30=""),"",ROUND((C30-B30)*24,2))</f>
        <v>53.83</v>
      </c>
      <c r="N30" s="39" t="str">
        <f>IF(OR(ISBLANK(C30),C30="",M30=""),"In Progress",IF(M30&lt;=J30,"Met","Breached"))</f>
        <v>Breached</v>
      </c>
    </row>
    <row r="31" ht="19" customHeight="1" spans="1:14" x14ac:dyDescent="0.25">
      <c r="A31" s="22" t="s">
        <v>144</v>
      </c>
      <c r="B31" s="36">
        <v>45762.17708333333</v>
      </c>
      <c r="C31" s="36">
        <v>45764.41527777778</v>
      </c>
      <c r="D31" s="22" t="s">
        <v>33</v>
      </c>
      <c r="E31" s="22" t="s">
        <v>65</v>
      </c>
      <c r="F31" s="22" t="s">
        <v>43</v>
      </c>
      <c r="G31" s="22" t="s">
        <v>63</v>
      </c>
      <c r="H31" s="22" t="s">
        <v>67</v>
      </c>
      <c r="I31" s="22" t="s">
        <v>108</v>
      </c>
      <c r="J31" s="23">
        <v>48</v>
      </c>
      <c r="K31" s="37">
        <v>0</v>
      </c>
      <c r="L31" s="37">
        <v>2</v>
      </c>
      <c r="M31" s="22">
        <f>IF(OR(ISBLANK(C31),C31=""),"",ROUND((C31-B31)*24,2))</f>
        <v>53.72</v>
      </c>
      <c r="N31" s="38" t="str">
        <f>IF(OR(ISBLANK(C31),C31="",M31=""),"In Progress",IF(M31&lt;=J31,"Met","Breached"))</f>
        <v>Breached</v>
      </c>
    </row>
    <row r="32" ht="19" customHeight="1" spans="1:14" x14ac:dyDescent="0.25">
      <c r="A32" s="19" t="s">
        <v>145</v>
      </c>
      <c r="B32" s="33">
        <v>46226.05138888889</v>
      </c>
      <c r="C32" s="33">
        <v>46226.81388888889</v>
      </c>
      <c r="D32" s="19" t="s">
        <v>33</v>
      </c>
      <c r="E32" s="19" t="s">
        <v>61</v>
      </c>
      <c r="F32" s="19" t="s">
        <v>37</v>
      </c>
      <c r="G32" s="19" t="s">
        <v>63</v>
      </c>
      <c r="H32" s="19" t="s">
        <v>63</v>
      </c>
      <c r="I32" s="19" t="s">
        <v>111</v>
      </c>
      <c r="J32" s="20">
        <v>12</v>
      </c>
      <c r="K32" s="34">
        <v>0</v>
      </c>
      <c r="M32" s="19">
        <f>IF(OR(ISBLANK(C32),C32=""),"",ROUND((C32-B32)*24,2))</f>
        <v>18.3</v>
      </c>
      <c r="N32" s="39" t="str">
        <f>IF(OR(ISBLANK(C32),C32="",M32=""),"In Progress",IF(M32&lt;=J32,"Met","Breached"))</f>
        <v>Breached</v>
      </c>
    </row>
    <row r="33" ht="19" customHeight="1" spans="1:14" x14ac:dyDescent="0.25">
      <c r="A33" s="22" t="s">
        <v>146</v>
      </c>
      <c r="B33" s="36">
        <v>45778.304861111115</v>
      </c>
      <c r="C33" s="36">
        <v>45779.45625</v>
      </c>
      <c r="D33" s="22" t="s">
        <v>33</v>
      </c>
      <c r="E33" s="22" t="s">
        <v>65</v>
      </c>
      <c r="F33" s="22" t="s">
        <v>40</v>
      </c>
      <c r="G33" s="22" t="s">
        <v>63</v>
      </c>
      <c r="H33" s="22" t="s">
        <v>59</v>
      </c>
      <c r="I33" s="22" t="s">
        <v>147</v>
      </c>
      <c r="J33" s="23">
        <v>48</v>
      </c>
      <c r="K33" s="37">
        <v>0</v>
      </c>
      <c r="L33" s="37">
        <v>5</v>
      </c>
      <c r="M33" s="22">
        <f>IF(OR(ISBLANK(C33),C33=""),"",ROUND((C33-B33)*24,2))</f>
        <v>27.63</v>
      </c>
      <c r="N33" s="40" t="str">
        <f>IF(OR(ISBLANK(C33),C33="",M33=""),"In Progress",IF(M33&lt;=J33,"Met","Breached"))</f>
        <v>Met</v>
      </c>
    </row>
    <row r="34" ht="19" customHeight="1" spans="1:14" x14ac:dyDescent="0.25">
      <c r="A34" s="19" t="s">
        <v>148</v>
      </c>
      <c r="B34" s="33">
        <v>45888.72013888889</v>
      </c>
      <c r="C34" s="33">
        <v>45892.28472222222</v>
      </c>
      <c r="D34" s="19" t="s">
        <v>36</v>
      </c>
      <c r="E34" s="19" t="s">
        <v>65</v>
      </c>
      <c r="F34" s="19" t="s">
        <v>37</v>
      </c>
      <c r="G34" s="19" t="s">
        <v>116</v>
      </c>
      <c r="H34" s="19" t="s">
        <v>67</v>
      </c>
      <c r="I34" s="19" t="s">
        <v>123</v>
      </c>
      <c r="J34" s="20">
        <v>48</v>
      </c>
      <c r="K34" s="34">
        <v>0</v>
      </c>
      <c r="L34" s="34">
        <v>2</v>
      </c>
      <c r="M34" s="19">
        <f>IF(OR(ISBLANK(C34),C34=""),"",ROUND((C34-B34)*24,2))</f>
        <v>85.55</v>
      </c>
      <c r="N34" s="39" t="str">
        <f>IF(OR(ISBLANK(C34),C34="",M34=""),"In Progress",IF(M34&lt;=J34,"Met","Breached"))</f>
        <v>Breached</v>
      </c>
    </row>
    <row r="35" ht="19" customHeight="1" spans="1:14" x14ac:dyDescent="0.25">
      <c r="A35" s="22" t="s">
        <v>149</v>
      </c>
      <c r="B35" s="36">
        <v>45879.228472222225</v>
      </c>
      <c r="C35" s="36">
        <v>45883.851388888885</v>
      </c>
      <c r="D35" s="22" t="s">
        <v>33</v>
      </c>
      <c r="E35" s="22" t="s">
        <v>69</v>
      </c>
      <c r="F35" s="22" t="s">
        <v>40</v>
      </c>
      <c r="G35" s="22" t="s">
        <v>121</v>
      </c>
      <c r="H35" s="22" t="s">
        <v>59</v>
      </c>
      <c r="I35" s="22" t="s">
        <v>111</v>
      </c>
      <c r="J35" s="23">
        <v>120</v>
      </c>
      <c r="K35" s="37">
        <v>0</v>
      </c>
      <c r="L35" s="37">
        <v>5</v>
      </c>
      <c r="M35" s="22">
        <f>IF(OR(ISBLANK(C35),C35=""),"",ROUND((C35-B35)*24,2))</f>
        <v>110.95</v>
      </c>
      <c r="N35" s="40" t="str">
        <f>IF(OR(ISBLANK(C35),C35="",M35=""),"In Progress",IF(M35&lt;=J35,"Met","Breached"))</f>
        <v>Met</v>
      </c>
    </row>
    <row r="36" ht="19" customHeight="1" spans="1:14" x14ac:dyDescent="0.25">
      <c r="A36" s="19" t="s">
        <v>150</v>
      </c>
      <c r="B36" s="33">
        <v>46240.02569444444</v>
      </c>
      <c r="D36" s="19" t="s">
        <v>39</v>
      </c>
      <c r="E36" s="19" t="s">
        <v>57</v>
      </c>
      <c r="F36" s="19" t="s">
        <v>43</v>
      </c>
      <c r="G36" s="19" t="s">
        <v>110</v>
      </c>
      <c r="H36" s="19" t="s">
        <v>71</v>
      </c>
      <c r="I36" s="19" t="s">
        <v>114</v>
      </c>
      <c r="J36" s="20">
        <v>4</v>
      </c>
      <c r="K36" s="34">
        <v>0</v>
      </c>
      <c r="M36" s="19" t="str">
        <f>IF(OR(ISBLANK(C36),C36=""),"",ROUND((C36-B36)*24,2))</f>
        <v/>
      </c>
      <c r="N36" s="19" t="str">
        <f>IF(OR(ISBLANK(C36),C36="",M36=""),"In Progress",IF(M36&lt;=J36,"Met","Breached"))</f>
        <v>In Progress</v>
      </c>
    </row>
    <row r="37" ht="19" customHeight="1" spans="1:14" x14ac:dyDescent="0.25">
      <c r="A37" s="22" t="s">
        <v>151</v>
      </c>
      <c r="B37" s="36">
        <v>45667.8875</v>
      </c>
      <c r="C37" s="36">
        <v>45673.24652777778</v>
      </c>
      <c r="D37" s="22" t="s">
        <v>33</v>
      </c>
      <c r="E37" s="22" t="s">
        <v>69</v>
      </c>
      <c r="F37" s="22" t="s">
        <v>37</v>
      </c>
      <c r="G37" s="22" t="s">
        <v>113</v>
      </c>
      <c r="H37" s="22" t="s">
        <v>63</v>
      </c>
      <c r="I37" s="22" t="s">
        <v>123</v>
      </c>
      <c r="J37" s="23">
        <v>120</v>
      </c>
      <c r="K37" s="37">
        <v>0</v>
      </c>
      <c r="L37" s="37">
        <v>4</v>
      </c>
      <c r="M37" s="22">
        <f>IF(OR(ISBLANK(C37),C37=""),"",ROUND((C37-B37)*24,2))</f>
        <v>128.62</v>
      </c>
      <c r="N37" s="38" t="str">
        <f>IF(OR(ISBLANK(C37),C37="",M37=""),"In Progress",IF(M37&lt;=J37,"Met","Breached"))</f>
        <v>Breached</v>
      </c>
    </row>
    <row r="38" ht="19" customHeight="1" spans="1:14" x14ac:dyDescent="0.25">
      <c r="A38" s="19" t="s">
        <v>152</v>
      </c>
      <c r="B38" s="33">
        <v>45825.67152777778</v>
      </c>
      <c r="D38" s="19" t="s">
        <v>39</v>
      </c>
      <c r="E38" s="19" t="s">
        <v>65</v>
      </c>
      <c r="F38" s="19" t="s">
        <v>40</v>
      </c>
      <c r="G38" s="19" t="s">
        <v>126</v>
      </c>
      <c r="H38" s="19" t="s">
        <v>59</v>
      </c>
      <c r="I38" s="19" t="s">
        <v>114</v>
      </c>
      <c r="J38" s="20">
        <v>48</v>
      </c>
      <c r="K38" s="34">
        <v>0</v>
      </c>
      <c r="M38" s="19" t="str">
        <f>IF(OR(ISBLANK(C38),C38=""),"",ROUND((C38-B38)*24,2))</f>
        <v/>
      </c>
      <c r="N38" s="19" t="str">
        <f>IF(OR(ISBLANK(C38),C38="",M38=""),"In Progress",IF(M38&lt;=J38,"Met","Breached"))</f>
        <v>In Progress</v>
      </c>
    </row>
    <row r="39" ht="19" customHeight="1" spans="1:14" x14ac:dyDescent="0.25">
      <c r="A39" s="22" t="s">
        <v>153</v>
      </c>
      <c r="B39" s="36">
        <v>46069.52777777778</v>
      </c>
      <c r="C39" s="36">
        <v>46071.87569444445</v>
      </c>
      <c r="D39" s="22" t="s">
        <v>36</v>
      </c>
      <c r="E39" s="22" t="s">
        <v>65</v>
      </c>
      <c r="F39" s="22" t="s">
        <v>37</v>
      </c>
      <c r="G39" s="22" t="s">
        <v>63</v>
      </c>
      <c r="H39" s="22" t="s">
        <v>59</v>
      </c>
      <c r="I39" s="22" t="s">
        <v>111</v>
      </c>
      <c r="J39" s="23">
        <v>48</v>
      </c>
      <c r="K39" s="37">
        <v>0</v>
      </c>
      <c r="L39" s="37">
        <v>1</v>
      </c>
      <c r="M39" s="22">
        <f>IF(OR(ISBLANK(C39),C39=""),"",ROUND((C39-B39)*24,2))</f>
        <v>56.35</v>
      </c>
      <c r="N39" s="38" t="str">
        <f>IF(OR(ISBLANK(C39),C39="",M39=""),"In Progress",IF(M39&lt;=J39,"Met","Breached"))</f>
        <v>Breached</v>
      </c>
    </row>
    <row r="40" ht="19" customHeight="1" spans="1:14" x14ac:dyDescent="0.25">
      <c r="A40" s="19" t="s">
        <v>154</v>
      </c>
      <c r="B40" s="33">
        <v>46186.31875</v>
      </c>
      <c r="C40" s="33">
        <v>46189.67152777778</v>
      </c>
      <c r="D40" s="19" t="s">
        <v>33</v>
      </c>
      <c r="E40" s="19" t="s">
        <v>65</v>
      </c>
      <c r="F40" s="19" t="s">
        <v>43</v>
      </c>
      <c r="G40" s="19" t="s">
        <v>116</v>
      </c>
      <c r="H40" s="19" t="s">
        <v>59</v>
      </c>
      <c r="I40" s="19" t="s">
        <v>108</v>
      </c>
      <c r="J40" s="20">
        <v>48</v>
      </c>
      <c r="K40" s="34">
        <v>0</v>
      </c>
      <c r="M40" s="19">
        <f>IF(OR(ISBLANK(C40),C40=""),"",ROUND((C40-B40)*24,2))</f>
        <v>80.47</v>
      </c>
      <c r="N40" s="39" t="str">
        <f>IF(OR(ISBLANK(C40),C40="",M40=""),"In Progress",IF(M40&lt;=J40,"Met","Breached"))</f>
        <v>Breached</v>
      </c>
    </row>
    <row r="41" ht="19" customHeight="1" spans="1:14" x14ac:dyDescent="0.25">
      <c r="A41" s="22" t="s">
        <v>155</v>
      </c>
      <c r="B41" s="36">
        <v>45778.540972222225</v>
      </c>
      <c r="C41" s="36">
        <v>45785.47430555556</v>
      </c>
      <c r="D41" s="22" t="s">
        <v>33</v>
      </c>
      <c r="E41" s="22" t="s">
        <v>69</v>
      </c>
      <c r="F41" s="22" t="s">
        <v>34</v>
      </c>
      <c r="G41" s="22" t="s">
        <v>121</v>
      </c>
      <c r="H41" s="22" t="s">
        <v>63</v>
      </c>
      <c r="I41" s="22" t="s">
        <v>123</v>
      </c>
      <c r="J41" s="23">
        <v>120</v>
      </c>
      <c r="K41" s="37">
        <v>0</v>
      </c>
      <c r="M41" s="22">
        <f>IF(OR(ISBLANK(C41),C41=""),"",ROUND((C41-B41)*24,2))</f>
        <v>166.4</v>
      </c>
      <c r="N41" s="38" t="str">
        <f>IF(OR(ISBLANK(C41),C41="",M41=""),"In Progress",IF(M41&lt;=J41,"Met","Breached"))</f>
        <v>Breached</v>
      </c>
    </row>
    <row r="42" ht="19" customHeight="1" spans="1:14" x14ac:dyDescent="0.25">
      <c r="A42" s="19" t="s">
        <v>156</v>
      </c>
      <c r="B42" s="33">
        <v>46153.16805555555</v>
      </c>
      <c r="C42" s="33">
        <v>46155.679861111115</v>
      </c>
      <c r="D42" s="19" t="s">
        <v>33</v>
      </c>
      <c r="E42" s="19" t="s">
        <v>65</v>
      </c>
      <c r="F42" s="19" t="s">
        <v>34</v>
      </c>
      <c r="G42" s="19" t="s">
        <v>121</v>
      </c>
      <c r="H42" s="19" t="s">
        <v>63</v>
      </c>
      <c r="I42" s="19" t="s">
        <v>108</v>
      </c>
      <c r="J42" s="20">
        <v>48</v>
      </c>
      <c r="K42" s="34">
        <v>0</v>
      </c>
      <c r="L42" s="34">
        <v>4</v>
      </c>
      <c r="M42" s="19">
        <f>IF(OR(ISBLANK(C42),C42=""),"",ROUND((C42-B42)*24,2))</f>
        <v>60.28</v>
      </c>
      <c r="N42" s="39" t="str">
        <f>IF(OR(ISBLANK(C42),C42="",M42=""),"In Progress",IF(M42&lt;=J42,"Met","Breached"))</f>
        <v>Breached</v>
      </c>
    </row>
    <row r="43" ht="19" customHeight="1" spans="1:14" x14ac:dyDescent="0.25">
      <c r="A43" s="22" t="s">
        <v>157</v>
      </c>
      <c r="B43" s="36">
        <v>46196.273611111115</v>
      </c>
      <c r="C43" s="36">
        <v>46204.304861111115</v>
      </c>
      <c r="D43" s="22" t="s">
        <v>33</v>
      </c>
      <c r="E43" s="22" t="s">
        <v>69</v>
      </c>
      <c r="F43" s="22" t="s">
        <v>34</v>
      </c>
      <c r="G43" s="22" t="s">
        <v>126</v>
      </c>
      <c r="H43" s="22" t="s">
        <v>67</v>
      </c>
      <c r="I43" s="22" t="s">
        <v>123</v>
      </c>
      <c r="J43" s="23">
        <v>120</v>
      </c>
      <c r="K43" s="37">
        <v>0</v>
      </c>
      <c r="L43" s="37">
        <v>2</v>
      </c>
      <c r="M43" s="22">
        <f>IF(OR(ISBLANK(C43),C43=""),"",ROUND((C43-B43)*24,2))</f>
        <v>192.75</v>
      </c>
      <c r="N43" s="38" t="str">
        <f>IF(OR(ISBLANK(C43),C43="",M43=""),"In Progress",IF(M43&lt;=J43,"Met","Breached"))</f>
        <v>Breached</v>
      </c>
    </row>
    <row r="44" ht="19" customHeight="1" spans="1:14" x14ac:dyDescent="0.25">
      <c r="A44" s="19" t="s">
        <v>158</v>
      </c>
      <c r="B44" s="33">
        <v>45931.83194444445</v>
      </c>
      <c r="D44" s="19" t="s">
        <v>42</v>
      </c>
      <c r="E44" s="19" t="s">
        <v>65</v>
      </c>
      <c r="F44" s="19" t="s">
        <v>43</v>
      </c>
      <c r="G44" s="19" t="s">
        <v>116</v>
      </c>
      <c r="H44" s="19" t="s">
        <v>59</v>
      </c>
      <c r="I44" s="19" t="s">
        <v>123</v>
      </c>
      <c r="J44" s="20">
        <v>48</v>
      </c>
      <c r="K44" s="34">
        <v>0</v>
      </c>
      <c r="M44" s="19" t="str">
        <f>IF(OR(ISBLANK(C44),C44=""),"",ROUND((C44-B44)*24,2))</f>
        <v/>
      </c>
      <c r="N44" s="19" t="str">
        <f>IF(OR(ISBLANK(C44),C44="",M44=""),"In Progress",IF(M44&lt;=J44,"Met","Breached"))</f>
        <v>In Progress</v>
      </c>
    </row>
    <row r="45" ht="19" customHeight="1" spans="1:14" x14ac:dyDescent="0.25">
      <c r="A45" s="22" t="s">
        <v>159</v>
      </c>
      <c r="B45" s="36">
        <v>46016.60416666667</v>
      </c>
      <c r="C45" s="36">
        <v>46024.49444444444</v>
      </c>
      <c r="D45" s="22" t="s">
        <v>36</v>
      </c>
      <c r="E45" s="22" t="s">
        <v>69</v>
      </c>
      <c r="F45" s="22" t="s">
        <v>37</v>
      </c>
      <c r="G45" s="22" t="s">
        <v>126</v>
      </c>
      <c r="H45" s="22" t="s">
        <v>59</v>
      </c>
      <c r="I45" s="22" t="s">
        <v>111</v>
      </c>
      <c r="J45" s="23">
        <v>120</v>
      </c>
      <c r="K45" s="37">
        <v>0</v>
      </c>
      <c r="L45" s="37">
        <v>4</v>
      </c>
      <c r="M45" s="22">
        <f>IF(OR(ISBLANK(C45),C45=""),"",ROUND((C45-B45)*24,2))</f>
        <v>189.37</v>
      </c>
      <c r="N45" s="38" t="str">
        <f>IF(OR(ISBLANK(C45),C45="",M45=""),"In Progress",IF(M45&lt;=J45,"Met","Breached"))</f>
        <v>Breached</v>
      </c>
    </row>
    <row r="46" ht="19" customHeight="1" spans="1:14" x14ac:dyDescent="0.25">
      <c r="A46" s="19" t="s">
        <v>160</v>
      </c>
      <c r="B46" s="33">
        <v>45836.3625</v>
      </c>
      <c r="C46" s="33">
        <v>45837.152083333334</v>
      </c>
      <c r="D46" s="19" t="s">
        <v>36</v>
      </c>
      <c r="E46" s="19" t="s">
        <v>61</v>
      </c>
      <c r="F46" s="19" t="s">
        <v>37</v>
      </c>
      <c r="G46" s="19" t="s">
        <v>63</v>
      </c>
      <c r="H46" s="19" t="s">
        <v>63</v>
      </c>
      <c r="I46" s="19" t="s">
        <v>147</v>
      </c>
      <c r="J46" s="20">
        <v>12</v>
      </c>
      <c r="K46" s="34">
        <v>0</v>
      </c>
      <c r="L46" s="34">
        <v>5</v>
      </c>
      <c r="M46" s="19">
        <f>IF(OR(ISBLANK(C46),C46=""),"",ROUND((C46-B46)*24,2))</f>
        <v>18.95</v>
      </c>
      <c r="N46" s="39" t="str">
        <f>IF(OR(ISBLANK(C46),C46="",M46=""),"In Progress",IF(M46&lt;=J46,"Met","Breached"))</f>
        <v>Breached</v>
      </c>
    </row>
    <row r="47" ht="19" customHeight="1" spans="1:14" x14ac:dyDescent="0.25">
      <c r="A47" s="22" t="s">
        <v>161</v>
      </c>
      <c r="B47" s="36">
        <v>45710.85277777778</v>
      </c>
      <c r="D47" s="22" t="s">
        <v>39</v>
      </c>
      <c r="E47" s="22" t="s">
        <v>61</v>
      </c>
      <c r="F47" s="22" t="s">
        <v>43</v>
      </c>
      <c r="G47" s="22" t="s">
        <v>121</v>
      </c>
      <c r="H47" s="22" t="s">
        <v>63</v>
      </c>
      <c r="I47" s="22" t="s">
        <v>111</v>
      </c>
      <c r="J47" s="23">
        <v>12</v>
      </c>
      <c r="K47" s="37">
        <v>0</v>
      </c>
      <c r="M47" s="22" t="str">
        <f>IF(OR(ISBLANK(C47),C47=""),"",ROUND((C47-B47)*24,2))</f>
        <v/>
      </c>
      <c r="N47" s="22" t="str">
        <f>IF(OR(ISBLANK(C47),C47="",M47=""),"In Progress",IF(M47&lt;=J47,"Met","Breached"))</f>
        <v>In Progress</v>
      </c>
    </row>
    <row r="48" ht="19" customHeight="1" spans="1:14" x14ac:dyDescent="0.25">
      <c r="A48" s="19" t="s">
        <v>162</v>
      </c>
      <c r="B48" s="33">
        <v>46095.27222222222</v>
      </c>
      <c r="C48" s="33">
        <v>46103.17916666667</v>
      </c>
      <c r="D48" s="19" t="s">
        <v>33</v>
      </c>
      <c r="E48" s="19" t="s">
        <v>69</v>
      </c>
      <c r="F48" s="19" t="s">
        <v>37</v>
      </c>
      <c r="G48" s="19" t="s">
        <v>113</v>
      </c>
      <c r="H48" s="19" t="s">
        <v>71</v>
      </c>
      <c r="I48" s="19" t="s">
        <v>123</v>
      </c>
      <c r="J48" s="20">
        <v>120</v>
      </c>
      <c r="K48" s="34">
        <v>0</v>
      </c>
      <c r="L48" s="34">
        <v>5</v>
      </c>
      <c r="M48" s="19">
        <f>IF(OR(ISBLANK(C48),C48=""),"",ROUND((C48-B48)*24,2))</f>
        <v>189.77</v>
      </c>
      <c r="N48" s="39" t="str">
        <f>IF(OR(ISBLANK(C48),C48="",M48=""),"In Progress",IF(M48&lt;=J48,"Met","Breached"))</f>
        <v>Breached</v>
      </c>
    </row>
    <row r="49" ht="19" customHeight="1" spans="1:14" x14ac:dyDescent="0.25">
      <c r="A49" s="22" t="s">
        <v>163</v>
      </c>
      <c r="B49" s="36">
        <v>46217.663888888885</v>
      </c>
      <c r="C49" s="36">
        <v>46225.59097222222</v>
      </c>
      <c r="D49" s="22" t="s">
        <v>33</v>
      </c>
      <c r="E49" s="22" t="s">
        <v>69</v>
      </c>
      <c r="F49" s="22" t="s">
        <v>34</v>
      </c>
      <c r="G49" s="22" t="s">
        <v>121</v>
      </c>
      <c r="H49" s="22" t="s">
        <v>59</v>
      </c>
      <c r="I49" s="22" t="s">
        <v>123</v>
      </c>
      <c r="J49" s="23">
        <v>120</v>
      </c>
      <c r="K49" s="37">
        <v>0</v>
      </c>
      <c r="M49" s="22">
        <f>IF(OR(ISBLANK(C49),C49=""),"",ROUND((C49-B49)*24,2))</f>
        <v>190.25</v>
      </c>
      <c r="N49" s="38" t="str">
        <f>IF(OR(ISBLANK(C49),C49="",M49=""),"In Progress",IF(M49&lt;=J49,"Met","Breached"))</f>
        <v>Breached</v>
      </c>
    </row>
    <row r="50" ht="19" customHeight="1" spans="1:14" x14ac:dyDescent="0.25">
      <c r="A50" s="19" t="s">
        <v>164</v>
      </c>
      <c r="B50" s="33">
        <v>45886.101388888885</v>
      </c>
      <c r="C50" s="33">
        <v>45890.275</v>
      </c>
      <c r="D50" s="19" t="s">
        <v>33</v>
      </c>
      <c r="E50" s="19" t="s">
        <v>69</v>
      </c>
      <c r="F50" s="19" t="s">
        <v>40</v>
      </c>
      <c r="G50" s="19" t="s">
        <v>121</v>
      </c>
      <c r="H50" s="19" t="s">
        <v>59</v>
      </c>
      <c r="I50" s="19" t="s">
        <v>111</v>
      </c>
      <c r="J50" s="20">
        <v>120</v>
      </c>
      <c r="K50" s="34">
        <v>0</v>
      </c>
      <c r="M50" s="19">
        <f>IF(OR(ISBLANK(C50),C50=""),"",ROUND((C50-B50)*24,2))</f>
        <v>100.17</v>
      </c>
      <c r="N50" s="35" t="str">
        <f>IF(OR(ISBLANK(C50),C50="",M50=""),"In Progress",IF(M50&lt;=J50,"Met","Breached"))</f>
        <v>Met</v>
      </c>
    </row>
    <row r="51" ht="19" customHeight="1" spans="1:14" x14ac:dyDescent="0.25">
      <c r="A51" s="22" t="s">
        <v>165</v>
      </c>
      <c r="B51" s="36">
        <v>46166.61319444445</v>
      </c>
      <c r="C51" s="36">
        <v>46170.04513888889</v>
      </c>
      <c r="D51" s="22" t="s">
        <v>33</v>
      </c>
      <c r="E51" s="22" t="s">
        <v>65</v>
      </c>
      <c r="F51" s="22" t="s">
        <v>43</v>
      </c>
      <c r="G51" s="22" t="s">
        <v>110</v>
      </c>
      <c r="H51" s="22" t="s">
        <v>59</v>
      </c>
      <c r="I51" s="22" t="s">
        <v>117</v>
      </c>
      <c r="J51" s="23">
        <v>48</v>
      </c>
      <c r="K51" s="37">
        <v>0</v>
      </c>
      <c r="M51" s="22">
        <f>IF(OR(ISBLANK(C51),C51=""),"",ROUND((C51-B51)*24,2))</f>
        <v>82.37</v>
      </c>
      <c r="N51" s="38" t="str">
        <f>IF(OR(ISBLANK(C51),C51="",M51=""),"In Progress",IF(M51&lt;=J51,"Met","Breached"))</f>
        <v>Breached</v>
      </c>
    </row>
    <row r="52" ht="19" customHeight="1" spans="1:14" x14ac:dyDescent="0.25">
      <c r="A52" s="19" t="s">
        <v>166</v>
      </c>
      <c r="B52" s="33">
        <v>46044.399305555555</v>
      </c>
      <c r="C52" s="33">
        <v>46045.07708333334</v>
      </c>
      <c r="D52" s="19" t="s">
        <v>33</v>
      </c>
      <c r="E52" s="19" t="s">
        <v>65</v>
      </c>
      <c r="F52" s="19" t="s">
        <v>34</v>
      </c>
      <c r="G52" s="19" t="s">
        <v>110</v>
      </c>
      <c r="H52" s="19" t="s">
        <v>59</v>
      </c>
      <c r="I52" s="19" t="s">
        <v>108</v>
      </c>
      <c r="J52" s="20">
        <v>48</v>
      </c>
      <c r="K52" s="34">
        <v>0</v>
      </c>
      <c r="L52" s="34">
        <v>2</v>
      </c>
      <c r="M52" s="19">
        <f>IF(OR(ISBLANK(C52),C52=""),"",ROUND((C52-B52)*24,2))</f>
        <v>16.27</v>
      </c>
      <c r="N52" s="35" t="str">
        <f>IF(OR(ISBLANK(C52),C52="",M52=""),"In Progress",IF(M52&lt;=J52,"Met","Breached"))</f>
        <v>Met</v>
      </c>
    </row>
    <row r="53" ht="19" customHeight="1" spans="1:14" x14ac:dyDescent="0.25">
      <c r="A53" s="22" t="s">
        <v>167</v>
      </c>
      <c r="B53" s="36">
        <v>46097.31805555556</v>
      </c>
      <c r="C53" s="36">
        <v>46104.86458333333</v>
      </c>
      <c r="D53" s="22" t="s">
        <v>33</v>
      </c>
      <c r="E53" s="22" t="s">
        <v>69</v>
      </c>
      <c r="F53" s="22" t="s">
        <v>37</v>
      </c>
      <c r="G53" s="22" t="s">
        <v>116</v>
      </c>
      <c r="H53" s="22" t="s">
        <v>71</v>
      </c>
      <c r="I53" s="22" t="s">
        <v>147</v>
      </c>
      <c r="J53" s="23">
        <v>120</v>
      </c>
      <c r="K53" s="37">
        <v>0</v>
      </c>
      <c r="L53" s="37">
        <v>5</v>
      </c>
      <c r="M53" s="22">
        <f>IF(OR(ISBLANK(C53),C53=""),"",ROUND((C53-B53)*24,2))</f>
        <v>181.12</v>
      </c>
      <c r="N53" s="38" t="str">
        <f>IF(OR(ISBLANK(C53),C53="",M53=""),"In Progress",IF(M53&lt;=J53,"Met","Breached"))</f>
        <v>Breached</v>
      </c>
    </row>
    <row r="54" ht="19" customHeight="1" spans="1:14" x14ac:dyDescent="0.25">
      <c r="A54" s="19" t="s">
        <v>168</v>
      </c>
      <c r="B54" s="33">
        <v>46185.120833333334</v>
      </c>
      <c r="C54" s="33">
        <v>46186.54027777778</v>
      </c>
      <c r="D54" s="19" t="s">
        <v>36</v>
      </c>
      <c r="E54" s="19" t="s">
        <v>65</v>
      </c>
      <c r="F54" s="19" t="s">
        <v>37</v>
      </c>
      <c r="G54" s="19" t="s">
        <v>110</v>
      </c>
      <c r="H54" s="19" t="s">
        <v>59</v>
      </c>
      <c r="I54" s="19" t="s">
        <v>111</v>
      </c>
      <c r="J54" s="20">
        <v>48</v>
      </c>
      <c r="K54" s="34">
        <v>0</v>
      </c>
      <c r="L54" s="34">
        <v>1</v>
      </c>
      <c r="M54" s="19">
        <f>IF(OR(ISBLANK(C54),C54=""),"",ROUND((C54-B54)*24,2))</f>
        <v>34.07</v>
      </c>
      <c r="N54" s="35" t="str">
        <f>IF(OR(ISBLANK(C54),C54="",M54=""),"In Progress",IF(M54&lt;=J54,"Met","Breached"))</f>
        <v>Met</v>
      </c>
    </row>
    <row r="55" ht="19" customHeight="1" spans="1:14" x14ac:dyDescent="0.25">
      <c r="A55" s="22" t="s">
        <v>169</v>
      </c>
      <c r="B55" s="36">
        <v>45903.23541666666</v>
      </c>
      <c r="C55" s="36">
        <v>45905.97986111111</v>
      </c>
      <c r="D55" s="22" t="s">
        <v>33</v>
      </c>
      <c r="E55" s="22" t="s">
        <v>65</v>
      </c>
      <c r="F55" s="22" t="s">
        <v>45</v>
      </c>
      <c r="G55" s="22" t="s">
        <v>113</v>
      </c>
      <c r="H55" s="22" t="s">
        <v>67</v>
      </c>
      <c r="I55" s="22" t="s">
        <v>123</v>
      </c>
      <c r="J55" s="23">
        <v>48</v>
      </c>
      <c r="K55" s="37">
        <v>0</v>
      </c>
      <c r="M55" s="22">
        <f>IF(OR(ISBLANK(C55),C55=""),"",ROUND((C55-B55)*24,2))</f>
        <v>65.87</v>
      </c>
      <c r="N55" s="38" t="str">
        <f>IF(OR(ISBLANK(C55),C55="",M55=""),"In Progress",IF(M55&lt;=J55,"Met","Breached"))</f>
        <v>Breached</v>
      </c>
    </row>
    <row r="56" ht="19" customHeight="1" spans="1:14" x14ac:dyDescent="0.25">
      <c r="A56" s="19" t="s">
        <v>170</v>
      </c>
      <c r="B56" s="33">
        <v>46165.506944444445</v>
      </c>
      <c r="C56" s="33">
        <v>46166.73888888889</v>
      </c>
      <c r="D56" s="19" t="s">
        <v>33</v>
      </c>
      <c r="E56" s="19" t="s">
        <v>65</v>
      </c>
      <c r="F56" s="19" t="s">
        <v>43</v>
      </c>
      <c r="G56" s="19" t="s">
        <v>116</v>
      </c>
      <c r="H56" s="19" t="s">
        <v>59</v>
      </c>
      <c r="I56" s="19" t="s">
        <v>111</v>
      </c>
      <c r="J56" s="20">
        <v>48</v>
      </c>
      <c r="K56" s="34">
        <v>0</v>
      </c>
      <c r="M56" s="19">
        <f>IF(OR(ISBLANK(C56),C56=""),"",ROUND((C56-B56)*24,2))</f>
        <v>29.57</v>
      </c>
      <c r="N56" s="35" t="str">
        <f>IF(OR(ISBLANK(C56),C56="",M56=""),"In Progress",IF(M56&lt;=J56,"Met","Breached"))</f>
        <v>Met</v>
      </c>
    </row>
    <row r="57" ht="19" customHeight="1" spans="1:14" x14ac:dyDescent="0.25">
      <c r="A57" s="22" t="s">
        <v>171</v>
      </c>
      <c r="B57" s="36">
        <v>45919.271527777775</v>
      </c>
      <c r="C57" s="36">
        <v>45921.81458333333</v>
      </c>
      <c r="D57" s="22" t="s">
        <v>33</v>
      </c>
      <c r="E57" s="22" t="s">
        <v>65</v>
      </c>
      <c r="F57" s="22" t="s">
        <v>34</v>
      </c>
      <c r="G57" s="22" t="s">
        <v>116</v>
      </c>
      <c r="H57" s="22" t="s">
        <v>59</v>
      </c>
      <c r="I57" s="22" t="s">
        <v>117</v>
      </c>
      <c r="J57" s="23">
        <v>48</v>
      </c>
      <c r="K57" s="37">
        <v>0</v>
      </c>
      <c r="L57" s="37">
        <v>2</v>
      </c>
      <c r="M57" s="22">
        <f>IF(OR(ISBLANK(C57),C57=""),"",ROUND((C57-B57)*24,2))</f>
        <v>61.03</v>
      </c>
      <c r="N57" s="38" t="str">
        <f>IF(OR(ISBLANK(C57),C57="",M57=""),"In Progress",IF(M57&lt;=J57,"Met","Breached"))</f>
        <v>Breached</v>
      </c>
    </row>
    <row r="58" ht="19" customHeight="1" spans="1:14" x14ac:dyDescent="0.25">
      <c r="A58" s="19" t="s">
        <v>172</v>
      </c>
      <c r="B58" s="33">
        <v>46152.17152777778</v>
      </c>
      <c r="C58" s="33">
        <v>46153.34236111111</v>
      </c>
      <c r="D58" s="19" t="s">
        <v>33</v>
      </c>
      <c r="E58" s="19" t="s">
        <v>65</v>
      </c>
      <c r="F58" s="19" t="s">
        <v>37</v>
      </c>
      <c r="G58" s="19" t="s">
        <v>126</v>
      </c>
      <c r="H58" s="19" t="s">
        <v>59</v>
      </c>
      <c r="I58" s="19" t="s">
        <v>117</v>
      </c>
      <c r="J58" s="20">
        <v>48</v>
      </c>
      <c r="K58" s="34">
        <v>0</v>
      </c>
      <c r="L58" s="34">
        <v>5</v>
      </c>
      <c r="M58" s="19">
        <f>IF(OR(ISBLANK(C58),C58=""),"",ROUND((C58-B58)*24,2))</f>
        <v>28.1</v>
      </c>
      <c r="N58" s="35" t="str">
        <f>IF(OR(ISBLANK(C58),C58="",M58=""),"In Progress",IF(M58&lt;=J58,"Met","Breached"))</f>
        <v>Met</v>
      </c>
    </row>
    <row r="59" ht="19" customHeight="1" spans="1:14" x14ac:dyDescent="0.25">
      <c r="A59" s="22" t="s">
        <v>173</v>
      </c>
      <c r="B59" s="36">
        <v>45781.705555555556</v>
      </c>
      <c r="C59" s="36">
        <v>45785.075</v>
      </c>
      <c r="D59" s="22" t="s">
        <v>33</v>
      </c>
      <c r="E59" s="22" t="s">
        <v>65</v>
      </c>
      <c r="F59" s="22" t="s">
        <v>43</v>
      </c>
      <c r="G59" s="22" t="s">
        <v>63</v>
      </c>
      <c r="H59" s="22" t="s">
        <v>67</v>
      </c>
      <c r="I59" s="22" t="s">
        <v>117</v>
      </c>
      <c r="J59" s="23">
        <v>48</v>
      </c>
      <c r="K59" s="37">
        <v>0</v>
      </c>
      <c r="M59" s="22">
        <f>IF(OR(ISBLANK(C59),C59=""),"",ROUND((C59-B59)*24,2))</f>
        <v>80.87</v>
      </c>
      <c r="N59" s="38" t="str">
        <f>IF(OR(ISBLANK(C59),C59="",M59=""),"In Progress",IF(M59&lt;=J59,"Met","Breached"))</f>
        <v>Breached</v>
      </c>
    </row>
    <row r="60" ht="19" customHeight="1" spans="1:14" x14ac:dyDescent="0.25">
      <c r="A60" s="19" t="s">
        <v>174</v>
      </c>
      <c r="B60" s="33">
        <v>45702.825</v>
      </c>
      <c r="C60" s="33">
        <v>45704.16111111111</v>
      </c>
      <c r="D60" s="19" t="s">
        <v>33</v>
      </c>
      <c r="E60" s="19" t="s">
        <v>65</v>
      </c>
      <c r="F60" s="19" t="s">
        <v>34</v>
      </c>
      <c r="G60" s="19" t="s">
        <v>126</v>
      </c>
      <c r="H60" s="19" t="s">
        <v>67</v>
      </c>
      <c r="I60" s="19" t="s">
        <v>111</v>
      </c>
      <c r="J60" s="20">
        <v>48</v>
      </c>
      <c r="K60" s="34">
        <v>0</v>
      </c>
      <c r="L60" s="34">
        <v>2</v>
      </c>
      <c r="M60" s="19">
        <f>IF(OR(ISBLANK(C60),C60=""),"",ROUND((C60-B60)*24,2))</f>
        <v>32.07</v>
      </c>
      <c r="N60" s="35" t="str">
        <f>IF(OR(ISBLANK(C60),C60="",M60=""),"In Progress",IF(M60&lt;=J60,"Met","Breached"))</f>
        <v>Met</v>
      </c>
    </row>
    <row r="61" ht="19" customHeight="1" spans="1:14" x14ac:dyDescent="0.25">
      <c r="A61" s="22" t="s">
        <v>175</v>
      </c>
      <c r="B61" s="36">
        <v>46257.11944444444</v>
      </c>
      <c r="C61" s="36">
        <v>46259.228472222225</v>
      </c>
      <c r="D61" s="22" t="s">
        <v>33</v>
      </c>
      <c r="E61" s="22" t="s">
        <v>65</v>
      </c>
      <c r="F61" s="22" t="s">
        <v>34</v>
      </c>
      <c r="G61" s="22" t="s">
        <v>110</v>
      </c>
      <c r="H61" s="22" t="s">
        <v>67</v>
      </c>
      <c r="I61" s="22" t="s">
        <v>117</v>
      </c>
      <c r="J61" s="23">
        <v>48</v>
      </c>
      <c r="K61" s="37">
        <v>0</v>
      </c>
      <c r="M61" s="22">
        <f>IF(OR(ISBLANK(C61),C61=""),"",ROUND((C61-B61)*24,2))</f>
        <v>50.62</v>
      </c>
      <c r="N61" s="38" t="str">
        <f>IF(OR(ISBLANK(C61),C61="",M61=""),"In Progress",IF(M61&lt;=J61,"Met","Breached"))</f>
        <v>Breached</v>
      </c>
    </row>
    <row r="62" ht="19" customHeight="1" spans="1:14" x14ac:dyDescent="0.25">
      <c r="A62" s="19" t="s">
        <v>176</v>
      </c>
      <c r="B62" s="33">
        <v>45940.26111111111</v>
      </c>
      <c r="C62" s="33">
        <v>45945.950694444444</v>
      </c>
      <c r="D62" s="19" t="s">
        <v>33</v>
      </c>
      <c r="E62" s="19" t="s">
        <v>69</v>
      </c>
      <c r="F62" s="19" t="s">
        <v>40</v>
      </c>
      <c r="G62" s="19" t="s">
        <v>126</v>
      </c>
      <c r="H62" s="19" t="s">
        <v>59</v>
      </c>
      <c r="I62" s="19" t="s">
        <v>117</v>
      </c>
      <c r="J62" s="20">
        <v>120</v>
      </c>
      <c r="K62" s="34">
        <v>0</v>
      </c>
      <c r="M62" s="19">
        <f>IF(OR(ISBLANK(C62),C62=""),"",ROUND((C62-B62)*24,2))</f>
        <v>136.55</v>
      </c>
      <c r="N62" s="39" t="str">
        <f>IF(OR(ISBLANK(C62),C62="",M62=""),"In Progress",IF(M62&lt;=J62,"Met","Breached"))</f>
        <v>Breached</v>
      </c>
    </row>
    <row r="63" ht="19" customHeight="1" spans="1:14" x14ac:dyDescent="0.25">
      <c r="A63" s="22" t="s">
        <v>177</v>
      </c>
      <c r="B63" s="36">
        <v>46011.41180555556</v>
      </c>
      <c r="C63" s="36">
        <v>46012.83541666667</v>
      </c>
      <c r="D63" s="22" t="s">
        <v>36</v>
      </c>
      <c r="E63" s="22" t="s">
        <v>65</v>
      </c>
      <c r="F63" s="22" t="s">
        <v>45</v>
      </c>
      <c r="G63" s="22" t="s">
        <v>116</v>
      </c>
      <c r="H63" s="22" t="s">
        <v>59</v>
      </c>
      <c r="I63" s="22" t="s">
        <v>147</v>
      </c>
      <c r="J63" s="23">
        <v>48</v>
      </c>
      <c r="K63" s="37">
        <v>0</v>
      </c>
      <c r="L63" s="37">
        <v>4</v>
      </c>
      <c r="M63" s="22">
        <f>IF(OR(ISBLANK(C63),C63=""),"",ROUND((C63-B63)*24,2))</f>
        <v>34.17</v>
      </c>
      <c r="N63" s="40" t="str">
        <f>IF(OR(ISBLANK(C63),C63="",M63=""),"In Progress",IF(M63&lt;=J63,"Met","Breached"))</f>
        <v>Met</v>
      </c>
    </row>
    <row r="64" ht="19" customHeight="1" spans="1:14" x14ac:dyDescent="0.25">
      <c r="A64" s="19" t="s">
        <v>178</v>
      </c>
      <c r="B64" s="33">
        <v>45905.23611111111</v>
      </c>
      <c r="D64" s="19" t="s">
        <v>39</v>
      </c>
      <c r="E64" s="19" t="s">
        <v>57</v>
      </c>
      <c r="F64" s="19" t="s">
        <v>43</v>
      </c>
      <c r="G64" s="19" t="s">
        <v>63</v>
      </c>
      <c r="H64" s="19" t="s">
        <v>67</v>
      </c>
      <c r="I64" s="19" t="s">
        <v>147</v>
      </c>
      <c r="J64" s="20">
        <v>4</v>
      </c>
      <c r="K64" s="34">
        <v>0</v>
      </c>
      <c r="M64" s="19" t="str">
        <f>IF(OR(ISBLANK(C64),C64=""),"",ROUND((C64-B64)*24,2))</f>
        <v/>
      </c>
      <c r="N64" s="19" t="str">
        <f>IF(OR(ISBLANK(C64),C64="",M64=""),"In Progress",IF(M64&lt;=J64,"Met","Breached"))</f>
        <v>In Progress</v>
      </c>
    </row>
    <row r="65" ht="19" customHeight="1" spans="1:14" x14ac:dyDescent="0.25">
      <c r="A65" s="22" t="s">
        <v>179</v>
      </c>
      <c r="B65" s="36">
        <v>45755.481944444444</v>
      </c>
      <c r="C65" s="36">
        <v>45756.09375</v>
      </c>
      <c r="D65" s="22" t="s">
        <v>33</v>
      </c>
      <c r="E65" s="22" t="s">
        <v>65</v>
      </c>
      <c r="F65" s="22" t="s">
        <v>40</v>
      </c>
      <c r="G65" s="22" t="s">
        <v>110</v>
      </c>
      <c r="H65" s="22" t="s">
        <v>67</v>
      </c>
      <c r="I65" s="22" t="s">
        <v>117</v>
      </c>
      <c r="J65" s="23">
        <v>48</v>
      </c>
      <c r="K65" s="37">
        <v>1</v>
      </c>
      <c r="L65" s="37">
        <v>4</v>
      </c>
      <c r="M65" s="22">
        <f>IF(OR(ISBLANK(C65),C65=""),"",ROUND((C65-B65)*24,2))</f>
        <v>14.68</v>
      </c>
      <c r="N65" s="40" t="str">
        <f>IF(OR(ISBLANK(C65),C65="",M65=""),"In Progress",IF(M65&lt;=J65,"Met","Breached"))</f>
        <v>Met</v>
      </c>
    </row>
    <row r="66" ht="19" customHeight="1" spans="1:14" x14ac:dyDescent="0.25">
      <c r="A66" s="19" t="s">
        <v>180</v>
      </c>
      <c r="B66" s="33">
        <v>45849.62013888889</v>
      </c>
      <c r="C66" s="33">
        <v>45853.65416666667</v>
      </c>
      <c r="D66" s="19" t="s">
        <v>36</v>
      </c>
      <c r="E66" s="19" t="s">
        <v>69</v>
      </c>
      <c r="F66" s="19" t="s">
        <v>34</v>
      </c>
      <c r="G66" s="19" t="s">
        <v>116</v>
      </c>
      <c r="H66" s="19" t="s">
        <v>67</v>
      </c>
      <c r="I66" s="19" t="s">
        <v>123</v>
      </c>
      <c r="J66" s="20">
        <v>120</v>
      </c>
      <c r="K66" s="34">
        <v>1</v>
      </c>
      <c r="L66" s="34">
        <v>1</v>
      </c>
      <c r="M66" s="19">
        <f>IF(OR(ISBLANK(C66),C66=""),"",ROUND((C66-B66)*24,2))</f>
        <v>96.82</v>
      </c>
      <c r="N66" s="35" t="str">
        <f>IF(OR(ISBLANK(C66),C66="",M66=""),"In Progress",IF(M66&lt;=J66,"Met","Breached"))</f>
        <v>Met</v>
      </c>
    </row>
    <row r="67" ht="19" customHeight="1" spans="1:14" x14ac:dyDescent="0.25">
      <c r="A67" s="22" t="s">
        <v>181</v>
      </c>
      <c r="B67" s="36">
        <v>45865.820138888885</v>
      </c>
      <c r="C67" s="36">
        <v>45866.50208333333</v>
      </c>
      <c r="D67" s="22" t="s">
        <v>36</v>
      </c>
      <c r="E67" s="22" t="s">
        <v>61</v>
      </c>
      <c r="F67" s="22" t="s">
        <v>40</v>
      </c>
      <c r="G67" s="22" t="s">
        <v>110</v>
      </c>
      <c r="H67" s="22" t="s">
        <v>59</v>
      </c>
      <c r="I67" s="22" t="s">
        <v>117</v>
      </c>
      <c r="J67" s="23">
        <v>12</v>
      </c>
      <c r="K67" s="37">
        <v>0</v>
      </c>
      <c r="L67" s="37">
        <v>4</v>
      </c>
      <c r="M67" s="22">
        <f>IF(OR(ISBLANK(C67),C67=""),"",ROUND((C67-B67)*24,2))</f>
        <v>16.37</v>
      </c>
      <c r="N67" s="38" t="str">
        <f>IF(OR(ISBLANK(C67),C67="",M67=""),"In Progress",IF(M67&lt;=J67,"Met","Breached"))</f>
        <v>Breached</v>
      </c>
    </row>
    <row r="68" ht="19" customHeight="1" spans="1:14" x14ac:dyDescent="0.25">
      <c r="A68" s="19" t="s">
        <v>182</v>
      </c>
      <c r="B68" s="33">
        <v>46233.955555555556</v>
      </c>
      <c r="D68" s="19" t="s">
        <v>39</v>
      </c>
      <c r="E68" s="19" t="s">
        <v>65</v>
      </c>
      <c r="F68" s="19" t="s">
        <v>43</v>
      </c>
      <c r="G68" s="19" t="s">
        <v>121</v>
      </c>
      <c r="H68" s="19" t="s">
        <v>59</v>
      </c>
      <c r="I68" s="19" t="s">
        <v>108</v>
      </c>
      <c r="J68" s="20">
        <v>48</v>
      </c>
      <c r="K68" s="34">
        <v>0</v>
      </c>
      <c r="M68" s="19" t="str">
        <f>IF(OR(ISBLANK(C68),C68=""),"",ROUND((C68-B68)*24,2))</f>
        <v/>
      </c>
      <c r="N68" s="19" t="str">
        <f>IF(OR(ISBLANK(C68),C68="",M68=""),"In Progress",IF(M68&lt;=J68,"Met","Breached"))</f>
        <v>In Progress</v>
      </c>
    </row>
    <row r="69" ht="19" customHeight="1" spans="1:14" x14ac:dyDescent="0.25">
      <c r="A69" s="22" t="s">
        <v>183</v>
      </c>
      <c r="B69" s="36">
        <v>45689.425</v>
      </c>
      <c r="C69" s="36">
        <v>45692.47361111111</v>
      </c>
      <c r="D69" s="22" t="s">
        <v>33</v>
      </c>
      <c r="E69" s="22" t="s">
        <v>65</v>
      </c>
      <c r="F69" s="22" t="s">
        <v>45</v>
      </c>
      <c r="G69" s="22" t="s">
        <v>116</v>
      </c>
      <c r="H69" s="22" t="s">
        <v>59</v>
      </c>
      <c r="I69" s="22" t="s">
        <v>114</v>
      </c>
      <c r="J69" s="23">
        <v>48</v>
      </c>
      <c r="K69" s="37">
        <v>0</v>
      </c>
      <c r="M69" s="22">
        <f>IF(OR(ISBLANK(C69),C69=""),"",ROUND((C69-B69)*24,2))</f>
        <v>73.17</v>
      </c>
      <c r="N69" s="38" t="str">
        <f>IF(OR(ISBLANK(C69),C69="",M69=""),"In Progress",IF(M69&lt;=J69,"Met","Breached"))</f>
        <v>Breached</v>
      </c>
    </row>
    <row r="70" ht="19" customHeight="1" spans="1:14" x14ac:dyDescent="0.25">
      <c r="A70" s="19" t="s">
        <v>184</v>
      </c>
      <c r="B70" s="33">
        <v>46108.61458333333</v>
      </c>
      <c r="C70" s="33">
        <v>46108.96527777778</v>
      </c>
      <c r="D70" s="19" t="s">
        <v>36</v>
      </c>
      <c r="E70" s="19" t="s">
        <v>61</v>
      </c>
      <c r="F70" s="19" t="s">
        <v>37</v>
      </c>
      <c r="G70" s="19" t="s">
        <v>110</v>
      </c>
      <c r="H70" s="19" t="s">
        <v>59</v>
      </c>
      <c r="I70" s="19" t="s">
        <v>123</v>
      </c>
      <c r="J70" s="20">
        <v>12</v>
      </c>
      <c r="K70" s="34">
        <v>0</v>
      </c>
      <c r="L70" s="34">
        <v>2</v>
      </c>
      <c r="M70" s="19">
        <f>IF(OR(ISBLANK(C70),C70=""),"",ROUND((C70-B70)*24,2))</f>
        <v>8.42</v>
      </c>
      <c r="N70" s="35" t="str">
        <f>IF(OR(ISBLANK(C70),C70="",M70=""),"In Progress",IF(M70&lt;=J70,"Met","Breached"))</f>
        <v>Met</v>
      </c>
    </row>
    <row r="71" ht="19" customHeight="1" spans="1:14" x14ac:dyDescent="0.25">
      <c r="A71" s="22" t="s">
        <v>185</v>
      </c>
      <c r="B71" s="36">
        <v>46179.78194444445</v>
      </c>
      <c r="C71" s="36">
        <v>46182.22777777778</v>
      </c>
      <c r="D71" s="22" t="s">
        <v>36</v>
      </c>
      <c r="E71" s="22" t="s">
        <v>65</v>
      </c>
      <c r="F71" s="22" t="s">
        <v>34</v>
      </c>
      <c r="G71" s="22" t="s">
        <v>63</v>
      </c>
      <c r="H71" s="22" t="s">
        <v>59</v>
      </c>
      <c r="I71" s="22" t="s">
        <v>123</v>
      </c>
      <c r="J71" s="23">
        <v>48</v>
      </c>
      <c r="K71" s="37">
        <v>0</v>
      </c>
      <c r="L71" s="37">
        <v>3</v>
      </c>
      <c r="M71" s="22">
        <f>IF(OR(ISBLANK(C71),C71=""),"",ROUND((C71-B71)*24,2))</f>
        <v>58.7</v>
      </c>
      <c r="N71" s="38" t="str">
        <f>IF(OR(ISBLANK(C71),C71="",M71=""),"In Progress",IF(M71&lt;=J71,"Met","Breached"))</f>
        <v>Breached</v>
      </c>
    </row>
    <row r="72" ht="19" customHeight="1" spans="1:14" x14ac:dyDescent="0.25">
      <c r="A72" s="19" t="s">
        <v>186</v>
      </c>
      <c r="B72" s="33">
        <v>46027.07430555555</v>
      </c>
      <c r="C72" s="33">
        <v>46034.027083333334</v>
      </c>
      <c r="D72" s="19" t="s">
        <v>33</v>
      </c>
      <c r="E72" s="19" t="s">
        <v>69</v>
      </c>
      <c r="F72" s="19" t="s">
        <v>40</v>
      </c>
      <c r="G72" s="19" t="s">
        <v>121</v>
      </c>
      <c r="H72" s="19" t="s">
        <v>59</v>
      </c>
      <c r="I72" s="19" t="s">
        <v>123</v>
      </c>
      <c r="J72" s="20">
        <v>120</v>
      </c>
      <c r="K72" s="34">
        <v>0</v>
      </c>
      <c r="L72" s="34">
        <v>5</v>
      </c>
      <c r="M72" s="19">
        <f>IF(OR(ISBLANK(C72),C72=""),"",ROUND((C72-B72)*24,2))</f>
        <v>166.87</v>
      </c>
      <c r="N72" s="39" t="str">
        <f>IF(OR(ISBLANK(C72),C72="",M72=""),"In Progress",IF(M72&lt;=J72,"Met","Breached"))</f>
        <v>Breached</v>
      </c>
    </row>
    <row r="73" ht="19" customHeight="1" spans="1:14" x14ac:dyDescent="0.25">
      <c r="A73" s="22" t="s">
        <v>187</v>
      </c>
      <c r="B73" s="36">
        <v>46232.98263888889</v>
      </c>
      <c r="C73" s="36">
        <v>46236.91666666667</v>
      </c>
      <c r="D73" s="22" t="s">
        <v>33</v>
      </c>
      <c r="E73" s="22" t="s">
        <v>69</v>
      </c>
      <c r="F73" s="22" t="s">
        <v>45</v>
      </c>
      <c r="G73" s="22" t="s">
        <v>63</v>
      </c>
      <c r="H73" s="22" t="s">
        <v>63</v>
      </c>
      <c r="I73" s="22" t="s">
        <v>108</v>
      </c>
      <c r="J73" s="23">
        <v>120</v>
      </c>
      <c r="K73" s="37">
        <v>0</v>
      </c>
      <c r="M73" s="22">
        <f>IF(OR(ISBLANK(C73),C73=""),"",ROUND((C73-B73)*24,2))</f>
        <v>94.42</v>
      </c>
      <c r="N73" s="40" t="str">
        <f>IF(OR(ISBLANK(C73),C73="",M73=""),"In Progress",IF(M73&lt;=J73,"Met","Breached"))</f>
        <v>Met</v>
      </c>
    </row>
    <row r="74" ht="19" customHeight="1" spans="1:14" x14ac:dyDescent="0.25">
      <c r="A74" s="19" t="s">
        <v>188</v>
      </c>
      <c r="B74" s="33">
        <v>45997.384722222225</v>
      </c>
      <c r="D74" s="19" t="s">
        <v>42</v>
      </c>
      <c r="E74" s="19" t="s">
        <v>61</v>
      </c>
      <c r="F74" s="19" t="s">
        <v>37</v>
      </c>
      <c r="G74" s="19" t="s">
        <v>126</v>
      </c>
      <c r="H74" s="19" t="s">
        <v>59</v>
      </c>
      <c r="I74" s="19" t="s">
        <v>117</v>
      </c>
      <c r="J74" s="20">
        <v>12</v>
      </c>
      <c r="K74" s="34">
        <v>0</v>
      </c>
      <c r="M74" s="19" t="str">
        <f>IF(OR(ISBLANK(C74),C74=""),"",ROUND((C74-B74)*24,2))</f>
        <v/>
      </c>
      <c r="N74" s="19" t="str">
        <f>IF(OR(ISBLANK(C74),C74="",M74=""),"In Progress",IF(M74&lt;=J74,"Met","Breached"))</f>
        <v>In Progress</v>
      </c>
    </row>
    <row r="75" ht="19" customHeight="1" spans="1:14" x14ac:dyDescent="0.25">
      <c r="A75" s="22" t="s">
        <v>189</v>
      </c>
      <c r="B75" s="36">
        <v>45721.450694444444</v>
      </c>
      <c r="C75" s="36">
        <v>45722.25555555556</v>
      </c>
      <c r="D75" s="22" t="s">
        <v>33</v>
      </c>
      <c r="E75" s="22" t="s">
        <v>61</v>
      </c>
      <c r="F75" s="22" t="s">
        <v>45</v>
      </c>
      <c r="G75" s="22" t="s">
        <v>121</v>
      </c>
      <c r="H75" s="22" t="s">
        <v>63</v>
      </c>
      <c r="I75" s="22" t="s">
        <v>114</v>
      </c>
      <c r="J75" s="23">
        <v>12</v>
      </c>
      <c r="K75" s="37">
        <v>0</v>
      </c>
      <c r="L75" s="37">
        <v>2</v>
      </c>
      <c r="M75" s="22">
        <f>IF(OR(ISBLANK(C75),C75=""),"",ROUND((C75-B75)*24,2))</f>
        <v>19.32</v>
      </c>
      <c r="N75" s="38" t="str">
        <f>IF(OR(ISBLANK(C75),C75="",M75=""),"In Progress",IF(M75&lt;=J75,"Met","Breached"))</f>
        <v>Breached</v>
      </c>
    </row>
    <row r="76" ht="19" customHeight="1" spans="1:14" x14ac:dyDescent="0.25">
      <c r="A76" s="19" t="s">
        <v>190</v>
      </c>
      <c r="B76" s="33">
        <v>46141.023611111115</v>
      </c>
      <c r="C76" s="33">
        <v>46146.507638888885</v>
      </c>
      <c r="D76" s="19" t="s">
        <v>33</v>
      </c>
      <c r="E76" s="19" t="s">
        <v>69</v>
      </c>
      <c r="F76" s="19" t="s">
        <v>45</v>
      </c>
      <c r="G76" s="19" t="s">
        <v>121</v>
      </c>
      <c r="H76" s="19" t="s">
        <v>63</v>
      </c>
      <c r="I76" s="19" t="s">
        <v>114</v>
      </c>
      <c r="J76" s="20">
        <v>120</v>
      </c>
      <c r="K76" s="34">
        <v>0</v>
      </c>
      <c r="L76" s="34">
        <v>2</v>
      </c>
      <c r="M76" s="19">
        <f>IF(OR(ISBLANK(C76),C76=""),"",ROUND((C76-B76)*24,2))</f>
        <v>131.62</v>
      </c>
      <c r="N76" s="39" t="str">
        <f>IF(OR(ISBLANK(C76),C76="",M76=""),"In Progress",IF(M76&lt;=J76,"Met","Breached"))</f>
        <v>Breached</v>
      </c>
    </row>
    <row r="77" ht="19" customHeight="1" spans="1:14" x14ac:dyDescent="0.25">
      <c r="A77" s="22" t="s">
        <v>191</v>
      </c>
      <c r="B77" s="36">
        <v>46244.64444444445</v>
      </c>
      <c r="C77" s="36">
        <v>46246.14791666667</v>
      </c>
      <c r="D77" s="22" t="s">
        <v>33</v>
      </c>
      <c r="E77" s="22" t="s">
        <v>65</v>
      </c>
      <c r="F77" s="22" t="s">
        <v>43</v>
      </c>
      <c r="G77" s="22" t="s">
        <v>116</v>
      </c>
      <c r="H77" s="22" t="s">
        <v>67</v>
      </c>
      <c r="I77" s="22" t="s">
        <v>147</v>
      </c>
      <c r="J77" s="23">
        <v>48</v>
      </c>
      <c r="K77" s="37">
        <v>0</v>
      </c>
      <c r="L77" s="37">
        <v>4</v>
      </c>
      <c r="M77" s="22">
        <f>IF(OR(ISBLANK(C77),C77=""),"",ROUND((C77-B77)*24,2))</f>
        <v>36.08</v>
      </c>
      <c r="N77" s="40" t="str">
        <f>IF(OR(ISBLANK(C77),C77="",M77=""),"In Progress",IF(M77&lt;=J77,"Met","Breached"))</f>
        <v>Met</v>
      </c>
    </row>
    <row r="78" ht="19" customHeight="1" spans="1:14" x14ac:dyDescent="0.25">
      <c r="A78" s="19" t="s">
        <v>192</v>
      </c>
      <c r="B78" s="33">
        <v>45964.84513888889</v>
      </c>
      <c r="C78" s="33">
        <v>45966.461805555555</v>
      </c>
      <c r="D78" s="19" t="s">
        <v>36</v>
      </c>
      <c r="E78" s="19" t="s">
        <v>65</v>
      </c>
      <c r="F78" s="19" t="s">
        <v>45</v>
      </c>
      <c r="G78" s="19" t="s">
        <v>121</v>
      </c>
      <c r="H78" s="19" t="s">
        <v>71</v>
      </c>
      <c r="I78" s="19" t="s">
        <v>108</v>
      </c>
      <c r="J78" s="20">
        <v>48</v>
      </c>
      <c r="K78" s="34">
        <v>0</v>
      </c>
      <c r="L78" s="34">
        <v>4</v>
      </c>
      <c r="M78" s="19">
        <f>IF(OR(ISBLANK(C78),C78=""),"",ROUND((C78-B78)*24,2))</f>
        <v>38.8</v>
      </c>
      <c r="N78" s="35" t="str">
        <f>IF(OR(ISBLANK(C78),C78="",M78=""),"In Progress",IF(M78&lt;=J78,"Met","Breached"))</f>
        <v>Met</v>
      </c>
    </row>
    <row r="79" ht="19" customHeight="1" spans="1:14" x14ac:dyDescent="0.25">
      <c r="A79" s="22" t="s">
        <v>193</v>
      </c>
      <c r="B79" s="36">
        <v>45759.20486111111</v>
      </c>
      <c r="C79" s="36">
        <v>45765.25138888889</v>
      </c>
      <c r="D79" s="22" t="s">
        <v>33</v>
      </c>
      <c r="E79" s="22" t="s">
        <v>69</v>
      </c>
      <c r="F79" s="22" t="s">
        <v>43</v>
      </c>
      <c r="G79" s="22" t="s">
        <v>126</v>
      </c>
      <c r="H79" s="22" t="s">
        <v>67</v>
      </c>
      <c r="I79" s="22" t="s">
        <v>108</v>
      </c>
      <c r="J79" s="23">
        <v>120</v>
      </c>
      <c r="K79" s="37">
        <v>0</v>
      </c>
      <c r="M79" s="22">
        <f>IF(OR(ISBLANK(C79),C79=""),"",ROUND((C79-B79)*24,2))</f>
        <v>145.12</v>
      </c>
      <c r="N79" s="38" t="str">
        <f>IF(OR(ISBLANK(C79),C79="",M79=""),"In Progress",IF(M79&lt;=J79,"Met","Breached"))</f>
        <v>Breached</v>
      </c>
    </row>
    <row r="80" ht="19" customHeight="1" spans="1:14" x14ac:dyDescent="0.25">
      <c r="A80" s="19" t="s">
        <v>194</v>
      </c>
      <c r="B80" s="33">
        <v>45852.30902777778</v>
      </c>
      <c r="C80" s="33">
        <v>45852.504166666666</v>
      </c>
      <c r="D80" s="19" t="s">
        <v>33</v>
      </c>
      <c r="E80" s="19" t="s">
        <v>57</v>
      </c>
      <c r="F80" s="19" t="s">
        <v>37</v>
      </c>
      <c r="G80" s="19" t="s">
        <v>121</v>
      </c>
      <c r="H80" s="19" t="s">
        <v>63</v>
      </c>
      <c r="I80" s="19" t="s">
        <v>111</v>
      </c>
      <c r="J80" s="20">
        <v>4</v>
      </c>
      <c r="K80" s="34">
        <v>0</v>
      </c>
      <c r="L80" s="34">
        <v>3</v>
      </c>
      <c r="M80" s="19">
        <f>IF(OR(ISBLANK(C80),C80=""),"",ROUND((C80-B80)*24,2))</f>
        <v>4.68</v>
      </c>
      <c r="N80" s="39" t="str">
        <f>IF(OR(ISBLANK(C80),C80="",M80=""),"In Progress",IF(M80&lt;=J80,"Met","Breached"))</f>
        <v>Breached</v>
      </c>
    </row>
    <row r="81" ht="19" customHeight="1" spans="1:14" x14ac:dyDescent="0.25">
      <c r="A81" s="22" t="s">
        <v>195</v>
      </c>
      <c r="B81" s="36">
        <v>46038.69097222222</v>
      </c>
      <c r="C81" s="36">
        <v>46039.36041666666</v>
      </c>
      <c r="D81" s="22" t="s">
        <v>36</v>
      </c>
      <c r="E81" s="22" t="s">
        <v>61</v>
      </c>
      <c r="F81" s="22" t="s">
        <v>40</v>
      </c>
      <c r="G81" s="22" t="s">
        <v>116</v>
      </c>
      <c r="H81" s="22" t="s">
        <v>67</v>
      </c>
      <c r="I81" s="22" t="s">
        <v>123</v>
      </c>
      <c r="J81" s="23">
        <v>12</v>
      </c>
      <c r="K81" s="37">
        <v>0</v>
      </c>
      <c r="M81" s="22">
        <f>IF(OR(ISBLANK(C81),C81=""),"",ROUND((C81-B81)*24,2))</f>
        <v>16.07</v>
      </c>
      <c r="N81" s="38" t="str">
        <f>IF(OR(ISBLANK(C81),C81="",M81=""),"In Progress",IF(M81&lt;=J81,"Met","Breached"))</f>
        <v>Breached</v>
      </c>
    </row>
    <row r="82" ht="19" customHeight="1" spans="1:14" x14ac:dyDescent="0.25">
      <c r="A82" s="19" t="s">
        <v>196</v>
      </c>
      <c r="B82" s="33">
        <v>46065.69930555555</v>
      </c>
      <c r="D82" s="19" t="s">
        <v>39</v>
      </c>
      <c r="E82" s="19" t="s">
        <v>65</v>
      </c>
      <c r="F82" s="19" t="s">
        <v>37</v>
      </c>
      <c r="G82" s="19" t="s">
        <v>113</v>
      </c>
      <c r="H82" s="19" t="s">
        <v>71</v>
      </c>
      <c r="I82" s="19" t="s">
        <v>117</v>
      </c>
      <c r="J82" s="20">
        <v>48</v>
      </c>
      <c r="K82" s="34">
        <v>0</v>
      </c>
      <c r="M82" s="19" t="str">
        <f>IF(OR(ISBLANK(C82),C82=""),"",ROUND((C82-B82)*24,2))</f>
        <v/>
      </c>
      <c r="N82" s="19" t="str">
        <f>IF(OR(ISBLANK(C82),C82="",M82=""),"In Progress",IF(M82&lt;=J82,"Met","Breached"))</f>
        <v>In Progress</v>
      </c>
    </row>
    <row r="83" ht="19" customHeight="1" spans="1:14" x14ac:dyDescent="0.25">
      <c r="A83" s="22" t="s">
        <v>197</v>
      </c>
      <c r="B83" s="36">
        <v>46285.9</v>
      </c>
      <c r="C83" s="36">
        <v>46286.76597222222</v>
      </c>
      <c r="D83" s="22" t="s">
        <v>33</v>
      </c>
      <c r="E83" s="22" t="s">
        <v>61</v>
      </c>
      <c r="F83" s="22" t="s">
        <v>45</v>
      </c>
      <c r="G83" s="22" t="s">
        <v>110</v>
      </c>
      <c r="H83" s="22" t="s">
        <v>59</v>
      </c>
      <c r="I83" s="22" t="s">
        <v>117</v>
      </c>
      <c r="J83" s="23">
        <v>12</v>
      </c>
      <c r="K83" s="37">
        <v>0</v>
      </c>
      <c r="L83" s="37">
        <v>2</v>
      </c>
      <c r="M83" s="22">
        <f>IF(OR(ISBLANK(C83),C83=""),"",ROUND((C83-B83)*24,2))</f>
        <v>20.78</v>
      </c>
      <c r="N83" s="38" t="str">
        <f>IF(OR(ISBLANK(C83),C83="",M83=""),"In Progress",IF(M83&lt;=J83,"Met","Breached"))</f>
        <v>Breached</v>
      </c>
    </row>
    <row r="84" ht="19" customHeight="1" spans="1:14" x14ac:dyDescent="0.25">
      <c r="A84" s="19" t="s">
        <v>198</v>
      </c>
      <c r="B84" s="33">
        <v>45836.45277777778</v>
      </c>
      <c r="C84" s="33">
        <v>45839.91458333333</v>
      </c>
      <c r="D84" s="19" t="s">
        <v>36</v>
      </c>
      <c r="E84" s="19" t="s">
        <v>65</v>
      </c>
      <c r="F84" s="19" t="s">
        <v>40</v>
      </c>
      <c r="G84" s="19" t="s">
        <v>121</v>
      </c>
      <c r="H84" s="19" t="s">
        <v>63</v>
      </c>
      <c r="I84" s="19" t="s">
        <v>123</v>
      </c>
      <c r="J84" s="20">
        <v>48</v>
      </c>
      <c r="K84" s="34">
        <v>0</v>
      </c>
      <c r="L84" s="34">
        <v>3</v>
      </c>
      <c r="M84" s="19">
        <f>IF(OR(ISBLANK(C84),C84=""),"",ROUND((C84-B84)*24,2))</f>
        <v>83.08</v>
      </c>
      <c r="N84" s="39" t="str">
        <f>IF(OR(ISBLANK(C84),C84="",M84=""),"In Progress",IF(M84&lt;=J84,"Met","Breached"))</f>
        <v>Breached</v>
      </c>
    </row>
    <row r="85" ht="19" customHeight="1" spans="1:14" x14ac:dyDescent="0.25">
      <c r="A85" s="22" t="s">
        <v>199</v>
      </c>
      <c r="B85" s="36">
        <v>45700.60486111111</v>
      </c>
      <c r="C85" s="36">
        <v>45704.11319444445</v>
      </c>
      <c r="D85" s="22" t="s">
        <v>36</v>
      </c>
      <c r="E85" s="22" t="s">
        <v>69</v>
      </c>
      <c r="F85" s="22" t="s">
        <v>43</v>
      </c>
      <c r="G85" s="22" t="s">
        <v>110</v>
      </c>
      <c r="H85" s="22" t="s">
        <v>63</v>
      </c>
      <c r="I85" s="22" t="s">
        <v>108</v>
      </c>
      <c r="J85" s="23">
        <v>120</v>
      </c>
      <c r="K85" s="37">
        <v>0</v>
      </c>
      <c r="L85" s="37">
        <v>4</v>
      </c>
      <c r="M85" s="22">
        <f>IF(OR(ISBLANK(C85),C85=""),"",ROUND((C85-B85)*24,2))</f>
        <v>84.2</v>
      </c>
      <c r="N85" s="40" t="str">
        <f>IF(OR(ISBLANK(C85),C85="",M85=""),"In Progress",IF(M85&lt;=J85,"Met","Breached"))</f>
        <v>Met</v>
      </c>
    </row>
    <row r="86" ht="19" customHeight="1" spans="1:14" x14ac:dyDescent="0.25">
      <c r="A86" s="19" t="s">
        <v>200</v>
      </c>
      <c r="B86" s="33">
        <v>45778.93125</v>
      </c>
      <c r="D86" s="19" t="s">
        <v>39</v>
      </c>
      <c r="E86" s="19" t="s">
        <v>65</v>
      </c>
      <c r="F86" s="19" t="s">
        <v>45</v>
      </c>
      <c r="G86" s="19" t="s">
        <v>110</v>
      </c>
      <c r="H86" s="19" t="s">
        <v>59</v>
      </c>
      <c r="I86" s="19" t="s">
        <v>111</v>
      </c>
      <c r="J86" s="20">
        <v>48</v>
      </c>
      <c r="K86" s="34">
        <v>0</v>
      </c>
      <c r="M86" s="19" t="str">
        <f>IF(OR(ISBLANK(C86),C86=""),"",ROUND((C86-B86)*24,2))</f>
        <v/>
      </c>
      <c r="N86" s="19" t="str">
        <f>IF(OR(ISBLANK(C86),C86="",M86=""),"In Progress",IF(M86&lt;=J86,"Met","Breached"))</f>
        <v>In Progress</v>
      </c>
    </row>
    <row r="87" ht="19" customHeight="1" spans="1:14" x14ac:dyDescent="0.25">
      <c r="A87" s="22" t="s">
        <v>201</v>
      </c>
      <c r="B87" s="36">
        <v>45786.66458333333</v>
      </c>
      <c r="C87" s="36">
        <v>45787.36458333333</v>
      </c>
      <c r="D87" s="22" t="s">
        <v>33</v>
      </c>
      <c r="E87" s="22" t="s">
        <v>61</v>
      </c>
      <c r="F87" s="22" t="s">
        <v>34</v>
      </c>
      <c r="G87" s="22" t="s">
        <v>116</v>
      </c>
      <c r="H87" s="22" t="s">
        <v>59</v>
      </c>
      <c r="I87" s="22" t="s">
        <v>111</v>
      </c>
      <c r="J87" s="23">
        <v>12</v>
      </c>
      <c r="K87" s="37">
        <v>0</v>
      </c>
      <c r="L87" s="37">
        <v>1</v>
      </c>
      <c r="M87" s="22">
        <f>IF(OR(ISBLANK(C87),C87=""),"",ROUND((C87-B87)*24,2))</f>
        <v>16.8</v>
      </c>
      <c r="N87" s="38" t="str">
        <f>IF(OR(ISBLANK(C87),C87="",M87=""),"In Progress",IF(M87&lt;=J87,"Met","Breached"))</f>
        <v>Breached</v>
      </c>
    </row>
    <row r="88" ht="19" customHeight="1" spans="1:14" x14ac:dyDescent="0.25">
      <c r="A88" s="19" t="s">
        <v>202</v>
      </c>
      <c r="B88" s="33">
        <v>45879.65416666667</v>
      </c>
      <c r="C88" s="33">
        <v>45883.34166666667</v>
      </c>
      <c r="D88" s="19" t="s">
        <v>33</v>
      </c>
      <c r="E88" s="19" t="s">
        <v>69</v>
      </c>
      <c r="F88" s="19" t="s">
        <v>43</v>
      </c>
      <c r="G88" s="19" t="s">
        <v>116</v>
      </c>
      <c r="H88" s="19" t="s">
        <v>67</v>
      </c>
      <c r="I88" s="19" t="s">
        <v>114</v>
      </c>
      <c r="J88" s="20">
        <v>120</v>
      </c>
      <c r="K88" s="34">
        <v>0</v>
      </c>
      <c r="L88" s="34">
        <v>1</v>
      </c>
      <c r="M88" s="19">
        <f>IF(OR(ISBLANK(C88),C88=""),"",ROUND((C88-B88)*24,2))</f>
        <v>88.5</v>
      </c>
      <c r="N88" s="35" t="str">
        <f>IF(OR(ISBLANK(C88),C88="",M88=""),"In Progress",IF(M88&lt;=J88,"Met","Breached"))</f>
        <v>Met</v>
      </c>
    </row>
    <row r="89" ht="19" customHeight="1" spans="1:14" x14ac:dyDescent="0.25">
      <c r="A89" s="22" t="s">
        <v>203</v>
      </c>
      <c r="B89" s="36">
        <v>46118.23888888889</v>
      </c>
      <c r="C89" s="36">
        <v>46119.51597222222</v>
      </c>
      <c r="D89" s="22" t="s">
        <v>33</v>
      </c>
      <c r="E89" s="22" t="s">
        <v>65</v>
      </c>
      <c r="F89" s="22" t="s">
        <v>43</v>
      </c>
      <c r="G89" s="22" t="s">
        <v>116</v>
      </c>
      <c r="H89" s="22" t="s">
        <v>67</v>
      </c>
      <c r="I89" s="22" t="s">
        <v>123</v>
      </c>
      <c r="J89" s="23">
        <v>48</v>
      </c>
      <c r="K89" s="37">
        <v>0</v>
      </c>
      <c r="L89" s="37">
        <v>5</v>
      </c>
      <c r="M89" s="22">
        <f>IF(OR(ISBLANK(C89),C89=""),"",ROUND((C89-B89)*24,2))</f>
        <v>30.65</v>
      </c>
      <c r="N89" s="40" t="str">
        <f>IF(OR(ISBLANK(C89),C89="",M89=""),"In Progress",IF(M89&lt;=J89,"Met","Breached"))</f>
        <v>Met</v>
      </c>
    </row>
    <row r="90" ht="19" customHeight="1" spans="1:14" x14ac:dyDescent="0.25">
      <c r="A90" s="19" t="s">
        <v>204</v>
      </c>
      <c r="B90" s="33">
        <v>46171.64027777778</v>
      </c>
      <c r="C90" s="33">
        <v>46180.07708333334</v>
      </c>
      <c r="D90" s="19" t="s">
        <v>36</v>
      </c>
      <c r="E90" s="19" t="s">
        <v>69</v>
      </c>
      <c r="F90" s="19" t="s">
        <v>45</v>
      </c>
      <c r="G90" s="19" t="s">
        <v>121</v>
      </c>
      <c r="H90" s="19" t="s">
        <v>63</v>
      </c>
      <c r="I90" s="19" t="s">
        <v>147</v>
      </c>
      <c r="J90" s="20">
        <v>120</v>
      </c>
      <c r="K90" s="34">
        <v>0</v>
      </c>
      <c r="M90" s="19">
        <f>IF(OR(ISBLANK(C90),C90=""),"",ROUND((C90-B90)*24,2))</f>
        <v>202.48</v>
      </c>
      <c r="N90" s="39" t="str">
        <f>IF(OR(ISBLANK(C90),C90="",M90=""),"In Progress",IF(M90&lt;=J90,"Met","Breached"))</f>
        <v>Breached</v>
      </c>
    </row>
    <row r="91" ht="19" customHeight="1" spans="1:14" x14ac:dyDescent="0.25">
      <c r="A91" s="22" t="s">
        <v>205</v>
      </c>
      <c r="B91" s="36">
        <v>46085.54791666666</v>
      </c>
      <c r="C91" s="36">
        <v>46088.200694444444</v>
      </c>
      <c r="D91" s="22" t="s">
        <v>33</v>
      </c>
      <c r="E91" s="22" t="s">
        <v>65</v>
      </c>
      <c r="F91" s="22" t="s">
        <v>37</v>
      </c>
      <c r="G91" s="22" t="s">
        <v>126</v>
      </c>
      <c r="H91" s="22" t="s">
        <v>71</v>
      </c>
      <c r="I91" s="22" t="s">
        <v>147</v>
      </c>
      <c r="J91" s="23">
        <v>48</v>
      </c>
      <c r="K91" s="37">
        <v>0</v>
      </c>
      <c r="L91" s="37">
        <v>2</v>
      </c>
      <c r="M91" s="22">
        <f>IF(OR(ISBLANK(C91),C91=""),"",ROUND((C91-B91)*24,2))</f>
        <v>63.67</v>
      </c>
      <c r="N91" s="38" t="str">
        <f>IF(OR(ISBLANK(C91),C91="",M91=""),"In Progress",IF(M91&lt;=J91,"Met","Breached"))</f>
        <v>Breached</v>
      </c>
    </row>
    <row r="92" ht="19" customHeight="1" spans="1:14" x14ac:dyDescent="0.25">
      <c r="A92" s="19" t="s">
        <v>206</v>
      </c>
      <c r="B92" s="33">
        <v>45775.89097222222</v>
      </c>
      <c r="C92" s="33">
        <v>45778.50069444445</v>
      </c>
      <c r="D92" s="19" t="s">
        <v>33</v>
      </c>
      <c r="E92" s="19" t="s">
        <v>65</v>
      </c>
      <c r="F92" s="19" t="s">
        <v>40</v>
      </c>
      <c r="G92" s="19" t="s">
        <v>126</v>
      </c>
      <c r="H92" s="19" t="s">
        <v>59</v>
      </c>
      <c r="I92" s="19" t="s">
        <v>111</v>
      </c>
      <c r="J92" s="20">
        <v>48</v>
      </c>
      <c r="K92" s="34">
        <v>0</v>
      </c>
      <c r="M92" s="19">
        <f>IF(OR(ISBLANK(C92),C92=""),"",ROUND((C92-B92)*24,2))</f>
        <v>62.63</v>
      </c>
      <c r="N92" s="39" t="str">
        <f>IF(OR(ISBLANK(C92),C92="",M92=""),"In Progress",IF(M92&lt;=J92,"Met","Breached"))</f>
        <v>Breached</v>
      </c>
    </row>
    <row r="93" ht="19" customHeight="1" spans="1:14" x14ac:dyDescent="0.25">
      <c r="A93" s="22" t="s">
        <v>207</v>
      </c>
      <c r="B93" s="36">
        <v>46260.37986111111</v>
      </c>
      <c r="C93" s="36">
        <v>46263.06180555555</v>
      </c>
      <c r="D93" s="22" t="s">
        <v>33</v>
      </c>
      <c r="E93" s="22" t="s">
        <v>65</v>
      </c>
      <c r="F93" s="22" t="s">
        <v>40</v>
      </c>
      <c r="G93" s="22" t="s">
        <v>113</v>
      </c>
      <c r="H93" s="22" t="s">
        <v>67</v>
      </c>
      <c r="I93" s="22" t="s">
        <v>111</v>
      </c>
      <c r="J93" s="23">
        <v>48</v>
      </c>
      <c r="K93" s="37">
        <v>0</v>
      </c>
      <c r="L93" s="37">
        <v>3</v>
      </c>
      <c r="M93" s="22">
        <f>IF(OR(ISBLANK(C93),C93=""),"",ROUND((C93-B93)*24,2))</f>
        <v>64.37</v>
      </c>
      <c r="N93" s="38" t="str">
        <f>IF(OR(ISBLANK(C93),C93="",M93=""),"In Progress",IF(M93&lt;=J93,"Met","Breached"))</f>
        <v>Breached</v>
      </c>
    </row>
    <row r="94" ht="19" customHeight="1" spans="1:14" x14ac:dyDescent="0.25">
      <c r="A94" s="19" t="s">
        <v>208</v>
      </c>
      <c r="B94" s="33">
        <v>46056.77986111111</v>
      </c>
      <c r="C94" s="33">
        <v>46063.53333333333</v>
      </c>
      <c r="D94" s="19" t="s">
        <v>33</v>
      </c>
      <c r="E94" s="19" t="s">
        <v>69</v>
      </c>
      <c r="F94" s="19" t="s">
        <v>43</v>
      </c>
      <c r="G94" s="19" t="s">
        <v>116</v>
      </c>
      <c r="H94" s="19" t="s">
        <v>59</v>
      </c>
      <c r="I94" s="19" t="s">
        <v>114</v>
      </c>
      <c r="J94" s="20">
        <v>120</v>
      </c>
      <c r="K94" s="34">
        <v>0</v>
      </c>
      <c r="L94" s="34">
        <v>4</v>
      </c>
      <c r="M94" s="19">
        <f>IF(OR(ISBLANK(C94),C94=""),"",ROUND((C94-B94)*24,2))</f>
        <v>162.08</v>
      </c>
      <c r="N94" s="39" t="str">
        <f>IF(OR(ISBLANK(C94),C94="",M94=""),"In Progress",IF(M94&lt;=J94,"Met","Breached"))</f>
        <v>Breached</v>
      </c>
    </row>
    <row r="95" ht="19" customHeight="1" spans="1:14" x14ac:dyDescent="0.25">
      <c r="A95" s="22" t="s">
        <v>209</v>
      </c>
      <c r="B95" s="36">
        <v>45733.802777777775</v>
      </c>
      <c r="C95" s="36">
        <v>45735.37013888889</v>
      </c>
      <c r="D95" s="22" t="s">
        <v>33</v>
      </c>
      <c r="E95" s="22" t="s">
        <v>65</v>
      </c>
      <c r="F95" s="22" t="s">
        <v>45</v>
      </c>
      <c r="G95" s="22" t="s">
        <v>63</v>
      </c>
      <c r="H95" s="22" t="s">
        <v>63</v>
      </c>
      <c r="I95" s="22" t="s">
        <v>114</v>
      </c>
      <c r="J95" s="23">
        <v>48</v>
      </c>
      <c r="K95" s="37">
        <v>0</v>
      </c>
      <c r="L95" s="37">
        <v>1</v>
      </c>
      <c r="M95" s="22">
        <f>IF(OR(ISBLANK(C95),C95=""),"",ROUND((C95-B95)*24,2))</f>
        <v>37.62</v>
      </c>
      <c r="N95" s="40" t="str">
        <f>IF(OR(ISBLANK(C95),C95="",M95=""),"In Progress",IF(M95&lt;=J95,"Met","Breached"))</f>
        <v>Met</v>
      </c>
    </row>
    <row r="96" ht="19" customHeight="1" spans="1:14" x14ac:dyDescent="0.25">
      <c r="A96" s="19" t="s">
        <v>210</v>
      </c>
      <c r="B96" s="33">
        <v>46023.06875</v>
      </c>
      <c r="C96" s="33">
        <v>46031.48125</v>
      </c>
      <c r="D96" s="19" t="s">
        <v>33</v>
      </c>
      <c r="E96" s="19" t="s">
        <v>69</v>
      </c>
      <c r="F96" s="19" t="s">
        <v>40</v>
      </c>
      <c r="G96" s="19" t="s">
        <v>63</v>
      </c>
      <c r="H96" s="19" t="s">
        <v>63</v>
      </c>
      <c r="I96" s="19" t="s">
        <v>147</v>
      </c>
      <c r="J96" s="20">
        <v>120</v>
      </c>
      <c r="K96" s="34">
        <v>0</v>
      </c>
      <c r="L96" s="34">
        <v>4</v>
      </c>
      <c r="M96" s="19">
        <f>IF(OR(ISBLANK(C96),C96=""),"",ROUND((C96-B96)*24,2))</f>
        <v>201.9</v>
      </c>
      <c r="N96" s="39" t="str">
        <f>IF(OR(ISBLANK(C96),C96="",M96=""),"In Progress",IF(M96&lt;=J96,"Met","Breached"))</f>
        <v>Breached</v>
      </c>
    </row>
    <row r="97" ht="19" customHeight="1" spans="1:14" x14ac:dyDescent="0.25">
      <c r="A97" s="22" t="s">
        <v>211</v>
      </c>
      <c r="B97" s="36">
        <v>45771.89097222222</v>
      </c>
      <c r="C97" s="36">
        <v>45774.00555555556</v>
      </c>
      <c r="D97" s="22" t="s">
        <v>33</v>
      </c>
      <c r="E97" s="22" t="s">
        <v>65</v>
      </c>
      <c r="F97" s="22" t="s">
        <v>40</v>
      </c>
      <c r="G97" s="22" t="s">
        <v>63</v>
      </c>
      <c r="H97" s="22" t="s">
        <v>59</v>
      </c>
      <c r="I97" s="22" t="s">
        <v>111</v>
      </c>
      <c r="J97" s="23">
        <v>48</v>
      </c>
      <c r="K97" s="37">
        <v>0</v>
      </c>
      <c r="L97" s="37">
        <v>3</v>
      </c>
      <c r="M97" s="22">
        <f>IF(OR(ISBLANK(C97),C97=""),"",ROUND((C97-B97)*24,2))</f>
        <v>50.75</v>
      </c>
      <c r="N97" s="38" t="str">
        <f>IF(OR(ISBLANK(C97),C97="",M97=""),"In Progress",IF(M97&lt;=J97,"Met","Breached"))</f>
        <v>Breached</v>
      </c>
    </row>
    <row r="98" ht="19" customHeight="1" spans="1:14" x14ac:dyDescent="0.25">
      <c r="A98" s="19" t="s">
        <v>212</v>
      </c>
      <c r="B98" s="33">
        <v>46063.07152777778</v>
      </c>
      <c r="C98" s="33">
        <v>46064.73333333334</v>
      </c>
      <c r="D98" s="19" t="s">
        <v>36</v>
      </c>
      <c r="E98" s="19" t="s">
        <v>65</v>
      </c>
      <c r="F98" s="19" t="s">
        <v>45</v>
      </c>
      <c r="G98" s="19" t="s">
        <v>126</v>
      </c>
      <c r="H98" s="19" t="s">
        <v>63</v>
      </c>
      <c r="I98" s="19" t="s">
        <v>108</v>
      </c>
      <c r="J98" s="20">
        <v>48</v>
      </c>
      <c r="K98" s="34">
        <v>0</v>
      </c>
      <c r="L98" s="34">
        <v>1</v>
      </c>
      <c r="M98" s="19">
        <f>IF(OR(ISBLANK(C98),C98=""),"",ROUND((C98-B98)*24,2))</f>
        <v>39.88</v>
      </c>
      <c r="N98" s="35" t="str">
        <f>IF(OR(ISBLANK(C98),C98="",M98=""),"In Progress",IF(M98&lt;=J98,"Met","Breached"))</f>
        <v>Met</v>
      </c>
    </row>
    <row r="99" ht="19" customHeight="1" spans="1:14" x14ac:dyDescent="0.25">
      <c r="A99" s="22" t="s">
        <v>213</v>
      </c>
      <c r="B99" s="36">
        <v>46063.57916666666</v>
      </c>
      <c r="D99" s="22" t="s">
        <v>39</v>
      </c>
      <c r="E99" s="22" t="s">
        <v>65</v>
      </c>
      <c r="F99" s="22" t="s">
        <v>45</v>
      </c>
      <c r="G99" s="22" t="s">
        <v>113</v>
      </c>
      <c r="H99" s="22" t="s">
        <v>71</v>
      </c>
      <c r="I99" s="22" t="s">
        <v>117</v>
      </c>
      <c r="J99" s="23">
        <v>48</v>
      </c>
      <c r="K99" s="37">
        <v>0</v>
      </c>
      <c r="M99" s="22" t="str">
        <f>IF(OR(ISBLANK(C99),C99=""),"",ROUND((C99-B99)*24,2))</f>
        <v/>
      </c>
      <c r="N99" s="22" t="str">
        <f>IF(OR(ISBLANK(C99),C99="",M99=""),"In Progress",IF(M99&lt;=J99,"Met","Breached"))</f>
        <v>In Progress</v>
      </c>
    </row>
    <row r="100" ht="19" customHeight="1" spans="1:14" x14ac:dyDescent="0.25">
      <c r="A100" s="19" t="s">
        <v>214</v>
      </c>
      <c r="B100" s="33">
        <v>45813.77013888889</v>
      </c>
      <c r="D100" s="19" t="s">
        <v>39</v>
      </c>
      <c r="E100" s="19" t="s">
        <v>65</v>
      </c>
      <c r="F100" s="19" t="s">
        <v>34</v>
      </c>
      <c r="G100" s="19" t="s">
        <v>121</v>
      </c>
      <c r="H100" s="19" t="s">
        <v>71</v>
      </c>
      <c r="I100" s="19" t="s">
        <v>147</v>
      </c>
      <c r="J100" s="20">
        <v>48</v>
      </c>
      <c r="K100" s="34">
        <v>0</v>
      </c>
      <c r="M100" s="19" t="str">
        <f>IF(OR(ISBLANK(C100),C100=""),"",ROUND((C100-B100)*24,2))</f>
        <v/>
      </c>
      <c r="N100" s="19" t="str">
        <f>IF(OR(ISBLANK(C100),C100="",M100=""),"In Progress",IF(M100&lt;=J100,"Met","Breached"))</f>
        <v>In Progress</v>
      </c>
    </row>
    <row r="101" ht="19" customHeight="1" spans="1:14" x14ac:dyDescent="0.25">
      <c r="A101" s="22" t="s">
        <v>215</v>
      </c>
      <c r="B101" s="36">
        <v>45997.51944444445</v>
      </c>
      <c r="C101" s="36">
        <v>45997.72361111111</v>
      </c>
      <c r="D101" s="22" t="s">
        <v>33</v>
      </c>
      <c r="E101" s="22" t="s">
        <v>61</v>
      </c>
      <c r="F101" s="22" t="s">
        <v>37</v>
      </c>
      <c r="G101" s="22" t="s">
        <v>121</v>
      </c>
      <c r="H101" s="22" t="s">
        <v>63</v>
      </c>
      <c r="I101" s="22" t="s">
        <v>114</v>
      </c>
      <c r="J101" s="23">
        <v>12</v>
      </c>
      <c r="K101" s="37">
        <v>0</v>
      </c>
      <c r="L101" s="37">
        <v>2</v>
      </c>
      <c r="M101" s="22">
        <f>IF(OR(ISBLANK(C101),C101=""),"",ROUND((C101-B101)*24,2))</f>
        <v>4.9</v>
      </c>
      <c r="N101" s="40" t="str">
        <f>IF(OR(ISBLANK(C101),C101="",M101=""),"In Progress",IF(M101&lt;=J101,"Met","Breached"))</f>
        <v>Met</v>
      </c>
    </row>
    <row r="102" ht="19" customHeight="1" spans="1:14" x14ac:dyDescent="0.25">
      <c r="A102" s="19" t="s">
        <v>216</v>
      </c>
      <c r="B102" s="33">
        <v>45997.04861111111</v>
      </c>
      <c r="D102" s="19" t="s">
        <v>39</v>
      </c>
      <c r="E102" s="19" t="s">
        <v>69</v>
      </c>
      <c r="F102" s="19" t="s">
        <v>43</v>
      </c>
      <c r="G102" s="19" t="s">
        <v>126</v>
      </c>
      <c r="H102" s="19" t="s">
        <v>59</v>
      </c>
      <c r="I102" s="19" t="s">
        <v>111</v>
      </c>
      <c r="J102" s="20">
        <v>120</v>
      </c>
      <c r="K102" s="34">
        <v>0</v>
      </c>
      <c r="M102" s="19" t="str">
        <f>IF(OR(ISBLANK(C102),C102=""),"",ROUND((C102-B102)*24,2))</f>
        <v/>
      </c>
      <c r="N102" s="19" t="str">
        <f>IF(OR(ISBLANK(C102),C102="",M102=""),"In Progress",IF(M102&lt;=J102,"Met","Breached"))</f>
        <v>In Progress</v>
      </c>
    </row>
    <row r="103" ht="19" customHeight="1" spans="1:14" x14ac:dyDescent="0.25">
      <c r="A103" s="22" t="s">
        <v>217</v>
      </c>
      <c r="B103" s="36">
        <v>45886.83819444444</v>
      </c>
      <c r="D103" s="22" t="s">
        <v>39</v>
      </c>
      <c r="E103" s="22" t="s">
        <v>65</v>
      </c>
      <c r="F103" s="22" t="s">
        <v>34</v>
      </c>
      <c r="G103" s="22" t="s">
        <v>113</v>
      </c>
      <c r="H103" s="22" t="s">
        <v>67</v>
      </c>
      <c r="I103" s="22" t="s">
        <v>123</v>
      </c>
      <c r="J103" s="23">
        <v>48</v>
      </c>
      <c r="K103" s="37">
        <v>0</v>
      </c>
      <c r="M103" s="22" t="str">
        <f>IF(OR(ISBLANK(C103),C103=""),"",ROUND((C103-B103)*24,2))</f>
        <v/>
      </c>
      <c r="N103" s="22" t="str">
        <f>IF(OR(ISBLANK(C103),C103="",M103=""),"In Progress",IF(M103&lt;=J103,"Met","Breached"))</f>
        <v>In Progress</v>
      </c>
    </row>
    <row r="104" ht="19" customHeight="1" spans="1:14" x14ac:dyDescent="0.25">
      <c r="A104" s="19" t="s">
        <v>218</v>
      </c>
      <c r="B104" s="33">
        <v>46233.836111111115</v>
      </c>
      <c r="D104" s="19" t="s">
        <v>39</v>
      </c>
      <c r="E104" s="19" t="s">
        <v>69</v>
      </c>
      <c r="F104" s="19" t="s">
        <v>43</v>
      </c>
      <c r="G104" s="19" t="s">
        <v>116</v>
      </c>
      <c r="H104" s="19" t="s">
        <v>71</v>
      </c>
      <c r="I104" s="19" t="s">
        <v>123</v>
      </c>
      <c r="J104" s="20">
        <v>120</v>
      </c>
      <c r="K104" s="34">
        <v>0</v>
      </c>
      <c r="M104" s="19" t="str">
        <f>IF(OR(ISBLANK(C104),C104=""),"",ROUND((C104-B104)*24,2))</f>
        <v/>
      </c>
      <c r="N104" s="19" t="str">
        <f>IF(OR(ISBLANK(C104),C104="",M104=""),"In Progress",IF(M104&lt;=J104,"Met","Breached"))</f>
        <v>In Progress</v>
      </c>
    </row>
    <row r="105" ht="19" customHeight="1" spans="1:14" x14ac:dyDescent="0.25">
      <c r="A105" s="22" t="s">
        <v>219</v>
      </c>
      <c r="B105" s="36">
        <v>45724.413888888885</v>
      </c>
      <c r="C105" s="36">
        <v>45725.88611111111</v>
      </c>
      <c r="D105" s="22" t="s">
        <v>33</v>
      </c>
      <c r="E105" s="22" t="s">
        <v>65</v>
      </c>
      <c r="F105" s="22" t="s">
        <v>45</v>
      </c>
      <c r="G105" s="22" t="s">
        <v>121</v>
      </c>
      <c r="H105" s="22" t="s">
        <v>63</v>
      </c>
      <c r="I105" s="22" t="s">
        <v>111</v>
      </c>
      <c r="J105" s="23">
        <v>48</v>
      </c>
      <c r="K105" s="37">
        <v>0</v>
      </c>
      <c r="M105" s="22">
        <f>IF(OR(ISBLANK(C105),C105=""),"",ROUND((C105-B105)*24,2))</f>
        <v>35.33</v>
      </c>
      <c r="N105" s="40" t="str">
        <f>IF(OR(ISBLANK(C105),C105="",M105=""),"In Progress",IF(M105&lt;=J105,"Met","Breached"))</f>
        <v>Met</v>
      </c>
    </row>
    <row r="106" ht="19" customHeight="1" spans="1:14" x14ac:dyDescent="0.25">
      <c r="A106" s="19" t="s">
        <v>220</v>
      </c>
      <c r="B106" s="33">
        <v>45893.80347222222</v>
      </c>
      <c r="C106" s="33">
        <v>45894.24097222222</v>
      </c>
      <c r="D106" s="19" t="s">
        <v>33</v>
      </c>
      <c r="E106" s="19" t="s">
        <v>61</v>
      </c>
      <c r="F106" s="19" t="s">
        <v>40</v>
      </c>
      <c r="G106" s="19" t="s">
        <v>126</v>
      </c>
      <c r="H106" s="19" t="s">
        <v>59</v>
      </c>
      <c r="I106" s="19" t="s">
        <v>147</v>
      </c>
      <c r="J106" s="20">
        <v>12</v>
      </c>
      <c r="K106" s="34">
        <v>0</v>
      </c>
      <c r="M106" s="19">
        <f>IF(OR(ISBLANK(C106),C106=""),"",ROUND((C106-B106)*24,2))</f>
        <v>10.5</v>
      </c>
      <c r="N106" s="35" t="str">
        <f>IF(OR(ISBLANK(C106),C106="",M106=""),"In Progress",IF(M106&lt;=J106,"Met","Breached"))</f>
        <v>Met</v>
      </c>
    </row>
    <row r="107" ht="19" customHeight="1" spans="1:14" x14ac:dyDescent="0.25">
      <c r="A107" s="22" t="s">
        <v>221</v>
      </c>
      <c r="B107" s="36">
        <v>46019.77986111111</v>
      </c>
      <c r="C107" s="36">
        <v>46020.42708333333</v>
      </c>
      <c r="D107" s="22" t="s">
        <v>33</v>
      </c>
      <c r="E107" s="22" t="s">
        <v>61</v>
      </c>
      <c r="F107" s="22" t="s">
        <v>40</v>
      </c>
      <c r="G107" s="22" t="s">
        <v>116</v>
      </c>
      <c r="H107" s="22" t="s">
        <v>59</v>
      </c>
      <c r="I107" s="22" t="s">
        <v>117</v>
      </c>
      <c r="J107" s="23">
        <v>12</v>
      </c>
      <c r="K107" s="37">
        <v>0</v>
      </c>
      <c r="L107" s="37">
        <v>2</v>
      </c>
      <c r="M107" s="22">
        <f>IF(OR(ISBLANK(C107),C107=""),"",ROUND((C107-B107)*24,2))</f>
        <v>15.53</v>
      </c>
      <c r="N107" s="38" t="str">
        <f>IF(OR(ISBLANK(C107),C107="",M107=""),"In Progress",IF(M107&lt;=J107,"Met","Breached"))</f>
        <v>Breached</v>
      </c>
    </row>
    <row r="108" ht="19" customHeight="1" spans="1:14" x14ac:dyDescent="0.25">
      <c r="A108" s="19" t="s">
        <v>222</v>
      </c>
      <c r="B108" s="33">
        <v>45742.94861111111</v>
      </c>
      <c r="C108" s="33">
        <v>45745.18541666667</v>
      </c>
      <c r="D108" s="19" t="s">
        <v>33</v>
      </c>
      <c r="E108" s="19" t="s">
        <v>65</v>
      </c>
      <c r="F108" s="19" t="s">
        <v>45</v>
      </c>
      <c r="G108" s="19" t="s">
        <v>121</v>
      </c>
      <c r="H108" s="19" t="s">
        <v>59</v>
      </c>
      <c r="I108" s="19" t="s">
        <v>117</v>
      </c>
      <c r="J108" s="20">
        <v>48</v>
      </c>
      <c r="K108" s="34">
        <v>0</v>
      </c>
      <c r="M108" s="19">
        <f>IF(OR(ISBLANK(C108),C108=""),"",ROUND((C108-B108)*24,2))</f>
        <v>53.68</v>
      </c>
      <c r="N108" s="39" t="str">
        <f>IF(OR(ISBLANK(C108),C108="",M108=""),"In Progress",IF(M108&lt;=J108,"Met","Breached"))</f>
        <v>Breached</v>
      </c>
    </row>
    <row r="109" ht="19" customHeight="1" spans="1:14" x14ac:dyDescent="0.25">
      <c r="A109" s="22" t="s">
        <v>223</v>
      </c>
      <c r="B109" s="36">
        <v>45903.351388888885</v>
      </c>
      <c r="C109" s="36">
        <v>45908.53263888889</v>
      </c>
      <c r="D109" s="22" t="s">
        <v>36</v>
      </c>
      <c r="E109" s="22" t="s">
        <v>69</v>
      </c>
      <c r="F109" s="22" t="s">
        <v>40</v>
      </c>
      <c r="G109" s="22" t="s">
        <v>63</v>
      </c>
      <c r="H109" s="22" t="s">
        <v>63</v>
      </c>
      <c r="I109" s="22" t="s">
        <v>147</v>
      </c>
      <c r="J109" s="23">
        <v>120</v>
      </c>
      <c r="K109" s="37">
        <v>0</v>
      </c>
      <c r="M109" s="22">
        <f>IF(OR(ISBLANK(C109),C109=""),"",ROUND((C109-B109)*24,2))</f>
        <v>124.35</v>
      </c>
      <c r="N109" s="38" t="str">
        <f>IF(OR(ISBLANK(C109),C109="",M109=""),"In Progress",IF(M109&lt;=J109,"Met","Breached"))</f>
        <v>Breached</v>
      </c>
    </row>
    <row r="110" ht="19" customHeight="1" spans="1:14" x14ac:dyDescent="0.25">
      <c r="A110" s="19" t="s">
        <v>224</v>
      </c>
      <c r="B110" s="33">
        <v>45978.388194444444</v>
      </c>
      <c r="C110" s="33">
        <v>45984.95208333334</v>
      </c>
      <c r="D110" s="19" t="s">
        <v>33</v>
      </c>
      <c r="E110" s="19" t="s">
        <v>69</v>
      </c>
      <c r="F110" s="19" t="s">
        <v>40</v>
      </c>
      <c r="G110" s="19" t="s">
        <v>121</v>
      </c>
      <c r="H110" s="19" t="s">
        <v>59</v>
      </c>
      <c r="I110" s="19" t="s">
        <v>147</v>
      </c>
      <c r="J110" s="20">
        <v>120</v>
      </c>
      <c r="K110" s="34">
        <v>0</v>
      </c>
      <c r="L110" s="34">
        <v>2</v>
      </c>
      <c r="M110" s="19">
        <f>IF(OR(ISBLANK(C110),C110=""),"",ROUND((C110-B110)*24,2))</f>
        <v>157.53</v>
      </c>
      <c r="N110" s="39" t="str">
        <f>IF(OR(ISBLANK(C110),C110="",M110=""),"In Progress",IF(M110&lt;=J110,"Met","Breached"))</f>
        <v>Breached</v>
      </c>
    </row>
    <row r="111" ht="19" customHeight="1" spans="1:14" x14ac:dyDescent="0.25">
      <c r="A111" s="22" t="s">
        <v>225</v>
      </c>
      <c r="B111" s="36">
        <v>45941.66736111111</v>
      </c>
      <c r="C111" s="36">
        <v>45942.54652777778</v>
      </c>
      <c r="D111" s="22" t="s">
        <v>33</v>
      </c>
      <c r="E111" s="22" t="s">
        <v>65</v>
      </c>
      <c r="F111" s="22" t="s">
        <v>37</v>
      </c>
      <c r="G111" s="22" t="s">
        <v>121</v>
      </c>
      <c r="H111" s="22" t="s">
        <v>59</v>
      </c>
      <c r="I111" s="22" t="s">
        <v>117</v>
      </c>
      <c r="J111" s="23">
        <v>48</v>
      </c>
      <c r="K111" s="37">
        <v>0</v>
      </c>
      <c r="L111" s="37">
        <v>5</v>
      </c>
      <c r="M111" s="22">
        <f>IF(OR(ISBLANK(C111),C111=""),"",ROUND((C111-B111)*24,2))</f>
        <v>21.1</v>
      </c>
      <c r="N111" s="40" t="str">
        <f>IF(OR(ISBLANK(C111),C111="",M111=""),"In Progress",IF(M111&lt;=J111,"Met","Breached"))</f>
        <v>Met</v>
      </c>
    </row>
    <row r="112" ht="19" customHeight="1" spans="1:14" x14ac:dyDescent="0.25">
      <c r="A112" s="19" t="s">
        <v>226</v>
      </c>
      <c r="B112" s="33">
        <v>46156.17291666666</v>
      </c>
      <c r="C112" s="33">
        <v>46161.89166666666</v>
      </c>
      <c r="D112" s="19" t="s">
        <v>33</v>
      </c>
      <c r="E112" s="19" t="s">
        <v>69</v>
      </c>
      <c r="F112" s="19" t="s">
        <v>43</v>
      </c>
      <c r="G112" s="19" t="s">
        <v>126</v>
      </c>
      <c r="H112" s="19" t="s">
        <v>67</v>
      </c>
      <c r="I112" s="19" t="s">
        <v>114</v>
      </c>
      <c r="J112" s="20">
        <v>120</v>
      </c>
      <c r="K112" s="34">
        <v>0</v>
      </c>
      <c r="M112" s="19">
        <f>IF(OR(ISBLANK(C112),C112=""),"",ROUND((C112-B112)*24,2))</f>
        <v>137.25</v>
      </c>
      <c r="N112" s="39" t="str">
        <f>IF(OR(ISBLANK(C112),C112="",M112=""),"In Progress",IF(M112&lt;=J112,"Met","Breached"))</f>
        <v>Breached</v>
      </c>
    </row>
    <row r="113" ht="19" customHeight="1" spans="1:14" x14ac:dyDescent="0.25">
      <c r="A113" s="22" t="s">
        <v>227</v>
      </c>
      <c r="B113" s="36">
        <v>46266.85416666667</v>
      </c>
      <c r="C113" s="36">
        <v>46275.62152777778</v>
      </c>
      <c r="D113" s="22" t="s">
        <v>36</v>
      </c>
      <c r="E113" s="22" t="s">
        <v>69</v>
      </c>
      <c r="F113" s="22" t="s">
        <v>43</v>
      </c>
      <c r="G113" s="22" t="s">
        <v>113</v>
      </c>
      <c r="H113" s="22" t="s">
        <v>59</v>
      </c>
      <c r="I113" s="22" t="s">
        <v>114</v>
      </c>
      <c r="J113" s="23">
        <v>120</v>
      </c>
      <c r="K113" s="37">
        <v>1</v>
      </c>
      <c r="L113" s="37">
        <v>2</v>
      </c>
      <c r="M113" s="22">
        <f>IF(OR(ISBLANK(C113),C113=""),"",ROUND((C113-B113)*24,2))</f>
        <v>210.42</v>
      </c>
      <c r="N113" s="38" t="str">
        <f>IF(OR(ISBLANK(C113),C113="",M113=""),"In Progress",IF(M113&lt;=J113,"Met","Breached"))</f>
        <v>Breached</v>
      </c>
    </row>
    <row r="114" ht="19" customHeight="1" spans="1:14" x14ac:dyDescent="0.25">
      <c r="A114" s="19" t="s">
        <v>228</v>
      </c>
      <c r="B114" s="33">
        <v>45965.388194444444</v>
      </c>
      <c r="C114" s="33">
        <v>45973.88611111111</v>
      </c>
      <c r="D114" s="19" t="s">
        <v>33</v>
      </c>
      <c r="E114" s="19" t="s">
        <v>69</v>
      </c>
      <c r="F114" s="19" t="s">
        <v>45</v>
      </c>
      <c r="G114" s="19" t="s">
        <v>121</v>
      </c>
      <c r="H114" s="19" t="s">
        <v>59</v>
      </c>
      <c r="I114" s="19" t="s">
        <v>111</v>
      </c>
      <c r="J114" s="20">
        <v>120</v>
      </c>
      <c r="K114" s="34">
        <v>0</v>
      </c>
      <c r="L114" s="34">
        <v>5</v>
      </c>
      <c r="M114" s="19">
        <f>IF(OR(ISBLANK(C114),C114=""),"",ROUND((C114-B114)*24,2))</f>
        <v>203.95</v>
      </c>
      <c r="N114" s="39" t="str">
        <f>IF(OR(ISBLANK(C114),C114="",M114=""),"In Progress",IF(M114&lt;=J114,"Met","Breached"))</f>
        <v>Breached</v>
      </c>
    </row>
    <row r="115" ht="19" customHeight="1" spans="1:14" x14ac:dyDescent="0.25">
      <c r="A115" s="22" t="s">
        <v>229</v>
      </c>
      <c r="B115" s="36">
        <v>45919.35763888889</v>
      </c>
      <c r="C115" s="36">
        <v>45921.96041666667</v>
      </c>
      <c r="D115" s="22" t="s">
        <v>33</v>
      </c>
      <c r="E115" s="22" t="s">
        <v>65</v>
      </c>
      <c r="F115" s="22" t="s">
        <v>43</v>
      </c>
      <c r="G115" s="22" t="s">
        <v>110</v>
      </c>
      <c r="H115" s="22" t="s">
        <v>71</v>
      </c>
      <c r="I115" s="22" t="s">
        <v>111</v>
      </c>
      <c r="J115" s="23">
        <v>48</v>
      </c>
      <c r="K115" s="37">
        <v>0</v>
      </c>
      <c r="L115" s="37">
        <v>2</v>
      </c>
      <c r="M115" s="22">
        <f>IF(OR(ISBLANK(C115),C115=""),"",ROUND((C115-B115)*24,2))</f>
        <v>62.47</v>
      </c>
      <c r="N115" s="38" t="str">
        <f>IF(OR(ISBLANK(C115),C115="",M115=""),"In Progress",IF(M115&lt;=J115,"Met","Breached"))</f>
        <v>Breached</v>
      </c>
    </row>
    <row r="116" ht="19" customHeight="1" spans="1:14" x14ac:dyDescent="0.25">
      <c r="A116" s="19" t="s">
        <v>230</v>
      </c>
      <c r="B116" s="33">
        <v>46209.009722222225</v>
      </c>
      <c r="C116" s="33">
        <v>46210.149305555555</v>
      </c>
      <c r="D116" s="19" t="s">
        <v>36</v>
      </c>
      <c r="E116" s="19" t="s">
        <v>65</v>
      </c>
      <c r="F116" s="19" t="s">
        <v>34</v>
      </c>
      <c r="G116" s="19" t="s">
        <v>113</v>
      </c>
      <c r="H116" s="19" t="s">
        <v>59</v>
      </c>
      <c r="I116" s="19" t="s">
        <v>108</v>
      </c>
      <c r="J116" s="20">
        <v>48</v>
      </c>
      <c r="K116" s="34">
        <v>1</v>
      </c>
      <c r="L116" s="34">
        <v>3</v>
      </c>
      <c r="M116" s="19">
        <f>IF(OR(ISBLANK(C116),C116=""),"",ROUND((C116-B116)*24,2))</f>
        <v>27.35</v>
      </c>
      <c r="N116" s="35" t="str">
        <f>IF(OR(ISBLANK(C116),C116="",M116=""),"In Progress",IF(M116&lt;=J116,"Met","Breached"))</f>
        <v>Met</v>
      </c>
    </row>
    <row r="117" ht="19" customHeight="1" spans="1:14" x14ac:dyDescent="0.25">
      <c r="A117" s="22" t="s">
        <v>231</v>
      </c>
      <c r="B117" s="36">
        <v>46110.756944444445</v>
      </c>
      <c r="D117" s="22" t="s">
        <v>39</v>
      </c>
      <c r="E117" s="22" t="s">
        <v>65</v>
      </c>
      <c r="F117" s="22" t="s">
        <v>40</v>
      </c>
      <c r="G117" s="22" t="s">
        <v>121</v>
      </c>
      <c r="H117" s="22" t="s">
        <v>63</v>
      </c>
      <c r="I117" s="22" t="s">
        <v>108</v>
      </c>
      <c r="J117" s="23">
        <v>48</v>
      </c>
      <c r="K117" s="37">
        <v>0</v>
      </c>
      <c r="M117" s="22" t="str">
        <f>IF(OR(ISBLANK(C117),C117=""),"",ROUND((C117-B117)*24,2))</f>
        <v/>
      </c>
      <c r="N117" s="22" t="str">
        <f>IF(OR(ISBLANK(C117),C117="",M117=""),"In Progress",IF(M117&lt;=J117,"Met","Breached"))</f>
        <v>In Progress</v>
      </c>
    </row>
    <row r="118" ht="19" customHeight="1" spans="1:14" x14ac:dyDescent="0.25">
      <c r="A118" s="19" t="s">
        <v>232</v>
      </c>
      <c r="B118" s="33">
        <v>46149.42916666667</v>
      </c>
      <c r="C118" s="33">
        <v>46157.53125</v>
      </c>
      <c r="D118" s="19" t="s">
        <v>33</v>
      </c>
      <c r="E118" s="19" t="s">
        <v>69</v>
      </c>
      <c r="F118" s="19" t="s">
        <v>40</v>
      </c>
      <c r="G118" s="19" t="s">
        <v>113</v>
      </c>
      <c r="H118" s="19" t="s">
        <v>59</v>
      </c>
      <c r="I118" s="19" t="s">
        <v>147</v>
      </c>
      <c r="J118" s="20">
        <v>120</v>
      </c>
      <c r="K118" s="34">
        <v>1</v>
      </c>
      <c r="M118" s="19">
        <f>IF(OR(ISBLANK(C118),C118=""),"",ROUND((C118-B118)*24,2))</f>
        <v>194.45</v>
      </c>
      <c r="N118" s="39" t="str">
        <f>IF(OR(ISBLANK(C118),C118="",M118=""),"In Progress",IF(M118&lt;=J118,"Met","Breached"))</f>
        <v>Breached</v>
      </c>
    </row>
    <row r="119" ht="19" customHeight="1" spans="1:14" x14ac:dyDescent="0.25">
      <c r="A119" s="22" t="s">
        <v>233</v>
      </c>
      <c r="B119" s="36">
        <v>45795.92013888889</v>
      </c>
      <c r="C119" s="36">
        <v>45798.69305555556</v>
      </c>
      <c r="D119" s="22" t="s">
        <v>33</v>
      </c>
      <c r="E119" s="22" t="s">
        <v>65</v>
      </c>
      <c r="F119" s="22" t="s">
        <v>40</v>
      </c>
      <c r="G119" s="22" t="s">
        <v>116</v>
      </c>
      <c r="H119" s="22" t="s">
        <v>71</v>
      </c>
      <c r="I119" s="22" t="s">
        <v>114</v>
      </c>
      <c r="J119" s="23">
        <v>48</v>
      </c>
      <c r="K119" s="37">
        <v>0</v>
      </c>
      <c r="L119" s="37">
        <v>4</v>
      </c>
      <c r="M119" s="22">
        <f>IF(OR(ISBLANK(C119),C119=""),"",ROUND((C119-B119)*24,2))</f>
        <v>66.55</v>
      </c>
      <c r="N119" s="38" t="str">
        <f>IF(OR(ISBLANK(C119),C119="",M119=""),"In Progress",IF(M119&lt;=J119,"Met","Breached"))</f>
        <v>Breached</v>
      </c>
    </row>
    <row r="120" ht="19" customHeight="1" spans="1:14" x14ac:dyDescent="0.25">
      <c r="A120" s="19" t="s">
        <v>234</v>
      </c>
      <c r="B120" s="33">
        <v>45882.288194444445</v>
      </c>
      <c r="C120" s="33">
        <v>45883.174305555556</v>
      </c>
      <c r="D120" s="19" t="s">
        <v>33</v>
      </c>
      <c r="E120" s="19" t="s">
        <v>61</v>
      </c>
      <c r="F120" s="19" t="s">
        <v>34</v>
      </c>
      <c r="G120" s="19" t="s">
        <v>116</v>
      </c>
      <c r="H120" s="19" t="s">
        <v>63</v>
      </c>
      <c r="I120" s="19" t="s">
        <v>123</v>
      </c>
      <c r="J120" s="20">
        <v>12</v>
      </c>
      <c r="K120" s="34">
        <v>0</v>
      </c>
      <c r="L120" s="34">
        <v>4</v>
      </c>
      <c r="M120" s="19">
        <f>IF(OR(ISBLANK(C120),C120=""),"",ROUND((C120-B120)*24,2))</f>
        <v>21.27</v>
      </c>
      <c r="N120" s="39" t="str">
        <f>IF(OR(ISBLANK(C120),C120="",M120=""),"In Progress",IF(M120&lt;=J120,"Met","Breached"))</f>
        <v>Breached</v>
      </c>
    </row>
    <row r="121" ht="19" customHeight="1" spans="1:14" x14ac:dyDescent="0.25">
      <c r="A121" s="22" t="s">
        <v>235</v>
      </c>
      <c r="B121" s="36">
        <v>46159.53402777778</v>
      </c>
      <c r="C121" s="36">
        <v>46160.58333333333</v>
      </c>
      <c r="D121" s="22" t="s">
        <v>33</v>
      </c>
      <c r="E121" s="22" t="s">
        <v>65</v>
      </c>
      <c r="F121" s="22" t="s">
        <v>37</v>
      </c>
      <c r="G121" s="22" t="s">
        <v>110</v>
      </c>
      <c r="H121" s="22" t="s">
        <v>59</v>
      </c>
      <c r="I121" s="22" t="s">
        <v>123</v>
      </c>
      <c r="J121" s="23">
        <v>48</v>
      </c>
      <c r="K121" s="37">
        <v>0</v>
      </c>
      <c r="M121" s="22">
        <f>IF(OR(ISBLANK(C121),C121=""),"",ROUND((C121-B121)*24,2))</f>
        <v>25.18</v>
      </c>
      <c r="N121" s="40" t="str">
        <f>IF(OR(ISBLANK(C121),C121="",M121=""),"In Progress",IF(M121&lt;=J121,"Met","Breached"))</f>
        <v>Met</v>
      </c>
    </row>
    <row r="122" ht="19" customHeight="1" spans="1:14" x14ac:dyDescent="0.25">
      <c r="A122" s="19" t="s">
        <v>236</v>
      </c>
      <c r="B122" s="33">
        <v>45989.209027777775</v>
      </c>
      <c r="C122" s="33">
        <v>45990.44236111111</v>
      </c>
      <c r="D122" s="19" t="s">
        <v>33</v>
      </c>
      <c r="E122" s="19" t="s">
        <v>65</v>
      </c>
      <c r="F122" s="19" t="s">
        <v>34</v>
      </c>
      <c r="G122" s="19" t="s">
        <v>126</v>
      </c>
      <c r="H122" s="19" t="s">
        <v>63</v>
      </c>
      <c r="I122" s="19" t="s">
        <v>147</v>
      </c>
      <c r="J122" s="20">
        <v>48</v>
      </c>
      <c r="K122" s="34">
        <v>0</v>
      </c>
      <c r="L122" s="34">
        <v>1</v>
      </c>
      <c r="M122" s="19">
        <f>IF(OR(ISBLANK(C122),C122=""),"",ROUND((C122-B122)*24,2))</f>
        <v>29.6</v>
      </c>
      <c r="N122" s="35" t="str">
        <f>IF(OR(ISBLANK(C122),C122="",M122=""),"In Progress",IF(M122&lt;=J122,"Met","Breached"))</f>
        <v>Met</v>
      </c>
    </row>
    <row r="123" ht="19" customHeight="1" spans="1:14" x14ac:dyDescent="0.25">
      <c r="A123" s="22" t="s">
        <v>237</v>
      </c>
      <c r="B123" s="36">
        <v>46262.88958333334</v>
      </c>
      <c r="C123" s="36">
        <v>46269.302777777775</v>
      </c>
      <c r="D123" s="22" t="s">
        <v>33</v>
      </c>
      <c r="E123" s="22" t="s">
        <v>69</v>
      </c>
      <c r="F123" s="22" t="s">
        <v>34</v>
      </c>
      <c r="G123" s="22" t="s">
        <v>116</v>
      </c>
      <c r="H123" s="22" t="s">
        <v>67</v>
      </c>
      <c r="I123" s="22" t="s">
        <v>123</v>
      </c>
      <c r="J123" s="23">
        <v>120</v>
      </c>
      <c r="K123" s="37">
        <v>1</v>
      </c>
      <c r="L123" s="37">
        <v>1</v>
      </c>
      <c r="M123" s="22">
        <f>IF(OR(ISBLANK(C123),C123=""),"",ROUND((C123-B123)*24,2))</f>
        <v>153.92</v>
      </c>
      <c r="N123" s="38" t="str">
        <f>IF(OR(ISBLANK(C123),C123="",M123=""),"In Progress",IF(M123&lt;=J123,"Met","Breached"))</f>
        <v>Breached</v>
      </c>
    </row>
    <row r="124" ht="19" customHeight="1" spans="1:14" x14ac:dyDescent="0.25">
      <c r="A124" s="19" t="s">
        <v>238</v>
      </c>
      <c r="B124" s="33">
        <v>45742.48888888889</v>
      </c>
      <c r="C124" s="33">
        <v>45743.25277777778</v>
      </c>
      <c r="D124" s="19" t="s">
        <v>36</v>
      </c>
      <c r="E124" s="19" t="s">
        <v>61</v>
      </c>
      <c r="F124" s="19" t="s">
        <v>34</v>
      </c>
      <c r="G124" s="19" t="s">
        <v>121</v>
      </c>
      <c r="H124" s="19" t="s">
        <v>59</v>
      </c>
      <c r="I124" s="19" t="s">
        <v>147</v>
      </c>
      <c r="J124" s="20">
        <v>12</v>
      </c>
      <c r="K124" s="34">
        <v>0</v>
      </c>
      <c r="L124" s="34">
        <v>5</v>
      </c>
      <c r="M124" s="19">
        <f>IF(OR(ISBLANK(C124),C124=""),"",ROUND((C124-B124)*24,2))</f>
        <v>18.33</v>
      </c>
      <c r="N124" s="39" t="str">
        <f>IF(OR(ISBLANK(C124),C124="",M124=""),"In Progress",IF(M124&lt;=J124,"Met","Breached"))</f>
        <v>Breached</v>
      </c>
    </row>
    <row r="125" ht="19" customHeight="1" spans="1:14" x14ac:dyDescent="0.25">
      <c r="A125" s="22" t="s">
        <v>239</v>
      </c>
      <c r="B125" s="36">
        <v>46103.11319444445</v>
      </c>
      <c r="C125" s="36">
        <v>46106.51736111111</v>
      </c>
      <c r="D125" s="22" t="s">
        <v>36</v>
      </c>
      <c r="E125" s="22" t="s">
        <v>69</v>
      </c>
      <c r="F125" s="22" t="s">
        <v>45</v>
      </c>
      <c r="G125" s="22" t="s">
        <v>113</v>
      </c>
      <c r="H125" s="22" t="s">
        <v>59</v>
      </c>
      <c r="I125" s="22" t="s">
        <v>111</v>
      </c>
      <c r="J125" s="23">
        <v>120</v>
      </c>
      <c r="K125" s="37">
        <v>0</v>
      </c>
      <c r="M125" s="22">
        <f>IF(OR(ISBLANK(C125),C125=""),"",ROUND((C125-B125)*24,2))</f>
        <v>81.7</v>
      </c>
      <c r="N125" s="40" t="str">
        <f>IF(OR(ISBLANK(C125),C125="",M125=""),"In Progress",IF(M125&lt;=J125,"Met","Breached"))</f>
        <v>Met</v>
      </c>
    </row>
    <row r="126" ht="19" customHeight="1" spans="1:14" x14ac:dyDescent="0.25">
      <c r="A126" s="19" t="s">
        <v>240</v>
      </c>
      <c r="B126" s="33">
        <v>46253.18194444444</v>
      </c>
      <c r="C126" s="33">
        <v>46254.04305555555</v>
      </c>
      <c r="D126" s="19" t="s">
        <v>33</v>
      </c>
      <c r="E126" s="19" t="s">
        <v>61</v>
      </c>
      <c r="F126" s="19" t="s">
        <v>34</v>
      </c>
      <c r="G126" s="19" t="s">
        <v>63</v>
      </c>
      <c r="H126" s="19" t="s">
        <v>71</v>
      </c>
      <c r="I126" s="19" t="s">
        <v>123</v>
      </c>
      <c r="J126" s="20">
        <v>12</v>
      </c>
      <c r="K126" s="34">
        <v>0</v>
      </c>
      <c r="M126" s="19">
        <f>IF(OR(ISBLANK(C126),C126=""),"",ROUND((C126-B126)*24,2))</f>
        <v>20.67</v>
      </c>
      <c r="N126" s="39" t="str">
        <f>IF(OR(ISBLANK(C126),C126="",M126=""),"In Progress",IF(M126&lt;=J126,"Met","Breached"))</f>
        <v>Breached</v>
      </c>
    </row>
    <row r="127" ht="19" customHeight="1" spans="1:14" x14ac:dyDescent="0.25">
      <c r="A127" s="22" t="s">
        <v>241</v>
      </c>
      <c r="B127" s="36">
        <v>45989.38611111111</v>
      </c>
      <c r="C127" s="36">
        <v>45990.30208333333</v>
      </c>
      <c r="D127" s="22" t="s">
        <v>33</v>
      </c>
      <c r="E127" s="22" t="s">
        <v>65</v>
      </c>
      <c r="F127" s="22" t="s">
        <v>43</v>
      </c>
      <c r="G127" s="22" t="s">
        <v>110</v>
      </c>
      <c r="H127" s="22" t="s">
        <v>71</v>
      </c>
      <c r="I127" s="22" t="s">
        <v>114</v>
      </c>
      <c r="J127" s="23">
        <v>48</v>
      </c>
      <c r="K127" s="37">
        <v>0</v>
      </c>
      <c r="L127" s="37">
        <v>5</v>
      </c>
      <c r="M127" s="22">
        <f>IF(OR(ISBLANK(C127),C127=""),"",ROUND((C127-B127)*24,2))</f>
        <v>21.98</v>
      </c>
      <c r="N127" s="40" t="str">
        <f>IF(OR(ISBLANK(C127),C127="",M127=""),"In Progress",IF(M127&lt;=J127,"Met","Breached"))</f>
        <v>Met</v>
      </c>
    </row>
    <row r="128" ht="19" customHeight="1" spans="1:14" x14ac:dyDescent="0.25">
      <c r="A128" s="19" t="s">
        <v>242</v>
      </c>
      <c r="B128" s="33">
        <v>45698.08888888889</v>
      </c>
      <c r="C128" s="33">
        <v>45698.95416666666</v>
      </c>
      <c r="D128" s="19" t="s">
        <v>36</v>
      </c>
      <c r="E128" s="19" t="s">
        <v>61</v>
      </c>
      <c r="F128" s="19" t="s">
        <v>40</v>
      </c>
      <c r="G128" s="19" t="s">
        <v>113</v>
      </c>
      <c r="H128" s="19" t="s">
        <v>63</v>
      </c>
      <c r="I128" s="19" t="s">
        <v>147</v>
      </c>
      <c r="J128" s="20">
        <v>12</v>
      </c>
      <c r="K128" s="34">
        <v>0</v>
      </c>
      <c r="M128" s="19">
        <f>IF(OR(ISBLANK(C128),C128=""),"",ROUND((C128-B128)*24,2))</f>
        <v>20.77</v>
      </c>
      <c r="N128" s="39" t="str">
        <f>IF(OR(ISBLANK(C128),C128="",M128=""),"In Progress",IF(M128&lt;=J128,"Met","Breached"))</f>
        <v>Breached</v>
      </c>
    </row>
    <row r="129" ht="19" customHeight="1" spans="1:14" x14ac:dyDescent="0.25">
      <c r="A129" s="22" t="s">
        <v>243</v>
      </c>
      <c r="B129" s="36">
        <v>45975.59583333333</v>
      </c>
      <c r="C129" s="36">
        <v>45978.28611111111</v>
      </c>
      <c r="D129" s="22" t="s">
        <v>33</v>
      </c>
      <c r="E129" s="22" t="s">
        <v>69</v>
      </c>
      <c r="F129" s="22" t="s">
        <v>37</v>
      </c>
      <c r="G129" s="22" t="s">
        <v>113</v>
      </c>
      <c r="H129" s="22" t="s">
        <v>59</v>
      </c>
      <c r="I129" s="22" t="s">
        <v>123</v>
      </c>
      <c r="J129" s="23">
        <v>120</v>
      </c>
      <c r="K129" s="37">
        <v>0</v>
      </c>
      <c r="L129" s="37">
        <v>1</v>
      </c>
      <c r="M129" s="22">
        <f>IF(OR(ISBLANK(C129),C129=""),"",ROUND((C129-B129)*24,2))</f>
        <v>64.57</v>
      </c>
      <c r="N129" s="40" t="str">
        <f>IF(OR(ISBLANK(C129),C129="",M129=""),"In Progress",IF(M129&lt;=J129,"Met","Breached"))</f>
        <v>Met</v>
      </c>
    </row>
    <row r="130" ht="19" customHeight="1" spans="1:14" x14ac:dyDescent="0.25">
      <c r="A130" s="19" t="s">
        <v>244</v>
      </c>
      <c r="B130" s="33">
        <v>45755.67083333334</v>
      </c>
      <c r="C130" s="33">
        <v>45757.084027777775</v>
      </c>
      <c r="D130" s="19" t="s">
        <v>36</v>
      </c>
      <c r="E130" s="19" t="s">
        <v>65</v>
      </c>
      <c r="F130" s="19" t="s">
        <v>43</v>
      </c>
      <c r="G130" s="19" t="s">
        <v>63</v>
      </c>
      <c r="H130" s="19" t="s">
        <v>63</v>
      </c>
      <c r="I130" s="19" t="s">
        <v>111</v>
      </c>
      <c r="J130" s="20">
        <v>48</v>
      </c>
      <c r="K130" s="34">
        <v>0</v>
      </c>
      <c r="L130" s="34">
        <v>5</v>
      </c>
      <c r="M130" s="19">
        <f>IF(OR(ISBLANK(C130),C130=""),"",ROUND((C130-B130)*24,2))</f>
        <v>33.92</v>
      </c>
      <c r="N130" s="35" t="str">
        <f>IF(OR(ISBLANK(C130),C130="",M130=""),"In Progress",IF(M130&lt;=J130,"Met","Breached"))</f>
        <v>Met</v>
      </c>
    </row>
    <row r="131" ht="19" customHeight="1" spans="1:14" x14ac:dyDescent="0.25">
      <c r="A131" s="22" t="s">
        <v>245</v>
      </c>
      <c r="B131" s="36">
        <v>45714.60833333334</v>
      </c>
      <c r="D131" s="22" t="s">
        <v>39</v>
      </c>
      <c r="E131" s="22" t="s">
        <v>65</v>
      </c>
      <c r="F131" s="22" t="s">
        <v>43</v>
      </c>
      <c r="G131" s="22" t="s">
        <v>116</v>
      </c>
      <c r="H131" s="22" t="s">
        <v>67</v>
      </c>
      <c r="I131" s="22" t="s">
        <v>123</v>
      </c>
      <c r="J131" s="23">
        <v>48</v>
      </c>
      <c r="K131" s="37">
        <v>0</v>
      </c>
      <c r="M131" s="22" t="str">
        <f>IF(OR(ISBLANK(C131),C131=""),"",ROUND((C131-B131)*24,2))</f>
        <v/>
      </c>
      <c r="N131" s="22" t="str">
        <f>IF(OR(ISBLANK(C131),C131="",M131=""),"In Progress",IF(M131&lt;=J131,"Met","Breached"))</f>
        <v>In Progress</v>
      </c>
    </row>
    <row r="132" ht="19" customHeight="1" spans="1:14" x14ac:dyDescent="0.25">
      <c r="A132" s="19" t="s">
        <v>246</v>
      </c>
      <c r="B132" s="33">
        <v>45677.24375</v>
      </c>
      <c r="C132" s="33">
        <v>45682.48819444445</v>
      </c>
      <c r="D132" s="19" t="s">
        <v>33</v>
      </c>
      <c r="E132" s="19" t="s">
        <v>69</v>
      </c>
      <c r="F132" s="19" t="s">
        <v>37</v>
      </c>
      <c r="G132" s="19" t="s">
        <v>116</v>
      </c>
      <c r="H132" s="19" t="s">
        <v>59</v>
      </c>
      <c r="I132" s="19" t="s">
        <v>111</v>
      </c>
      <c r="J132" s="20">
        <v>120</v>
      </c>
      <c r="K132" s="34">
        <v>0</v>
      </c>
      <c r="L132" s="34">
        <v>5</v>
      </c>
      <c r="M132" s="19">
        <f>IF(OR(ISBLANK(C132),C132=""),"",ROUND((C132-B132)*24,2))</f>
        <v>125.87</v>
      </c>
      <c r="N132" s="39" t="str">
        <f>IF(OR(ISBLANK(C132),C132="",M132=""),"In Progress",IF(M132&lt;=J132,"Met","Breached"))</f>
        <v>Breached</v>
      </c>
    </row>
    <row r="133" ht="19" customHeight="1" spans="1:14" x14ac:dyDescent="0.25">
      <c r="A133" s="22" t="s">
        <v>247</v>
      </c>
      <c r="B133" s="36">
        <v>45989.09722222222</v>
      </c>
      <c r="C133" s="36">
        <v>45989.461111111115</v>
      </c>
      <c r="D133" s="22" t="s">
        <v>33</v>
      </c>
      <c r="E133" s="22" t="s">
        <v>61</v>
      </c>
      <c r="F133" s="22" t="s">
        <v>45</v>
      </c>
      <c r="G133" s="22" t="s">
        <v>116</v>
      </c>
      <c r="H133" s="22" t="s">
        <v>67</v>
      </c>
      <c r="I133" s="22" t="s">
        <v>111</v>
      </c>
      <c r="J133" s="23">
        <v>12</v>
      </c>
      <c r="K133" s="37">
        <v>0</v>
      </c>
      <c r="L133" s="37">
        <v>3</v>
      </c>
      <c r="M133" s="22">
        <f>IF(OR(ISBLANK(C133),C133=""),"",ROUND((C133-B133)*24,2))</f>
        <v>8.73</v>
      </c>
      <c r="N133" s="40" t="str">
        <f>IF(OR(ISBLANK(C133),C133="",M133=""),"In Progress",IF(M133&lt;=J133,"Met","Breached"))</f>
        <v>Met</v>
      </c>
    </row>
    <row r="134" ht="19" customHeight="1" spans="1:14" x14ac:dyDescent="0.25">
      <c r="A134" s="19" t="s">
        <v>248</v>
      </c>
      <c r="B134" s="33">
        <v>46226.54027777778</v>
      </c>
      <c r="C134" s="33">
        <v>46227.41111111111</v>
      </c>
      <c r="D134" s="19" t="s">
        <v>33</v>
      </c>
      <c r="E134" s="19" t="s">
        <v>61</v>
      </c>
      <c r="F134" s="19" t="s">
        <v>37</v>
      </c>
      <c r="G134" s="19" t="s">
        <v>63</v>
      </c>
      <c r="H134" s="19" t="s">
        <v>63</v>
      </c>
      <c r="I134" s="19" t="s">
        <v>147</v>
      </c>
      <c r="J134" s="20">
        <v>12</v>
      </c>
      <c r="K134" s="34">
        <v>0</v>
      </c>
      <c r="L134" s="34">
        <v>3</v>
      </c>
      <c r="M134" s="19">
        <f>IF(OR(ISBLANK(C134),C134=""),"",ROUND((C134-B134)*24,2))</f>
        <v>20.9</v>
      </c>
      <c r="N134" s="39" t="str">
        <f>IF(OR(ISBLANK(C134),C134="",M134=""),"In Progress",IF(M134&lt;=J134,"Met","Breached"))</f>
        <v>Breached</v>
      </c>
    </row>
    <row r="135" ht="19" customHeight="1" spans="1:14" x14ac:dyDescent="0.25">
      <c r="A135" s="22" t="s">
        <v>249</v>
      </c>
      <c r="B135" s="36">
        <v>45996.773611111115</v>
      </c>
      <c r="C135" s="36">
        <v>46000.14722222222</v>
      </c>
      <c r="D135" s="22" t="s">
        <v>36</v>
      </c>
      <c r="E135" s="22" t="s">
        <v>65</v>
      </c>
      <c r="F135" s="22" t="s">
        <v>37</v>
      </c>
      <c r="G135" s="22" t="s">
        <v>110</v>
      </c>
      <c r="H135" s="22" t="s">
        <v>67</v>
      </c>
      <c r="I135" s="22" t="s">
        <v>117</v>
      </c>
      <c r="J135" s="23">
        <v>48</v>
      </c>
      <c r="K135" s="37">
        <v>0</v>
      </c>
      <c r="L135" s="37">
        <v>3</v>
      </c>
      <c r="M135" s="22">
        <f>IF(OR(ISBLANK(C135),C135=""),"",ROUND((C135-B135)*24,2))</f>
        <v>80.97</v>
      </c>
      <c r="N135" s="38" t="str">
        <f>IF(OR(ISBLANK(C135),C135="",M135=""),"In Progress",IF(M135&lt;=J135,"Met","Breached"))</f>
        <v>Breached</v>
      </c>
    </row>
    <row r="136" ht="19" customHeight="1" spans="1:14" x14ac:dyDescent="0.25">
      <c r="A136" s="19" t="s">
        <v>250</v>
      </c>
      <c r="B136" s="33">
        <v>46220.040972222225</v>
      </c>
      <c r="C136" s="33">
        <v>46220.18611111111</v>
      </c>
      <c r="D136" s="19" t="s">
        <v>36</v>
      </c>
      <c r="E136" s="19" t="s">
        <v>57</v>
      </c>
      <c r="F136" s="19" t="s">
        <v>37</v>
      </c>
      <c r="G136" s="19" t="s">
        <v>121</v>
      </c>
      <c r="H136" s="19" t="s">
        <v>59</v>
      </c>
      <c r="I136" s="19" t="s">
        <v>123</v>
      </c>
      <c r="J136" s="20">
        <v>4</v>
      </c>
      <c r="K136" s="34">
        <v>0</v>
      </c>
      <c r="L136" s="34">
        <v>5</v>
      </c>
      <c r="M136" s="19">
        <f>IF(OR(ISBLANK(C136),C136=""),"",ROUND((C136-B136)*24,2))</f>
        <v>3.48</v>
      </c>
      <c r="N136" s="35" t="str">
        <f>IF(OR(ISBLANK(C136),C136="",M136=""),"In Progress",IF(M136&lt;=J136,"Met","Breached"))</f>
        <v>Met</v>
      </c>
    </row>
    <row r="137" ht="19" customHeight="1" spans="1:14" x14ac:dyDescent="0.25">
      <c r="A137" s="22" t="s">
        <v>251</v>
      </c>
      <c r="B137" s="36">
        <v>45741.73958333333</v>
      </c>
      <c r="C137" s="36">
        <v>45744.64583333333</v>
      </c>
      <c r="D137" s="22" t="s">
        <v>36</v>
      </c>
      <c r="E137" s="22" t="s">
        <v>65</v>
      </c>
      <c r="F137" s="22" t="s">
        <v>43</v>
      </c>
      <c r="G137" s="22" t="s">
        <v>121</v>
      </c>
      <c r="H137" s="22" t="s">
        <v>67</v>
      </c>
      <c r="I137" s="22" t="s">
        <v>114</v>
      </c>
      <c r="J137" s="23">
        <v>48</v>
      </c>
      <c r="K137" s="37">
        <v>0</v>
      </c>
      <c r="M137" s="22">
        <f>IF(OR(ISBLANK(C137),C137=""),"",ROUND((C137-B137)*24,2))</f>
        <v>69.75</v>
      </c>
      <c r="N137" s="38" t="str">
        <f>IF(OR(ISBLANK(C137),C137="",M137=""),"In Progress",IF(M137&lt;=J137,"Met","Breached"))</f>
        <v>Breached</v>
      </c>
    </row>
    <row r="138" ht="19" customHeight="1" spans="1:14" x14ac:dyDescent="0.25">
      <c r="A138" s="19" t="s">
        <v>252</v>
      </c>
      <c r="B138" s="33">
        <v>45902.64166666666</v>
      </c>
      <c r="C138" s="33">
        <v>45911.603472222225</v>
      </c>
      <c r="D138" s="19" t="s">
        <v>33</v>
      </c>
      <c r="E138" s="19" t="s">
        <v>69</v>
      </c>
      <c r="F138" s="19" t="s">
        <v>34</v>
      </c>
      <c r="G138" s="19" t="s">
        <v>121</v>
      </c>
      <c r="H138" s="19" t="s">
        <v>63</v>
      </c>
      <c r="I138" s="19" t="s">
        <v>111</v>
      </c>
      <c r="J138" s="20">
        <v>120</v>
      </c>
      <c r="K138" s="34">
        <v>0</v>
      </c>
      <c r="L138" s="34">
        <v>2</v>
      </c>
      <c r="M138" s="19">
        <f>IF(OR(ISBLANK(C138),C138=""),"",ROUND((C138-B138)*24,2))</f>
        <v>215.08</v>
      </c>
      <c r="N138" s="39" t="str">
        <f>IF(OR(ISBLANK(C138),C138="",M138=""),"In Progress",IF(M138&lt;=J138,"Met","Breached"))</f>
        <v>Breached</v>
      </c>
    </row>
    <row r="139" ht="19" customHeight="1" spans="1:14" x14ac:dyDescent="0.25">
      <c r="A139" s="22" t="s">
        <v>253</v>
      </c>
      <c r="B139" s="36">
        <v>45685.38888888889</v>
      </c>
      <c r="C139" s="36">
        <v>45687.15833333333</v>
      </c>
      <c r="D139" s="22" t="s">
        <v>36</v>
      </c>
      <c r="E139" s="22" t="s">
        <v>65</v>
      </c>
      <c r="F139" s="22" t="s">
        <v>45</v>
      </c>
      <c r="G139" s="22" t="s">
        <v>113</v>
      </c>
      <c r="H139" s="22" t="s">
        <v>59</v>
      </c>
      <c r="I139" s="22" t="s">
        <v>123</v>
      </c>
      <c r="J139" s="23">
        <v>48</v>
      </c>
      <c r="K139" s="37">
        <v>0</v>
      </c>
      <c r="L139" s="37">
        <v>2</v>
      </c>
      <c r="M139" s="22">
        <f>IF(OR(ISBLANK(C139),C139=""),"",ROUND((C139-B139)*24,2))</f>
        <v>42.47</v>
      </c>
      <c r="N139" s="40" t="str">
        <f>IF(OR(ISBLANK(C139),C139="",M139=""),"In Progress",IF(M139&lt;=J139,"Met","Breached"))</f>
        <v>Met</v>
      </c>
    </row>
    <row r="140" ht="19" customHeight="1" spans="1:14" x14ac:dyDescent="0.25">
      <c r="A140" s="19" t="s">
        <v>254</v>
      </c>
      <c r="B140" s="33">
        <v>45814.575694444444</v>
      </c>
      <c r="D140" s="19" t="s">
        <v>39</v>
      </c>
      <c r="E140" s="19" t="s">
        <v>65</v>
      </c>
      <c r="F140" s="19" t="s">
        <v>34</v>
      </c>
      <c r="G140" s="19" t="s">
        <v>63</v>
      </c>
      <c r="H140" s="19" t="s">
        <v>59</v>
      </c>
      <c r="I140" s="19" t="s">
        <v>117</v>
      </c>
      <c r="J140" s="20">
        <v>48</v>
      </c>
      <c r="K140" s="34">
        <v>0</v>
      </c>
      <c r="M140" s="19" t="str">
        <f>IF(OR(ISBLANK(C140),C140=""),"",ROUND((C140-B140)*24,2))</f>
        <v/>
      </c>
      <c r="N140" s="19" t="str">
        <f>IF(OR(ISBLANK(C140),C140="",M140=""),"In Progress",IF(M140&lt;=J140,"Met","Breached"))</f>
        <v>In Progress</v>
      </c>
    </row>
    <row r="141" ht="19" customHeight="1" spans="1:14" x14ac:dyDescent="0.25">
      <c r="A141" s="22" t="s">
        <v>255</v>
      </c>
      <c r="B141" s="36">
        <v>45889.96666666667</v>
      </c>
      <c r="C141" s="36">
        <v>45890.18611111111</v>
      </c>
      <c r="D141" s="22" t="s">
        <v>36</v>
      </c>
      <c r="E141" s="22" t="s">
        <v>61</v>
      </c>
      <c r="F141" s="22" t="s">
        <v>43</v>
      </c>
      <c r="G141" s="22" t="s">
        <v>110</v>
      </c>
      <c r="H141" s="22" t="s">
        <v>59</v>
      </c>
      <c r="I141" s="22" t="s">
        <v>114</v>
      </c>
      <c r="J141" s="23">
        <v>12</v>
      </c>
      <c r="K141" s="37">
        <v>0</v>
      </c>
      <c r="L141" s="37">
        <v>2</v>
      </c>
      <c r="M141" s="22">
        <f>IF(OR(ISBLANK(C141),C141=""),"",ROUND((C141-B141)*24,2))</f>
        <v>5.27</v>
      </c>
      <c r="N141" s="40" t="str">
        <f>IF(OR(ISBLANK(C141),C141="",M141=""),"In Progress",IF(M141&lt;=J141,"Met","Breached"))</f>
        <v>Met</v>
      </c>
    </row>
    <row r="142" ht="19" customHeight="1" spans="1:14" x14ac:dyDescent="0.25">
      <c r="A142" s="19" t="s">
        <v>256</v>
      </c>
      <c r="B142" s="33">
        <v>45787.43194444444</v>
      </c>
      <c r="C142" s="33">
        <v>45790.58194444445</v>
      </c>
      <c r="D142" s="19" t="s">
        <v>33</v>
      </c>
      <c r="E142" s="19" t="s">
        <v>69</v>
      </c>
      <c r="F142" s="19" t="s">
        <v>34</v>
      </c>
      <c r="G142" s="19" t="s">
        <v>113</v>
      </c>
      <c r="H142" s="19" t="s">
        <v>59</v>
      </c>
      <c r="I142" s="19" t="s">
        <v>147</v>
      </c>
      <c r="J142" s="20">
        <v>120</v>
      </c>
      <c r="K142" s="34">
        <v>0</v>
      </c>
      <c r="L142" s="34">
        <v>5</v>
      </c>
      <c r="M142" s="19">
        <f>IF(OR(ISBLANK(C142),C142=""),"",ROUND((C142-B142)*24,2))</f>
        <v>75.6</v>
      </c>
      <c r="N142" s="35" t="str">
        <f>IF(OR(ISBLANK(C142),C142="",M142=""),"In Progress",IF(M142&lt;=J142,"Met","Breached"))</f>
        <v>Met</v>
      </c>
    </row>
    <row r="143" ht="19" customHeight="1" spans="1:14" x14ac:dyDescent="0.25">
      <c r="A143" s="22" t="s">
        <v>257</v>
      </c>
      <c r="B143" s="36">
        <v>46186.236805555556</v>
      </c>
      <c r="C143" s="36">
        <v>46189.56736111111</v>
      </c>
      <c r="D143" s="22" t="s">
        <v>36</v>
      </c>
      <c r="E143" s="22" t="s">
        <v>65</v>
      </c>
      <c r="F143" s="22" t="s">
        <v>34</v>
      </c>
      <c r="G143" s="22" t="s">
        <v>121</v>
      </c>
      <c r="H143" s="22" t="s">
        <v>59</v>
      </c>
      <c r="I143" s="22" t="s">
        <v>147</v>
      </c>
      <c r="J143" s="23">
        <v>48</v>
      </c>
      <c r="K143" s="37">
        <v>0</v>
      </c>
      <c r="L143" s="37">
        <v>5</v>
      </c>
      <c r="M143" s="22">
        <f>IF(OR(ISBLANK(C143),C143=""),"",ROUND((C143-B143)*24,2))</f>
        <v>79.93</v>
      </c>
      <c r="N143" s="38" t="str">
        <f>IF(OR(ISBLANK(C143),C143="",M143=""),"In Progress",IF(M143&lt;=J143,"Met","Breached"))</f>
        <v>Breached</v>
      </c>
    </row>
    <row r="144" ht="19" customHeight="1" spans="1:14" x14ac:dyDescent="0.25">
      <c r="A144" s="19" t="s">
        <v>258</v>
      </c>
      <c r="B144" s="33">
        <v>45891.850694444445</v>
      </c>
      <c r="C144" s="33">
        <v>45899.26736111111</v>
      </c>
      <c r="D144" s="19" t="s">
        <v>33</v>
      </c>
      <c r="E144" s="19" t="s">
        <v>69</v>
      </c>
      <c r="F144" s="19" t="s">
        <v>34</v>
      </c>
      <c r="G144" s="19" t="s">
        <v>110</v>
      </c>
      <c r="H144" s="19" t="s">
        <v>59</v>
      </c>
      <c r="I144" s="19" t="s">
        <v>114</v>
      </c>
      <c r="J144" s="20">
        <v>120</v>
      </c>
      <c r="K144" s="34">
        <v>0</v>
      </c>
      <c r="L144" s="34">
        <v>1</v>
      </c>
      <c r="M144" s="19">
        <f>IF(OR(ISBLANK(C144),C144=""),"",ROUND((C144-B144)*24,2))</f>
        <v>178</v>
      </c>
      <c r="N144" s="39" t="str">
        <f>IF(OR(ISBLANK(C144),C144="",M144=""),"In Progress",IF(M144&lt;=J144,"Met","Breached"))</f>
        <v>Breached</v>
      </c>
    </row>
    <row r="145" ht="19" customHeight="1" spans="1:14" x14ac:dyDescent="0.25">
      <c r="A145" s="22" t="s">
        <v>259</v>
      </c>
      <c r="B145" s="36">
        <v>45834.74861111111</v>
      </c>
      <c r="C145" s="36">
        <v>45835.01736111111</v>
      </c>
      <c r="D145" s="22" t="s">
        <v>33</v>
      </c>
      <c r="E145" s="22" t="s">
        <v>61</v>
      </c>
      <c r="F145" s="22" t="s">
        <v>43</v>
      </c>
      <c r="G145" s="22" t="s">
        <v>113</v>
      </c>
      <c r="H145" s="22" t="s">
        <v>59</v>
      </c>
      <c r="I145" s="22" t="s">
        <v>123</v>
      </c>
      <c r="J145" s="23">
        <v>12</v>
      </c>
      <c r="K145" s="37">
        <v>0</v>
      </c>
      <c r="M145" s="22">
        <f>IF(OR(ISBLANK(C145),C145=""),"",ROUND((C145-B145)*24,2))</f>
        <v>6.45</v>
      </c>
      <c r="N145" s="40" t="str">
        <f>IF(OR(ISBLANK(C145),C145="",M145=""),"In Progress",IF(M145&lt;=J145,"Met","Breached"))</f>
        <v>Met</v>
      </c>
    </row>
    <row r="146" ht="19" customHeight="1" spans="1:14" x14ac:dyDescent="0.25">
      <c r="A146" s="19" t="s">
        <v>260</v>
      </c>
      <c r="B146" s="33">
        <v>46152.231944444444</v>
      </c>
      <c r="C146" s="33">
        <v>46153.71944444445</v>
      </c>
      <c r="D146" s="19" t="s">
        <v>33</v>
      </c>
      <c r="E146" s="19" t="s">
        <v>65</v>
      </c>
      <c r="F146" s="19" t="s">
        <v>40</v>
      </c>
      <c r="G146" s="19" t="s">
        <v>121</v>
      </c>
      <c r="H146" s="19" t="s">
        <v>59</v>
      </c>
      <c r="I146" s="19" t="s">
        <v>117</v>
      </c>
      <c r="J146" s="20">
        <v>48</v>
      </c>
      <c r="K146" s="34">
        <v>0</v>
      </c>
      <c r="L146" s="34">
        <v>3</v>
      </c>
      <c r="M146" s="19">
        <f>IF(OR(ISBLANK(C146),C146=""),"",ROUND((C146-B146)*24,2))</f>
        <v>35.7</v>
      </c>
      <c r="N146" s="35" t="str">
        <f>IF(OR(ISBLANK(C146),C146="",M146=""),"In Progress",IF(M146&lt;=J146,"Met","Breached"))</f>
        <v>Met</v>
      </c>
    </row>
    <row r="147" ht="19" customHeight="1" spans="1:14" x14ac:dyDescent="0.25">
      <c r="A147" s="22" t="s">
        <v>261</v>
      </c>
      <c r="B147" s="36">
        <v>45942.53472222222</v>
      </c>
      <c r="D147" s="22" t="s">
        <v>39</v>
      </c>
      <c r="E147" s="22" t="s">
        <v>69</v>
      </c>
      <c r="F147" s="22" t="s">
        <v>37</v>
      </c>
      <c r="G147" s="22" t="s">
        <v>110</v>
      </c>
      <c r="H147" s="22" t="s">
        <v>59</v>
      </c>
      <c r="I147" s="22" t="s">
        <v>108</v>
      </c>
      <c r="J147" s="23">
        <v>120</v>
      </c>
      <c r="K147" s="37">
        <v>0</v>
      </c>
      <c r="M147" s="22" t="str">
        <f>IF(OR(ISBLANK(C147),C147=""),"",ROUND((C147-B147)*24,2))</f>
        <v/>
      </c>
      <c r="N147" s="22" t="str">
        <f>IF(OR(ISBLANK(C147),C147="",M147=""),"In Progress",IF(M147&lt;=J147,"Met","Breached"))</f>
        <v>In Progress</v>
      </c>
    </row>
    <row r="148" ht="19" customHeight="1" spans="1:14" x14ac:dyDescent="0.25">
      <c r="A148" s="19" t="s">
        <v>262</v>
      </c>
      <c r="B148" s="33">
        <v>46204.490277777775</v>
      </c>
      <c r="C148" s="33">
        <v>46205.70486111111</v>
      </c>
      <c r="D148" s="19" t="s">
        <v>33</v>
      </c>
      <c r="E148" s="19" t="s">
        <v>65</v>
      </c>
      <c r="F148" s="19" t="s">
        <v>43</v>
      </c>
      <c r="G148" s="19" t="s">
        <v>63</v>
      </c>
      <c r="H148" s="19" t="s">
        <v>59</v>
      </c>
      <c r="I148" s="19" t="s">
        <v>117</v>
      </c>
      <c r="J148" s="20">
        <v>48</v>
      </c>
      <c r="K148" s="34">
        <v>0</v>
      </c>
      <c r="L148" s="34">
        <v>3</v>
      </c>
      <c r="M148" s="19">
        <f>IF(OR(ISBLANK(C148),C148=""),"",ROUND((C148-B148)*24,2))</f>
        <v>29.15</v>
      </c>
      <c r="N148" s="35" t="str">
        <f>IF(OR(ISBLANK(C148),C148="",M148=""),"In Progress",IF(M148&lt;=J148,"Met","Breached"))</f>
        <v>Met</v>
      </c>
    </row>
    <row r="149" ht="19" customHeight="1" spans="1:14" x14ac:dyDescent="0.25">
      <c r="A149" s="22" t="s">
        <v>263</v>
      </c>
      <c r="B149" s="36">
        <v>46189.33333333333</v>
      </c>
      <c r="C149" s="36">
        <v>46189.50138888889</v>
      </c>
      <c r="D149" s="22" t="s">
        <v>33</v>
      </c>
      <c r="E149" s="22" t="s">
        <v>57</v>
      </c>
      <c r="F149" s="22" t="s">
        <v>40</v>
      </c>
      <c r="G149" s="22" t="s">
        <v>116</v>
      </c>
      <c r="H149" s="22" t="s">
        <v>59</v>
      </c>
      <c r="I149" s="22" t="s">
        <v>114</v>
      </c>
      <c r="J149" s="23">
        <v>4</v>
      </c>
      <c r="K149" s="37">
        <v>0</v>
      </c>
      <c r="M149" s="22">
        <f>IF(OR(ISBLANK(C149),C149=""),"",ROUND((C149-B149)*24,2))</f>
        <v>4.03</v>
      </c>
      <c r="N149" s="38" t="str">
        <f>IF(OR(ISBLANK(C149),C149="",M149=""),"In Progress",IF(M149&lt;=J149,"Met","Breached"))</f>
        <v>Breached</v>
      </c>
    </row>
    <row r="150" ht="19" customHeight="1" spans="1:14" x14ac:dyDescent="0.25">
      <c r="A150" s="19" t="s">
        <v>264</v>
      </c>
      <c r="B150" s="33">
        <v>45941.268055555556</v>
      </c>
      <c r="C150" s="33">
        <v>45944.31875</v>
      </c>
      <c r="D150" s="19" t="s">
        <v>33</v>
      </c>
      <c r="E150" s="19" t="s">
        <v>69</v>
      </c>
      <c r="F150" s="19" t="s">
        <v>37</v>
      </c>
      <c r="G150" s="19" t="s">
        <v>113</v>
      </c>
      <c r="H150" s="19" t="s">
        <v>67</v>
      </c>
      <c r="I150" s="19" t="s">
        <v>108</v>
      </c>
      <c r="J150" s="20">
        <v>120</v>
      </c>
      <c r="K150" s="34">
        <v>0</v>
      </c>
      <c r="L150" s="34">
        <v>3</v>
      </c>
      <c r="M150" s="19">
        <f>IF(OR(ISBLANK(C150),C150=""),"",ROUND((C150-B150)*24,2))</f>
        <v>73.22</v>
      </c>
      <c r="N150" s="35" t="str">
        <f>IF(OR(ISBLANK(C150),C150="",M150=""),"In Progress",IF(M150&lt;=J150,"Met","Breached"))</f>
        <v>Met</v>
      </c>
    </row>
    <row r="151" ht="19" customHeight="1" spans="1:14" x14ac:dyDescent="0.25">
      <c r="A151" s="22" t="s">
        <v>265</v>
      </c>
      <c r="B151" s="36">
        <v>45795.424305555556</v>
      </c>
      <c r="C151" s="36">
        <v>45801.93472222222</v>
      </c>
      <c r="D151" s="22" t="s">
        <v>33</v>
      </c>
      <c r="E151" s="22" t="s">
        <v>69</v>
      </c>
      <c r="F151" s="22" t="s">
        <v>45</v>
      </c>
      <c r="G151" s="22" t="s">
        <v>116</v>
      </c>
      <c r="H151" s="22" t="s">
        <v>63</v>
      </c>
      <c r="I151" s="22" t="s">
        <v>117</v>
      </c>
      <c r="J151" s="23">
        <v>120</v>
      </c>
      <c r="K151" s="37">
        <v>0</v>
      </c>
      <c r="L151" s="37">
        <v>1</v>
      </c>
      <c r="M151" s="22">
        <f>IF(OR(ISBLANK(C151),C151=""),"",ROUND((C151-B151)*24,2))</f>
        <v>156.25</v>
      </c>
      <c r="N151" s="38" t="str">
        <f>IF(OR(ISBLANK(C151),C151="",M151=""),"In Progress",IF(M151&lt;=J151,"Met","Breached"))</f>
        <v>Breached</v>
      </c>
    </row>
    <row r="152" ht="19" customHeight="1" spans="1:14" x14ac:dyDescent="0.25">
      <c r="A152" s="19" t="s">
        <v>266</v>
      </c>
      <c r="B152" s="33">
        <v>45953.50625</v>
      </c>
      <c r="D152" s="19" t="s">
        <v>42</v>
      </c>
      <c r="E152" s="19" t="s">
        <v>69</v>
      </c>
      <c r="F152" s="19" t="s">
        <v>37</v>
      </c>
      <c r="G152" s="19" t="s">
        <v>63</v>
      </c>
      <c r="H152" s="19" t="s">
        <v>63</v>
      </c>
      <c r="I152" s="19" t="s">
        <v>123</v>
      </c>
      <c r="J152" s="20">
        <v>120</v>
      </c>
      <c r="K152" s="34">
        <v>0</v>
      </c>
      <c r="M152" s="19" t="str">
        <f>IF(OR(ISBLANK(C152),C152=""),"",ROUND((C152-B152)*24,2))</f>
        <v/>
      </c>
      <c r="N152" s="19" t="str">
        <f>IF(OR(ISBLANK(C152),C152="",M152=""),"In Progress",IF(M152&lt;=J152,"Met","Breached"))</f>
        <v>In Progress</v>
      </c>
    </row>
    <row r="153" ht="19" customHeight="1" spans="1:14" x14ac:dyDescent="0.25">
      <c r="A153" s="22" t="s">
        <v>267</v>
      </c>
      <c r="B153" s="36">
        <v>46264.209027777775</v>
      </c>
      <c r="C153" s="36">
        <v>46265.040972222225</v>
      </c>
      <c r="D153" s="22" t="s">
        <v>33</v>
      </c>
      <c r="E153" s="22" t="s">
        <v>61</v>
      </c>
      <c r="F153" s="22" t="s">
        <v>40</v>
      </c>
      <c r="G153" s="22" t="s">
        <v>126</v>
      </c>
      <c r="H153" s="22" t="s">
        <v>67</v>
      </c>
      <c r="I153" s="22" t="s">
        <v>147</v>
      </c>
      <c r="J153" s="23">
        <v>12</v>
      </c>
      <c r="K153" s="37">
        <v>0</v>
      </c>
      <c r="M153" s="22">
        <f>IF(OR(ISBLANK(C153),C153=""),"",ROUND((C153-B153)*24,2))</f>
        <v>19.97</v>
      </c>
      <c r="N153" s="38" t="str">
        <f>IF(OR(ISBLANK(C153),C153="",M153=""),"In Progress",IF(M153&lt;=J153,"Met","Breached"))</f>
        <v>Breached</v>
      </c>
    </row>
    <row r="154" ht="19" customHeight="1" spans="1:14" x14ac:dyDescent="0.25">
      <c r="A154" s="19" t="s">
        <v>268</v>
      </c>
      <c r="B154" s="33">
        <v>45986.393055555556</v>
      </c>
      <c r="C154" s="33">
        <v>45987.3375</v>
      </c>
      <c r="D154" s="19" t="s">
        <v>33</v>
      </c>
      <c r="E154" s="19" t="s">
        <v>65</v>
      </c>
      <c r="F154" s="19" t="s">
        <v>34</v>
      </c>
      <c r="G154" s="19" t="s">
        <v>113</v>
      </c>
      <c r="H154" s="19" t="s">
        <v>71</v>
      </c>
      <c r="I154" s="19" t="s">
        <v>108</v>
      </c>
      <c r="J154" s="20">
        <v>48</v>
      </c>
      <c r="K154" s="34">
        <v>0</v>
      </c>
      <c r="L154" s="34">
        <v>2</v>
      </c>
      <c r="M154" s="19">
        <f>IF(OR(ISBLANK(C154),C154=""),"",ROUND((C154-B154)*24,2))</f>
        <v>22.67</v>
      </c>
      <c r="N154" s="35" t="str">
        <f>IF(OR(ISBLANK(C154),C154="",M154=""),"In Progress",IF(M154&lt;=J154,"Met","Breached"))</f>
        <v>Met</v>
      </c>
    </row>
    <row r="155" ht="19" customHeight="1" spans="1:14" x14ac:dyDescent="0.25">
      <c r="A155" s="22" t="s">
        <v>269</v>
      </c>
      <c r="B155" s="36">
        <v>45826.02777777778</v>
      </c>
      <c r="C155" s="36">
        <v>45826.211111111115</v>
      </c>
      <c r="D155" s="22" t="s">
        <v>33</v>
      </c>
      <c r="E155" s="22" t="s">
        <v>61</v>
      </c>
      <c r="F155" s="22" t="s">
        <v>34</v>
      </c>
      <c r="G155" s="22" t="s">
        <v>121</v>
      </c>
      <c r="H155" s="22" t="s">
        <v>59</v>
      </c>
      <c r="I155" s="22" t="s">
        <v>117</v>
      </c>
      <c r="J155" s="23">
        <v>12</v>
      </c>
      <c r="K155" s="37">
        <v>0</v>
      </c>
      <c r="L155" s="37">
        <v>2</v>
      </c>
      <c r="M155" s="22">
        <f>IF(OR(ISBLANK(C155),C155=""),"",ROUND((C155-B155)*24,2))</f>
        <v>4.4</v>
      </c>
      <c r="N155" s="40" t="str">
        <f>IF(OR(ISBLANK(C155),C155="",M155=""),"In Progress",IF(M155&lt;=J155,"Met","Breached"))</f>
        <v>Met</v>
      </c>
    </row>
    <row r="156" ht="19" customHeight="1" spans="1:14" x14ac:dyDescent="0.25">
      <c r="A156" s="19" t="s">
        <v>270</v>
      </c>
      <c r="B156" s="33">
        <v>45906.73958333333</v>
      </c>
      <c r="C156" s="33">
        <v>45907.83194444445</v>
      </c>
      <c r="D156" s="19" t="s">
        <v>33</v>
      </c>
      <c r="E156" s="19" t="s">
        <v>65</v>
      </c>
      <c r="F156" s="19" t="s">
        <v>34</v>
      </c>
      <c r="G156" s="19" t="s">
        <v>113</v>
      </c>
      <c r="H156" s="19" t="s">
        <v>67</v>
      </c>
      <c r="I156" s="19" t="s">
        <v>147</v>
      </c>
      <c r="J156" s="20">
        <v>48</v>
      </c>
      <c r="K156" s="34">
        <v>1</v>
      </c>
      <c r="L156" s="34">
        <v>3</v>
      </c>
      <c r="M156" s="19">
        <f>IF(OR(ISBLANK(C156),C156=""),"",ROUND((C156-B156)*24,2))</f>
        <v>26.22</v>
      </c>
      <c r="N156" s="35" t="str">
        <f>IF(OR(ISBLANK(C156),C156="",M156=""),"In Progress",IF(M156&lt;=J156,"Met","Breached"))</f>
        <v>Met</v>
      </c>
    </row>
    <row r="157" ht="19" customHeight="1" spans="1:14" x14ac:dyDescent="0.25">
      <c r="A157" s="22" t="s">
        <v>271</v>
      </c>
      <c r="B157" s="36">
        <v>45733.41180555556</v>
      </c>
      <c r="C157" s="36">
        <v>45733.59166666667</v>
      </c>
      <c r="D157" s="22" t="s">
        <v>36</v>
      </c>
      <c r="E157" s="22" t="s">
        <v>57</v>
      </c>
      <c r="F157" s="22" t="s">
        <v>43</v>
      </c>
      <c r="G157" s="22" t="s">
        <v>113</v>
      </c>
      <c r="H157" s="22" t="s">
        <v>59</v>
      </c>
      <c r="I157" s="22" t="s">
        <v>114</v>
      </c>
      <c r="J157" s="23">
        <v>4</v>
      </c>
      <c r="K157" s="37">
        <v>0</v>
      </c>
      <c r="L157" s="37">
        <v>4</v>
      </c>
      <c r="M157" s="22">
        <f>IF(OR(ISBLANK(C157),C157=""),"",ROUND((C157-B157)*24,2))</f>
        <v>4.32</v>
      </c>
      <c r="N157" s="38" t="str">
        <f>IF(OR(ISBLANK(C157),C157="",M157=""),"In Progress",IF(M157&lt;=J157,"Met","Breached"))</f>
        <v>Breached</v>
      </c>
    </row>
    <row r="158" ht="19" customHeight="1" spans="1:14" x14ac:dyDescent="0.25">
      <c r="A158" s="19" t="s">
        <v>272</v>
      </c>
      <c r="B158" s="33">
        <v>46193.23541666666</v>
      </c>
      <c r="C158" s="33">
        <v>46196.04583333334</v>
      </c>
      <c r="D158" s="19" t="s">
        <v>33</v>
      </c>
      <c r="E158" s="19" t="s">
        <v>65</v>
      </c>
      <c r="F158" s="19" t="s">
        <v>34</v>
      </c>
      <c r="G158" s="19" t="s">
        <v>110</v>
      </c>
      <c r="H158" s="19" t="s">
        <v>63</v>
      </c>
      <c r="I158" s="19" t="s">
        <v>123</v>
      </c>
      <c r="J158" s="20">
        <v>48</v>
      </c>
      <c r="K158" s="34">
        <v>1</v>
      </c>
      <c r="L158" s="34">
        <v>2</v>
      </c>
      <c r="M158" s="19">
        <f>IF(OR(ISBLANK(C158),C158=""),"",ROUND((C158-B158)*24,2))</f>
        <v>67.45</v>
      </c>
      <c r="N158" s="39" t="str">
        <f>IF(OR(ISBLANK(C158),C158="",M158=""),"In Progress",IF(M158&lt;=J158,"Met","Breached"))</f>
        <v>Breached</v>
      </c>
    </row>
    <row r="159" ht="19" customHeight="1" spans="1:14" x14ac:dyDescent="0.25">
      <c r="A159" s="22" t="s">
        <v>273</v>
      </c>
      <c r="B159" s="36">
        <v>46125.7375</v>
      </c>
      <c r="C159" s="36">
        <v>46129.413888888885</v>
      </c>
      <c r="D159" s="22" t="s">
        <v>33</v>
      </c>
      <c r="E159" s="22" t="s">
        <v>69</v>
      </c>
      <c r="F159" s="22" t="s">
        <v>34</v>
      </c>
      <c r="G159" s="22" t="s">
        <v>126</v>
      </c>
      <c r="H159" s="22" t="s">
        <v>63</v>
      </c>
      <c r="I159" s="22" t="s">
        <v>111</v>
      </c>
      <c r="J159" s="23">
        <v>120</v>
      </c>
      <c r="K159" s="37">
        <v>0</v>
      </c>
      <c r="L159" s="37">
        <v>4</v>
      </c>
      <c r="M159" s="22">
        <f>IF(OR(ISBLANK(C159),C159=""),"",ROUND((C159-B159)*24,2))</f>
        <v>88.23</v>
      </c>
      <c r="N159" s="40" t="str">
        <f>IF(OR(ISBLANK(C159),C159="",M159=""),"In Progress",IF(M159&lt;=J159,"Met","Breached"))</f>
        <v>Met</v>
      </c>
    </row>
    <row r="160" ht="19" customHeight="1" spans="1:14" x14ac:dyDescent="0.25">
      <c r="A160" s="19" t="s">
        <v>274</v>
      </c>
      <c r="B160" s="33">
        <v>45846.33263888889</v>
      </c>
      <c r="C160" s="33">
        <v>45849.513194444444</v>
      </c>
      <c r="D160" s="19" t="s">
        <v>33</v>
      </c>
      <c r="E160" s="19" t="s">
        <v>65</v>
      </c>
      <c r="F160" s="19" t="s">
        <v>43</v>
      </c>
      <c r="G160" s="19" t="s">
        <v>63</v>
      </c>
      <c r="H160" s="19" t="s">
        <v>63</v>
      </c>
      <c r="I160" s="19" t="s">
        <v>147</v>
      </c>
      <c r="J160" s="20">
        <v>48</v>
      </c>
      <c r="K160" s="34">
        <v>0</v>
      </c>
      <c r="L160" s="34">
        <v>2</v>
      </c>
      <c r="M160" s="19">
        <f>IF(OR(ISBLANK(C160),C160=""),"",ROUND((C160-B160)*24,2))</f>
        <v>76.33</v>
      </c>
      <c r="N160" s="39" t="str">
        <f>IF(OR(ISBLANK(C160),C160="",M160=""),"In Progress",IF(M160&lt;=J160,"Met","Breached"))</f>
        <v>Breached</v>
      </c>
    </row>
    <row r="161" ht="19" customHeight="1" spans="1:14" x14ac:dyDescent="0.25">
      <c r="A161" s="22" t="s">
        <v>275</v>
      </c>
      <c r="B161" s="36">
        <v>45902.695138888885</v>
      </c>
      <c r="C161" s="36">
        <v>45905.08333333333</v>
      </c>
      <c r="D161" s="22" t="s">
        <v>36</v>
      </c>
      <c r="E161" s="22" t="s">
        <v>65</v>
      </c>
      <c r="F161" s="22" t="s">
        <v>43</v>
      </c>
      <c r="G161" s="22" t="s">
        <v>113</v>
      </c>
      <c r="H161" s="22" t="s">
        <v>59</v>
      </c>
      <c r="I161" s="22" t="s">
        <v>123</v>
      </c>
      <c r="J161" s="23">
        <v>48</v>
      </c>
      <c r="K161" s="37">
        <v>0</v>
      </c>
      <c r="M161" s="22">
        <f>IF(OR(ISBLANK(C161),C161=""),"",ROUND((C161-B161)*24,2))</f>
        <v>57.32</v>
      </c>
      <c r="N161" s="38" t="str">
        <f>IF(OR(ISBLANK(C161),C161="",M161=""),"In Progress",IF(M161&lt;=J161,"Met","Breached"))</f>
        <v>Breached</v>
      </c>
    </row>
    <row r="162" ht="19" customHeight="1" spans="1:14" x14ac:dyDescent="0.25">
      <c r="A162" s="19" t="s">
        <v>276</v>
      </c>
      <c r="B162" s="33">
        <v>45886.87222222222</v>
      </c>
      <c r="C162" s="33">
        <v>45887.83125</v>
      </c>
      <c r="D162" s="19" t="s">
        <v>36</v>
      </c>
      <c r="E162" s="19" t="s">
        <v>65</v>
      </c>
      <c r="F162" s="19" t="s">
        <v>34</v>
      </c>
      <c r="G162" s="19" t="s">
        <v>113</v>
      </c>
      <c r="H162" s="19" t="s">
        <v>59</v>
      </c>
      <c r="I162" s="19" t="s">
        <v>147</v>
      </c>
      <c r="J162" s="20">
        <v>48</v>
      </c>
      <c r="K162" s="34">
        <v>0</v>
      </c>
      <c r="L162" s="34">
        <v>1</v>
      </c>
      <c r="M162" s="19">
        <f>IF(OR(ISBLANK(C162),C162=""),"",ROUND((C162-B162)*24,2))</f>
        <v>23.02</v>
      </c>
      <c r="N162" s="35" t="str">
        <f>IF(OR(ISBLANK(C162),C162="",M162=""),"In Progress",IF(M162&lt;=J162,"Met","Breached"))</f>
        <v>Met</v>
      </c>
    </row>
    <row r="163" ht="19" customHeight="1" spans="1:14" x14ac:dyDescent="0.25">
      <c r="A163" s="22" t="s">
        <v>277</v>
      </c>
      <c r="B163" s="36">
        <v>46209.302777777775</v>
      </c>
      <c r="C163" s="36">
        <v>46209.41805555555</v>
      </c>
      <c r="D163" s="22" t="s">
        <v>33</v>
      </c>
      <c r="E163" s="22" t="s">
        <v>57</v>
      </c>
      <c r="F163" s="22" t="s">
        <v>37</v>
      </c>
      <c r="G163" s="22" t="s">
        <v>110</v>
      </c>
      <c r="H163" s="22" t="s">
        <v>59</v>
      </c>
      <c r="I163" s="22" t="s">
        <v>114</v>
      </c>
      <c r="J163" s="23">
        <v>4</v>
      </c>
      <c r="K163" s="37">
        <v>0</v>
      </c>
      <c r="L163" s="37">
        <v>5</v>
      </c>
      <c r="M163" s="22">
        <f>IF(OR(ISBLANK(C163),C163=""),"",ROUND((C163-B163)*24,2))</f>
        <v>2.77</v>
      </c>
      <c r="N163" s="40" t="str">
        <f>IF(OR(ISBLANK(C163),C163="",M163=""),"In Progress",IF(M163&lt;=J163,"Met","Breached"))</f>
        <v>Met</v>
      </c>
    </row>
    <row r="164" ht="19" customHeight="1" spans="1:14" x14ac:dyDescent="0.25">
      <c r="A164" s="19" t="s">
        <v>278</v>
      </c>
      <c r="B164" s="33">
        <v>46140.17013888889</v>
      </c>
      <c r="C164" s="33">
        <v>46142.99375</v>
      </c>
      <c r="D164" s="19" t="s">
        <v>36</v>
      </c>
      <c r="E164" s="19" t="s">
        <v>65</v>
      </c>
      <c r="F164" s="19" t="s">
        <v>40</v>
      </c>
      <c r="G164" s="19" t="s">
        <v>126</v>
      </c>
      <c r="H164" s="19" t="s">
        <v>59</v>
      </c>
      <c r="I164" s="19" t="s">
        <v>147</v>
      </c>
      <c r="J164" s="20">
        <v>48</v>
      </c>
      <c r="K164" s="34">
        <v>0</v>
      </c>
      <c r="L164" s="34">
        <v>3</v>
      </c>
      <c r="M164" s="19">
        <f>IF(OR(ISBLANK(C164),C164=""),"",ROUND((C164-B164)*24,2))</f>
        <v>67.77</v>
      </c>
      <c r="N164" s="39" t="str">
        <f>IF(OR(ISBLANK(C164),C164="",M164=""),"In Progress",IF(M164&lt;=J164,"Met","Breached"))</f>
        <v>Breached</v>
      </c>
    </row>
    <row r="165" ht="19" customHeight="1" spans="1:14" x14ac:dyDescent="0.25">
      <c r="A165" s="22" t="s">
        <v>279</v>
      </c>
      <c r="B165" s="36">
        <v>45976.214583333334</v>
      </c>
      <c r="C165" s="36">
        <v>45985.194444444445</v>
      </c>
      <c r="D165" s="22" t="s">
        <v>33</v>
      </c>
      <c r="E165" s="22" t="s">
        <v>69</v>
      </c>
      <c r="F165" s="22" t="s">
        <v>37</v>
      </c>
      <c r="G165" s="22" t="s">
        <v>63</v>
      </c>
      <c r="H165" s="22" t="s">
        <v>59</v>
      </c>
      <c r="I165" s="22" t="s">
        <v>108</v>
      </c>
      <c r="J165" s="23">
        <v>120</v>
      </c>
      <c r="K165" s="37">
        <v>1</v>
      </c>
      <c r="L165" s="37">
        <v>1</v>
      </c>
      <c r="M165" s="22">
        <f>IF(OR(ISBLANK(C165),C165=""),"",ROUND((C165-B165)*24,2))</f>
        <v>215.52</v>
      </c>
      <c r="N165" s="38" t="str">
        <f>IF(OR(ISBLANK(C165),C165="",M165=""),"In Progress",IF(M165&lt;=J165,"Met","Breached"))</f>
        <v>Breached</v>
      </c>
    </row>
    <row r="166" ht="19" customHeight="1" spans="1:14" x14ac:dyDescent="0.25">
      <c r="A166" s="19" t="s">
        <v>280</v>
      </c>
      <c r="B166" s="33">
        <v>45825.45625</v>
      </c>
      <c r="C166" s="33">
        <v>45826.475</v>
      </c>
      <c r="D166" s="19" t="s">
        <v>33</v>
      </c>
      <c r="E166" s="19" t="s">
        <v>65</v>
      </c>
      <c r="F166" s="19" t="s">
        <v>45</v>
      </c>
      <c r="G166" s="19" t="s">
        <v>116</v>
      </c>
      <c r="H166" s="19" t="s">
        <v>59</v>
      </c>
      <c r="I166" s="19" t="s">
        <v>111</v>
      </c>
      <c r="J166" s="20">
        <v>48</v>
      </c>
      <c r="K166" s="34">
        <v>0</v>
      </c>
      <c r="L166" s="34">
        <v>5</v>
      </c>
      <c r="M166" s="19">
        <f>IF(OR(ISBLANK(C166),C166=""),"",ROUND((C166-B166)*24,2))</f>
        <v>24.45</v>
      </c>
      <c r="N166" s="35" t="str">
        <f>IF(OR(ISBLANK(C166),C166="",M166=""),"In Progress",IF(M166&lt;=J166,"Met","Breached"))</f>
        <v>Met</v>
      </c>
    </row>
    <row r="167" ht="19" customHeight="1" spans="1:14" x14ac:dyDescent="0.25">
      <c r="A167" s="22" t="s">
        <v>281</v>
      </c>
      <c r="B167" s="36">
        <v>45727.80069444445</v>
      </c>
      <c r="C167" s="36">
        <v>45731.33263888889</v>
      </c>
      <c r="D167" s="22" t="s">
        <v>36</v>
      </c>
      <c r="E167" s="22" t="s">
        <v>65</v>
      </c>
      <c r="F167" s="22" t="s">
        <v>43</v>
      </c>
      <c r="G167" s="22" t="s">
        <v>116</v>
      </c>
      <c r="H167" s="22" t="s">
        <v>59</v>
      </c>
      <c r="I167" s="22" t="s">
        <v>114</v>
      </c>
      <c r="J167" s="23">
        <v>48</v>
      </c>
      <c r="K167" s="37">
        <v>0</v>
      </c>
      <c r="M167" s="22">
        <f>IF(OR(ISBLANK(C167),C167=""),"",ROUND((C167-B167)*24,2))</f>
        <v>84.77</v>
      </c>
      <c r="N167" s="38" t="str">
        <f>IF(OR(ISBLANK(C167),C167="",M167=""),"In Progress",IF(M167&lt;=J167,"Met","Breached"))</f>
        <v>Breached</v>
      </c>
    </row>
    <row r="168" ht="19" customHeight="1" spans="1:14" x14ac:dyDescent="0.25">
      <c r="A168" s="19" t="s">
        <v>282</v>
      </c>
      <c r="B168" s="33">
        <v>45664.89583333333</v>
      </c>
      <c r="C168" s="33">
        <v>45667.10902777778</v>
      </c>
      <c r="D168" s="19" t="s">
        <v>36</v>
      </c>
      <c r="E168" s="19" t="s">
        <v>65</v>
      </c>
      <c r="F168" s="19" t="s">
        <v>45</v>
      </c>
      <c r="G168" s="19" t="s">
        <v>126</v>
      </c>
      <c r="H168" s="19" t="s">
        <v>63</v>
      </c>
      <c r="I168" s="19" t="s">
        <v>147</v>
      </c>
      <c r="J168" s="20">
        <v>48</v>
      </c>
      <c r="K168" s="34">
        <v>0</v>
      </c>
      <c r="L168" s="34">
        <v>2</v>
      </c>
      <c r="M168" s="19">
        <f>IF(OR(ISBLANK(C168),C168=""),"",ROUND((C168-B168)*24,2))</f>
        <v>53.12</v>
      </c>
      <c r="N168" s="39" t="str">
        <f>IF(OR(ISBLANK(C168),C168="",M168=""),"In Progress",IF(M168&lt;=J168,"Met","Breached"))</f>
        <v>Breached</v>
      </c>
    </row>
    <row r="169" ht="19" customHeight="1" spans="1:14" x14ac:dyDescent="0.25">
      <c r="A169" s="22" t="s">
        <v>283</v>
      </c>
      <c r="B169" s="36">
        <v>46076.39375</v>
      </c>
      <c r="C169" s="36">
        <v>46079.15277777778</v>
      </c>
      <c r="D169" s="22" t="s">
        <v>33</v>
      </c>
      <c r="E169" s="22" t="s">
        <v>65</v>
      </c>
      <c r="F169" s="22" t="s">
        <v>45</v>
      </c>
      <c r="G169" s="22" t="s">
        <v>110</v>
      </c>
      <c r="H169" s="22" t="s">
        <v>67</v>
      </c>
      <c r="I169" s="22" t="s">
        <v>147</v>
      </c>
      <c r="J169" s="23">
        <v>48</v>
      </c>
      <c r="K169" s="37">
        <v>1</v>
      </c>
      <c r="L169" s="37">
        <v>1</v>
      </c>
      <c r="M169" s="22">
        <f>IF(OR(ISBLANK(C169),C169=""),"",ROUND((C169-B169)*24,2))</f>
        <v>66.22</v>
      </c>
      <c r="N169" s="38" t="str">
        <f>IF(OR(ISBLANK(C169),C169="",M169=""),"In Progress",IF(M169&lt;=J169,"Met","Breached"))</f>
        <v>Breached</v>
      </c>
    </row>
    <row r="170" ht="19" customHeight="1" spans="1:14" x14ac:dyDescent="0.25">
      <c r="A170" s="19" t="s">
        <v>284</v>
      </c>
      <c r="B170" s="33">
        <v>45676.018055555556</v>
      </c>
      <c r="C170" s="33">
        <v>45683.33333333333</v>
      </c>
      <c r="D170" s="19" t="s">
        <v>36</v>
      </c>
      <c r="E170" s="19" t="s">
        <v>69</v>
      </c>
      <c r="F170" s="19" t="s">
        <v>43</v>
      </c>
      <c r="G170" s="19" t="s">
        <v>110</v>
      </c>
      <c r="H170" s="19" t="s">
        <v>59</v>
      </c>
      <c r="I170" s="19" t="s">
        <v>111</v>
      </c>
      <c r="J170" s="20">
        <v>120</v>
      </c>
      <c r="K170" s="34">
        <v>0</v>
      </c>
      <c r="M170" s="19">
        <f>IF(OR(ISBLANK(C170),C170=""),"",ROUND((C170-B170)*24,2))</f>
        <v>175.57</v>
      </c>
      <c r="N170" s="39" t="str">
        <f>IF(OR(ISBLANK(C170),C170="",M170=""),"In Progress",IF(M170&lt;=J170,"Met","Breached"))</f>
        <v>Breached</v>
      </c>
    </row>
    <row r="171" ht="19" customHeight="1" spans="1:14" x14ac:dyDescent="0.25">
      <c r="A171" s="22" t="s">
        <v>285</v>
      </c>
      <c r="B171" s="36">
        <v>46260.11597222222</v>
      </c>
      <c r="C171" s="36">
        <v>46264.04305555555</v>
      </c>
      <c r="D171" s="22" t="s">
        <v>33</v>
      </c>
      <c r="E171" s="22" t="s">
        <v>69</v>
      </c>
      <c r="F171" s="22" t="s">
        <v>34</v>
      </c>
      <c r="G171" s="22" t="s">
        <v>121</v>
      </c>
      <c r="H171" s="22" t="s">
        <v>59</v>
      </c>
      <c r="I171" s="22" t="s">
        <v>147</v>
      </c>
      <c r="J171" s="23">
        <v>120</v>
      </c>
      <c r="K171" s="37">
        <v>0</v>
      </c>
      <c r="M171" s="22">
        <f>IF(OR(ISBLANK(C171),C171=""),"",ROUND((C171-B171)*24,2))</f>
        <v>94.25</v>
      </c>
      <c r="N171" s="40" t="str">
        <f>IF(OR(ISBLANK(C171),C171="",M171=""),"In Progress",IF(M171&lt;=J171,"Met","Breached"))</f>
        <v>Met</v>
      </c>
    </row>
    <row r="172" ht="19" customHeight="1" spans="1:14" x14ac:dyDescent="0.25">
      <c r="A172" s="19" t="s">
        <v>286</v>
      </c>
      <c r="B172" s="33">
        <v>45945.361805555556</v>
      </c>
      <c r="C172" s="33">
        <v>45946.80347222222</v>
      </c>
      <c r="D172" s="19" t="s">
        <v>33</v>
      </c>
      <c r="E172" s="19" t="s">
        <v>65</v>
      </c>
      <c r="F172" s="19" t="s">
        <v>34</v>
      </c>
      <c r="G172" s="19" t="s">
        <v>126</v>
      </c>
      <c r="H172" s="19" t="s">
        <v>63</v>
      </c>
      <c r="I172" s="19" t="s">
        <v>123</v>
      </c>
      <c r="J172" s="20">
        <v>48</v>
      </c>
      <c r="K172" s="34">
        <v>0</v>
      </c>
      <c r="M172" s="19">
        <f>IF(OR(ISBLANK(C172),C172=""),"",ROUND((C172-B172)*24,2))</f>
        <v>34.6</v>
      </c>
      <c r="N172" s="35" t="str">
        <f>IF(OR(ISBLANK(C172),C172="",M172=""),"In Progress",IF(M172&lt;=J172,"Met","Breached"))</f>
        <v>Met</v>
      </c>
    </row>
    <row r="173" ht="19" customHeight="1" spans="1:14" x14ac:dyDescent="0.25">
      <c r="A173" s="22" t="s">
        <v>287</v>
      </c>
      <c r="B173" s="36">
        <v>45899.26041666667</v>
      </c>
      <c r="D173" s="22" t="s">
        <v>42</v>
      </c>
      <c r="E173" s="22" t="s">
        <v>65</v>
      </c>
      <c r="F173" s="22" t="s">
        <v>37</v>
      </c>
      <c r="G173" s="22" t="s">
        <v>126</v>
      </c>
      <c r="H173" s="22" t="s">
        <v>59</v>
      </c>
      <c r="I173" s="22" t="s">
        <v>111</v>
      </c>
      <c r="J173" s="23">
        <v>48</v>
      </c>
      <c r="K173" s="37">
        <v>0</v>
      </c>
      <c r="M173" s="22" t="str">
        <f>IF(OR(ISBLANK(C173),C173=""),"",ROUND((C173-B173)*24,2))</f>
        <v/>
      </c>
      <c r="N173" s="22" t="str">
        <f>IF(OR(ISBLANK(C173),C173="",M173=""),"In Progress",IF(M173&lt;=J173,"Met","Breached"))</f>
        <v>In Progress</v>
      </c>
    </row>
    <row r="174" ht="19" customHeight="1" spans="1:14" x14ac:dyDescent="0.25">
      <c r="A174" s="19" t="s">
        <v>288</v>
      </c>
      <c r="B174" s="33">
        <v>46155.07291666667</v>
      </c>
      <c r="C174" s="33">
        <v>46156.06875</v>
      </c>
      <c r="D174" s="19" t="s">
        <v>33</v>
      </c>
      <c r="E174" s="19" t="s">
        <v>65</v>
      </c>
      <c r="F174" s="19" t="s">
        <v>34</v>
      </c>
      <c r="G174" s="19" t="s">
        <v>126</v>
      </c>
      <c r="H174" s="19" t="s">
        <v>71</v>
      </c>
      <c r="I174" s="19" t="s">
        <v>147</v>
      </c>
      <c r="J174" s="20">
        <v>48</v>
      </c>
      <c r="K174" s="34">
        <v>0</v>
      </c>
      <c r="L174" s="34">
        <v>2</v>
      </c>
      <c r="M174" s="19">
        <f>IF(OR(ISBLANK(C174),C174=""),"",ROUND((C174-B174)*24,2))</f>
        <v>23.9</v>
      </c>
      <c r="N174" s="35" t="str">
        <f>IF(OR(ISBLANK(C174),C174="",M174=""),"In Progress",IF(M174&lt;=J174,"Met","Breached"))</f>
        <v>Met</v>
      </c>
    </row>
    <row r="175" ht="19" customHeight="1" spans="1:14" x14ac:dyDescent="0.25">
      <c r="A175" s="22" t="s">
        <v>289</v>
      </c>
      <c r="B175" s="36">
        <v>45973.15069444444</v>
      </c>
      <c r="C175" s="36">
        <v>45975.98611111111</v>
      </c>
      <c r="D175" s="22" t="s">
        <v>36</v>
      </c>
      <c r="E175" s="22" t="s">
        <v>65</v>
      </c>
      <c r="F175" s="22" t="s">
        <v>37</v>
      </c>
      <c r="G175" s="22" t="s">
        <v>121</v>
      </c>
      <c r="H175" s="22" t="s">
        <v>63</v>
      </c>
      <c r="I175" s="22" t="s">
        <v>123</v>
      </c>
      <c r="J175" s="23">
        <v>48</v>
      </c>
      <c r="K175" s="37">
        <v>0</v>
      </c>
      <c r="L175" s="37">
        <v>2</v>
      </c>
      <c r="M175" s="22">
        <f>IF(OR(ISBLANK(C175),C175=""),"",ROUND((C175-B175)*24,2))</f>
        <v>68.05</v>
      </c>
      <c r="N175" s="38" t="str">
        <f>IF(OR(ISBLANK(C175),C175="",M175=""),"In Progress",IF(M175&lt;=J175,"Met","Breached"))</f>
        <v>Breached</v>
      </c>
    </row>
    <row r="176" ht="19" customHeight="1" spans="1:14" x14ac:dyDescent="0.25">
      <c r="A176" s="19" t="s">
        <v>290</v>
      </c>
      <c r="B176" s="33">
        <v>45675.67291666666</v>
      </c>
      <c r="C176" s="33">
        <v>45676.85625</v>
      </c>
      <c r="D176" s="19" t="s">
        <v>33</v>
      </c>
      <c r="E176" s="19" t="s">
        <v>65</v>
      </c>
      <c r="F176" s="19" t="s">
        <v>40</v>
      </c>
      <c r="G176" s="19" t="s">
        <v>121</v>
      </c>
      <c r="H176" s="19" t="s">
        <v>59</v>
      </c>
      <c r="I176" s="19" t="s">
        <v>108</v>
      </c>
      <c r="J176" s="20">
        <v>48</v>
      </c>
      <c r="K176" s="34">
        <v>0</v>
      </c>
      <c r="L176" s="34">
        <v>1</v>
      </c>
      <c r="M176" s="19">
        <f>IF(OR(ISBLANK(C176),C176=""),"",ROUND((C176-B176)*24,2))</f>
        <v>28.4</v>
      </c>
      <c r="N176" s="35" t="str">
        <f>IF(OR(ISBLANK(C176),C176="",M176=""),"In Progress",IF(M176&lt;=J176,"Met","Breached"))</f>
        <v>Met</v>
      </c>
    </row>
    <row r="177" ht="19" customHeight="1" spans="1:14" x14ac:dyDescent="0.25">
      <c r="A177" s="22" t="s">
        <v>291</v>
      </c>
      <c r="B177" s="36">
        <v>46017.35763888889</v>
      </c>
      <c r="C177" s="36">
        <v>46021.070138888885</v>
      </c>
      <c r="D177" s="22" t="s">
        <v>33</v>
      </c>
      <c r="E177" s="22" t="s">
        <v>69</v>
      </c>
      <c r="F177" s="22" t="s">
        <v>43</v>
      </c>
      <c r="G177" s="22" t="s">
        <v>126</v>
      </c>
      <c r="H177" s="22" t="s">
        <v>63</v>
      </c>
      <c r="I177" s="22" t="s">
        <v>123</v>
      </c>
      <c r="J177" s="23">
        <v>120</v>
      </c>
      <c r="K177" s="37">
        <v>0</v>
      </c>
      <c r="L177" s="37">
        <v>4</v>
      </c>
      <c r="M177" s="22">
        <f>IF(OR(ISBLANK(C177),C177=""),"",ROUND((C177-B177)*24,2))</f>
        <v>89.1</v>
      </c>
      <c r="N177" s="40" t="str">
        <f>IF(OR(ISBLANK(C177),C177="",M177=""),"In Progress",IF(M177&lt;=J177,"Met","Breached"))</f>
        <v>Met</v>
      </c>
    </row>
    <row r="178" ht="19" customHeight="1" spans="1:14" x14ac:dyDescent="0.25">
      <c r="A178" s="19" t="s">
        <v>292</v>
      </c>
      <c r="B178" s="33">
        <v>46177.39027777778</v>
      </c>
      <c r="C178" s="33">
        <v>46185.393055555556</v>
      </c>
      <c r="D178" s="19" t="s">
        <v>33</v>
      </c>
      <c r="E178" s="19" t="s">
        <v>69</v>
      </c>
      <c r="F178" s="19" t="s">
        <v>34</v>
      </c>
      <c r="G178" s="19" t="s">
        <v>121</v>
      </c>
      <c r="H178" s="19" t="s">
        <v>63</v>
      </c>
      <c r="I178" s="19" t="s">
        <v>147</v>
      </c>
      <c r="J178" s="20">
        <v>120</v>
      </c>
      <c r="K178" s="34">
        <v>0</v>
      </c>
      <c r="L178" s="34">
        <v>4</v>
      </c>
      <c r="M178" s="19">
        <f>IF(OR(ISBLANK(C178),C178=""),"",ROUND((C178-B178)*24,2))</f>
        <v>192.07</v>
      </c>
      <c r="N178" s="39" t="str">
        <f>IF(OR(ISBLANK(C178),C178="",M178=""),"In Progress",IF(M178&lt;=J178,"Met","Breached"))</f>
        <v>Breached</v>
      </c>
    </row>
    <row r="179" ht="19" customHeight="1" spans="1:14" x14ac:dyDescent="0.25">
      <c r="A179" s="22" t="s">
        <v>293</v>
      </c>
      <c r="B179" s="36">
        <v>45953.33819444444</v>
      </c>
      <c r="D179" s="22" t="s">
        <v>39</v>
      </c>
      <c r="E179" s="22" t="s">
        <v>57</v>
      </c>
      <c r="F179" s="22" t="s">
        <v>40</v>
      </c>
      <c r="G179" s="22" t="s">
        <v>121</v>
      </c>
      <c r="H179" s="22" t="s">
        <v>59</v>
      </c>
      <c r="I179" s="22" t="s">
        <v>123</v>
      </c>
      <c r="J179" s="23">
        <v>4</v>
      </c>
      <c r="K179" s="37">
        <v>0</v>
      </c>
      <c r="M179" s="22" t="str">
        <f>IF(OR(ISBLANK(C179),C179=""),"",ROUND((C179-B179)*24,2))</f>
        <v/>
      </c>
      <c r="N179" s="22" t="str">
        <f>IF(OR(ISBLANK(C179),C179="",M179=""),"In Progress",IF(M179&lt;=J179,"Met","Breached"))</f>
        <v>In Progress</v>
      </c>
    </row>
    <row r="180" ht="19" customHeight="1" spans="1:14" x14ac:dyDescent="0.25">
      <c r="A180" s="19" t="s">
        <v>294</v>
      </c>
      <c r="B180" s="33">
        <v>45917.05416666667</v>
      </c>
      <c r="C180" s="33">
        <v>45924.75</v>
      </c>
      <c r="D180" s="19" t="s">
        <v>33</v>
      </c>
      <c r="E180" s="19" t="s">
        <v>69</v>
      </c>
      <c r="F180" s="19" t="s">
        <v>34</v>
      </c>
      <c r="G180" s="19" t="s">
        <v>110</v>
      </c>
      <c r="H180" s="19" t="s">
        <v>59</v>
      </c>
      <c r="I180" s="19" t="s">
        <v>147</v>
      </c>
      <c r="J180" s="20">
        <v>120</v>
      </c>
      <c r="K180" s="34">
        <v>0</v>
      </c>
      <c r="M180" s="19">
        <f>IF(OR(ISBLANK(C180),C180=""),"",ROUND((C180-B180)*24,2))</f>
        <v>184.7</v>
      </c>
      <c r="N180" s="39" t="str">
        <f>IF(OR(ISBLANK(C180),C180="",M180=""),"In Progress",IF(M180&lt;=J180,"Met","Breached"))</f>
        <v>Breached</v>
      </c>
    </row>
    <row r="181" ht="19" customHeight="1" spans="1:14" x14ac:dyDescent="0.25">
      <c r="A181" s="22" t="s">
        <v>295</v>
      </c>
      <c r="B181" s="36">
        <v>46157.48611111111</v>
      </c>
      <c r="C181" s="36">
        <v>46159.93611111111</v>
      </c>
      <c r="D181" s="22" t="s">
        <v>33</v>
      </c>
      <c r="E181" s="22" t="s">
        <v>65</v>
      </c>
      <c r="F181" s="22" t="s">
        <v>40</v>
      </c>
      <c r="G181" s="22" t="s">
        <v>110</v>
      </c>
      <c r="H181" s="22" t="s">
        <v>63</v>
      </c>
      <c r="I181" s="22" t="s">
        <v>117</v>
      </c>
      <c r="J181" s="23">
        <v>48</v>
      </c>
      <c r="K181" s="37">
        <v>0</v>
      </c>
      <c r="L181" s="37">
        <v>4</v>
      </c>
      <c r="M181" s="22">
        <f>IF(OR(ISBLANK(C181),C181=""),"",ROUND((C181-B181)*24,2))</f>
        <v>58.8</v>
      </c>
      <c r="N181" s="38" t="str">
        <f>IF(OR(ISBLANK(C181),C181="",M181=""),"In Progress",IF(M181&lt;=J181,"Met","Breached"))</f>
        <v>Breached</v>
      </c>
    </row>
    <row r="182" ht="19" customHeight="1" spans="1:14" x14ac:dyDescent="0.25">
      <c r="A182" s="19" t="s">
        <v>296</v>
      </c>
      <c r="B182" s="33">
        <v>45761.475</v>
      </c>
      <c r="C182" s="33">
        <v>45765.07083333333</v>
      </c>
      <c r="D182" s="19" t="s">
        <v>33</v>
      </c>
      <c r="E182" s="19" t="s">
        <v>65</v>
      </c>
      <c r="F182" s="19" t="s">
        <v>43</v>
      </c>
      <c r="G182" s="19" t="s">
        <v>113</v>
      </c>
      <c r="H182" s="19" t="s">
        <v>59</v>
      </c>
      <c r="I182" s="19" t="s">
        <v>123</v>
      </c>
      <c r="J182" s="20">
        <v>48</v>
      </c>
      <c r="K182" s="34">
        <v>1</v>
      </c>
      <c r="M182" s="19">
        <f>IF(OR(ISBLANK(C182),C182=""),"",ROUND((C182-B182)*24,2))</f>
        <v>86.3</v>
      </c>
      <c r="N182" s="39" t="str">
        <f>IF(OR(ISBLANK(C182),C182="",M182=""),"In Progress",IF(M182&lt;=J182,"Met","Breached"))</f>
        <v>Breached</v>
      </c>
    </row>
    <row r="183" ht="19" customHeight="1" spans="1:14" x14ac:dyDescent="0.25">
      <c r="A183" s="22" t="s">
        <v>297</v>
      </c>
      <c r="B183" s="36">
        <v>45958.540972222225</v>
      </c>
      <c r="C183" s="36">
        <v>45959.17013888889</v>
      </c>
      <c r="D183" s="22" t="s">
        <v>36</v>
      </c>
      <c r="E183" s="22" t="s">
        <v>61</v>
      </c>
      <c r="F183" s="22" t="s">
        <v>43</v>
      </c>
      <c r="G183" s="22" t="s">
        <v>63</v>
      </c>
      <c r="H183" s="22" t="s">
        <v>67</v>
      </c>
      <c r="I183" s="22" t="s">
        <v>123</v>
      </c>
      <c r="J183" s="23">
        <v>12</v>
      </c>
      <c r="K183" s="37">
        <v>0</v>
      </c>
      <c r="L183" s="37">
        <v>3</v>
      </c>
      <c r="M183" s="22">
        <f>IF(OR(ISBLANK(C183),C183=""),"",ROUND((C183-B183)*24,2))</f>
        <v>15.1</v>
      </c>
      <c r="N183" s="38" t="str">
        <f>IF(OR(ISBLANK(C183),C183="",M183=""),"In Progress",IF(M183&lt;=J183,"Met","Breached"))</f>
        <v>Breached</v>
      </c>
    </row>
    <row r="184" ht="19" customHeight="1" spans="1:14" x14ac:dyDescent="0.25">
      <c r="A184" s="19" t="s">
        <v>298</v>
      </c>
      <c r="B184" s="33">
        <v>45666.02222222222</v>
      </c>
      <c r="D184" s="19" t="s">
        <v>39</v>
      </c>
      <c r="E184" s="19" t="s">
        <v>65</v>
      </c>
      <c r="F184" s="19" t="s">
        <v>45</v>
      </c>
      <c r="G184" s="19" t="s">
        <v>116</v>
      </c>
      <c r="H184" s="19" t="s">
        <v>59</v>
      </c>
      <c r="I184" s="19" t="s">
        <v>111</v>
      </c>
      <c r="J184" s="20">
        <v>48</v>
      </c>
      <c r="K184" s="34">
        <v>0</v>
      </c>
      <c r="M184" s="19" t="str">
        <f>IF(OR(ISBLANK(C184),C184=""),"",ROUND((C184-B184)*24,2))</f>
        <v/>
      </c>
      <c r="N184" s="19" t="str">
        <f>IF(OR(ISBLANK(C184),C184="",M184=""),"In Progress",IF(M184&lt;=J184,"Met","Breached"))</f>
        <v>In Progress</v>
      </c>
    </row>
    <row r="185" ht="19" customHeight="1" spans="1:14" x14ac:dyDescent="0.25">
      <c r="A185" s="22" t="s">
        <v>299</v>
      </c>
      <c r="B185" s="36">
        <v>46268.21527777778</v>
      </c>
      <c r="C185" s="36">
        <v>46269.00208333333</v>
      </c>
      <c r="D185" s="22" t="s">
        <v>33</v>
      </c>
      <c r="E185" s="22" t="s">
        <v>65</v>
      </c>
      <c r="F185" s="22" t="s">
        <v>34</v>
      </c>
      <c r="G185" s="22" t="s">
        <v>63</v>
      </c>
      <c r="H185" s="22" t="s">
        <v>59</v>
      </c>
      <c r="I185" s="22" t="s">
        <v>123</v>
      </c>
      <c r="J185" s="23">
        <v>48</v>
      </c>
      <c r="K185" s="37">
        <v>0</v>
      </c>
      <c r="L185" s="37">
        <v>5</v>
      </c>
      <c r="M185" s="22">
        <f>IF(OR(ISBLANK(C185),C185=""),"",ROUND((C185-B185)*24,2))</f>
        <v>18.88</v>
      </c>
      <c r="N185" s="40" t="str">
        <f>IF(OR(ISBLANK(C185),C185="",M185=""),"In Progress",IF(M185&lt;=J185,"Met","Breached"))</f>
        <v>Met</v>
      </c>
    </row>
    <row r="186" ht="19" customHeight="1" spans="1:14" x14ac:dyDescent="0.25">
      <c r="A186" s="19" t="s">
        <v>300</v>
      </c>
      <c r="B186" s="33">
        <v>46138.73125</v>
      </c>
      <c r="C186" s="33">
        <v>46139.461111111115</v>
      </c>
      <c r="D186" s="19" t="s">
        <v>33</v>
      </c>
      <c r="E186" s="19" t="s">
        <v>65</v>
      </c>
      <c r="F186" s="19" t="s">
        <v>37</v>
      </c>
      <c r="G186" s="19" t="s">
        <v>63</v>
      </c>
      <c r="H186" s="19" t="s">
        <v>71</v>
      </c>
      <c r="I186" s="19" t="s">
        <v>111</v>
      </c>
      <c r="J186" s="20">
        <v>48</v>
      </c>
      <c r="K186" s="34">
        <v>0</v>
      </c>
      <c r="L186" s="34">
        <v>3</v>
      </c>
      <c r="M186" s="19">
        <f>IF(OR(ISBLANK(C186),C186=""),"",ROUND((C186-B186)*24,2))</f>
        <v>17.52</v>
      </c>
      <c r="N186" s="35" t="str">
        <f>IF(OR(ISBLANK(C186),C186="",M186=""),"In Progress",IF(M186&lt;=J186,"Met","Breached"))</f>
        <v>Met</v>
      </c>
    </row>
    <row r="187" ht="19" customHeight="1" spans="1:14" x14ac:dyDescent="0.25">
      <c r="A187" s="22" t="s">
        <v>301</v>
      </c>
      <c r="B187" s="36">
        <v>45756.72361111111</v>
      </c>
      <c r="D187" s="22" t="s">
        <v>39</v>
      </c>
      <c r="E187" s="22" t="s">
        <v>61</v>
      </c>
      <c r="F187" s="22" t="s">
        <v>45</v>
      </c>
      <c r="G187" s="22" t="s">
        <v>113</v>
      </c>
      <c r="H187" s="22" t="s">
        <v>63</v>
      </c>
      <c r="I187" s="22" t="s">
        <v>117</v>
      </c>
      <c r="J187" s="23">
        <v>12</v>
      </c>
      <c r="K187" s="37">
        <v>0</v>
      </c>
      <c r="M187" s="22" t="str">
        <f>IF(OR(ISBLANK(C187),C187=""),"",ROUND((C187-B187)*24,2))</f>
        <v/>
      </c>
      <c r="N187" s="22" t="str">
        <f>IF(OR(ISBLANK(C187),C187="",M187=""),"In Progress",IF(M187&lt;=J187,"Met","Breached"))</f>
        <v>In Progress</v>
      </c>
    </row>
    <row r="188" ht="19" customHeight="1" spans="1:14" x14ac:dyDescent="0.25">
      <c r="A188" s="19" t="s">
        <v>302</v>
      </c>
      <c r="B188" s="33">
        <v>46196.17083333334</v>
      </c>
      <c r="D188" s="19" t="s">
        <v>39</v>
      </c>
      <c r="E188" s="19" t="s">
        <v>65</v>
      </c>
      <c r="F188" s="19" t="s">
        <v>37</v>
      </c>
      <c r="G188" s="19" t="s">
        <v>63</v>
      </c>
      <c r="H188" s="19" t="s">
        <v>59</v>
      </c>
      <c r="I188" s="19" t="s">
        <v>108</v>
      </c>
      <c r="J188" s="20">
        <v>48</v>
      </c>
      <c r="K188" s="34">
        <v>0</v>
      </c>
      <c r="M188" s="19" t="str">
        <f>IF(OR(ISBLANK(C188),C188=""),"",ROUND((C188-B188)*24,2))</f>
        <v/>
      </c>
      <c r="N188" s="19" t="str">
        <f>IF(OR(ISBLANK(C188),C188="",M188=""),"In Progress",IF(M188&lt;=J188,"Met","Breached"))</f>
        <v>In Progress</v>
      </c>
    </row>
    <row r="189" ht="19" customHeight="1" spans="1:14" x14ac:dyDescent="0.25">
      <c r="A189" s="22" t="s">
        <v>303</v>
      </c>
      <c r="B189" s="36">
        <v>46044.92916666667</v>
      </c>
      <c r="C189" s="36">
        <v>46047.67291666666</v>
      </c>
      <c r="D189" s="22" t="s">
        <v>33</v>
      </c>
      <c r="E189" s="22" t="s">
        <v>65</v>
      </c>
      <c r="F189" s="22" t="s">
        <v>40</v>
      </c>
      <c r="G189" s="22" t="s">
        <v>126</v>
      </c>
      <c r="H189" s="22" t="s">
        <v>71</v>
      </c>
      <c r="I189" s="22" t="s">
        <v>108</v>
      </c>
      <c r="J189" s="23">
        <v>48</v>
      </c>
      <c r="K189" s="37">
        <v>0</v>
      </c>
      <c r="L189" s="37">
        <v>3</v>
      </c>
      <c r="M189" s="22">
        <f>IF(OR(ISBLANK(C189),C189=""),"",ROUND((C189-B189)*24,2))</f>
        <v>65.85</v>
      </c>
      <c r="N189" s="38" t="str">
        <f>IF(OR(ISBLANK(C189),C189="",M189=""),"In Progress",IF(M189&lt;=J189,"Met","Breached"))</f>
        <v>Breached</v>
      </c>
    </row>
    <row r="190" ht="19" customHeight="1" spans="1:14" x14ac:dyDescent="0.25">
      <c r="A190" s="19" t="s">
        <v>304</v>
      </c>
      <c r="B190" s="33">
        <v>45803.84027777778</v>
      </c>
      <c r="D190" s="19" t="s">
        <v>39</v>
      </c>
      <c r="E190" s="19" t="s">
        <v>69</v>
      </c>
      <c r="F190" s="19" t="s">
        <v>45</v>
      </c>
      <c r="G190" s="19" t="s">
        <v>110</v>
      </c>
      <c r="H190" s="19" t="s">
        <v>63</v>
      </c>
      <c r="I190" s="19" t="s">
        <v>114</v>
      </c>
      <c r="J190" s="20">
        <v>120</v>
      </c>
      <c r="K190" s="34">
        <v>0</v>
      </c>
      <c r="M190" s="19" t="str">
        <f>IF(OR(ISBLANK(C190),C190=""),"",ROUND((C190-B190)*24,2))</f>
        <v/>
      </c>
      <c r="N190" s="19" t="str">
        <f>IF(OR(ISBLANK(C190),C190="",M190=""),"In Progress",IF(M190&lt;=J190,"Met","Breached"))</f>
        <v>In Progress</v>
      </c>
    </row>
    <row r="191" ht="19" customHeight="1" spans="1:14" x14ac:dyDescent="0.25">
      <c r="A191" s="22" t="s">
        <v>305</v>
      </c>
      <c r="B191" s="36">
        <v>45791.54583333334</v>
      </c>
      <c r="C191" s="36">
        <v>45793.38402777778</v>
      </c>
      <c r="D191" s="22" t="s">
        <v>33</v>
      </c>
      <c r="E191" s="22" t="s">
        <v>65</v>
      </c>
      <c r="F191" s="22" t="s">
        <v>37</v>
      </c>
      <c r="G191" s="22" t="s">
        <v>116</v>
      </c>
      <c r="H191" s="22" t="s">
        <v>63</v>
      </c>
      <c r="I191" s="22" t="s">
        <v>111</v>
      </c>
      <c r="J191" s="23">
        <v>48</v>
      </c>
      <c r="K191" s="37">
        <v>0</v>
      </c>
      <c r="L191" s="37">
        <v>3</v>
      </c>
      <c r="M191" s="22">
        <f>IF(OR(ISBLANK(C191),C191=""),"",ROUND((C191-B191)*24,2))</f>
        <v>44.12</v>
      </c>
      <c r="N191" s="40" t="str">
        <f>IF(OR(ISBLANK(C191),C191="",M191=""),"In Progress",IF(M191&lt;=J191,"Met","Breached"))</f>
        <v>Met</v>
      </c>
    </row>
    <row r="192" ht="19" customHeight="1" spans="1:14" x14ac:dyDescent="0.25">
      <c r="A192" s="19" t="s">
        <v>306</v>
      </c>
      <c r="B192" s="33">
        <v>46095.77569444444</v>
      </c>
      <c r="C192" s="33">
        <v>46097.961111111115</v>
      </c>
      <c r="D192" s="19" t="s">
        <v>33</v>
      </c>
      <c r="E192" s="19" t="s">
        <v>69</v>
      </c>
      <c r="F192" s="19" t="s">
        <v>45</v>
      </c>
      <c r="G192" s="19" t="s">
        <v>116</v>
      </c>
      <c r="H192" s="19" t="s">
        <v>59</v>
      </c>
      <c r="I192" s="19" t="s">
        <v>108</v>
      </c>
      <c r="J192" s="20">
        <v>120</v>
      </c>
      <c r="K192" s="34">
        <v>0</v>
      </c>
      <c r="M192" s="19">
        <f>IF(OR(ISBLANK(C192),C192=""),"",ROUND((C192-B192)*24,2))</f>
        <v>52.45</v>
      </c>
      <c r="N192" s="35" t="str">
        <f>IF(OR(ISBLANK(C192),C192="",M192=""),"In Progress",IF(M192&lt;=J192,"Met","Breached"))</f>
        <v>Met</v>
      </c>
    </row>
    <row r="193" ht="19" customHeight="1" spans="1:14" x14ac:dyDescent="0.25">
      <c r="A193" s="22" t="s">
        <v>307</v>
      </c>
      <c r="B193" s="36">
        <v>45778.527083333334</v>
      </c>
      <c r="C193" s="36">
        <v>45781.6625</v>
      </c>
      <c r="D193" s="22" t="s">
        <v>36</v>
      </c>
      <c r="E193" s="22" t="s">
        <v>65</v>
      </c>
      <c r="F193" s="22" t="s">
        <v>37</v>
      </c>
      <c r="G193" s="22" t="s">
        <v>116</v>
      </c>
      <c r="H193" s="22" t="s">
        <v>63</v>
      </c>
      <c r="I193" s="22" t="s">
        <v>108</v>
      </c>
      <c r="J193" s="23">
        <v>48</v>
      </c>
      <c r="K193" s="37">
        <v>0</v>
      </c>
      <c r="L193" s="37">
        <v>4</v>
      </c>
      <c r="M193" s="22">
        <f>IF(OR(ISBLANK(C193),C193=""),"",ROUND((C193-B193)*24,2))</f>
        <v>75.25</v>
      </c>
      <c r="N193" s="38" t="str">
        <f>IF(OR(ISBLANK(C193),C193="",M193=""),"In Progress",IF(M193&lt;=J193,"Met","Breached"))</f>
        <v>Breached</v>
      </c>
    </row>
    <row r="194" ht="19" customHeight="1" spans="1:14" x14ac:dyDescent="0.25">
      <c r="A194" s="19" t="s">
        <v>308</v>
      </c>
      <c r="B194" s="33">
        <v>45717.03958333333</v>
      </c>
      <c r="C194" s="33">
        <v>45720.308333333334</v>
      </c>
      <c r="D194" s="19" t="s">
        <v>36</v>
      </c>
      <c r="E194" s="19" t="s">
        <v>65</v>
      </c>
      <c r="F194" s="19" t="s">
        <v>43</v>
      </c>
      <c r="G194" s="19" t="s">
        <v>113</v>
      </c>
      <c r="H194" s="19" t="s">
        <v>59</v>
      </c>
      <c r="I194" s="19" t="s">
        <v>123</v>
      </c>
      <c r="J194" s="20">
        <v>48</v>
      </c>
      <c r="K194" s="34">
        <v>0</v>
      </c>
      <c r="L194" s="34">
        <v>5</v>
      </c>
      <c r="M194" s="19">
        <f>IF(OR(ISBLANK(C194),C194=""),"",ROUND((C194-B194)*24,2))</f>
        <v>78.45</v>
      </c>
      <c r="N194" s="39" t="str">
        <f>IF(OR(ISBLANK(C194),C194="",M194=""),"In Progress",IF(M194&lt;=J194,"Met","Breached"))</f>
        <v>Breached</v>
      </c>
    </row>
    <row r="195" ht="19" customHeight="1" spans="1:14" x14ac:dyDescent="0.25">
      <c r="A195" s="22" t="s">
        <v>309</v>
      </c>
      <c r="B195" s="36">
        <v>46143.37638888889</v>
      </c>
      <c r="D195" s="22" t="s">
        <v>39</v>
      </c>
      <c r="E195" s="22" t="s">
        <v>69</v>
      </c>
      <c r="F195" s="22" t="s">
        <v>40</v>
      </c>
      <c r="G195" s="22" t="s">
        <v>121</v>
      </c>
      <c r="H195" s="22" t="s">
        <v>59</v>
      </c>
      <c r="I195" s="22" t="s">
        <v>123</v>
      </c>
      <c r="J195" s="23">
        <v>120</v>
      </c>
      <c r="K195" s="37">
        <v>0</v>
      </c>
      <c r="M195" s="22" t="str">
        <f>IF(OR(ISBLANK(C195),C195=""),"",ROUND((C195-B195)*24,2))</f>
        <v/>
      </c>
      <c r="N195" s="22" t="str">
        <f>IF(OR(ISBLANK(C195),C195="",M195=""),"In Progress",IF(M195&lt;=J195,"Met","Breached"))</f>
        <v>In Progress</v>
      </c>
    </row>
    <row r="196" ht="19" customHeight="1" spans="1:14" x14ac:dyDescent="0.25">
      <c r="A196" s="19" t="s">
        <v>310</v>
      </c>
      <c r="B196" s="33">
        <v>46163.42569444445</v>
      </c>
      <c r="C196" s="33">
        <v>46166.15069444444</v>
      </c>
      <c r="D196" s="19" t="s">
        <v>33</v>
      </c>
      <c r="E196" s="19" t="s">
        <v>65</v>
      </c>
      <c r="F196" s="19" t="s">
        <v>43</v>
      </c>
      <c r="G196" s="19" t="s">
        <v>110</v>
      </c>
      <c r="H196" s="19" t="s">
        <v>67</v>
      </c>
      <c r="I196" s="19" t="s">
        <v>147</v>
      </c>
      <c r="J196" s="20">
        <v>48</v>
      </c>
      <c r="K196" s="34">
        <v>0</v>
      </c>
      <c r="L196" s="34">
        <v>2</v>
      </c>
      <c r="M196" s="19">
        <f>IF(OR(ISBLANK(C196),C196=""),"",ROUND((C196-B196)*24,2))</f>
        <v>65.4</v>
      </c>
      <c r="N196" s="39" t="str">
        <f>IF(OR(ISBLANK(C196),C196="",M196=""),"In Progress",IF(M196&lt;=J196,"Met","Breached"))</f>
        <v>Breached</v>
      </c>
    </row>
    <row r="197" ht="19" customHeight="1" spans="1:14" x14ac:dyDescent="0.25">
      <c r="A197" s="22" t="s">
        <v>311</v>
      </c>
      <c r="B197" s="36">
        <v>45806.50486111111</v>
      </c>
      <c r="D197" s="22" t="s">
        <v>42</v>
      </c>
      <c r="E197" s="22" t="s">
        <v>57</v>
      </c>
      <c r="F197" s="22" t="s">
        <v>43</v>
      </c>
      <c r="G197" s="22" t="s">
        <v>126</v>
      </c>
      <c r="H197" s="22" t="s">
        <v>71</v>
      </c>
      <c r="I197" s="22" t="s">
        <v>114</v>
      </c>
      <c r="J197" s="23">
        <v>4</v>
      </c>
      <c r="K197" s="37">
        <v>0</v>
      </c>
      <c r="M197" s="22" t="str">
        <f>IF(OR(ISBLANK(C197),C197=""),"",ROUND((C197-B197)*24,2))</f>
        <v/>
      </c>
      <c r="N197" s="22" t="str">
        <f>IF(OR(ISBLANK(C197),C197="",M197=""),"In Progress",IF(M197&lt;=J197,"Met","Breached"))</f>
        <v>In Progress</v>
      </c>
    </row>
    <row r="198" ht="19" customHeight="1" spans="1:14" x14ac:dyDescent="0.25">
      <c r="A198" s="19" t="s">
        <v>312</v>
      </c>
      <c r="B198" s="33">
        <v>46046.88402777778</v>
      </c>
      <c r="C198" s="33">
        <v>46048.38055555556</v>
      </c>
      <c r="D198" s="19" t="s">
        <v>33</v>
      </c>
      <c r="E198" s="19" t="s">
        <v>65</v>
      </c>
      <c r="F198" s="19" t="s">
        <v>43</v>
      </c>
      <c r="G198" s="19" t="s">
        <v>126</v>
      </c>
      <c r="H198" s="19" t="s">
        <v>59</v>
      </c>
      <c r="I198" s="19" t="s">
        <v>114</v>
      </c>
      <c r="J198" s="20">
        <v>48</v>
      </c>
      <c r="K198" s="34">
        <v>0</v>
      </c>
      <c r="L198" s="34">
        <v>4</v>
      </c>
      <c r="M198" s="19">
        <f>IF(OR(ISBLANK(C198),C198=""),"",ROUND((C198-B198)*24,2))</f>
        <v>35.92</v>
      </c>
      <c r="N198" s="35" t="str">
        <f>IF(OR(ISBLANK(C198),C198="",M198=""),"In Progress",IF(M198&lt;=J198,"Met","Breached"))</f>
        <v>Met</v>
      </c>
    </row>
    <row r="199" ht="19" customHeight="1" spans="1:14" x14ac:dyDescent="0.25">
      <c r="A199" s="22" t="s">
        <v>313</v>
      </c>
      <c r="B199" s="36">
        <v>46066.575694444444</v>
      </c>
      <c r="D199" s="22" t="s">
        <v>39</v>
      </c>
      <c r="E199" s="22" t="s">
        <v>65</v>
      </c>
      <c r="F199" s="22" t="s">
        <v>37</v>
      </c>
      <c r="G199" s="22" t="s">
        <v>113</v>
      </c>
      <c r="H199" s="22" t="s">
        <v>63</v>
      </c>
      <c r="I199" s="22" t="s">
        <v>114</v>
      </c>
      <c r="J199" s="23">
        <v>48</v>
      </c>
      <c r="K199" s="37">
        <v>0</v>
      </c>
      <c r="M199" s="22" t="str">
        <f>IF(OR(ISBLANK(C199),C199=""),"",ROUND((C199-B199)*24,2))</f>
        <v/>
      </c>
      <c r="N199" s="22" t="str">
        <f>IF(OR(ISBLANK(C199),C199="",M199=""),"In Progress",IF(M199&lt;=J199,"Met","Breached"))</f>
        <v>In Progress</v>
      </c>
    </row>
    <row r="200" ht="19" customHeight="1" spans="1:14" x14ac:dyDescent="0.25">
      <c r="A200" s="19" t="s">
        <v>314</v>
      </c>
      <c r="B200" s="33">
        <v>45885.48958333333</v>
      </c>
      <c r="C200" s="33">
        <v>45885.87152777778</v>
      </c>
      <c r="D200" s="19" t="s">
        <v>33</v>
      </c>
      <c r="E200" s="19" t="s">
        <v>61</v>
      </c>
      <c r="F200" s="19" t="s">
        <v>37</v>
      </c>
      <c r="G200" s="19" t="s">
        <v>110</v>
      </c>
      <c r="H200" s="19" t="s">
        <v>63</v>
      </c>
      <c r="I200" s="19" t="s">
        <v>123</v>
      </c>
      <c r="J200" s="20">
        <v>12</v>
      </c>
      <c r="K200" s="34">
        <v>0</v>
      </c>
      <c r="M200" s="19">
        <f>IF(OR(ISBLANK(C200),C200=""),"",ROUND((C200-B200)*24,2))</f>
        <v>9.17</v>
      </c>
      <c r="N200" s="35" t="str">
        <f>IF(OR(ISBLANK(C200),C200="",M200=""),"In Progress",IF(M200&lt;=J200,"Met","Breached"))</f>
        <v>Met</v>
      </c>
    </row>
    <row r="201" ht="19" customHeight="1" spans="1:14" x14ac:dyDescent="0.25">
      <c r="A201" s="22" t="s">
        <v>315</v>
      </c>
      <c r="B201" s="36">
        <v>46207.38125</v>
      </c>
      <c r="C201" s="36">
        <v>46208.728472222225</v>
      </c>
      <c r="D201" s="22" t="s">
        <v>36</v>
      </c>
      <c r="E201" s="22" t="s">
        <v>65</v>
      </c>
      <c r="F201" s="22" t="s">
        <v>43</v>
      </c>
      <c r="G201" s="22" t="s">
        <v>121</v>
      </c>
      <c r="H201" s="22" t="s">
        <v>71</v>
      </c>
      <c r="I201" s="22" t="s">
        <v>108</v>
      </c>
      <c r="J201" s="23">
        <v>48</v>
      </c>
      <c r="K201" s="37">
        <v>0</v>
      </c>
      <c r="L201" s="37">
        <v>4</v>
      </c>
      <c r="M201" s="22">
        <f>IF(OR(ISBLANK(C201),C201=""),"",ROUND((C201-B201)*24,2))</f>
        <v>32.33</v>
      </c>
      <c r="N201" s="40" t="str">
        <f>IF(OR(ISBLANK(C201),C201="",M201=""),"In Progress",IF(M201&lt;=J201,"Met","Breached"))</f>
        <v>Met</v>
      </c>
    </row>
    <row r="202" ht="19" customHeight="1" spans="1:14" x14ac:dyDescent="0.25">
      <c r="A202" s="19" t="s">
        <v>316</v>
      </c>
      <c r="B202" s="33">
        <v>46033.86597222222</v>
      </c>
      <c r="C202" s="33">
        <v>46034.1375</v>
      </c>
      <c r="D202" s="19" t="s">
        <v>33</v>
      </c>
      <c r="E202" s="19" t="s">
        <v>57</v>
      </c>
      <c r="F202" s="19" t="s">
        <v>40</v>
      </c>
      <c r="G202" s="19" t="s">
        <v>116</v>
      </c>
      <c r="H202" s="19" t="s">
        <v>63</v>
      </c>
      <c r="I202" s="19" t="s">
        <v>111</v>
      </c>
      <c r="J202" s="20">
        <v>4</v>
      </c>
      <c r="K202" s="34">
        <v>1</v>
      </c>
      <c r="L202" s="34">
        <v>2</v>
      </c>
      <c r="M202" s="19">
        <f>IF(OR(ISBLANK(C202),C202=""),"",ROUND((C202-B202)*24,2))</f>
        <v>6.52</v>
      </c>
      <c r="N202" s="39" t="str">
        <f>IF(OR(ISBLANK(C202),C202="",M202=""),"In Progress",IF(M202&lt;=J202,"Met","Breached"))</f>
        <v>Breached</v>
      </c>
    </row>
    <row r="203" ht="19" customHeight="1" spans="1:14" x14ac:dyDescent="0.25">
      <c r="A203" s="22" t="s">
        <v>317</v>
      </c>
      <c r="B203" s="36">
        <v>46222.299305555556</v>
      </c>
      <c r="C203" s="36">
        <v>46223.89166666666</v>
      </c>
      <c r="D203" s="22" t="s">
        <v>33</v>
      </c>
      <c r="E203" s="22" t="s">
        <v>65</v>
      </c>
      <c r="F203" s="22" t="s">
        <v>37</v>
      </c>
      <c r="G203" s="22" t="s">
        <v>63</v>
      </c>
      <c r="H203" s="22" t="s">
        <v>59</v>
      </c>
      <c r="I203" s="22" t="s">
        <v>147</v>
      </c>
      <c r="J203" s="23">
        <v>48</v>
      </c>
      <c r="K203" s="37">
        <v>0</v>
      </c>
      <c r="L203" s="37">
        <v>4</v>
      </c>
      <c r="M203" s="22">
        <f>IF(OR(ISBLANK(C203),C203=""),"",ROUND((C203-B203)*24,2))</f>
        <v>38.22</v>
      </c>
      <c r="N203" s="40" t="str">
        <f>IF(OR(ISBLANK(C203),C203="",M203=""),"In Progress",IF(M203&lt;=J203,"Met","Breached"))</f>
        <v>Met</v>
      </c>
    </row>
    <row r="204" ht="19" customHeight="1" spans="1:14" x14ac:dyDescent="0.25">
      <c r="A204" s="19" t="s">
        <v>318</v>
      </c>
      <c r="B204" s="33">
        <v>45834.95277777778</v>
      </c>
      <c r="C204" s="33">
        <v>45836.820138888885</v>
      </c>
      <c r="D204" s="19" t="s">
        <v>33</v>
      </c>
      <c r="E204" s="19" t="s">
        <v>65</v>
      </c>
      <c r="F204" s="19" t="s">
        <v>45</v>
      </c>
      <c r="G204" s="19" t="s">
        <v>116</v>
      </c>
      <c r="H204" s="19" t="s">
        <v>59</v>
      </c>
      <c r="I204" s="19" t="s">
        <v>117</v>
      </c>
      <c r="J204" s="20">
        <v>48</v>
      </c>
      <c r="K204" s="34">
        <v>1</v>
      </c>
      <c r="L204" s="34">
        <v>2</v>
      </c>
      <c r="M204" s="19">
        <f>IF(OR(ISBLANK(C204),C204=""),"",ROUND((C204-B204)*24,2))</f>
        <v>44.82</v>
      </c>
      <c r="N204" s="35" t="str">
        <f>IF(OR(ISBLANK(C204),C204="",M204=""),"In Progress",IF(M204&lt;=J204,"Met","Breached"))</f>
        <v>Met</v>
      </c>
    </row>
    <row r="205" ht="19" customHeight="1" spans="1:14" x14ac:dyDescent="0.25">
      <c r="A205" s="22" t="s">
        <v>319</v>
      </c>
      <c r="B205" s="36">
        <v>46112.76944444445</v>
      </c>
      <c r="C205" s="36">
        <v>46116.13888888889</v>
      </c>
      <c r="D205" s="22" t="s">
        <v>33</v>
      </c>
      <c r="E205" s="22" t="s">
        <v>65</v>
      </c>
      <c r="F205" s="22" t="s">
        <v>40</v>
      </c>
      <c r="G205" s="22" t="s">
        <v>110</v>
      </c>
      <c r="H205" s="22" t="s">
        <v>59</v>
      </c>
      <c r="I205" s="22" t="s">
        <v>117</v>
      </c>
      <c r="J205" s="23">
        <v>48</v>
      </c>
      <c r="K205" s="37">
        <v>0</v>
      </c>
      <c r="L205" s="37">
        <v>2</v>
      </c>
      <c r="M205" s="22">
        <f>IF(OR(ISBLANK(C205),C205=""),"",ROUND((C205-B205)*24,2))</f>
        <v>80.87</v>
      </c>
      <c r="N205" s="38" t="str">
        <f>IF(OR(ISBLANK(C205),C205="",M205=""),"In Progress",IF(M205&lt;=J205,"Met","Breached"))</f>
        <v>Breached</v>
      </c>
    </row>
    <row r="206" ht="19" customHeight="1" spans="1:14" x14ac:dyDescent="0.25">
      <c r="A206" s="19" t="s">
        <v>320</v>
      </c>
      <c r="B206" s="33">
        <v>46233.46805555555</v>
      </c>
      <c r="C206" s="33">
        <v>46233.694444444445</v>
      </c>
      <c r="D206" s="19" t="s">
        <v>33</v>
      </c>
      <c r="E206" s="19" t="s">
        <v>57</v>
      </c>
      <c r="F206" s="19" t="s">
        <v>34</v>
      </c>
      <c r="G206" s="19" t="s">
        <v>116</v>
      </c>
      <c r="H206" s="19" t="s">
        <v>59</v>
      </c>
      <c r="I206" s="19" t="s">
        <v>111</v>
      </c>
      <c r="J206" s="20">
        <v>4</v>
      </c>
      <c r="K206" s="34">
        <v>0</v>
      </c>
      <c r="L206" s="34">
        <v>5</v>
      </c>
      <c r="M206" s="19">
        <f>IF(OR(ISBLANK(C206),C206=""),"",ROUND((C206-B206)*24,2))</f>
        <v>5.43</v>
      </c>
      <c r="N206" s="39" t="str">
        <f>IF(OR(ISBLANK(C206),C206="",M206=""),"In Progress",IF(M206&lt;=J206,"Met","Breached"))</f>
        <v>Breached</v>
      </c>
    </row>
    <row r="207" ht="19" customHeight="1" spans="1:14" x14ac:dyDescent="0.25">
      <c r="A207" s="22" t="s">
        <v>321</v>
      </c>
      <c r="B207" s="36">
        <v>46152.18680555555</v>
      </c>
      <c r="C207" s="36">
        <v>46155.964583333334</v>
      </c>
      <c r="D207" s="22" t="s">
        <v>33</v>
      </c>
      <c r="E207" s="22" t="s">
        <v>69</v>
      </c>
      <c r="F207" s="22" t="s">
        <v>45</v>
      </c>
      <c r="G207" s="22" t="s">
        <v>121</v>
      </c>
      <c r="H207" s="22" t="s">
        <v>67</v>
      </c>
      <c r="I207" s="22" t="s">
        <v>147</v>
      </c>
      <c r="J207" s="23">
        <v>120</v>
      </c>
      <c r="K207" s="37">
        <v>0</v>
      </c>
      <c r="L207" s="37">
        <v>1</v>
      </c>
      <c r="M207" s="22">
        <f>IF(OR(ISBLANK(C207),C207=""),"",ROUND((C207-B207)*24,2))</f>
        <v>90.67</v>
      </c>
      <c r="N207" s="40" t="str">
        <f>IF(OR(ISBLANK(C207),C207="",M207=""),"In Progress",IF(M207&lt;=J207,"Met","Breached"))</f>
        <v>Met</v>
      </c>
    </row>
    <row r="208" ht="19" customHeight="1" spans="1:14" x14ac:dyDescent="0.25">
      <c r="A208" s="19" t="s">
        <v>322</v>
      </c>
      <c r="B208" s="33">
        <v>45768.304861111115</v>
      </c>
      <c r="C208" s="33">
        <v>45769.13680555555</v>
      </c>
      <c r="D208" s="19" t="s">
        <v>33</v>
      </c>
      <c r="E208" s="19" t="s">
        <v>61</v>
      </c>
      <c r="F208" s="19" t="s">
        <v>34</v>
      </c>
      <c r="G208" s="19" t="s">
        <v>116</v>
      </c>
      <c r="H208" s="19" t="s">
        <v>71</v>
      </c>
      <c r="I208" s="19" t="s">
        <v>108</v>
      </c>
      <c r="J208" s="20">
        <v>12</v>
      </c>
      <c r="K208" s="34">
        <v>0</v>
      </c>
      <c r="L208" s="34">
        <v>3</v>
      </c>
      <c r="M208" s="19">
        <f>IF(OR(ISBLANK(C208),C208=""),"",ROUND((C208-B208)*24,2))</f>
        <v>19.97</v>
      </c>
      <c r="N208" s="39" t="str">
        <f>IF(OR(ISBLANK(C208),C208="",M208=""),"In Progress",IF(M208&lt;=J208,"Met","Breached"))</f>
        <v>Breached</v>
      </c>
    </row>
    <row r="209" ht="19" customHeight="1" spans="1:14" x14ac:dyDescent="0.25">
      <c r="A209" s="22" t="s">
        <v>323</v>
      </c>
      <c r="B209" s="36">
        <v>45926.75</v>
      </c>
      <c r="C209" s="36">
        <v>45927.006944444445</v>
      </c>
      <c r="D209" s="22" t="s">
        <v>33</v>
      </c>
      <c r="E209" s="22" t="s">
        <v>57</v>
      </c>
      <c r="F209" s="22" t="s">
        <v>43</v>
      </c>
      <c r="G209" s="22" t="s">
        <v>116</v>
      </c>
      <c r="H209" s="22" t="s">
        <v>59</v>
      </c>
      <c r="I209" s="22" t="s">
        <v>147</v>
      </c>
      <c r="J209" s="23">
        <v>4</v>
      </c>
      <c r="K209" s="37">
        <v>0</v>
      </c>
      <c r="L209" s="37">
        <v>2</v>
      </c>
      <c r="M209" s="22">
        <f>IF(OR(ISBLANK(C209),C209=""),"",ROUND((C209-B209)*24,2))</f>
        <v>6.17</v>
      </c>
      <c r="N209" s="38" t="str">
        <f>IF(OR(ISBLANK(C209),C209="",M209=""),"In Progress",IF(M209&lt;=J209,"Met","Breached"))</f>
        <v>Breached</v>
      </c>
    </row>
    <row r="210" ht="19" customHeight="1" spans="1:14" x14ac:dyDescent="0.25">
      <c r="A210" s="19" t="s">
        <v>324</v>
      </c>
      <c r="B210" s="33">
        <v>45720.65416666667</v>
      </c>
      <c r="C210" s="33">
        <v>45727.117361111115</v>
      </c>
      <c r="D210" s="19" t="s">
        <v>36</v>
      </c>
      <c r="E210" s="19" t="s">
        <v>69</v>
      </c>
      <c r="F210" s="19" t="s">
        <v>43</v>
      </c>
      <c r="G210" s="19" t="s">
        <v>110</v>
      </c>
      <c r="H210" s="19" t="s">
        <v>63</v>
      </c>
      <c r="I210" s="19" t="s">
        <v>123</v>
      </c>
      <c r="J210" s="20">
        <v>120</v>
      </c>
      <c r="K210" s="34">
        <v>0</v>
      </c>
      <c r="L210" s="34">
        <v>3</v>
      </c>
      <c r="M210" s="19">
        <f>IF(OR(ISBLANK(C210),C210=""),"",ROUND((C210-B210)*24,2))</f>
        <v>155.12</v>
      </c>
      <c r="N210" s="39" t="str">
        <f>IF(OR(ISBLANK(C210),C210="",M210=""),"In Progress",IF(M210&lt;=J210,"Met","Breached"))</f>
        <v>Breached</v>
      </c>
    </row>
    <row r="211" ht="19" customHeight="1" spans="1:14" x14ac:dyDescent="0.25">
      <c r="A211" s="22" t="s">
        <v>325</v>
      </c>
      <c r="B211" s="36">
        <v>45681.455555555556</v>
      </c>
      <c r="D211" s="22" t="s">
        <v>39</v>
      </c>
      <c r="E211" s="22" t="s">
        <v>57</v>
      </c>
      <c r="F211" s="22" t="s">
        <v>34</v>
      </c>
      <c r="G211" s="22" t="s">
        <v>121</v>
      </c>
      <c r="H211" s="22" t="s">
        <v>59</v>
      </c>
      <c r="I211" s="22" t="s">
        <v>114</v>
      </c>
      <c r="J211" s="23">
        <v>4</v>
      </c>
      <c r="K211" s="37">
        <v>0</v>
      </c>
      <c r="M211" s="22" t="str">
        <f>IF(OR(ISBLANK(C211),C211=""),"",ROUND((C211-B211)*24,2))</f>
        <v/>
      </c>
      <c r="N211" s="22" t="str">
        <f>IF(OR(ISBLANK(C211),C211="",M211=""),"In Progress",IF(M211&lt;=J211,"Met","Breached"))</f>
        <v>In Progress</v>
      </c>
    </row>
    <row r="212" ht="19" customHeight="1" spans="1:14" x14ac:dyDescent="0.25">
      <c r="A212" s="19" t="s">
        <v>326</v>
      </c>
      <c r="B212" s="33">
        <v>45920.90138888889</v>
      </c>
      <c r="C212" s="33">
        <v>45922.82291666667</v>
      </c>
      <c r="D212" s="19" t="s">
        <v>33</v>
      </c>
      <c r="E212" s="19" t="s">
        <v>65</v>
      </c>
      <c r="F212" s="19" t="s">
        <v>40</v>
      </c>
      <c r="G212" s="19" t="s">
        <v>113</v>
      </c>
      <c r="H212" s="19" t="s">
        <v>71</v>
      </c>
      <c r="I212" s="19" t="s">
        <v>117</v>
      </c>
      <c r="J212" s="20">
        <v>48</v>
      </c>
      <c r="K212" s="34">
        <v>0</v>
      </c>
      <c r="L212" s="34">
        <v>1</v>
      </c>
      <c r="M212" s="19">
        <f>IF(OR(ISBLANK(C212),C212=""),"",ROUND((C212-B212)*24,2))</f>
        <v>46.12</v>
      </c>
      <c r="N212" s="35" t="str">
        <f>IF(OR(ISBLANK(C212),C212="",M212=""),"In Progress",IF(M212&lt;=J212,"Met","Breached"))</f>
        <v>Met</v>
      </c>
    </row>
    <row r="213" ht="19" customHeight="1" spans="1:14" x14ac:dyDescent="0.25">
      <c r="A213" s="22" t="s">
        <v>327</v>
      </c>
      <c r="B213" s="36">
        <v>45975.725694444445</v>
      </c>
      <c r="C213" s="36">
        <v>45975.91180555556</v>
      </c>
      <c r="D213" s="22" t="s">
        <v>33</v>
      </c>
      <c r="E213" s="22" t="s">
        <v>61</v>
      </c>
      <c r="F213" s="22" t="s">
        <v>34</v>
      </c>
      <c r="G213" s="22" t="s">
        <v>121</v>
      </c>
      <c r="H213" s="22" t="s">
        <v>71</v>
      </c>
      <c r="I213" s="22" t="s">
        <v>111</v>
      </c>
      <c r="J213" s="23">
        <v>12</v>
      </c>
      <c r="K213" s="37">
        <v>0</v>
      </c>
      <c r="L213" s="37">
        <v>4</v>
      </c>
      <c r="M213" s="22">
        <f>IF(OR(ISBLANK(C213),C213=""),"",ROUND((C213-B213)*24,2))</f>
        <v>4.47</v>
      </c>
      <c r="N213" s="40" t="str">
        <f>IF(OR(ISBLANK(C213),C213="",M213=""),"In Progress",IF(M213&lt;=J213,"Met","Breached"))</f>
        <v>Met</v>
      </c>
    </row>
    <row r="214" ht="19" customHeight="1" spans="1:14" x14ac:dyDescent="0.25">
      <c r="A214" s="19" t="s">
        <v>328</v>
      </c>
      <c r="B214" s="33">
        <v>45876.816666666666</v>
      </c>
      <c r="C214" s="33">
        <v>45877.35416666667</v>
      </c>
      <c r="D214" s="19" t="s">
        <v>36</v>
      </c>
      <c r="E214" s="19" t="s">
        <v>61</v>
      </c>
      <c r="F214" s="19" t="s">
        <v>40</v>
      </c>
      <c r="G214" s="19" t="s">
        <v>121</v>
      </c>
      <c r="H214" s="19" t="s">
        <v>71</v>
      </c>
      <c r="I214" s="19" t="s">
        <v>114</v>
      </c>
      <c r="J214" s="20">
        <v>12</v>
      </c>
      <c r="K214" s="34">
        <v>0</v>
      </c>
      <c r="L214" s="34">
        <v>3</v>
      </c>
      <c r="M214" s="19">
        <f>IF(OR(ISBLANK(C214),C214=""),"",ROUND((C214-B214)*24,2))</f>
        <v>12.9</v>
      </c>
      <c r="N214" s="39" t="str">
        <f>IF(OR(ISBLANK(C214),C214="",M214=""),"In Progress",IF(M214&lt;=J214,"Met","Breached"))</f>
        <v>Breached</v>
      </c>
    </row>
    <row r="215" ht="19" customHeight="1" spans="1:14" x14ac:dyDescent="0.25">
      <c r="A215" s="22" t="s">
        <v>329</v>
      </c>
      <c r="B215" s="36">
        <v>45885.15902777778</v>
      </c>
      <c r="C215" s="36">
        <v>45886.05972222222</v>
      </c>
      <c r="D215" s="22" t="s">
        <v>36</v>
      </c>
      <c r="E215" s="22" t="s">
        <v>65</v>
      </c>
      <c r="F215" s="22" t="s">
        <v>43</v>
      </c>
      <c r="G215" s="22" t="s">
        <v>110</v>
      </c>
      <c r="H215" s="22" t="s">
        <v>59</v>
      </c>
      <c r="I215" s="22" t="s">
        <v>114</v>
      </c>
      <c r="J215" s="23">
        <v>48</v>
      </c>
      <c r="K215" s="37">
        <v>0</v>
      </c>
      <c r="L215" s="37">
        <v>5</v>
      </c>
      <c r="M215" s="22">
        <f>IF(OR(ISBLANK(C215),C215=""),"",ROUND((C215-B215)*24,2))</f>
        <v>21.62</v>
      </c>
      <c r="N215" s="40" t="str">
        <f>IF(OR(ISBLANK(C215),C215="",M215=""),"In Progress",IF(M215&lt;=J215,"Met","Breached"))</f>
        <v>Met</v>
      </c>
    </row>
    <row r="216" ht="19" customHeight="1" spans="1:14" x14ac:dyDescent="0.25">
      <c r="A216" s="19" t="s">
        <v>330</v>
      </c>
      <c r="B216" s="33">
        <v>45903.20486111111</v>
      </c>
      <c r="D216" s="19" t="s">
        <v>42</v>
      </c>
      <c r="E216" s="19" t="s">
        <v>65</v>
      </c>
      <c r="F216" s="19" t="s">
        <v>45</v>
      </c>
      <c r="G216" s="19" t="s">
        <v>126</v>
      </c>
      <c r="H216" s="19" t="s">
        <v>59</v>
      </c>
      <c r="I216" s="19" t="s">
        <v>123</v>
      </c>
      <c r="J216" s="20">
        <v>48</v>
      </c>
      <c r="K216" s="34">
        <v>0</v>
      </c>
      <c r="M216" s="19" t="str">
        <f>IF(OR(ISBLANK(C216),C216=""),"",ROUND((C216-B216)*24,2))</f>
        <v/>
      </c>
      <c r="N216" s="19" t="str">
        <f>IF(OR(ISBLANK(C216),C216="",M216=""),"In Progress",IF(M216&lt;=J216,"Met","Breached"))</f>
        <v>In Progress</v>
      </c>
    </row>
    <row r="217" ht="19" customHeight="1" spans="1:14" x14ac:dyDescent="0.25">
      <c r="A217" s="22" t="s">
        <v>331</v>
      </c>
      <c r="B217" s="36">
        <v>45974.98611111111</v>
      </c>
      <c r="C217" s="36">
        <v>45975.92152777778</v>
      </c>
      <c r="D217" s="22" t="s">
        <v>36</v>
      </c>
      <c r="E217" s="22" t="s">
        <v>65</v>
      </c>
      <c r="F217" s="22" t="s">
        <v>45</v>
      </c>
      <c r="G217" s="22" t="s">
        <v>113</v>
      </c>
      <c r="H217" s="22" t="s">
        <v>59</v>
      </c>
      <c r="I217" s="22" t="s">
        <v>111</v>
      </c>
      <c r="J217" s="23">
        <v>48</v>
      </c>
      <c r="K217" s="37">
        <v>0</v>
      </c>
      <c r="L217" s="37">
        <v>5</v>
      </c>
      <c r="M217" s="22">
        <f>IF(OR(ISBLANK(C217),C217=""),"",ROUND((C217-B217)*24,2))</f>
        <v>22.45</v>
      </c>
      <c r="N217" s="40" t="str">
        <f>IF(OR(ISBLANK(C217),C217="",M217=""),"In Progress",IF(M217&lt;=J217,"Met","Breached"))</f>
        <v>Met</v>
      </c>
    </row>
    <row r="218" ht="19" customHeight="1" spans="1:14" x14ac:dyDescent="0.25">
      <c r="A218" s="19" t="s">
        <v>332</v>
      </c>
      <c r="B218" s="33">
        <v>45948.861805555556</v>
      </c>
      <c r="D218" s="19" t="s">
        <v>42</v>
      </c>
      <c r="E218" s="19" t="s">
        <v>65</v>
      </c>
      <c r="F218" s="19" t="s">
        <v>34</v>
      </c>
      <c r="G218" s="19" t="s">
        <v>63</v>
      </c>
      <c r="H218" s="19" t="s">
        <v>63</v>
      </c>
      <c r="I218" s="19" t="s">
        <v>117</v>
      </c>
      <c r="J218" s="20">
        <v>48</v>
      </c>
      <c r="K218" s="34">
        <v>0</v>
      </c>
      <c r="M218" s="19" t="str">
        <f>IF(OR(ISBLANK(C218),C218=""),"",ROUND((C218-B218)*24,2))</f>
        <v/>
      </c>
      <c r="N218" s="19" t="str">
        <f>IF(OR(ISBLANK(C218),C218="",M218=""),"In Progress",IF(M218&lt;=J218,"Met","Breached"))</f>
        <v>In Progress</v>
      </c>
    </row>
    <row r="219" ht="19" customHeight="1" spans="1:14" x14ac:dyDescent="0.25">
      <c r="A219" s="22" t="s">
        <v>333</v>
      </c>
      <c r="B219" s="36">
        <v>45770.521527777775</v>
      </c>
      <c r="C219" s="36">
        <v>45772.180555555555</v>
      </c>
      <c r="D219" s="22" t="s">
        <v>33</v>
      </c>
      <c r="E219" s="22" t="s">
        <v>65</v>
      </c>
      <c r="F219" s="22" t="s">
        <v>45</v>
      </c>
      <c r="G219" s="22" t="s">
        <v>63</v>
      </c>
      <c r="H219" s="22" t="s">
        <v>71</v>
      </c>
      <c r="I219" s="22" t="s">
        <v>123</v>
      </c>
      <c r="J219" s="23">
        <v>48</v>
      </c>
      <c r="K219" s="37">
        <v>0</v>
      </c>
      <c r="L219" s="37">
        <v>3</v>
      </c>
      <c r="M219" s="22">
        <f>IF(OR(ISBLANK(C219),C219=""),"",ROUND((C219-B219)*24,2))</f>
        <v>39.82</v>
      </c>
      <c r="N219" s="40" t="str">
        <f>IF(OR(ISBLANK(C219),C219="",M219=""),"In Progress",IF(M219&lt;=J219,"Met","Breached"))</f>
        <v>Met</v>
      </c>
    </row>
    <row r="220" ht="19" customHeight="1" spans="1:14" x14ac:dyDescent="0.25">
      <c r="A220" s="19" t="s">
        <v>334</v>
      </c>
      <c r="B220" s="33">
        <v>45974.10833333334</v>
      </c>
      <c r="D220" s="19" t="s">
        <v>39</v>
      </c>
      <c r="E220" s="19" t="s">
        <v>61</v>
      </c>
      <c r="F220" s="19" t="s">
        <v>37</v>
      </c>
      <c r="G220" s="19" t="s">
        <v>113</v>
      </c>
      <c r="H220" s="19" t="s">
        <v>59</v>
      </c>
      <c r="I220" s="19" t="s">
        <v>111</v>
      </c>
      <c r="J220" s="20">
        <v>12</v>
      </c>
      <c r="K220" s="34">
        <v>0</v>
      </c>
      <c r="M220" s="19" t="str">
        <f>IF(OR(ISBLANK(C220),C220=""),"",ROUND((C220-B220)*24,2))</f>
        <v/>
      </c>
      <c r="N220" s="19" t="str">
        <f>IF(OR(ISBLANK(C220),C220="",M220=""),"In Progress",IF(M220&lt;=J220,"Met","Breached"))</f>
        <v>In Progress</v>
      </c>
    </row>
    <row r="221" ht="19" customHeight="1" spans="1:14" x14ac:dyDescent="0.25">
      <c r="A221" s="22" t="s">
        <v>335</v>
      </c>
      <c r="B221" s="36">
        <v>45952.65347222222</v>
      </c>
      <c r="C221" s="36">
        <v>45952.805555555555</v>
      </c>
      <c r="D221" s="22" t="s">
        <v>33</v>
      </c>
      <c r="E221" s="22" t="s">
        <v>61</v>
      </c>
      <c r="F221" s="22" t="s">
        <v>37</v>
      </c>
      <c r="G221" s="22" t="s">
        <v>113</v>
      </c>
      <c r="H221" s="22" t="s">
        <v>67</v>
      </c>
      <c r="I221" s="22" t="s">
        <v>123</v>
      </c>
      <c r="J221" s="23">
        <v>12</v>
      </c>
      <c r="K221" s="37">
        <v>0</v>
      </c>
      <c r="L221" s="37">
        <v>2</v>
      </c>
      <c r="M221" s="22">
        <f>IF(OR(ISBLANK(C221),C221=""),"",ROUND((C221-B221)*24,2))</f>
        <v>3.65</v>
      </c>
      <c r="N221" s="40" t="str">
        <f>IF(OR(ISBLANK(C221),C221="",M221=""),"In Progress",IF(M221&lt;=J221,"Met","Breached"))</f>
        <v>Met</v>
      </c>
    </row>
    <row r="222" ht="19" customHeight="1" spans="1:14" x14ac:dyDescent="0.25">
      <c r="A222" s="19" t="s">
        <v>336</v>
      </c>
      <c r="B222" s="33">
        <v>46233.88055555556</v>
      </c>
      <c r="C222" s="33">
        <v>46234.04583333334</v>
      </c>
      <c r="D222" s="19" t="s">
        <v>33</v>
      </c>
      <c r="E222" s="19" t="s">
        <v>57</v>
      </c>
      <c r="F222" s="19" t="s">
        <v>34</v>
      </c>
      <c r="G222" s="19" t="s">
        <v>113</v>
      </c>
      <c r="H222" s="19" t="s">
        <v>67</v>
      </c>
      <c r="I222" s="19" t="s">
        <v>111</v>
      </c>
      <c r="J222" s="20">
        <v>4</v>
      </c>
      <c r="K222" s="34">
        <v>0</v>
      </c>
      <c r="L222" s="34">
        <v>2</v>
      </c>
      <c r="M222" s="19">
        <f>IF(OR(ISBLANK(C222),C222=""),"",ROUND((C222-B222)*24,2))</f>
        <v>3.97</v>
      </c>
      <c r="N222" s="35" t="str">
        <f>IF(OR(ISBLANK(C222),C222="",M222=""),"In Progress",IF(M222&lt;=J222,"Met","Breached"))</f>
        <v>Met</v>
      </c>
    </row>
    <row r="223" ht="19" customHeight="1" spans="1:14" x14ac:dyDescent="0.25">
      <c r="A223" s="22" t="s">
        <v>337</v>
      </c>
      <c r="B223" s="36">
        <v>45729.71944444445</v>
      </c>
      <c r="C223" s="36">
        <v>45730.00833333333</v>
      </c>
      <c r="D223" s="22" t="s">
        <v>36</v>
      </c>
      <c r="E223" s="22" t="s">
        <v>57</v>
      </c>
      <c r="F223" s="22" t="s">
        <v>40</v>
      </c>
      <c r="G223" s="22" t="s">
        <v>121</v>
      </c>
      <c r="H223" s="22" t="s">
        <v>59</v>
      </c>
      <c r="I223" s="22" t="s">
        <v>111</v>
      </c>
      <c r="J223" s="23">
        <v>4</v>
      </c>
      <c r="K223" s="37">
        <v>0</v>
      </c>
      <c r="L223" s="37">
        <v>2</v>
      </c>
      <c r="M223" s="22">
        <f>IF(OR(ISBLANK(C223),C223=""),"",ROUND((C223-B223)*24,2))</f>
        <v>6.93</v>
      </c>
      <c r="N223" s="38" t="str">
        <f>IF(OR(ISBLANK(C223),C223="",M223=""),"In Progress",IF(M223&lt;=J223,"Met","Breached"))</f>
        <v>Breached</v>
      </c>
    </row>
    <row r="224" ht="19" customHeight="1" spans="1:14" x14ac:dyDescent="0.25">
      <c r="A224" s="19" t="s">
        <v>338</v>
      </c>
      <c r="B224" s="33">
        <v>45709.62222222222</v>
      </c>
      <c r="D224" s="19" t="s">
        <v>39</v>
      </c>
      <c r="E224" s="19" t="s">
        <v>61</v>
      </c>
      <c r="F224" s="19" t="s">
        <v>45</v>
      </c>
      <c r="G224" s="19" t="s">
        <v>126</v>
      </c>
      <c r="H224" s="19" t="s">
        <v>59</v>
      </c>
      <c r="I224" s="19" t="s">
        <v>108</v>
      </c>
      <c r="J224" s="20">
        <v>12</v>
      </c>
      <c r="K224" s="34">
        <v>0</v>
      </c>
      <c r="M224" s="19" t="str">
        <f>IF(OR(ISBLANK(C224),C224=""),"",ROUND((C224-B224)*24,2))</f>
        <v/>
      </c>
      <c r="N224" s="19" t="str">
        <f>IF(OR(ISBLANK(C224),C224="",M224=""),"In Progress",IF(M224&lt;=J224,"Met","Breached"))</f>
        <v>In Progress</v>
      </c>
    </row>
    <row r="225" ht="19" customHeight="1" spans="1:14" x14ac:dyDescent="0.25">
      <c r="A225" s="22" t="s">
        <v>339</v>
      </c>
      <c r="B225" s="36">
        <v>45800.40625</v>
      </c>
      <c r="C225" s="36">
        <v>45801.50277777778</v>
      </c>
      <c r="D225" s="22" t="s">
        <v>33</v>
      </c>
      <c r="E225" s="22" t="s">
        <v>65</v>
      </c>
      <c r="F225" s="22" t="s">
        <v>34</v>
      </c>
      <c r="G225" s="22" t="s">
        <v>63</v>
      </c>
      <c r="H225" s="22" t="s">
        <v>59</v>
      </c>
      <c r="I225" s="22" t="s">
        <v>147</v>
      </c>
      <c r="J225" s="23">
        <v>48</v>
      </c>
      <c r="K225" s="37">
        <v>0</v>
      </c>
      <c r="L225" s="37">
        <v>3</v>
      </c>
      <c r="M225" s="22">
        <f>IF(OR(ISBLANK(C225),C225=""),"",ROUND((C225-B225)*24,2))</f>
        <v>26.32</v>
      </c>
      <c r="N225" s="40" t="str">
        <f>IF(OR(ISBLANK(C225),C225="",M225=""),"In Progress",IF(M225&lt;=J225,"Met","Breached"))</f>
        <v>Met</v>
      </c>
    </row>
    <row r="226" ht="19" customHeight="1" spans="1:14" x14ac:dyDescent="0.25">
      <c r="A226" s="19" t="s">
        <v>340</v>
      </c>
      <c r="B226" s="33">
        <v>46180.37152777778</v>
      </c>
      <c r="D226" s="19" t="s">
        <v>42</v>
      </c>
      <c r="E226" s="19" t="s">
        <v>69</v>
      </c>
      <c r="F226" s="19" t="s">
        <v>43</v>
      </c>
      <c r="G226" s="19" t="s">
        <v>116</v>
      </c>
      <c r="H226" s="19" t="s">
        <v>59</v>
      </c>
      <c r="I226" s="19" t="s">
        <v>108</v>
      </c>
      <c r="J226" s="20">
        <v>120</v>
      </c>
      <c r="K226" s="34">
        <v>0</v>
      </c>
      <c r="M226" s="19" t="str">
        <f>IF(OR(ISBLANK(C226),C226=""),"",ROUND((C226-B226)*24,2))</f>
        <v/>
      </c>
      <c r="N226" s="19" t="str">
        <f>IF(OR(ISBLANK(C226),C226="",M226=""),"In Progress",IF(M226&lt;=J226,"Met","Breached"))</f>
        <v>In Progress</v>
      </c>
    </row>
    <row r="227" ht="19" customHeight="1" spans="1:14" x14ac:dyDescent="0.25">
      <c r="A227" s="22" t="s">
        <v>341</v>
      </c>
      <c r="B227" s="36">
        <v>46160.410416666666</v>
      </c>
      <c r="C227" s="36">
        <v>46163.555555555555</v>
      </c>
      <c r="D227" s="22" t="s">
        <v>33</v>
      </c>
      <c r="E227" s="22" t="s">
        <v>65</v>
      </c>
      <c r="F227" s="22" t="s">
        <v>37</v>
      </c>
      <c r="G227" s="22" t="s">
        <v>126</v>
      </c>
      <c r="H227" s="22" t="s">
        <v>59</v>
      </c>
      <c r="I227" s="22" t="s">
        <v>123</v>
      </c>
      <c r="J227" s="23">
        <v>48</v>
      </c>
      <c r="K227" s="37">
        <v>0</v>
      </c>
      <c r="L227" s="37">
        <v>1</v>
      </c>
      <c r="M227" s="22">
        <f>IF(OR(ISBLANK(C227),C227=""),"",ROUND((C227-B227)*24,2))</f>
        <v>75.48</v>
      </c>
      <c r="N227" s="38" t="str">
        <f>IF(OR(ISBLANK(C227),C227="",M227=""),"In Progress",IF(M227&lt;=J227,"Met","Breached"))</f>
        <v>Breached</v>
      </c>
    </row>
    <row r="228" ht="19" customHeight="1" spans="1:14" x14ac:dyDescent="0.25">
      <c r="A228" s="19" t="s">
        <v>342</v>
      </c>
      <c r="B228" s="33">
        <v>46162.82638888889</v>
      </c>
      <c r="C228" s="33">
        <v>46163.79722222222</v>
      </c>
      <c r="D228" s="19" t="s">
        <v>36</v>
      </c>
      <c r="E228" s="19" t="s">
        <v>65</v>
      </c>
      <c r="F228" s="19" t="s">
        <v>40</v>
      </c>
      <c r="G228" s="19" t="s">
        <v>121</v>
      </c>
      <c r="H228" s="19" t="s">
        <v>59</v>
      </c>
      <c r="I228" s="19" t="s">
        <v>147</v>
      </c>
      <c r="J228" s="20">
        <v>48</v>
      </c>
      <c r="K228" s="34">
        <v>0</v>
      </c>
      <c r="M228" s="19">
        <f>IF(OR(ISBLANK(C228),C228=""),"",ROUND((C228-B228)*24,2))</f>
        <v>23.3</v>
      </c>
      <c r="N228" s="35" t="str">
        <f>IF(OR(ISBLANK(C228),C228="",M228=""),"In Progress",IF(M228&lt;=J228,"Met","Breached"))</f>
        <v>Met</v>
      </c>
    </row>
    <row r="229" ht="19" customHeight="1" spans="1:14" x14ac:dyDescent="0.25">
      <c r="A229" s="22" t="s">
        <v>343</v>
      </c>
      <c r="B229" s="36">
        <v>45881.64027777778</v>
      </c>
      <c r="D229" s="22" t="s">
        <v>42</v>
      </c>
      <c r="E229" s="22" t="s">
        <v>69</v>
      </c>
      <c r="F229" s="22" t="s">
        <v>34</v>
      </c>
      <c r="G229" s="22" t="s">
        <v>63</v>
      </c>
      <c r="H229" s="22" t="s">
        <v>63</v>
      </c>
      <c r="I229" s="22" t="s">
        <v>123</v>
      </c>
      <c r="J229" s="23">
        <v>120</v>
      </c>
      <c r="K229" s="37">
        <v>0</v>
      </c>
      <c r="M229" s="22" t="str">
        <f>IF(OR(ISBLANK(C229),C229=""),"",ROUND((C229-B229)*24,2))</f>
        <v/>
      </c>
      <c r="N229" s="22" t="str">
        <f>IF(OR(ISBLANK(C229),C229="",M229=""),"In Progress",IF(M229&lt;=J229,"Met","Breached"))</f>
        <v>In Progress</v>
      </c>
    </row>
    <row r="230" ht="19" customHeight="1" spans="1:14" x14ac:dyDescent="0.25">
      <c r="A230" s="19" t="s">
        <v>344</v>
      </c>
      <c r="B230" s="33">
        <v>46147.30625</v>
      </c>
      <c r="D230" s="19" t="s">
        <v>39</v>
      </c>
      <c r="E230" s="19" t="s">
        <v>65</v>
      </c>
      <c r="F230" s="19" t="s">
        <v>45</v>
      </c>
      <c r="G230" s="19" t="s">
        <v>121</v>
      </c>
      <c r="H230" s="19" t="s">
        <v>59</v>
      </c>
      <c r="I230" s="19" t="s">
        <v>123</v>
      </c>
      <c r="J230" s="20">
        <v>48</v>
      </c>
      <c r="K230" s="34">
        <v>0</v>
      </c>
      <c r="M230" s="19" t="str">
        <f>IF(OR(ISBLANK(C230),C230=""),"",ROUND((C230-B230)*24,2))</f>
        <v/>
      </c>
      <c r="N230" s="19" t="str">
        <f>IF(OR(ISBLANK(C230),C230="",M230=""),"In Progress",IF(M230&lt;=J230,"Met","Breached"))</f>
        <v>In Progress</v>
      </c>
    </row>
    <row r="231" ht="19" customHeight="1" spans="1:14" x14ac:dyDescent="0.25">
      <c r="A231" s="22" t="s">
        <v>345</v>
      </c>
      <c r="B231" s="36">
        <v>45704.50902777778</v>
      </c>
      <c r="C231" s="36">
        <v>45710.29861111111</v>
      </c>
      <c r="D231" s="22" t="s">
        <v>33</v>
      </c>
      <c r="E231" s="22" t="s">
        <v>69</v>
      </c>
      <c r="F231" s="22" t="s">
        <v>45</v>
      </c>
      <c r="G231" s="22" t="s">
        <v>126</v>
      </c>
      <c r="H231" s="22" t="s">
        <v>67</v>
      </c>
      <c r="I231" s="22" t="s">
        <v>123</v>
      </c>
      <c r="J231" s="23">
        <v>120</v>
      </c>
      <c r="K231" s="37">
        <v>0</v>
      </c>
      <c r="L231" s="37">
        <v>2</v>
      </c>
      <c r="M231" s="22">
        <f>IF(OR(ISBLANK(C231),C231=""),"",ROUND((C231-B231)*24,2))</f>
        <v>138.95</v>
      </c>
      <c r="N231" s="38" t="str">
        <f>IF(OR(ISBLANK(C231),C231="",M231=""),"In Progress",IF(M231&lt;=J231,"Met","Breached"))</f>
        <v>Breached</v>
      </c>
    </row>
    <row r="232" ht="19" customHeight="1" spans="1:14" x14ac:dyDescent="0.25">
      <c r="A232" s="19" t="s">
        <v>346</v>
      </c>
      <c r="B232" s="33">
        <v>46150.24097222222</v>
      </c>
      <c r="D232" s="19" t="s">
        <v>42</v>
      </c>
      <c r="E232" s="19" t="s">
        <v>61</v>
      </c>
      <c r="F232" s="19" t="s">
        <v>34</v>
      </c>
      <c r="G232" s="19" t="s">
        <v>113</v>
      </c>
      <c r="H232" s="19" t="s">
        <v>71</v>
      </c>
      <c r="I232" s="19" t="s">
        <v>114</v>
      </c>
      <c r="J232" s="20">
        <v>12</v>
      </c>
      <c r="K232" s="34">
        <v>0</v>
      </c>
      <c r="M232" s="19" t="str">
        <f>IF(OR(ISBLANK(C232),C232=""),"",ROUND((C232-B232)*24,2))</f>
        <v/>
      </c>
      <c r="N232" s="19" t="str">
        <f>IF(OR(ISBLANK(C232),C232="",M232=""),"In Progress",IF(M232&lt;=J232,"Met","Breached"))</f>
        <v>In Progress</v>
      </c>
    </row>
    <row r="233" ht="19" customHeight="1" spans="1:14" x14ac:dyDescent="0.25">
      <c r="A233" s="22" t="s">
        <v>347</v>
      </c>
      <c r="B233" s="36">
        <v>45785.631944444445</v>
      </c>
      <c r="C233" s="36">
        <v>45794.25069444445</v>
      </c>
      <c r="D233" s="22" t="s">
        <v>33</v>
      </c>
      <c r="E233" s="22" t="s">
        <v>69</v>
      </c>
      <c r="F233" s="22" t="s">
        <v>43</v>
      </c>
      <c r="G233" s="22" t="s">
        <v>63</v>
      </c>
      <c r="H233" s="22" t="s">
        <v>59</v>
      </c>
      <c r="I233" s="22" t="s">
        <v>114</v>
      </c>
      <c r="J233" s="23">
        <v>120</v>
      </c>
      <c r="K233" s="37">
        <v>0</v>
      </c>
      <c r="L233" s="37">
        <v>4</v>
      </c>
      <c r="M233" s="22">
        <f>IF(OR(ISBLANK(C233),C233=""),"",ROUND((C233-B233)*24,2))</f>
        <v>206.85</v>
      </c>
      <c r="N233" s="38" t="str">
        <f>IF(OR(ISBLANK(C233),C233="",M233=""),"In Progress",IF(M233&lt;=J233,"Met","Breached"))</f>
        <v>Breached</v>
      </c>
    </row>
    <row r="234" ht="19" customHeight="1" spans="1:14" x14ac:dyDescent="0.25">
      <c r="A234" s="19" t="s">
        <v>348</v>
      </c>
      <c r="B234" s="33">
        <v>45814.959027777775</v>
      </c>
      <c r="C234" s="33">
        <v>45821.606944444444</v>
      </c>
      <c r="D234" s="19" t="s">
        <v>33</v>
      </c>
      <c r="E234" s="19" t="s">
        <v>69</v>
      </c>
      <c r="F234" s="19" t="s">
        <v>37</v>
      </c>
      <c r="G234" s="19" t="s">
        <v>63</v>
      </c>
      <c r="H234" s="19" t="s">
        <v>63</v>
      </c>
      <c r="I234" s="19" t="s">
        <v>147</v>
      </c>
      <c r="J234" s="20">
        <v>120</v>
      </c>
      <c r="K234" s="34">
        <v>0</v>
      </c>
      <c r="L234" s="34">
        <v>4</v>
      </c>
      <c r="M234" s="19">
        <f>IF(OR(ISBLANK(C234),C234=""),"",ROUND((C234-B234)*24,2))</f>
        <v>159.55</v>
      </c>
      <c r="N234" s="39" t="str">
        <f>IF(OR(ISBLANK(C234),C234="",M234=""),"In Progress",IF(M234&lt;=J234,"Met","Breached"))</f>
        <v>Breached</v>
      </c>
    </row>
    <row r="235" ht="19" customHeight="1" spans="1:14" x14ac:dyDescent="0.25">
      <c r="A235" s="22" t="s">
        <v>349</v>
      </c>
      <c r="B235" s="36">
        <v>46149.23263888889</v>
      </c>
      <c r="D235" s="22" t="s">
        <v>39</v>
      </c>
      <c r="E235" s="22" t="s">
        <v>65</v>
      </c>
      <c r="F235" s="22" t="s">
        <v>40</v>
      </c>
      <c r="G235" s="22" t="s">
        <v>113</v>
      </c>
      <c r="H235" s="22" t="s">
        <v>67</v>
      </c>
      <c r="I235" s="22" t="s">
        <v>123</v>
      </c>
      <c r="J235" s="23">
        <v>48</v>
      </c>
      <c r="K235" s="37">
        <v>0</v>
      </c>
      <c r="M235" s="22" t="str">
        <f>IF(OR(ISBLANK(C235),C235=""),"",ROUND((C235-B235)*24,2))</f>
        <v/>
      </c>
      <c r="N235" s="22" t="str">
        <f>IF(OR(ISBLANK(C235),C235="",M235=""),"In Progress",IF(M235&lt;=J235,"Met","Breached"))</f>
        <v>In Progress</v>
      </c>
    </row>
    <row r="236" ht="19" customHeight="1" spans="1:14" x14ac:dyDescent="0.25">
      <c r="A236" s="19" t="s">
        <v>350</v>
      </c>
      <c r="B236" s="33">
        <v>45772.04375</v>
      </c>
      <c r="C236" s="33">
        <v>45773.129166666666</v>
      </c>
      <c r="D236" s="19" t="s">
        <v>33</v>
      </c>
      <c r="E236" s="19" t="s">
        <v>65</v>
      </c>
      <c r="F236" s="19" t="s">
        <v>37</v>
      </c>
      <c r="G236" s="19" t="s">
        <v>126</v>
      </c>
      <c r="H236" s="19" t="s">
        <v>63</v>
      </c>
      <c r="I236" s="19" t="s">
        <v>117</v>
      </c>
      <c r="J236" s="20">
        <v>48</v>
      </c>
      <c r="K236" s="34">
        <v>0</v>
      </c>
      <c r="L236" s="34">
        <v>4</v>
      </c>
      <c r="M236" s="19">
        <f>IF(OR(ISBLANK(C236),C236=""),"",ROUND((C236-B236)*24,2))</f>
        <v>26.05</v>
      </c>
      <c r="N236" s="35" t="str">
        <f>IF(OR(ISBLANK(C236),C236="",M236=""),"In Progress",IF(M236&lt;=J236,"Met","Breached"))</f>
        <v>Met</v>
      </c>
    </row>
    <row r="237" ht="19" customHeight="1" spans="1:14" x14ac:dyDescent="0.25">
      <c r="A237" s="22" t="s">
        <v>351</v>
      </c>
      <c r="B237" s="36">
        <v>45732.64583333333</v>
      </c>
      <c r="C237" s="36">
        <v>45733.5</v>
      </c>
      <c r="D237" s="22" t="s">
        <v>36</v>
      </c>
      <c r="E237" s="22" t="s">
        <v>65</v>
      </c>
      <c r="F237" s="22" t="s">
        <v>34</v>
      </c>
      <c r="G237" s="22" t="s">
        <v>126</v>
      </c>
      <c r="H237" s="22" t="s">
        <v>59</v>
      </c>
      <c r="I237" s="22" t="s">
        <v>114</v>
      </c>
      <c r="J237" s="23">
        <v>48</v>
      </c>
      <c r="K237" s="37">
        <v>0</v>
      </c>
      <c r="M237" s="22">
        <f>IF(OR(ISBLANK(C237),C237=""),"",ROUND((C237-B237)*24,2))</f>
        <v>20.5</v>
      </c>
      <c r="N237" s="40" t="str">
        <f>IF(OR(ISBLANK(C237),C237="",M237=""),"In Progress",IF(M237&lt;=J237,"Met","Breached"))</f>
        <v>Met</v>
      </c>
    </row>
    <row r="238" ht="19" customHeight="1" spans="1:14" x14ac:dyDescent="0.25">
      <c r="A238" s="19" t="s">
        <v>352</v>
      </c>
      <c r="B238" s="33">
        <v>45854.08194444445</v>
      </c>
      <c r="C238" s="33">
        <v>45862.51527777778</v>
      </c>
      <c r="D238" s="19" t="s">
        <v>33</v>
      </c>
      <c r="E238" s="19" t="s">
        <v>69</v>
      </c>
      <c r="F238" s="19" t="s">
        <v>37</v>
      </c>
      <c r="G238" s="19" t="s">
        <v>113</v>
      </c>
      <c r="H238" s="19" t="s">
        <v>59</v>
      </c>
      <c r="I238" s="19" t="s">
        <v>111</v>
      </c>
      <c r="J238" s="20">
        <v>120</v>
      </c>
      <c r="K238" s="34">
        <v>0</v>
      </c>
      <c r="M238" s="19">
        <f>IF(OR(ISBLANK(C238),C238=""),"",ROUND((C238-B238)*24,2))</f>
        <v>202.4</v>
      </c>
      <c r="N238" s="39" t="str">
        <f>IF(OR(ISBLANK(C238),C238="",M238=""),"In Progress",IF(M238&lt;=J238,"Met","Breached"))</f>
        <v>Breached</v>
      </c>
    </row>
    <row r="239" ht="19" customHeight="1" spans="1:14" x14ac:dyDescent="0.25">
      <c r="A239" s="22" t="s">
        <v>353</v>
      </c>
      <c r="B239" s="36">
        <v>45808.80763888889</v>
      </c>
      <c r="C239" s="36">
        <v>45810.53055555555</v>
      </c>
      <c r="D239" s="22" t="s">
        <v>33</v>
      </c>
      <c r="E239" s="22" t="s">
        <v>65</v>
      </c>
      <c r="F239" s="22" t="s">
        <v>34</v>
      </c>
      <c r="G239" s="22" t="s">
        <v>121</v>
      </c>
      <c r="H239" s="22" t="s">
        <v>59</v>
      </c>
      <c r="I239" s="22" t="s">
        <v>114</v>
      </c>
      <c r="J239" s="23">
        <v>48</v>
      </c>
      <c r="K239" s="37">
        <v>0</v>
      </c>
      <c r="L239" s="37">
        <v>2</v>
      </c>
      <c r="M239" s="22">
        <f>IF(OR(ISBLANK(C239),C239=""),"",ROUND((C239-B239)*24,2))</f>
        <v>41.35</v>
      </c>
      <c r="N239" s="40" t="str">
        <f>IF(OR(ISBLANK(C239),C239="",M239=""),"In Progress",IF(M239&lt;=J239,"Met","Breached"))</f>
        <v>Met</v>
      </c>
    </row>
    <row r="240" ht="19" customHeight="1" spans="1:14" x14ac:dyDescent="0.25">
      <c r="A240" s="19" t="s">
        <v>354</v>
      </c>
      <c r="B240" s="33">
        <v>45722.85277777778</v>
      </c>
      <c r="D240" s="19" t="s">
        <v>39</v>
      </c>
      <c r="E240" s="19" t="s">
        <v>65</v>
      </c>
      <c r="F240" s="19" t="s">
        <v>34</v>
      </c>
      <c r="G240" s="19" t="s">
        <v>121</v>
      </c>
      <c r="H240" s="19" t="s">
        <v>59</v>
      </c>
      <c r="I240" s="19" t="s">
        <v>123</v>
      </c>
      <c r="J240" s="20">
        <v>48</v>
      </c>
      <c r="K240" s="34">
        <v>0</v>
      </c>
      <c r="M240" s="19" t="str">
        <f>IF(OR(ISBLANK(C240),C240=""),"",ROUND((C240-B240)*24,2))</f>
        <v/>
      </c>
      <c r="N240" s="19" t="str">
        <f>IF(OR(ISBLANK(C240),C240="",M240=""),"In Progress",IF(M240&lt;=J240,"Met","Breached"))</f>
        <v>In Progress</v>
      </c>
    </row>
    <row r="241" ht="19" customHeight="1" spans="1:14" x14ac:dyDescent="0.25">
      <c r="A241" s="22" t="s">
        <v>355</v>
      </c>
      <c r="B241" s="36">
        <v>46044.18194444444</v>
      </c>
      <c r="C241" s="36">
        <v>46046.94097222222</v>
      </c>
      <c r="D241" s="22" t="s">
        <v>33</v>
      </c>
      <c r="E241" s="22" t="s">
        <v>65</v>
      </c>
      <c r="F241" s="22" t="s">
        <v>34</v>
      </c>
      <c r="G241" s="22" t="s">
        <v>63</v>
      </c>
      <c r="H241" s="22" t="s">
        <v>67</v>
      </c>
      <c r="I241" s="22" t="s">
        <v>123</v>
      </c>
      <c r="J241" s="23">
        <v>48</v>
      </c>
      <c r="K241" s="37">
        <v>0</v>
      </c>
      <c r="L241" s="37">
        <v>5</v>
      </c>
      <c r="M241" s="22">
        <f>IF(OR(ISBLANK(C241),C241=""),"",ROUND((C241-B241)*24,2))</f>
        <v>66.22</v>
      </c>
      <c r="N241" s="38" t="str">
        <f>IF(OR(ISBLANK(C241),C241="",M241=""),"In Progress",IF(M241&lt;=J241,"Met","Breached"))</f>
        <v>Breached</v>
      </c>
    </row>
    <row r="242" ht="19" customHeight="1" spans="1:14" x14ac:dyDescent="0.25">
      <c r="A242" s="19" t="s">
        <v>356</v>
      </c>
      <c r="B242" s="33">
        <v>45764.30972222222</v>
      </c>
      <c r="C242" s="33">
        <v>45767.242361111115</v>
      </c>
      <c r="D242" s="19" t="s">
        <v>33</v>
      </c>
      <c r="E242" s="19" t="s">
        <v>65</v>
      </c>
      <c r="F242" s="19" t="s">
        <v>43</v>
      </c>
      <c r="G242" s="19" t="s">
        <v>116</v>
      </c>
      <c r="H242" s="19" t="s">
        <v>63</v>
      </c>
      <c r="I242" s="19" t="s">
        <v>111</v>
      </c>
      <c r="J242" s="20">
        <v>48</v>
      </c>
      <c r="K242" s="34">
        <v>0</v>
      </c>
      <c r="L242" s="34">
        <v>3</v>
      </c>
      <c r="M242" s="19">
        <f>IF(OR(ISBLANK(C242),C242=""),"",ROUND((C242-B242)*24,2))</f>
        <v>70.38</v>
      </c>
      <c r="N242" s="39" t="str">
        <f>IF(OR(ISBLANK(C242),C242="",M242=""),"In Progress",IF(M242&lt;=J242,"Met","Breached"))</f>
        <v>Breached</v>
      </c>
    </row>
    <row r="243" ht="19" customHeight="1" spans="1:14" x14ac:dyDescent="0.25">
      <c r="A243" s="22" t="s">
        <v>357</v>
      </c>
      <c r="B243" s="36">
        <v>45857.39444444445</v>
      </c>
      <c r="C243" s="36">
        <v>45859.88055555556</v>
      </c>
      <c r="D243" s="22" t="s">
        <v>33</v>
      </c>
      <c r="E243" s="22" t="s">
        <v>69</v>
      </c>
      <c r="F243" s="22" t="s">
        <v>40</v>
      </c>
      <c r="G243" s="22" t="s">
        <v>126</v>
      </c>
      <c r="H243" s="22" t="s">
        <v>63</v>
      </c>
      <c r="I243" s="22" t="s">
        <v>147</v>
      </c>
      <c r="J243" s="23">
        <v>120</v>
      </c>
      <c r="K243" s="37">
        <v>0</v>
      </c>
      <c r="L243" s="37">
        <v>1</v>
      </c>
      <c r="M243" s="22">
        <f>IF(OR(ISBLANK(C243),C243=""),"",ROUND((C243-B243)*24,2))</f>
        <v>59.67</v>
      </c>
      <c r="N243" s="40" t="str">
        <f>IF(OR(ISBLANK(C243),C243="",M243=""),"In Progress",IF(M243&lt;=J243,"Met","Breached"))</f>
        <v>Met</v>
      </c>
    </row>
    <row r="244" ht="19" customHeight="1" spans="1:14" x14ac:dyDescent="0.25">
      <c r="A244" s="19" t="s">
        <v>358</v>
      </c>
      <c r="B244" s="33">
        <v>46262.836111111115</v>
      </c>
      <c r="C244" s="33">
        <v>46266.34375</v>
      </c>
      <c r="D244" s="19" t="s">
        <v>33</v>
      </c>
      <c r="E244" s="19" t="s">
        <v>65</v>
      </c>
      <c r="F244" s="19" t="s">
        <v>37</v>
      </c>
      <c r="G244" s="19" t="s">
        <v>116</v>
      </c>
      <c r="H244" s="19" t="s">
        <v>63</v>
      </c>
      <c r="I244" s="19" t="s">
        <v>123</v>
      </c>
      <c r="J244" s="20">
        <v>48</v>
      </c>
      <c r="K244" s="34">
        <v>0</v>
      </c>
      <c r="L244" s="34">
        <v>2</v>
      </c>
      <c r="M244" s="19">
        <f>IF(OR(ISBLANK(C244),C244=""),"",ROUND((C244-B244)*24,2))</f>
        <v>84.18</v>
      </c>
      <c r="N244" s="39" t="str">
        <f>IF(OR(ISBLANK(C244),C244="",M244=""),"In Progress",IF(M244&lt;=J244,"Met","Breached"))</f>
        <v>Breached</v>
      </c>
    </row>
    <row r="245" ht="19" customHeight="1" spans="1:14" x14ac:dyDescent="0.25">
      <c r="A245" s="22" t="s">
        <v>359</v>
      </c>
      <c r="B245" s="36">
        <v>45684.4</v>
      </c>
      <c r="D245" s="22" t="s">
        <v>42</v>
      </c>
      <c r="E245" s="22" t="s">
        <v>65</v>
      </c>
      <c r="F245" s="22" t="s">
        <v>34</v>
      </c>
      <c r="G245" s="22" t="s">
        <v>113</v>
      </c>
      <c r="H245" s="22" t="s">
        <v>59</v>
      </c>
      <c r="I245" s="22" t="s">
        <v>123</v>
      </c>
      <c r="J245" s="23">
        <v>48</v>
      </c>
      <c r="K245" s="37">
        <v>0</v>
      </c>
      <c r="M245" s="22" t="str">
        <f>IF(OR(ISBLANK(C245),C245=""),"",ROUND((C245-B245)*24,2))</f>
        <v/>
      </c>
      <c r="N245" s="22" t="str">
        <f>IF(OR(ISBLANK(C245),C245="",M245=""),"In Progress",IF(M245&lt;=J245,"Met","Breached"))</f>
        <v>In Progress</v>
      </c>
    </row>
    <row r="246" ht="19" customHeight="1" spans="1:14" x14ac:dyDescent="0.25">
      <c r="A246" s="19" t="s">
        <v>360</v>
      </c>
      <c r="B246" s="33">
        <v>45819.101388888885</v>
      </c>
      <c r="C246" s="33">
        <v>45820</v>
      </c>
      <c r="D246" s="19" t="s">
        <v>33</v>
      </c>
      <c r="E246" s="19" t="s">
        <v>61</v>
      </c>
      <c r="F246" s="19" t="s">
        <v>45</v>
      </c>
      <c r="G246" s="19" t="s">
        <v>63</v>
      </c>
      <c r="H246" s="19" t="s">
        <v>59</v>
      </c>
      <c r="I246" s="19" t="s">
        <v>111</v>
      </c>
      <c r="J246" s="20">
        <v>12</v>
      </c>
      <c r="K246" s="34">
        <v>0</v>
      </c>
      <c r="L246" s="34">
        <v>5</v>
      </c>
      <c r="M246" s="19">
        <f>IF(OR(ISBLANK(C246),C246=""),"",ROUND((C246-B246)*24,2))</f>
        <v>21.57</v>
      </c>
      <c r="N246" s="39" t="str">
        <f>IF(OR(ISBLANK(C246),C246="",M246=""),"In Progress",IF(M246&lt;=J246,"Met","Breached"))</f>
        <v>Breached</v>
      </c>
    </row>
    <row r="247" ht="19" customHeight="1" spans="1:14" x14ac:dyDescent="0.25">
      <c r="A247" s="22" t="s">
        <v>361</v>
      </c>
      <c r="B247" s="36">
        <v>45719.53263888889</v>
      </c>
      <c r="C247" s="36">
        <v>45721.09444444445</v>
      </c>
      <c r="D247" s="22" t="s">
        <v>36</v>
      </c>
      <c r="E247" s="22" t="s">
        <v>65</v>
      </c>
      <c r="F247" s="22" t="s">
        <v>34</v>
      </c>
      <c r="G247" s="22" t="s">
        <v>121</v>
      </c>
      <c r="H247" s="22" t="s">
        <v>63</v>
      </c>
      <c r="I247" s="22" t="s">
        <v>111</v>
      </c>
      <c r="J247" s="23">
        <v>48</v>
      </c>
      <c r="K247" s="37">
        <v>0</v>
      </c>
      <c r="L247" s="37">
        <v>2</v>
      </c>
      <c r="M247" s="22">
        <f>IF(OR(ISBLANK(C247),C247=""),"",ROUND((C247-B247)*24,2))</f>
        <v>37.48</v>
      </c>
      <c r="N247" s="40" t="str">
        <f>IF(OR(ISBLANK(C247),C247="",M247=""),"In Progress",IF(M247&lt;=J247,"Met","Breached"))</f>
        <v>Met</v>
      </c>
    </row>
    <row r="248" ht="19" customHeight="1" spans="1:14" x14ac:dyDescent="0.25">
      <c r="A248" s="19" t="s">
        <v>362</v>
      </c>
      <c r="B248" s="33">
        <v>45749.57291666667</v>
      </c>
      <c r="D248" s="19" t="s">
        <v>42</v>
      </c>
      <c r="E248" s="19" t="s">
        <v>61</v>
      </c>
      <c r="F248" s="19" t="s">
        <v>43</v>
      </c>
      <c r="G248" s="19" t="s">
        <v>113</v>
      </c>
      <c r="H248" s="19" t="s">
        <v>63</v>
      </c>
      <c r="I248" s="19" t="s">
        <v>114</v>
      </c>
      <c r="J248" s="20">
        <v>12</v>
      </c>
      <c r="K248" s="34">
        <v>0</v>
      </c>
      <c r="M248" s="19" t="str">
        <f>IF(OR(ISBLANK(C248),C248=""),"",ROUND((C248-B248)*24,2))</f>
        <v/>
      </c>
      <c r="N248" s="19" t="str">
        <f>IF(OR(ISBLANK(C248),C248="",M248=""),"In Progress",IF(M248&lt;=J248,"Met","Breached"))</f>
        <v>In Progress</v>
      </c>
    </row>
    <row r="249" ht="19" customHeight="1" spans="1:14" x14ac:dyDescent="0.25">
      <c r="A249" s="22" t="s">
        <v>363</v>
      </c>
      <c r="B249" s="36">
        <v>45719.00069444445</v>
      </c>
      <c r="C249" s="36">
        <v>45721.304861111115</v>
      </c>
      <c r="D249" s="22" t="s">
        <v>33</v>
      </c>
      <c r="E249" s="22" t="s">
        <v>65</v>
      </c>
      <c r="F249" s="22" t="s">
        <v>43</v>
      </c>
      <c r="G249" s="22" t="s">
        <v>110</v>
      </c>
      <c r="H249" s="22" t="s">
        <v>63</v>
      </c>
      <c r="I249" s="22" t="s">
        <v>114</v>
      </c>
      <c r="J249" s="23">
        <v>48</v>
      </c>
      <c r="K249" s="37">
        <v>0</v>
      </c>
      <c r="L249" s="37">
        <v>2</v>
      </c>
      <c r="M249" s="22">
        <f>IF(OR(ISBLANK(C249),C249=""),"",ROUND((C249-B249)*24,2))</f>
        <v>55.3</v>
      </c>
      <c r="N249" s="38" t="str">
        <f>IF(OR(ISBLANK(C249),C249="",M249=""),"In Progress",IF(M249&lt;=J249,"Met","Breached"))</f>
        <v>Breached</v>
      </c>
    </row>
    <row r="250" ht="19" customHeight="1" spans="1:14" x14ac:dyDescent="0.25">
      <c r="A250" s="19" t="s">
        <v>364</v>
      </c>
      <c r="B250" s="33">
        <v>45858.74722222222</v>
      </c>
      <c r="D250" s="19" t="s">
        <v>39</v>
      </c>
      <c r="E250" s="19" t="s">
        <v>65</v>
      </c>
      <c r="F250" s="19" t="s">
        <v>34</v>
      </c>
      <c r="G250" s="19" t="s">
        <v>113</v>
      </c>
      <c r="H250" s="19" t="s">
        <v>59</v>
      </c>
      <c r="I250" s="19" t="s">
        <v>111</v>
      </c>
      <c r="J250" s="20">
        <v>48</v>
      </c>
      <c r="K250" s="34">
        <v>0</v>
      </c>
      <c r="M250" s="19" t="str">
        <f>IF(OR(ISBLANK(C250),C250=""),"",ROUND((C250-B250)*24,2))</f>
        <v/>
      </c>
      <c r="N250" s="19" t="str">
        <f>IF(OR(ISBLANK(C250),C250="",M250=""),"In Progress",IF(M250&lt;=J250,"Met","Breached"))</f>
        <v>In Progress</v>
      </c>
    </row>
    <row r="251" ht="19" customHeight="1" spans="1:14" x14ac:dyDescent="0.25">
      <c r="A251" s="22" t="s">
        <v>365</v>
      </c>
      <c r="B251" s="36">
        <v>46077.01180555555</v>
      </c>
      <c r="D251" s="22" t="s">
        <v>42</v>
      </c>
      <c r="E251" s="22" t="s">
        <v>65</v>
      </c>
      <c r="F251" s="22" t="s">
        <v>43</v>
      </c>
      <c r="G251" s="22" t="s">
        <v>116</v>
      </c>
      <c r="H251" s="22" t="s">
        <v>59</v>
      </c>
      <c r="I251" s="22" t="s">
        <v>117</v>
      </c>
      <c r="J251" s="23">
        <v>48</v>
      </c>
      <c r="K251" s="37">
        <v>0</v>
      </c>
      <c r="M251" s="22" t="str">
        <f>IF(OR(ISBLANK(C251),C251=""),"",ROUND((C251-B251)*24,2))</f>
        <v/>
      </c>
      <c r="N251" s="22" t="str">
        <f>IF(OR(ISBLANK(C251),C251="",M251=""),"In Progress",IF(M251&lt;=J251,"Met","Breached"))</f>
        <v>In Progress</v>
      </c>
    </row>
    <row r="252" ht="19" customHeight="1" spans="1:14" x14ac:dyDescent="0.25">
      <c r="A252" s="19" t="s">
        <v>366</v>
      </c>
      <c r="B252" s="33">
        <v>46021.569444444445</v>
      </c>
      <c r="D252" s="19" t="s">
        <v>39</v>
      </c>
      <c r="E252" s="19" t="s">
        <v>65</v>
      </c>
      <c r="F252" s="19" t="s">
        <v>37</v>
      </c>
      <c r="G252" s="19" t="s">
        <v>110</v>
      </c>
      <c r="H252" s="19" t="s">
        <v>71</v>
      </c>
      <c r="I252" s="19" t="s">
        <v>123</v>
      </c>
      <c r="J252" s="20">
        <v>48</v>
      </c>
      <c r="K252" s="34">
        <v>0</v>
      </c>
      <c r="M252" s="19" t="str">
        <f>IF(OR(ISBLANK(C252),C252=""),"",ROUND((C252-B252)*24,2))</f>
        <v/>
      </c>
      <c r="N252" s="19" t="str">
        <f>IF(OR(ISBLANK(C252),C252="",M252=""),"In Progress",IF(M252&lt;=J252,"Met","Breached"))</f>
        <v>In Progress</v>
      </c>
    </row>
    <row r="253" ht="19" customHeight="1" spans="1:14" x14ac:dyDescent="0.25">
      <c r="A253" s="22" t="s">
        <v>367</v>
      </c>
      <c r="B253" s="36">
        <v>45835.50069444445</v>
      </c>
      <c r="D253" s="22" t="s">
        <v>39</v>
      </c>
      <c r="E253" s="22" t="s">
        <v>65</v>
      </c>
      <c r="F253" s="22" t="s">
        <v>34</v>
      </c>
      <c r="G253" s="22" t="s">
        <v>110</v>
      </c>
      <c r="H253" s="22" t="s">
        <v>59</v>
      </c>
      <c r="I253" s="22" t="s">
        <v>108</v>
      </c>
      <c r="J253" s="23">
        <v>48</v>
      </c>
      <c r="K253" s="37">
        <v>0</v>
      </c>
      <c r="M253" s="22" t="str">
        <f>IF(OR(ISBLANK(C253),C253=""),"",ROUND((C253-B253)*24,2))</f>
        <v/>
      </c>
      <c r="N253" s="22" t="str">
        <f>IF(OR(ISBLANK(C253),C253="",M253=""),"In Progress",IF(M253&lt;=J253,"Met","Breached"))</f>
        <v>In Progress</v>
      </c>
    </row>
    <row r="254" ht="19" customHeight="1" spans="1:14" x14ac:dyDescent="0.25">
      <c r="A254" s="19" t="s">
        <v>368</v>
      </c>
      <c r="B254" s="33">
        <v>45966.98263888889</v>
      </c>
      <c r="C254" s="33">
        <v>45973.74791666667</v>
      </c>
      <c r="D254" s="19" t="s">
        <v>33</v>
      </c>
      <c r="E254" s="19" t="s">
        <v>69</v>
      </c>
      <c r="F254" s="19" t="s">
        <v>40</v>
      </c>
      <c r="G254" s="19" t="s">
        <v>126</v>
      </c>
      <c r="H254" s="19" t="s">
        <v>59</v>
      </c>
      <c r="I254" s="19" t="s">
        <v>117</v>
      </c>
      <c r="J254" s="20">
        <v>120</v>
      </c>
      <c r="K254" s="34">
        <v>0</v>
      </c>
      <c r="M254" s="19">
        <f>IF(OR(ISBLANK(C254),C254=""),"",ROUND((C254-B254)*24,2))</f>
        <v>162.37</v>
      </c>
      <c r="N254" s="39" t="str">
        <f>IF(OR(ISBLANK(C254),C254="",M254=""),"In Progress",IF(M254&lt;=J254,"Met","Breached"))</f>
        <v>Breached</v>
      </c>
    </row>
    <row r="255" ht="19" customHeight="1" spans="1:14" x14ac:dyDescent="0.25">
      <c r="A255" s="22" t="s">
        <v>369</v>
      </c>
      <c r="B255" s="36">
        <v>45931.89583333333</v>
      </c>
      <c r="D255" s="22" t="s">
        <v>39</v>
      </c>
      <c r="E255" s="22" t="s">
        <v>69</v>
      </c>
      <c r="F255" s="22" t="s">
        <v>43</v>
      </c>
      <c r="G255" s="22" t="s">
        <v>110</v>
      </c>
      <c r="H255" s="22" t="s">
        <v>59</v>
      </c>
      <c r="I255" s="22" t="s">
        <v>117</v>
      </c>
      <c r="J255" s="23">
        <v>120</v>
      </c>
      <c r="K255" s="37">
        <v>0</v>
      </c>
      <c r="M255" s="22" t="str">
        <f>IF(OR(ISBLANK(C255),C255=""),"",ROUND((C255-B255)*24,2))</f>
        <v/>
      </c>
      <c r="N255" s="22" t="str">
        <f>IF(OR(ISBLANK(C255),C255="",M255=""),"In Progress",IF(M255&lt;=J255,"Met","Breached"))</f>
        <v>In Progress</v>
      </c>
    </row>
    <row r="256" ht="19" customHeight="1" spans="1:14" x14ac:dyDescent="0.25">
      <c r="A256" s="19" t="s">
        <v>370</v>
      </c>
      <c r="B256" s="33">
        <v>46061.80902777778</v>
      </c>
      <c r="C256" s="33">
        <v>46062.34930555556</v>
      </c>
      <c r="D256" s="19" t="s">
        <v>36</v>
      </c>
      <c r="E256" s="19" t="s">
        <v>61</v>
      </c>
      <c r="F256" s="19" t="s">
        <v>40</v>
      </c>
      <c r="G256" s="19" t="s">
        <v>63</v>
      </c>
      <c r="H256" s="19" t="s">
        <v>67</v>
      </c>
      <c r="I256" s="19" t="s">
        <v>111</v>
      </c>
      <c r="J256" s="20">
        <v>12</v>
      </c>
      <c r="K256" s="34">
        <v>0</v>
      </c>
      <c r="L256" s="34">
        <v>4</v>
      </c>
      <c r="M256" s="19">
        <f>IF(OR(ISBLANK(C256),C256=""),"",ROUND((C256-B256)*24,2))</f>
        <v>12.97</v>
      </c>
      <c r="N256" s="39" t="str">
        <f>IF(OR(ISBLANK(C256),C256="",M256=""),"In Progress",IF(M256&lt;=J256,"Met","Breached"))</f>
        <v>Breached</v>
      </c>
    </row>
    <row r="257" ht="19" customHeight="1" spans="1:14" x14ac:dyDescent="0.25">
      <c r="A257" s="22" t="s">
        <v>371</v>
      </c>
      <c r="B257" s="36">
        <v>45898.79513888889</v>
      </c>
      <c r="C257" s="36">
        <v>45901.49166666667</v>
      </c>
      <c r="D257" s="22" t="s">
        <v>33</v>
      </c>
      <c r="E257" s="22" t="s">
        <v>65</v>
      </c>
      <c r="F257" s="22" t="s">
        <v>43</v>
      </c>
      <c r="G257" s="22" t="s">
        <v>63</v>
      </c>
      <c r="H257" s="22" t="s">
        <v>63</v>
      </c>
      <c r="I257" s="22" t="s">
        <v>147</v>
      </c>
      <c r="J257" s="23">
        <v>48</v>
      </c>
      <c r="K257" s="37">
        <v>0</v>
      </c>
      <c r="L257" s="37">
        <v>1</v>
      </c>
      <c r="M257" s="22">
        <f>IF(OR(ISBLANK(C257),C257=""),"",ROUND((C257-B257)*24,2))</f>
        <v>64.72</v>
      </c>
      <c r="N257" s="38" t="str">
        <f>IF(OR(ISBLANK(C257),C257="",M257=""),"In Progress",IF(M257&lt;=J257,"Met","Breached"))</f>
        <v>Breached</v>
      </c>
    </row>
    <row r="258" ht="19" customHeight="1" spans="1:14" x14ac:dyDescent="0.25">
      <c r="A258" s="19" t="s">
        <v>372</v>
      </c>
      <c r="B258" s="33">
        <v>45794.870833333334</v>
      </c>
      <c r="C258" s="33">
        <v>45795.429861111115</v>
      </c>
      <c r="D258" s="19" t="s">
        <v>36</v>
      </c>
      <c r="E258" s="19" t="s">
        <v>61</v>
      </c>
      <c r="F258" s="19" t="s">
        <v>43</v>
      </c>
      <c r="G258" s="19" t="s">
        <v>110</v>
      </c>
      <c r="H258" s="19" t="s">
        <v>59</v>
      </c>
      <c r="I258" s="19" t="s">
        <v>123</v>
      </c>
      <c r="J258" s="20">
        <v>12</v>
      </c>
      <c r="K258" s="34">
        <v>0</v>
      </c>
      <c r="L258" s="34">
        <v>2</v>
      </c>
      <c r="M258" s="19">
        <f>IF(OR(ISBLANK(C258),C258=""),"",ROUND((C258-B258)*24,2))</f>
        <v>13.42</v>
      </c>
      <c r="N258" s="39" t="str">
        <f>IF(OR(ISBLANK(C258),C258="",M258=""),"In Progress",IF(M258&lt;=J258,"Met","Breached"))</f>
        <v>Breached</v>
      </c>
    </row>
    <row r="259" ht="19" customHeight="1" spans="1:14" x14ac:dyDescent="0.25">
      <c r="A259" s="22" t="s">
        <v>373</v>
      </c>
      <c r="B259" s="36">
        <v>46027.990277777775</v>
      </c>
      <c r="C259" s="36">
        <v>46029.89444444445</v>
      </c>
      <c r="D259" s="22" t="s">
        <v>36</v>
      </c>
      <c r="E259" s="22" t="s">
        <v>65</v>
      </c>
      <c r="F259" s="22" t="s">
        <v>45</v>
      </c>
      <c r="G259" s="22" t="s">
        <v>121</v>
      </c>
      <c r="H259" s="22" t="s">
        <v>71</v>
      </c>
      <c r="I259" s="22" t="s">
        <v>111</v>
      </c>
      <c r="J259" s="23">
        <v>48</v>
      </c>
      <c r="K259" s="37">
        <v>0</v>
      </c>
      <c r="L259" s="37">
        <v>3</v>
      </c>
      <c r="M259" s="22">
        <f>IF(OR(ISBLANK(C259),C259=""),"",ROUND((C259-B259)*24,2))</f>
        <v>45.7</v>
      </c>
      <c r="N259" s="40" t="str">
        <f>IF(OR(ISBLANK(C259),C259="",M259=""),"In Progress",IF(M259&lt;=J259,"Met","Breached"))</f>
        <v>Met</v>
      </c>
    </row>
    <row r="260" ht="19" customHeight="1" spans="1:14" x14ac:dyDescent="0.25">
      <c r="A260" s="19" t="s">
        <v>374</v>
      </c>
      <c r="B260" s="33">
        <v>45840.65277777778</v>
      </c>
      <c r="C260" s="33">
        <v>45841.447222222225</v>
      </c>
      <c r="D260" s="19" t="s">
        <v>33</v>
      </c>
      <c r="E260" s="19" t="s">
        <v>61</v>
      </c>
      <c r="F260" s="19" t="s">
        <v>34</v>
      </c>
      <c r="G260" s="19" t="s">
        <v>63</v>
      </c>
      <c r="H260" s="19" t="s">
        <v>71</v>
      </c>
      <c r="I260" s="19" t="s">
        <v>123</v>
      </c>
      <c r="J260" s="20">
        <v>12</v>
      </c>
      <c r="K260" s="34">
        <v>0</v>
      </c>
      <c r="L260" s="34">
        <v>5</v>
      </c>
      <c r="M260" s="19">
        <f>IF(OR(ISBLANK(C260),C260=""),"",ROUND((C260-B260)*24,2))</f>
        <v>19.07</v>
      </c>
      <c r="N260" s="39" t="str">
        <f>IF(OR(ISBLANK(C260),C260="",M260=""),"In Progress",IF(M260&lt;=J260,"Met","Breached"))</f>
        <v>Breached</v>
      </c>
    </row>
    <row r="261" ht="19" customHeight="1" spans="1:14" x14ac:dyDescent="0.25">
      <c r="A261" s="22" t="s">
        <v>375</v>
      </c>
      <c r="B261" s="36">
        <v>46205.691666666666</v>
      </c>
      <c r="C261" s="36">
        <v>46206.07083333333</v>
      </c>
      <c r="D261" s="22" t="s">
        <v>33</v>
      </c>
      <c r="E261" s="22" t="s">
        <v>61</v>
      </c>
      <c r="F261" s="22" t="s">
        <v>37</v>
      </c>
      <c r="G261" s="22" t="s">
        <v>116</v>
      </c>
      <c r="H261" s="22" t="s">
        <v>63</v>
      </c>
      <c r="I261" s="22" t="s">
        <v>117</v>
      </c>
      <c r="J261" s="23">
        <v>12</v>
      </c>
      <c r="K261" s="37">
        <v>0</v>
      </c>
      <c r="L261" s="37">
        <v>2</v>
      </c>
      <c r="M261" s="22">
        <f>IF(OR(ISBLANK(C261),C261=""),"",ROUND((C261-B261)*24,2))</f>
        <v>9.1</v>
      </c>
      <c r="N261" s="40" t="str">
        <f>IF(OR(ISBLANK(C261),C261="",M261=""),"In Progress",IF(M261&lt;=J261,"Met","Breached"))</f>
        <v>Met</v>
      </c>
    </row>
    <row r="262" ht="19" customHeight="1" spans="1:14" x14ac:dyDescent="0.25">
      <c r="A262" s="19" t="s">
        <v>376</v>
      </c>
      <c r="B262" s="33">
        <v>46106.12152777778</v>
      </c>
      <c r="C262" s="33">
        <v>46109.37430555555</v>
      </c>
      <c r="D262" s="19" t="s">
        <v>33</v>
      </c>
      <c r="E262" s="19" t="s">
        <v>69</v>
      </c>
      <c r="F262" s="19" t="s">
        <v>43</v>
      </c>
      <c r="G262" s="19" t="s">
        <v>121</v>
      </c>
      <c r="H262" s="19" t="s">
        <v>71</v>
      </c>
      <c r="I262" s="19" t="s">
        <v>108</v>
      </c>
      <c r="J262" s="20">
        <v>120</v>
      </c>
      <c r="K262" s="34">
        <v>0</v>
      </c>
      <c r="L262" s="34">
        <v>2</v>
      </c>
      <c r="M262" s="19">
        <f>IF(OR(ISBLANK(C262),C262=""),"",ROUND((C262-B262)*24,2))</f>
        <v>78.07</v>
      </c>
      <c r="N262" s="35" t="str">
        <f>IF(OR(ISBLANK(C262),C262="",M262=""),"In Progress",IF(M262&lt;=J262,"Met","Breached"))</f>
        <v>Met</v>
      </c>
    </row>
    <row r="263" ht="19" customHeight="1" spans="1:14" x14ac:dyDescent="0.25">
      <c r="A263" s="22" t="s">
        <v>377</v>
      </c>
      <c r="B263" s="36">
        <v>46278.16736111111</v>
      </c>
      <c r="D263" s="22" t="s">
        <v>39</v>
      </c>
      <c r="E263" s="22" t="s">
        <v>61</v>
      </c>
      <c r="F263" s="22" t="s">
        <v>43</v>
      </c>
      <c r="G263" s="22" t="s">
        <v>113</v>
      </c>
      <c r="H263" s="22" t="s">
        <v>67</v>
      </c>
      <c r="I263" s="22" t="s">
        <v>108</v>
      </c>
      <c r="J263" s="23">
        <v>12</v>
      </c>
      <c r="K263" s="37">
        <v>0</v>
      </c>
      <c r="M263" s="22" t="str">
        <f>IF(OR(ISBLANK(C263),C263=""),"",ROUND((C263-B263)*24,2))</f>
        <v/>
      </c>
      <c r="N263" s="22" t="str">
        <f>IF(OR(ISBLANK(C263),C263="",M263=""),"In Progress",IF(M263&lt;=J263,"Met","Breached"))</f>
        <v>In Progress</v>
      </c>
    </row>
    <row r="264" ht="19" customHeight="1" spans="1:14" x14ac:dyDescent="0.25">
      <c r="A264" s="19" t="s">
        <v>378</v>
      </c>
      <c r="B264" s="33">
        <v>46071.410416666666</v>
      </c>
      <c r="C264" s="33">
        <v>46074.99375</v>
      </c>
      <c r="D264" s="19" t="s">
        <v>33</v>
      </c>
      <c r="E264" s="19" t="s">
        <v>65</v>
      </c>
      <c r="F264" s="19" t="s">
        <v>34</v>
      </c>
      <c r="G264" s="19" t="s">
        <v>113</v>
      </c>
      <c r="H264" s="19" t="s">
        <v>71</v>
      </c>
      <c r="I264" s="19" t="s">
        <v>123</v>
      </c>
      <c r="J264" s="20">
        <v>48</v>
      </c>
      <c r="K264" s="34">
        <v>0</v>
      </c>
      <c r="M264" s="19">
        <f>IF(OR(ISBLANK(C264),C264=""),"",ROUND((C264-B264)*24,2))</f>
        <v>86</v>
      </c>
      <c r="N264" s="39" t="str">
        <f>IF(OR(ISBLANK(C264),C264="",M264=""),"In Progress",IF(M264&lt;=J264,"Met","Breached"))</f>
        <v>Breached</v>
      </c>
    </row>
    <row r="265" ht="19" customHeight="1" spans="1:14" x14ac:dyDescent="0.25">
      <c r="A265" s="22" t="s">
        <v>379</v>
      </c>
      <c r="B265" s="36">
        <v>45904.726388888885</v>
      </c>
      <c r="C265" s="36">
        <v>45907.50625</v>
      </c>
      <c r="D265" s="22" t="s">
        <v>33</v>
      </c>
      <c r="E265" s="22" t="s">
        <v>65</v>
      </c>
      <c r="F265" s="22" t="s">
        <v>34</v>
      </c>
      <c r="G265" s="22" t="s">
        <v>113</v>
      </c>
      <c r="H265" s="22" t="s">
        <v>63</v>
      </c>
      <c r="I265" s="22" t="s">
        <v>108</v>
      </c>
      <c r="J265" s="23">
        <v>48</v>
      </c>
      <c r="K265" s="37">
        <v>0</v>
      </c>
      <c r="M265" s="22">
        <f>IF(OR(ISBLANK(C265),C265=""),"",ROUND((C265-B265)*24,2))</f>
        <v>66.72</v>
      </c>
      <c r="N265" s="38" t="str">
        <f>IF(OR(ISBLANK(C265),C265="",M265=""),"In Progress",IF(M265&lt;=J265,"Met","Breached"))</f>
        <v>Breached</v>
      </c>
    </row>
    <row r="266" ht="19" customHeight="1" spans="1:14" x14ac:dyDescent="0.25">
      <c r="A266" s="19" t="s">
        <v>380</v>
      </c>
      <c r="B266" s="33">
        <v>46015.08194444445</v>
      </c>
      <c r="C266" s="33">
        <v>46016.305555555555</v>
      </c>
      <c r="D266" s="19" t="s">
        <v>36</v>
      </c>
      <c r="E266" s="19" t="s">
        <v>65</v>
      </c>
      <c r="F266" s="19" t="s">
        <v>34</v>
      </c>
      <c r="G266" s="19" t="s">
        <v>116</v>
      </c>
      <c r="H266" s="19" t="s">
        <v>59</v>
      </c>
      <c r="I266" s="19" t="s">
        <v>117</v>
      </c>
      <c r="J266" s="20">
        <v>48</v>
      </c>
      <c r="K266" s="34">
        <v>0</v>
      </c>
      <c r="M266" s="19">
        <f>IF(OR(ISBLANK(C266),C266=""),"",ROUND((C266-B266)*24,2))</f>
        <v>29.37</v>
      </c>
      <c r="N266" s="35" t="str">
        <f>IF(OR(ISBLANK(C266),C266="",M266=""),"In Progress",IF(M266&lt;=J266,"Met","Breached"))</f>
        <v>Met</v>
      </c>
    </row>
    <row r="267" ht="19" customHeight="1" spans="1:14" x14ac:dyDescent="0.25">
      <c r="A267" s="22" t="s">
        <v>381</v>
      </c>
      <c r="B267" s="36">
        <v>46047.830555555556</v>
      </c>
      <c r="C267" s="36">
        <v>46048.04305555555</v>
      </c>
      <c r="D267" s="22" t="s">
        <v>36</v>
      </c>
      <c r="E267" s="22" t="s">
        <v>61</v>
      </c>
      <c r="F267" s="22" t="s">
        <v>34</v>
      </c>
      <c r="G267" s="22" t="s">
        <v>63</v>
      </c>
      <c r="H267" s="22" t="s">
        <v>59</v>
      </c>
      <c r="I267" s="22" t="s">
        <v>123</v>
      </c>
      <c r="J267" s="23">
        <v>12</v>
      </c>
      <c r="K267" s="37">
        <v>0</v>
      </c>
      <c r="L267" s="37">
        <v>4</v>
      </c>
      <c r="M267" s="22">
        <f>IF(OR(ISBLANK(C267),C267=""),"",ROUND((C267-B267)*24,2))</f>
        <v>5.1</v>
      </c>
      <c r="N267" s="40" t="str">
        <f>IF(OR(ISBLANK(C267),C267="",M267=""),"In Progress",IF(M267&lt;=J267,"Met","Breached"))</f>
        <v>Met</v>
      </c>
    </row>
    <row r="268" ht="19" customHeight="1" spans="1:14" x14ac:dyDescent="0.25">
      <c r="A268" s="19" t="s">
        <v>382</v>
      </c>
      <c r="B268" s="33">
        <v>46204.554861111115</v>
      </c>
      <c r="C268" s="33">
        <v>46206.18888888889</v>
      </c>
      <c r="D268" s="19" t="s">
        <v>36</v>
      </c>
      <c r="E268" s="19" t="s">
        <v>65</v>
      </c>
      <c r="F268" s="19" t="s">
        <v>45</v>
      </c>
      <c r="G268" s="19" t="s">
        <v>113</v>
      </c>
      <c r="H268" s="19" t="s">
        <v>59</v>
      </c>
      <c r="I268" s="19" t="s">
        <v>111</v>
      </c>
      <c r="J268" s="20">
        <v>48</v>
      </c>
      <c r="K268" s="34">
        <v>1</v>
      </c>
      <c r="L268" s="34">
        <v>3</v>
      </c>
      <c r="M268" s="19">
        <f>IF(OR(ISBLANK(C268),C268=""),"",ROUND((C268-B268)*24,2))</f>
        <v>39.22</v>
      </c>
      <c r="N268" s="35" t="str">
        <f>IF(OR(ISBLANK(C268),C268="",M268=""),"In Progress",IF(M268&lt;=J268,"Met","Breached"))</f>
        <v>Met</v>
      </c>
    </row>
    <row r="269" ht="19" customHeight="1" spans="1:14" x14ac:dyDescent="0.25">
      <c r="A269" s="22" t="s">
        <v>383</v>
      </c>
      <c r="B269" s="36">
        <v>45731.53611111111</v>
      </c>
      <c r="C269" s="36">
        <v>45731.71805555555</v>
      </c>
      <c r="D269" s="22" t="s">
        <v>36</v>
      </c>
      <c r="E269" s="22" t="s">
        <v>61</v>
      </c>
      <c r="F269" s="22" t="s">
        <v>40</v>
      </c>
      <c r="G269" s="22" t="s">
        <v>121</v>
      </c>
      <c r="H269" s="22" t="s">
        <v>67</v>
      </c>
      <c r="I269" s="22" t="s">
        <v>108</v>
      </c>
      <c r="J269" s="23">
        <v>12</v>
      </c>
      <c r="K269" s="37">
        <v>0</v>
      </c>
      <c r="L269" s="37">
        <v>5</v>
      </c>
      <c r="M269" s="22">
        <f>IF(OR(ISBLANK(C269),C269=""),"",ROUND((C269-B269)*24,2))</f>
        <v>4.37</v>
      </c>
      <c r="N269" s="40" t="str">
        <f>IF(OR(ISBLANK(C269),C269="",M269=""),"In Progress",IF(M269&lt;=J269,"Met","Breached"))</f>
        <v>Met</v>
      </c>
    </row>
    <row r="270" ht="19" customHeight="1" spans="1:14" x14ac:dyDescent="0.25">
      <c r="A270" s="19" t="s">
        <v>384</v>
      </c>
      <c r="B270" s="33">
        <v>45959.00208333333</v>
      </c>
      <c r="C270" s="33">
        <v>45959.24652777778</v>
      </c>
      <c r="D270" s="19" t="s">
        <v>33</v>
      </c>
      <c r="E270" s="19" t="s">
        <v>61</v>
      </c>
      <c r="F270" s="19" t="s">
        <v>37</v>
      </c>
      <c r="G270" s="19" t="s">
        <v>63</v>
      </c>
      <c r="H270" s="19" t="s">
        <v>71</v>
      </c>
      <c r="I270" s="19" t="s">
        <v>114</v>
      </c>
      <c r="J270" s="20">
        <v>12</v>
      </c>
      <c r="K270" s="34">
        <v>0</v>
      </c>
      <c r="M270" s="19">
        <f>IF(OR(ISBLANK(C270),C270=""),"",ROUND((C270-B270)*24,2))</f>
        <v>5.87</v>
      </c>
      <c r="N270" s="35" t="str">
        <f>IF(OR(ISBLANK(C270),C270="",M270=""),"In Progress",IF(M270&lt;=J270,"Met","Breached"))</f>
        <v>Met</v>
      </c>
    </row>
    <row r="271" ht="19" customHeight="1" spans="1:14" x14ac:dyDescent="0.25">
      <c r="A271" s="22" t="s">
        <v>385</v>
      </c>
      <c r="B271" s="36">
        <v>46057.945138888885</v>
      </c>
      <c r="D271" s="22" t="s">
        <v>42</v>
      </c>
      <c r="E271" s="22" t="s">
        <v>69</v>
      </c>
      <c r="F271" s="22" t="s">
        <v>37</v>
      </c>
      <c r="G271" s="22" t="s">
        <v>116</v>
      </c>
      <c r="H271" s="22" t="s">
        <v>59</v>
      </c>
      <c r="I271" s="22" t="s">
        <v>147</v>
      </c>
      <c r="J271" s="23">
        <v>120</v>
      </c>
      <c r="K271" s="37">
        <v>0</v>
      </c>
      <c r="M271" s="22" t="str">
        <f>IF(OR(ISBLANK(C271),C271=""),"",ROUND((C271-B271)*24,2))</f>
        <v/>
      </c>
      <c r="N271" s="22" t="str">
        <f>IF(OR(ISBLANK(C271),C271="",M271=""),"In Progress",IF(M271&lt;=J271,"Met","Breached"))</f>
        <v>In Progress</v>
      </c>
    </row>
    <row r="272" ht="19" customHeight="1" spans="1:14" x14ac:dyDescent="0.25">
      <c r="A272" s="19" t="s">
        <v>386</v>
      </c>
      <c r="B272" s="33">
        <v>46254.59861111111</v>
      </c>
      <c r="C272" s="33">
        <v>46255.95625</v>
      </c>
      <c r="D272" s="19" t="s">
        <v>36</v>
      </c>
      <c r="E272" s="19" t="s">
        <v>65</v>
      </c>
      <c r="F272" s="19" t="s">
        <v>37</v>
      </c>
      <c r="G272" s="19" t="s">
        <v>116</v>
      </c>
      <c r="H272" s="19" t="s">
        <v>71</v>
      </c>
      <c r="I272" s="19" t="s">
        <v>123</v>
      </c>
      <c r="J272" s="20">
        <v>48</v>
      </c>
      <c r="K272" s="34">
        <v>0</v>
      </c>
      <c r="M272" s="19">
        <f>IF(OR(ISBLANK(C272),C272=""),"",ROUND((C272-B272)*24,2))</f>
        <v>32.58</v>
      </c>
      <c r="N272" s="35" t="str">
        <f>IF(OR(ISBLANK(C272),C272="",M272=""),"In Progress",IF(M272&lt;=J272,"Met","Breached"))</f>
        <v>Met</v>
      </c>
    </row>
    <row r="273" ht="19" customHeight="1" spans="1:14" x14ac:dyDescent="0.25">
      <c r="A273" s="22" t="s">
        <v>387</v>
      </c>
      <c r="B273" s="36">
        <v>45932.320138888885</v>
      </c>
      <c r="C273" s="36">
        <v>45934.93888888889</v>
      </c>
      <c r="D273" s="22" t="s">
        <v>33</v>
      </c>
      <c r="E273" s="22" t="s">
        <v>65</v>
      </c>
      <c r="F273" s="22" t="s">
        <v>45</v>
      </c>
      <c r="G273" s="22" t="s">
        <v>110</v>
      </c>
      <c r="H273" s="22" t="s">
        <v>71</v>
      </c>
      <c r="I273" s="22" t="s">
        <v>117</v>
      </c>
      <c r="J273" s="23">
        <v>48</v>
      </c>
      <c r="K273" s="37">
        <v>0</v>
      </c>
      <c r="L273" s="37">
        <v>3</v>
      </c>
      <c r="M273" s="22">
        <f>IF(OR(ISBLANK(C273),C273=""),"",ROUND((C273-B273)*24,2))</f>
        <v>62.85</v>
      </c>
      <c r="N273" s="38" t="str">
        <f>IF(OR(ISBLANK(C273),C273="",M273=""),"In Progress",IF(M273&lt;=J273,"Met","Breached"))</f>
        <v>Breached</v>
      </c>
    </row>
    <row r="274" ht="19" customHeight="1" spans="1:14" x14ac:dyDescent="0.25">
      <c r="A274" s="19" t="s">
        <v>388</v>
      </c>
      <c r="B274" s="33">
        <v>46008.01736111111</v>
      </c>
      <c r="C274" s="33">
        <v>46008.285416666666</v>
      </c>
      <c r="D274" s="19" t="s">
        <v>33</v>
      </c>
      <c r="E274" s="19" t="s">
        <v>61</v>
      </c>
      <c r="F274" s="19" t="s">
        <v>37</v>
      </c>
      <c r="G274" s="19" t="s">
        <v>113</v>
      </c>
      <c r="H274" s="19" t="s">
        <v>59</v>
      </c>
      <c r="I274" s="19" t="s">
        <v>123</v>
      </c>
      <c r="J274" s="20">
        <v>12</v>
      </c>
      <c r="K274" s="34">
        <v>0</v>
      </c>
      <c r="L274" s="34">
        <v>4</v>
      </c>
      <c r="M274" s="19">
        <f>IF(OR(ISBLANK(C274),C274=""),"",ROUND((C274-B274)*24,2))</f>
        <v>6.43</v>
      </c>
      <c r="N274" s="35" t="str">
        <f>IF(OR(ISBLANK(C274),C274="",M274=""),"In Progress",IF(M274&lt;=J274,"Met","Breached"))</f>
        <v>Met</v>
      </c>
    </row>
    <row r="275" ht="19" customHeight="1" spans="1:14" x14ac:dyDescent="0.25">
      <c r="A275" s="22" t="s">
        <v>389</v>
      </c>
      <c r="B275" s="36">
        <v>45917.15</v>
      </c>
      <c r="D275" s="22" t="s">
        <v>42</v>
      </c>
      <c r="E275" s="22" t="s">
        <v>65</v>
      </c>
      <c r="F275" s="22" t="s">
        <v>40</v>
      </c>
      <c r="G275" s="22" t="s">
        <v>110</v>
      </c>
      <c r="H275" s="22" t="s">
        <v>59</v>
      </c>
      <c r="I275" s="22" t="s">
        <v>108</v>
      </c>
      <c r="J275" s="23">
        <v>48</v>
      </c>
      <c r="K275" s="37">
        <v>0</v>
      </c>
      <c r="M275" s="22" t="str">
        <f>IF(OR(ISBLANK(C275),C275=""),"",ROUND((C275-B275)*24,2))</f>
        <v/>
      </c>
      <c r="N275" s="22" t="str">
        <f>IF(OR(ISBLANK(C275),C275="",M275=""),"In Progress",IF(M275&lt;=J275,"Met","Breached"))</f>
        <v>In Progress</v>
      </c>
    </row>
    <row r="276" ht="19" customHeight="1" spans="1:14" x14ac:dyDescent="0.25">
      <c r="A276" s="19" t="s">
        <v>390</v>
      </c>
      <c r="B276" s="33">
        <v>46153.82986111111</v>
      </c>
      <c r="C276" s="33">
        <v>46157.10277777778</v>
      </c>
      <c r="D276" s="19" t="s">
        <v>33</v>
      </c>
      <c r="E276" s="19" t="s">
        <v>65</v>
      </c>
      <c r="F276" s="19" t="s">
        <v>45</v>
      </c>
      <c r="G276" s="19" t="s">
        <v>63</v>
      </c>
      <c r="H276" s="19" t="s">
        <v>59</v>
      </c>
      <c r="I276" s="19" t="s">
        <v>117</v>
      </c>
      <c r="J276" s="20">
        <v>48</v>
      </c>
      <c r="K276" s="34">
        <v>0</v>
      </c>
      <c r="L276" s="34">
        <v>2</v>
      </c>
      <c r="M276" s="19">
        <f>IF(OR(ISBLANK(C276),C276=""),"",ROUND((C276-B276)*24,2))</f>
        <v>78.55</v>
      </c>
      <c r="N276" s="39" t="str">
        <f>IF(OR(ISBLANK(C276),C276="",M276=""),"In Progress",IF(M276&lt;=J276,"Met","Breached"))</f>
        <v>Breached</v>
      </c>
    </row>
    <row r="277" ht="19" customHeight="1" spans="1:14" x14ac:dyDescent="0.25">
      <c r="A277" s="22" t="s">
        <v>391</v>
      </c>
      <c r="B277" s="36">
        <v>46117.46805555555</v>
      </c>
      <c r="C277" s="36">
        <v>46118.14375</v>
      </c>
      <c r="D277" s="22" t="s">
        <v>36</v>
      </c>
      <c r="E277" s="22" t="s">
        <v>61</v>
      </c>
      <c r="F277" s="22" t="s">
        <v>43</v>
      </c>
      <c r="G277" s="22" t="s">
        <v>126</v>
      </c>
      <c r="H277" s="22" t="s">
        <v>63</v>
      </c>
      <c r="I277" s="22" t="s">
        <v>108</v>
      </c>
      <c r="J277" s="23">
        <v>12</v>
      </c>
      <c r="K277" s="37">
        <v>0</v>
      </c>
      <c r="L277" s="37">
        <v>1</v>
      </c>
      <c r="M277" s="22">
        <f>IF(OR(ISBLANK(C277),C277=""),"",ROUND((C277-B277)*24,2))</f>
        <v>16.22</v>
      </c>
      <c r="N277" s="38" t="str">
        <f>IF(OR(ISBLANK(C277),C277="",M277=""),"In Progress",IF(M277&lt;=J277,"Met","Breached"))</f>
        <v>Breached</v>
      </c>
    </row>
    <row r="278" ht="19" customHeight="1" spans="1:14" x14ac:dyDescent="0.25">
      <c r="A278" s="19" t="s">
        <v>392</v>
      </c>
      <c r="B278" s="33">
        <v>46109.00277777778</v>
      </c>
      <c r="C278" s="33">
        <v>46111.87777777778</v>
      </c>
      <c r="D278" s="19" t="s">
        <v>33</v>
      </c>
      <c r="E278" s="19" t="s">
        <v>69</v>
      </c>
      <c r="F278" s="19" t="s">
        <v>37</v>
      </c>
      <c r="G278" s="19" t="s">
        <v>121</v>
      </c>
      <c r="H278" s="19" t="s">
        <v>67</v>
      </c>
      <c r="I278" s="19" t="s">
        <v>108</v>
      </c>
      <c r="J278" s="20">
        <v>120</v>
      </c>
      <c r="K278" s="34">
        <v>0</v>
      </c>
      <c r="M278" s="19">
        <f>IF(OR(ISBLANK(C278),C278=""),"",ROUND((C278-B278)*24,2))</f>
        <v>69</v>
      </c>
      <c r="N278" s="35" t="str">
        <f>IF(OR(ISBLANK(C278),C278="",M278=""),"In Progress",IF(M278&lt;=J278,"Met","Breached"))</f>
        <v>Met</v>
      </c>
    </row>
    <row r="279" ht="19" customHeight="1" spans="1:14" x14ac:dyDescent="0.25">
      <c r="A279" s="22" t="s">
        <v>393</v>
      </c>
      <c r="B279" s="36">
        <v>45764.90555555555</v>
      </c>
      <c r="C279" s="36">
        <v>45768.35625</v>
      </c>
      <c r="D279" s="22" t="s">
        <v>36</v>
      </c>
      <c r="E279" s="22" t="s">
        <v>65</v>
      </c>
      <c r="F279" s="22" t="s">
        <v>34</v>
      </c>
      <c r="G279" s="22" t="s">
        <v>113</v>
      </c>
      <c r="H279" s="22" t="s">
        <v>59</v>
      </c>
      <c r="I279" s="22" t="s">
        <v>114</v>
      </c>
      <c r="J279" s="23">
        <v>48</v>
      </c>
      <c r="K279" s="37">
        <v>0</v>
      </c>
      <c r="L279" s="37">
        <v>3</v>
      </c>
      <c r="M279" s="22">
        <f>IF(OR(ISBLANK(C279),C279=""),"",ROUND((C279-B279)*24,2))</f>
        <v>82.82</v>
      </c>
      <c r="N279" s="38" t="str">
        <f>IF(OR(ISBLANK(C279),C279="",M279=""),"In Progress",IF(M279&lt;=J279,"Met","Breached"))</f>
        <v>Breached</v>
      </c>
    </row>
    <row r="280" ht="19" customHeight="1" spans="1:14" x14ac:dyDescent="0.25">
      <c r="A280" s="19" t="s">
        <v>394</v>
      </c>
      <c r="B280" s="33">
        <v>45813.23055555555</v>
      </c>
      <c r="D280" s="19" t="s">
        <v>42</v>
      </c>
      <c r="E280" s="19" t="s">
        <v>65</v>
      </c>
      <c r="F280" s="19" t="s">
        <v>37</v>
      </c>
      <c r="G280" s="19" t="s">
        <v>113</v>
      </c>
      <c r="H280" s="19" t="s">
        <v>63</v>
      </c>
      <c r="I280" s="19" t="s">
        <v>114</v>
      </c>
      <c r="J280" s="20">
        <v>48</v>
      </c>
      <c r="K280" s="34">
        <v>0</v>
      </c>
      <c r="M280" s="19" t="str">
        <f>IF(OR(ISBLANK(C280),C280=""),"",ROUND((C280-B280)*24,2))</f>
        <v/>
      </c>
      <c r="N280" s="19" t="str">
        <f>IF(OR(ISBLANK(C280),C280="",M280=""),"In Progress",IF(M280&lt;=J280,"Met","Breached"))</f>
        <v>In Progress</v>
      </c>
    </row>
    <row r="281" ht="19" customHeight="1" spans="1:14" x14ac:dyDescent="0.25">
      <c r="A281" s="22" t="s">
        <v>395</v>
      </c>
      <c r="B281" s="36">
        <v>46250.70486111111</v>
      </c>
      <c r="C281" s="36">
        <v>46251.53472222222</v>
      </c>
      <c r="D281" s="22" t="s">
        <v>33</v>
      </c>
      <c r="E281" s="22" t="s">
        <v>65</v>
      </c>
      <c r="F281" s="22" t="s">
        <v>37</v>
      </c>
      <c r="G281" s="22" t="s">
        <v>110</v>
      </c>
      <c r="H281" s="22" t="s">
        <v>71</v>
      </c>
      <c r="I281" s="22" t="s">
        <v>123</v>
      </c>
      <c r="J281" s="23">
        <v>48</v>
      </c>
      <c r="K281" s="37">
        <v>0</v>
      </c>
      <c r="M281" s="22">
        <f>IF(OR(ISBLANK(C281),C281=""),"",ROUND((C281-B281)*24,2))</f>
        <v>19.92</v>
      </c>
      <c r="N281" s="40" t="str">
        <f>IF(OR(ISBLANK(C281),C281="",M281=""),"In Progress",IF(M281&lt;=J281,"Met","Breached"))</f>
        <v>Met</v>
      </c>
    </row>
    <row r="282" ht="19" customHeight="1" spans="1:14" x14ac:dyDescent="0.25">
      <c r="A282" s="19" t="s">
        <v>396</v>
      </c>
      <c r="B282" s="33">
        <v>45718.2</v>
      </c>
      <c r="C282" s="33">
        <v>45720.455555555556</v>
      </c>
      <c r="D282" s="19" t="s">
        <v>33</v>
      </c>
      <c r="E282" s="19" t="s">
        <v>65</v>
      </c>
      <c r="F282" s="19" t="s">
        <v>43</v>
      </c>
      <c r="G282" s="19" t="s">
        <v>110</v>
      </c>
      <c r="H282" s="19" t="s">
        <v>71</v>
      </c>
      <c r="I282" s="19" t="s">
        <v>147</v>
      </c>
      <c r="J282" s="20">
        <v>48</v>
      </c>
      <c r="K282" s="34">
        <v>0</v>
      </c>
      <c r="L282" s="34">
        <v>2</v>
      </c>
      <c r="M282" s="19">
        <f>IF(OR(ISBLANK(C282),C282=""),"",ROUND((C282-B282)*24,2))</f>
        <v>54.13</v>
      </c>
      <c r="N282" s="39" t="str">
        <f>IF(OR(ISBLANK(C282),C282="",M282=""),"In Progress",IF(M282&lt;=J282,"Met","Breached"))</f>
        <v>Breached</v>
      </c>
    </row>
    <row r="283" ht="19" customHeight="1" spans="1:14" x14ac:dyDescent="0.25">
      <c r="A283" s="22" t="s">
        <v>397</v>
      </c>
      <c r="B283" s="36">
        <v>46039.65069444444</v>
      </c>
      <c r="C283" s="36">
        <v>46040.19027777778</v>
      </c>
      <c r="D283" s="22" t="s">
        <v>33</v>
      </c>
      <c r="E283" s="22" t="s">
        <v>61</v>
      </c>
      <c r="F283" s="22" t="s">
        <v>43</v>
      </c>
      <c r="G283" s="22" t="s">
        <v>116</v>
      </c>
      <c r="H283" s="22" t="s">
        <v>63</v>
      </c>
      <c r="I283" s="22" t="s">
        <v>111</v>
      </c>
      <c r="J283" s="23">
        <v>12</v>
      </c>
      <c r="K283" s="37">
        <v>0</v>
      </c>
      <c r="L283" s="37">
        <v>1</v>
      </c>
      <c r="M283" s="22">
        <f>IF(OR(ISBLANK(C283),C283=""),"",ROUND((C283-B283)*24,2))</f>
        <v>12.95</v>
      </c>
      <c r="N283" s="38" t="str">
        <f>IF(OR(ISBLANK(C283),C283="",M283=""),"In Progress",IF(M283&lt;=J283,"Met","Breached"))</f>
        <v>Breached</v>
      </c>
    </row>
    <row r="284" ht="19" customHeight="1" spans="1:14" x14ac:dyDescent="0.25">
      <c r="A284" s="19" t="s">
        <v>398</v>
      </c>
      <c r="B284" s="33">
        <v>45878.638194444444</v>
      </c>
      <c r="C284" s="33">
        <v>45881.88125</v>
      </c>
      <c r="D284" s="19" t="s">
        <v>36</v>
      </c>
      <c r="E284" s="19" t="s">
        <v>65</v>
      </c>
      <c r="F284" s="19" t="s">
        <v>34</v>
      </c>
      <c r="G284" s="19" t="s">
        <v>121</v>
      </c>
      <c r="H284" s="19" t="s">
        <v>67</v>
      </c>
      <c r="I284" s="19" t="s">
        <v>123</v>
      </c>
      <c r="J284" s="20">
        <v>48</v>
      </c>
      <c r="K284" s="34">
        <v>0</v>
      </c>
      <c r="L284" s="34">
        <v>3</v>
      </c>
      <c r="M284" s="19">
        <f>IF(OR(ISBLANK(C284),C284=""),"",ROUND((C284-B284)*24,2))</f>
        <v>77.83</v>
      </c>
      <c r="N284" s="39" t="str">
        <f>IF(OR(ISBLANK(C284),C284="",M284=""),"In Progress",IF(M284&lt;=J284,"Met","Breached"))</f>
        <v>Breached</v>
      </c>
    </row>
    <row r="285" ht="19" customHeight="1" spans="1:14" x14ac:dyDescent="0.25">
      <c r="A285" s="22" t="s">
        <v>399</v>
      </c>
      <c r="B285" s="36">
        <v>46229.86597222222</v>
      </c>
      <c r="D285" s="22" t="s">
        <v>42</v>
      </c>
      <c r="E285" s="22" t="s">
        <v>65</v>
      </c>
      <c r="F285" s="22" t="s">
        <v>43</v>
      </c>
      <c r="G285" s="22" t="s">
        <v>126</v>
      </c>
      <c r="H285" s="22" t="s">
        <v>71</v>
      </c>
      <c r="I285" s="22" t="s">
        <v>123</v>
      </c>
      <c r="J285" s="23">
        <v>48</v>
      </c>
      <c r="K285" s="37">
        <v>0</v>
      </c>
      <c r="M285" s="22" t="str">
        <f>IF(OR(ISBLANK(C285),C285=""),"",ROUND((C285-B285)*24,2))</f>
        <v/>
      </c>
      <c r="N285" s="22" t="str">
        <f>IF(OR(ISBLANK(C285),C285="",M285=""),"In Progress",IF(M285&lt;=J285,"Met","Breached"))</f>
        <v>In Progress</v>
      </c>
    </row>
    <row r="286" ht="19" customHeight="1" spans="1:14" x14ac:dyDescent="0.25">
      <c r="A286" s="19" t="s">
        <v>400</v>
      </c>
      <c r="B286" s="33">
        <v>46193.07708333334</v>
      </c>
      <c r="C286" s="33">
        <v>46193.24861111111</v>
      </c>
      <c r="D286" s="19" t="s">
        <v>36</v>
      </c>
      <c r="E286" s="19" t="s">
        <v>57</v>
      </c>
      <c r="F286" s="19" t="s">
        <v>34</v>
      </c>
      <c r="G286" s="19" t="s">
        <v>113</v>
      </c>
      <c r="H286" s="19" t="s">
        <v>59</v>
      </c>
      <c r="I286" s="19" t="s">
        <v>147</v>
      </c>
      <c r="J286" s="20">
        <v>4</v>
      </c>
      <c r="K286" s="34">
        <v>0</v>
      </c>
      <c r="L286" s="34">
        <v>4</v>
      </c>
      <c r="M286" s="19">
        <f>IF(OR(ISBLANK(C286),C286=""),"",ROUND((C286-B286)*24,2))</f>
        <v>4.12</v>
      </c>
      <c r="N286" s="39" t="str">
        <f>IF(OR(ISBLANK(C286),C286="",M286=""),"In Progress",IF(M286&lt;=J286,"Met","Breached"))</f>
        <v>Breached</v>
      </c>
    </row>
    <row r="287" ht="19" customHeight="1" spans="1:14" x14ac:dyDescent="0.25">
      <c r="A287" s="22" t="s">
        <v>401</v>
      </c>
      <c r="B287" s="36">
        <v>45770.31458333333</v>
      </c>
      <c r="C287" s="36">
        <v>45772.05694444444</v>
      </c>
      <c r="D287" s="22" t="s">
        <v>36</v>
      </c>
      <c r="E287" s="22" t="s">
        <v>69</v>
      </c>
      <c r="F287" s="22" t="s">
        <v>40</v>
      </c>
      <c r="G287" s="22" t="s">
        <v>63</v>
      </c>
      <c r="H287" s="22" t="s">
        <v>67</v>
      </c>
      <c r="I287" s="22" t="s">
        <v>123</v>
      </c>
      <c r="J287" s="23">
        <v>120</v>
      </c>
      <c r="K287" s="37">
        <v>0</v>
      </c>
      <c r="M287" s="22">
        <f>IF(OR(ISBLANK(C287),C287=""),"",ROUND((C287-B287)*24,2))</f>
        <v>41.82</v>
      </c>
      <c r="N287" s="40" t="str">
        <f>IF(OR(ISBLANK(C287),C287="",M287=""),"In Progress",IF(M287&lt;=J287,"Met","Breached"))</f>
        <v>Met</v>
      </c>
    </row>
    <row r="288" ht="19" customHeight="1" spans="1:14" x14ac:dyDescent="0.25">
      <c r="A288" s="19" t="s">
        <v>402</v>
      </c>
      <c r="B288" s="33">
        <v>45841.20347222222</v>
      </c>
      <c r="D288" s="19" t="s">
        <v>39</v>
      </c>
      <c r="E288" s="19" t="s">
        <v>69</v>
      </c>
      <c r="F288" s="19" t="s">
        <v>34</v>
      </c>
      <c r="G288" s="19" t="s">
        <v>110</v>
      </c>
      <c r="H288" s="19" t="s">
        <v>59</v>
      </c>
      <c r="I288" s="19" t="s">
        <v>117</v>
      </c>
      <c r="J288" s="20">
        <v>120</v>
      </c>
      <c r="K288" s="34">
        <v>0</v>
      </c>
      <c r="M288" s="19" t="str">
        <f>IF(OR(ISBLANK(C288),C288=""),"",ROUND((C288-B288)*24,2))</f>
        <v/>
      </c>
      <c r="N288" s="19" t="str">
        <f>IF(OR(ISBLANK(C288),C288="",M288=""),"In Progress",IF(M288&lt;=J288,"Met","Breached"))</f>
        <v>In Progress</v>
      </c>
    </row>
    <row r="289" ht="19" customHeight="1" spans="1:14" x14ac:dyDescent="0.25">
      <c r="A289" s="22" t="s">
        <v>403</v>
      </c>
      <c r="B289" s="36">
        <v>45924.26111111111</v>
      </c>
      <c r="D289" s="22" t="s">
        <v>39</v>
      </c>
      <c r="E289" s="22" t="s">
        <v>65</v>
      </c>
      <c r="F289" s="22" t="s">
        <v>45</v>
      </c>
      <c r="G289" s="22" t="s">
        <v>63</v>
      </c>
      <c r="H289" s="22" t="s">
        <v>67</v>
      </c>
      <c r="I289" s="22" t="s">
        <v>114</v>
      </c>
      <c r="J289" s="23">
        <v>48</v>
      </c>
      <c r="K289" s="37">
        <v>0</v>
      </c>
      <c r="M289" s="22" t="str">
        <f>IF(OR(ISBLANK(C289),C289=""),"",ROUND((C289-B289)*24,2))</f>
        <v/>
      </c>
      <c r="N289" s="22" t="str">
        <f>IF(OR(ISBLANK(C289),C289="",M289=""),"In Progress",IF(M289&lt;=J289,"Met","Breached"))</f>
        <v>In Progress</v>
      </c>
    </row>
    <row r="290" ht="19" customHeight="1" spans="1:14" x14ac:dyDescent="0.25">
      <c r="A290" s="19" t="s">
        <v>404</v>
      </c>
      <c r="B290" s="33">
        <v>46133.48125</v>
      </c>
      <c r="C290" s="33">
        <v>46134.93888888889</v>
      </c>
      <c r="D290" s="19" t="s">
        <v>33</v>
      </c>
      <c r="E290" s="19" t="s">
        <v>65</v>
      </c>
      <c r="F290" s="19" t="s">
        <v>34</v>
      </c>
      <c r="G290" s="19" t="s">
        <v>110</v>
      </c>
      <c r="H290" s="19" t="s">
        <v>63</v>
      </c>
      <c r="I290" s="19" t="s">
        <v>147</v>
      </c>
      <c r="J290" s="20">
        <v>48</v>
      </c>
      <c r="K290" s="34">
        <v>1</v>
      </c>
      <c r="L290" s="34">
        <v>2</v>
      </c>
      <c r="M290" s="19">
        <f>IF(OR(ISBLANK(C290),C290=""),"",ROUND((C290-B290)*24,2))</f>
        <v>34.98</v>
      </c>
      <c r="N290" s="35" t="str">
        <f>IF(OR(ISBLANK(C290),C290="",M290=""),"In Progress",IF(M290&lt;=J290,"Met","Breached"))</f>
        <v>Met</v>
      </c>
    </row>
    <row r="291" ht="19" customHeight="1" spans="1:14" x14ac:dyDescent="0.25">
      <c r="A291" s="22" t="s">
        <v>405</v>
      </c>
      <c r="B291" s="36">
        <v>45922.67569444445</v>
      </c>
      <c r="C291" s="36">
        <v>45925.84236111111</v>
      </c>
      <c r="D291" s="22" t="s">
        <v>33</v>
      </c>
      <c r="E291" s="22" t="s">
        <v>65</v>
      </c>
      <c r="F291" s="22" t="s">
        <v>34</v>
      </c>
      <c r="G291" s="22" t="s">
        <v>116</v>
      </c>
      <c r="H291" s="22" t="s">
        <v>67</v>
      </c>
      <c r="I291" s="22" t="s">
        <v>111</v>
      </c>
      <c r="J291" s="23">
        <v>48</v>
      </c>
      <c r="K291" s="37">
        <v>0</v>
      </c>
      <c r="M291" s="22">
        <f>IF(OR(ISBLANK(C291),C291=""),"",ROUND((C291-B291)*24,2))</f>
        <v>76</v>
      </c>
      <c r="N291" s="38" t="str">
        <f>IF(OR(ISBLANK(C291),C291="",M291=""),"In Progress",IF(M291&lt;=J291,"Met","Breached"))</f>
        <v>Breached</v>
      </c>
    </row>
    <row r="292" ht="19" customHeight="1" spans="1:14" x14ac:dyDescent="0.25">
      <c r="A292" s="19" t="s">
        <v>406</v>
      </c>
      <c r="B292" s="33">
        <v>45905.50625</v>
      </c>
      <c r="D292" s="19" t="s">
        <v>39</v>
      </c>
      <c r="E292" s="19" t="s">
        <v>65</v>
      </c>
      <c r="F292" s="19" t="s">
        <v>43</v>
      </c>
      <c r="G292" s="19" t="s">
        <v>110</v>
      </c>
      <c r="H292" s="19" t="s">
        <v>63</v>
      </c>
      <c r="I292" s="19" t="s">
        <v>111</v>
      </c>
      <c r="J292" s="20">
        <v>48</v>
      </c>
      <c r="K292" s="34">
        <v>0</v>
      </c>
      <c r="M292" s="19" t="str">
        <f>IF(OR(ISBLANK(C292),C292=""),"",ROUND((C292-B292)*24,2))</f>
        <v/>
      </c>
      <c r="N292" s="19" t="str">
        <f>IF(OR(ISBLANK(C292),C292="",M292=""),"In Progress",IF(M292&lt;=J292,"Met","Breached"))</f>
        <v>In Progress</v>
      </c>
    </row>
    <row r="293" ht="19" customHeight="1" spans="1:14" x14ac:dyDescent="0.25">
      <c r="A293" s="22" t="s">
        <v>407</v>
      </c>
      <c r="B293" s="36">
        <v>46015.76111111111</v>
      </c>
      <c r="C293" s="36">
        <v>46017.555555555555</v>
      </c>
      <c r="D293" s="22" t="s">
        <v>33</v>
      </c>
      <c r="E293" s="22" t="s">
        <v>69</v>
      </c>
      <c r="F293" s="22" t="s">
        <v>37</v>
      </c>
      <c r="G293" s="22" t="s">
        <v>116</v>
      </c>
      <c r="H293" s="22" t="s">
        <v>59</v>
      </c>
      <c r="I293" s="22" t="s">
        <v>117</v>
      </c>
      <c r="J293" s="23">
        <v>120</v>
      </c>
      <c r="K293" s="37">
        <v>0</v>
      </c>
      <c r="L293" s="37">
        <v>4</v>
      </c>
      <c r="M293" s="22">
        <f>IF(OR(ISBLANK(C293),C293=""),"",ROUND((C293-B293)*24,2))</f>
        <v>43.07</v>
      </c>
      <c r="N293" s="40" t="str">
        <f>IF(OR(ISBLANK(C293),C293="",M293=""),"In Progress",IF(M293&lt;=J293,"Met","Breached"))</f>
        <v>Met</v>
      </c>
    </row>
    <row r="294" ht="19" customHeight="1" spans="1:14" x14ac:dyDescent="0.25">
      <c r="A294" s="19" t="s">
        <v>408</v>
      </c>
      <c r="B294" s="33">
        <v>45983.82916666666</v>
      </c>
      <c r="D294" s="19" t="s">
        <v>39</v>
      </c>
      <c r="E294" s="19" t="s">
        <v>61</v>
      </c>
      <c r="F294" s="19" t="s">
        <v>37</v>
      </c>
      <c r="G294" s="19" t="s">
        <v>113</v>
      </c>
      <c r="H294" s="19" t="s">
        <v>59</v>
      </c>
      <c r="I294" s="19" t="s">
        <v>114</v>
      </c>
      <c r="J294" s="20">
        <v>12</v>
      </c>
      <c r="K294" s="34">
        <v>0</v>
      </c>
      <c r="M294" s="19" t="str">
        <f>IF(OR(ISBLANK(C294),C294=""),"",ROUND((C294-B294)*24,2))</f>
        <v/>
      </c>
      <c r="N294" s="19" t="str">
        <f>IF(OR(ISBLANK(C294),C294="",M294=""),"In Progress",IF(M294&lt;=J294,"Met","Breached"))</f>
        <v>In Progress</v>
      </c>
    </row>
    <row r="295" ht="19" customHeight="1" spans="1:14" x14ac:dyDescent="0.25">
      <c r="A295" s="22" t="s">
        <v>409</v>
      </c>
      <c r="B295" s="36">
        <v>46154.10277777778</v>
      </c>
      <c r="C295" s="36">
        <v>46155.021527777775</v>
      </c>
      <c r="D295" s="22" t="s">
        <v>36</v>
      </c>
      <c r="E295" s="22" t="s">
        <v>65</v>
      </c>
      <c r="F295" s="22" t="s">
        <v>40</v>
      </c>
      <c r="G295" s="22" t="s">
        <v>121</v>
      </c>
      <c r="H295" s="22" t="s">
        <v>59</v>
      </c>
      <c r="I295" s="22" t="s">
        <v>114</v>
      </c>
      <c r="J295" s="23">
        <v>48</v>
      </c>
      <c r="K295" s="37">
        <v>0</v>
      </c>
      <c r="L295" s="37">
        <v>2</v>
      </c>
      <c r="M295" s="22">
        <f>IF(OR(ISBLANK(C295),C295=""),"",ROUND((C295-B295)*24,2))</f>
        <v>22.05</v>
      </c>
      <c r="N295" s="40" t="str">
        <f>IF(OR(ISBLANK(C295),C295="",M295=""),"In Progress",IF(M295&lt;=J295,"Met","Breached"))</f>
        <v>Met</v>
      </c>
    </row>
    <row r="296" ht="19" customHeight="1" spans="1:14" x14ac:dyDescent="0.25">
      <c r="A296" s="19" t="s">
        <v>410</v>
      </c>
      <c r="B296" s="33">
        <v>45786.12638888889</v>
      </c>
      <c r="C296" s="33">
        <v>45788.19305555556</v>
      </c>
      <c r="D296" s="19" t="s">
        <v>33</v>
      </c>
      <c r="E296" s="19" t="s">
        <v>65</v>
      </c>
      <c r="F296" s="19" t="s">
        <v>34</v>
      </c>
      <c r="G296" s="19" t="s">
        <v>116</v>
      </c>
      <c r="H296" s="19" t="s">
        <v>67</v>
      </c>
      <c r="I296" s="19" t="s">
        <v>123</v>
      </c>
      <c r="J296" s="20">
        <v>48</v>
      </c>
      <c r="K296" s="34">
        <v>0</v>
      </c>
      <c r="L296" s="34">
        <v>4</v>
      </c>
      <c r="M296" s="19">
        <f>IF(OR(ISBLANK(C296),C296=""),"",ROUND((C296-B296)*24,2))</f>
        <v>49.6</v>
      </c>
      <c r="N296" s="39" t="str">
        <f>IF(OR(ISBLANK(C296),C296="",M296=""),"In Progress",IF(M296&lt;=J296,"Met","Breached"))</f>
        <v>Breached</v>
      </c>
    </row>
    <row r="297" ht="19" customHeight="1" spans="1:14" x14ac:dyDescent="0.25">
      <c r="A297" s="22" t="s">
        <v>411</v>
      </c>
      <c r="B297" s="36">
        <v>45830.08333333333</v>
      </c>
      <c r="C297" s="36">
        <v>45830.85625</v>
      </c>
      <c r="D297" s="22" t="s">
        <v>36</v>
      </c>
      <c r="E297" s="22" t="s">
        <v>61</v>
      </c>
      <c r="F297" s="22" t="s">
        <v>37</v>
      </c>
      <c r="G297" s="22" t="s">
        <v>116</v>
      </c>
      <c r="H297" s="22" t="s">
        <v>71</v>
      </c>
      <c r="I297" s="22" t="s">
        <v>123</v>
      </c>
      <c r="J297" s="23">
        <v>12</v>
      </c>
      <c r="K297" s="37">
        <v>0</v>
      </c>
      <c r="M297" s="22">
        <f>IF(OR(ISBLANK(C297),C297=""),"",ROUND((C297-B297)*24,2))</f>
        <v>18.55</v>
      </c>
      <c r="N297" s="38" t="str">
        <f>IF(OR(ISBLANK(C297),C297="",M297=""),"In Progress",IF(M297&lt;=J297,"Met","Breached"))</f>
        <v>Breached</v>
      </c>
    </row>
    <row r="298" ht="19" customHeight="1" spans="1:14" x14ac:dyDescent="0.25">
      <c r="A298" s="19" t="s">
        <v>412</v>
      </c>
      <c r="B298" s="33">
        <v>45960.34930555556</v>
      </c>
      <c r="C298" s="33">
        <v>45960.87430555555</v>
      </c>
      <c r="D298" s="19" t="s">
        <v>33</v>
      </c>
      <c r="E298" s="19" t="s">
        <v>61</v>
      </c>
      <c r="F298" s="19" t="s">
        <v>37</v>
      </c>
      <c r="G298" s="19" t="s">
        <v>116</v>
      </c>
      <c r="H298" s="19" t="s">
        <v>71</v>
      </c>
      <c r="I298" s="19" t="s">
        <v>117</v>
      </c>
      <c r="J298" s="20">
        <v>12</v>
      </c>
      <c r="K298" s="34">
        <v>1</v>
      </c>
      <c r="L298" s="34">
        <v>2</v>
      </c>
      <c r="M298" s="19">
        <f>IF(OR(ISBLANK(C298),C298=""),"",ROUND((C298-B298)*24,2))</f>
        <v>12.6</v>
      </c>
      <c r="N298" s="39" t="str">
        <f>IF(OR(ISBLANK(C298),C298="",M298=""),"In Progress",IF(M298&lt;=J298,"Met","Breached"))</f>
        <v>Breached</v>
      </c>
    </row>
    <row r="299" ht="19" customHeight="1" spans="1:14" x14ac:dyDescent="0.25">
      <c r="A299" s="22" t="s">
        <v>413</v>
      </c>
      <c r="B299" s="36">
        <v>46194.33333333333</v>
      </c>
      <c r="C299" s="36">
        <v>46197.64583333333</v>
      </c>
      <c r="D299" s="22" t="s">
        <v>33</v>
      </c>
      <c r="E299" s="22" t="s">
        <v>65</v>
      </c>
      <c r="F299" s="22" t="s">
        <v>37</v>
      </c>
      <c r="G299" s="22" t="s">
        <v>113</v>
      </c>
      <c r="H299" s="22" t="s">
        <v>59</v>
      </c>
      <c r="I299" s="22" t="s">
        <v>117</v>
      </c>
      <c r="J299" s="23">
        <v>48</v>
      </c>
      <c r="K299" s="37">
        <v>0</v>
      </c>
      <c r="L299" s="37">
        <v>4</v>
      </c>
      <c r="M299" s="22">
        <f>IF(OR(ISBLANK(C299),C299=""),"",ROUND((C299-B299)*24,2))</f>
        <v>79.5</v>
      </c>
      <c r="N299" s="38" t="str">
        <f>IF(OR(ISBLANK(C299),C299="",M299=""),"In Progress",IF(M299&lt;=J299,"Met","Breached"))</f>
        <v>Breached</v>
      </c>
    </row>
    <row r="300" ht="19" customHeight="1" spans="1:14" x14ac:dyDescent="0.25">
      <c r="A300" s="19" t="s">
        <v>414</v>
      </c>
      <c r="B300" s="33">
        <v>45690.13611111111</v>
      </c>
      <c r="C300" s="33">
        <v>45690.273611111115</v>
      </c>
      <c r="D300" s="19" t="s">
        <v>36</v>
      </c>
      <c r="E300" s="19" t="s">
        <v>57</v>
      </c>
      <c r="F300" s="19" t="s">
        <v>37</v>
      </c>
      <c r="G300" s="19" t="s">
        <v>63</v>
      </c>
      <c r="H300" s="19" t="s">
        <v>59</v>
      </c>
      <c r="I300" s="19" t="s">
        <v>147</v>
      </c>
      <c r="J300" s="20">
        <v>4</v>
      </c>
      <c r="K300" s="34">
        <v>0</v>
      </c>
      <c r="L300" s="34">
        <v>3</v>
      </c>
      <c r="M300" s="19">
        <f>IF(OR(ISBLANK(C300),C300=""),"",ROUND((C300-B300)*24,2))</f>
        <v>3.3</v>
      </c>
      <c r="N300" s="35" t="str">
        <f>IF(OR(ISBLANK(C300),C300="",M300=""),"In Progress",IF(M300&lt;=J300,"Met","Breached"))</f>
        <v>Met</v>
      </c>
    </row>
    <row r="301" ht="19" customHeight="1" spans="1:14" x14ac:dyDescent="0.25">
      <c r="A301" s="22" t="s">
        <v>415</v>
      </c>
      <c r="B301" s="36">
        <v>46103.691666666666</v>
      </c>
      <c r="D301" s="22" t="s">
        <v>42</v>
      </c>
      <c r="E301" s="22" t="s">
        <v>69</v>
      </c>
      <c r="F301" s="22" t="s">
        <v>40</v>
      </c>
      <c r="G301" s="22" t="s">
        <v>116</v>
      </c>
      <c r="H301" s="22" t="s">
        <v>59</v>
      </c>
      <c r="I301" s="22" t="s">
        <v>123</v>
      </c>
      <c r="J301" s="23">
        <v>120</v>
      </c>
      <c r="K301" s="37">
        <v>0</v>
      </c>
      <c r="M301" s="22" t="str">
        <f>IF(OR(ISBLANK(C301),C301=""),"",ROUND((C301-B301)*24,2))</f>
        <v/>
      </c>
      <c r="N301" s="22" t="str">
        <f>IF(OR(ISBLANK(C301),C301="",M301=""),"In Progress",IF(M301&lt;=J301,"Met","Breached"))</f>
        <v>In Progress</v>
      </c>
    </row>
    <row r="302" ht="19" customHeight="1" spans="1:14" x14ac:dyDescent="0.25">
      <c r="A302" s="19" t="s">
        <v>416</v>
      </c>
      <c r="B302" s="33">
        <v>46209.33819444444</v>
      </c>
      <c r="C302" s="33">
        <v>46210.195138888885</v>
      </c>
      <c r="D302" s="19" t="s">
        <v>33</v>
      </c>
      <c r="E302" s="19" t="s">
        <v>65</v>
      </c>
      <c r="F302" s="19" t="s">
        <v>45</v>
      </c>
      <c r="G302" s="19" t="s">
        <v>63</v>
      </c>
      <c r="H302" s="19" t="s">
        <v>59</v>
      </c>
      <c r="I302" s="19" t="s">
        <v>111</v>
      </c>
      <c r="J302" s="20">
        <v>48</v>
      </c>
      <c r="K302" s="34">
        <v>0</v>
      </c>
      <c r="L302" s="34">
        <v>1</v>
      </c>
      <c r="M302" s="19">
        <f>IF(OR(ISBLANK(C302),C302=""),"",ROUND((C302-B302)*24,2))</f>
        <v>20.57</v>
      </c>
      <c r="N302" s="35" t="str">
        <f>IF(OR(ISBLANK(C302),C302="",M302=""),"In Progress",IF(M302&lt;=J302,"Met","Breached"))</f>
        <v>Met</v>
      </c>
    </row>
    <row r="303" ht="19" customHeight="1" spans="1:14" x14ac:dyDescent="0.25">
      <c r="A303" s="22" t="s">
        <v>417</v>
      </c>
      <c r="B303" s="36">
        <v>45891.78402777778</v>
      </c>
      <c r="D303" s="22" t="s">
        <v>39</v>
      </c>
      <c r="E303" s="22" t="s">
        <v>65</v>
      </c>
      <c r="F303" s="22" t="s">
        <v>34</v>
      </c>
      <c r="G303" s="22" t="s">
        <v>113</v>
      </c>
      <c r="H303" s="22" t="s">
        <v>59</v>
      </c>
      <c r="I303" s="22" t="s">
        <v>123</v>
      </c>
      <c r="J303" s="23">
        <v>48</v>
      </c>
      <c r="K303" s="37">
        <v>0</v>
      </c>
      <c r="M303" s="22" t="str">
        <f>IF(OR(ISBLANK(C303),C303=""),"",ROUND((C303-B303)*24,2))</f>
        <v/>
      </c>
      <c r="N303" s="22" t="str">
        <f>IF(OR(ISBLANK(C303),C303="",M303=""),"In Progress",IF(M303&lt;=J303,"Met","Breached"))</f>
        <v>In Progress</v>
      </c>
    </row>
    <row r="304" ht="19" customHeight="1" spans="1:14" x14ac:dyDescent="0.25">
      <c r="A304" s="19" t="s">
        <v>418</v>
      </c>
      <c r="B304" s="33">
        <v>45980.445138888885</v>
      </c>
      <c r="D304" s="19" t="s">
        <v>39</v>
      </c>
      <c r="E304" s="19" t="s">
        <v>69</v>
      </c>
      <c r="F304" s="19" t="s">
        <v>45</v>
      </c>
      <c r="G304" s="19" t="s">
        <v>126</v>
      </c>
      <c r="H304" s="19" t="s">
        <v>67</v>
      </c>
      <c r="I304" s="19" t="s">
        <v>123</v>
      </c>
      <c r="J304" s="20">
        <v>120</v>
      </c>
      <c r="K304" s="34">
        <v>0</v>
      </c>
      <c r="M304" s="19" t="str">
        <f>IF(OR(ISBLANK(C304),C304=""),"",ROUND((C304-B304)*24,2))</f>
        <v/>
      </c>
      <c r="N304" s="19" t="str">
        <f>IF(OR(ISBLANK(C304),C304="",M304=""),"In Progress",IF(M304&lt;=J304,"Met","Breached"))</f>
        <v>In Progress</v>
      </c>
    </row>
    <row r="305" ht="19" customHeight="1" spans="1:14" x14ac:dyDescent="0.25">
      <c r="A305" s="22" t="s">
        <v>419</v>
      </c>
      <c r="B305" s="36">
        <v>45958.01597222222</v>
      </c>
      <c r="D305" s="22" t="s">
        <v>39</v>
      </c>
      <c r="E305" s="22" t="s">
        <v>69</v>
      </c>
      <c r="F305" s="22" t="s">
        <v>40</v>
      </c>
      <c r="G305" s="22" t="s">
        <v>121</v>
      </c>
      <c r="H305" s="22" t="s">
        <v>63</v>
      </c>
      <c r="I305" s="22" t="s">
        <v>117</v>
      </c>
      <c r="J305" s="23">
        <v>120</v>
      </c>
      <c r="K305" s="37">
        <v>0</v>
      </c>
      <c r="M305" s="22" t="str">
        <f>IF(OR(ISBLANK(C305),C305=""),"",ROUND((C305-B305)*24,2))</f>
        <v/>
      </c>
      <c r="N305" s="22" t="str">
        <f>IF(OR(ISBLANK(C305),C305="",M305=""),"In Progress",IF(M305&lt;=J305,"Met","Breached"))</f>
        <v>In Progress</v>
      </c>
    </row>
    <row r="306" ht="19" customHeight="1" spans="1:14" x14ac:dyDescent="0.25">
      <c r="A306" s="19" t="s">
        <v>420</v>
      </c>
      <c r="B306" s="33">
        <v>45934.913194444445</v>
      </c>
      <c r="C306" s="33">
        <v>45937.304861111115</v>
      </c>
      <c r="D306" s="19" t="s">
        <v>36</v>
      </c>
      <c r="E306" s="19" t="s">
        <v>65</v>
      </c>
      <c r="F306" s="19" t="s">
        <v>37</v>
      </c>
      <c r="G306" s="19" t="s">
        <v>113</v>
      </c>
      <c r="H306" s="19" t="s">
        <v>63</v>
      </c>
      <c r="I306" s="19" t="s">
        <v>114</v>
      </c>
      <c r="J306" s="20">
        <v>48</v>
      </c>
      <c r="K306" s="34">
        <v>0</v>
      </c>
      <c r="L306" s="34">
        <v>1</v>
      </c>
      <c r="M306" s="19">
        <f>IF(OR(ISBLANK(C306),C306=""),"",ROUND((C306-B306)*24,2))</f>
        <v>57.4</v>
      </c>
      <c r="N306" s="39" t="str">
        <f>IF(OR(ISBLANK(C306),C306="",M306=""),"In Progress",IF(M306&lt;=J306,"Met","Breached"))</f>
        <v>Breached</v>
      </c>
    </row>
    <row r="307" ht="19" customHeight="1" spans="1:14" x14ac:dyDescent="0.25">
      <c r="A307" s="22" t="s">
        <v>421</v>
      </c>
      <c r="B307" s="36">
        <v>45916.98472222222</v>
      </c>
      <c r="D307" s="22" t="s">
        <v>39</v>
      </c>
      <c r="E307" s="22" t="s">
        <v>65</v>
      </c>
      <c r="F307" s="22" t="s">
        <v>37</v>
      </c>
      <c r="G307" s="22" t="s">
        <v>110</v>
      </c>
      <c r="H307" s="22" t="s">
        <v>59</v>
      </c>
      <c r="I307" s="22" t="s">
        <v>123</v>
      </c>
      <c r="J307" s="23">
        <v>48</v>
      </c>
      <c r="K307" s="37">
        <v>0</v>
      </c>
      <c r="M307" s="22" t="str">
        <f>IF(OR(ISBLANK(C307),C307=""),"",ROUND((C307-B307)*24,2))</f>
        <v/>
      </c>
      <c r="N307" s="22" t="str">
        <f>IF(OR(ISBLANK(C307),C307="",M307=""),"In Progress",IF(M307&lt;=J307,"Met","Breached"))</f>
        <v>In Progress</v>
      </c>
    </row>
    <row r="308" ht="19" customHeight="1" spans="1:14" x14ac:dyDescent="0.25">
      <c r="A308" s="19" t="s">
        <v>422</v>
      </c>
      <c r="B308" s="33">
        <v>46221.55972222222</v>
      </c>
      <c r="D308" s="19" t="s">
        <v>39</v>
      </c>
      <c r="E308" s="19" t="s">
        <v>61</v>
      </c>
      <c r="F308" s="19" t="s">
        <v>37</v>
      </c>
      <c r="G308" s="19" t="s">
        <v>63</v>
      </c>
      <c r="H308" s="19" t="s">
        <v>59</v>
      </c>
      <c r="I308" s="19" t="s">
        <v>123</v>
      </c>
      <c r="J308" s="20">
        <v>12</v>
      </c>
      <c r="K308" s="34">
        <v>0</v>
      </c>
      <c r="M308" s="19" t="str">
        <f>IF(OR(ISBLANK(C308),C308=""),"",ROUND((C308-B308)*24,2))</f>
        <v/>
      </c>
      <c r="N308" s="19" t="str">
        <f>IF(OR(ISBLANK(C308),C308="",M308=""),"In Progress",IF(M308&lt;=J308,"Met","Breached"))</f>
        <v>In Progress</v>
      </c>
    </row>
    <row r="309" ht="19" customHeight="1" spans="1:14" x14ac:dyDescent="0.25">
      <c r="A309" s="22" t="s">
        <v>423</v>
      </c>
      <c r="B309" s="36">
        <v>46183.646527777775</v>
      </c>
      <c r="D309" s="22" t="s">
        <v>39</v>
      </c>
      <c r="E309" s="22" t="s">
        <v>61</v>
      </c>
      <c r="F309" s="22" t="s">
        <v>45</v>
      </c>
      <c r="G309" s="22" t="s">
        <v>126</v>
      </c>
      <c r="H309" s="22" t="s">
        <v>59</v>
      </c>
      <c r="I309" s="22" t="s">
        <v>114</v>
      </c>
      <c r="J309" s="23">
        <v>12</v>
      </c>
      <c r="K309" s="37">
        <v>0</v>
      </c>
      <c r="M309" s="22" t="str">
        <f>IF(OR(ISBLANK(C309),C309=""),"",ROUND((C309-B309)*24,2))</f>
        <v/>
      </c>
      <c r="N309" s="22" t="str">
        <f>IF(OR(ISBLANK(C309),C309="",M309=""),"In Progress",IF(M309&lt;=J309,"Met","Breached"))</f>
        <v>In Progress</v>
      </c>
    </row>
    <row r="310" ht="19" customHeight="1" spans="1:14" x14ac:dyDescent="0.25">
      <c r="A310" s="19" t="s">
        <v>424</v>
      </c>
      <c r="B310" s="33">
        <v>46132.60416666667</v>
      </c>
      <c r="C310" s="33">
        <v>46140.61041666666</v>
      </c>
      <c r="D310" s="19" t="s">
        <v>33</v>
      </c>
      <c r="E310" s="19" t="s">
        <v>69</v>
      </c>
      <c r="F310" s="19" t="s">
        <v>40</v>
      </c>
      <c r="G310" s="19" t="s">
        <v>121</v>
      </c>
      <c r="H310" s="19" t="s">
        <v>59</v>
      </c>
      <c r="I310" s="19" t="s">
        <v>108</v>
      </c>
      <c r="J310" s="20">
        <v>120</v>
      </c>
      <c r="K310" s="34">
        <v>0</v>
      </c>
      <c r="L310" s="34">
        <v>5</v>
      </c>
      <c r="M310" s="19">
        <f>IF(OR(ISBLANK(C310),C310=""),"",ROUND((C310-B310)*24,2))</f>
        <v>192.15</v>
      </c>
      <c r="N310" s="39" t="str">
        <f>IF(OR(ISBLANK(C310),C310="",M310=""),"In Progress",IF(M310&lt;=J310,"Met","Breached"))</f>
        <v>Breached</v>
      </c>
    </row>
    <row r="311" ht="19" customHeight="1" spans="1:14" x14ac:dyDescent="0.25">
      <c r="A311" s="22" t="s">
        <v>425</v>
      </c>
      <c r="B311" s="36">
        <v>46221.45</v>
      </c>
      <c r="C311" s="36">
        <v>46221.99652777778</v>
      </c>
      <c r="D311" s="22" t="s">
        <v>33</v>
      </c>
      <c r="E311" s="22" t="s">
        <v>61</v>
      </c>
      <c r="F311" s="22" t="s">
        <v>40</v>
      </c>
      <c r="G311" s="22" t="s">
        <v>116</v>
      </c>
      <c r="H311" s="22" t="s">
        <v>67</v>
      </c>
      <c r="I311" s="22" t="s">
        <v>108</v>
      </c>
      <c r="J311" s="23">
        <v>12</v>
      </c>
      <c r="K311" s="37">
        <v>0</v>
      </c>
      <c r="M311" s="22">
        <f>IF(OR(ISBLANK(C311),C311=""),"",ROUND((C311-B311)*24,2))</f>
        <v>13.12</v>
      </c>
      <c r="N311" s="38" t="str">
        <f>IF(OR(ISBLANK(C311),C311="",M311=""),"In Progress",IF(M311&lt;=J311,"Met","Breached"))</f>
        <v>Breached</v>
      </c>
    </row>
    <row r="312" ht="19" customHeight="1" spans="1:14" x14ac:dyDescent="0.25">
      <c r="A312" s="19" t="s">
        <v>426</v>
      </c>
      <c r="B312" s="33">
        <v>46242.17847222222</v>
      </c>
      <c r="C312" s="33">
        <v>46245.19930555555</v>
      </c>
      <c r="D312" s="19" t="s">
        <v>33</v>
      </c>
      <c r="E312" s="19" t="s">
        <v>65</v>
      </c>
      <c r="F312" s="19" t="s">
        <v>40</v>
      </c>
      <c r="G312" s="19" t="s">
        <v>116</v>
      </c>
      <c r="H312" s="19" t="s">
        <v>71</v>
      </c>
      <c r="I312" s="19" t="s">
        <v>147</v>
      </c>
      <c r="J312" s="20">
        <v>48</v>
      </c>
      <c r="K312" s="34">
        <v>0</v>
      </c>
      <c r="L312" s="34">
        <v>3</v>
      </c>
      <c r="M312" s="19">
        <f>IF(OR(ISBLANK(C312),C312=""),"",ROUND((C312-B312)*24,2))</f>
        <v>72.5</v>
      </c>
      <c r="N312" s="39" t="str">
        <f>IF(OR(ISBLANK(C312),C312="",M312=""),"In Progress",IF(M312&lt;=J312,"Met","Breached"))</f>
        <v>Breached</v>
      </c>
    </row>
    <row r="313" ht="19" customHeight="1" spans="1:14" x14ac:dyDescent="0.25">
      <c r="A313" s="22" t="s">
        <v>427</v>
      </c>
      <c r="B313" s="36">
        <v>45914.90277777778</v>
      </c>
      <c r="C313" s="36">
        <v>45916.43888888889</v>
      </c>
      <c r="D313" s="22" t="s">
        <v>33</v>
      </c>
      <c r="E313" s="22" t="s">
        <v>69</v>
      </c>
      <c r="F313" s="22" t="s">
        <v>37</v>
      </c>
      <c r="G313" s="22" t="s">
        <v>110</v>
      </c>
      <c r="H313" s="22" t="s">
        <v>59</v>
      </c>
      <c r="I313" s="22" t="s">
        <v>114</v>
      </c>
      <c r="J313" s="23">
        <v>120</v>
      </c>
      <c r="K313" s="37">
        <v>0</v>
      </c>
      <c r="L313" s="37">
        <v>4</v>
      </c>
      <c r="M313" s="22">
        <f>IF(OR(ISBLANK(C313),C313=""),"",ROUND((C313-B313)*24,2))</f>
        <v>36.87</v>
      </c>
      <c r="N313" s="40" t="str">
        <f>IF(OR(ISBLANK(C313),C313="",M313=""),"In Progress",IF(M313&lt;=J313,"Met","Breached"))</f>
        <v>Met</v>
      </c>
    </row>
    <row r="314" ht="19" customHeight="1" spans="1:14" x14ac:dyDescent="0.25">
      <c r="A314" s="19" t="s">
        <v>428</v>
      </c>
      <c r="B314" s="33">
        <v>45708.30763888889</v>
      </c>
      <c r="C314" s="33">
        <v>45708.5</v>
      </c>
      <c r="D314" s="19" t="s">
        <v>33</v>
      </c>
      <c r="E314" s="19" t="s">
        <v>61</v>
      </c>
      <c r="F314" s="19" t="s">
        <v>34</v>
      </c>
      <c r="G314" s="19" t="s">
        <v>121</v>
      </c>
      <c r="H314" s="19" t="s">
        <v>71</v>
      </c>
      <c r="I314" s="19" t="s">
        <v>117</v>
      </c>
      <c r="J314" s="20">
        <v>12</v>
      </c>
      <c r="K314" s="34">
        <v>0</v>
      </c>
      <c r="M314" s="19">
        <f>IF(OR(ISBLANK(C314),C314=""),"",ROUND((C314-B314)*24,2))</f>
        <v>4.62</v>
      </c>
      <c r="N314" s="35" t="str">
        <f>IF(OR(ISBLANK(C314),C314="",M314=""),"In Progress",IF(M314&lt;=J314,"Met","Breached"))</f>
        <v>Met</v>
      </c>
    </row>
    <row r="315" ht="19" customHeight="1" spans="1:14" x14ac:dyDescent="0.25">
      <c r="A315" s="22" t="s">
        <v>429</v>
      </c>
      <c r="B315" s="36">
        <v>46259.425</v>
      </c>
      <c r="C315" s="36">
        <v>46263.1875</v>
      </c>
      <c r="D315" s="22" t="s">
        <v>33</v>
      </c>
      <c r="E315" s="22" t="s">
        <v>69</v>
      </c>
      <c r="F315" s="22" t="s">
        <v>37</v>
      </c>
      <c r="G315" s="22" t="s">
        <v>116</v>
      </c>
      <c r="H315" s="22" t="s">
        <v>63</v>
      </c>
      <c r="I315" s="22" t="s">
        <v>117</v>
      </c>
      <c r="J315" s="23">
        <v>120</v>
      </c>
      <c r="K315" s="37">
        <v>1</v>
      </c>
      <c r="L315" s="37">
        <v>5</v>
      </c>
      <c r="M315" s="22">
        <f>IF(OR(ISBLANK(C315),C315=""),"",ROUND((C315-B315)*24,2))</f>
        <v>90.3</v>
      </c>
      <c r="N315" s="40" t="str">
        <f>IF(OR(ISBLANK(C315),C315="",M315=""),"In Progress",IF(M315&lt;=J315,"Met","Breached"))</f>
        <v>Met</v>
      </c>
    </row>
    <row r="316" ht="19" customHeight="1" spans="1:14" x14ac:dyDescent="0.25">
      <c r="A316" s="19" t="s">
        <v>430</v>
      </c>
      <c r="B316" s="33">
        <v>45690.67083333334</v>
      </c>
      <c r="C316" s="33">
        <v>45697.85902777778</v>
      </c>
      <c r="D316" s="19" t="s">
        <v>33</v>
      </c>
      <c r="E316" s="19" t="s">
        <v>69</v>
      </c>
      <c r="F316" s="19" t="s">
        <v>45</v>
      </c>
      <c r="G316" s="19" t="s">
        <v>63</v>
      </c>
      <c r="H316" s="19" t="s">
        <v>59</v>
      </c>
      <c r="I316" s="19" t="s">
        <v>117</v>
      </c>
      <c r="J316" s="20">
        <v>120</v>
      </c>
      <c r="K316" s="34">
        <v>0</v>
      </c>
      <c r="L316" s="34">
        <v>5</v>
      </c>
      <c r="M316" s="19">
        <f>IF(OR(ISBLANK(C316),C316=""),"",ROUND((C316-B316)*24,2))</f>
        <v>172.52</v>
      </c>
      <c r="N316" s="39" t="str">
        <f>IF(OR(ISBLANK(C316),C316="",M316=""),"In Progress",IF(M316&lt;=J316,"Met","Breached"))</f>
        <v>Breached</v>
      </c>
    </row>
    <row r="317" ht="19" customHeight="1" spans="1:14" x14ac:dyDescent="0.25">
      <c r="A317" s="22" t="s">
        <v>431</v>
      </c>
      <c r="B317" s="36">
        <v>45680.28611111111</v>
      </c>
      <c r="C317" s="36">
        <v>45682.163888888885</v>
      </c>
      <c r="D317" s="22" t="s">
        <v>33</v>
      </c>
      <c r="E317" s="22" t="s">
        <v>65</v>
      </c>
      <c r="F317" s="22" t="s">
        <v>45</v>
      </c>
      <c r="G317" s="22" t="s">
        <v>126</v>
      </c>
      <c r="H317" s="22" t="s">
        <v>59</v>
      </c>
      <c r="I317" s="22" t="s">
        <v>111</v>
      </c>
      <c r="J317" s="23">
        <v>48</v>
      </c>
      <c r="K317" s="37">
        <v>1</v>
      </c>
      <c r="L317" s="37">
        <v>4</v>
      </c>
      <c r="M317" s="22">
        <f>IF(OR(ISBLANK(C317),C317=""),"",ROUND((C317-B317)*24,2))</f>
        <v>45.07</v>
      </c>
      <c r="N317" s="40" t="str">
        <f>IF(OR(ISBLANK(C317),C317="",M317=""),"In Progress",IF(M317&lt;=J317,"Met","Breached"))</f>
        <v>Met</v>
      </c>
    </row>
    <row r="318" ht="19" customHeight="1" spans="1:14" x14ac:dyDescent="0.25">
      <c r="A318" s="19" t="s">
        <v>432</v>
      </c>
      <c r="B318" s="33">
        <v>45966.33888888889</v>
      </c>
      <c r="C318" s="33">
        <v>45966.58263888889</v>
      </c>
      <c r="D318" s="19" t="s">
        <v>33</v>
      </c>
      <c r="E318" s="19" t="s">
        <v>57</v>
      </c>
      <c r="F318" s="19" t="s">
        <v>34</v>
      </c>
      <c r="G318" s="19" t="s">
        <v>126</v>
      </c>
      <c r="H318" s="19" t="s">
        <v>59</v>
      </c>
      <c r="I318" s="19" t="s">
        <v>111</v>
      </c>
      <c r="J318" s="20">
        <v>4</v>
      </c>
      <c r="K318" s="34">
        <v>0</v>
      </c>
      <c r="M318" s="19">
        <f>IF(OR(ISBLANK(C318),C318=""),"",ROUND((C318-B318)*24,2))</f>
        <v>5.85</v>
      </c>
      <c r="N318" s="39" t="str">
        <f>IF(OR(ISBLANK(C318),C318="",M318=""),"In Progress",IF(M318&lt;=J318,"Met","Breached"))</f>
        <v>Breached</v>
      </c>
    </row>
    <row r="319" ht="19" customHeight="1" spans="1:14" x14ac:dyDescent="0.25">
      <c r="A319" s="22" t="s">
        <v>433</v>
      </c>
      <c r="B319" s="36">
        <v>45953.93194444444</v>
      </c>
      <c r="D319" s="22" t="s">
        <v>39</v>
      </c>
      <c r="E319" s="22" t="s">
        <v>65</v>
      </c>
      <c r="F319" s="22" t="s">
        <v>43</v>
      </c>
      <c r="G319" s="22" t="s">
        <v>126</v>
      </c>
      <c r="H319" s="22" t="s">
        <v>63</v>
      </c>
      <c r="I319" s="22" t="s">
        <v>147</v>
      </c>
      <c r="J319" s="23">
        <v>48</v>
      </c>
      <c r="K319" s="37">
        <v>0</v>
      </c>
      <c r="M319" s="22" t="str">
        <f>IF(OR(ISBLANK(C319),C319=""),"",ROUND((C319-B319)*24,2))</f>
        <v/>
      </c>
      <c r="N319" s="22" t="str">
        <f>IF(OR(ISBLANK(C319),C319="",M319=""),"In Progress",IF(M319&lt;=J319,"Met","Breached"))</f>
        <v>In Progress</v>
      </c>
    </row>
    <row r="320" ht="19" customHeight="1" spans="1:14" x14ac:dyDescent="0.25">
      <c r="A320" s="19" t="s">
        <v>434</v>
      </c>
      <c r="B320" s="33">
        <v>46016.67013888889</v>
      </c>
      <c r="C320" s="33">
        <v>46016.788888888885</v>
      </c>
      <c r="D320" s="19" t="s">
        <v>33</v>
      </c>
      <c r="E320" s="19" t="s">
        <v>57</v>
      </c>
      <c r="F320" s="19" t="s">
        <v>45</v>
      </c>
      <c r="G320" s="19" t="s">
        <v>121</v>
      </c>
      <c r="H320" s="19" t="s">
        <v>63</v>
      </c>
      <c r="I320" s="19" t="s">
        <v>147</v>
      </c>
      <c r="J320" s="20">
        <v>4</v>
      </c>
      <c r="K320" s="34">
        <v>0</v>
      </c>
      <c r="M320" s="19">
        <f>IF(OR(ISBLANK(C320),C320=""),"",ROUND((C320-B320)*24,2))</f>
        <v>2.85</v>
      </c>
      <c r="N320" s="35" t="str">
        <f>IF(OR(ISBLANK(C320),C320="",M320=""),"In Progress",IF(M320&lt;=J320,"Met","Breached"))</f>
        <v>Met</v>
      </c>
    </row>
    <row r="321" ht="19" customHeight="1" spans="1:14" x14ac:dyDescent="0.25">
      <c r="A321" s="22" t="s">
        <v>435</v>
      </c>
      <c r="B321" s="36">
        <v>46056.08194444445</v>
      </c>
      <c r="C321" s="36">
        <v>46058.419444444444</v>
      </c>
      <c r="D321" s="22" t="s">
        <v>33</v>
      </c>
      <c r="E321" s="22" t="s">
        <v>65</v>
      </c>
      <c r="F321" s="22" t="s">
        <v>37</v>
      </c>
      <c r="G321" s="22" t="s">
        <v>116</v>
      </c>
      <c r="H321" s="22" t="s">
        <v>63</v>
      </c>
      <c r="I321" s="22" t="s">
        <v>108</v>
      </c>
      <c r="J321" s="23">
        <v>48</v>
      </c>
      <c r="K321" s="37">
        <v>0</v>
      </c>
      <c r="L321" s="37">
        <v>4</v>
      </c>
      <c r="M321" s="22">
        <f>IF(OR(ISBLANK(C321),C321=""),"",ROUND((C321-B321)*24,2))</f>
        <v>56.1</v>
      </c>
      <c r="N321" s="38" t="str">
        <f>IF(OR(ISBLANK(C321),C321="",M321=""),"In Progress",IF(M321&lt;=J321,"Met","Breached"))</f>
        <v>Breached</v>
      </c>
    </row>
    <row r="322" ht="19" customHeight="1" spans="1:14" x14ac:dyDescent="0.25">
      <c r="A322" s="19" t="s">
        <v>436</v>
      </c>
      <c r="B322" s="33">
        <v>46030.26666666666</v>
      </c>
      <c r="C322" s="33">
        <v>46031.04722222222</v>
      </c>
      <c r="D322" s="19" t="s">
        <v>33</v>
      </c>
      <c r="E322" s="19" t="s">
        <v>61</v>
      </c>
      <c r="F322" s="19" t="s">
        <v>37</v>
      </c>
      <c r="G322" s="19" t="s">
        <v>63</v>
      </c>
      <c r="H322" s="19" t="s">
        <v>59</v>
      </c>
      <c r="I322" s="19" t="s">
        <v>111</v>
      </c>
      <c r="J322" s="20">
        <v>12</v>
      </c>
      <c r="K322" s="34">
        <v>0</v>
      </c>
      <c r="M322" s="19">
        <f>IF(OR(ISBLANK(C322),C322=""),"",ROUND((C322-B322)*24,2))</f>
        <v>18.73</v>
      </c>
      <c r="N322" s="39" t="str">
        <f>IF(OR(ISBLANK(C322),C322="",M322=""),"In Progress",IF(M322&lt;=J322,"Met","Breached"))</f>
        <v>Breached</v>
      </c>
    </row>
    <row r="323" ht="19" customHeight="1" spans="1:14" x14ac:dyDescent="0.25">
      <c r="A323" s="22" t="s">
        <v>437</v>
      </c>
      <c r="B323" s="36">
        <v>45857.00138888889</v>
      </c>
      <c r="D323" s="22" t="s">
        <v>39</v>
      </c>
      <c r="E323" s="22" t="s">
        <v>61</v>
      </c>
      <c r="F323" s="22" t="s">
        <v>43</v>
      </c>
      <c r="G323" s="22" t="s">
        <v>121</v>
      </c>
      <c r="H323" s="22" t="s">
        <v>59</v>
      </c>
      <c r="I323" s="22" t="s">
        <v>114</v>
      </c>
      <c r="J323" s="23">
        <v>12</v>
      </c>
      <c r="K323" s="37">
        <v>0</v>
      </c>
      <c r="M323" s="22" t="str">
        <f>IF(OR(ISBLANK(C323),C323=""),"",ROUND((C323-B323)*24,2))</f>
        <v/>
      </c>
      <c r="N323" s="22" t="str">
        <f>IF(OR(ISBLANK(C323),C323="",M323=""),"In Progress",IF(M323&lt;=J323,"Met","Breached"))</f>
        <v>In Progress</v>
      </c>
    </row>
    <row r="324" ht="19" customHeight="1" spans="1:14" x14ac:dyDescent="0.25">
      <c r="A324" s="19" t="s">
        <v>438</v>
      </c>
      <c r="B324" s="33">
        <v>46288.21527777778</v>
      </c>
      <c r="C324" s="33">
        <v>46288.59861111111</v>
      </c>
      <c r="D324" s="19" t="s">
        <v>33</v>
      </c>
      <c r="E324" s="19" t="s">
        <v>61</v>
      </c>
      <c r="F324" s="19" t="s">
        <v>43</v>
      </c>
      <c r="G324" s="19" t="s">
        <v>126</v>
      </c>
      <c r="H324" s="19" t="s">
        <v>59</v>
      </c>
      <c r="I324" s="19" t="s">
        <v>111</v>
      </c>
      <c r="J324" s="20">
        <v>12</v>
      </c>
      <c r="K324" s="34">
        <v>0</v>
      </c>
      <c r="L324" s="34">
        <v>5</v>
      </c>
      <c r="M324" s="19">
        <f>IF(OR(ISBLANK(C324),C324=""),"",ROUND((C324-B324)*24,2))</f>
        <v>9.2</v>
      </c>
      <c r="N324" s="35" t="str">
        <f>IF(OR(ISBLANK(C324),C324="",M324=""),"In Progress",IF(M324&lt;=J324,"Met","Breached"))</f>
        <v>Met</v>
      </c>
    </row>
    <row r="325" ht="19" customHeight="1" spans="1:14" x14ac:dyDescent="0.25">
      <c r="A325" s="22" t="s">
        <v>439</v>
      </c>
      <c r="B325" s="36">
        <v>46162.191666666666</v>
      </c>
      <c r="C325" s="36">
        <v>46162.26111111111</v>
      </c>
      <c r="D325" s="22" t="s">
        <v>33</v>
      </c>
      <c r="E325" s="22" t="s">
        <v>57</v>
      </c>
      <c r="F325" s="22" t="s">
        <v>43</v>
      </c>
      <c r="G325" s="22" t="s">
        <v>110</v>
      </c>
      <c r="H325" s="22" t="s">
        <v>63</v>
      </c>
      <c r="I325" s="22" t="s">
        <v>123</v>
      </c>
      <c r="J325" s="23">
        <v>4</v>
      </c>
      <c r="K325" s="37">
        <v>0</v>
      </c>
      <c r="L325" s="37">
        <v>3</v>
      </c>
      <c r="M325" s="22">
        <f>IF(OR(ISBLANK(C325),C325=""),"",ROUND((C325-B325)*24,2))</f>
        <v>1.67</v>
      </c>
      <c r="N325" s="40" t="str">
        <f>IF(OR(ISBLANK(C325),C325="",M325=""),"In Progress",IF(M325&lt;=J325,"Met","Breached"))</f>
        <v>Met</v>
      </c>
    </row>
    <row r="326" ht="19" customHeight="1" spans="1:14" x14ac:dyDescent="0.25">
      <c r="A326" s="19" t="s">
        <v>440</v>
      </c>
      <c r="B326" s="33">
        <v>45885.20138888889</v>
      </c>
      <c r="C326" s="33">
        <v>45885.92708333333</v>
      </c>
      <c r="D326" s="19" t="s">
        <v>36</v>
      </c>
      <c r="E326" s="19" t="s">
        <v>65</v>
      </c>
      <c r="F326" s="19" t="s">
        <v>34</v>
      </c>
      <c r="G326" s="19" t="s">
        <v>63</v>
      </c>
      <c r="H326" s="19" t="s">
        <v>71</v>
      </c>
      <c r="I326" s="19" t="s">
        <v>111</v>
      </c>
      <c r="J326" s="20">
        <v>48</v>
      </c>
      <c r="K326" s="34">
        <v>0</v>
      </c>
      <c r="L326" s="34">
        <v>1</v>
      </c>
      <c r="M326" s="19">
        <f>IF(OR(ISBLANK(C326),C326=""),"",ROUND((C326-B326)*24,2))</f>
        <v>17.42</v>
      </c>
      <c r="N326" s="35" t="str">
        <f>IF(OR(ISBLANK(C326),C326="",M326=""),"In Progress",IF(M326&lt;=J326,"Met","Breached"))</f>
        <v>Met</v>
      </c>
    </row>
    <row r="327" ht="19" customHeight="1" spans="1:14" x14ac:dyDescent="0.25">
      <c r="A327" s="22" t="s">
        <v>441</v>
      </c>
      <c r="B327" s="36">
        <v>46168.23611111111</v>
      </c>
      <c r="C327" s="36">
        <v>46172.29236111111</v>
      </c>
      <c r="D327" s="22" t="s">
        <v>36</v>
      </c>
      <c r="E327" s="22" t="s">
        <v>69</v>
      </c>
      <c r="F327" s="22" t="s">
        <v>34</v>
      </c>
      <c r="G327" s="22" t="s">
        <v>63</v>
      </c>
      <c r="H327" s="22" t="s">
        <v>67</v>
      </c>
      <c r="I327" s="22" t="s">
        <v>108</v>
      </c>
      <c r="J327" s="23">
        <v>120</v>
      </c>
      <c r="K327" s="37">
        <v>1</v>
      </c>
      <c r="M327" s="22">
        <f>IF(OR(ISBLANK(C327),C327=""),"",ROUND((C327-B327)*24,2))</f>
        <v>97.35</v>
      </c>
      <c r="N327" s="40" t="str">
        <f>IF(OR(ISBLANK(C327),C327="",M327=""),"In Progress",IF(M327&lt;=J327,"Met","Breached"))</f>
        <v>Met</v>
      </c>
    </row>
    <row r="328" ht="19" customHeight="1" spans="1:14" x14ac:dyDescent="0.25">
      <c r="A328" s="19" t="s">
        <v>442</v>
      </c>
      <c r="B328" s="33">
        <v>46115.305555555555</v>
      </c>
      <c r="C328" s="33">
        <v>46116.898611111115</v>
      </c>
      <c r="D328" s="19" t="s">
        <v>33</v>
      </c>
      <c r="E328" s="19" t="s">
        <v>65</v>
      </c>
      <c r="F328" s="19" t="s">
        <v>45</v>
      </c>
      <c r="G328" s="19" t="s">
        <v>63</v>
      </c>
      <c r="H328" s="19" t="s">
        <v>71</v>
      </c>
      <c r="I328" s="19" t="s">
        <v>123</v>
      </c>
      <c r="J328" s="20">
        <v>48</v>
      </c>
      <c r="K328" s="34">
        <v>0</v>
      </c>
      <c r="L328" s="34">
        <v>2</v>
      </c>
      <c r="M328" s="19">
        <f>IF(OR(ISBLANK(C328),C328=""),"",ROUND((C328-B328)*24,2))</f>
        <v>38.23</v>
      </c>
      <c r="N328" s="35" t="str">
        <f>IF(OR(ISBLANK(C328),C328="",M328=""),"In Progress",IF(M328&lt;=J328,"Met","Breached"))</f>
        <v>Met</v>
      </c>
    </row>
    <row r="329" ht="19" customHeight="1" spans="1:14" x14ac:dyDescent="0.25">
      <c r="A329" s="22" t="s">
        <v>443</v>
      </c>
      <c r="B329" s="36">
        <v>45778.228472222225</v>
      </c>
      <c r="C329" s="36">
        <v>45779.26597222222</v>
      </c>
      <c r="D329" s="22" t="s">
        <v>33</v>
      </c>
      <c r="E329" s="22" t="s">
        <v>65</v>
      </c>
      <c r="F329" s="22" t="s">
        <v>37</v>
      </c>
      <c r="G329" s="22" t="s">
        <v>113</v>
      </c>
      <c r="H329" s="22" t="s">
        <v>67</v>
      </c>
      <c r="I329" s="22" t="s">
        <v>111</v>
      </c>
      <c r="J329" s="23">
        <v>48</v>
      </c>
      <c r="K329" s="37">
        <v>0</v>
      </c>
      <c r="L329" s="37">
        <v>2</v>
      </c>
      <c r="M329" s="22">
        <f>IF(OR(ISBLANK(C329),C329=""),"",ROUND((C329-B329)*24,2))</f>
        <v>24.9</v>
      </c>
      <c r="N329" s="40" t="str">
        <f>IF(OR(ISBLANK(C329),C329="",M329=""),"In Progress",IF(M329&lt;=J329,"Met","Breached"))</f>
        <v>Met</v>
      </c>
    </row>
    <row r="330" ht="19" customHeight="1" spans="1:14" x14ac:dyDescent="0.25">
      <c r="A330" s="19" t="s">
        <v>444</v>
      </c>
      <c r="B330" s="33">
        <v>46075.379166666666</v>
      </c>
      <c r="C330" s="33">
        <v>46077.43125</v>
      </c>
      <c r="D330" s="19" t="s">
        <v>33</v>
      </c>
      <c r="E330" s="19" t="s">
        <v>65</v>
      </c>
      <c r="F330" s="19" t="s">
        <v>40</v>
      </c>
      <c r="G330" s="19" t="s">
        <v>113</v>
      </c>
      <c r="H330" s="19" t="s">
        <v>59</v>
      </c>
      <c r="I330" s="19" t="s">
        <v>123</v>
      </c>
      <c r="J330" s="20">
        <v>48</v>
      </c>
      <c r="K330" s="34">
        <v>0</v>
      </c>
      <c r="L330" s="34">
        <v>3</v>
      </c>
      <c r="M330" s="19">
        <f>IF(OR(ISBLANK(C330),C330=""),"",ROUND((C330-B330)*24,2))</f>
        <v>49.25</v>
      </c>
      <c r="N330" s="39" t="str">
        <f>IF(OR(ISBLANK(C330),C330="",M330=""),"In Progress",IF(M330&lt;=J330,"Met","Breached"))</f>
        <v>Breached</v>
      </c>
    </row>
    <row r="331" ht="19" customHeight="1" spans="1:14" x14ac:dyDescent="0.25">
      <c r="A331" s="22" t="s">
        <v>445</v>
      </c>
      <c r="B331" s="36">
        <v>45894.14722222222</v>
      </c>
      <c r="C331" s="36">
        <v>45895.95208333334</v>
      </c>
      <c r="D331" s="22" t="s">
        <v>33</v>
      </c>
      <c r="E331" s="22" t="s">
        <v>65</v>
      </c>
      <c r="F331" s="22" t="s">
        <v>34</v>
      </c>
      <c r="G331" s="22" t="s">
        <v>116</v>
      </c>
      <c r="H331" s="22" t="s">
        <v>63</v>
      </c>
      <c r="I331" s="22" t="s">
        <v>147</v>
      </c>
      <c r="J331" s="23">
        <v>48</v>
      </c>
      <c r="K331" s="37">
        <v>0</v>
      </c>
      <c r="L331" s="37">
        <v>2</v>
      </c>
      <c r="M331" s="22">
        <f>IF(OR(ISBLANK(C331),C331=""),"",ROUND((C331-B331)*24,2))</f>
        <v>43.32</v>
      </c>
      <c r="N331" s="40" t="str">
        <f>IF(OR(ISBLANK(C331),C331="",M331=""),"In Progress",IF(M331&lt;=J331,"Met","Breached"))</f>
        <v>Met</v>
      </c>
    </row>
    <row r="332" ht="19" customHeight="1" spans="1:14" x14ac:dyDescent="0.25">
      <c r="A332" s="19" t="s">
        <v>446</v>
      </c>
      <c r="B332" s="33">
        <v>46067.45416666666</v>
      </c>
      <c r="D332" s="19" t="s">
        <v>39</v>
      </c>
      <c r="E332" s="19" t="s">
        <v>65</v>
      </c>
      <c r="F332" s="19" t="s">
        <v>40</v>
      </c>
      <c r="G332" s="19" t="s">
        <v>110</v>
      </c>
      <c r="H332" s="19" t="s">
        <v>71</v>
      </c>
      <c r="I332" s="19" t="s">
        <v>111</v>
      </c>
      <c r="J332" s="20">
        <v>48</v>
      </c>
      <c r="K332" s="34">
        <v>0</v>
      </c>
      <c r="M332" s="19" t="str">
        <f>IF(OR(ISBLANK(C332),C332=""),"",ROUND((C332-B332)*24,2))</f>
        <v/>
      </c>
      <c r="N332" s="19" t="str">
        <f>IF(OR(ISBLANK(C332),C332="",M332=""),"In Progress",IF(M332&lt;=J332,"Met","Breached"))</f>
        <v>In Progress</v>
      </c>
    </row>
    <row r="333" ht="19" customHeight="1" spans="1:14" x14ac:dyDescent="0.25">
      <c r="A333" s="22" t="s">
        <v>447</v>
      </c>
      <c r="B333" s="36">
        <v>46185.83472222222</v>
      </c>
      <c r="C333" s="36">
        <v>46186.46597222222</v>
      </c>
      <c r="D333" s="22" t="s">
        <v>33</v>
      </c>
      <c r="E333" s="22" t="s">
        <v>61</v>
      </c>
      <c r="F333" s="22" t="s">
        <v>43</v>
      </c>
      <c r="G333" s="22" t="s">
        <v>126</v>
      </c>
      <c r="H333" s="22" t="s">
        <v>63</v>
      </c>
      <c r="I333" s="22" t="s">
        <v>108</v>
      </c>
      <c r="J333" s="23">
        <v>12</v>
      </c>
      <c r="K333" s="37">
        <v>0</v>
      </c>
      <c r="L333" s="37">
        <v>5</v>
      </c>
      <c r="M333" s="22">
        <f>IF(OR(ISBLANK(C333),C333=""),"",ROUND((C333-B333)*24,2))</f>
        <v>15.15</v>
      </c>
      <c r="N333" s="38" t="str">
        <f>IF(OR(ISBLANK(C333),C333="",M333=""),"In Progress",IF(M333&lt;=J333,"Met","Breached"))</f>
        <v>Breached</v>
      </c>
    </row>
    <row r="334" ht="19" customHeight="1" spans="1:14" x14ac:dyDescent="0.25">
      <c r="A334" s="19" t="s">
        <v>448</v>
      </c>
      <c r="B334" s="33">
        <v>45664.038888888885</v>
      </c>
      <c r="D334" s="19" t="s">
        <v>39</v>
      </c>
      <c r="E334" s="19" t="s">
        <v>61</v>
      </c>
      <c r="F334" s="19" t="s">
        <v>40</v>
      </c>
      <c r="G334" s="19" t="s">
        <v>126</v>
      </c>
      <c r="H334" s="19" t="s">
        <v>71</v>
      </c>
      <c r="I334" s="19" t="s">
        <v>147</v>
      </c>
      <c r="J334" s="20">
        <v>12</v>
      </c>
      <c r="K334" s="34">
        <v>0</v>
      </c>
      <c r="M334" s="19" t="str">
        <f>IF(OR(ISBLANK(C334),C334=""),"",ROUND((C334-B334)*24,2))</f>
        <v/>
      </c>
      <c r="N334" s="19" t="str">
        <f>IF(OR(ISBLANK(C334),C334="",M334=""),"In Progress",IF(M334&lt;=J334,"Met","Breached"))</f>
        <v>In Progress</v>
      </c>
    </row>
    <row r="335" ht="19" customHeight="1" spans="1:14" x14ac:dyDescent="0.25">
      <c r="A335" s="22" t="s">
        <v>449</v>
      </c>
      <c r="B335" s="36">
        <v>45715.62361111111</v>
      </c>
      <c r="D335" s="22" t="s">
        <v>39</v>
      </c>
      <c r="E335" s="22" t="s">
        <v>65</v>
      </c>
      <c r="F335" s="22" t="s">
        <v>37</v>
      </c>
      <c r="G335" s="22" t="s">
        <v>63</v>
      </c>
      <c r="H335" s="22" t="s">
        <v>71</v>
      </c>
      <c r="I335" s="22" t="s">
        <v>111</v>
      </c>
      <c r="J335" s="23">
        <v>48</v>
      </c>
      <c r="K335" s="37">
        <v>0</v>
      </c>
      <c r="M335" s="22" t="str">
        <f>IF(OR(ISBLANK(C335),C335=""),"",ROUND((C335-B335)*24,2))</f>
        <v/>
      </c>
      <c r="N335" s="22" t="str">
        <f>IF(OR(ISBLANK(C335),C335="",M335=""),"In Progress",IF(M335&lt;=J335,"Met","Breached"))</f>
        <v>In Progress</v>
      </c>
    </row>
    <row r="336" ht="19" customHeight="1" spans="1:14" x14ac:dyDescent="0.25">
      <c r="A336" s="19" t="s">
        <v>450</v>
      </c>
      <c r="B336" s="33">
        <v>45690.01041666667</v>
      </c>
      <c r="C336" s="33">
        <v>45690.66458333333</v>
      </c>
      <c r="D336" s="19" t="s">
        <v>33</v>
      </c>
      <c r="E336" s="19" t="s">
        <v>65</v>
      </c>
      <c r="F336" s="19" t="s">
        <v>45</v>
      </c>
      <c r="G336" s="19" t="s">
        <v>113</v>
      </c>
      <c r="H336" s="19" t="s">
        <v>71</v>
      </c>
      <c r="I336" s="19" t="s">
        <v>108</v>
      </c>
      <c r="J336" s="20">
        <v>48</v>
      </c>
      <c r="K336" s="34">
        <v>0</v>
      </c>
      <c r="M336" s="19">
        <f>IF(OR(ISBLANK(C336),C336=""),"",ROUND((C336-B336)*24,2))</f>
        <v>15.7</v>
      </c>
      <c r="N336" s="35" t="str">
        <f>IF(OR(ISBLANK(C336),C336="",M336=""),"In Progress",IF(M336&lt;=J336,"Met","Breached"))</f>
        <v>Met</v>
      </c>
    </row>
    <row r="337" ht="19" customHeight="1" spans="1:14" x14ac:dyDescent="0.25">
      <c r="A337" s="22" t="s">
        <v>451</v>
      </c>
      <c r="B337" s="36">
        <v>46127.29722222222</v>
      </c>
      <c r="C337" s="36">
        <v>46129.62638888889</v>
      </c>
      <c r="D337" s="22" t="s">
        <v>33</v>
      </c>
      <c r="E337" s="22" t="s">
        <v>65</v>
      </c>
      <c r="F337" s="22" t="s">
        <v>37</v>
      </c>
      <c r="G337" s="22" t="s">
        <v>63</v>
      </c>
      <c r="H337" s="22" t="s">
        <v>63</v>
      </c>
      <c r="I337" s="22" t="s">
        <v>111</v>
      </c>
      <c r="J337" s="23">
        <v>48</v>
      </c>
      <c r="K337" s="37">
        <v>0</v>
      </c>
      <c r="L337" s="37">
        <v>2</v>
      </c>
      <c r="M337" s="22">
        <f>IF(OR(ISBLANK(C337),C337=""),"",ROUND((C337-B337)*24,2))</f>
        <v>55.9</v>
      </c>
      <c r="N337" s="38" t="str">
        <f>IF(OR(ISBLANK(C337),C337="",M337=""),"In Progress",IF(M337&lt;=J337,"Met","Breached"))</f>
        <v>Breached</v>
      </c>
    </row>
    <row r="338" ht="19" customHeight="1" spans="1:14" x14ac:dyDescent="0.25">
      <c r="A338" s="19" t="s">
        <v>452</v>
      </c>
      <c r="B338" s="33">
        <v>45763.83888888889</v>
      </c>
      <c r="C338" s="33">
        <v>45764.475</v>
      </c>
      <c r="D338" s="19" t="s">
        <v>36</v>
      </c>
      <c r="E338" s="19" t="s">
        <v>61</v>
      </c>
      <c r="F338" s="19" t="s">
        <v>37</v>
      </c>
      <c r="G338" s="19" t="s">
        <v>113</v>
      </c>
      <c r="H338" s="19" t="s">
        <v>71</v>
      </c>
      <c r="I338" s="19" t="s">
        <v>147</v>
      </c>
      <c r="J338" s="20">
        <v>12</v>
      </c>
      <c r="K338" s="34">
        <v>0</v>
      </c>
      <c r="M338" s="19">
        <f>IF(OR(ISBLANK(C338),C338=""),"",ROUND((C338-B338)*24,2))</f>
        <v>15.27</v>
      </c>
      <c r="N338" s="39" t="str">
        <f>IF(OR(ISBLANK(C338),C338="",M338=""),"In Progress",IF(M338&lt;=J338,"Met","Breached"))</f>
        <v>Breached</v>
      </c>
    </row>
    <row r="339" ht="19" customHeight="1" spans="1:14" x14ac:dyDescent="0.25">
      <c r="A339" s="22" t="s">
        <v>453</v>
      </c>
      <c r="B339" s="36">
        <v>45743.84861111111</v>
      </c>
      <c r="C339" s="36">
        <v>45747.13958333334</v>
      </c>
      <c r="D339" s="22" t="s">
        <v>33</v>
      </c>
      <c r="E339" s="22" t="s">
        <v>69</v>
      </c>
      <c r="F339" s="22" t="s">
        <v>40</v>
      </c>
      <c r="G339" s="22" t="s">
        <v>116</v>
      </c>
      <c r="H339" s="22" t="s">
        <v>63</v>
      </c>
      <c r="I339" s="22" t="s">
        <v>114</v>
      </c>
      <c r="J339" s="23">
        <v>120</v>
      </c>
      <c r="K339" s="37">
        <v>1</v>
      </c>
      <c r="L339" s="37">
        <v>3</v>
      </c>
      <c r="M339" s="22">
        <f>IF(OR(ISBLANK(C339),C339=""),"",ROUND((C339-B339)*24,2))</f>
        <v>78.98</v>
      </c>
      <c r="N339" s="40" t="str">
        <f>IF(OR(ISBLANK(C339),C339="",M339=""),"In Progress",IF(M339&lt;=J339,"Met","Breached"))</f>
        <v>Met</v>
      </c>
    </row>
    <row r="340" ht="19" customHeight="1" spans="1:14" x14ac:dyDescent="0.25">
      <c r="A340" s="19" t="s">
        <v>454</v>
      </c>
      <c r="B340" s="33">
        <v>45877.120833333334</v>
      </c>
      <c r="C340" s="33">
        <v>45879.38958333334</v>
      </c>
      <c r="D340" s="19" t="s">
        <v>36</v>
      </c>
      <c r="E340" s="19" t="s">
        <v>69</v>
      </c>
      <c r="F340" s="19" t="s">
        <v>45</v>
      </c>
      <c r="G340" s="19" t="s">
        <v>121</v>
      </c>
      <c r="H340" s="19" t="s">
        <v>63</v>
      </c>
      <c r="I340" s="19" t="s">
        <v>147</v>
      </c>
      <c r="J340" s="20">
        <v>120</v>
      </c>
      <c r="K340" s="34">
        <v>1</v>
      </c>
      <c r="L340" s="34">
        <v>4</v>
      </c>
      <c r="M340" s="19">
        <f>IF(OR(ISBLANK(C340),C340=""),"",ROUND((C340-B340)*24,2))</f>
        <v>54.45</v>
      </c>
      <c r="N340" s="35" t="str">
        <f>IF(OR(ISBLANK(C340),C340="",M340=""),"In Progress",IF(M340&lt;=J340,"Met","Breached"))</f>
        <v>Met</v>
      </c>
    </row>
    <row r="341" ht="19" customHeight="1" spans="1:14" x14ac:dyDescent="0.25">
      <c r="A341" s="22" t="s">
        <v>455</v>
      </c>
      <c r="B341" s="36">
        <v>46189.163888888885</v>
      </c>
      <c r="D341" s="22" t="s">
        <v>39</v>
      </c>
      <c r="E341" s="22" t="s">
        <v>69</v>
      </c>
      <c r="F341" s="22" t="s">
        <v>43</v>
      </c>
      <c r="G341" s="22" t="s">
        <v>110</v>
      </c>
      <c r="H341" s="22" t="s">
        <v>67</v>
      </c>
      <c r="I341" s="22" t="s">
        <v>147</v>
      </c>
      <c r="J341" s="23">
        <v>120</v>
      </c>
      <c r="K341" s="37">
        <v>0</v>
      </c>
      <c r="M341" s="22" t="str">
        <f>IF(OR(ISBLANK(C341),C341=""),"",ROUND((C341-B341)*24,2))</f>
        <v/>
      </c>
      <c r="N341" s="22" t="str">
        <f>IF(OR(ISBLANK(C341),C341="",M341=""),"In Progress",IF(M341&lt;=J341,"Met","Breached"))</f>
        <v>In Progress</v>
      </c>
    </row>
    <row r="342" ht="19" customHeight="1" spans="1:14" x14ac:dyDescent="0.25">
      <c r="A342" s="19" t="s">
        <v>456</v>
      </c>
      <c r="B342" s="33">
        <v>46153.13125</v>
      </c>
      <c r="C342" s="33">
        <v>46159.35486111111</v>
      </c>
      <c r="D342" s="19" t="s">
        <v>36</v>
      </c>
      <c r="E342" s="19" t="s">
        <v>69</v>
      </c>
      <c r="F342" s="19" t="s">
        <v>45</v>
      </c>
      <c r="G342" s="19" t="s">
        <v>116</v>
      </c>
      <c r="H342" s="19" t="s">
        <v>63</v>
      </c>
      <c r="I342" s="19" t="s">
        <v>114</v>
      </c>
      <c r="J342" s="20">
        <v>120</v>
      </c>
      <c r="K342" s="34">
        <v>0</v>
      </c>
      <c r="L342" s="34">
        <v>1</v>
      </c>
      <c r="M342" s="19">
        <f>IF(OR(ISBLANK(C342),C342=""),"",ROUND((C342-B342)*24,2))</f>
        <v>149.37</v>
      </c>
      <c r="N342" s="39" t="str">
        <f>IF(OR(ISBLANK(C342),C342="",M342=""),"In Progress",IF(M342&lt;=J342,"Met","Breached"))</f>
        <v>Breached</v>
      </c>
    </row>
    <row r="343" ht="19" customHeight="1" spans="1:14" x14ac:dyDescent="0.25">
      <c r="A343" s="22" t="s">
        <v>457</v>
      </c>
      <c r="B343" s="36">
        <v>45782.441666666666</v>
      </c>
      <c r="C343" s="36">
        <v>45785.15694444445</v>
      </c>
      <c r="D343" s="22" t="s">
        <v>33</v>
      </c>
      <c r="E343" s="22" t="s">
        <v>65</v>
      </c>
      <c r="F343" s="22" t="s">
        <v>37</v>
      </c>
      <c r="G343" s="22" t="s">
        <v>126</v>
      </c>
      <c r="H343" s="22" t="s">
        <v>67</v>
      </c>
      <c r="I343" s="22" t="s">
        <v>117</v>
      </c>
      <c r="J343" s="23">
        <v>48</v>
      </c>
      <c r="K343" s="37">
        <v>0</v>
      </c>
      <c r="L343" s="37">
        <v>4</v>
      </c>
      <c r="M343" s="22">
        <f>IF(OR(ISBLANK(C343),C343=""),"",ROUND((C343-B343)*24,2))</f>
        <v>65.17</v>
      </c>
      <c r="N343" s="38" t="str">
        <f>IF(OR(ISBLANK(C343),C343="",M343=""),"In Progress",IF(M343&lt;=J343,"Met","Breached"))</f>
        <v>Breached</v>
      </c>
    </row>
    <row r="344" ht="19" customHeight="1" spans="1:14" x14ac:dyDescent="0.25">
      <c r="A344" s="19" t="s">
        <v>458</v>
      </c>
      <c r="B344" s="33">
        <v>46009.38680555555</v>
      </c>
      <c r="C344" s="33">
        <v>46017.20763888889</v>
      </c>
      <c r="D344" s="19" t="s">
        <v>33</v>
      </c>
      <c r="E344" s="19" t="s">
        <v>69</v>
      </c>
      <c r="F344" s="19" t="s">
        <v>43</v>
      </c>
      <c r="G344" s="19" t="s">
        <v>121</v>
      </c>
      <c r="H344" s="19" t="s">
        <v>63</v>
      </c>
      <c r="I344" s="19" t="s">
        <v>111</v>
      </c>
      <c r="J344" s="20">
        <v>120</v>
      </c>
      <c r="K344" s="34">
        <v>0</v>
      </c>
      <c r="M344" s="19">
        <f>IF(OR(ISBLANK(C344),C344=""),"",ROUND((C344-B344)*24,2))</f>
        <v>187.7</v>
      </c>
      <c r="N344" s="39" t="str">
        <f>IF(OR(ISBLANK(C344),C344="",M344=""),"In Progress",IF(M344&lt;=J344,"Met","Breached"))</f>
        <v>Breached</v>
      </c>
    </row>
    <row r="345" ht="19" customHeight="1" spans="1:14" x14ac:dyDescent="0.25">
      <c r="A345" s="22" t="s">
        <v>459</v>
      </c>
      <c r="B345" s="36">
        <v>46106.23611111111</v>
      </c>
      <c r="C345" s="36">
        <v>46107.09861111111</v>
      </c>
      <c r="D345" s="22" t="s">
        <v>33</v>
      </c>
      <c r="E345" s="22" t="s">
        <v>65</v>
      </c>
      <c r="F345" s="22" t="s">
        <v>37</v>
      </c>
      <c r="G345" s="22" t="s">
        <v>116</v>
      </c>
      <c r="H345" s="22" t="s">
        <v>59</v>
      </c>
      <c r="I345" s="22" t="s">
        <v>123</v>
      </c>
      <c r="J345" s="23">
        <v>48</v>
      </c>
      <c r="K345" s="37">
        <v>0</v>
      </c>
      <c r="L345" s="37">
        <v>1</v>
      </c>
      <c r="M345" s="22">
        <f>IF(OR(ISBLANK(C345),C345=""),"",ROUND((C345-B345)*24,2))</f>
        <v>20.7</v>
      </c>
      <c r="N345" s="40" t="str">
        <f>IF(OR(ISBLANK(C345),C345="",M345=""),"In Progress",IF(M345&lt;=J345,"Met","Breached"))</f>
        <v>Met</v>
      </c>
    </row>
    <row r="346" ht="19" customHeight="1" spans="1:14" x14ac:dyDescent="0.25">
      <c r="A346" s="19" t="s">
        <v>460</v>
      </c>
      <c r="B346" s="33">
        <v>45762.16875</v>
      </c>
      <c r="C346" s="33">
        <v>45764.523611111115</v>
      </c>
      <c r="D346" s="19" t="s">
        <v>36</v>
      </c>
      <c r="E346" s="19" t="s">
        <v>65</v>
      </c>
      <c r="F346" s="19" t="s">
        <v>43</v>
      </c>
      <c r="G346" s="19" t="s">
        <v>121</v>
      </c>
      <c r="H346" s="19" t="s">
        <v>59</v>
      </c>
      <c r="I346" s="19" t="s">
        <v>123</v>
      </c>
      <c r="J346" s="20">
        <v>48</v>
      </c>
      <c r="K346" s="34">
        <v>0</v>
      </c>
      <c r="M346" s="19">
        <f>IF(OR(ISBLANK(C346),C346=""),"",ROUND((C346-B346)*24,2))</f>
        <v>56.52</v>
      </c>
      <c r="N346" s="39" t="str">
        <f>IF(OR(ISBLANK(C346),C346="",M346=""),"In Progress",IF(M346&lt;=J346,"Met","Breached"))</f>
        <v>Breached</v>
      </c>
    </row>
    <row r="347" ht="19" customHeight="1" spans="1:14" x14ac:dyDescent="0.25">
      <c r="A347" s="22" t="s">
        <v>461</v>
      </c>
      <c r="B347" s="36">
        <v>46227.12777777778</v>
      </c>
      <c r="D347" s="22" t="s">
        <v>39</v>
      </c>
      <c r="E347" s="22" t="s">
        <v>65</v>
      </c>
      <c r="F347" s="22" t="s">
        <v>45</v>
      </c>
      <c r="G347" s="22" t="s">
        <v>116</v>
      </c>
      <c r="H347" s="22" t="s">
        <v>59</v>
      </c>
      <c r="I347" s="22" t="s">
        <v>117</v>
      </c>
      <c r="J347" s="23">
        <v>48</v>
      </c>
      <c r="K347" s="37">
        <v>0</v>
      </c>
      <c r="M347" s="22" t="str">
        <f>IF(OR(ISBLANK(C347),C347=""),"",ROUND((C347-B347)*24,2))</f>
        <v/>
      </c>
      <c r="N347" s="22" t="str">
        <f>IF(OR(ISBLANK(C347),C347="",M347=""),"In Progress",IF(M347&lt;=J347,"Met","Breached"))</f>
        <v>In Progress</v>
      </c>
    </row>
    <row r="348" ht="19" customHeight="1" spans="1:14" x14ac:dyDescent="0.25">
      <c r="A348" s="19" t="s">
        <v>462</v>
      </c>
      <c r="B348" s="33">
        <v>45877.50208333333</v>
      </c>
      <c r="D348" s="19" t="s">
        <v>42</v>
      </c>
      <c r="E348" s="19" t="s">
        <v>65</v>
      </c>
      <c r="F348" s="19" t="s">
        <v>43</v>
      </c>
      <c r="G348" s="19" t="s">
        <v>126</v>
      </c>
      <c r="H348" s="19" t="s">
        <v>59</v>
      </c>
      <c r="I348" s="19" t="s">
        <v>114</v>
      </c>
      <c r="J348" s="20">
        <v>48</v>
      </c>
      <c r="K348" s="34">
        <v>0</v>
      </c>
      <c r="M348" s="19" t="str">
        <f>IF(OR(ISBLANK(C348),C348=""),"",ROUND((C348-B348)*24,2))</f>
        <v/>
      </c>
      <c r="N348" s="19" t="str">
        <f>IF(OR(ISBLANK(C348),C348="",M348=""),"In Progress",IF(M348&lt;=J348,"Met","Breached"))</f>
        <v>In Progress</v>
      </c>
    </row>
    <row r="349" ht="19" customHeight="1" spans="1:14" x14ac:dyDescent="0.25">
      <c r="A349" s="22" t="s">
        <v>463</v>
      </c>
      <c r="B349" s="36">
        <v>45874.82152777778</v>
      </c>
      <c r="C349" s="36">
        <v>45876.23611111111</v>
      </c>
      <c r="D349" s="22" t="s">
        <v>33</v>
      </c>
      <c r="E349" s="22" t="s">
        <v>65</v>
      </c>
      <c r="F349" s="22" t="s">
        <v>40</v>
      </c>
      <c r="G349" s="22" t="s">
        <v>121</v>
      </c>
      <c r="H349" s="22" t="s">
        <v>59</v>
      </c>
      <c r="I349" s="22" t="s">
        <v>108</v>
      </c>
      <c r="J349" s="23">
        <v>48</v>
      </c>
      <c r="K349" s="37">
        <v>0</v>
      </c>
      <c r="L349" s="37">
        <v>5</v>
      </c>
      <c r="M349" s="22">
        <f>IF(OR(ISBLANK(C349),C349=""),"",ROUND((C349-B349)*24,2))</f>
        <v>33.95</v>
      </c>
      <c r="N349" s="40" t="str">
        <f>IF(OR(ISBLANK(C349),C349="",M349=""),"In Progress",IF(M349&lt;=J349,"Met","Breached"))</f>
        <v>Met</v>
      </c>
    </row>
    <row r="350" ht="19" customHeight="1" spans="1:14" x14ac:dyDescent="0.25">
      <c r="A350" s="19" t="s">
        <v>464</v>
      </c>
      <c r="B350" s="33">
        <v>46003.875</v>
      </c>
      <c r="C350" s="33">
        <v>46010.00902777778</v>
      </c>
      <c r="D350" s="19" t="s">
        <v>33</v>
      </c>
      <c r="E350" s="19" t="s">
        <v>69</v>
      </c>
      <c r="F350" s="19" t="s">
        <v>40</v>
      </c>
      <c r="G350" s="19" t="s">
        <v>126</v>
      </c>
      <c r="H350" s="19" t="s">
        <v>67</v>
      </c>
      <c r="I350" s="19" t="s">
        <v>108</v>
      </c>
      <c r="J350" s="20">
        <v>120</v>
      </c>
      <c r="K350" s="34">
        <v>0</v>
      </c>
      <c r="L350" s="34">
        <v>5</v>
      </c>
      <c r="M350" s="19">
        <f>IF(OR(ISBLANK(C350),C350=""),"",ROUND((C350-B350)*24,2))</f>
        <v>147.22</v>
      </c>
      <c r="N350" s="39" t="str">
        <f>IF(OR(ISBLANK(C350),C350="",M350=""),"In Progress",IF(M350&lt;=J350,"Met","Breached"))</f>
        <v>Breached</v>
      </c>
    </row>
    <row r="351" ht="19" customHeight="1" spans="1:14" x14ac:dyDescent="0.25">
      <c r="A351" s="22" t="s">
        <v>465</v>
      </c>
      <c r="B351" s="36">
        <v>45760.64375</v>
      </c>
      <c r="C351" s="36">
        <v>45769.1125</v>
      </c>
      <c r="D351" s="22" t="s">
        <v>36</v>
      </c>
      <c r="E351" s="22" t="s">
        <v>69</v>
      </c>
      <c r="F351" s="22" t="s">
        <v>37</v>
      </c>
      <c r="G351" s="22" t="s">
        <v>110</v>
      </c>
      <c r="H351" s="22" t="s">
        <v>59</v>
      </c>
      <c r="I351" s="22" t="s">
        <v>114</v>
      </c>
      <c r="J351" s="23">
        <v>120</v>
      </c>
      <c r="K351" s="37">
        <v>0</v>
      </c>
      <c r="L351" s="37">
        <v>5</v>
      </c>
      <c r="M351" s="22">
        <f>IF(OR(ISBLANK(C351),C351=""),"",ROUND((C351-B351)*24,2))</f>
        <v>203.25</v>
      </c>
      <c r="N351" s="38" t="str">
        <f>IF(OR(ISBLANK(C351),C351="",M351=""),"In Progress",IF(M351&lt;=J351,"Met","Breached"))</f>
        <v>Breached</v>
      </c>
    </row>
    <row r="352" ht="19" customHeight="1" spans="1:14" x14ac:dyDescent="0.25">
      <c r="A352" s="19" t="s">
        <v>466</v>
      </c>
      <c r="B352" s="33">
        <v>46073.861805555556</v>
      </c>
      <c r="D352" s="19" t="s">
        <v>39</v>
      </c>
      <c r="E352" s="19" t="s">
        <v>61</v>
      </c>
      <c r="F352" s="19" t="s">
        <v>37</v>
      </c>
      <c r="G352" s="19" t="s">
        <v>63</v>
      </c>
      <c r="H352" s="19" t="s">
        <v>59</v>
      </c>
      <c r="I352" s="19" t="s">
        <v>147</v>
      </c>
      <c r="J352" s="20">
        <v>12</v>
      </c>
      <c r="K352" s="34">
        <v>0</v>
      </c>
      <c r="M352" s="19" t="str">
        <f>IF(OR(ISBLANK(C352),C352=""),"",ROUND((C352-B352)*24,2))</f>
        <v/>
      </c>
      <c r="N352" s="19" t="str">
        <f>IF(OR(ISBLANK(C352),C352="",M352=""),"In Progress",IF(M352&lt;=J352,"Met","Breached"))</f>
        <v>In Progress</v>
      </c>
    </row>
    <row r="353" ht="19" customHeight="1" spans="1:14" x14ac:dyDescent="0.25">
      <c r="A353" s="22" t="s">
        <v>467</v>
      </c>
      <c r="B353" s="36">
        <v>45697.17152777778</v>
      </c>
      <c r="C353" s="36">
        <v>45701.12291666667</v>
      </c>
      <c r="D353" s="22" t="s">
        <v>33</v>
      </c>
      <c r="E353" s="22" t="s">
        <v>69</v>
      </c>
      <c r="F353" s="22" t="s">
        <v>45</v>
      </c>
      <c r="G353" s="22" t="s">
        <v>126</v>
      </c>
      <c r="H353" s="22" t="s">
        <v>67</v>
      </c>
      <c r="I353" s="22" t="s">
        <v>147</v>
      </c>
      <c r="J353" s="23">
        <v>120</v>
      </c>
      <c r="K353" s="37">
        <v>0</v>
      </c>
      <c r="M353" s="22">
        <f>IF(OR(ISBLANK(C353),C353=""),"",ROUND((C353-B353)*24,2))</f>
        <v>94.83</v>
      </c>
      <c r="N353" s="40" t="str">
        <f>IF(OR(ISBLANK(C353),C353="",M353=""),"In Progress",IF(M353&lt;=J353,"Met","Breached"))</f>
        <v>Met</v>
      </c>
    </row>
    <row r="354" ht="19" customHeight="1" spans="1:14" x14ac:dyDescent="0.25">
      <c r="A354" s="19" t="s">
        <v>468</v>
      </c>
      <c r="B354" s="33">
        <v>45704.12152777778</v>
      </c>
      <c r="C354" s="33">
        <v>45704.34930555556</v>
      </c>
      <c r="D354" s="19" t="s">
        <v>33</v>
      </c>
      <c r="E354" s="19" t="s">
        <v>57</v>
      </c>
      <c r="F354" s="19" t="s">
        <v>45</v>
      </c>
      <c r="G354" s="19" t="s">
        <v>113</v>
      </c>
      <c r="H354" s="19" t="s">
        <v>67</v>
      </c>
      <c r="I354" s="19" t="s">
        <v>111</v>
      </c>
      <c r="J354" s="20">
        <v>4</v>
      </c>
      <c r="K354" s="34">
        <v>0</v>
      </c>
      <c r="L354" s="34">
        <v>2</v>
      </c>
      <c r="M354" s="19">
        <f>IF(OR(ISBLANK(C354),C354=""),"",ROUND((C354-B354)*24,2))</f>
        <v>5.47</v>
      </c>
      <c r="N354" s="39" t="str">
        <f>IF(OR(ISBLANK(C354),C354="",M354=""),"In Progress",IF(M354&lt;=J354,"Met","Breached"))</f>
        <v>Breached</v>
      </c>
    </row>
    <row r="355" ht="19" customHeight="1" spans="1:14" x14ac:dyDescent="0.25">
      <c r="A355" s="22" t="s">
        <v>469</v>
      </c>
      <c r="B355" s="36">
        <v>46165.013194444444</v>
      </c>
      <c r="C355" s="36">
        <v>46166.17569444445</v>
      </c>
      <c r="D355" s="22" t="s">
        <v>33</v>
      </c>
      <c r="E355" s="22" t="s">
        <v>65</v>
      </c>
      <c r="F355" s="22" t="s">
        <v>34</v>
      </c>
      <c r="G355" s="22" t="s">
        <v>113</v>
      </c>
      <c r="H355" s="22" t="s">
        <v>59</v>
      </c>
      <c r="I355" s="22" t="s">
        <v>111</v>
      </c>
      <c r="J355" s="23">
        <v>48</v>
      </c>
      <c r="K355" s="37">
        <v>0</v>
      </c>
      <c r="M355" s="22">
        <f>IF(OR(ISBLANK(C355),C355=""),"",ROUND((C355-B355)*24,2))</f>
        <v>27.9</v>
      </c>
      <c r="N355" s="40" t="str">
        <f>IF(OR(ISBLANK(C355),C355="",M355=""),"In Progress",IF(M355&lt;=J355,"Met","Breached"))</f>
        <v>Met</v>
      </c>
    </row>
    <row r="356" ht="19" customHeight="1" spans="1:14" x14ac:dyDescent="0.25">
      <c r="A356" s="19" t="s">
        <v>470</v>
      </c>
      <c r="B356" s="33">
        <v>46134.37847222222</v>
      </c>
      <c r="C356" s="33">
        <v>46135.12569444445</v>
      </c>
      <c r="D356" s="19" t="s">
        <v>36</v>
      </c>
      <c r="E356" s="19" t="s">
        <v>61</v>
      </c>
      <c r="F356" s="19" t="s">
        <v>40</v>
      </c>
      <c r="G356" s="19" t="s">
        <v>116</v>
      </c>
      <c r="H356" s="19" t="s">
        <v>59</v>
      </c>
      <c r="I356" s="19" t="s">
        <v>111</v>
      </c>
      <c r="J356" s="20">
        <v>12</v>
      </c>
      <c r="K356" s="34">
        <v>0</v>
      </c>
      <c r="L356" s="34">
        <v>1</v>
      </c>
      <c r="M356" s="19">
        <f>IF(OR(ISBLANK(C356),C356=""),"",ROUND((C356-B356)*24,2))</f>
        <v>17.93</v>
      </c>
      <c r="N356" s="39" t="str">
        <f>IF(OR(ISBLANK(C356),C356="",M356=""),"In Progress",IF(M356&lt;=J356,"Met","Breached"))</f>
        <v>Breached</v>
      </c>
    </row>
    <row r="357" ht="19" customHeight="1" spans="1:14" x14ac:dyDescent="0.25">
      <c r="A357" s="22" t="s">
        <v>471</v>
      </c>
      <c r="B357" s="36">
        <v>45793.65416666667</v>
      </c>
      <c r="C357" s="36">
        <v>45799.15416666667</v>
      </c>
      <c r="D357" s="22" t="s">
        <v>33</v>
      </c>
      <c r="E357" s="22" t="s">
        <v>69</v>
      </c>
      <c r="F357" s="22" t="s">
        <v>43</v>
      </c>
      <c r="G357" s="22" t="s">
        <v>63</v>
      </c>
      <c r="H357" s="22" t="s">
        <v>63</v>
      </c>
      <c r="I357" s="22" t="s">
        <v>108</v>
      </c>
      <c r="J357" s="23">
        <v>120</v>
      </c>
      <c r="K357" s="37">
        <v>0</v>
      </c>
      <c r="L357" s="37">
        <v>5</v>
      </c>
      <c r="M357" s="22">
        <f>IF(OR(ISBLANK(C357),C357=""),"",ROUND((C357-B357)*24,2))</f>
        <v>132</v>
      </c>
      <c r="N357" s="38" t="str">
        <f>IF(OR(ISBLANK(C357),C357="",M357=""),"In Progress",IF(M357&lt;=J357,"Met","Breached"))</f>
        <v>Breached</v>
      </c>
    </row>
    <row r="358" ht="19" customHeight="1" spans="1:14" x14ac:dyDescent="0.25">
      <c r="A358" s="19" t="s">
        <v>472</v>
      </c>
      <c r="B358" s="33">
        <v>46206.132638888885</v>
      </c>
      <c r="C358" s="33">
        <v>46206.40555555555</v>
      </c>
      <c r="D358" s="19" t="s">
        <v>33</v>
      </c>
      <c r="E358" s="19" t="s">
        <v>57</v>
      </c>
      <c r="F358" s="19" t="s">
        <v>40</v>
      </c>
      <c r="G358" s="19" t="s">
        <v>110</v>
      </c>
      <c r="H358" s="19" t="s">
        <v>71</v>
      </c>
      <c r="I358" s="19" t="s">
        <v>108</v>
      </c>
      <c r="J358" s="20">
        <v>4</v>
      </c>
      <c r="K358" s="34">
        <v>0</v>
      </c>
      <c r="L358" s="34">
        <v>5</v>
      </c>
      <c r="M358" s="19">
        <f>IF(OR(ISBLANK(C358),C358=""),"",ROUND((C358-B358)*24,2))</f>
        <v>6.55</v>
      </c>
      <c r="N358" s="39" t="str">
        <f>IF(OR(ISBLANK(C358),C358="",M358=""),"In Progress",IF(M358&lt;=J358,"Met","Breached"))</f>
        <v>Breached</v>
      </c>
    </row>
    <row r="359" ht="19" customHeight="1" spans="1:14" x14ac:dyDescent="0.25">
      <c r="A359" s="22" t="s">
        <v>473</v>
      </c>
      <c r="B359" s="36">
        <v>46047.72013888889</v>
      </c>
      <c r="D359" s="22" t="s">
        <v>39</v>
      </c>
      <c r="E359" s="22" t="s">
        <v>65</v>
      </c>
      <c r="F359" s="22" t="s">
        <v>43</v>
      </c>
      <c r="G359" s="22" t="s">
        <v>116</v>
      </c>
      <c r="H359" s="22" t="s">
        <v>71</v>
      </c>
      <c r="I359" s="22" t="s">
        <v>123</v>
      </c>
      <c r="J359" s="23">
        <v>48</v>
      </c>
      <c r="K359" s="37">
        <v>0</v>
      </c>
      <c r="M359" s="22" t="str">
        <f>IF(OR(ISBLANK(C359),C359=""),"",ROUND((C359-B359)*24,2))</f>
        <v/>
      </c>
      <c r="N359" s="22" t="str">
        <f>IF(OR(ISBLANK(C359),C359="",M359=""),"In Progress",IF(M359&lt;=J359,"Met","Breached"))</f>
        <v>In Progress</v>
      </c>
    </row>
    <row r="360" ht="19" customHeight="1" spans="1:14" x14ac:dyDescent="0.25">
      <c r="A360" s="19" t="s">
        <v>474</v>
      </c>
      <c r="B360" s="33">
        <v>46165.81319444445</v>
      </c>
      <c r="C360" s="33">
        <v>46166.72777777778</v>
      </c>
      <c r="D360" s="19" t="s">
        <v>33</v>
      </c>
      <c r="E360" s="19" t="s">
        <v>65</v>
      </c>
      <c r="F360" s="19" t="s">
        <v>37</v>
      </c>
      <c r="G360" s="19" t="s">
        <v>116</v>
      </c>
      <c r="H360" s="19" t="s">
        <v>59</v>
      </c>
      <c r="I360" s="19" t="s">
        <v>114</v>
      </c>
      <c r="J360" s="20">
        <v>48</v>
      </c>
      <c r="K360" s="34">
        <v>0</v>
      </c>
      <c r="L360" s="34">
        <v>2</v>
      </c>
      <c r="M360" s="19">
        <f>IF(OR(ISBLANK(C360),C360=""),"",ROUND((C360-B360)*24,2))</f>
        <v>21.95</v>
      </c>
      <c r="N360" s="35" t="str">
        <f>IF(OR(ISBLANK(C360),C360="",M360=""),"In Progress",IF(M360&lt;=J360,"Met","Breached"))</f>
        <v>Met</v>
      </c>
    </row>
    <row r="361" ht="19" customHeight="1" spans="1:14" x14ac:dyDescent="0.25">
      <c r="A361" s="22" t="s">
        <v>475</v>
      </c>
      <c r="B361" s="36">
        <v>46016.34652777778</v>
      </c>
      <c r="D361" s="22" t="s">
        <v>39</v>
      </c>
      <c r="E361" s="22" t="s">
        <v>65</v>
      </c>
      <c r="F361" s="22" t="s">
        <v>43</v>
      </c>
      <c r="G361" s="22" t="s">
        <v>63</v>
      </c>
      <c r="H361" s="22" t="s">
        <v>59</v>
      </c>
      <c r="I361" s="22" t="s">
        <v>114</v>
      </c>
      <c r="J361" s="23">
        <v>48</v>
      </c>
      <c r="K361" s="37">
        <v>0</v>
      </c>
      <c r="M361" s="22" t="str">
        <f>IF(OR(ISBLANK(C361),C361=""),"",ROUND((C361-B361)*24,2))</f>
        <v/>
      </c>
      <c r="N361" s="22" t="str">
        <f>IF(OR(ISBLANK(C361),C361="",M361=""),"In Progress",IF(M361&lt;=J361,"Met","Breached"))</f>
        <v>In Progress</v>
      </c>
    </row>
    <row r="362" ht="19" customHeight="1" spans="1:14" x14ac:dyDescent="0.25">
      <c r="A362" s="19" t="s">
        <v>476</v>
      </c>
      <c r="B362" s="33">
        <v>45971.757638888885</v>
      </c>
      <c r="D362" s="19" t="s">
        <v>39</v>
      </c>
      <c r="E362" s="19" t="s">
        <v>57</v>
      </c>
      <c r="F362" s="19" t="s">
        <v>40</v>
      </c>
      <c r="G362" s="19" t="s">
        <v>63</v>
      </c>
      <c r="H362" s="19" t="s">
        <v>59</v>
      </c>
      <c r="I362" s="19" t="s">
        <v>123</v>
      </c>
      <c r="J362" s="20">
        <v>4</v>
      </c>
      <c r="K362" s="34">
        <v>0</v>
      </c>
      <c r="M362" s="19" t="str">
        <f>IF(OR(ISBLANK(C362),C362=""),"",ROUND((C362-B362)*24,2))</f>
        <v/>
      </c>
      <c r="N362" s="19" t="str">
        <f>IF(OR(ISBLANK(C362),C362="",M362=""),"In Progress",IF(M362&lt;=J362,"Met","Breached"))</f>
        <v>In Progress</v>
      </c>
    </row>
    <row r="363" ht="19" customHeight="1" spans="1:14" x14ac:dyDescent="0.25">
      <c r="A363" s="22" t="s">
        <v>477</v>
      </c>
      <c r="B363" s="36">
        <v>45986.50625</v>
      </c>
      <c r="C363" s="36">
        <v>45989.80625</v>
      </c>
      <c r="D363" s="22" t="s">
        <v>36</v>
      </c>
      <c r="E363" s="22" t="s">
        <v>65</v>
      </c>
      <c r="F363" s="22" t="s">
        <v>40</v>
      </c>
      <c r="G363" s="22" t="s">
        <v>63</v>
      </c>
      <c r="H363" s="22" t="s">
        <v>71</v>
      </c>
      <c r="I363" s="22" t="s">
        <v>108</v>
      </c>
      <c r="J363" s="23">
        <v>48</v>
      </c>
      <c r="K363" s="37">
        <v>0</v>
      </c>
      <c r="M363" s="22">
        <f>IF(OR(ISBLANK(C363),C363=""),"",ROUND((C363-B363)*24,2))</f>
        <v>79.2</v>
      </c>
      <c r="N363" s="38" t="str">
        <f>IF(OR(ISBLANK(C363),C363="",M363=""),"In Progress",IF(M363&lt;=J363,"Met","Breached"))</f>
        <v>Breached</v>
      </c>
    </row>
    <row r="364" ht="19" customHeight="1" spans="1:14" x14ac:dyDescent="0.25">
      <c r="A364" s="19" t="s">
        <v>478</v>
      </c>
      <c r="B364" s="33">
        <v>45982.54513888889</v>
      </c>
      <c r="C364" s="33">
        <v>45985.10277777778</v>
      </c>
      <c r="D364" s="19" t="s">
        <v>33</v>
      </c>
      <c r="E364" s="19" t="s">
        <v>69</v>
      </c>
      <c r="F364" s="19" t="s">
        <v>45</v>
      </c>
      <c r="G364" s="19" t="s">
        <v>63</v>
      </c>
      <c r="H364" s="19" t="s">
        <v>67</v>
      </c>
      <c r="I364" s="19" t="s">
        <v>147</v>
      </c>
      <c r="J364" s="20">
        <v>120</v>
      </c>
      <c r="K364" s="34">
        <v>0</v>
      </c>
      <c r="L364" s="34">
        <v>4</v>
      </c>
      <c r="M364" s="19">
        <f>IF(OR(ISBLANK(C364),C364=""),"",ROUND((C364-B364)*24,2))</f>
        <v>61.38</v>
      </c>
      <c r="N364" s="35" t="str">
        <f>IF(OR(ISBLANK(C364),C364="",M364=""),"In Progress",IF(M364&lt;=J364,"Met","Breached"))</f>
        <v>Met</v>
      </c>
    </row>
    <row r="365" ht="19" customHeight="1" spans="1:14" x14ac:dyDescent="0.25">
      <c r="A365" s="22" t="s">
        <v>479</v>
      </c>
      <c r="B365" s="36">
        <v>45829.68819444445</v>
      </c>
      <c r="C365" s="36">
        <v>45835.01180555555</v>
      </c>
      <c r="D365" s="22" t="s">
        <v>33</v>
      </c>
      <c r="E365" s="22" t="s">
        <v>69</v>
      </c>
      <c r="F365" s="22" t="s">
        <v>43</v>
      </c>
      <c r="G365" s="22" t="s">
        <v>126</v>
      </c>
      <c r="H365" s="22" t="s">
        <v>71</v>
      </c>
      <c r="I365" s="22" t="s">
        <v>114</v>
      </c>
      <c r="J365" s="23">
        <v>120</v>
      </c>
      <c r="K365" s="37">
        <v>0</v>
      </c>
      <c r="L365" s="37">
        <v>5</v>
      </c>
      <c r="M365" s="22">
        <f>IF(OR(ISBLANK(C365),C365=""),"",ROUND((C365-B365)*24,2))</f>
        <v>127.77</v>
      </c>
      <c r="N365" s="38" t="str">
        <f>IF(OR(ISBLANK(C365),C365="",M365=""),"In Progress",IF(M365&lt;=J365,"Met","Breached"))</f>
        <v>Breached</v>
      </c>
    </row>
    <row r="366" ht="19" customHeight="1" spans="1:14" x14ac:dyDescent="0.25">
      <c r="A366" s="19" t="s">
        <v>480</v>
      </c>
      <c r="B366" s="33">
        <v>45739.513194444444</v>
      </c>
      <c r="D366" s="19" t="s">
        <v>39</v>
      </c>
      <c r="E366" s="19" t="s">
        <v>61</v>
      </c>
      <c r="F366" s="19" t="s">
        <v>37</v>
      </c>
      <c r="G366" s="19" t="s">
        <v>126</v>
      </c>
      <c r="H366" s="19" t="s">
        <v>59</v>
      </c>
      <c r="I366" s="19" t="s">
        <v>108</v>
      </c>
      <c r="J366" s="20">
        <v>12</v>
      </c>
      <c r="K366" s="34">
        <v>0</v>
      </c>
      <c r="M366" s="19" t="str">
        <f>IF(OR(ISBLANK(C366),C366=""),"",ROUND((C366-B366)*24,2))</f>
        <v/>
      </c>
      <c r="N366" s="19" t="str">
        <f>IF(OR(ISBLANK(C366),C366="",M366=""),"In Progress",IF(M366&lt;=J366,"Met","Breached"))</f>
        <v>In Progress</v>
      </c>
    </row>
    <row r="367" ht="19" customHeight="1" spans="1:14" x14ac:dyDescent="0.25">
      <c r="A367" s="22" t="s">
        <v>481</v>
      </c>
      <c r="B367" s="36">
        <v>45962.82986111111</v>
      </c>
      <c r="C367" s="36">
        <v>45963.24861111111</v>
      </c>
      <c r="D367" s="22" t="s">
        <v>33</v>
      </c>
      <c r="E367" s="22" t="s">
        <v>61</v>
      </c>
      <c r="F367" s="22" t="s">
        <v>43</v>
      </c>
      <c r="G367" s="22" t="s">
        <v>63</v>
      </c>
      <c r="H367" s="22" t="s">
        <v>59</v>
      </c>
      <c r="I367" s="22" t="s">
        <v>117</v>
      </c>
      <c r="J367" s="23">
        <v>12</v>
      </c>
      <c r="K367" s="37">
        <v>0</v>
      </c>
      <c r="L367" s="37">
        <v>4</v>
      </c>
      <c r="M367" s="22">
        <f>IF(OR(ISBLANK(C367),C367=""),"",ROUND((C367-B367)*24,2))</f>
        <v>10.05</v>
      </c>
      <c r="N367" s="40" t="str">
        <f>IF(OR(ISBLANK(C367),C367="",M367=""),"In Progress",IF(M367&lt;=J367,"Met","Breached"))</f>
        <v>Met</v>
      </c>
    </row>
    <row r="368" ht="19" customHeight="1" spans="1:14" x14ac:dyDescent="0.25">
      <c r="A368" s="19" t="s">
        <v>482</v>
      </c>
      <c r="B368" s="33">
        <v>46284.36597222222</v>
      </c>
      <c r="C368" s="33">
        <v>46287.70972222222</v>
      </c>
      <c r="D368" s="19" t="s">
        <v>33</v>
      </c>
      <c r="E368" s="19" t="s">
        <v>65</v>
      </c>
      <c r="F368" s="19" t="s">
        <v>34</v>
      </c>
      <c r="G368" s="19" t="s">
        <v>110</v>
      </c>
      <c r="H368" s="19" t="s">
        <v>63</v>
      </c>
      <c r="I368" s="19" t="s">
        <v>117</v>
      </c>
      <c r="J368" s="20">
        <v>48</v>
      </c>
      <c r="K368" s="34">
        <v>0</v>
      </c>
      <c r="L368" s="34">
        <v>1</v>
      </c>
      <c r="M368" s="19">
        <f>IF(OR(ISBLANK(C368),C368=""),"",ROUND((C368-B368)*24,2))</f>
        <v>80.25</v>
      </c>
      <c r="N368" s="39" t="str">
        <f>IF(OR(ISBLANK(C368),C368="",M368=""),"In Progress",IF(M368&lt;=J368,"Met","Breached"))</f>
        <v>Breached</v>
      </c>
    </row>
    <row r="369" ht="19" customHeight="1" spans="1:14" x14ac:dyDescent="0.25">
      <c r="A369" s="22" t="s">
        <v>483</v>
      </c>
      <c r="B369" s="36">
        <v>45850.71597222222</v>
      </c>
      <c r="C369" s="36">
        <v>45856.675</v>
      </c>
      <c r="D369" s="22" t="s">
        <v>33</v>
      </c>
      <c r="E369" s="22" t="s">
        <v>69</v>
      </c>
      <c r="F369" s="22" t="s">
        <v>43</v>
      </c>
      <c r="G369" s="22" t="s">
        <v>116</v>
      </c>
      <c r="H369" s="22" t="s">
        <v>63</v>
      </c>
      <c r="I369" s="22" t="s">
        <v>114</v>
      </c>
      <c r="J369" s="23">
        <v>120</v>
      </c>
      <c r="K369" s="37">
        <v>0</v>
      </c>
      <c r="L369" s="37">
        <v>2</v>
      </c>
      <c r="M369" s="22">
        <f>IF(OR(ISBLANK(C369),C369=""),"",ROUND((C369-B369)*24,2))</f>
        <v>143.02</v>
      </c>
      <c r="N369" s="38" t="str">
        <f>IF(OR(ISBLANK(C369),C369="",M369=""),"In Progress",IF(M369&lt;=J369,"Met","Breached"))</f>
        <v>Breached</v>
      </c>
    </row>
    <row r="370" ht="19" customHeight="1" spans="1:14" x14ac:dyDescent="0.25">
      <c r="A370" s="19" t="s">
        <v>484</v>
      </c>
      <c r="B370" s="33">
        <v>45956.165972222225</v>
      </c>
      <c r="C370" s="33">
        <v>45958.23055555555</v>
      </c>
      <c r="D370" s="19" t="s">
        <v>36</v>
      </c>
      <c r="E370" s="19" t="s">
        <v>65</v>
      </c>
      <c r="F370" s="19" t="s">
        <v>34</v>
      </c>
      <c r="G370" s="19" t="s">
        <v>116</v>
      </c>
      <c r="H370" s="19" t="s">
        <v>63</v>
      </c>
      <c r="I370" s="19" t="s">
        <v>123</v>
      </c>
      <c r="J370" s="20">
        <v>48</v>
      </c>
      <c r="K370" s="34">
        <v>0</v>
      </c>
      <c r="L370" s="34">
        <v>5</v>
      </c>
      <c r="M370" s="19">
        <f>IF(OR(ISBLANK(C370),C370=""),"",ROUND((C370-B370)*24,2))</f>
        <v>49.55</v>
      </c>
      <c r="N370" s="39" t="str">
        <f>IF(OR(ISBLANK(C370),C370="",M370=""),"In Progress",IF(M370&lt;=J370,"Met","Breached"))</f>
        <v>Breached</v>
      </c>
    </row>
    <row r="371" ht="19" customHeight="1" spans="1:14" x14ac:dyDescent="0.25">
      <c r="A371" s="22" t="s">
        <v>485</v>
      </c>
      <c r="B371" s="36">
        <v>46193.43472222222</v>
      </c>
      <c r="C371" s="36">
        <v>46193.919444444444</v>
      </c>
      <c r="D371" s="22" t="s">
        <v>33</v>
      </c>
      <c r="E371" s="22" t="s">
        <v>61</v>
      </c>
      <c r="F371" s="22" t="s">
        <v>34</v>
      </c>
      <c r="G371" s="22" t="s">
        <v>63</v>
      </c>
      <c r="H371" s="22" t="s">
        <v>71</v>
      </c>
      <c r="I371" s="22" t="s">
        <v>108</v>
      </c>
      <c r="J371" s="23">
        <v>12</v>
      </c>
      <c r="K371" s="37">
        <v>0</v>
      </c>
      <c r="L371" s="37">
        <v>2</v>
      </c>
      <c r="M371" s="22">
        <f>IF(OR(ISBLANK(C371),C371=""),"",ROUND((C371-B371)*24,2))</f>
        <v>11.63</v>
      </c>
      <c r="N371" s="40" t="str">
        <f>IF(OR(ISBLANK(C371),C371="",M371=""),"In Progress",IF(M371&lt;=J371,"Met","Breached"))</f>
        <v>Met</v>
      </c>
    </row>
    <row r="372" ht="19" customHeight="1" spans="1:14" x14ac:dyDescent="0.25">
      <c r="A372" s="19" t="s">
        <v>486</v>
      </c>
      <c r="B372" s="33">
        <v>46111.2</v>
      </c>
      <c r="C372" s="33">
        <v>46111.89027777778</v>
      </c>
      <c r="D372" s="19" t="s">
        <v>33</v>
      </c>
      <c r="E372" s="19" t="s">
        <v>61</v>
      </c>
      <c r="F372" s="19" t="s">
        <v>37</v>
      </c>
      <c r="G372" s="19" t="s">
        <v>113</v>
      </c>
      <c r="H372" s="19" t="s">
        <v>67</v>
      </c>
      <c r="I372" s="19" t="s">
        <v>114</v>
      </c>
      <c r="J372" s="20">
        <v>12</v>
      </c>
      <c r="K372" s="34">
        <v>0</v>
      </c>
      <c r="L372" s="34">
        <v>1</v>
      </c>
      <c r="M372" s="19">
        <f>IF(OR(ISBLANK(C372),C372=""),"",ROUND((C372-B372)*24,2))</f>
        <v>16.57</v>
      </c>
      <c r="N372" s="39" t="str">
        <f>IF(OR(ISBLANK(C372),C372="",M372=""),"In Progress",IF(M372&lt;=J372,"Met","Breached"))</f>
        <v>Breached</v>
      </c>
    </row>
    <row r="373" ht="19" customHeight="1" spans="1:14" x14ac:dyDescent="0.25">
      <c r="A373" s="22" t="s">
        <v>487</v>
      </c>
      <c r="B373" s="36">
        <v>46041.51527777778</v>
      </c>
      <c r="C373" s="36">
        <v>46042.34583333333</v>
      </c>
      <c r="D373" s="22" t="s">
        <v>33</v>
      </c>
      <c r="E373" s="22" t="s">
        <v>65</v>
      </c>
      <c r="F373" s="22" t="s">
        <v>43</v>
      </c>
      <c r="G373" s="22" t="s">
        <v>63</v>
      </c>
      <c r="H373" s="22" t="s">
        <v>63</v>
      </c>
      <c r="I373" s="22" t="s">
        <v>111</v>
      </c>
      <c r="J373" s="23">
        <v>48</v>
      </c>
      <c r="K373" s="37">
        <v>0</v>
      </c>
      <c r="M373" s="22">
        <f>IF(OR(ISBLANK(C373),C373=""),"",ROUND((C373-B373)*24,2))</f>
        <v>19.93</v>
      </c>
      <c r="N373" s="40" t="str">
        <f>IF(OR(ISBLANK(C373),C373="",M373=""),"In Progress",IF(M373&lt;=J373,"Met","Breached"))</f>
        <v>Met</v>
      </c>
    </row>
    <row r="374" ht="19" customHeight="1" spans="1:14" x14ac:dyDescent="0.25">
      <c r="A374" s="19" t="s">
        <v>488</v>
      </c>
      <c r="B374" s="33">
        <v>45969.70694444445</v>
      </c>
      <c r="C374" s="33">
        <v>45972.78055555555</v>
      </c>
      <c r="D374" s="19" t="s">
        <v>33</v>
      </c>
      <c r="E374" s="19" t="s">
        <v>65</v>
      </c>
      <c r="F374" s="19" t="s">
        <v>37</v>
      </c>
      <c r="G374" s="19" t="s">
        <v>63</v>
      </c>
      <c r="H374" s="19" t="s">
        <v>59</v>
      </c>
      <c r="I374" s="19" t="s">
        <v>111</v>
      </c>
      <c r="J374" s="20">
        <v>48</v>
      </c>
      <c r="K374" s="34">
        <v>0</v>
      </c>
      <c r="M374" s="19">
        <f>IF(OR(ISBLANK(C374),C374=""),"",ROUND((C374-B374)*24,2))</f>
        <v>73.77</v>
      </c>
      <c r="N374" s="39" t="str">
        <f>IF(OR(ISBLANK(C374),C374="",M374=""),"In Progress",IF(M374&lt;=J374,"Met","Breached"))</f>
        <v>Breached</v>
      </c>
    </row>
    <row r="375" ht="19" customHeight="1" spans="1:14" x14ac:dyDescent="0.25">
      <c r="A375" s="22" t="s">
        <v>489</v>
      </c>
      <c r="B375" s="36">
        <v>45664.742361111115</v>
      </c>
      <c r="D375" s="22" t="s">
        <v>42</v>
      </c>
      <c r="E375" s="22" t="s">
        <v>65</v>
      </c>
      <c r="F375" s="22" t="s">
        <v>43</v>
      </c>
      <c r="G375" s="22" t="s">
        <v>113</v>
      </c>
      <c r="H375" s="22" t="s">
        <v>71</v>
      </c>
      <c r="I375" s="22" t="s">
        <v>111</v>
      </c>
      <c r="J375" s="23">
        <v>48</v>
      </c>
      <c r="K375" s="37">
        <v>0</v>
      </c>
      <c r="M375" s="22" t="str">
        <f>IF(OR(ISBLANK(C375),C375=""),"",ROUND((C375-B375)*24,2))</f>
        <v/>
      </c>
      <c r="N375" s="22" t="str">
        <f>IF(OR(ISBLANK(C375),C375="",M375=""),"In Progress",IF(M375&lt;=J375,"Met","Breached"))</f>
        <v>In Progress</v>
      </c>
    </row>
    <row r="376" ht="19" customHeight="1" spans="1:14" x14ac:dyDescent="0.25">
      <c r="A376" s="19" t="s">
        <v>490</v>
      </c>
      <c r="B376" s="33">
        <v>45705.191666666666</v>
      </c>
      <c r="C376" s="33">
        <v>45707.46666666667</v>
      </c>
      <c r="D376" s="19" t="s">
        <v>33</v>
      </c>
      <c r="E376" s="19" t="s">
        <v>65</v>
      </c>
      <c r="F376" s="19" t="s">
        <v>34</v>
      </c>
      <c r="G376" s="19" t="s">
        <v>63</v>
      </c>
      <c r="H376" s="19" t="s">
        <v>67</v>
      </c>
      <c r="I376" s="19" t="s">
        <v>117</v>
      </c>
      <c r="J376" s="20">
        <v>48</v>
      </c>
      <c r="K376" s="34">
        <v>0</v>
      </c>
      <c r="M376" s="19">
        <f>IF(OR(ISBLANK(C376),C376=""),"",ROUND((C376-B376)*24,2))</f>
        <v>54.6</v>
      </c>
      <c r="N376" s="39" t="str">
        <f>IF(OR(ISBLANK(C376),C376="",M376=""),"In Progress",IF(M376&lt;=J376,"Met","Breached"))</f>
        <v>Breached</v>
      </c>
    </row>
    <row r="377" ht="19" customHeight="1" spans="1:14" x14ac:dyDescent="0.25">
      <c r="A377" s="22" t="s">
        <v>491</v>
      </c>
      <c r="B377" s="36">
        <v>46087.85763888889</v>
      </c>
      <c r="C377" s="36">
        <v>46088.88680555555</v>
      </c>
      <c r="D377" s="22" t="s">
        <v>36</v>
      </c>
      <c r="E377" s="22" t="s">
        <v>65</v>
      </c>
      <c r="F377" s="22" t="s">
        <v>34</v>
      </c>
      <c r="G377" s="22" t="s">
        <v>116</v>
      </c>
      <c r="H377" s="22" t="s">
        <v>71</v>
      </c>
      <c r="I377" s="22" t="s">
        <v>123</v>
      </c>
      <c r="J377" s="23">
        <v>48</v>
      </c>
      <c r="K377" s="37">
        <v>0</v>
      </c>
      <c r="L377" s="37">
        <v>4</v>
      </c>
      <c r="M377" s="22">
        <f>IF(OR(ISBLANK(C377),C377=""),"",ROUND((C377-B377)*24,2))</f>
        <v>24.7</v>
      </c>
      <c r="N377" s="40" t="str">
        <f>IF(OR(ISBLANK(C377),C377="",M377=""),"In Progress",IF(M377&lt;=J377,"Met","Breached"))</f>
        <v>Met</v>
      </c>
    </row>
    <row r="378" ht="19" customHeight="1" spans="1:14" x14ac:dyDescent="0.25">
      <c r="A378" s="19" t="s">
        <v>492</v>
      </c>
      <c r="B378" s="33">
        <v>45705.00138888889</v>
      </c>
      <c r="C378" s="33">
        <v>45708.27222222222</v>
      </c>
      <c r="D378" s="19" t="s">
        <v>36</v>
      </c>
      <c r="E378" s="19" t="s">
        <v>69</v>
      </c>
      <c r="F378" s="19" t="s">
        <v>34</v>
      </c>
      <c r="G378" s="19" t="s">
        <v>121</v>
      </c>
      <c r="H378" s="19" t="s">
        <v>67</v>
      </c>
      <c r="I378" s="19" t="s">
        <v>108</v>
      </c>
      <c r="J378" s="20">
        <v>120</v>
      </c>
      <c r="K378" s="34">
        <v>0</v>
      </c>
      <c r="L378" s="34">
        <v>3</v>
      </c>
      <c r="M378" s="19">
        <f>IF(OR(ISBLANK(C378),C378=""),"",ROUND((C378-B378)*24,2))</f>
        <v>78.5</v>
      </c>
      <c r="N378" s="35" t="str">
        <f>IF(OR(ISBLANK(C378),C378="",M378=""),"In Progress",IF(M378&lt;=J378,"Met","Breached"))</f>
        <v>Met</v>
      </c>
    </row>
    <row r="379" ht="19" customHeight="1" spans="1:14" x14ac:dyDescent="0.25">
      <c r="A379" s="22" t="s">
        <v>493</v>
      </c>
      <c r="B379" s="36">
        <v>46136.160416666666</v>
      </c>
      <c r="C379" s="36">
        <v>46141.10208333333</v>
      </c>
      <c r="D379" s="22" t="s">
        <v>33</v>
      </c>
      <c r="E379" s="22" t="s">
        <v>69</v>
      </c>
      <c r="F379" s="22" t="s">
        <v>37</v>
      </c>
      <c r="G379" s="22" t="s">
        <v>126</v>
      </c>
      <c r="H379" s="22" t="s">
        <v>59</v>
      </c>
      <c r="I379" s="22" t="s">
        <v>111</v>
      </c>
      <c r="J379" s="23">
        <v>120</v>
      </c>
      <c r="K379" s="37">
        <v>0</v>
      </c>
      <c r="M379" s="22">
        <f>IF(OR(ISBLANK(C379),C379=""),"",ROUND((C379-B379)*24,2))</f>
        <v>118.6</v>
      </c>
      <c r="N379" s="40" t="str">
        <f>IF(OR(ISBLANK(C379),C379="",M379=""),"In Progress",IF(M379&lt;=J379,"Met","Breached"))</f>
        <v>Met</v>
      </c>
    </row>
    <row r="380" ht="19" customHeight="1" spans="1:14" x14ac:dyDescent="0.25">
      <c r="A380" s="19" t="s">
        <v>494</v>
      </c>
      <c r="B380" s="33">
        <v>46247.94027777778</v>
      </c>
      <c r="C380" s="33">
        <v>46248.927777777775</v>
      </c>
      <c r="D380" s="19" t="s">
        <v>36</v>
      </c>
      <c r="E380" s="19" t="s">
        <v>65</v>
      </c>
      <c r="F380" s="19" t="s">
        <v>45</v>
      </c>
      <c r="G380" s="19" t="s">
        <v>63</v>
      </c>
      <c r="H380" s="19" t="s">
        <v>59</v>
      </c>
      <c r="I380" s="19" t="s">
        <v>147</v>
      </c>
      <c r="J380" s="20">
        <v>48</v>
      </c>
      <c r="K380" s="34">
        <v>0</v>
      </c>
      <c r="L380" s="34">
        <v>2</v>
      </c>
      <c r="M380" s="19">
        <f>IF(OR(ISBLANK(C380),C380=""),"",ROUND((C380-B380)*24,2))</f>
        <v>23.7</v>
      </c>
      <c r="N380" s="35" t="str">
        <f>IF(OR(ISBLANK(C380),C380="",M380=""),"In Progress",IF(M380&lt;=J380,"Met","Breached"))</f>
        <v>Met</v>
      </c>
    </row>
    <row r="381" ht="19" customHeight="1" spans="1:14" x14ac:dyDescent="0.25">
      <c r="A381" s="22" t="s">
        <v>495</v>
      </c>
      <c r="B381" s="36">
        <v>45772.495833333334</v>
      </c>
      <c r="C381" s="36">
        <v>45773.4875</v>
      </c>
      <c r="D381" s="22" t="s">
        <v>33</v>
      </c>
      <c r="E381" s="22" t="s">
        <v>65</v>
      </c>
      <c r="F381" s="22" t="s">
        <v>37</v>
      </c>
      <c r="G381" s="22" t="s">
        <v>63</v>
      </c>
      <c r="H381" s="22" t="s">
        <v>59</v>
      </c>
      <c r="I381" s="22" t="s">
        <v>114</v>
      </c>
      <c r="J381" s="23">
        <v>48</v>
      </c>
      <c r="K381" s="37">
        <v>0</v>
      </c>
      <c r="M381" s="22">
        <f>IF(OR(ISBLANK(C381),C381=""),"",ROUND((C381-B381)*24,2))</f>
        <v>23.8</v>
      </c>
      <c r="N381" s="40" t="str">
        <f>IF(OR(ISBLANK(C381),C381="",M381=""),"In Progress",IF(M381&lt;=J381,"Met","Breached"))</f>
        <v>Met</v>
      </c>
    </row>
    <row r="382" ht="19" customHeight="1" spans="1:14" x14ac:dyDescent="0.25">
      <c r="A382" s="19" t="s">
        <v>496</v>
      </c>
      <c r="B382" s="33">
        <v>45938.361805555556</v>
      </c>
      <c r="C382" s="33">
        <v>45939.07847222222</v>
      </c>
      <c r="D382" s="19" t="s">
        <v>33</v>
      </c>
      <c r="E382" s="19" t="s">
        <v>65</v>
      </c>
      <c r="F382" s="19" t="s">
        <v>45</v>
      </c>
      <c r="G382" s="19" t="s">
        <v>116</v>
      </c>
      <c r="H382" s="19" t="s">
        <v>63</v>
      </c>
      <c r="I382" s="19" t="s">
        <v>147</v>
      </c>
      <c r="J382" s="20">
        <v>48</v>
      </c>
      <c r="K382" s="34">
        <v>0</v>
      </c>
      <c r="L382" s="34">
        <v>5</v>
      </c>
      <c r="M382" s="19">
        <f>IF(OR(ISBLANK(C382),C382=""),"",ROUND((C382-B382)*24,2))</f>
        <v>17.2</v>
      </c>
      <c r="N382" s="35" t="str">
        <f>IF(OR(ISBLANK(C382),C382="",M382=""),"In Progress",IF(M382&lt;=J382,"Met","Breached"))</f>
        <v>Met</v>
      </c>
    </row>
    <row r="383" ht="19" customHeight="1" spans="1:14" x14ac:dyDescent="0.25">
      <c r="A383" s="22" t="s">
        <v>497</v>
      </c>
      <c r="B383" s="36">
        <v>45939.70208333334</v>
      </c>
      <c r="D383" s="22" t="s">
        <v>39</v>
      </c>
      <c r="E383" s="22" t="s">
        <v>69</v>
      </c>
      <c r="F383" s="22" t="s">
        <v>34</v>
      </c>
      <c r="G383" s="22" t="s">
        <v>113</v>
      </c>
      <c r="H383" s="22" t="s">
        <v>67</v>
      </c>
      <c r="I383" s="22" t="s">
        <v>117</v>
      </c>
      <c r="J383" s="23">
        <v>120</v>
      </c>
      <c r="K383" s="37">
        <v>0</v>
      </c>
      <c r="M383" s="22" t="str">
        <f>IF(OR(ISBLANK(C383),C383=""),"",ROUND((C383-B383)*24,2))</f>
        <v/>
      </c>
      <c r="N383" s="22" t="str">
        <f>IF(OR(ISBLANK(C383),C383="",M383=""),"In Progress",IF(M383&lt;=J383,"Met","Breached"))</f>
        <v>In Progress</v>
      </c>
    </row>
    <row r="384" ht="19" customHeight="1" spans="1:14" x14ac:dyDescent="0.25">
      <c r="A384" s="19" t="s">
        <v>498</v>
      </c>
      <c r="B384" s="33">
        <v>46008.53680555556</v>
      </c>
      <c r="C384" s="33">
        <v>46009.81736111111</v>
      </c>
      <c r="D384" s="19" t="s">
        <v>36</v>
      </c>
      <c r="E384" s="19" t="s">
        <v>65</v>
      </c>
      <c r="F384" s="19" t="s">
        <v>34</v>
      </c>
      <c r="G384" s="19" t="s">
        <v>121</v>
      </c>
      <c r="H384" s="19" t="s">
        <v>59</v>
      </c>
      <c r="I384" s="19" t="s">
        <v>147</v>
      </c>
      <c r="J384" s="20">
        <v>48</v>
      </c>
      <c r="K384" s="34">
        <v>0</v>
      </c>
      <c r="L384" s="34">
        <v>2</v>
      </c>
      <c r="M384" s="19">
        <f>IF(OR(ISBLANK(C384),C384=""),"",ROUND((C384-B384)*24,2))</f>
        <v>30.73</v>
      </c>
      <c r="N384" s="35" t="str">
        <f>IF(OR(ISBLANK(C384),C384="",M384=""),"In Progress",IF(M384&lt;=J384,"Met","Breached"))</f>
        <v>Met</v>
      </c>
    </row>
    <row r="385" ht="19" customHeight="1" spans="1:14" x14ac:dyDescent="0.25">
      <c r="A385" s="22" t="s">
        <v>499</v>
      </c>
      <c r="B385" s="36">
        <v>46270.92708333333</v>
      </c>
      <c r="C385" s="36">
        <v>46276.44236111111</v>
      </c>
      <c r="D385" s="22" t="s">
        <v>33</v>
      </c>
      <c r="E385" s="22" t="s">
        <v>69</v>
      </c>
      <c r="F385" s="22" t="s">
        <v>43</v>
      </c>
      <c r="G385" s="22" t="s">
        <v>121</v>
      </c>
      <c r="H385" s="22" t="s">
        <v>59</v>
      </c>
      <c r="I385" s="22" t="s">
        <v>123</v>
      </c>
      <c r="J385" s="23">
        <v>120</v>
      </c>
      <c r="K385" s="37">
        <v>0</v>
      </c>
      <c r="M385" s="22">
        <f>IF(OR(ISBLANK(C385),C385=""),"",ROUND((C385-B385)*24,2))</f>
        <v>132.37</v>
      </c>
      <c r="N385" s="38" t="str">
        <f>IF(OR(ISBLANK(C385),C385="",M385=""),"In Progress",IF(M385&lt;=J385,"Met","Breached"))</f>
        <v>Breached</v>
      </c>
    </row>
    <row r="386" ht="19" customHeight="1" spans="1:14" x14ac:dyDescent="0.25">
      <c r="A386" s="19" t="s">
        <v>500</v>
      </c>
      <c r="B386" s="33">
        <v>45878.89166666666</v>
      </c>
      <c r="C386" s="33">
        <v>45880.85625</v>
      </c>
      <c r="D386" s="19" t="s">
        <v>33</v>
      </c>
      <c r="E386" s="19" t="s">
        <v>65</v>
      </c>
      <c r="F386" s="19" t="s">
        <v>37</v>
      </c>
      <c r="G386" s="19" t="s">
        <v>116</v>
      </c>
      <c r="H386" s="19" t="s">
        <v>59</v>
      </c>
      <c r="I386" s="19" t="s">
        <v>123</v>
      </c>
      <c r="J386" s="20">
        <v>48</v>
      </c>
      <c r="K386" s="34">
        <v>0</v>
      </c>
      <c r="L386" s="34">
        <v>2</v>
      </c>
      <c r="M386" s="19">
        <f>IF(OR(ISBLANK(C386),C386=""),"",ROUND((C386-B386)*24,2))</f>
        <v>47.15</v>
      </c>
      <c r="N386" s="35" t="str">
        <f>IF(OR(ISBLANK(C386),C386="",M386=""),"In Progress",IF(M386&lt;=J386,"Met","Breached"))</f>
        <v>Met</v>
      </c>
    </row>
    <row r="387" ht="19" customHeight="1" spans="1:14" x14ac:dyDescent="0.25">
      <c r="A387" s="22" t="s">
        <v>501</v>
      </c>
      <c r="B387" s="36">
        <v>45712.316666666666</v>
      </c>
      <c r="C387" s="36">
        <v>45713.11041666666</v>
      </c>
      <c r="D387" s="22" t="s">
        <v>36</v>
      </c>
      <c r="E387" s="22" t="s">
        <v>65</v>
      </c>
      <c r="F387" s="22" t="s">
        <v>34</v>
      </c>
      <c r="G387" s="22" t="s">
        <v>63</v>
      </c>
      <c r="H387" s="22" t="s">
        <v>63</v>
      </c>
      <c r="I387" s="22" t="s">
        <v>123</v>
      </c>
      <c r="J387" s="23">
        <v>48</v>
      </c>
      <c r="K387" s="37">
        <v>0</v>
      </c>
      <c r="L387" s="37">
        <v>1</v>
      </c>
      <c r="M387" s="22">
        <f>IF(OR(ISBLANK(C387),C387=""),"",ROUND((C387-B387)*24,2))</f>
        <v>19.05</v>
      </c>
      <c r="N387" s="40" t="str">
        <f>IF(OR(ISBLANK(C387),C387="",M387=""),"In Progress",IF(M387&lt;=J387,"Met","Breached"))</f>
        <v>Met</v>
      </c>
    </row>
    <row r="388" ht="19" customHeight="1" spans="1:14" x14ac:dyDescent="0.25">
      <c r="A388" s="19" t="s">
        <v>502</v>
      </c>
      <c r="B388" s="33">
        <v>45829.927777777775</v>
      </c>
      <c r="C388" s="33">
        <v>45830.736805555556</v>
      </c>
      <c r="D388" s="19" t="s">
        <v>33</v>
      </c>
      <c r="E388" s="19" t="s">
        <v>61</v>
      </c>
      <c r="F388" s="19" t="s">
        <v>43</v>
      </c>
      <c r="G388" s="19" t="s">
        <v>116</v>
      </c>
      <c r="H388" s="19" t="s">
        <v>71</v>
      </c>
      <c r="I388" s="19" t="s">
        <v>147</v>
      </c>
      <c r="J388" s="20">
        <v>12</v>
      </c>
      <c r="K388" s="34">
        <v>0</v>
      </c>
      <c r="M388" s="19">
        <f>IF(OR(ISBLANK(C388),C388=""),"",ROUND((C388-B388)*24,2))</f>
        <v>19.42</v>
      </c>
      <c r="N388" s="39" t="str">
        <f>IF(OR(ISBLANK(C388),C388="",M388=""),"In Progress",IF(M388&lt;=J388,"Met","Breached"))</f>
        <v>Breached</v>
      </c>
    </row>
    <row r="389" ht="19" customHeight="1" spans="1:14" x14ac:dyDescent="0.25">
      <c r="A389" s="22" t="s">
        <v>503</v>
      </c>
      <c r="B389" s="36">
        <v>46130.39027777778</v>
      </c>
      <c r="C389" s="36">
        <v>46131.259722222225</v>
      </c>
      <c r="D389" s="22" t="s">
        <v>36</v>
      </c>
      <c r="E389" s="22" t="s">
        <v>61</v>
      </c>
      <c r="F389" s="22" t="s">
        <v>37</v>
      </c>
      <c r="G389" s="22" t="s">
        <v>113</v>
      </c>
      <c r="H389" s="22" t="s">
        <v>59</v>
      </c>
      <c r="I389" s="22" t="s">
        <v>111</v>
      </c>
      <c r="J389" s="23">
        <v>12</v>
      </c>
      <c r="K389" s="37">
        <v>0</v>
      </c>
      <c r="L389" s="37">
        <v>4</v>
      </c>
      <c r="M389" s="22">
        <f>IF(OR(ISBLANK(C389),C389=""),"",ROUND((C389-B389)*24,2))</f>
        <v>20.87</v>
      </c>
      <c r="N389" s="38" t="str">
        <f>IF(OR(ISBLANK(C389),C389="",M389=""),"In Progress",IF(M389&lt;=J389,"Met","Breached"))</f>
        <v>Breached</v>
      </c>
    </row>
    <row r="390" ht="19" customHeight="1" spans="1:14" x14ac:dyDescent="0.25">
      <c r="A390" s="19" t="s">
        <v>504</v>
      </c>
      <c r="B390" s="33">
        <v>45746.163194444445</v>
      </c>
      <c r="C390" s="33">
        <v>45749.19097222222</v>
      </c>
      <c r="D390" s="19" t="s">
        <v>33</v>
      </c>
      <c r="E390" s="19" t="s">
        <v>65</v>
      </c>
      <c r="F390" s="19" t="s">
        <v>34</v>
      </c>
      <c r="G390" s="19" t="s">
        <v>110</v>
      </c>
      <c r="H390" s="19" t="s">
        <v>63</v>
      </c>
      <c r="I390" s="19" t="s">
        <v>114</v>
      </c>
      <c r="J390" s="20">
        <v>48</v>
      </c>
      <c r="K390" s="34">
        <v>0</v>
      </c>
      <c r="M390" s="19">
        <f>IF(OR(ISBLANK(C390),C390=""),"",ROUND((C390-B390)*24,2))</f>
        <v>72.67</v>
      </c>
      <c r="N390" s="39" t="str">
        <f>IF(OR(ISBLANK(C390),C390="",M390=""),"In Progress",IF(M390&lt;=J390,"Met","Breached"))</f>
        <v>Breached</v>
      </c>
    </row>
    <row r="391" ht="19" customHeight="1" spans="1:14" x14ac:dyDescent="0.25">
      <c r="A391" s="22" t="s">
        <v>505</v>
      </c>
      <c r="B391" s="36">
        <v>45795.54583333334</v>
      </c>
      <c r="C391" s="36">
        <v>45797.21944444445</v>
      </c>
      <c r="D391" s="22" t="s">
        <v>36</v>
      </c>
      <c r="E391" s="22" t="s">
        <v>65</v>
      </c>
      <c r="F391" s="22" t="s">
        <v>43</v>
      </c>
      <c r="G391" s="22" t="s">
        <v>113</v>
      </c>
      <c r="H391" s="22" t="s">
        <v>59</v>
      </c>
      <c r="I391" s="22" t="s">
        <v>123</v>
      </c>
      <c r="J391" s="23">
        <v>48</v>
      </c>
      <c r="K391" s="37">
        <v>0</v>
      </c>
      <c r="L391" s="37">
        <v>1</v>
      </c>
      <c r="M391" s="22">
        <f>IF(OR(ISBLANK(C391),C391=""),"",ROUND((C391-B391)*24,2))</f>
        <v>40.17</v>
      </c>
      <c r="N391" s="40" t="str">
        <f>IF(OR(ISBLANK(C391),C391="",M391=""),"In Progress",IF(M391&lt;=J391,"Met","Breached"))</f>
        <v>Met</v>
      </c>
    </row>
    <row r="392" ht="19" customHeight="1" spans="1:14" x14ac:dyDescent="0.25">
      <c r="A392" s="19" t="s">
        <v>506</v>
      </c>
      <c r="B392" s="33">
        <v>45684.02083333333</v>
      </c>
      <c r="C392" s="33">
        <v>45684.62847222222</v>
      </c>
      <c r="D392" s="19" t="s">
        <v>33</v>
      </c>
      <c r="E392" s="19" t="s">
        <v>61</v>
      </c>
      <c r="F392" s="19" t="s">
        <v>40</v>
      </c>
      <c r="G392" s="19" t="s">
        <v>116</v>
      </c>
      <c r="H392" s="19" t="s">
        <v>67</v>
      </c>
      <c r="I392" s="19" t="s">
        <v>114</v>
      </c>
      <c r="J392" s="20">
        <v>12</v>
      </c>
      <c r="K392" s="34">
        <v>0</v>
      </c>
      <c r="L392" s="34">
        <v>1</v>
      </c>
      <c r="M392" s="19">
        <f>IF(OR(ISBLANK(C392),C392=""),"",ROUND((C392-B392)*24,2))</f>
        <v>14.58</v>
      </c>
      <c r="N392" s="39" t="str">
        <f>IF(OR(ISBLANK(C392),C392="",M392=""),"In Progress",IF(M392&lt;=J392,"Met","Breached"))</f>
        <v>Breached</v>
      </c>
    </row>
    <row r="393" ht="19" customHeight="1" spans="1:14" x14ac:dyDescent="0.25">
      <c r="A393" s="22" t="s">
        <v>507</v>
      </c>
      <c r="B393" s="36">
        <v>45948.83541666667</v>
      </c>
      <c r="D393" s="22" t="s">
        <v>39</v>
      </c>
      <c r="E393" s="22" t="s">
        <v>65</v>
      </c>
      <c r="F393" s="22" t="s">
        <v>37</v>
      </c>
      <c r="G393" s="22" t="s">
        <v>63</v>
      </c>
      <c r="H393" s="22" t="s">
        <v>63</v>
      </c>
      <c r="I393" s="22" t="s">
        <v>111</v>
      </c>
      <c r="J393" s="23">
        <v>48</v>
      </c>
      <c r="K393" s="37">
        <v>0</v>
      </c>
      <c r="M393" s="22" t="str">
        <f>IF(OR(ISBLANK(C393),C393=""),"",ROUND((C393-B393)*24,2))</f>
        <v/>
      </c>
      <c r="N393" s="22" t="str">
        <f>IF(OR(ISBLANK(C393),C393="",M393=""),"In Progress",IF(M393&lt;=J393,"Met","Breached"))</f>
        <v>In Progress</v>
      </c>
    </row>
    <row r="394" ht="19" customHeight="1" spans="1:14" x14ac:dyDescent="0.25">
      <c r="A394" s="19" t="s">
        <v>508</v>
      </c>
      <c r="B394" s="33">
        <v>46068.88125</v>
      </c>
      <c r="C394" s="33">
        <v>46074.54027777778</v>
      </c>
      <c r="D394" s="19" t="s">
        <v>36</v>
      </c>
      <c r="E394" s="19" t="s">
        <v>69</v>
      </c>
      <c r="F394" s="19" t="s">
        <v>37</v>
      </c>
      <c r="G394" s="19" t="s">
        <v>121</v>
      </c>
      <c r="H394" s="19" t="s">
        <v>59</v>
      </c>
      <c r="I394" s="19" t="s">
        <v>114</v>
      </c>
      <c r="J394" s="20">
        <v>120</v>
      </c>
      <c r="K394" s="34">
        <v>0</v>
      </c>
      <c r="L394" s="34">
        <v>3</v>
      </c>
      <c r="M394" s="19">
        <f>IF(OR(ISBLANK(C394),C394=""),"",ROUND((C394-B394)*24,2))</f>
        <v>135.82</v>
      </c>
      <c r="N394" s="39" t="str">
        <f>IF(OR(ISBLANK(C394),C394="",M394=""),"In Progress",IF(M394&lt;=J394,"Met","Breached"))</f>
        <v>Breached</v>
      </c>
    </row>
    <row r="395" ht="19" customHeight="1" spans="1:14" x14ac:dyDescent="0.25">
      <c r="A395" s="22" t="s">
        <v>509</v>
      </c>
      <c r="B395" s="36">
        <v>46052.884722222225</v>
      </c>
      <c r="C395" s="36">
        <v>46056.13333333333</v>
      </c>
      <c r="D395" s="22" t="s">
        <v>36</v>
      </c>
      <c r="E395" s="22" t="s">
        <v>65</v>
      </c>
      <c r="F395" s="22" t="s">
        <v>45</v>
      </c>
      <c r="G395" s="22" t="s">
        <v>126</v>
      </c>
      <c r="H395" s="22" t="s">
        <v>71</v>
      </c>
      <c r="I395" s="22" t="s">
        <v>147</v>
      </c>
      <c r="J395" s="23">
        <v>48</v>
      </c>
      <c r="K395" s="37">
        <v>0</v>
      </c>
      <c r="L395" s="37">
        <v>5</v>
      </c>
      <c r="M395" s="22">
        <f>IF(OR(ISBLANK(C395),C395=""),"",ROUND((C395-B395)*24,2))</f>
        <v>77.97</v>
      </c>
      <c r="N395" s="38" t="str">
        <f>IF(OR(ISBLANK(C395),C395="",M395=""),"In Progress",IF(M395&lt;=J395,"Met","Breached"))</f>
        <v>Breached</v>
      </c>
    </row>
    <row r="396" ht="19" customHeight="1" spans="1:14" x14ac:dyDescent="0.25">
      <c r="A396" s="19" t="s">
        <v>510</v>
      </c>
      <c r="B396" s="33">
        <v>45903.82430555555</v>
      </c>
      <c r="C396" s="33">
        <v>45907.30694444444</v>
      </c>
      <c r="D396" s="19" t="s">
        <v>36</v>
      </c>
      <c r="E396" s="19" t="s">
        <v>65</v>
      </c>
      <c r="F396" s="19" t="s">
        <v>37</v>
      </c>
      <c r="G396" s="19" t="s">
        <v>126</v>
      </c>
      <c r="H396" s="19" t="s">
        <v>63</v>
      </c>
      <c r="I396" s="19" t="s">
        <v>123</v>
      </c>
      <c r="J396" s="20">
        <v>48</v>
      </c>
      <c r="K396" s="34">
        <v>0</v>
      </c>
      <c r="L396" s="34">
        <v>5</v>
      </c>
      <c r="M396" s="19">
        <f>IF(OR(ISBLANK(C396),C396=""),"",ROUND((C396-B396)*24,2))</f>
        <v>83.58</v>
      </c>
      <c r="N396" s="39" t="str">
        <f>IF(OR(ISBLANK(C396),C396="",M396=""),"In Progress",IF(M396&lt;=J396,"Met","Breached"))</f>
        <v>Breached</v>
      </c>
    </row>
    <row r="397" ht="19" customHeight="1" spans="1:14" x14ac:dyDescent="0.25">
      <c r="A397" s="22" t="s">
        <v>511</v>
      </c>
      <c r="B397" s="36">
        <v>46164.38541666667</v>
      </c>
      <c r="C397" s="36">
        <v>46166.825694444444</v>
      </c>
      <c r="D397" s="22" t="s">
        <v>36</v>
      </c>
      <c r="E397" s="22" t="s">
        <v>65</v>
      </c>
      <c r="F397" s="22" t="s">
        <v>45</v>
      </c>
      <c r="G397" s="22" t="s">
        <v>110</v>
      </c>
      <c r="H397" s="22" t="s">
        <v>67</v>
      </c>
      <c r="I397" s="22" t="s">
        <v>147</v>
      </c>
      <c r="J397" s="23">
        <v>48</v>
      </c>
      <c r="K397" s="37">
        <v>0</v>
      </c>
      <c r="L397" s="37">
        <v>5</v>
      </c>
      <c r="M397" s="22">
        <f>IF(OR(ISBLANK(C397),C397=""),"",ROUND((C397-B397)*24,2))</f>
        <v>58.57</v>
      </c>
      <c r="N397" s="38" t="str">
        <f>IF(OR(ISBLANK(C397),C397="",M397=""),"In Progress",IF(M397&lt;=J397,"Met","Breached"))</f>
        <v>Breached</v>
      </c>
    </row>
    <row r="398" ht="19" customHeight="1" spans="1:14" x14ac:dyDescent="0.25">
      <c r="A398" s="19" t="s">
        <v>512</v>
      </c>
      <c r="B398" s="33">
        <v>45897.19930555555</v>
      </c>
      <c r="C398" s="33">
        <v>45899.52569444444</v>
      </c>
      <c r="D398" s="19" t="s">
        <v>33</v>
      </c>
      <c r="E398" s="19" t="s">
        <v>65</v>
      </c>
      <c r="F398" s="19" t="s">
        <v>43</v>
      </c>
      <c r="G398" s="19" t="s">
        <v>126</v>
      </c>
      <c r="H398" s="19" t="s">
        <v>71</v>
      </c>
      <c r="I398" s="19" t="s">
        <v>114</v>
      </c>
      <c r="J398" s="20">
        <v>48</v>
      </c>
      <c r="K398" s="34">
        <v>0</v>
      </c>
      <c r="L398" s="34">
        <v>1</v>
      </c>
      <c r="M398" s="19">
        <f>IF(OR(ISBLANK(C398),C398=""),"",ROUND((C398-B398)*24,2))</f>
        <v>55.83</v>
      </c>
      <c r="N398" s="39" t="str">
        <f>IF(OR(ISBLANK(C398),C398="",M398=""),"In Progress",IF(M398&lt;=J398,"Met","Breached"))</f>
        <v>Breached</v>
      </c>
    </row>
    <row r="399" ht="19" customHeight="1" spans="1:14" x14ac:dyDescent="0.25">
      <c r="A399" s="22" t="s">
        <v>513</v>
      </c>
      <c r="B399" s="36">
        <v>45704.23125</v>
      </c>
      <c r="C399" s="36">
        <v>45705.56597222222</v>
      </c>
      <c r="D399" s="22" t="s">
        <v>33</v>
      </c>
      <c r="E399" s="22" t="s">
        <v>65</v>
      </c>
      <c r="F399" s="22" t="s">
        <v>37</v>
      </c>
      <c r="G399" s="22" t="s">
        <v>113</v>
      </c>
      <c r="H399" s="22" t="s">
        <v>67</v>
      </c>
      <c r="I399" s="22" t="s">
        <v>117</v>
      </c>
      <c r="J399" s="23">
        <v>48</v>
      </c>
      <c r="K399" s="37">
        <v>0</v>
      </c>
      <c r="L399" s="37">
        <v>1</v>
      </c>
      <c r="M399" s="22">
        <f>IF(OR(ISBLANK(C399),C399=""),"",ROUND((C399-B399)*24,2))</f>
        <v>32.03</v>
      </c>
      <c r="N399" s="40" t="str">
        <f>IF(OR(ISBLANK(C399),C399="",M399=""),"In Progress",IF(M399&lt;=J399,"Met","Breached"))</f>
        <v>Met</v>
      </c>
    </row>
    <row r="400" ht="19" customHeight="1" spans="1:14" x14ac:dyDescent="0.25">
      <c r="A400" s="19" t="s">
        <v>514</v>
      </c>
      <c r="B400" s="33">
        <v>45970.34444444445</v>
      </c>
      <c r="D400" s="19" t="s">
        <v>42</v>
      </c>
      <c r="E400" s="19" t="s">
        <v>61</v>
      </c>
      <c r="F400" s="19" t="s">
        <v>37</v>
      </c>
      <c r="G400" s="19" t="s">
        <v>121</v>
      </c>
      <c r="H400" s="19" t="s">
        <v>59</v>
      </c>
      <c r="I400" s="19" t="s">
        <v>114</v>
      </c>
      <c r="J400" s="20">
        <v>12</v>
      </c>
      <c r="K400" s="34">
        <v>0</v>
      </c>
      <c r="M400" s="19" t="str">
        <f>IF(OR(ISBLANK(C400),C400=""),"",ROUND((C400-B400)*24,2))</f>
        <v/>
      </c>
      <c r="N400" s="19" t="str">
        <f>IF(OR(ISBLANK(C400),C400="",M400=""),"In Progress",IF(M400&lt;=J400,"Met","Breached"))</f>
        <v>In Progress</v>
      </c>
    </row>
    <row r="401" ht="19" customHeight="1" spans="1:14" x14ac:dyDescent="0.25">
      <c r="A401" s="22" t="s">
        <v>515</v>
      </c>
      <c r="B401" s="36">
        <v>45702.22916666667</v>
      </c>
      <c r="C401" s="36">
        <v>45705.09027777778</v>
      </c>
      <c r="D401" s="22" t="s">
        <v>33</v>
      </c>
      <c r="E401" s="22" t="s">
        <v>69</v>
      </c>
      <c r="F401" s="22" t="s">
        <v>40</v>
      </c>
      <c r="G401" s="22" t="s">
        <v>116</v>
      </c>
      <c r="H401" s="22" t="s">
        <v>59</v>
      </c>
      <c r="I401" s="22" t="s">
        <v>114</v>
      </c>
      <c r="J401" s="23">
        <v>120</v>
      </c>
      <c r="K401" s="37">
        <v>1</v>
      </c>
      <c r="M401" s="22">
        <f>IF(OR(ISBLANK(C401),C401=""),"",ROUND((C401-B401)*24,2))</f>
        <v>68.67</v>
      </c>
      <c r="N401" s="40" t="str">
        <f>IF(OR(ISBLANK(C401),C401="",M401=""),"In Progress",IF(M401&lt;=J401,"Met","Breached"))</f>
        <v>Met</v>
      </c>
    </row>
    <row r="402" ht="19" customHeight="1" spans="1:14" x14ac:dyDescent="0.25">
      <c r="A402" s="19" t="s">
        <v>516</v>
      </c>
      <c r="B402" s="33">
        <v>45680.05416666667</v>
      </c>
      <c r="D402" s="19" t="s">
        <v>39</v>
      </c>
      <c r="E402" s="19" t="s">
        <v>69</v>
      </c>
      <c r="F402" s="19" t="s">
        <v>40</v>
      </c>
      <c r="G402" s="19" t="s">
        <v>121</v>
      </c>
      <c r="H402" s="19" t="s">
        <v>59</v>
      </c>
      <c r="I402" s="19" t="s">
        <v>123</v>
      </c>
      <c r="J402" s="20">
        <v>120</v>
      </c>
      <c r="K402" s="34">
        <v>0</v>
      </c>
      <c r="M402" s="19" t="str">
        <f>IF(OR(ISBLANK(C402),C402=""),"",ROUND((C402-B402)*24,2))</f>
        <v/>
      </c>
      <c r="N402" s="19" t="str">
        <f>IF(OR(ISBLANK(C402),C402="",M402=""),"In Progress",IF(M402&lt;=J402,"Met","Breached"))</f>
        <v>In Progress</v>
      </c>
    </row>
    <row r="403" ht="19" customHeight="1" spans="1:14" x14ac:dyDescent="0.25">
      <c r="A403" s="22" t="s">
        <v>517</v>
      </c>
      <c r="B403" s="36">
        <v>46246.023611111115</v>
      </c>
      <c r="C403" s="36">
        <v>46248.58888888889</v>
      </c>
      <c r="D403" s="22" t="s">
        <v>33</v>
      </c>
      <c r="E403" s="22" t="s">
        <v>65</v>
      </c>
      <c r="F403" s="22" t="s">
        <v>43</v>
      </c>
      <c r="G403" s="22" t="s">
        <v>126</v>
      </c>
      <c r="H403" s="22" t="s">
        <v>63</v>
      </c>
      <c r="I403" s="22" t="s">
        <v>117</v>
      </c>
      <c r="J403" s="23">
        <v>48</v>
      </c>
      <c r="K403" s="37">
        <v>0</v>
      </c>
      <c r="L403" s="37">
        <v>2</v>
      </c>
      <c r="M403" s="22">
        <f>IF(OR(ISBLANK(C403),C403=""),"",ROUND((C403-B403)*24,2))</f>
        <v>61.57</v>
      </c>
      <c r="N403" s="38" t="str">
        <f>IF(OR(ISBLANK(C403),C403="",M403=""),"In Progress",IF(M403&lt;=J403,"Met","Breached"))</f>
        <v>Breached</v>
      </c>
    </row>
    <row r="404" ht="19" customHeight="1" spans="1:14" x14ac:dyDescent="0.25">
      <c r="A404" s="19" t="s">
        <v>518</v>
      </c>
      <c r="B404" s="33">
        <v>45967.90625</v>
      </c>
      <c r="D404" s="19" t="s">
        <v>39</v>
      </c>
      <c r="E404" s="19" t="s">
        <v>65</v>
      </c>
      <c r="F404" s="19" t="s">
        <v>37</v>
      </c>
      <c r="G404" s="19" t="s">
        <v>116</v>
      </c>
      <c r="H404" s="19" t="s">
        <v>59</v>
      </c>
      <c r="I404" s="19" t="s">
        <v>114</v>
      </c>
      <c r="J404" s="20">
        <v>48</v>
      </c>
      <c r="K404" s="34">
        <v>0</v>
      </c>
      <c r="M404" s="19" t="str">
        <f>IF(OR(ISBLANK(C404),C404=""),"",ROUND((C404-B404)*24,2))</f>
        <v/>
      </c>
      <c r="N404" s="19" t="str">
        <f>IF(OR(ISBLANK(C404),C404="",M404=""),"In Progress",IF(M404&lt;=J404,"Met","Breached"))</f>
        <v>In Progress</v>
      </c>
    </row>
    <row r="405" ht="19" customHeight="1" spans="1:14" x14ac:dyDescent="0.25">
      <c r="A405" s="22" t="s">
        <v>519</v>
      </c>
      <c r="B405" s="36">
        <v>45742.74513888889</v>
      </c>
      <c r="C405" s="36">
        <v>45745.07361111111</v>
      </c>
      <c r="D405" s="22" t="s">
        <v>33</v>
      </c>
      <c r="E405" s="22" t="s">
        <v>65</v>
      </c>
      <c r="F405" s="22" t="s">
        <v>34</v>
      </c>
      <c r="G405" s="22" t="s">
        <v>63</v>
      </c>
      <c r="H405" s="22" t="s">
        <v>67</v>
      </c>
      <c r="I405" s="22" t="s">
        <v>147</v>
      </c>
      <c r="J405" s="23">
        <v>48</v>
      </c>
      <c r="K405" s="37">
        <v>0</v>
      </c>
      <c r="L405" s="37">
        <v>1</v>
      </c>
      <c r="M405" s="22">
        <f>IF(OR(ISBLANK(C405),C405=""),"",ROUND((C405-B405)*24,2))</f>
        <v>55.88</v>
      </c>
      <c r="N405" s="38" t="str">
        <f>IF(OR(ISBLANK(C405),C405="",M405=""),"In Progress",IF(M405&lt;=J405,"Met","Breached"))</f>
        <v>Breached</v>
      </c>
    </row>
    <row r="406" ht="19" customHeight="1" spans="1:14" x14ac:dyDescent="0.25">
      <c r="A406" s="19" t="s">
        <v>520</v>
      </c>
      <c r="B406" s="33">
        <v>46075.72777777778</v>
      </c>
      <c r="C406" s="33">
        <v>46075.81041666667</v>
      </c>
      <c r="D406" s="19" t="s">
        <v>33</v>
      </c>
      <c r="E406" s="19" t="s">
        <v>57</v>
      </c>
      <c r="F406" s="19" t="s">
        <v>45</v>
      </c>
      <c r="G406" s="19" t="s">
        <v>116</v>
      </c>
      <c r="H406" s="19" t="s">
        <v>59</v>
      </c>
      <c r="I406" s="19" t="s">
        <v>147</v>
      </c>
      <c r="J406" s="20">
        <v>4</v>
      </c>
      <c r="K406" s="34">
        <v>1</v>
      </c>
      <c r="L406" s="34">
        <v>5</v>
      </c>
      <c r="M406" s="19">
        <f>IF(OR(ISBLANK(C406),C406=""),"",ROUND((C406-B406)*24,2))</f>
        <v>1.98</v>
      </c>
      <c r="N406" s="35" t="str">
        <f>IF(OR(ISBLANK(C406),C406="",M406=""),"In Progress",IF(M406&lt;=J406,"Met","Breached"))</f>
        <v>Met</v>
      </c>
    </row>
    <row r="407" ht="19" customHeight="1" spans="1:14" x14ac:dyDescent="0.25">
      <c r="A407" s="22" t="s">
        <v>521</v>
      </c>
      <c r="B407" s="36">
        <v>45964.160416666666</v>
      </c>
      <c r="C407" s="36">
        <v>45965.16875</v>
      </c>
      <c r="D407" s="22" t="s">
        <v>33</v>
      </c>
      <c r="E407" s="22" t="s">
        <v>65</v>
      </c>
      <c r="F407" s="22" t="s">
        <v>45</v>
      </c>
      <c r="G407" s="22" t="s">
        <v>113</v>
      </c>
      <c r="H407" s="22" t="s">
        <v>59</v>
      </c>
      <c r="I407" s="22" t="s">
        <v>117</v>
      </c>
      <c r="J407" s="23">
        <v>48</v>
      </c>
      <c r="K407" s="37">
        <v>0</v>
      </c>
      <c r="L407" s="37">
        <v>3</v>
      </c>
      <c r="M407" s="22">
        <f>IF(OR(ISBLANK(C407),C407=""),"",ROUND((C407-B407)*24,2))</f>
        <v>24.2</v>
      </c>
      <c r="N407" s="40" t="str">
        <f>IF(OR(ISBLANK(C407),C407="",M407=""),"In Progress",IF(M407&lt;=J407,"Met","Breached"))</f>
        <v>Met</v>
      </c>
    </row>
    <row r="408" ht="19" customHeight="1" spans="1:14" x14ac:dyDescent="0.25">
      <c r="A408" s="19" t="s">
        <v>522</v>
      </c>
      <c r="B408" s="33">
        <v>45951.62638888889</v>
      </c>
      <c r="D408" s="19" t="s">
        <v>39</v>
      </c>
      <c r="E408" s="19" t="s">
        <v>61</v>
      </c>
      <c r="F408" s="19" t="s">
        <v>45</v>
      </c>
      <c r="G408" s="19" t="s">
        <v>116</v>
      </c>
      <c r="H408" s="19" t="s">
        <v>59</v>
      </c>
      <c r="I408" s="19" t="s">
        <v>108</v>
      </c>
      <c r="J408" s="20">
        <v>12</v>
      </c>
      <c r="K408" s="34">
        <v>0</v>
      </c>
      <c r="M408" s="19" t="str">
        <f>IF(OR(ISBLANK(C408),C408=""),"",ROUND((C408-B408)*24,2))</f>
        <v/>
      </c>
      <c r="N408" s="19" t="str">
        <f>IF(OR(ISBLANK(C408),C408="",M408=""),"In Progress",IF(M408&lt;=J408,"Met","Breached"))</f>
        <v>In Progress</v>
      </c>
    </row>
    <row r="409" ht="19" customHeight="1" spans="1:14" x14ac:dyDescent="0.25">
      <c r="A409" s="22" t="s">
        <v>523</v>
      </c>
      <c r="B409" s="36">
        <v>45865.78194444445</v>
      </c>
      <c r="D409" s="22" t="s">
        <v>39</v>
      </c>
      <c r="E409" s="22" t="s">
        <v>65</v>
      </c>
      <c r="F409" s="22" t="s">
        <v>45</v>
      </c>
      <c r="G409" s="22" t="s">
        <v>113</v>
      </c>
      <c r="H409" s="22" t="s">
        <v>59</v>
      </c>
      <c r="I409" s="22" t="s">
        <v>123</v>
      </c>
      <c r="J409" s="23">
        <v>48</v>
      </c>
      <c r="K409" s="37">
        <v>0</v>
      </c>
      <c r="M409" s="22" t="str">
        <f>IF(OR(ISBLANK(C409),C409=""),"",ROUND((C409-B409)*24,2))</f>
        <v/>
      </c>
      <c r="N409" s="22" t="str">
        <f>IF(OR(ISBLANK(C409),C409="",M409=""),"In Progress",IF(M409&lt;=J409,"Met","Breached"))</f>
        <v>In Progress</v>
      </c>
    </row>
    <row r="410" ht="19" customHeight="1" spans="1:14" x14ac:dyDescent="0.25">
      <c r="A410" s="19" t="s">
        <v>524</v>
      </c>
      <c r="B410" s="33">
        <v>45932.05625</v>
      </c>
      <c r="C410" s="33">
        <v>45932.16527777778</v>
      </c>
      <c r="D410" s="19" t="s">
        <v>33</v>
      </c>
      <c r="E410" s="19" t="s">
        <v>57</v>
      </c>
      <c r="F410" s="19" t="s">
        <v>40</v>
      </c>
      <c r="G410" s="19" t="s">
        <v>113</v>
      </c>
      <c r="H410" s="19" t="s">
        <v>59</v>
      </c>
      <c r="I410" s="19" t="s">
        <v>147</v>
      </c>
      <c r="J410" s="20">
        <v>4</v>
      </c>
      <c r="K410" s="34">
        <v>0</v>
      </c>
      <c r="L410" s="34">
        <v>5</v>
      </c>
      <c r="M410" s="19">
        <f>IF(OR(ISBLANK(C410),C410=""),"",ROUND((C410-B410)*24,2))</f>
        <v>2.62</v>
      </c>
      <c r="N410" s="35" t="str">
        <f>IF(OR(ISBLANK(C410),C410="",M410=""),"In Progress",IF(M410&lt;=J410,"Met","Breached"))</f>
        <v>Met</v>
      </c>
    </row>
    <row r="411" ht="19" customHeight="1" spans="1:14" x14ac:dyDescent="0.25">
      <c r="A411" s="22" t="s">
        <v>525</v>
      </c>
      <c r="B411" s="36">
        <v>46100.70625</v>
      </c>
      <c r="C411" s="36">
        <v>46101.84444444445</v>
      </c>
      <c r="D411" s="22" t="s">
        <v>33</v>
      </c>
      <c r="E411" s="22" t="s">
        <v>65</v>
      </c>
      <c r="F411" s="22" t="s">
        <v>43</v>
      </c>
      <c r="G411" s="22" t="s">
        <v>126</v>
      </c>
      <c r="H411" s="22" t="s">
        <v>59</v>
      </c>
      <c r="I411" s="22" t="s">
        <v>108</v>
      </c>
      <c r="J411" s="23">
        <v>48</v>
      </c>
      <c r="K411" s="37">
        <v>0</v>
      </c>
      <c r="M411" s="22">
        <f>IF(OR(ISBLANK(C411),C411=""),"",ROUND((C411-B411)*24,2))</f>
        <v>27.32</v>
      </c>
      <c r="N411" s="40" t="str">
        <f>IF(OR(ISBLANK(C411),C411="",M411=""),"In Progress",IF(M411&lt;=J411,"Met","Breached"))</f>
        <v>Met</v>
      </c>
    </row>
    <row r="412" ht="19" customHeight="1" spans="1:14" x14ac:dyDescent="0.25">
      <c r="A412" s="19" t="s">
        <v>526</v>
      </c>
      <c r="B412" s="33">
        <v>45683.518055555556</v>
      </c>
      <c r="D412" s="19" t="s">
        <v>42</v>
      </c>
      <c r="E412" s="19" t="s">
        <v>61</v>
      </c>
      <c r="F412" s="19" t="s">
        <v>40</v>
      </c>
      <c r="G412" s="19" t="s">
        <v>63</v>
      </c>
      <c r="H412" s="19" t="s">
        <v>63</v>
      </c>
      <c r="I412" s="19" t="s">
        <v>114</v>
      </c>
      <c r="J412" s="20">
        <v>12</v>
      </c>
      <c r="K412" s="34">
        <v>0</v>
      </c>
      <c r="M412" s="19" t="str">
        <f>IF(OR(ISBLANK(C412),C412=""),"",ROUND((C412-B412)*24,2))</f>
        <v/>
      </c>
      <c r="N412" s="19" t="str">
        <f>IF(OR(ISBLANK(C412),C412="",M412=""),"In Progress",IF(M412&lt;=J412,"Met","Breached"))</f>
        <v>In Progress</v>
      </c>
    </row>
    <row r="413" ht="19" customHeight="1" spans="1:14" x14ac:dyDescent="0.25">
      <c r="A413" s="22" t="s">
        <v>527</v>
      </c>
      <c r="B413" s="36">
        <v>45914.868055555555</v>
      </c>
      <c r="C413" s="36">
        <v>45923.481944444444</v>
      </c>
      <c r="D413" s="22" t="s">
        <v>33</v>
      </c>
      <c r="E413" s="22" t="s">
        <v>69</v>
      </c>
      <c r="F413" s="22" t="s">
        <v>37</v>
      </c>
      <c r="G413" s="22" t="s">
        <v>121</v>
      </c>
      <c r="H413" s="22" t="s">
        <v>67</v>
      </c>
      <c r="I413" s="22" t="s">
        <v>111</v>
      </c>
      <c r="J413" s="23">
        <v>120</v>
      </c>
      <c r="K413" s="37">
        <v>0</v>
      </c>
      <c r="L413" s="37">
        <v>3</v>
      </c>
      <c r="M413" s="22">
        <f>IF(OR(ISBLANK(C413),C413=""),"",ROUND((C413-B413)*24,2))</f>
        <v>206.73</v>
      </c>
      <c r="N413" s="38" t="str">
        <f>IF(OR(ISBLANK(C413),C413="",M413=""),"In Progress",IF(M413&lt;=J413,"Met","Breached"))</f>
        <v>Breached</v>
      </c>
    </row>
    <row r="414" ht="19" customHeight="1" spans="1:14" x14ac:dyDescent="0.25">
      <c r="A414" s="19" t="s">
        <v>528</v>
      </c>
      <c r="B414" s="33">
        <v>46053.06597222222</v>
      </c>
      <c r="D414" s="19" t="s">
        <v>42</v>
      </c>
      <c r="E414" s="19" t="s">
        <v>65</v>
      </c>
      <c r="F414" s="19" t="s">
        <v>40</v>
      </c>
      <c r="G414" s="19" t="s">
        <v>63</v>
      </c>
      <c r="H414" s="19" t="s">
        <v>59</v>
      </c>
      <c r="I414" s="19" t="s">
        <v>117</v>
      </c>
      <c r="J414" s="20">
        <v>48</v>
      </c>
      <c r="K414" s="34">
        <v>0</v>
      </c>
      <c r="M414" s="19" t="str">
        <f>IF(OR(ISBLANK(C414),C414=""),"",ROUND((C414-B414)*24,2))</f>
        <v/>
      </c>
      <c r="N414" s="19" t="str">
        <f>IF(OR(ISBLANK(C414),C414="",M414=""),"In Progress",IF(M414&lt;=J414,"Met","Breached"))</f>
        <v>In Progress</v>
      </c>
    </row>
    <row r="415" ht="19" customHeight="1" spans="1:14" x14ac:dyDescent="0.25">
      <c r="A415" s="22" t="s">
        <v>529</v>
      </c>
      <c r="B415" s="36">
        <v>46285.820138888885</v>
      </c>
      <c r="C415" s="36">
        <v>46287.72222222222</v>
      </c>
      <c r="D415" s="22" t="s">
        <v>33</v>
      </c>
      <c r="E415" s="22" t="s">
        <v>65</v>
      </c>
      <c r="F415" s="22" t="s">
        <v>34</v>
      </c>
      <c r="G415" s="22" t="s">
        <v>121</v>
      </c>
      <c r="H415" s="22" t="s">
        <v>71</v>
      </c>
      <c r="I415" s="22" t="s">
        <v>108</v>
      </c>
      <c r="J415" s="23">
        <v>48</v>
      </c>
      <c r="K415" s="37">
        <v>0</v>
      </c>
      <c r="L415" s="37">
        <v>3</v>
      </c>
      <c r="M415" s="22">
        <f>IF(OR(ISBLANK(C415),C415=""),"",ROUND((C415-B415)*24,2))</f>
        <v>45.65</v>
      </c>
      <c r="N415" s="40" t="str">
        <f>IF(OR(ISBLANK(C415),C415="",M415=""),"In Progress",IF(M415&lt;=J415,"Met","Breached"))</f>
        <v>Met</v>
      </c>
    </row>
    <row r="416" ht="19" customHeight="1" spans="1:14" x14ac:dyDescent="0.25">
      <c r="A416" s="19" t="s">
        <v>530</v>
      </c>
      <c r="B416" s="33">
        <v>45665.78055555555</v>
      </c>
      <c r="D416" s="19" t="s">
        <v>39</v>
      </c>
      <c r="E416" s="19" t="s">
        <v>57</v>
      </c>
      <c r="F416" s="19" t="s">
        <v>45</v>
      </c>
      <c r="G416" s="19" t="s">
        <v>126</v>
      </c>
      <c r="H416" s="19" t="s">
        <v>67</v>
      </c>
      <c r="I416" s="19" t="s">
        <v>147</v>
      </c>
      <c r="J416" s="20">
        <v>4</v>
      </c>
      <c r="K416" s="34">
        <v>0</v>
      </c>
      <c r="M416" s="19" t="str">
        <f>IF(OR(ISBLANK(C416),C416=""),"",ROUND((C416-B416)*24,2))</f>
        <v/>
      </c>
      <c r="N416" s="19" t="str">
        <f>IF(OR(ISBLANK(C416),C416="",M416=""),"In Progress",IF(M416&lt;=J416,"Met","Breached"))</f>
        <v>In Progress</v>
      </c>
    </row>
    <row r="417" ht="19" customHeight="1" spans="1:14" x14ac:dyDescent="0.25">
      <c r="A417" s="22" t="s">
        <v>531</v>
      </c>
      <c r="B417" s="36">
        <v>45676.044444444444</v>
      </c>
      <c r="C417" s="36">
        <v>45683.48611111111</v>
      </c>
      <c r="D417" s="22" t="s">
        <v>36</v>
      </c>
      <c r="E417" s="22" t="s">
        <v>69</v>
      </c>
      <c r="F417" s="22" t="s">
        <v>43</v>
      </c>
      <c r="G417" s="22" t="s">
        <v>113</v>
      </c>
      <c r="H417" s="22" t="s">
        <v>63</v>
      </c>
      <c r="I417" s="22" t="s">
        <v>114</v>
      </c>
      <c r="J417" s="23">
        <v>120</v>
      </c>
      <c r="K417" s="37">
        <v>0</v>
      </c>
      <c r="L417" s="37">
        <v>1</v>
      </c>
      <c r="M417" s="22">
        <f>IF(OR(ISBLANK(C417),C417=""),"",ROUND((C417-B417)*24,2))</f>
        <v>178.6</v>
      </c>
      <c r="N417" s="38" t="str">
        <f>IF(OR(ISBLANK(C417),C417="",M417=""),"In Progress",IF(M417&lt;=J417,"Met","Breached"))</f>
        <v>Breached</v>
      </c>
    </row>
    <row r="418" ht="19" customHeight="1" spans="1:14" x14ac:dyDescent="0.25">
      <c r="A418" s="19" t="s">
        <v>532</v>
      </c>
      <c r="B418" s="33">
        <v>45664.46527777778</v>
      </c>
      <c r="C418" s="33">
        <v>45665.94236111111</v>
      </c>
      <c r="D418" s="19" t="s">
        <v>33</v>
      </c>
      <c r="E418" s="19" t="s">
        <v>65</v>
      </c>
      <c r="F418" s="19" t="s">
        <v>37</v>
      </c>
      <c r="G418" s="19" t="s">
        <v>116</v>
      </c>
      <c r="H418" s="19" t="s">
        <v>59</v>
      </c>
      <c r="I418" s="19" t="s">
        <v>147</v>
      </c>
      <c r="J418" s="20">
        <v>48</v>
      </c>
      <c r="K418" s="34">
        <v>0</v>
      </c>
      <c r="L418" s="34">
        <v>4</v>
      </c>
      <c r="M418" s="19">
        <f>IF(OR(ISBLANK(C418),C418=""),"",ROUND((C418-B418)*24,2))</f>
        <v>35.45</v>
      </c>
      <c r="N418" s="35" t="str">
        <f>IF(OR(ISBLANK(C418),C418="",M418=""),"In Progress",IF(M418&lt;=J418,"Met","Breached"))</f>
        <v>Met</v>
      </c>
    </row>
    <row r="419" ht="19" customHeight="1" spans="1:14" x14ac:dyDescent="0.25">
      <c r="A419" s="22" t="s">
        <v>533</v>
      </c>
      <c r="B419" s="36">
        <v>45965.90902777778</v>
      </c>
      <c r="C419" s="36">
        <v>45966.740277777775</v>
      </c>
      <c r="D419" s="22" t="s">
        <v>36</v>
      </c>
      <c r="E419" s="22" t="s">
        <v>65</v>
      </c>
      <c r="F419" s="22" t="s">
        <v>40</v>
      </c>
      <c r="G419" s="22" t="s">
        <v>116</v>
      </c>
      <c r="H419" s="22" t="s">
        <v>59</v>
      </c>
      <c r="I419" s="22" t="s">
        <v>123</v>
      </c>
      <c r="J419" s="23">
        <v>48</v>
      </c>
      <c r="K419" s="37">
        <v>0</v>
      </c>
      <c r="M419" s="22">
        <f>IF(OR(ISBLANK(C419),C419=""),"",ROUND((C419-B419)*24,2))</f>
        <v>19.95</v>
      </c>
      <c r="N419" s="40" t="str">
        <f>IF(OR(ISBLANK(C419),C419="",M419=""),"In Progress",IF(M419&lt;=J419,"Met","Breached"))</f>
        <v>Met</v>
      </c>
    </row>
    <row r="420" ht="19" customHeight="1" spans="1:14" x14ac:dyDescent="0.25">
      <c r="A420" s="19" t="s">
        <v>534</v>
      </c>
      <c r="B420" s="33">
        <v>45957.39791666667</v>
      </c>
      <c r="C420" s="33">
        <v>45958.15833333333</v>
      </c>
      <c r="D420" s="19" t="s">
        <v>33</v>
      </c>
      <c r="E420" s="19" t="s">
        <v>65</v>
      </c>
      <c r="F420" s="19" t="s">
        <v>43</v>
      </c>
      <c r="G420" s="19" t="s">
        <v>116</v>
      </c>
      <c r="H420" s="19" t="s">
        <v>63</v>
      </c>
      <c r="I420" s="19" t="s">
        <v>123</v>
      </c>
      <c r="J420" s="20">
        <v>48</v>
      </c>
      <c r="K420" s="34">
        <v>0</v>
      </c>
      <c r="M420" s="19">
        <f>IF(OR(ISBLANK(C420),C420=""),"",ROUND((C420-B420)*24,2))</f>
        <v>18.25</v>
      </c>
      <c r="N420" s="35" t="str">
        <f>IF(OR(ISBLANK(C420),C420="",M420=""),"In Progress",IF(M420&lt;=J420,"Met","Breached"))</f>
        <v>Met</v>
      </c>
    </row>
    <row r="421" ht="19" customHeight="1" spans="1:14" x14ac:dyDescent="0.25">
      <c r="A421" s="22" t="s">
        <v>535</v>
      </c>
      <c r="B421" s="36">
        <v>46205.87569444445</v>
      </c>
      <c r="C421" s="36">
        <v>46208.62638888889</v>
      </c>
      <c r="D421" s="22" t="s">
        <v>33</v>
      </c>
      <c r="E421" s="22" t="s">
        <v>65</v>
      </c>
      <c r="F421" s="22" t="s">
        <v>34</v>
      </c>
      <c r="G421" s="22" t="s">
        <v>113</v>
      </c>
      <c r="H421" s="22" t="s">
        <v>59</v>
      </c>
      <c r="I421" s="22" t="s">
        <v>117</v>
      </c>
      <c r="J421" s="23">
        <v>48</v>
      </c>
      <c r="K421" s="37">
        <v>0</v>
      </c>
      <c r="M421" s="22">
        <f>IF(OR(ISBLANK(C421),C421=""),"",ROUND((C421-B421)*24,2))</f>
        <v>66.02</v>
      </c>
      <c r="N421" s="38" t="str">
        <f>IF(OR(ISBLANK(C421),C421="",M421=""),"In Progress",IF(M421&lt;=J421,"Met","Breached"))</f>
        <v>Breached</v>
      </c>
    </row>
    <row r="422" ht="19" customHeight="1" spans="1:14" x14ac:dyDescent="0.25">
      <c r="A422" s="19" t="s">
        <v>536</v>
      </c>
      <c r="B422" s="33">
        <v>45848.65486111111</v>
      </c>
      <c r="C422" s="33">
        <v>45854.02847222222</v>
      </c>
      <c r="D422" s="19" t="s">
        <v>33</v>
      </c>
      <c r="E422" s="19" t="s">
        <v>69</v>
      </c>
      <c r="F422" s="19" t="s">
        <v>34</v>
      </c>
      <c r="G422" s="19" t="s">
        <v>126</v>
      </c>
      <c r="H422" s="19" t="s">
        <v>59</v>
      </c>
      <c r="I422" s="19" t="s">
        <v>147</v>
      </c>
      <c r="J422" s="20">
        <v>120</v>
      </c>
      <c r="K422" s="34">
        <v>0</v>
      </c>
      <c r="L422" s="34">
        <v>4</v>
      </c>
      <c r="M422" s="19">
        <f>IF(OR(ISBLANK(C422),C422=""),"",ROUND((C422-B422)*24,2))</f>
        <v>128.97</v>
      </c>
      <c r="N422" s="39" t="str">
        <f>IF(OR(ISBLANK(C422),C422="",M422=""),"In Progress",IF(M422&lt;=J422,"Met","Breached"))</f>
        <v>Breached</v>
      </c>
    </row>
    <row r="423" ht="19" customHeight="1" spans="1:14" x14ac:dyDescent="0.25">
      <c r="A423" s="22" t="s">
        <v>537</v>
      </c>
      <c r="B423" s="36">
        <v>45999.490277777775</v>
      </c>
      <c r="C423" s="36">
        <v>45999.774305555555</v>
      </c>
      <c r="D423" s="22" t="s">
        <v>33</v>
      </c>
      <c r="E423" s="22" t="s">
        <v>61</v>
      </c>
      <c r="F423" s="22" t="s">
        <v>34</v>
      </c>
      <c r="G423" s="22" t="s">
        <v>116</v>
      </c>
      <c r="H423" s="22" t="s">
        <v>59</v>
      </c>
      <c r="I423" s="22" t="s">
        <v>123</v>
      </c>
      <c r="J423" s="23">
        <v>12</v>
      </c>
      <c r="K423" s="37">
        <v>0</v>
      </c>
      <c r="M423" s="22">
        <f>IF(OR(ISBLANK(C423),C423=""),"",ROUND((C423-B423)*24,2))</f>
        <v>6.82</v>
      </c>
      <c r="N423" s="40" t="str">
        <f>IF(OR(ISBLANK(C423),C423="",M423=""),"In Progress",IF(M423&lt;=J423,"Met","Breached"))</f>
        <v>Met</v>
      </c>
    </row>
    <row r="424" ht="19" customHeight="1" spans="1:14" x14ac:dyDescent="0.25">
      <c r="A424" s="19" t="s">
        <v>538</v>
      </c>
      <c r="B424" s="33">
        <v>45815.65</v>
      </c>
      <c r="C424" s="33">
        <v>45816.353472222225</v>
      </c>
      <c r="D424" s="19" t="s">
        <v>36</v>
      </c>
      <c r="E424" s="19" t="s">
        <v>65</v>
      </c>
      <c r="F424" s="19" t="s">
        <v>37</v>
      </c>
      <c r="G424" s="19" t="s">
        <v>110</v>
      </c>
      <c r="H424" s="19" t="s">
        <v>63</v>
      </c>
      <c r="I424" s="19" t="s">
        <v>111</v>
      </c>
      <c r="J424" s="20">
        <v>48</v>
      </c>
      <c r="K424" s="34">
        <v>0</v>
      </c>
      <c r="L424" s="34">
        <v>1</v>
      </c>
      <c r="M424" s="19">
        <f>IF(OR(ISBLANK(C424),C424=""),"",ROUND((C424-B424)*24,2))</f>
        <v>16.88</v>
      </c>
      <c r="N424" s="35" t="str">
        <f>IF(OR(ISBLANK(C424),C424="",M424=""),"In Progress",IF(M424&lt;=J424,"Met","Breached"))</f>
        <v>Met</v>
      </c>
    </row>
    <row r="425" ht="19" customHeight="1" spans="1:14" x14ac:dyDescent="0.25">
      <c r="A425" s="22" t="s">
        <v>539</v>
      </c>
      <c r="B425" s="36">
        <v>45884.115277777775</v>
      </c>
      <c r="C425" s="36">
        <v>45886.398611111115</v>
      </c>
      <c r="D425" s="22" t="s">
        <v>33</v>
      </c>
      <c r="E425" s="22" t="s">
        <v>65</v>
      </c>
      <c r="F425" s="22" t="s">
        <v>34</v>
      </c>
      <c r="G425" s="22" t="s">
        <v>63</v>
      </c>
      <c r="H425" s="22" t="s">
        <v>59</v>
      </c>
      <c r="I425" s="22" t="s">
        <v>114</v>
      </c>
      <c r="J425" s="23">
        <v>48</v>
      </c>
      <c r="K425" s="37">
        <v>0</v>
      </c>
      <c r="M425" s="22">
        <f>IF(OR(ISBLANK(C425),C425=""),"",ROUND((C425-B425)*24,2))</f>
        <v>54.8</v>
      </c>
      <c r="N425" s="38" t="str">
        <f>IF(OR(ISBLANK(C425),C425="",M425=""),"In Progress",IF(M425&lt;=J425,"Met","Breached"))</f>
        <v>Breached</v>
      </c>
    </row>
    <row r="426" ht="19" customHeight="1" spans="1:14" x14ac:dyDescent="0.25">
      <c r="A426" s="19" t="s">
        <v>540</v>
      </c>
      <c r="B426" s="33">
        <v>45684.12986111111</v>
      </c>
      <c r="C426" s="33">
        <v>45684.28958333333</v>
      </c>
      <c r="D426" s="19" t="s">
        <v>33</v>
      </c>
      <c r="E426" s="19" t="s">
        <v>57</v>
      </c>
      <c r="F426" s="19" t="s">
        <v>43</v>
      </c>
      <c r="G426" s="19" t="s">
        <v>126</v>
      </c>
      <c r="H426" s="19" t="s">
        <v>59</v>
      </c>
      <c r="I426" s="19" t="s">
        <v>108</v>
      </c>
      <c r="J426" s="20">
        <v>4</v>
      </c>
      <c r="K426" s="34">
        <v>0</v>
      </c>
      <c r="L426" s="34">
        <v>4</v>
      </c>
      <c r="M426" s="19">
        <f>IF(OR(ISBLANK(C426),C426=""),"",ROUND((C426-B426)*24,2))</f>
        <v>3.83</v>
      </c>
      <c r="N426" s="35" t="str">
        <f>IF(OR(ISBLANK(C426),C426="",M426=""),"In Progress",IF(M426&lt;=J426,"Met","Breached"))</f>
        <v>Met</v>
      </c>
    </row>
    <row r="427" ht="19" customHeight="1" spans="1:14" x14ac:dyDescent="0.25">
      <c r="A427" s="22" t="s">
        <v>541</v>
      </c>
      <c r="B427" s="36">
        <v>46016.986805555556</v>
      </c>
      <c r="C427" s="36">
        <v>46017.78055555555</v>
      </c>
      <c r="D427" s="22" t="s">
        <v>33</v>
      </c>
      <c r="E427" s="22" t="s">
        <v>61</v>
      </c>
      <c r="F427" s="22" t="s">
        <v>37</v>
      </c>
      <c r="G427" s="22" t="s">
        <v>126</v>
      </c>
      <c r="H427" s="22" t="s">
        <v>59</v>
      </c>
      <c r="I427" s="22" t="s">
        <v>147</v>
      </c>
      <c r="J427" s="23">
        <v>12</v>
      </c>
      <c r="K427" s="37">
        <v>0</v>
      </c>
      <c r="L427" s="37">
        <v>1</v>
      </c>
      <c r="M427" s="22">
        <f>IF(OR(ISBLANK(C427),C427=""),"",ROUND((C427-B427)*24,2))</f>
        <v>19.05</v>
      </c>
      <c r="N427" s="38" t="str">
        <f>IF(OR(ISBLANK(C427),C427="",M427=""),"In Progress",IF(M427&lt;=J427,"Met","Breached"))</f>
        <v>Breached</v>
      </c>
    </row>
    <row r="428" ht="19" customHeight="1" spans="1:14" x14ac:dyDescent="0.25">
      <c r="A428" s="19" t="s">
        <v>542</v>
      </c>
      <c r="B428" s="33">
        <v>45680.69861111111</v>
      </c>
      <c r="D428" s="19" t="s">
        <v>39</v>
      </c>
      <c r="E428" s="19" t="s">
        <v>65</v>
      </c>
      <c r="F428" s="19" t="s">
        <v>43</v>
      </c>
      <c r="G428" s="19" t="s">
        <v>113</v>
      </c>
      <c r="H428" s="19" t="s">
        <v>67</v>
      </c>
      <c r="I428" s="19" t="s">
        <v>108</v>
      </c>
      <c r="J428" s="20">
        <v>48</v>
      </c>
      <c r="K428" s="34">
        <v>0</v>
      </c>
      <c r="M428" s="19" t="str">
        <f>IF(OR(ISBLANK(C428),C428=""),"",ROUND((C428-B428)*24,2))</f>
        <v/>
      </c>
      <c r="N428" s="19" t="str">
        <f>IF(OR(ISBLANK(C428),C428="",M428=""),"In Progress",IF(M428&lt;=J428,"Met","Breached"))</f>
        <v>In Progress</v>
      </c>
    </row>
    <row r="429" ht="19" customHeight="1" spans="1:14" x14ac:dyDescent="0.25">
      <c r="A429" s="22" t="s">
        <v>543</v>
      </c>
      <c r="B429" s="36">
        <v>45866.944444444445</v>
      </c>
      <c r="C429" s="36">
        <v>45869.09652777778</v>
      </c>
      <c r="D429" s="22" t="s">
        <v>36</v>
      </c>
      <c r="E429" s="22" t="s">
        <v>69</v>
      </c>
      <c r="F429" s="22" t="s">
        <v>34</v>
      </c>
      <c r="G429" s="22" t="s">
        <v>126</v>
      </c>
      <c r="H429" s="22" t="s">
        <v>63</v>
      </c>
      <c r="I429" s="22" t="s">
        <v>117</v>
      </c>
      <c r="J429" s="23">
        <v>120</v>
      </c>
      <c r="K429" s="37">
        <v>0</v>
      </c>
      <c r="L429" s="37">
        <v>2</v>
      </c>
      <c r="M429" s="22">
        <f>IF(OR(ISBLANK(C429),C429=""),"",ROUND((C429-B429)*24,2))</f>
        <v>51.65</v>
      </c>
      <c r="N429" s="40" t="str">
        <f>IF(OR(ISBLANK(C429),C429="",M429=""),"In Progress",IF(M429&lt;=J429,"Met","Breached"))</f>
        <v>Met</v>
      </c>
    </row>
    <row r="430" ht="19" customHeight="1" spans="1:14" x14ac:dyDescent="0.25">
      <c r="A430" s="19" t="s">
        <v>544</v>
      </c>
      <c r="B430" s="33">
        <v>46245.709027777775</v>
      </c>
      <c r="C430" s="33">
        <v>46249.19652777778</v>
      </c>
      <c r="D430" s="19" t="s">
        <v>36</v>
      </c>
      <c r="E430" s="19" t="s">
        <v>65</v>
      </c>
      <c r="F430" s="19" t="s">
        <v>40</v>
      </c>
      <c r="G430" s="19" t="s">
        <v>126</v>
      </c>
      <c r="H430" s="19" t="s">
        <v>67</v>
      </c>
      <c r="I430" s="19" t="s">
        <v>108</v>
      </c>
      <c r="J430" s="20">
        <v>48</v>
      </c>
      <c r="K430" s="34">
        <v>0</v>
      </c>
      <c r="M430" s="19">
        <f>IF(OR(ISBLANK(C430),C430=""),"",ROUND((C430-B430)*24,2))</f>
        <v>83.7</v>
      </c>
      <c r="N430" s="39" t="str">
        <f>IF(OR(ISBLANK(C430),C430="",M430=""),"In Progress",IF(M430&lt;=J430,"Met","Breached"))</f>
        <v>Breached</v>
      </c>
    </row>
    <row r="431" ht="19" customHeight="1" spans="1:14" x14ac:dyDescent="0.25">
      <c r="A431" s="22" t="s">
        <v>545</v>
      </c>
      <c r="B431" s="36">
        <v>45972.98819444445</v>
      </c>
      <c r="D431" s="22" t="s">
        <v>39</v>
      </c>
      <c r="E431" s="22" t="s">
        <v>69</v>
      </c>
      <c r="F431" s="22" t="s">
        <v>43</v>
      </c>
      <c r="G431" s="22" t="s">
        <v>126</v>
      </c>
      <c r="H431" s="22" t="s">
        <v>59</v>
      </c>
      <c r="I431" s="22" t="s">
        <v>123</v>
      </c>
      <c r="J431" s="23">
        <v>120</v>
      </c>
      <c r="K431" s="37">
        <v>0</v>
      </c>
      <c r="M431" s="22" t="str">
        <f>IF(OR(ISBLANK(C431),C431=""),"",ROUND((C431-B431)*24,2))</f>
        <v/>
      </c>
      <c r="N431" s="22" t="str">
        <f>IF(OR(ISBLANK(C431),C431="",M431=""),"In Progress",IF(M431&lt;=J431,"Met","Breached"))</f>
        <v>In Progress</v>
      </c>
    </row>
    <row r="432" ht="19" customHeight="1" spans="1:14" x14ac:dyDescent="0.25">
      <c r="A432" s="19" t="s">
        <v>546</v>
      </c>
      <c r="B432" s="33">
        <v>46196.038888888885</v>
      </c>
      <c r="C432" s="33">
        <v>46196.51041666667</v>
      </c>
      <c r="D432" s="19" t="s">
        <v>33</v>
      </c>
      <c r="E432" s="19" t="s">
        <v>61</v>
      </c>
      <c r="F432" s="19" t="s">
        <v>43</v>
      </c>
      <c r="G432" s="19" t="s">
        <v>116</v>
      </c>
      <c r="H432" s="19" t="s">
        <v>59</v>
      </c>
      <c r="I432" s="19" t="s">
        <v>117</v>
      </c>
      <c r="J432" s="20">
        <v>12</v>
      </c>
      <c r="K432" s="34">
        <v>0</v>
      </c>
      <c r="M432" s="19">
        <f>IF(OR(ISBLANK(C432),C432=""),"",ROUND((C432-B432)*24,2))</f>
        <v>11.32</v>
      </c>
      <c r="N432" s="35" t="str">
        <f>IF(OR(ISBLANK(C432),C432="",M432=""),"In Progress",IF(M432&lt;=J432,"Met","Breached"))</f>
        <v>Met</v>
      </c>
    </row>
    <row r="433" ht="19" customHeight="1" spans="1:14" x14ac:dyDescent="0.25">
      <c r="A433" s="22" t="s">
        <v>547</v>
      </c>
      <c r="B433" s="36">
        <v>46040.572222222225</v>
      </c>
      <c r="C433" s="36">
        <v>46042.16875</v>
      </c>
      <c r="D433" s="22" t="s">
        <v>33</v>
      </c>
      <c r="E433" s="22" t="s">
        <v>65</v>
      </c>
      <c r="F433" s="22" t="s">
        <v>40</v>
      </c>
      <c r="G433" s="22" t="s">
        <v>110</v>
      </c>
      <c r="H433" s="22" t="s">
        <v>71</v>
      </c>
      <c r="I433" s="22" t="s">
        <v>117</v>
      </c>
      <c r="J433" s="23">
        <v>48</v>
      </c>
      <c r="K433" s="37">
        <v>0</v>
      </c>
      <c r="L433" s="37">
        <v>4</v>
      </c>
      <c r="M433" s="22">
        <f>IF(OR(ISBLANK(C433),C433=""),"",ROUND((C433-B433)*24,2))</f>
        <v>38.32</v>
      </c>
      <c r="N433" s="40" t="str">
        <f>IF(OR(ISBLANK(C433),C433="",M433=""),"In Progress",IF(M433&lt;=J433,"Met","Breached"))</f>
        <v>Met</v>
      </c>
    </row>
    <row r="434" ht="19" customHeight="1" spans="1:14" x14ac:dyDescent="0.25">
      <c r="A434" s="19" t="s">
        <v>548</v>
      </c>
      <c r="B434" s="33">
        <v>45863.419444444444</v>
      </c>
      <c r="C434" s="33">
        <v>45866.40486111111</v>
      </c>
      <c r="D434" s="19" t="s">
        <v>33</v>
      </c>
      <c r="E434" s="19" t="s">
        <v>65</v>
      </c>
      <c r="F434" s="19" t="s">
        <v>37</v>
      </c>
      <c r="G434" s="19" t="s">
        <v>63</v>
      </c>
      <c r="H434" s="19" t="s">
        <v>59</v>
      </c>
      <c r="I434" s="19" t="s">
        <v>123</v>
      </c>
      <c r="J434" s="20">
        <v>48</v>
      </c>
      <c r="K434" s="34">
        <v>0</v>
      </c>
      <c r="M434" s="19">
        <f>IF(OR(ISBLANK(C434),C434=""),"",ROUND((C434-B434)*24,2))</f>
        <v>71.65</v>
      </c>
      <c r="N434" s="39" t="str">
        <f>IF(OR(ISBLANK(C434),C434="",M434=""),"In Progress",IF(M434&lt;=J434,"Met","Breached"))</f>
        <v>Breached</v>
      </c>
    </row>
    <row r="435" ht="19" customHeight="1" spans="1:14" x14ac:dyDescent="0.25">
      <c r="A435" s="22" t="s">
        <v>549</v>
      </c>
      <c r="B435" s="36">
        <v>46060.59097222222</v>
      </c>
      <c r="C435" s="36">
        <v>46063.50625</v>
      </c>
      <c r="D435" s="22" t="s">
        <v>33</v>
      </c>
      <c r="E435" s="22" t="s">
        <v>65</v>
      </c>
      <c r="F435" s="22" t="s">
        <v>40</v>
      </c>
      <c r="G435" s="22" t="s">
        <v>121</v>
      </c>
      <c r="H435" s="22" t="s">
        <v>59</v>
      </c>
      <c r="I435" s="22" t="s">
        <v>147</v>
      </c>
      <c r="J435" s="23">
        <v>48</v>
      </c>
      <c r="K435" s="37">
        <v>0</v>
      </c>
      <c r="L435" s="37">
        <v>5</v>
      </c>
      <c r="M435" s="22">
        <f>IF(OR(ISBLANK(C435),C435=""),"",ROUND((C435-B435)*24,2))</f>
        <v>69.97</v>
      </c>
      <c r="N435" s="38" t="str">
        <f>IF(OR(ISBLANK(C435),C435="",M435=""),"In Progress",IF(M435&lt;=J435,"Met","Breached"))</f>
        <v>Breached</v>
      </c>
    </row>
    <row r="436" ht="19" customHeight="1" spans="1:14" x14ac:dyDescent="0.25">
      <c r="A436" s="19" t="s">
        <v>550</v>
      </c>
      <c r="B436" s="33">
        <v>45894.2</v>
      </c>
      <c r="C436" s="33">
        <v>45894.40625</v>
      </c>
      <c r="D436" s="19" t="s">
        <v>36</v>
      </c>
      <c r="E436" s="19" t="s">
        <v>61</v>
      </c>
      <c r="F436" s="19" t="s">
        <v>37</v>
      </c>
      <c r="G436" s="19" t="s">
        <v>110</v>
      </c>
      <c r="H436" s="19" t="s">
        <v>59</v>
      </c>
      <c r="I436" s="19" t="s">
        <v>123</v>
      </c>
      <c r="J436" s="20">
        <v>12</v>
      </c>
      <c r="K436" s="34">
        <v>0</v>
      </c>
      <c r="L436" s="34">
        <v>2</v>
      </c>
      <c r="M436" s="19">
        <f>IF(OR(ISBLANK(C436),C436=""),"",ROUND((C436-B436)*24,2))</f>
        <v>4.95</v>
      </c>
      <c r="N436" s="35" t="str">
        <f>IF(OR(ISBLANK(C436),C436="",M436=""),"In Progress",IF(M436&lt;=J436,"Met","Breached"))</f>
        <v>Met</v>
      </c>
    </row>
    <row r="437" ht="19" customHeight="1" spans="1:14" x14ac:dyDescent="0.25">
      <c r="A437" s="22" t="s">
        <v>551</v>
      </c>
      <c r="B437" s="36">
        <v>45950.05</v>
      </c>
      <c r="C437" s="36">
        <v>45950.32777777778</v>
      </c>
      <c r="D437" s="22" t="s">
        <v>36</v>
      </c>
      <c r="E437" s="22" t="s">
        <v>57</v>
      </c>
      <c r="F437" s="22" t="s">
        <v>37</v>
      </c>
      <c r="G437" s="22" t="s">
        <v>121</v>
      </c>
      <c r="H437" s="22" t="s">
        <v>63</v>
      </c>
      <c r="I437" s="22" t="s">
        <v>117</v>
      </c>
      <c r="J437" s="23">
        <v>4</v>
      </c>
      <c r="K437" s="37">
        <v>1</v>
      </c>
      <c r="L437" s="37">
        <v>1</v>
      </c>
      <c r="M437" s="22">
        <f>IF(OR(ISBLANK(C437),C437=""),"",ROUND((C437-B437)*24,2))</f>
        <v>6.67</v>
      </c>
      <c r="N437" s="38" t="str">
        <f>IF(OR(ISBLANK(C437),C437="",M437=""),"In Progress",IF(M437&lt;=J437,"Met","Breached"))</f>
        <v>Breached</v>
      </c>
    </row>
    <row r="438" ht="19" customHeight="1" spans="1:14" x14ac:dyDescent="0.25">
      <c r="A438" s="19" t="s">
        <v>552</v>
      </c>
      <c r="B438" s="33">
        <v>46255.54722222222</v>
      </c>
      <c r="D438" s="19" t="s">
        <v>39</v>
      </c>
      <c r="E438" s="19" t="s">
        <v>61</v>
      </c>
      <c r="F438" s="19" t="s">
        <v>37</v>
      </c>
      <c r="G438" s="19" t="s">
        <v>126</v>
      </c>
      <c r="H438" s="19" t="s">
        <v>59</v>
      </c>
      <c r="I438" s="19" t="s">
        <v>114</v>
      </c>
      <c r="J438" s="20">
        <v>12</v>
      </c>
      <c r="K438" s="34">
        <v>0</v>
      </c>
      <c r="M438" s="19" t="str">
        <f>IF(OR(ISBLANK(C438),C438=""),"",ROUND((C438-B438)*24,2))</f>
        <v/>
      </c>
      <c r="N438" s="19" t="str">
        <f>IF(OR(ISBLANK(C438),C438="",M438=""),"In Progress",IF(M438&lt;=J438,"Met","Breached"))</f>
        <v>In Progress</v>
      </c>
    </row>
    <row r="439" ht="19" customHeight="1" spans="1:14" x14ac:dyDescent="0.25">
      <c r="A439" s="22" t="s">
        <v>553</v>
      </c>
      <c r="B439" s="36">
        <v>45897.43888888889</v>
      </c>
      <c r="C439" s="36">
        <v>45900.836805555555</v>
      </c>
      <c r="D439" s="22" t="s">
        <v>36</v>
      </c>
      <c r="E439" s="22" t="s">
        <v>69</v>
      </c>
      <c r="F439" s="22" t="s">
        <v>45</v>
      </c>
      <c r="G439" s="22" t="s">
        <v>113</v>
      </c>
      <c r="H439" s="22" t="s">
        <v>71</v>
      </c>
      <c r="I439" s="22" t="s">
        <v>114</v>
      </c>
      <c r="J439" s="23">
        <v>120</v>
      </c>
      <c r="K439" s="37">
        <v>0</v>
      </c>
      <c r="L439" s="37">
        <v>4</v>
      </c>
      <c r="M439" s="22">
        <f>IF(OR(ISBLANK(C439),C439=""),"",ROUND((C439-B439)*24,2))</f>
        <v>81.55</v>
      </c>
      <c r="N439" s="40" t="str">
        <f>IF(OR(ISBLANK(C439),C439="",M439=""),"In Progress",IF(M439&lt;=J439,"Met","Breached"))</f>
        <v>Met</v>
      </c>
    </row>
    <row r="440" ht="19" customHeight="1" spans="1:14" x14ac:dyDescent="0.25">
      <c r="A440" s="19" t="s">
        <v>554</v>
      </c>
      <c r="B440" s="33">
        <v>45722.23263888889</v>
      </c>
      <c r="C440" s="33">
        <v>45724.5</v>
      </c>
      <c r="D440" s="19" t="s">
        <v>36</v>
      </c>
      <c r="E440" s="19" t="s">
        <v>69</v>
      </c>
      <c r="F440" s="19" t="s">
        <v>43</v>
      </c>
      <c r="G440" s="19" t="s">
        <v>63</v>
      </c>
      <c r="H440" s="19" t="s">
        <v>59</v>
      </c>
      <c r="I440" s="19" t="s">
        <v>147</v>
      </c>
      <c r="J440" s="20">
        <v>120</v>
      </c>
      <c r="K440" s="34">
        <v>0</v>
      </c>
      <c r="L440" s="34">
        <v>2</v>
      </c>
      <c r="M440" s="19">
        <f>IF(OR(ISBLANK(C440),C440=""),"",ROUND((C440-B440)*24,2))</f>
        <v>54.42</v>
      </c>
      <c r="N440" s="35" t="str">
        <f>IF(OR(ISBLANK(C440),C440="",M440=""),"In Progress",IF(M440&lt;=J440,"Met","Breached"))</f>
        <v>Met</v>
      </c>
    </row>
    <row r="441" ht="19" customHeight="1" spans="1:14" x14ac:dyDescent="0.25">
      <c r="A441" s="22" t="s">
        <v>555</v>
      </c>
      <c r="B441" s="36">
        <v>45702.66180555556</v>
      </c>
      <c r="C441" s="36">
        <v>45702.81388888889</v>
      </c>
      <c r="D441" s="22" t="s">
        <v>33</v>
      </c>
      <c r="E441" s="22" t="s">
        <v>57</v>
      </c>
      <c r="F441" s="22" t="s">
        <v>45</v>
      </c>
      <c r="G441" s="22" t="s">
        <v>113</v>
      </c>
      <c r="H441" s="22" t="s">
        <v>63</v>
      </c>
      <c r="I441" s="22" t="s">
        <v>117</v>
      </c>
      <c r="J441" s="23">
        <v>4</v>
      </c>
      <c r="K441" s="37">
        <v>0</v>
      </c>
      <c r="L441" s="37">
        <v>1</v>
      </c>
      <c r="M441" s="22">
        <f>IF(OR(ISBLANK(C441),C441=""),"",ROUND((C441-B441)*24,2))</f>
        <v>3.65</v>
      </c>
      <c r="N441" s="40" t="str">
        <f>IF(OR(ISBLANK(C441),C441="",M441=""),"In Progress",IF(M441&lt;=J441,"Met","Breached"))</f>
        <v>Met</v>
      </c>
    </row>
    <row r="442" ht="19" customHeight="1" spans="1:14" x14ac:dyDescent="0.25">
      <c r="A442" s="19" t="s">
        <v>556</v>
      </c>
      <c r="B442" s="33">
        <v>45680.47916666667</v>
      </c>
      <c r="C442" s="33">
        <v>45680.899305555555</v>
      </c>
      <c r="D442" s="19" t="s">
        <v>33</v>
      </c>
      <c r="E442" s="19" t="s">
        <v>61</v>
      </c>
      <c r="F442" s="19" t="s">
        <v>45</v>
      </c>
      <c r="G442" s="19" t="s">
        <v>63</v>
      </c>
      <c r="H442" s="19" t="s">
        <v>63</v>
      </c>
      <c r="I442" s="19" t="s">
        <v>123</v>
      </c>
      <c r="J442" s="20">
        <v>12</v>
      </c>
      <c r="K442" s="34">
        <v>0</v>
      </c>
      <c r="L442" s="34">
        <v>5</v>
      </c>
      <c r="M442" s="19">
        <f>IF(OR(ISBLANK(C442),C442=""),"",ROUND((C442-B442)*24,2))</f>
        <v>10.08</v>
      </c>
      <c r="N442" s="35" t="str">
        <f>IF(OR(ISBLANK(C442),C442="",M442=""),"In Progress",IF(M442&lt;=J442,"Met","Breached"))</f>
        <v>Met</v>
      </c>
    </row>
    <row r="443" ht="19" customHeight="1" spans="1:14" x14ac:dyDescent="0.25">
      <c r="A443" s="22" t="s">
        <v>557</v>
      </c>
      <c r="B443" s="36">
        <v>46075.29166666667</v>
      </c>
      <c r="C443" s="36">
        <v>46077.961111111115</v>
      </c>
      <c r="D443" s="22" t="s">
        <v>36</v>
      </c>
      <c r="E443" s="22" t="s">
        <v>65</v>
      </c>
      <c r="F443" s="22" t="s">
        <v>34</v>
      </c>
      <c r="G443" s="22" t="s">
        <v>116</v>
      </c>
      <c r="H443" s="22" t="s">
        <v>59</v>
      </c>
      <c r="I443" s="22" t="s">
        <v>117</v>
      </c>
      <c r="J443" s="23">
        <v>48</v>
      </c>
      <c r="K443" s="37">
        <v>0</v>
      </c>
      <c r="L443" s="37">
        <v>4</v>
      </c>
      <c r="M443" s="22">
        <f>IF(OR(ISBLANK(C443),C443=""),"",ROUND((C443-B443)*24,2))</f>
        <v>64.07</v>
      </c>
      <c r="N443" s="38" t="str">
        <f>IF(OR(ISBLANK(C443),C443="",M443=""),"In Progress",IF(M443&lt;=J443,"Met","Breached"))</f>
        <v>Breached</v>
      </c>
    </row>
    <row r="444" ht="19" customHeight="1" spans="1:14" x14ac:dyDescent="0.25">
      <c r="A444" s="19" t="s">
        <v>558</v>
      </c>
      <c r="B444" s="33">
        <v>45976.00625</v>
      </c>
      <c r="C444" s="33">
        <v>45984.70416666666</v>
      </c>
      <c r="D444" s="19" t="s">
        <v>33</v>
      </c>
      <c r="E444" s="19" t="s">
        <v>69</v>
      </c>
      <c r="F444" s="19" t="s">
        <v>37</v>
      </c>
      <c r="G444" s="19" t="s">
        <v>126</v>
      </c>
      <c r="H444" s="19" t="s">
        <v>59</v>
      </c>
      <c r="I444" s="19" t="s">
        <v>117</v>
      </c>
      <c r="J444" s="20">
        <v>120</v>
      </c>
      <c r="K444" s="34">
        <v>0</v>
      </c>
      <c r="L444" s="34">
        <v>1</v>
      </c>
      <c r="M444" s="19">
        <f>IF(OR(ISBLANK(C444),C444=""),"",ROUND((C444-B444)*24,2))</f>
        <v>208.75</v>
      </c>
      <c r="N444" s="39" t="str">
        <f>IF(OR(ISBLANK(C444),C444="",M444=""),"In Progress",IF(M444&lt;=J444,"Met","Breached"))</f>
        <v>Breached</v>
      </c>
    </row>
    <row r="445" ht="19" customHeight="1" spans="1:14" x14ac:dyDescent="0.25">
      <c r="A445" s="22" t="s">
        <v>559</v>
      </c>
      <c r="B445" s="36">
        <v>45901.430555555555</v>
      </c>
      <c r="C445" s="36">
        <v>45903.743055555555</v>
      </c>
      <c r="D445" s="22" t="s">
        <v>36</v>
      </c>
      <c r="E445" s="22" t="s">
        <v>65</v>
      </c>
      <c r="F445" s="22" t="s">
        <v>43</v>
      </c>
      <c r="G445" s="22" t="s">
        <v>126</v>
      </c>
      <c r="H445" s="22" t="s">
        <v>59</v>
      </c>
      <c r="I445" s="22" t="s">
        <v>108</v>
      </c>
      <c r="J445" s="23">
        <v>48</v>
      </c>
      <c r="K445" s="37">
        <v>0</v>
      </c>
      <c r="M445" s="22">
        <f>IF(OR(ISBLANK(C445),C445=""),"",ROUND((C445-B445)*24,2))</f>
        <v>55.5</v>
      </c>
      <c r="N445" s="38" t="str">
        <f>IF(OR(ISBLANK(C445),C445="",M445=""),"In Progress",IF(M445&lt;=J445,"Met","Breached"))</f>
        <v>Breached</v>
      </c>
    </row>
    <row r="446" ht="19" customHeight="1" spans="1:14" x14ac:dyDescent="0.25">
      <c r="A446" s="19" t="s">
        <v>560</v>
      </c>
      <c r="B446" s="33">
        <v>45747.13958333334</v>
      </c>
      <c r="D446" s="19" t="s">
        <v>42</v>
      </c>
      <c r="E446" s="19" t="s">
        <v>65</v>
      </c>
      <c r="F446" s="19" t="s">
        <v>40</v>
      </c>
      <c r="G446" s="19" t="s">
        <v>63</v>
      </c>
      <c r="H446" s="19" t="s">
        <v>59</v>
      </c>
      <c r="I446" s="19" t="s">
        <v>108</v>
      </c>
      <c r="J446" s="20">
        <v>48</v>
      </c>
      <c r="K446" s="34">
        <v>0</v>
      </c>
      <c r="M446" s="19" t="str">
        <f>IF(OR(ISBLANK(C446),C446=""),"",ROUND((C446-B446)*24,2))</f>
        <v/>
      </c>
      <c r="N446" s="19" t="str">
        <f>IF(OR(ISBLANK(C446),C446="",M446=""),"In Progress",IF(M446&lt;=J446,"Met","Breached"))</f>
        <v>In Progress</v>
      </c>
    </row>
    <row r="447" ht="19" customHeight="1" spans="1:14" x14ac:dyDescent="0.25">
      <c r="A447" s="22" t="s">
        <v>561</v>
      </c>
      <c r="B447" s="36">
        <v>46127.43194444444</v>
      </c>
      <c r="C447" s="36">
        <v>46127.65486111111</v>
      </c>
      <c r="D447" s="22" t="s">
        <v>36</v>
      </c>
      <c r="E447" s="22" t="s">
        <v>57</v>
      </c>
      <c r="F447" s="22" t="s">
        <v>43</v>
      </c>
      <c r="G447" s="22" t="s">
        <v>126</v>
      </c>
      <c r="H447" s="22" t="s">
        <v>71</v>
      </c>
      <c r="I447" s="22" t="s">
        <v>111</v>
      </c>
      <c r="J447" s="23">
        <v>4</v>
      </c>
      <c r="K447" s="37">
        <v>0</v>
      </c>
      <c r="L447" s="37">
        <v>5</v>
      </c>
      <c r="M447" s="22">
        <f>IF(OR(ISBLANK(C447),C447=""),"",ROUND((C447-B447)*24,2))</f>
        <v>5.35</v>
      </c>
      <c r="N447" s="38" t="str">
        <f>IF(OR(ISBLANK(C447),C447="",M447=""),"In Progress",IF(M447&lt;=J447,"Met","Breached"))</f>
        <v>Breached</v>
      </c>
    </row>
    <row r="448" ht="19" customHeight="1" spans="1:14" x14ac:dyDescent="0.25">
      <c r="A448" s="19" t="s">
        <v>562</v>
      </c>
      <c r="B448" s="33">
        <v>46171.275</v>
      </c>
      <c r="C448" s="33">
        <v>46172.12708333333</v>
      </c>
      <c r="D448" s="19" t="s">
        <v>33</v>
      </c>
      <c r="E448" s="19" t="s">
        <v>65</v>
      </c>
      <c r="F448" s="19" t="s">
        <v>40</v>
      </c>
      <c r="G448" s="19" t="s">
        <v>110</v>
      </c>
      <c r="H448" s="19" t="s">
        <v>71</v>
      </c>
      <c r="I448" s="19" t="s">
        <v>111</v>
      </c>
      <c r="J448" s="20">
        <v>48</v>
      </c>
      <c r="K448" s="34">
        <v>0</v>
      </c>
      <c r="L448" s="34">
        <v>4</v>
      </c>
      <c r="M448" s="19">
        <f>IF(OR(ISBLANK(C448),C448=""),"",ROUND((C448-B448)*24,2))</f>
        <v>20.45</v>
      </c>
      <c r="N448" s="35" t="str">
        <f>IF(OR(ISBLANK(C448),C448="",M448=""),"In Progress",IF(M448&lt;=J448,"Met","Breached"))</f>
        <v>Met</v>
      </c>
    </row>
    <row r="449" ht="19" customHeight="1" spans="1:14" x14ac:dyDescent="0.25">
      <c r="A449" s="22" t="s">
        <v>563</v>
      </c>
      <c r="B449" s="36">
        <v>46011.177777777775</v>
      </c>
      <c r="C449" s="36">
        <v>46012.03263888889</v>
      </c>
      <c r="D449" s="22" t="s">
        <v>33</v>
      </c>
      <c r="E449" s="22" t="s">
        <v>61</v>
      </c>
      <c r="F449" s="22" t="s">
        <v>40</v>
      </c>
      <c r="G449" s="22" t="s">
        <v>126</v>
      </c>
      <c r="H449" s="22" t="s">
        <v>67</v>
      </c>
      <c r="I449" s="22" t="s">
        <v>117</v>
      </c>
      <c r="J449" s="23">
        <v>12</v>
      </c>
      <c r="K449" s="37">
        <v>0</v>
      </c>
      <c r="M449" s="22">
        <f>IF(OR(ISBLANK(C449),C449=""),"",ROUND((C449-B449)*24,2))</f>
        <v>20.52</v>
      </c>
      <c r="N449" s="38" t="str">
        <f>IF(OR(ISBLANK(C449),C449="",M449=""),"In Progress",IF(M449&lt;=J449,"Met","Breached"))</f>
        <v>Breached</v>
      </c>
    </row>
    <row r="450" ht="19" customHeight="1" spans="1:14" x14ac:dyDescent="0.25">
      <c r="A450" s="19" t="s">
        <v>564</v>
      </c>
      <c r="B450" s="33">
        <v>45978.46319444444</v>
      </c>
      <c r="C450" s="33">
        <v>45981.52569444444</v>
      </c>
      <c r="D450" s="19" t="s">
        <v>33</v>
      </c>
      <c r="E450" s="19" t="s">
        <v>65</v>
      </c>
      <c r="F450" s="19" t="s">
        <v>34</v>
      </c>
      <c r="G450" s="19" t="s">
        <v>110</v>
      </c>
      <c r="H450" s="19" t="s">
        <v>67</v>
      </c>
      <c r="I450" s="19" t="s">
        <v>123</v>
      </c>
      <c r="J450" s="20">
        <v>48</v>
      </c>
      <c r="K450" s="34">
        <v>0</v>
      </c>
      <c r="L450" s="34">
        <v>1</v>
      </c>
      <c r="M450" s="19">
        <f>IF(OR(ISBLANK(C450),C450=""),"",ROUND((C450-B450)*24,2))</f>
        <v>73.5</v>
      </c>
      <c r="N450" s="39" t="str">
        <f>IF(OR(ISBLANK(C450),C450="",M450=""),"In Progress",IF(M450&lt;=J450,"Met","Breached"))</f>
        <v>Breached</v>
      </c>
    </row>
    <row r="451" ht="19" customHeight="1" spans="1:14" x14ac:dyDescent="0.25">
      <c r="A451" s="22" t="s">
        <v>565</v>
      </c>
      <c r="B451" s="36">
        <v>45704.63333333333</v>
      </c>
      <c r="C451" s="36">
        <v>45706.18263888889</v>
      </c>
      <c r="D451" s="22" t="s">
        <v>33</v>
      </c>
      <c r="E451" s="22" t="s">
        <v>65</v>
      </c>
      <c r="F451" s="22" t="s">
        <v>37</v>
      </c>
      <c r="G451" s="22" t="s">
        <v>63</v>
      </c>
      <c r="H451" s="22" t="s">
        <v>63</v>
      </c>
      <c r="I451" s="22" t="s">
        <v>117</v>
      </c>
      <c r="J451" s="23">
        <v>48</v>
      </c>
      <c r="K451" s="37">
        <v>0</v>
      </c>
      <c r="M451" s="22">
        <f>IF(OR(ISBLANK(C451),C451=""),"",ROUND((C451-B451)*24,2))</f>
        <v>37.18</v>
      </c>
      <c r="N451" s="40" t="str">
        <f>IF(OR(ISBLANK(C451),C451="",M451=""),"In Progress",IF(M451&lt;=J451,"Met","Breached"))</f>
        <v>Met</v>
      </c>
    </row>
    <row r="452" ht="19" customHeight="1" spans="1:14" x14ac:dyDescent="0.25">
      <c r="A452" s="19" t="s">
        <v>566</v>
      </c>
      <c r="B452" s="33">
        <v>45802.044444444444</v>
      </c>
      <c r="C452" s="33">
        <v>45805.02847222222</v>
      </c>
      <c r="D452" s="19" t="s">
        <v>36</v>
      </c>
      <c r="E452" s="19" t="s">
        <v>65</v>
      </c>
      <c r="F452" s="19" t="s">
        <v>45</v>
      </c>
      <c r="G452" s="19" t="s">
        <v>63</v>
      </c>
      <c r="H452" s="19" t="s">
        <v>59</v>
      </c>
      <c r="I452" s="19" t="s">
        <v>108</v>
      </c>
      <c r="J452" s="20">
        <v>48</v>
      </c>
      <c r="K452" s="34">
        <v>0</v>
      </c>
      <c r="L452" s="34">
        <v>4</v>
      </c>
      <c r="M452" s="19">
        <f>IF(OR(ISBLANK(C452),C452=""),"",ROUND((C452-B452)*24,2))</f>
        <v>71.62</v>
      </c>
      <c r="N452" s="39" t="str">
        <f>IF(OR(ISBLANK(C452),C452="",M452=""),"In Progress",IF(M452&lt;=J452,"Met","Breached"))</f>
        <v>Breached</v>
      </c>
    </row>
    <row r="453" ht="19" customHeight="1" spans="1:14" x14ac:dyDescent="0.25">
      <c r="A453" s="22" t="s">
        <v>567</v>
      </c>
      <c r="B453" s="36">
        <v>45945.263194444444</v>
      </c>
      <c r="D453" s="22" t="s">
        <v>39</v>
      </c>
      <c r="E453" s="22" t="s">
        <v>65</v>
      </c>
      <c r="F453" s="22" t="s">
        <v>34</v>
      </c>
      <c r="G453" s="22" t="s">
        <v>63</v>
      </c>
      <c r="H453" s="22" t="s">
        <v>59</v>
      </c>
      <c r="I453" s="22" t="s">
        <v>111</v>
      </c>
      <c r="J453" s="23">
        <v>48</v>
      </c>
      <c r="K453" s="37">
        <v>0</v>
      </c>
      <c r="M453" s="22" t="str">
        <f>IF(OR(ISBLANK(C453),C453=""),"",ROUND((C453-B453)*24,2))</f>
        <v/>
      </c>
      <c r="N453" s="22" t="str">
        <f>IF(OR(ISBLANK(C453),C453="",M453=""),"In Progress",IF(M453&lt;=J453,"Met","Breached"))</f>
        <v>In Progress</v>
      </c>
    </row>
    <row r="454" ht="19" customHeight="1" spans="1:14" x14ac:dyDescent="0.25">
      <c r="A454" s="19" t="s">
        <v>568</v>
      </c>
      <c r="B454" s="33">
        <v>45906.07430555555</v>
      </c>
      <c r="C454" s="33">
        <v>45906.851388888885</v>
      </c>
      <c r="D454" s="19" t="s">
        <v>33</v>
      </c>
      <c r="E454" s="19" t="s">
        <v>61</v>
      </c>
      <c r="F454" s="19" t="s">
        <v>37</v>
      </c>
      <c r="G454" s="19" t="s">
        <v>121</v>
      </c>
      <c r="H454" s="19" t="s">
        <v>63</v>
      </c>
      <c r="I454" s="19" t="s">
        <v>117</v>
      </c>
      <c r="J454" s="20">
        <v>12</v>
      </c>
      <c r="K454" s="34">
        <v>0</v>
      </c>
      <c r="L454" s="34">
        <v>3</v>
      </c>
      <c r="M454" s="19">
        <f>IF(OR(ISBLANK(C454),C454=""),"",ROUND((C454-B454)*24,2))</f>
        <v>18.65</v>
      </c>
      <c r="N454" s="39" t="str">
        <f>IF(OR(ISBLANK(C454),C454="",M454=""),"In Progress",IF(M454&lt;=J454,"Met","Breached"))</f>
        <v>Breached</v>
      </c>
    </row>
    <row r="455" ht="19" customHeight="1" spans="1:14" x14ac:dyDescent="0.25">
      <c r="A455" s="22" t="s">
        <v>569</v>
      </c>
      <c r="B455" s="36">
        <v>46029.31597222222</v>
      </c>
      <c r="C455" s="36">
        <v>46029.98958333333</v>
      </c>
      <c r="D455" s="22" t="s">
        <v>36</v>
      </c>
      <c r="E455" s="22" t="s">
        <v>61</v>
      </c>
      <c r="F455" s="22" t="s">
        <v>34</v>
      </c>
      <c r="G455" s="22" t="s">
        <v>126</v>
      </c>
      <c r="H455" s="22" t="s">
        <v>59</v>
      </c>
      <c r="I455" s="22" t="s">
        <v>147</v>
      </c>
      <c r="J455" s="23">
        <v>12</v>
      </c>
      <c r="K455" s="37">
        <v>0</v>
      </c>
      <c r="M455" s="22">
        <f>IF(OR(ISBLANK(C455),C455=""),"",ROUND((C455-B455)*24,2))</f>
        <v>16.17</v>
      </c>
      <c r="N455" s="38" t="str">
        <f>IF(OR(ISBLANK(C455),C455="",M455=""),"In Progress",IF(M455&lt;=J455,"Met","Breached"))</f>
        <v>Breached</v>
      </c>
    </row>
    <row r="456" ht="19" customHeight="1" spans="1:14" x14ac:dyDescent="0.25">
      <c r="A456" s="19" t="s">
        <v>570</v>
      </c>
      <c r="B456" s="33">
        <v>45804.268055555556</v>
      </c>
      <c r="D456" s="19" t="s">
        <v>42</v>
      </c>
      <c r="E456" s="19" t="s">
        <v>65</v>
      </c>
      <c r="F456" s="19" t="s">
        <v>40</v>
      </c>
      <c r="G456" s="19" t="s">
        <v>116</v>
      </c>
      <c r="H456" s="19" t="s">
        <v>59</v>
      </c>
      <c r="I456" s="19" t="s">
        <v>117</v>
      </c>
      <c r="J456" s="20">
        <v>48</v>
      </c>
      <c r="K456" s="34">
        <v>0</v>
      </c>
      <c r="M456" s="19" t="str">
        <f>IF(OR(ISBLANK(C456),C456=""),"",ROUND((C456-B456)*24,2))</f>
        <v/>
      </c>
      <c r="N456" s="19" t="str">
        <f>IF(OR(ISBLANK(C456),C456="",M456=""),"In Progress",IF(M456&lt;=J456,"Met","Breached"))</f>
        <v>In Progress</v>
      </c>
    </row>
    <row r="457" ht="19" customHeight="1" spans="1:14" x14ac:dyDescent="0.25">
      <c r="A457" s="22" t="s">
        <v>571</v>
      </c>
      <c r="B457" s="36">
        <v>46268.23541666666</v>
      </c>
      <c r="C457" s="36">
        <v>46268.42569444445</v>
      </c>
      <c r="D457" s="22" t="s">
        <v>33</v>
      </c>
      <c r="E457" s="22" t="s">
        <v>61</v>
      </c>
      <c r="F457" s="22" t="s">
        <v>34</v>
      </c>
      <c r="G457" s="22" t="s">
        <v>110</v>
      </c>
      <c r="H457" s="22" t="s">
        <v>71</v>
      </c>
      <c r="I457" s="22" t="s">
        <v>111</v>
      </c>
      <c r="J457" s="23">
        <v>12</v>
      </c>
      <c r="K457" s="37">
        <v>0</v>
      </c>
      <c r="M457" s="22">
        <f>IF(OR(ISBLANK(C457),C457=""),"",ROUND((C457-B457)*24,2))</f>
        <v>4.57</v>
      </c>
      <c r="N457" s="40" t="str">
        <f>IF(OR(ISBLANK(C457),C457="",M457=""),"In Progress",IF(M457&lt;=J457,"Met","Breached"))</f>
        <v>Met</v>
      </c>
    </row>
    <row r="458" ht="19" customHeight="1" spans="1:14" x14ac:dyDescent="0.25">
      <c r="A458" s="19" t="s">
        <v>572</v>
      </c>
      <c r="B458" s="33">
        <v>46188.49930555555</v>
      </c>
      <c r="C458" s="33">
        <v>46188.572222222225</v>
      </c>
      <c r="D458" s="19" t="s">
        <v>36</v>
      </c>
      <c r="E458" s="19" t="s">
        <v>57</v>
      </c>
      <c r="F458" s="19" t="s">
        <v>37</v>
      </c>
      <c r="G458" s="19" t="s">
        <v>126</v>
      </c>
      <c r="H458" s="19" t="s">
        <v>67</v>
      </c>
      <c r="I458" s="19" t="s">
        <v>108</v>
      </c>
      <c r="J458" s="20">
        <v>4</v>
      </c>
      <c r="K458" s="34">
        <v>0</v>
      </c>
      <c r="L458" s="34">
        <v>1</v>
      </c>
      <c r="M458" s="19">
        <f>IF(OR(ISBLANK(C458),C458=""),"",ROUND((C458-B458)*24,2))</f>
        <v>1.75</v>
      </c>
      <c r="N458" s="35" t="str">
        <f>IF(OR(ISBLANK(C458),C458="",M458=""),"In Progress",IF(M458&lt;=J458,"Met","Breached"))</f>
        <v>Met</v>
      </c>
    </row>
    <row r="459" ht="19" customHeight="1" spans="1:14" x14ac:dyDescent="0.25">
      <c r="A459" s="22" t="s">
        <v>573</v>
      </c>
      <c r="B459" s="36">
        <v>45712.10625</v>
      </c>
      <c r="D459" s="22" t="s">
        <v>42</v>
      </c>
      <c r="E459" s="22" t="s">
        <v>57</v>
      </c>
      <c r="F459" s="22" t="s">
        <v>45</v>
      </c>
      <c r="G459" s="22" t="s">
        <v>126</v>
      </c>
      <c r="H459" s="22" t="s">
        <v>59</v>
      </c>
      <c r="I459" s="22" t="s">
        <v>108</v>
      </c>
      <c r="J459" s="23">
        <v>4</v>
      </c>
      <c r="K459" s="37">
        <v>0</v>
      </c>
      <c r="M459" s="22" t="str">
        <f>IF(OR(ISBLANK(C459),C459=""),"",ROUND((C459-B459)*24,2))</f>
        <v/>
      </c>
      <c r="N459" s="22" t="str">
        <f>IF(OR(ISBLANK(C459),C459="",M459=""),"In Progress",IF(M459&lt;=J459,"Met","Breached"))</f>
        <v>In Progress</v>
      </c>
    </row>
    <row r="460" ht="19" customHeight="1" spans="1:14" x14ac:dyDescent="0.25">
      <c r="A460" s="19" t="s">
        <v>574</v>
      </c>
      <c r="B460" s="33">
        <v>46266.995833333334</v>
      </c>
      <c r="D460" s="19" t="s">
        <v>39</v>
      </c>
      <c r="E460" s="19" t="s">
        <v>65</v>
      </c>
      <c r="F460" s="19" t="s">
        <v>40</v>
      </c>
      <c r="G460" s="19" t="s">
        <v>63</v>
      </c>
      <c r="H460" s="19" t="s">
        <v>63</v>
      </c>
      <c r="I460" s="19" t="s">
        <v>114</v>
      </c>
      <c r="J460" s="20">
        <v>48</v>
      </c>
      <c r="K460" s="34">
        <v>0</v>
      </c>
      <c r="M460" s="19" t="str">
        <f>IF(OR(ISBLANK(C460),C460=""),"",ROUND((C460-B460)*24,2))</f>
        <v/>
      </c>
      <c r="N460" s="19" t="str">
        <f>IF(OR(ISBLANK(C460),C460="",M460=""),"In Progress",IF(M460&lt;=J460,"Met","Breached"))</f>
        <v>In Progress</v>
      </c>
    </row>
    <row r="461" ht="19" customHeight="1" spans="1:14" x14ac:dyDescent="0.25">
      <c r="A461" s="22" t="s">
        <v>575</v>
      </c>
      <c r="B461" s="36">
        <v>46204.513194444444</v>
      </c>
      <c r="C461" s="36">
        <v>46206.15138888889</v>
      </c>
      <c r="D461" s="22" t="s">
        <v>33</v>
      </c>
      <c r="E461" s="22" t="s">
        <v>65</v>
      </c>
      <c r="F461" s="22" t="s">
        <v>45</v>
      </c>
      <c r="G461" s="22" t="s">
        <v>126</v>
      </c>
      <c r="H461" s="22" t="s">
        <v>67</v>
      </c>
      <c r="I461" s="22" t="s">
        <v>123</v>
      </c>
      <c r="J461" s="23">
        <v>48</v>
      </c>
      <c r="K461" s="37">
        <v>0</v>
      </c>
      <c r="M461" s="22">
        <f>IF(OR(ISBLANK(C461),C461=""),"",ROUND((C461-B461)*24,2))</f>
        <v>39.32</v>
      </c>
      <c r="N461" s="40" t="str">
        <f>IF(OR(ISBLANK(C461),C461="",M461=""),"In Progress",IF(M461&lt;=J461,"Met","Breached"))</f>
        <v>Met</v>
      </c>
    </row>
    <row r="462" ht="19" customHeight="1" spans="1:14" x14ac:dyDescent="0.25">
      <c r="A462" s="19" t="s">
        <v>576</v>
      </c>
      <c r="B462" s="33">
        <v>45867.43402777778</v>
      </c>
      <c r="D462" s="19" t="s">
        <v>39</v>
      </c>
      <c r="E462" s="19" t="s">
        <v>61</v>
      </c>
      <c r="F462" s="19" t="s">
        <v>34</v>
      </c>
      <c r="G462" s="19" t="s">
        <v>113</v>
      </c>
      <c r="H462" s="19" t="s">
        <v>63</v>
      </c>
      <c r="I462" s="19" t="s">
        <v>111</v>
      </c>
      <c r="J462" s="20">
        <v>12</v>
      </c>
      <c r="K462" s="34">
        <v>0</v>
      </c>
      <c r="M462" s="19" t="str">
        <f>IF(OR(ISBLANK(C462),C462=""),"",ROUND((C462-B462)*24,2))</f>
        <v/>
      </c>
      <c r="N462" s="19" t="str">
        <f>IF(OR(ISBLANK(C462),C462="",M462=""),"In Progress",IF(M462&lt;=J462,"Met","Breached"))</f>
        <v>In Progress</v>
      </c>
    </row>
    <row r="463" ht="19" customHeight="1" spans="1:14" x14ac:dyDescent="0.25">
      <c r="A463" s="22" t="s">
        <v>577</v>
      </c>
      <c r="B463" s="36">
        <v>45839.879166666666</v>
      </c>
      <c r="C463" s="36">
        <v>45842.78472222222</v>
      </c>
      <c r="D463" s="22" t="s">
        <v>36</v>
      </c>
      <c r="E463" s="22" t="s">
        <v>69</v>
      </c>
      <c r="F463" s="22" t="s">
        <v>40</v>
      </c>
      <c r="G463" s="22" t="s">
        <v>116</v>
      </c>
      <c r="H463" s="22" t="s">
        <v>67</v>
      </c>
      <c r="I463" s="22" t="s">
        <v>111</v>
      </c>
      <c r="J463" s="23">
        <v>120</v>
      </c>
      <c r="K463" s="37">
        <v>0</v>
      </c>
      <c r="L463" s="37">
        <v>1</v>
      </c>
      <c r="M463" s="22">
        <f>IF(OR(ISBLANK(C463),C463=""),"",ROUND((C463-B463)*24,2))</f>
        <v>69.73</v>
      </c>
      <c r="N463" s="40" t="str">
        <f>IF(OR(ISBLANK(C463),C463="",M463=""),"In Progress",IF(M463&lt;=J463,"Met","Breached"))</f>
        <v>Met</v>
      </c>
    </row>
    <row r="464" ht="19" customHeight="1" spans="1:14" x14ac:dyDescent="0.25">
      <c r="A464" s="19" t="s">
        <v>578</v>
      </c>
      <c r="B464" s="33">
        <v>45760.87847222222</v>
      </c>
      <c r="C464" s="33">
        <v>45761.10208333333</v>
      </c>
      <c r="D464" s="19" t="s">
        <v>33</v>
      </c>
      <c r="E464" s="19" t="s">
        <v>61</v>
      </c>
      <c r="F464" s="19" t="s">
        <v>43</v>
      </c>
      <c r="G464" s="19" t="s">
        <v>126</v>
      </c>
      <c r="H464" s="19" t="s">
        <v>67</v>
      </c>
      <c r="I464" s="19" t="s">
        <v>108</v>
      </c>
      <c r="J464" s="20">
        <v>12</v>
      </c>
      <c r="K464" s="34">
        <v>0</v>
      </c>
      <c r="L464" s="34">
        <v>1</v>
      </c>
      <c r="M464" s="19">
        <f>IF(OR(ISBLANK(C464),C464=""),"",ROUND((C464-B464)*24,2))</f>
        <v>5.37</v>
      </c>
      <c r="N464" s="35" t="str">
        <f>IF(OR(ISBLANK(C464),C464="",M464=""),"In Progress",IF(M464&lt;=J464,"Met","Breached"))</f>
        <v>Met</v>
      </c>
    </row>
    <row r="465" ht="19" customHeight="1" spans="1:14" x14ac:dyDescent="0.25">
      <c r="A465" s="22" t="s">
        <v>579</v>
      </c>
      <c r="B465" s="36">
        <v>45980.24166666667</v>
      </c>
      <c r="C465" s="36">
        <v>45980.427777777775</v>
      </c>
      <c r="D465" s="22" t="s">
        <v>33</v>
      </c>
      <c r="E465" s="22" t="s">
        <v>61</v>
      </c>
      <c r="F465" s="22" t="s">
        <v>43</v>
      </c>
      <c r="G465" s="22" t="s">
        <v>126</v>
      </c>
      <c r="H465" s="22" t="s">
        <v>63</v>
      </c>
      <c r="I465" s="22" t="s">
        <v>123</v>
      </c>
      <c r="J465" s="23">
        <v>12</v>
      </c>
      <c r="K465" s="37">
        <v>0</v>
      </c>
      <c r="L465" s="37">
        <v>2</v>
      </c>
      <c r="M465" s="22">
        <f>IF(OR(ISBLANK(C465),C465=""),"",ROUND((C465-B465)*24,2))</f>
        <v>4.47</v>
      </c>
      <c r="N465" s="40" t="str">
        <f>IF(OR(ISBLANK(C465),C465="",M465=""),"In Progress",IF(M465&lt;=J465,"Met","Breached"))</f>
        <v>Met</v>
      </c>
    </row>
    <row r="466" ht="19" customHeight="1" spans="1:14" x14ac:dyDescent="0.25">
      <c r="A466" s="19" t="s">
        <v>580</v>
      </c>
      <c r="B466" s="33">
        <v>45812.53263888889</v>
      </c>
      <c r="C466" s="33">
        <v>45820.94930555555</v>
      </c>
      <c r="D466" s="19" t="s">
        <v>33</v>
      </c>
      <c r="E466" s="19" t="s">
        <v>69</v>
      </c>
      <c r="F466" s="19" t="s">
        <v>37</v>
      </c>
      <c r="G466" s="19" t="s">
        <v>110</v>
      </c>
      <c r="H466" s="19" t="s">
        <v>67</v>
      </c>
      <c r="I466" s="19" t="s">
        <v>147</v>
      </c>
      <c r="J466" s="20">
        <v>120</v>
      </c>
      <c r="K466" s="34">
        <v>0</v>
      </c>
      <c r="M466" s="19">
        <f>IF(OR(ISBLANK(C466),C466=""),"",ROUND((C466-B466)*24,2))</f>
        <v>202</v>
      </c>
      <c r="N466" s="39" t="str">
        <f>IF(OR(ISBLANK(C466),C466="",M466=""),"In Progress",IF(M466&lt;=J466,"Met","Breached"))</f>
        <v>Breached</v>
      </c>
    </row>
    <row r="467" ht="19" customHeight="1" spans="1:14" x14ac:dyDescent="0.25">
      <c r="A467" s="22" t="s">
        <v>581</v>
      </c>
      <c r="B467" s="36">
        <v>45931.429861111115</v>
      </c>
      <c r="C467" s="36">
        <v>45932.17152777778</v>
      </c>
      <c r="D467" s="22" t="s">
        <v>33</v>
      </c>
      <c r="E467" s="22" t="s">
        <v>61</v>
      </c>
      <c r="F467" s="22" t="s">
        <v>34</v>
      </c>
      <c r="G467" s="22" t="s">
        <v>116</v>
      </c>
      <c r="H467" s="22" t="s">
        <v>67</v>
      </c>
      <c r="I467" s="22" t="s">
        <v>111</v>
      </c>
      <c r="J467" s="23">
        <v>12</v>
      </c>
      <c r="K467" s="37">
        <v>0</v>
      </c>
      <c r="L467" s="37">
        <v>2</v>
      </c>
      <c r="M467" s="22">
        <f>IF(OR(ISBLANK(C467),C467=""),"",ROUND((C467-B467)*24,2))</f>
        <v>17.8</v>
      </c>
      <c r="N467" s="38" t="str">
        <f>IF(OR(ISBLANK(C467),C467="",M467=""),"In Progress",IF(M467&lt;=J467,"Met","Breached"))</f>
        <v>Breached</v>
      </c>
    </row>
    <row r="468" ht="19" customHeight="1" spans="1:14" x14ac:dyDescent="0.25">
      <c r="A468" s="19" t="s">
        <v>582</v>
      </c>
      <c r="B468" s="33">
        <v>45958.37847222222</v>
      </c>
      <c r="C468" s="33">
        <v>45959.85902777778</v>
      </c>
      <c r="D468" s="19" t="s">
        <v>36</v>
      </c>
      <c r="E468" s="19" t="s">
        <v>65</v>
      </c>
      <c r="F468" s="19" t="s">
        <v>40</v>
      </c>
      <c r="G468" s="19" t="s">
        <v>63</v>
      </c>
      <c r="H468" s="19" t="s">
        <v>63</v>
      </c>
      <c r="I468" s="19" t="s">
        <v>108</v>
      </c>
      <c r="J468" s="20">
        <v>48</v>
      </c>
      <c r="K468" s="34">
        <v>0</v>
      </c>
      <c r="L468" s="34">
        <v>2</v>
      </c>
      <c r="M468" s="19">
        <f>IF(OR(ISBLANK(C468),C468=""),"",ROUND((C468-B468)*24,2))</f>
        <v>35.53</v>
      </c>
      <c r="N468" s="35" t="str">
        <f>IF(OR(ISBLANK(C468),C468="",M468=""),"In Progress",IF(M468&lt;=J468,"Met","Breached"))</f>
        <v>Met</v>
      </c>
    </row>
    <row r="469" ht="19" customHeight="1" spans="1:14" x14ac:dyDescent="0.25">
      <c r="A469" s="22" t="s">
        <v>583</v>
      </c>
      <c r="B469" s="36">
        <v>46104.60625</v>
      </c>
      <c r="C469" s="36">
        <v>46107.540972222225</v>
      </c>
      <c r="D469" s="22" t="s">
        <v>33</v>
      </c>
      <c r="E469" s="22" t="s">
        <v>65</v>
      </c>
      <c r="F469" s="22" t="s">
        <v>34</v>
      </c>
      <c r="G469" s="22" t="s">
        <v>126</v>
      </c>
      <c r="H469" s="22" t="s">
        <v>63</v>
      </c>
      <c r="I469" s="22" t="s">
        <v>117</v>
      </c>
      <c r="J469" s="23">
        <v>48</v>
      </c>
      <c r="K469" s="37">
        <v>0</v>
      </c>
      <c r="L469" s="37">
        <v>5</v>
      </c>
      <c r="M469" s="22">
        <f>IF(OR(ISBLANK(C469),C469=""),"",ROUND((C469-B469)*24,2))</f>
        <v>70.43</v>
      </c>
      <c r="N469" s="38" t="str">
        <f>IF(OR(ISBLANK(C469),C469="",M469=""),"In Progress",IF(M469&lt;=J469,"Met","Breached"))</f>
        <v>Breached</v>
      </c>
    </row>
    <row r="470" ht="19" customHeight="1" spans="1:14" x14ac:dyDescent="0.25">
      <c r="A470" s="19" t="s">
        <v>584</v>
      </c>
      <c r="B470" s="33">
        <v>45837.775</v>
      </c>
      <c r="C470" s="33">
        <v>45837.91458333333</v>
      </c>
      <c r="D470" s="19" t="s">
        <v>33</v>
      </c>
      <c r="E470" s="19" t="s">
        <v>57</v>
      </c>
      <c r="F470" s="19" t="s">
        <v>37</v>
      </c>
      <c r="G470" s="19" t="s">
        <v>121</v>
      </c>
      <c r="H470" s="19" t="s">
        <v>63</v>
      </c>
      <c r="I470" s="19" t="s">
        <v>114</v>
      </c>
      <c r="J470" s="20">
        <v>4</v>
      </c>
      <c r="K470" s="34">
        <v>0</v>
      </c>
      <c r="L470" s="34">
        <v>4</v>
      </c>
      <c r="M470" s="19">
        <f>IF(OR(ISBLANK(C470),C470=""),"",ROUND((C470-B470)*24,2))</f>
        <v>3.35</v>
      </c>
      <c r="N470" s="35" t="str">
        <f>IF(OR(ISBLANK(C470),C470="",M470=""),"In Progress",IF(M470&lt;=J470,"Met","Breached"))</f>
        <v>Met</v>
      </c>
    </row>
    <row r="471" ht="19" customHeight="1" spans="1:14" x14ac:dyDescent="0.25">
      <c r="A471" s="22" t="s">
        <v>585</v>
      </c>
      <c r="B471" s="36">
        <v>46222.200694444444</v>
      </c>
      <c r="C471" s="36">
        <v>46224.45138888889</v>
      </c>
      <c r="D471" s="22" t="s">
        <v>33</v>
      </c>
      <c r="E471" s="22" t="s">
        <v>65</v>
      </c>
      <c r="F471" s="22" t="s">
        <v>45</v>
      </c>
      <c r="G471" s="22" t="s">
        <v>121</v>
      </c>
      <c r="H471" s="22" t="s">
        <v>67</v>
      </c>
      <c r="I471" s="22" t="s">
        <v>147</v>
      </c>
      <c r="J471" s="23">
        <v>48</v>
      </c>
      <c r="K471" s="37">
        <v>0</v>
      </c>
      <c r="L471" s="37">
        <v>4</v>
      </c>
      <c r="M471" s="22">
        <f>IF(OR(ISBLANK(C471),C471=""),"",ROUND((C471-B471)*24,2))</f>
        <v>54.02</v>
      </c>
      <c r="N471" s="38" t="str">
        <f>IF(OR(ISBLANK(C471),C471="",M471=""),"In Progress",IF(M471&lt;=J471,"Met","Breached"))</f>
        <v>Breached</v>
      </c>
    </row>
    <row r="472" ht="19" customHeight="1" spans="1:14" x14ac:dyDescent="0.25">
      <c r="A472" s="19" t="s">
        <v>586</v>
      </c>
      <c r="B472" s="33">
        <v>45679.180555555555</v>
      </c>
      <c r="C472" s="33">
        <v>45679.691666666666</v>
      </c>
      <c r="D472" s="19" t="s">
        <v>33</v>
      </c>
      <c r="E472" s="19" t="s">
        <v>61</v>
      </c>
      <c r="F472" s="19" t="s">
        <v>34</v>
      </c>
      <c r="G472" s="19" t="s">
        <v>63</v>
      </c>
      <c r="H472" s="19" t="s">
        <v>59</v>
      </c>
      <c r="I472" s="19" t="s">
        <v>111</v>
      </c>
      <c r="J472" s="20">
        <v>12</v>
      </c>
      <c r="K472" s="34">
        <v>0</v>
      </c>
      <c r="L472" s="34">
        <v>3</v>
      </c>
      <c r="M472" s="19">
        <f>IF(OR(ISBLANK(C472),C472=""),"",ROUND((C472-B472)*24,2))</f>
        <v>12.27</v>
      </c>
      <c r="N472" s="39" t="str">
        <f>IF(OR(ISBLANK(C472),C472="",M472=""),"In Progress",IF(M472&lt;=J472,"Met","Breached"))</f>
        <v>Breached</v>
      </c>
    </row>
    <row r="473" ht="19" customHeight="1" spans="1:14" x14ac:dyDescent="0.25">
      <c r="A473" s="22" t="s">
        <v>587</v>
      </c>
      <c r="B473" s="36">
        <v>45763.46319444444</v>
      </c>
      <c r="C473" s="36">
        <v>45766.91458333333</v>
      </c>
      <c r="D473" s="22" t="s">
        <v>33</v>
      </c>
      <c r="E473" s="22" t="s">
        <v>65</v>
      </c>
      <c r="F473" s="22" t="s">
        <v>34</v>
      </c>
      <c r="G473" s="22" t="s">
        <v>116</v>
      </c>
      <c r="H473" s="22" t="s">
        <v>63</v>
      </c>
      <c r="I473" s="22" t="s">
        <v>147</v>
      </c>
      <c r="J473" s="23">
        <v>48</v>
      </c>
      <c r="K473" s="37">
        <v>0</v>
      </c>
      <c r="M473" s="22">
        <f>IF(OR(ISBLANK(C473),C473=""),"",ROUND((C473-B473)*24,2))</f>
        <v>82.83</v>
      </c>
      <c r="N473" s="38" t="str">
        <f>IF(OR(ISBLANK(C473),C473="",M473=""),"In Progress",IF(M473&lt;=J473,"Met","Breached"))</f>
        <v>Breached</v>
      </c>
    </row>
    <row r="474" ht="19" customHeight="1" spans="1:14" x14ac:dyDescent="0.25">
      <c r="A474" s="19" t="s">
        <v>588</v>
      </c>
      <c r="B474" s="33">
        <v>46180.9125</v>
      </c>
      <c r="C474" s="33">
        <v>46183.31875</v>
      </c>
      <c r="D474" s="19" t="s">
        <v>33</v>
      </c>
      <c r="E474" s="19" t="s">
        <v>65</v>
      </c>
      <c r="F474" s="19" t="s">
        <v>37</v>
      </c>
      <c r="G474" s="19" t="s">
        <v>116</v>
      </c>
      <c r="H474" s="19" t="s">
        <v>63</v>
      </c>
      <c r="I474" s="19" t="s">
        <v>108</v>
      </c>
      <c r="J474" s="20">
        <v>48</v>
      </c>
      <c r="K474" s="34">
        <v>0</v>
      </c>
      <c r="L474" s="34">
        <v>3</v>
      </c>
      <c r="M474" s="19">
        <f>IF(OR(ISBLANK(C474),C474=""),"",ROUND((C474-B474)*24,2))</f>
        <v>57.75</v>
      </c>
      <c r="N474" s="39" t="str">
        <f>IF(OR(ISBLANK(C474),C474="",M474=""),"In Progress",IF(M474&lt;=J474,"Met","Breached"))</f>
        <v>Breached</v>
      </c>
    </row>
    <row r="475" ht="19" customHeight="1" spans="1:14" x14ac:dyDescent="0.25">
      <c r="A475" s="22" t="s">
        <v>589</v>
      </c>
      <c r="B475" s="36">
        <v>46127.75833333333</v>
      </c>
      <c r="C475" s="36">
        <v>46127.83333333333</v>
      </c>
      <c r="D475" s="22" t="s">
        <v>36</v>
      </c>
      <c r="E475" s="22" t="s">
        <v>57</v>
      </c>
      <c r="F475" s="22" t="s">
        <v>45</v>
      </c>
      <c r="G475" s="22" t="s">
        <v>121</v>
      </c>
      <c r="H475" s="22" t="s">
        <v>59</v>
      </c>
      <c r="I475" s="22" t="s">
        <v>111</v>
      </c>
      <c r="J475" s="23">
        <v>4</v>
      </c>
      <c r="K475" s="37">
        <v>0</v>
      </c>
      <c r="L475" s="37">
        <v>5</v>
      </c>
      <c r="M475" s="22">
        <f>IF(OR(ISBLANK(C475),C475=""),"",ROUND((C475-B475)*24,2))</f>
        <v>1.8</v>
      </c>
      <c r="N475" s="40" t="str">
        <f>IF(OR(ISBLANK(C475),C475="",M475=""),"In Progress",IF(M475&lt;=J475,"Met","Breached"))</f>
        <v>Met</v>
      </c>
    </row>
    <row r="476" ht="19" customHeight="1" spans="1:14" x14ac:dyDescent="0.25">
      <c r="A476" s="19" t="s">
        <v>590</v>
      </c>
      <c r="B476" s="33">
        <v>45962.461111111115</v>
      </c>
      <c r="C476" s="33">
        <v>45962.95277777778</v>
      </c>
      <c r="D476" s="19" t="s">
        <v>33</v>
      </c>
      <c r="E476" s="19" t="s">
        <v>61</v>
      </c>
      <c r="F476" s="19" t="s">
        <v>37</v>
      </c>
      <c r="G476" s="19" t="s">
        <v>121</v>
      </c>
      <c r="H476" s="19" t="s">
        <v>63</v>
      </c>
      <c r="I476" s="19" t="s">
        <v>108</v>
      </c>
      <c r="J476" s="20">
        <v>12</v>
      </c>
      <c r="K476" s="34">
        <v>0</v>
      </c>
      <c r="M476" s="19">
        <f>IF(OR(ISBLANK(C476),C476=""),"",ROUND((C476-B476)*24,2))</f>
        <v>11.8</v>
      </c>
      <c r="N476" s="35" t="str">
        <f>IF(OR(ISBLANK(C476),C476="",M476=""),"In Progress",IF(M476&lt;=J476,"Met","Breached"))</f>
        <v>Met</v>
      </c>
    </row>
    <row r="477" ht="19" customHeight="1" spans="1:14" x14ac:dyDescent="0.25">
      <c r="A477" s="22" t="s">
        <v>591</v>
      </c>
      <c r="B477" s="36">
        <v>46263.316666666666</v>
      </c>
      <c r="C477" s="36">
        <v>46264.23611111111</v>
      </c>
      <c r="D477" s="22" t="s">
        <v>33</v>
      </c>
      <c r="E477" s="22" t="s">
        <v>65</v>
      </c>
      <c r="F477" s="22" t="s">
        <v>43</v>
      </c>
      <c r="G477" s="22" t="s">
        <v>116</v>
      </c>
      <c r="H477" s="22" t="s">
        <v>59</v>
      </c>
      <c r="I477" s="22" t="s">
        <v>117</v>
      </c>
      <c r="J477" s="23">
        <v>48</v>
      </c>
      <c r="K477" s="37">
        <v>0</v>
      </c>
      <c r="M477" s="22">
        <f>IF(OR(ISBLANK(C477),C477=""),"",ROUND((C477-B477)*24,2))</f>
        <v>22.07</v>
      </c>
      <c r="N477" s="40" t="str">
        <f>IF(OR(ISBLANK(C477),C477="",M477=""),"In Progress",IF(M477&lt;=J477,"Met","Breached"))</f>
        <v>Met</v>
      </c>
    </row>
    <row r="478" ht="19" customHeight="1" spans="1:14" x14ac:dyDescent="0.25">
      <c r="A478" s="19" t="s">
        <v>592</v>
      </c>
      <c r="B478" s="33">
        <v>45859.231944444444</v>
      </c>
      <c r="C478" s="33">
        <v>45859.92361111111</v>
      </c>
      <c r="D478" s="19" t="s">
        <v>33</v>
      </c>
      <c r="E478" s="19" t="s">
        <v>61</v>
      </c>
      <c r="F478" s="19" t="s">
        <v>37</v>
      </c>
      <c r="G478" s="19" t="s">
        <v>126</v>
      </c>
      <c r="H478" s="19" t="s">
        <v>71</v>
      </c>
      <c r="I478" s="19" t="s">
        <v>108</v>
      </c>
      <c r="J478" s="20">
        <v>12</v>
      </c>
      <c r="K478" s="34">
        <v>0</v>
      </c>
      <c r="L478" s="34">
        <v>1</v>
      </c>
      <c r="M478" s="19">
        <f>IF(OR(ISBLANK(C478),C478=""),"",ROUND((C478-B478)*24,2))</f>
        <v>16.6</v>
      </c>
      <c r="N478" s="39" t="str">
        <f>IF(OR(ISBLANK(C478),C478="",M478=""),"In Progress",IF(M478&lt;=J478,"Met","Breached"))</f>
        <v>Breached</v>
      </c>
    </row>
    <row r="479" ht="19" customHeight="1" spans="1:14" x14ac:dyDescent="0.25">
      <c r="A479" s="22" t="s">
        <v>593</v>
      </c>
      <c r="B479" s="36">
        <v>46078.46944444445</v>
      </c>
      <c r="C479" s="36">
        <v>46081.36944444444</v>
      </c>
      <c r="D479" s="22" t="s">
        <v>33</v>
      </c>
      <c r="E479" s="22" t="s">
        <v>65</v>
      </c>
      <c r="F479" s="22" t="s">
        <v>40</v>
      </c>
      <c r="G479" s="22" t="s">
        <v>116</v>
      </c>
      <c r="H479" s="22" t="s">
        <v>71</v>
      </c>
      <c r="I479" s="22" t="s">
        <v>108</v>
      </c>
      <c r="J479" s="23">
        <v>48</v>
      </c>
      <c r="K479" s="37">
        <v>0</v>
      </c>
      <c r="L479" s="37">
        <v>4</v>
      </c>
      <c r="M479" s="22">
        <f>IF(OR(ISBLANK(C479),C479=""),"",ROUND((C479-B479)*24,2))</f>
        <v>69.6</v>
      </c>
      <c r="N479" s="38" t="str">
        <f>IF(OR(ISBLANK(C479),C479="",M479=""),"In Progress",IF(M479&lt;=J479,"Met","Breached"))</f>
        <v>Breached</v>
      </c>
    </row>
    <row r="480" ht="19" customHeight="1" spans="1:14" x14ac:dyDescent="0.25">
      <c r="A480" s="19" t="s">
        <v>594</v>
      </c>
      <c r="B480" s="33">
        <v>45797.26736111111</v>
      </c>
      <c r="C480" s="33">
        <v>45797.95277777778</v>
      </c>
      <c r="D480" s="19" t="s">
        <v>33</v>
      </c>
      <c r="E480" s="19" t="s">
        <v>61</v>
      </c>
      <c r="F480" s="19" t="s">
        <v>45</v>
      </c>
      <c r="G480" s="19" t="s">
        <v>110</v>
      </c>
      <c r="H480" s="19" t="s">
        <v>59</v>
      </c>
      <c r="I480" s="19" t="s">
        <v>147</v>
      </c>
      <c r="J480" s="20">
        <v>12</v>
      </c>
      <c r="K480" s="34">
        <v>0</v>
      </c>
      <c r="L480" s="34">
        <v>2</v>
      </c>
      <c r="M480" s="19">
        <f>IF(OR(ISBLANK(C480),C480=""),"",ROUND((C480-B480)*24,2))</f>
        <v>16.45</v>
      </c>
      <c r="N480" s="39" t="str">
        <f>IF(OR(ISBLANK(C480),C480="",M480=""),"In Progress",IF(M480&lt;=J480,"Met","Breached"))</f>
        <v>Breached</v>
      </c>
    </row>
    <row r="481" ht="19" customHeight="1" spans="1:14" x14ac:dyDescent="0.25">
      <c r="A481" s="22" t="s">
        <v>595</v>
      </c>
      <c r="B481" s="36">
        <v>45896.19791666667</v>
      </c>
      <c r="C481" s="36">
        <v>45896.91180555556</v>
      </c>
      <c r="D481" s="22" t="s">
        <v>33</v>
      </c>
      <c r="E481" s="22" t="s">
        <v>61</v>
      </c>
      <c r="F481" s="22" t="s">
        <v>43</v>
      </c>
      <c r="G481" s="22" t="s">
        <v>126</v>
      </c>
      <c r="H481" s="22" t="s">
        <v>59</v>
      </c>
      <c r="I481" s="22" t="s">
        <v>123</v>
      </c>
      <c r="J481" s="23">
        <v>12</v>
      </c>
      <c r="K481" s="37">
        <v>0</v>
      </c>
      <c r="L481" s="37">
        <v>5</v>
      </c>
      <c r="M481" s="22">
        <f>IF(OR(ISBLANK(C481),C481=""),"",ROUND((C481-B481)*24,2))</f>
        <v>17.13</v>
      </c>
      <c r="N481" s="38" t="str">
        <f>IF(OR(ISBLANK(C481),C481="",M481=""),"In Progress",IF(M481&lt;=J481,"Met","Breached"))</f>
        <v>Breached</v>
      </c>
    </row>
    <row r="482" ht="19" customHeight="1" spans="1:14" x14ac:dyDescent="0.25">
      <c r="A482" s="19" t="s">
        <v>596</v>
      </c>
      <c r="B482" s="33">
        <v>46236.70833333333</v>
      </c>
      <c r="C482" s="33">
        <v>46237.57777777778</v>
      </c>
      <c r="D482" s="19" t="s">
        <v>33</v>
      </c>
      <c r="E482" s="19" t="s">
        <v>61</v>
      </c>
      <c r="F482" s="19" t="s">
        <v>45</v>
      </c>
      <c r="G482" s="19" t="s">
        <v>121</v>
      </c>
      <c r="H482" s="19" t="s">
        <v>67</v>
      </c>
      <c r="I482" s="19" t="s">
        <v>114</v>
      </c>
      <c r="J482" s="20">
        <v>12</v>
      </c>
      <c r="K482" s="34">
        <v>0</v>
      </c>
      <c r="M482" s="19">
        <f>IF(OR(ISBLANK(C482),C482=""),"",ROUND((C482-B482)*24,2))</f>
        <v>20.87</v>
      </c>
      <c r="N482" s="39" t="str">
        <f>IF(OR(ISBLANK(C482),C482="",M482=""),"In Progress",IF(M482&lt;=J482,"Met","Breached"))</f>
        <v>Breached</v>
      </c>
    </row>
    <row r="483" ht="19" customHeight="1" spans="1:14" x14ac:dyDescent="0.25">
      <c r="A483" s="22" t="s">
        <v>597</v>
      </c>
      <c r="B483" s="36">
        <v>45857.31388888889</v>
      </c>
      <c r="C483" s="36">
        <v>45858.20694444445</v>
      </c>
      <c r="D483" s="22" t="s">
        <v>36</v>
      </c>
      <c r="E483" s="22" t="s">
        <v>61</v>
      </c>
      <c r="F483" s="22" t="s">
        <v>37</v>
      </c>
      <c r="G483" s="22" t="s">
        <v>121</v>
      </c>
      <c r="H483" s="22" t="s">
        <v>67</v>
      </c>
      <c r="I483" s="22" t="s">
        <v>111</v>
      </c>
      <c r="J483" s="23">
        <v>12</v>
      </c>
      <c r="K483" s="37">
        <v>0</v>
      </c>
      <c r="M483" s="22">
        <f>IF(OR(ISBLANK(C483),C483=""),"",ROUND((C483-B483)*24,2))</f>
        <v>21.43</v>
      </c>
      <c r="N483" s="38" t="str">
        <f>IF(OR(ISBLANK(C483),C483="",M483=""),"In Progress",IF(M483&lt;=J483,"Met","Breached"))</f>
        <v>Breached</v>
      </c>
    </row>
    <row r="484" ht="19" customHeight="1" spans="1:14" x14ac:dyDescent="0.25">
      <c r="A484" s="19" t="s">
        <v>598</v>
      </c>
      <c r="B484" s="33">
        <v>45863.65486111111</v>
      </c>
      <c r="C484" s="33">
        <v>45864.48819444445</v>
      </c>
      <c r="D484" s="19" t="s">
        <v>33</v>
      </c>
      <c r="E484" s="19" t="s">
        <v>61</v>
      </c>
      <c r="F484" s="19" t="s">
        <v>45</v>
      </c>
      <c r="G484" s="19" t="s">
        <v>113</v>
      </c>
      <c r="H484" s="19" t="s">
        <v>59</v>
      </c>
      <c r="I484" s="19" t="s">
        <v>147</v>
      </c>
      <c r="J484" s="20">
        <v>12</v>
      </c>
      <c r="K484" s="34">
        <v>1</v>
      </c>
      <c r="L484" s="34">
        <v>4</v>
      </c>
      <c r="M484" s="19">
        <f>IF(OR(ISBLANK(C484),C484=""),"",ROUND((C484-B484)*24,2))</f>
        <v>20</v>
      </c>
      <c r="N484" s="39" t="str">
        <f>IF(OR(ISBLANK(C484),C484="",M484=""),"In Progress",IF(M484&lt;=J484,"Met","Breached"))</f>
        <v>Breached</v>
      </c>
    </row>
    <row r="485" ht="19" customHeight="1" spans="1:14" x14ac:dyDescent="0.25">
      <c r="A485" s="22" t="s">
        <v>599</v>
      </c>
      <c r="B485" s="36">
        <v>45901.40069444444</v>
      </c>
      <c r="C485" s="36">
        <v>45909.7375</v>
      </c>
      <c r="D485" s="22" t="s">
        <v>33</v>
      </c>
      <c r="E485" s="22" t="s">
        <v>69</v>
      </c>
      <c r="F485" s="22" t="s">
        <v>45</v>
      </c>
      <c r="G485" s="22" t="s">
        <v>110</v>
      </c>
      <c r="H485" s="22" t="s">
        <v>63</v>
      </c>
      <c r="I485" s="22" t="s">
        <v>114</v>
      </c>
      <c r="J485" s="23">
        <v>120</v>
      </c>
      <c r="K485" s="37">
        <v>0</v>
      </c>
      <c r="M485" s="22">
        <f>IF(OR(ISBLANK(C485),C485=""),"",ROUND((C485-B485)*24,2))</f>
        <v>200.08</v>
      </c>
      <c r="N485" s="38" t="str">
        <f>IF(OR(ISBLANK(C485),C485="",M485=""),"In Progress",IF(M485&lt;=J485,"Met","Breached"))</f>
        <v>Breached</v>
      </c>
    </row>
    <row r="486" ht="19" customHeight="1" spans="1:14" x14ac:dyDescent="0.25">
      <c r="A486" s="19" t="s">
        <v>600</v>
      </c>
      <c r="B486" s="33">
        <v>46152.558333333334</v>
      </c>
      <c r="D486" s="19" t="s">
        <v>39</v>
      </c>
      <c r="E486" s="19" t="s">
        <v>65</v>
      </c>
      <c r="F486" s="19" t="s">
        <v>40</v>
      </c>
      <c r="G486" s="19" t="s">
        <v>63</v>
      </c>
      <c r="H486" s="19" t="s">
        <v>59</v>
      </c>
      <c r="I486" s="19" t="s">
        <v>123</v>
      </c>
      <c r="J486" s="20">
        <v>48</v>
      </c>
      <c r="K486" s="34">
        <v>0</v>
      </c>
      <c r="M486" s="19" t="str">
        <f>IF(OR(ISBLANK(C486),C486=""),"",ROUND((C486-B486)*24,2))</f>
        <v/>
      </c>
      <c r="N486" s="19" t="str">
        <f>IF(OR(ISBLANK(C486),C486="",M486=""),"In Progress",IF(M486&lt;=J486,"Met","Breached"))</f>
        <v>In Progress</v>
      </c>
    </row>
    <row r="487" ht="19" customHeight="1" spans="1:14" x14ac:dyDescent="0.25">
      <c r="A487" s="22" t="s">
        <v>601</v>
      </c>
      <c r="B487" s="36">
        <v>46084.73541666666</v>
      </c>
      <c r="C487" s="36">
        <v>46086.34930555556</v>
      </c>
      <c r="D487" s="22" t="s">
        <v>36</v>
      </c>
      <c r="E487" s="22" t="s">
        <v>65</v>
      </c>
      <c r="F487" s="22" t="s">
        <v>37</v>
      </c>
      <c r="G487" s="22" t="s">
        <v>121</v>
      </c>
      <c r="H487" s="22" t="s">
        <v>63</v>
      </c>
      <c r="I487" s="22" t="s">
        <v>114</v>
      </c>
      <c r="J487" s="23">
        <v>48</v>
      </c>
      <c r="K487" s="37">
        <v>0</v>
      </c>
      <c r="L487" s="37">
        <v>5</v>
      </c>
      <c r="M487" s="22">
        <f>IF(OR(ISBLANK(C487),C487=""),"",ROUND((C487-B487)*24,2))</f>
        <v>38.73</v>
      </c>
      <c r="N487" s="40" t="str">
        <f>IF(OR(ISBLANK(C487),C487="",M487=""),"In Progress",IF(M487&lt;=J487,"Met","Breached"))</f>
        <v>Met</v>
      </c>
    </row>
    <row r="488" ht="19" customHeight="1" spans="1:14" x14ac:dyDescent="0.25">
      <c r="A488" s="19" t="s">
        <v>602</v>
      </c>
      <c r="B488" s="33">
        <v>45706.16736111111</v>
      </c>
      <c r="D488" s="19" t="s">
        <v>42</v>
      </c>
      <c r="E488" s="19" t="s">
        <v>65</v>
      </c>
      <c r="F488" s="19" t="s">
        <v>34</v>
      </c>
      <c r="G488" s="19" t="s">
        <v>126</v>
      </c>
      <c r="H488" s="19" t="s">
        <v>71</v>
      </c>
      <c r="I488" s="19" t="s">
        <v>147</v>
      </c>
      <c r="J488" s="20">
        <v>48</v>
      </c>
      <c r="K488" s="34">
        <v>0</v>
      </c>
      <c r="M488" s="19" t="str">
        <f>IF(OR(ISBLANK(C488),C488=""),"",ROUND((C488-B488)*24,2))</f>
        <v/>
      </c>
      <c r="N488" s="19" t="str">
        <f>IF(OR(ISBLANK(C488),C488="",M488=""),"In Progress",IF(M488&lt;=J488,"Met","Breached"))</f>
        <v>In Progress</v>
      </c>
    </row>
    <row r="489" ht="19" customHeight="1" spans="1:14" x14ac:dyDescent="0.25">
      <c r="A489" s="22" t="s">
        <v>603</v>
      </c>
      <c r="B489" s="36">
        <v>46049.88055555556</v>
      </c>
      <c r="C489" s="36">
        <v>46053.58333333333</v>
      </c>
      <c r="D489" s="22" t="s">
        <v>33</v>
      </c>
      <c r="E489" s="22" t="s">
        <v>69</v>
      </c>
      <c r="F489" s="22" t="s">
        <v>34</v>
      </c>
      <c r="G489" s="22" t="s">
        <v>126</v>
      </c>
      <c r="H489" s="22" t="s">
        <v>71</v>
      </c>
      <c r="I489" s="22" t="s">
        <v>147</v>
      </c>
      <c r="J489" s="23">
        <v>120</v>
      </c>
      <c r="K489" s="37">
        <v>0</v>
      </c>
      <c r="L489" s="37">
        <v>3</v>
      </c>
      <c r="M489" s="22">
        <f>IF(OR(ISBLANK(C489),C489=""),"",ROUND((C489-B489)*24,2))</f>
        <v>88.87</v>
      </c>
      <c r="N489" s="40" t="str">
        <f>IF(OR(ISBLANK(C489),C489="",M489=""),"In Progress",IF(M489&lt;=J489,"Met","Breached"))</f>
        <v>Met</v>
      </c>
    </row>
    <row r="490" ht="19" customHeight="1" spans="1:14" x14ac:dyDescent="0.25">
      <c r="A490" s="19" t="s">
        <v>604</v>
      </c>
      <c r="B490" s="33">
        <v>45992.61319444445</v>
      </c>
      <c r="C490" s="33">
        <v>45994.648611111115</v>
      </c>
      <c r="D490" s="19" t="s">
        <v>36</v>
      </c>
      <c r="E490" s="19" t="s">
        <v>65</v>
      </c>
      <c r="F490" s="19" t="s">
        <v>37</v>
      </c>
      <c r="G490" s="19" t="s">
        <v>63</v>
      </c>
      <c r="H490" s="19" t="s">
        <v>71</v>
      </c>
      <c r="I490" s="19" t="s">
        <v>108</v>
      </c>
      <c r="J490" s="20">
        <v>48</v>
      </c>
      <c r="K490" s="34">
        <v>0</v>
      </c>
      <c r="M490" s="19">
        <f>IF(OR(ISBLANK(C490),C490=""),"",ROUND((C490-B490)*24,2))</f>
        <v>48.85</v>
      </c>
      <c r="N490" s="39" t="str">
        <f>IF(OR(ISBLANK(C490),C490="",M490=""),"In Progress",IF(M490&lt;=J490,"Met","Breached"))</f>
        <v>Breached</v>
      </c>
    </row>
    <row r="491" ht="19" customHeight="1" spans="1:14" x14ac:dyDescent="0.25">
      <c r="A491" s="22" t="s">
        <v>605</v>
      </c>
      <c r="B491" s="36">
        <v>46113.04791666666</v>
      </c>
      <c r="D491" s="22" t="s">
        <v>42</v>
      </c>
      <c r="E491" s="22" t="s">
        <v>65</v>
      </c>
      <c r="F491" s="22" t="s">
        <v>34</v>
      </c>
      <c r="G491" s="22" t="s">
        <v>63</v>
      </c>
      <c r="H491" s="22" t="s">
        <v>59</v>
      </c>
      <c r="I491" s="22" t="s">
        <v>117</v>
      </c>
      <c r="J491" s="23">
        <v>48</v>
      </c>
      <c r="K491" s="37">
        <v>0</v>
      </c>
      <c r="M491" s="22" t="str">
        <f>IF(OR(ISBLANK(C491),C491=""),"",ROUND((C491-B491)*24,2))</f>
        <v/>
      </c>
      <c r="N491" s="22" t="str">
        <f>IF(OR(ISBLANK(C491),C491="",M491=""),"In Progress",IF(M491&lt;=J491,"Met","Breached"))</f>
        <v>In Progress</v>
      </c>
    </row>
    <row r="492" ht="19" customHeight="1" spans="1:14" x14ac:dyDescent="0.25">
      <c r="A492" s="19" t="s">
        <v>606</v>
      </c>
      <c r="B492" s="33">
        <v>45729.742361111115</v>
      </c>
      <c r="C492" s="33">
        <v>45733.23611111111</v>
      </c>
      <c r="D492" s="19" t="s">
        <v>36</v>
      </c>
      <c r="E492" s="19" t="s">
        <v>65</v>
      </c>
      <c r="F492" s="19" t="s">
        <v>40</v>
      </c>
      <c r="G492" s="19" t="s">
        <v>110</v>
      </c>
      <c r="H492" s="19" t="s">
        <v>67</v>
      </c>
      <c r="I492" s="19" t="s">
        <v>147</v>
      </c>
      <c r="J492" s="20">
        <v>48</v>
      </c>
      <c r="K492" s="34">
        <v>0</v>
      </c>
      <c r="M492" s="19">
        <f>IF(OR(ISBLANK(C492),C492=""),"",ROUND((C492-B492)*24,2))</f>
        <v>83.85</v>
      </c>
      <c r="N492" s="39" t="str">
        <f>IF(OR(ISBLANK(C492),C492="",M492=""),"In Progress",IF(M492&lt;=J492,"Met","Breached"))</f>
        <v>Breached</v>
      </c>
    </row>
    <row r="493" ht="19" customHeight="1" spans="1:14" x14ac:dyDescent="0.25">
      <c r="A493" s="22" t="s">
        <v>607</v>
      </c>
      <c r="B493" s="36">
        <v>45860.38333333333</v>
      </c>
      <c r="C493" s="36">
        <v>45867.35486111111</v>
      </c>
      <c r="D493" s="22" t="s">
        <v>36</v>
      </c>
      <c r="E493" s="22" t="s">
        <v>69</v>
      </c>
      <c r="F493" s="22" t="s">
        <v>45</v>
      </c>
      <c r="G493" s="22" t="s">
        <v>110</v>
      </c>
      <c r="H493" s="22" t="s">
        <v>63</v>
      </c>
      <c r="I493" s="22" t="s">
        <v>114</v>
      </c>
      <c r="J493" s="23">
        <v>120</v>
      </c>
      <c r="K493" s="37">
        <v>0</v>
      </c>
      <c r="L493" s="37">
        <v>3</v>
      </c>
      <c r="M493" s="22">
        <f>IF(OR(ISBLANK(C493),C493=""),"",ROUND((C493-B493)*24,2))</f>
        <v>167.32</v>
      </c>
      <c r="N493" s="38" t="str">
        <f>IF(OR(ISBLANK(C493),C493="",M493=""),"In Progress",IF(M493&lt;=J493,"Met","Breached"))</f>
        <v>Breached</v>
      </c>
    </row>
    <row r="494" ht="19" customHeight="1" spans="1:14" x14ac:dyDescent="0.25">
      <c r="A494" s="19" t="s">
        <v>608</v>
      </c>
      <c r="B494" s="33">
        <v>46049.59097222222</v>
      </c>
      <c r="D494" s="19" t="s">
        <v>39</v>
      </c>
      <c r="E494" s="19" t="s">
        <v>65</v>
      </c>
      <c r="F494" s="19" t="s">
        <v>37</v>
      </c>
      <c r="G494" s="19" t="s">
        <v>63</v>
      </c>
      <c r="H494" s="19" t="s">
        <v>59</v>
      </c>
      <c r="I494" s="19" t="s">
        <v>114</v>
      </c>
      <c r="J494" s="20">
        <v>48</v>
      </c>
      <c r="K494" s="34">
        <v>0</v>
      </c>
      <c r="M494" s="19" t="str">
        <f>IF(OR(ISBLANK(C494),C494=""),"",ROUND((C494-B494)*24,2))</f>
        <v/>
      </c>
      <c r="N494" s="19" t="str">
        <f>IF(OR(ISBLANK(C494),C494="",M494=""),"In Progress",IF(M494&lt;=J494,"Met","Breached"))</f>
        <v>In Progress</v>
      </c>
    </row>
    <row r="495" ht="19" customHeight="1" spans="1:14" x14ac:dyDescent="0.25">
      <c r="A495" s="22" t="s">
        <v>609</v>
      </c>
      <c r="B495" s="36">
        <v>45975.82708333334</v>
      </c>
      <c r="C495" s="36">
        <v>45976.70277777778</v>
      </c>
      <c r="D495" s="22" t="s">
        <v>33</v>
      </c>
      <c r="E495" s="22" t="s">
        <v>61</v>
      </c>
      <c r="F495" s="22" t="s">
        <v>40</v>
      </c>
      <c r="G495" s="22" t="s">
        <v>113</v>
      </c>
      <c r="H495" s="22" t="s">
        <v>59</v>
      </c>
      <c r="I495" s="22" t="s">
        <v>117</v>
      </c>
      <c r="J495" s="23">
        <v>12</v>
      </c>
      <c r="K495" s="37">
        <v>0</v>
      </c>
      <c r="M495" s="22">
        <f>IF(OR(ISBLANK(C495),C495=""),"",ROUND((C495-B495)*24,2))</f>
        <v>21.02</v>
      </c>
      <c r="N495" s="38" t="str">
        <f>IF(OR(ISBLANK(C495),C495="",M495=""),"In Progress",IF(M495&lt;=J495,"Met","Breached"))</f>
        <v>Breached</v>
      </c>
    </row>
    <row r="496" ht="19" customHeight="1" spans="1:14" x14ac:dyDescent="0.25">
      <c r="A496" s="19" t="s">
        <v>610</v>
      </c>
      <c r="B496" s="33">
        <v>46028.3625</v>
      </c>
      <c r="C496" s="33">
        <v>46036.87708333333</v>
      </c>
      <c r="D496" s="19" t="s">
        <v>33</v>
      </c>
      <c r="E496" s="19" t="s">
        <v>69</v>
      </c>
      <c r="F496" s="19" t="s">
        <v>43</v>
      </c>
      <c r="G496" s="19" t="s">
        <v>121</v>
      </c>
      <c r="H496" s="19" t="s">
        <v>59</v>
      </c>
      <c r="I496" s="19" t="s">
        <v>123</v>
      </c>
      <c r="J496" s="20">
        <v>120</v>
      </c>
      <c r="K496" s="34">
        <v>0</v>
      </c>
      <c r="L496" s="34">
        <v>2</v>
      </c>
      <c r="M496" s="19">
        <f>IF(OR(ISBLANK(C496),C496=""),"",ROUND((C496-B496)*24,2))</f>
        <v>204.35</v>
      </c>
      <c r="N496" s="39" t="str">
        <f>IF(OR(ISBLANK(C496),C496="",M496=""),"In Progress",IF(M496&lt;=J496,"Met","Breached"))</f>
        <v>Breached</v>
      </c>
    </row>
    <row r="497" ht="19" customHeight="1" spans="1:14" x14ac:dyDescent="0.25">
      <c r="A497" s="22" t="s">
        <v>611</v>
      </c>
      <c r="B497" s="36">
        <v>46210.06458333333</v>
      </c>
      <c r="C497" s="36">
        <v>46213.55069444445</v>
      </c>
      <c r="D497" s="22" t="s">
        <v>33</v>
      </c>
      <c r="E497" s="22" t="s">
        <v>65</v>
      </c>
      <c r="F497" s="22" t="s">
        <v>40</v>
      </c>
      <c r="G497" s="22" t="s">
        <v>63</v>
      </c>
      <c r="H497" s="22" t="s">
        <v>67</v>
      </c>
      <c r="I497" s="22" t="s">
        <v>111</v>
      </c>
      <c r="J497" s="23">
        <v>48</v>
      </c>
      <c r="K497" s="37">
        <v>0</v>
      </c>
      <c r="M497" s="22">
        <f>IF(OR(ISBLANK(C497),C497=""),"",ROUND((C497-B497)*24,2))</f>
        <v>83.67</v>
      </c>
      <c r="N497" s="38" t="str">
        <f>IF(OR(ISBLANK(C497),C497="",M497=""),"In Progress",IF(M497&lt;=J497,"Met","Breached"))</f>
        <v>Breached</v>
      </c>
    </row>
    <row r="498" ht="19" customHeight="1" spans="1:14" x14ac:dyDescent="0.25">
      <c r="A498" s="19" t="s">
        <v>612</v>
      </c>
      <c r="B498" s="33">
        <v>45870.79305555555</v>
      </c>
      <c r="C498" s="33">
        <v>45874.82430555555</v>
      </c>
      <c r="D498" s="19" t="s">
        <v>33</v>
      </c>
      <c r="E498" s="19" t="s">
        <v>69</v>
      </c>
      <c r="F498" s="19" t="s">
        <v>34</v>
      </c>
      <c r="G498" s="19" t="s">
        <v>63</v>
      </c>
      <c r="H498" s="19" t="s">
        <v>63</v>
      </c>
      <c r="I498" s="19" t="s">
        <v>114</v>
      </c>
      <c r="J498" s="20">
        <v>120</v>
      </c>
      <c r="K498" s="34">
        <v>0</v>
      </c>
      <c r="L498" s="34">
        <v>5</v>
      </c>
      <c r="M498" s="19">
        <f>IF(OR(ISBLANK(C498),C498=""),"",ROUND((C498-B498)*24,2))</f>
        <v>96.75</v>
      </c>
      <c r="N498" s="35" t="str">
        <f>IF(OR(ISBLANK(C498),C498="",M498=""),"In Progress",IF(M498&lt;=J498,"Met","Breached"))</f>
        <v>Met</v>
      </c>
    </row>
    <row r="499" ht="19" customHeight="1" spans="1:14" x14ac:dyDescent="0.25">
      <c r="A499" s="22" t="s">
        <v>613</v>
      </c>
      <c r="B499" s="36">
        <v>45676.540972222225</v>
      </c>
      <c r="C499" s="36">
        <v>45685.424305555556</v>
      </c>
      <c r="D499" s="22" t="s">
        <v>36</v>
      </c>
      <c r="E499" s="22" t="s">
        <v>69</v>
      </c>
      <c r="F499" s="22" t="s">
        <v>37</v>
      </c>
      <c r="G499" s="22" t="s">
        <v>126</v>
      </c>
      <c r="H499" s="22" t="s">
        <v>63</v>
      </c>
      <c r="I499" s="22" t="s">
        <v>123</v>
      </c>
      <c r="J499" s="23">
        <v>120</v>
      </c>
      <c r="K499" s="37">
        <v>1</v>
      </c>
      <c r="M499" s="22">
        <f>IF(OR(ISBLANK(C499),C499=""),"",ROUND((C499-B499)*24,2))</f>
        <v>213.2</v>
      </c>
      <c r="N499" s="38" t="str">
        <f>IF(OR(ISBLANK(C499),C499="",M499=""),"In Progress",IF(M499&lt;=J499,"Met","Breached"))</f>
        <v>Breached</v>
      </c>
    </row>
    <row r="500" ht="19" customHeight="1" spans="1:14" x14ac:dyDescent="0.25">
      <c r="A500" s="19" t="s">
        <v>614</v>
      </c>
      <c r="B500" s="33">
        <v>45674.8625</v>
      </c>
      <c r="C500" s="33">
        <v>45675.10208333333</v>
      </c>
      <c r="D500" s="19" t="s">
        <v>36</v>
      </c>
      <c r="E500" s="19" t="s">
        <v>61</v>
      </c>
      <c r="F500" s="19" t="s">
        <v>40</v>
      </c>
      <c r="G500" s="19" t="s">
        <v>126</v>
      </c>
      <c r="H500" s="19" t="s">
        <v>59</v>
      </c>
      <c r="I500" s="19" t="s">
        <v>108</v>
      </c>
      <c r="J500" s="20">
        <v>12</v>
      </c>
      <c r="K500" s="34">
        <v>0</v>
      </c>
      <c r="L500" s="34">
        <v>3</v>
      </c>
      <c r="M500" s="19">
        <f>IF(OR(ISBLANK(C500),C500=""),"",ROUND((C500-B500)*24,2))</f>
        <v>5.75</v>
      </c>
      <c r="N500" s="35" t="str">
        <f>IF(OR(ISBLANK(C500),C500="",M500=""),"In Progress",IF(M500&lt;=J500,"Met","Breached"))</f>
        <v>Met</v>
      </c>
    </row>
    <row r="501" ht="19" customHeight="1" spans="1:14" x14ac:dyDescent="0.25">
      <c r="A501" s="22" t="s">
        <v>615</v>
      </c>
      <c r="B501" s="36">
        <v>46252.78125</v>
      </c>
      <c r="D501" s="22" t="s">
        <v>39</v>
      </c>
      <c r="E501" s="22" t="s">
        <v>69</v>
      </c>
      <c r="F501" s="22" t="s">
        <v>45</v>
      </c>
      <c r="G501" s="22" t="s">
        <v>113</v>
      </c>
      <c r="H501" s="22" t="s">
        <v>59</v>
      </c>
      <c r="I501" s="22" t="s">
        <v>117</v>
      </c>
      <c r="J501" s="23">
        <v>120</v>
      </c>
      <c r="K501" s="37">
        <v>0</v>
      </c>
      <c r="M501" s="22" t="str">
        <f>IF(OR(ISBLANK(C501),C501=""),"",ROUND((C501-B501)*24,2))</f>
        <v/>
      </c>
      <c r="N501" s="22" t="str">
        <f>IF(OR(ISBLANK(C501),C501="",M501=""),"In Progress",IF(M501&lt;=J501,"Met","Breached"))</f>
        <v>In Progress</v>
      </c>
    </row>
    <row r="502" ht="19" customHeight="1" spans="1:14" x14ac:dyDescent="0.25">
      <c r="A502" s="19" t="s">
        <v>616</v>
      </c>
      <c r="B502" s="33">
        <v>45800.652083333334</v>
      </c>
      <c r="C502" s="33">
        <v>45804.194444444445</v>
      </c>
      <c r="D502" s="19" t="s">
        <v>33</v>
      </c>
      <c r="E502" s="19" t="s">
        <v>65</v>
      </c>
      <c r="F502" s="19" t="s">
        <v>45</v>
      </c>
      <c r="G502" s="19" t="s">
        <v>113</v>
      </c>
      <c r="H502" s="19" t="s">
        <v>63</v>
      </c>
      <c r="I502" s="19" t="s">
        <v>111</v>
      </c>
      <c r="J502" s="20">
        <v>48</v>
      </c>
      <c r="K502" s="34">
        <v>0</v>
      </c>
      <c r="L502" s="34">
        <v>2</v>
      </c>
      <c r="M502" s="19">
        <f>IF(OR(ISBLANK(C502),C502=""),"",ROUND((C502-B502)*24,2))</f>
        <v>85.02</v>
      </c>
      <c r="N502" s="39" t="str">
        <f>IF(OR(ISBLANK(C502),C502="",M502=""),"In Progress",IF(M502&lt;=J502,"Met","Breached"))</f>
        <v>Breached</v>
      </c>
    </row>
    <row r="503" ht="19" customHeight="1" spans="1:14" x14ac:dyDescent="0.25">
      <c r="A503" s="22" t="s">
        <v>617</v>
      </c>
      <c r="B503" s="36">
        <v>45711.09861111111</v>
      </c>
      <c r="D503" s="22" t="s">
        <v>39</v>
      </c>
      <c r="E503" s="22" t="s">
        <v>65</v>
      </c>
      <c r="F503" s="22" t="s">
        <v>45</v>
      </c>
      <c r="G503" s="22" t="s">
        <v>116</v>
      </c>
      <c r="H503" s="22" t="s">
        <v>63</v>
      </c>
      <c r="I503" s="22" t="s">
        <v>147</v>
      </c>
      <c r="J503" s="23">
        <v>48</v>
      </c>
      <c r="K503" s="37">
        <v>0</v>
      </c>
      <c r="M503" s="22" t="str">
        <f>IF(OR(ISBLANK(C503),C503=""),"",ROUND((C503-B503)*24,2))</f>
        <v/>
      </c>
      <c r="N503" s="22" t="str">
        <f>IF(OR(ISBLANK(C503),C503="",M503=""),"In Progress",IF(M503&lt;=J503,"Met","Breached"))</f>
        <v>In Progress</v>
      </c>
    </row>
    <row r="504" ht="19" customHeight="1" spans="1:14" x14ac:dyDescent="0.25">
      <c r="A504" s="19" t="s">
        <v>618</v>
      </c>
      <c r="B504" s="33">
        <v>46259.00486111111</v>
      </c>
      <c r="C504" s="33">
        <v>46259.53472222222</v>
      </c>
      <c r="D504" s="19" t="s">
        <v>33</v>
      </c>
      <c r="E504" s="19" t="s">
        <v>61</v>
      </c>
      <c r="F504" s="19" t="s">
        <v>34</v>
      </c>
      <c r="G504" s="19" t="s">
        <v>126</v>
      </c>
      <c r="H504" s="19" t="s">
        <v>63</v>
      </c>
      <c r="I504" s="19" t="s">
        <v>114</v>
      </c>
      <c r="J504" s="20">
        <v>12</v>
      </c>
      <c r="K504" s="34">
        <v>0</v>
      </c>
      <c r="L504" s="34">
        <v>3</v>
      </c>
      <c r="M504" s="19">
        <f>IF(OR(ISBLANK(C504),C504=""),"",ROUND((C504-B504)*24,2))</f>
        <v>12.72</v>
      </c>
      <c r="N504" s="39" t="str">
        <f>IF(OR(ISBLANK(C504),C504="",M504=""),"In Progress",IF(M504&lt;=J504,"Met","Breached"))</f>
        <v>Breached</v>
      </c>
    </row>
    <row r="505" ht="19" customHeight="1" spans="1:14" x14ac:dyDescent="0.25">
      <c r="A505" s="22" t="s">
        <v>619</v>
      </c>
      <c r="B505" s="36">
        <v>46238.375</v>
      </c>
      <c r="C505" s="36">
        <v>46240.96736111111</v>
      </c>
      <c r="D505" s="22" t="s">
        <v>33</v>
      </c>
      <c r="E505" s="22" t="s">
        <v>65</v>
      </c>
      <c r="F505" s="22" t="s">
        <v>37</v>
      </c>
      <c r="G505" s="22" t="s">
        <v>116</v>
      </c>
      <c r="H505" s="22" t="s">
        <v>59</v>
      </c>
      <c r="I505" s="22" t="s">
        <v>147</v>
      </c>
      <c r="J505" s="23">
        <v>48</v>
      </c>
      <c r="K505" s="37">
        <v>0</v>
      </c>
      <c r="M505" s="22">
        <f>IF(OR(ISBLANK(C505),C505=""),"",ROUND((C505-B505)*24,2))</f>
        <v>62.22</v>
      </c>
      <c r="N505" s="38" t="str">
        <f>IF(OR(ISBLANK(C505),C505="",M505=""),"In Progress",IF(M505&lt;=J505,"Met","Breached"))</f>
        <v>Breached</v>
      </c>
    </row>
    <row r="506" ht="19" customHeight="1" spans="1:14" x14ac:dyDescent="0.25">
      <c r="A506" s="19" t="s">
        <v>620</v>
      </c>
      <c r="B506" s="33">
        <v>46016.83125</v>
      </c>
      <c r="D506" s="19" t="s">
        <v>39</v>
      </c>
      <c r="E506" s="19" t="s">
        <v>61</v>
      </c>
      <c r="F506" s="19" t="s">
        <v>43</v>
      </c>
      <c r="G506" s="19" t="s">
        <v>126</v>
      </c>
      <c r="H506" s="19" t="s">
        <v>59</v>
      </c>
      <c r="I506" s="19" t="s">
        <v>111</v>
      </c>
      <c r="J506" s="20">
        <v>12</v>
      </c>
      <c r="K506" s="34">
        <v>0</v>
      </c>
      <c r="M506" s="19" t="str">
        <f>IF(OR(ISBLANK(C506),C506=""),"",ROUND((C506-B506)*24,2))</f>
        <v/>
      </c>
      <c r="N506" s="19" t="str">
        <f>IF(OR(ISBLANK(C506),C506="",M506=""),"In Progress",IF(M506&lt;=J506,"Met","Breached"))</f>
        <v>In Progress</v>
      </c>
    </row>
    <row r="507" ht="19" customHeight="1" spans="1:14" x14ac:dyDescent="0.25">
      <c r="A507" s="22" t="s">
        <v>621</v>
      </c>
      <c r="B507" s="36">
        <v>45919.39791666667</v>
      </c>
      <c r="C507" s="36">
        <v>45920.20833333333</v>
      </c>
      <c r="D507" s="22" t="s">
        <v>33</v>
      </c>
      <c r="E507" s="22" t="s">
        <v>61</v>
      </c>
      <c r="F507" s="22" t="s">
        <v>37</v>
      </c>
      <c r="G507" s="22" t="s">
        <v>110</v>
      </c>
      <c r="H507" s="22" t="s">
        <v>63</v>
      </c>
      <c r="I507" s="22" t="s">
        <v>123</v>
      </c>
      <c r="J507" s="23">
        <v>12</v>
      </c>
      <c r="K507" s="37">
        <v>0</v>
      </c>
      <c r="L507" s="37">
        <v>5</v>
      </c>
      <c r="M507" s="22">
        <f>IF(OR(ISBLANK(C507),C507=""),"",ROUND((C507-B507)*24,2))</f>
        <v>19.45</v>
      </c>
      <c r="N507" s="38" t="str">
        <f>IF(OR(ISBLANK(C507),C507="",M507=""),"In Progress",IF(M507&lt;=J507,"Met","Breached"))</f>
        <v>Breached</v>
      </c>
    </row>
    <row r="508" ht="19" customHeight="1" spans="1:14" x14ac:dyDescent="0.25">
      <c r="A508" s="19" t="s">
        <v>622</v>
      </c>
      <c r="B508" s="33">
        <v>46016.851388888885</v>
      </c>
      <c r="D508" s="19" t="s">
        <v>42</v>
      </c>
      <c r="E508" s="19" t="s">
        <v>65</v>
      </c>
      <c r="F508" s="19" t="s">
        <v>43</v>
      </c>
      <c r="G508" s="19" t="s">
        <v>63</v>
      </c>
      <c r="H508" s="19" t="s">
        <v>59</v>
      </c>
      <c r="I508" s="19" t="s">
        <v>117</v>
      </c>
      <c r="J508" s="20">
        <v>48</v>
      </c>
      <c r="K508" s="34">
        <v>0</v>
      </c>
      <c r="M508" s="19" t="str">
        <f>IF(OR(ISBLANK(C508),C508=""),"",ROUND((C508-B508)*24,2))</f>
        <v/>
      </c>
      <c r="N508" s="19" t="str">
        <f>IF(OR(ISBLANK(C508),C508="",M508=""),"In Progress",IF(M508&lt;=J508,"Met","Breached"))</f>
        <v>In Progress</v>
      </c>
    </row>
    <row r="509" ht="19" customHeight="1" spans="1:14" x14ac:dyDescent="0.25">
      <c r="A509" s="22" t="s">
        <v>623</v>
      </c>
      <c r="B509" s="36">
        <v>46120.80972222222</v>
      </c>
      <c r="C509" s="36">
        <v>46121.601388888885</v>
      </c>
      <c r="D509" s="22" t="s">
        <v>33</v>
      </c>
      <c r="E509" s="22" t="s">
        <v>61</v>
      </c>
      <c r="F509" s="22" t="s">
        <v>45</v>
      </c>
      <c r="G509" s="22" t="s">
        <v>113</v>
      </c>
      <c r="H509" s="22" t="s">
        <v>59</v>
      </c>
      <c r="I509" s="22" t="s">
        <v>117</v>
      </c>
      <c r="J509" s="23">
        <v>12</v>
      </c>
      <c r="K509" s="37">
        <v>0</v>
      </c>
      <c r="L509" s="37">
        <v>1</v>
      </c>
      <c r="M509" s="22">
        <f>IF(OR(ISBLANK(C509),C509=""),"",ROUND((C509-B509)*24,2))</f>
        <v>19</v>
      </c>
      <c r="N509" s="38" t="str">
        <f>IF(OR(ISBLANK(C509),C509="",M509=""),"In Progress",IF(M509&lt;=J509,"Met","Breached"))</f>
        <v>Breached</v>
      </c>
    </row>
    <row r="510" ht="19" customHeight="1" spans="1:14" x14ac:dyDescent="0.25">
      <c r="A510" s="19" t="s">
        <v>624</v>
      </c>
      <c r="B510" s="33">
        <v>45872.32916666666</v>
      </c>
      <c r="D510" s="19" t="s">
        <v>42</v>
      </c>
      <c r="E510" s="19" t="s">
        <v>65</v>
      </c>
      <c r="F510" s="19" t="s">
        <v>37</v>
      </c>
      <c r="G510" s="19" t="s">
        <v>116</v>
      </c>
      <c r="H510" s="19" t="s">
        <v>67</v>
      </c>
      <c r="I510" s="19" t="s">
        <v>114</v>
      </c>
      <c r="J510" s="20">
        <v>48</v>
      </c>
      <c r="K510" s="34">
        <v>0</v>
      </c>
      <c r="M510" s="19" t="str">
        <f>IF(OR(ISBLANK(C510),C510=""),"",ROUND((C510-B510)*24,2))</f>
        <v/>
      </c>
      <c r="N510" s="19" t="str">
        <f>IF(OR(ISBLANK(C510),C510="",M510=""),"In Progress",IF(M510&lt;=J510,"Met","Breached"))</f>
        <v>In Progress</v>
      </c>
    </row>
    <row r="511" ht="19" customHeight="1" spans="1:14" x14ac:dyDescent="0.25">
      <c r="A511" s="22" t="s">
        <v>625</v>
      </c>
      <c r="B511" s="36">
        <v>45759.30902777778</v>
      </c>
      <c r="C511" s="36">
        <v>45759.893055555556</v>
      </c>
      <c r="D511" s="22" t="s">
        <v>33</v>
      </c>
      <c r="E511" s="22" t="s">
        <v>61</v>
      </c>
      <c r="F511" s="22" t="s">
        <v>45</v>
      </c>
      <c r="G511" s="22" t="s">
        <v>63</v>
      </c>
      <c r="H511" s="22" t="s">
        <v>67</v>
      </c>
      <c r="I511" s="22" t="s">
        <v>117</v>
      </c>
      <c r="J511" s="23">
        <v>12</v>
      </c>
      <c r="K511" s="37">
        <v>1</v>
      </c>
      <c r="L511" s="37">
        <v>5</v>
      </c>
      <c r="M511" s="22">
        <f>IF(OR(ISBLANK(C511),C511=""),"",ROUND((C511-B511)*24,2))</f>
        <v>14.02</v>
      </c>
      <c r="N511" s="38" t="str">
        <f>IF(OR(ISBLANK(C511),C511="",M511=""),"In Progress",IF(M511&lt;=J511,"Met","Breached"))</f>
        <v>Breached</v>
      </c>
    </row>
    <row r="512" ht="19" customHeight="1" spans="1:14" x14ac:dyDescent="0.25">
      <c r="A512" s="19" t="s">
        <v>626</v>
      </c>
      <c r="B512" s="33">
        <v>46256.620833333334</v>
      </c>
      <c r="C512" s="33">
        <v>46263.808333333334</v>
      </c>
      <c r="D512" s="19" t="s">
        <v>33</v>
      </c>
      <c r="E512" s="19" t="s">
        <v>69</v>
      </c>
      <c r="F512" s="19" t="s">
        <v>34</v>
      </c>
      <c r="G512" s="19" t="s">
        <v>121</v>
      </c>
      <c r="H512" s="19" t="s">
        <v>59</v>
      </c>
      <c r="I512" s="19" t="s">
        <v>117</v>
      </c>
      <c r="J512" s="20">
        <v>120</v>
      </c>
      <c r="K512" s="34">
        <v>0</v>
      </c>
      <c r="L512" s="34">
        <v>2</v>
      </c>
      <c r="M512" s="19">
        <f>IF(OR(ISBLANK(C512),C512=""),"",ROUND((C512-B512)*24,2))</f>
        <v>172.5</v>
      </c>
      <c r="N512" s="39" t="str">
        <f>IF(OR(ISBLANK(C512),C512="",M512=""),"In Progress",IF(M512&lt;=J512,"Met","Breached"))</f>
        <v>Breached</v>
      </c>
    </row>
    <row r="513" ht="19" customHeight="1" spans="1:14" x14ac:dyDescent="0.25">
      <c r="A513" s="22" t="s">
        <v>627</v>
      </c>
      <c r="B513" s="36">
        <v>45806.03333333333</v>
      </c>
      <c r="C513" s="36">
        <v>45812.256944444445</v>
      </c>
      <c r="D513" s="22" t="s">
        <v>33</v>
      </c>
      <c r="E513" s="22" t="s">
        <v>69</v>
      </c>
      <c r="F513" s="22" t="s">
        <v>43</v>
      </c>
      <c r="G513" s="22" t="s">
        <v>126</v>
      </c>
      <c r="H513" s="22" t="s">
        <v>63</v>
      </c>
      <c r="I513" s="22" t="s">
        <v>111</v>
      </c>
      <c r="J513" s="23">
        <v>120</v>
      </c>
      <c r="K513" s="37">
        <v>0</v>
      </c>
      <c r="M513" s="22">
        <f>IF(OR(ISBLANK(C513),C513=""),"",ROUND((C513-B513)*24,2))</f>
        <v>149.37</v>
      </c>
      <c r="N513" s="38" t="str">
        <f>IF(OR(ISBLANK(C513),C513="",M513=""),"In Progress",IF(M513&lt;=J513,"Met","Breached"))</f>
        <v>Breached</v>
      </c>
    </row>
    <row r="514" ht="19" customHeight="1" spans="1:14" x14ac:dyDescent="0.25">
      <c r="A514" s="19" t="s">
        <v>628</v>
      </c>
      <c r="B514" s="33">
        <v>46257.18819444445</v>
      </c>
      <c r="C514" s="33">
        <v>46260.52291666667</v>
      </c>
      <c r="D514" s="19" t="s">
        <v>36</v>
      </c>
      <c r="E514" s="19" t="s">
        <v>69</v>
      </c>
      <c r="F514" s="19" t="s">
        <v>37</v>
      </c>
      <c r="G514" s="19" t="s">
        <v>121</v>
      </c>
      <c r="H514" s="19" t="s">
        <v>67</v>
      </c>
      <c r="I514" s="19" t="s">
        <v>108</v>
      </c>
      <c r="J514" s="20">
        <v>120</v>
      </c>
      <c r="K514" s="34">
        <v>0</v>
      </c>
      <c r="L514" s="34">
        <v>1</v>
      </c>
      <c r="M514" s="19">
        <f>IF(OR(ISBLANK(C514),C514=""),"",ROUND((C514-B514)*24,2))</f>
        <v>80.03</v>
      </c>
      <c r="N514" s="35" t="str">
        <f>IF(OR(ISBLANK(C514),C514="",M514=""),"In Progress",IF(M514&lt;=J514,"Met","Breached"))</f>
        <v>Met</v>
      </c>
    </row>
    <row r="515" ht="19" customHeight="1" spans="1:14" x14ac:dyDescent="0.25">
      <c r="A515" s="22" t="s">
        <v>629</v>
      </c>
      <c r="B515" s="36">
        <v>45839.63125</v>
      </c>
      <c r="C515" s="36">
        <v>45844.319444444445</v>
      </c>
      <c r="D515" s="22" t="s">
        <v>33</v>
      </c>
      <c r="E515" s="22" t="s">
        <v>69</v>
      </c>
      <c r="F515" s="22" t="s">
        <v>43</v>
      </c>
      <c r="G515" s="22" t="s">
        <v>126</v>
      </c>
      <c r="H515" s="22" t="s">
        <v>71</v>
      </c>
      <c r="I515" s="22" t="s">
        <v>117</v>
      </c>
      <c r="J515" s="23">
        <v>120</v>
      </c>
      <c r="K515" s="37">
        <v>0</v>
      </c>
      <c r="L515" s="37">
        <v>3</v>
      </c>
      <c r="M515" s="22">
        <f>IF(OR(ISBLANK(C515),C515=""),"",ROUND((C515-B515)*24,2))</f>
        <v>112.52</v>
      </c>
      <c r="N515" s="40" t="str">
        <f>IF(OR(ISBLANK(C515),C515="",M515=""),"In Progress",IF(M515&lt;=J515,"Met","Breached"))</f>
        <v>Met</v>
      </c>
    </row>
    <row r="516" ht="19" customHeight="1" spans="1:14" x14ac:dyDescent="0.25">
      <c r="A516" s="19" t="s">
        <v>630</v>
      </c>
      <c r="B516" s="33">
        <v>45979.52222222222</v>
      </c>
      <c r="D516" s="19" t="s">
        <v>39</v>
      </c>
      <c r="E516" s="19" t="s">
        <v>65</v>
      </c>
      <c r="F516" s="19" t="s">
        <v>45</v>
      </c>
      <c r="G516" s="19" t="s">
        <v>110</v>
      </c>
      <c r="H516" s="19" t="s">
        <v>63</v>
      </c>
      <c r="I516" s="19" t="s">
        <v>123</v>
      </c>
      <c r="J516" s="20">
        <v>48</v>
      </c>
      <c r="K516" s="34">
        <v>0</v>
      </c>
      <c r="M516" s="19" t="str">
        <f>IF(OR(ISBLANK(C516),C516=""),"",ROUND((C516-B516)*24,2))</f>
        <v/>
      </c>
      <c r="N516" s="19" t="str">
        <f>IF(OR(ISBLANK(C516),C516="",M516=""),"In Progress",IF(M516&lt;=J516,"Met","Breached"))</f>
        <v>In Progress</v>
      </c>
    </row>
    <row r="517" ht="19" customHeight="1" spans="1:14" x14ac:dyDescent="0.25">
      <c r="A517" s="22" t="s">
        <v>631</v>
      </c>
      <c r="B517" s="36">
        <v>45747.00138888889</v>
      </c>
      <c r="C517" s="36">
        <v>45748.26041666667</v>
      </c>
      <c r="D517" s="22" t="s">
        <v>36</v>
      </c>
      <c r="E517" s="22" t="s">
        <v>65</v>
      </c>
      <c r="F517" s="22" t="s">
        <v>43</v>
      </c>
      <c r="G517" s="22" t="s">
        <v>63</v>
      </c>
      <c r="H517" s="22" t="s">
        <v>67</v>
      </c>
      <c r="I517" s="22" t="s">
        <v>108</v>
      </c>
      <c r="J517" s="23">
        <v>48</v>
      </c>
      <c r="K517" s="37">
        <v>0</v>
      </c>
      <c r="L517" s="37">
        <v>3</v>
      </c>
      <c r="M517" s="22">
        <f>IF(OR(ISBLANK(C517),C517=""),"",ROUND((C517-B517)*24,2))</f>
        <v>30.22</v>
      </c>
      <c r="N517" s="40" t="str">
        <f>IF(OR(ISBLANK(C517),C517="",M517=""),"In Progress",IF(M517&lt;=J517,"Met","Breached"))</f>
        <v>Met</v>
      </c>
    </row>
    <row r="518" ht="19" customHeight="1" spans="1:14" x14ac:dyDescent="0.25">
      <c r="A518" s="19" t="s">
        <v>632</v>
      </c>
      <c r="B518" s="33">
        <v>45852.67013888889</v>
      </c>
      <c r="C518" s="33">
        <v>45853.15486111111</v>
      </c>
      <c r="D518" s="19" t="s">
        <v>33</v>
      </c>
      <c r="E518" s="19" t="s">
        <v>61</v>
      </c>
      <c r="F518" s="19" t="s">
        <v>37</v>
      </c>
      <c r="G518" s="19" t="s">
        <v>110</v>
      </c>
      <c r="H518" s="19" t="s">
        <v>67</v>
      </c>
      <c r="I518" s="19" t="s">
        <v>123</v>
      </c>
      <c r="J518" s="20">
        <v>12</v>
      </c>
      <c r="K518" s="34">
        <v>0</v>
      </c>
      <c r="L518" s="34">
        <v>1</v>
      </c>
      <c r="M518" s="19">
        <f>IF(OR(ISBLANK(C518),C518=""),"",ROUND((C518-B518)*24,2))</f>
        <v>11.63</v>
      </c>
      <c r="N518" s="35" t="str">
        <f>IF(OR(ISBLANK(C518),C518="",M518=""),"In Progress",IF(M518&lt;=J518,"Met","Breached"))</f>
        <v>Met</v>
      </c>
    </row>
    <row r="519" ht="19" customHeight="1" spans="1:14" x14ac:dyDescent="0.25">
      <c r="A519" s="22" t="s">
        <v>633</v>
      </c>
      <c r="B519" s="36">
        <v>45784.54791666666</v>
      </c>
      <c r="C519" s="36">
        <v>45785.044444444444</v>
      </c>
      <c r="D519" s="22" t="s">
        <v>33</v>
      </c>
      <c r="E519" s="22" t="s">
        <v>61</v>
      </c>
      <c r="F519" s="22" t="s">
        <v>40</v>
      </c>
      <c r="G519" s="22" t="s">
        <v>113</v>
      </c>
      <c r="H519" s="22" t="s">
        <v>59</v>
      </c>
      <c r="I519" s="22" t="s">
        <v>111</v>
      </c>
      <c r="J519" s="23">
        <v>12</v>
      </c>
      <c r="K519" s="37">
        <v>0</v>
      </c>
      <c r="L519" s="37">
        <v>3</v>
      </c>
      <c r="M519" s="22">
        <f>IF(OR(ISBLANK(C519),C519=""),"",ROUND((C519-B519)*24,2))</f>
        <v>11.92</v>
      </c>
      <c r="N519" s="40" t="str">
        <f>IF(OR(ISBLANK(C519),C519="",M519=""),"In Progress",IF(M519&lt;=J519,"Met","Breached"))</f>
        <v>Met</v>
      </c>
    </row>
    <row r="520" ht="19" customHeight="1" spans="1:14" x14ac:dyDescent="0.25">
      <c r="A520" s="19" t="s">
        <v>634</v>
      </c>
      <c r="B520" s="33">
        <v>45812.3125</v>
      </c>
      <c r="C520" s="33">
        <v>45813.549305555556</v>
      </c>
      <c r="D520" s="19" t="s">
        <v>33</v>
      </c>
      <c r="E520" s="19" t="s">
        <v>65</v>
      </c>
      <c r="F520" s="19" t="s">
        <v>45</v>
      </c>
      <c r="G520" s="19" t="s">
        <v>113</v>
      </c>
      <c r="H520" s="19" t="s">
        <v>67</v>
      </c>
      <c r="I520" s="19" t="s">
        <v>108</v>
      </c>
      <c r="J520" s="20">
        <v>48</v>
      </c>
      <c r="K520" s="34">
        <v>0</v>
      </c>
      <c r="M520" s="19">
        <f>IF(OR(ISBLANK(C520),C520=""),"",ROUND((C520-B520)*24,2))</f>
        <v>29.68</v>
      </c>
      <c r="N520" s="35" t="str">
        <f>IF(OR(ISBLANK(C520),C520="",M520=""),"In Progress",IF(M520&lt;=J520,"Met","Breached"))</f>
        <v>Met</v>
      </c>
    </row>
    <row r="521" ht="19" customHeight="1" spans="1:14" x14ac:dyDescent="0.25">
      <c r="A521" s="22" t="s">
        <v>635</v>
      </c>
      <c r="B521" s="36">
        <v>45897.46666666667</v>
      </c>
      <c r="C521" s="36">
        <v>45900.316666666666</v>
      </c>
      <c r="D521" s="22" t="s">
        <v>36</v>
      </c>
      <c r="E521" s="22" t="s">
        <v>65</v>
      </c>
      <c r="F521" s="22" t="s">
        <v>40</v>
      </c>
      <c r="G521" s="22" t="s">
        <v>121</v>
      </c>
      <c r="H521" s="22" t="s">
        <v>71</v>
      </c>
      <c r="I521" s="22" t="s">
        <v>147</v>
      </c>
      <c r="J521" s="23">
        <v>48</v>
      </c>
      <c r="K521" s="37">
        <v>0</v>
      </c>
      <c r="L521" s="37">
        <v>4</v>
      </c>
      <c r="M521" s="22">
        <f>IF(OR(ISBLANK(C521),C521=""),"",ROUND((C521-B521)*24,2))</f>
        <v>68.4</v>
      </c>
      <c r="N521" s="38" t="str">
        <f>IF(OR(ISBLANK(C521),C521="",M521=""),"In Progress",IF(M521&lt;=J521,"Met","Breached"))</f>
        <v>Breached</v>
      </c>
    </row>
    <row r="522" ht="19" customHeight="1" spans="1:14" x14ac:dyDescent="0.25">
      <c r="A522" s="19" t="s">
        <v>636</v>
      </c>
      <c r="B522" s="33">
        <v>45738.25555555556</v>
      </c>
      <c r="C522" s="33">
        <v>45739.643055555556</v>
      </c>
      <c r="D522" s="19" t="s">
        <v>33</v>
      </c>
      <c r="E522" s="19" t="s">
        <v>65</v>
      </c>
      <c r="F522" s="19" t="s">
        <v>43</v>
      </c>
      <c r="G522" s="19" t="s">
        <v>63</v>
      </c>
      <c r="H522" s="19" t="s">
        <v>63</v>
      </c>
      <c r="I522" s="19" t="s">
        <v>123</v>
      </c>
      <c r="J522" s="20">
        <v>48</v>
      </c>
      <c r="K522" s="34">
        <v>0</v>
      </c>
      <c r="L522" s="34">
        <v>1</v>
      </c>
      <c r="M522" s="19">
        <f>IF(OR(ISBLANK(C522),C522=""),"",ROUND((C522-B522)*24,2))</f>
        <v>33.3</v>
      </c>
      <c r="N522" s="35" t="str">
        <f>IF(OR(ISBLANK(C522),C522="",M522=""),"In Progress",IF(M522&lt;=J522,"Met","Breached"))</f>
        <v>Met</v>
      </c>
    </row>
    <row r="523" ht="19" customHeight="1" spans="1:14" x14ac:dyDescent="0.25">
      <c r="A523" s="22" t="s">
        <v>637</v>
      </c>
      <c r="B523" s="36">
        <v>46254.81875</v>
      </c>
      <c r="C523" s="36">
        <v>46255.95416666666</v>
      </c>
      <c r="D523" s="22" t="s">
        <v>33</v>
      </c>
      <c r="E523" s="22" t="s">
        <v>65</v>
      </c>
      <c r="F523" s="22" t="s">
        <v>45</v>
      </c>
      <c r="G523" s="22" t="s">
        <v>116</v>
      </c>
      <c r="H523" s="22" t="s">
        <v>59</v>
      </c>
      <c r="I523" s="22" t="s">
        <v>123</v>
      </c>
      <c r="J523" s="23">
        <v>48</v>
      </c>
      <c r="K523" s="37">
        <v>0</v>
      </c>
      <c r="M523" s="22">
        <f>IF(OR(ISBLANK(C523),C523=""),"",ROUND((C523-B523)*24,2))</f>
        <v>27.25</v>
      </c>
      <c r="N523" s="40" t="str">
        <f>IF(OR(ISBLANK(C523),C523="",M523=""),"In Progress",IF(M523&lt;=J523,"Met","Breached"))</f>
        <v>Met</v>
      </c>
    </row>
    <row r="524" ht="19" customHeight="1" spans="1:14" x14ac:dyDescent="0.25">
      <c r="A524" s="19" t="s">
        <v>638</v>
      </c>
      <c r="B524" s="33">
        <v>45841.43541666667</v>
      </c>
      <c r="C524" s="33">
        <v>45841.620833333334</v>
      </c>
      <c r="D524" s="19" t="s">
        <v>36</v>
      </c>
      <c r="E524" s="19" t="s">
        <v>57</v>
      </c>
      <c r="F524" s="19" t="s">
        <v>34</v>
      </c>
      <c r="G524" s="19" t="s">
        <v>63</v>
      </c>
      <c r="H524" s="19" t="s">
        <v>63</v>
      </c>
      <c r="I524" s="19" t="s">
        <v>114</v>
      </c>
      <c r="J524" s="20">
        <v>4</v>
      </c>
      <c r="K524" s="34">
        <v>0</v>
      </c>
      <c r="M524" s="19">
        <f>IF(OR(ISBLANK(C524),C524=""),"",ROUND((C524-B524)*24,2))</f>
        <v>4.45</v>
      </c>
      <c r="N524" s="39" t="str">
        <f>IF(OR(ISBLANK(C524),C524="",M524=""),"In Progress",IF(M524&lt;=J524,"Met","Breached"))</f>
        <v>Breached</v>
      </c>
    </row>
    <row r="525" ht="19" customHeight="1" spans="1:14" x14ac:dyDescent="0.25">
      <c r="A525" s="22" t="s">
        <v>639</v>
      </c>
      <c r="B525" s="36">
        <v>46042.60277777778</v>
      </c>
      <c r="C525" s="36">
        <v>46043.072222222225</v>
      </c>
      <c r="D525" s="22" t="s">
        <v>33</v>
      </c>
      <c r="E525" s="22" t="s">
        <v>61</v>
      </c>
      <c r="F525" s="22" t="s">
        <v>43</v>
      </c>
      <c r="G525" s="22" t="s">
        <v>110</v>
      </c>
      <c r="H525" s="22" t="s">
        <v>59</v>
      </c>
      <c r="I525" s="22" t="s">
        <v>147</v>
      </c>
      <c r="J525" s="23">
        <v>12</v>
      </c>
      <c r="K525" s="37">
        <v>0</v>
      </c>
      <c r="L525" s="37">
        <v>1</v>
      </c>
      <c r="M525" s="22">
        <f>IF(OR(ISBLANK(C525),C525=""),"",ROUND((C525-B525)*24,2))</f>
        <v>11.27</v>
      </c>
      <c r="N525" s="40" t="str">
        <f>IF(OR(ISBLANK(C525),C525="",M525=""),"In Progress",IF(M525&lt;=J525,"Met","Breached"))</f>
        <v>Met</v>
      </c>
    </row>
    <row r="526" ht="19" customHeight="1" spans="1:14" x14ac:dyDescent="0.25">
      <c r="A526" s="19" t="s">
        <v>640</v>
      </c>
      <c r="B526" s="33">
        <v>45879.98055555555</v>
      </c>
      <c r="C526" s="33">
        <v>45882.22430555556</v>
      </c>
      <c r="D526" s="19" t="s">
        <v>33</v>
      </c>
      <c r="E526" s="19" t="s">
        <v>69</v>
      </c>
      <c r="F526" s="19" t="s">
        <v>43</v>
      </c>
      <c r="G526" s="19" t="s">
        <v>116</v>
      </c>
      <c r="H526" s="19" t="s">
        <v>71</v>
      </c>
      <c r="I526" s="19" t="s">
        <v>117</v>
      </c>
      <c r="J526" s="20">
        <v>120</v>
      </c>
      <c r="K526" s="34">
        <v>0</v>
      </c>
      <c r="L526" s="34">
        <v>2</v>
      </c>
      <c r="M526" s="19">
        <f>IF(OR(ISBLANK(C526),C526=""),"",ROUND((C526-B526)*24,2))</f>
        <v>53.85</v>
      </c>
      <c r="N526" s="35" t="str">
        <f>IF(OR(ISBLANK(C526),C526="",M526=""),"In Progress",IF(M526&lt;=J526,"Met","Breached"))</f>
        <v>Met</v>
      </c>
    </row>
    <row r="527" ht="19" customHeight="1" spans="1:14" x14ac:dyDescent="0.25">
      <c r="A527" s="22" t="s">
        <v>641</v>
      </c>
      <c r="B527" s="36">
        <v>46125.961805555555</v>
      </c>
      <c r="C527" s="36">
        <v>46126.263194444444</v>
      </c>
      <c r="D527" s="22" t="s">
        <v>33</v>
      </c>
      <c r="E527" s="22" t="s">
        <v>61</v>
      </c>
      <c r="F527" s="22" t="s">
        <v>45</v>
      </c>
      <c r="G527" s="22" t="s">
        <v>116</v>
      </c>
      <c r="H527" s="22" t="s">
        <v>59</v>
      </c>
      <c r="I527" s="22" t="s">
        <v>123</v>
      </c>
      <c r="J527" s="23">
        <v>12</v>
      </c>
      <c r="K527" s="37">
        <v>0</v>
      </c>
      <c r="L527" s="37">
        <v>4</v>
      </c>
      <c r="M527" s="22">
        <f>IF(OR(ISBLANK(C527),C527=""),"",ROUND((C527-B527)*24,2))</f>
        <v>7.23</v>
      </c>
      <c r="N527" s="40" t="str">
        <f>IF(OR(ISBLANK(C527),C527="",M527=""),"In Progress",IF(M527&lt;=J527,"Met","Breached"))</f>
        <v>Met</v>
      </c>
    </row>
    <row r="528" ht="19" customHeight="1" spans="1:14" x14ac:dyDescent="0.25">
      <c r="A528" s="19" t="s">
        <v>642</v>
      </c>
      <c r="B528" s="33">
        <v>45736.881944444445</v>
      </c>
      <c r="D528" s="19" t="s">
        <v>39</v>
      </c>
      <c r="E528" s="19" t="s">
        <v>69</v>
      </c>
      <c r="F528" s="19" t="s">
        <v>45</v>
      </c>
      <c r="G528" s="19" t="s">
        <v>126</v>
      </c>
      <c r="H528" s="19" t="s">
        <v>67</v>
      </c>
      <c r="I528" s="19" t="s">
        <v>111</v>
      </c>
      <c r="J528" s="20">
        <v>120</v>
      </c>
      <c r="K528" s="34">
        <v>0</v>
      </c>
      <c r="M528" s="19" t="str">
        <f>IF(OR(ISBLANK(C528),C528=""),"",ROUND((C528-B528)*24,2))</f>
        <v/>
      </c>
      <c r="N528" s="19" t="str">
        <f>IF(OR(ISBLANK(C528),C528="",M528=""),"In Progress",IF(M528&lt;=J528,"Met","Breached"))</f>
        <v>In Progress</v>
      </c>
    </row>
    <row r="529" ht="19" customHeight="1" spans="1:14" x14ac:dyDescent="0.25">
      <c r="A529" s="22" t="s">
        <v>643</v>
      </c>
      <c r="B529" s="36">
        <v>46278.88541666667</v>
      </c>
      <c r="C529" s="36">
        <v>46280.84097222222</v>
      </c>
      <c r="D529" s="22" t="s">
        <v>33</v>
      </c>
      <c r="E529" s="22" t="s">
        <v>69</v>
      </c>
      <c r="F529" s="22" t="s">
        <v>45</v>
      </c>
      <c r="G529" s="22" t="s">
        <v>113</v>
      </c>
      <c r="H529" s="22" t="s">
        <v>59</v>
      </c>
      <c r="I529" s="22" t="s">
        <v>117</v>
      </c>
      <c r="J529" s="23">
        <v>120</v>
      </c>
      <c r="K529" s="37">
        <v>0</v>
      </c>
      <c r="L529" s="37">
        <v>4</v>
      </c>
      <c r="M529" s="22">
        <f>IF(OR(ISBLANK(C529),C529=""),"",ROUND((C529-B529)*24,2))</f>
        <v>46.93</v>
      </c>
      <c r="N529" s="40" t="str">
        <f>IF(OR(ISBLANK(C529),C529="",M529=""),"In Progress",IF(M529&lt;=J529,"Met","Breached"))</f>
        <v>Met</v>
      </c>
    </row>
    <row r="530" ht="19" customHeight="1" spans="1:14" x14ac:dyDescent="0.25">
      <c r="A530" s="19" t="s">
        <v>644</v>
      </c>
      <c r="B530" s="33">
        <v>45889.242361111115</v>
      </c>
      <c r="C530" s="33">
        <v>45889.40069444444</v>
      </c>
      <c r="D530" s="19" t="s">
        <v>33</v>
      </c>
      <c r="E530" s="19" t="s">
        <v>61</v>
      </c>
      <c r="F530" s="19" t="s">
        <v>37</v>
      </c>
      <c r="G530" s="19" t="s">
        <v>110</v>
      </c>
      <c r="H530" s="19" t="s">
        <v>71</v>
      </c>
      <c r="I530" s="19" t="s">
        <v>147</v>
      </c>
      <c r="J530" s="20">
        <v>12</v>
      </c>
      <c r="K530" s="34">
        <v>0</v>
      </c>
      <c r="M530" s="19">
        <f>IF(OR(ISBLANK(C530),C530=""),"",ROUND((C530-B530)*24,2))</f>
        <v>3.8</v>
      </c>
      <c r="N530" s="35" t="str">
        <f>IF(OR(ISBLANK(C530),C530="",M530=""),"In Progress",IF(M530&lt;=J530,"Met","Breached"))</f>
        <v>Met</v>
      </c>
    </row>
    <row r="531" ht="19" customHeight="1" spans="1:14" x14ac:dyDescent="0.25">
      <c r="A531" s="22" t="s">
        <v>645</v>
      </c>
      <c r="B531" s="36">
        <v>45894.243055555555</v>
      </c>
      <c r="C531" s="36">
        <v>45894.99722222222</v>
      </c>
      <c r="D531" s="22" t="s">
        <v>33</v>
      </c>
      <c r="E531" s="22" t="s">
        <v>65</v>
      </c>
      <c r="F531" s="22" t="s">
        <v>45</v>
      </c>
      <c r="G531" s="22" t="s">
        <v>121</v>
      </c>
      <c r="H531" s="22" t="s">
        <v>59</v>
      </c>
      <c r="I531" s="22" t="s">
        <v>114</v>
      </c>
      <c r="J531" s="23">
        <v>48</v>
      </c>
      <c r="K531" s="37">
        <v>0</v>
      </c>
      <c r="L531" s="37">
        <v>5</v>
      </c>
      <c r="M531" s="22">
        <f>IF(OR(ISBLANK(C531),C531=""),"",ROUND((C531-B531)*24,2))</f>
        <v>18.1</v>
      </c>
      <c r="N531" s="40" t="str">
        <f>IF(OR(ISBLANK(C531),C531="",M531=""),"In Progress",IF(M531&lt;=J531,"Met","Breached"))</f>
        <v>Met</v>
      </c>
    </row>
    <row r="532" ht="19" customHeight="1" spans="1:14" x14ac:dyDescent="0.25">
      <c r="A532" s="19" t="s">
        <v>646</v>
      </c>
      <c r="B532" s="33">
        <v>45860.79027777778</v>
      </c>
      <c r="C532" s="33">
        <v>45861.38333333333</v>
      </c>
      <c r="D532" s="19" t="s">
        <v>33</v>
      </c>
      <c r="E532" s="19" t="s">
        <v>61</v>
      </c>
      <c r="F532" s="19" t="s">
        <v>45</v>
      </c>
      <c r="G532" s="19" t="s">
        <v>113</v>
      </c>
      <c r="H532" s="19" t="s">
        <v>63</v>
      </c>
      <c r="I532" s="19" t="s">
        <v>147</v>
      </c>
      <c r="J532" s="20">
        <v>12</v>
      </c>
      <c r="K532" s="34">
        <v>0</v>
      </c>
      <c r="M532" s="19">
        <f>IF(OR(ISBLANK(C532),C532=""),"",ROUND((C532-B532)*24,2))</f>
        <v>14.23</v>
      </c>
      <c r="N532" s="39" t="str">
        <f>IF(OR(ISBLANK(C532),C532="",M532=""),"In Progress",IF(M532&lt;=J532,"Met","Breached"))</f>
        <v>Breached</v>
      </c>
    </row>
    <row r="533" ht="19" customHeight="1" spans="1:14" x14ac:dyDescent="0.25">
      <c r="A533" s="22" t="s">
        <v>647</v>
      </c>
      <c r="B533" s="36">
        <v>46186.99652777778</v>
      </c>
      <c r="D533" s="22" t="s">
        <v>39</v>
      </c>
      <c r="E533" s="22" t="s">
        <v>69</v>
      </c>
      <c r="F533" s="22" t="s">
        <v>37</v>
      </c>
      <c r="G533" s="22" t="s">
        <v>126</v>
      </c>
      <c r="H533" s="22" t="s">
        <v>59</v>
      </c>
      <c r="I533" s="22" t="s">
        <v>147</v>
      </c>
      <c r="J533" s="23">
        <v>120</v>
      </c>
      <c r="K533" s="37">
        <v>0</v>
      </c>
      <c r="M533" s="22" t="str">
        <f>IF(OR(ISBLANK(C533),C533=""),"",ROUND((C533-B533)*24,2))</f>
        <v/>
      </c>
      <c r="N533" s="22" t="str">
        <f>IF(OR(ISBLANK(C533),C533="",M533=""),"In Progress",IF(M533&lt;=J533,"Met","Breached"))</f>
        <v>In Progress</v>
      </c>
    </row>
    <row r="534" ht="19" customHeight="1" spans="1:14" x14ac:dyDescent="0.25">
      <c r="A534" s="19" t="s">
        <v>648</v>
      </c>
      <c r="B534" s="33">
        <v>46287.23819444445</v>
      </c>
      <c r="C534" s="33">
        <v>46288.32083333333</v>
      </c>
      <c r="D534" s="19" t="s">
        <v>36</v>
      </c>
      <c r="E534" s="19" t="s">
        <v>65</v>
      </c>
      <c r="F534" s="19" t="s">
        <v>43</v>
      </c>
      <c r="G534" s="19" t="s">
        <v>121</v>
      </c>
      <c r="H534" s="19" t="s">
        <v>67</v>
      </c>
      <c r="I534" s="19" t="s">
        <v>114</v>
      </c>
      <c r="J534" s="20">
        <v>48</v>
      </c>
      <c r="K534" s="34">
        <v>0</v>
      </c>
      <c r="L534" s="34">
        <v>3</v>
      </c>
      <c r="M534" s="19">
        <f>IF(OR(ISBLANK(C534),C534=""),"",ROUND((C534-B534)*24,2))</f>
        <v>25.98</v>
      </c>
      <c r="N534" s="35" t="str">
        <f>IF(OR(ISBLANK(C534),C534="",M534=""),"In Progress",IF(M534&lt;=J534,"Met","Breached"))</f>
        <v>Met</v>
      </c>
    </row>
    <row r="535" ht="19" customHeight="1" spans="1:14" x14ac:dyDescent="0.25">
      <c r="A535" s="22" t="s">
        <v>649</v>
      </c>
      <c r="B535" s="36">
        <v>46112.163194444445</v>
      </c>
      <c r="C535" s="36">
        <v>46112.805555555555</v>
      </c>
      <c r="D535" s="22" t="s">
        <v>33</v>
      </c>
      <c r="E535" s="22" t="s">
        <v>65</v>
      </c>
      <c r="F535" s="22" t="s">
        <v>37</v>
      </c>
      <c r="G535" s="22" t="s">
        <v>121</v>
      </c>
      <c r="H535" s="22" t="s">
        <v>71</v>
      </c>
      <c r="I535" s="22" t="s">
        <v>108</v>
      </c>
      <c r="J535" s="23">
        <v>48</v>
      </c>
      <c r="K535" s="37">
        <v>0</v>
      </c>
      <c r="L535" s="37">
        <v>2</v>
      </c>
      <c r="M535" s="22">
        <f>IF(OR(ISBLANK(C535),C535=""),"",ROUND((C535-B535)*24,2))</f>
        <v>15.42</v>
      </c>
      <c r="N535" s="40" t="str">
        <f>IF(OR(ISBLANK(C535),C535="",M535=""),"In Progress",IF(M535&lt;=J535,"Met","Breached"))</f>
        <v>Met</v>
      </c>
    </row>
    <row r="536" ht="19" customHeight="1" spans="1:14" x14ac:dyDescent="0.25">
      <c r="A536" s="19" t="s">
        <v>650</v>
      </c>
      <c r="B536" s="33">
        <v>45857.62638888889</v>
      </c>
      <c r="C536" s="33">
        <v>45858.50138888889</v>
      </c>
      <c r="D536" s="19" t="s">
        <v>36</v>
      </c>
      <c r="E536" s="19" t="s">
        <v>65</v>
      </c>
      <c r="F536" s="19" t="s">
        <v>45</v>
      </c>
      <c r="G536" s="19" t="s">
        <v>63</v>
      </c>
      <c r="H536" s="19" t="s">
        <v>63</v>
      </c>
      <c r="I536" s="19" t="s">
        <v>147</v>
      </c>
      <c r="J536" s="20">
        <v>48</v>
      </c>
      <c r="K536" s="34">
        <v>0</v>
      </c>
      <c r="M536" s="19">
        <f>IF(OR(ISBLANK(C536),C536=""),"",ROUND((C536-B536)*24,2))</f>
        <v>21</v>
      </c>
      <c r="N536" s="35" t="str">
        <f>IF(OR(ISBLANK(C536),C536="",M536=""),"In Progress",IF(M536&lt;=J536,"Met","Breached"))</f>
        <v>Met</v>
      </c>
    </row>
    <row r="537" ht="19" customHeight="1" spans="1:14" x14ac:dyDescent="0.25">
      <c r="A537" s="22" t="s">
        <v>651</v>
      </c>
      <c r="B537" s="36">
        <v>45908.347916666666</v>
      </c>
      <c r="C537" s="36">
        <v>45910.76875</v>
      </c>
      <c r="D537" s="22" t="s">
        <v>33</v>
      </c>
      <c r="E537" s="22" t="s">
        <v>65</v>
      </c>
      <c r="F537" s="22" t="s">
        <v>45</v>
      </c>
      <c r="G537" s="22" t="s">
        <v>113</v>
      </c>
      <c r="H537" s="22" t="s">
        <v>67</v>
      </c>
      <c r="I537" s="22" t="s">
        <v>111</v>
      </c>
      <c r="J537" s="23">
        <v>48</v>
      </c>
      <c r="K537" s="37">
        <v>0</v>
      </c>
      <c r="L537" s="37">
        <v>1</v>
      </c>
      <c r="M537" s="22">
        <f>IF(OR(ISBLANK(C537),C537=""),"",ROUND((C537-B537)*24,2))</f>
        <v>58.1</v>
      </c>
      <c r="N537" s="38" t="str">
        <f>IF(OR(ISBLANK(C537),C537="",M537=""),"In Progress",IF(M537&lt;=J537,"Met","Breached"))</f>
        <v>Breached</v>
      </c>
    </row>
    <row r="538" ht="19" customHeight="1" spans="1:14" x14ac:dyDescent="0.25">
      <c r="A538" s="19" t="s">
        <v>652</v>
      </c>
      <c r="B538" s="33">
        <v>46200.60833333334</v>
      </c>
      <c r="D538" s="19" t="s">
        <v>39</v>
      </c>
      <c r="E538" s="19" t="s">
        <v>61</v>
      </c>
      <c r="F538" s="19" t="s">
        <v>40</v>
      </c>
      <c r="G538" s="19" t="s">
        <v>113</v>
      </c>
      <c r="H538" s="19" t="s">
        <v>67</v>
      </c>
      <c r="I538" s="19" t="s">
        <v>147</v>
      </c>
      <c r="J538" s="20">
        <v>12</v>
      </c>
      <c r="K538" s="34">
        <v>0</v>
      </c>
      <c r="M538" s="19" t="str">
        <f>IF(OR(ISBLANK(C538),C538=""),"",ROUND((C538-B538)*24,2))</f>
        <v/>
      </c>
      <c r="N538" s="19" t="str">
        <f>IF(OR(ISBLANK(C538),C538="",M538=""),"In Progress",IF(M538&lt;=J538,"Met","Breached"))</f>
        <v>In Progress</v>
      </c>
    </row>
    <row r="539" ht="19" customHeight="1" spans="1:14" x14ac:dyDescent="0.25">
      <c r="A539" s="22" t="s">
        <v>653</v>
      </c>
      <c r="B539" s="36">
        <v>45770.07291666667</v>
      </c>
      <c r="C539" s="36">
        <v>45770.78263888889</v>
      </c>
      <c r="D539" s="22" t="s">
        <v>33</v>
      </c>
      <c r="E539" s="22" t="s">
        <v>65</v>
      </c>
      <c r="F539" s="22" t="s">
        <v>40</v>
      </c>
      <c r="G539" s="22" t="s">
        <v>121</v>
      </c>
      <c r="H539" s="22" t="s">
        <v>59</v>
      </c>
      <c r="I539" s="22" t="s">
        <v>111</v>
      </c>
      <c r="J539" s="23">
        <v>48</v>
      </c>
      <c r="K539" s="37">
        <v>0</v>
      </c>
      <c r="L539" s="37">
        <v>3</v>
      </c>
      <c r="M539" s="22">
        <f>IF(OR(ISBLANK(C539),C539=""),"",ROUND((C539-B539)*24,2))</f>
        <v>17.03</v>
      </c>
      <c r="N539" s="40" t="str">
        <f>IF(OR(ISBLANK(C539),C539="",M539=""),"In Progress",IF(M539&lt;=J539,"Met","Breached"))</f>
        <v>Met</v>
      </c>
    </row>
    <row r="540" ht="19" customHeight="1" spans="1:14" x14ac:dyDescent="0.25">
      <c r="A540" s="19" t="s">
        <v>654</v>
      </c>
      <c r="B540" s="33">
        <v>46096.15972222222</v>
      </c>
      <c r="C540" s="33">
        <v>46099.72708333333</v>
      </c>
      <c r="D540" s="19" t="s">
        <v>33</v>
      </c>
      <c r="E540" s="19" t="s">
        <v>65</v>
      </c>
      <c r="F540" s="19" t="s">
        <v>45</v>
      </c>
      <c r="G540" s="19" t="s">
        <v>113</v>
      </c>
      <c r="H540" s="19" t="s">
        <v>59</v>
      </c>
      <c r="I540" s="19" t="s">
        <v>147</v>
      </c>
      <c r="J540" s="20">
        <v>48</v>
      </c>
      <c r="K540" s="34">
        <v>0</v>
      </c>
      <c r="M540" s="19">
        <f>IF(OR(ISBLANK(C540),C540=""),"",ROUND((C540-B540)*24,2))</f>
        <v>85.62</v>
      </c>
      <c r="N540" s="39" t="str">
        <f>IF(OR(ISBLANK(C540),C540="",M540=""),"In Progress",IF(M540&lt;=J540,"Met","Breached"))</f>
        <v>Breached</v>
      </c>
    </row>
    <row r="541" ht="19" customHeight="1" spans="1:14" x14ac:dyDescent="0.25">
      <c r="A541" s="22" t="s">
        <v>655</v>
      </c>
      <c r="B541" s="36">
        <v>46016.75347222222</v>
      </c>
      <c r="C541" s="36">
        <v>46025.12708333333</v>
      </c>
      <c r="D541" s="22" t="s">
        <v>33</v>
      </c>
      <c r="E541" s="22" t="s">
        <v>69</v>
      </c>
      <c r="F541" s="22" t="s">
        <v>40</v>
      </c>
      <c r="G541" s="22" t="s">
        <v>110</v>
      </c>
      <c r="H541" s="22" t="s">
        <v>59</v>
      </c>
      <c r="I541" s="22" t="s">
        <v>123</v>
      </c>
      <c r="J541" s="23">
        <v>120</v>
      </c>
      <c r="K541" s="37">
        <v>0</v>
      </c>
      <c r="L541" s="37">
        <v>1</v>
      </c>
      <c r="M541" s="22">
        <f>IF(OR(ISBLANK(C541),C541=""),"",ROUND((C541-B541)*24,2))</f>
        <v>200.97</v>
      </c>
      <c r="N541" s="38" t="str">
        <f>IF(OR(ISBLANK(C541),C541="",M541=""),"In Progress",IF(M541&lt;=J541,"Met","Breached"))</f>
        <v>Breached</v>
      </c>
    </row>
    <row r="542" ht="19" customHeight="1" spans="1:14" x14ac:dyDescent="0.25">
      <c r="A542" s="19" t="s">
        <v>656</v>
      </c>
      <c r="B542" s="33">
        <v>46182.39791666667</v>
      </c>
      <c r="C542" s="33">
        <v>46185.23888888889</v>
      </c>
      <c r="D542" s="19" t="s">
        <v>36</v>
      </c>
      <c r="E542" s="19" t="s">
        <v>65</v>
      </c>
      <c r="F542" s="19" t="s">
        <v>43</v>
      </c>
      <c r="G542" s="19" t="s">
        <v>110</v>
      </c>
      <c r="H542" s="19" t="s">
        <v>63</v>
      </c>
      <c r="I542" s="19" t="s">
        <v>114</v>
      </c>
      <c r="J542" s="20">
        <v>48</v>
      </c>
      <c r="K542" s="34">
        <v>0</v>
      </c>
      <c r="M542" s="19">
        <f>IF(OR(ISBLANK(C542),C542=""),"",ROUND((C542-B542)*24,2))</f>
        <v>68.18</v>
      </c>
      <c r="N542" s="39" t="str">
        <f>IF(OR(ISBLANK(C542),C542="",M542=""),"In Progress",IF(M542&lt;=J542,"Met","Breached"))</f>
        <v>Breached</v>
      </c>
    </row>
    <row r="543" ht="19" customHeight="1" spans="1:14" x14ac:dyDescent="0.25">
      <c r="A543" s="22" t="s">
        <v>657</v>
      </c>
      <c r="B543" s="36">
        <v>45665.555555555555</v>
      </c>
      <c r="D543" s="22" t="s">
        <v>39</v>
      </c>
      <c r="E543" s="22" t="s">
        <v>69</v>
      </c>
      <c r="F543" s="22" t="s">
        <v>40</v>
      </c>
      <c r="G543" s="22" t="s">
        <v>116</v>
      </c>
      <c r="H543" s="22" t="s">
        <v>67</v>
      </c>
      <c r="I543" s="22" t="s">
        <v>111</v>
      </c>
      <c r="J543" s="23">
        <v>120</v>
      </c>
      <c r="K543" s="37">
        <v>0</v>
      </c>
      <c r="M543" s="22" t="str">
        <f>IF(OR(ISBLANK(C543),C543=""),"",ROUND((C543-B543)*24,2))</f>
        <v/>
      </c>
      <c r="N543" s="22" t="str">
        <f>IF(OR(ISBLANK(C543),C543="",M543=""),"In Progress",IF(M543&lt;=J543,"Met","Breached"))</f>
        <v>In Progress</v>
      </c>
    </row>
    <row r="544" ht="19" customHeight="1" spans="1:14" x14ac:dyDescent="0.25">
      <c r="A544" s="19" t="s">
        <v>658</v>
      </c>
      <c r="B544" s="33">
        <v>45844.82291666667</v>
      </c>
      <c r="D544" s="19" t="s">
        <v>39</v>
      </c>
      <c r="E544" s="19" t="s">
        <v>65</v>
      </c>
      <c r="F544" s="19" t="s">
        <v>43</v>
      </c>
      <c r="G544" s="19" t="s">
        <v>63</v>
      </c>
      <c r="H544" s="19" t="s">
        <v>63</v>
      </c>
      <c r="I544" s="19" t="s">
        <v>114</v>
      </c>
      <c r="J544" s="20">
        <v>48</v>
      </c>
      <c r="K544" s="34">
        <v>0</v>
      </c>
      <c r="M544" s="19" t="str">
        <f>IF(OR(ISBLANK(C544),C544=""),"",ROUND((C544-B544)*24,2))</f>
        <v/>
      </c>
      <c r="N544" s="19" t="str">
        <f>IF(OR(ISBLANK(C544),C544="",M544=""),"In Progress",IF(M544&lt;=J544,"Met","Breached"))</f>
        <v>In Progress</v>
      </c>
    </row>
    <row r="545" ht="19" customHeight="1" spans="1:14" x14ac:dyDescent="0.25">
      <c r="A545" s="22" t="s">
        <v>659</v>
      </c>
      <c r="B545" s="36">
        <v>45739.45208333334</v>
      </c>
      <c r="C545" s="36">
        <v>45740.23402777778</v>
      </c>
      <c r="D545" s="22" t="s">
        <v>33</v>
      </c>
      <c r="E545" s="22" t="s">
        <v>65</v>
      </c>
      <c r="F545" s="22" t="s">
        <v>34</v>
      </c>
      <c r="G545" s="22" t="s">
        <v>110</v>
      </c>
      <c r="H545" s="22" t="s">
        <v>59</v>
      </c>
      <c r="I545" s="22" t="s">
        <v>108</v>
      </c>
      <c r="J545" s="23">
        <v>48</v>
      </c>
      <c r="K545" s="37">
        <v>0</v>
      </c>
      <c r="L545" s="37">
        <v>4</v>
      </c>
      <c r="M545" s="22">
        <f>IF(OR(ISBLANK(C545),C545=""),"",ROUND((C545-B545)*24,2))</f>
        <v>18.77</v>
      </c>
      <c r="N545" s="40" t="str">
        <f>IF(OR(ISBLANK(C545),C545="",M545=""),"In Progress",IF(M545&lt;=J545,"Met","Breached"))</f>
        <v>Met</v>
      </c>
    </row>
    <row r="546" ht="19" customHeight="1" spans="1:14" x14ac:dyDescent="0.25">
      <c r="A546" s="19" t="s">
        <v>660</v>
      </c>
      <c r="B546" s="33">
        <v>45896.1375</v>
      </c>
      <c r="C546" s="33">
        <v>45898.61666666667</v>
      </c>
      <c r="D546" s="19" t="s">
        <v>36</v>
      </c>
      <c r="E546" s="19" t="s">
        <v>69</v>
      </c>
      <c r="F546" s="19" t="s">
        <v>43</v>
      </c>
      <c r="G546" s="19" t="s">
        <v>126</v>
      </c>
      <c r="H546" s="19" t="s">
        <v>63</v>
      </c>
      <c r="I546" s="19" t="s">
        <v>114</v>
      </c>
      <c r="J546" s="20">
        <v>120</v>
      </c>
      <c r="K546" s="34">
        <v>0</v>
      </c>
      <c r="L546" s="34">
        <v>1</v>
      </c>
      <c r="M546" s="19">
        <f>IF(OR(ISBLANK(C546),C546=""),"",ROUND((C546-B546)*24,2))</f>
        <v>59.5</v>
      </c>
      <c r="N546" s="35" t="str">
        <f>IF(OR(ISBLANK(C546),C546="",M546=""),"In Progress",IF(M546&lt;=J546,"Met","Breached"))</f>
        <v>Met</v>
      </c>
    </row>
    <row r="547" ht="19" customHeight="1" spans="1:14" x14ac:dyDescent="0.25">
      <c r="A547" s="22" t="s">
        <v>661</v>
      </c>
      <c r="B547" s="36">
        <v>45854.26388888889</v>
      </c>
      <c r="C547" s="36">
        <v>45854.461805555555</v>
      </c>
      <c r="D547" s="22" t="s">
        <v>33</v>
      </c>
      <c r="E547" s="22" t="s">
        <v>61</v>
      </c>
      <c r="F547" s="22" t="s">
        <v>40</v>
      </c>
      <c r="G547" s="22" t="s">
        <v>121</v>
      </c>
      <c r="H547" s="22" t="s">
        <v>63</v>
      </c>
      <c r="I547" s="22" t="s">
        <v>147</v>
      </c>
      <c r="J547" s="23">
        <v>12</v>
      </c>
      <c r="K547" s="37">
        <v>0</v>
      </c>
      <c r="L547" s="37">
        <v>3</v>
      </c>
      <c r="M547" s="22">
        <f>IF(OR(ISBLANK(C547),C547=""),"",ROUND((C547-B547)*24,2))</f>
        <v>4.75</v>
      </c>
      <c r="N547" s="40" t="str">
        <f>IF(OR(ISBLANK(C547),C547="",M547=""),"In Progress",IF(M547&lt;=J547,"Met","Breached"))</f>
        <v>Met</v>
      </c>
    </row>
    <row r="548" ht="19" customHeight="1" spans="1:14" x14ac:dyDescent="0.25">
      <c r="A548" s="19" t="s">
        <v>662</v>
      </c>
      <c r="B548" s="33">
        <v>46279.947222222225</v>
      </c>
      <c r="C548" s="33">
        <v>46281.81319444445</v>
      </c>
      <c r="D548" s="19" t="s">
        <v>33</v>
      </c>
      <c r="E548" s="19" t="s">
        <v>65</v>
      </c>
      <c r="F548" s="19" t="s">
        <v>37</v>
      </c>
      <c r="G548" s="19" t="s">
        <v>116</v>
      </c>
      <c r="H548" s="19" t="s">
        <v>59</v>
      </c>
      <c r="I548" s="19" t="s">
        <v>114</v>
      </c>
      <c r="J548" s="20">
        <v>48</v>
      </c>
      <c r="K548" s="34">
        <v>0</v>
      </c>
      <c r="L548" s="34">
        <v>1</v>
      </c>
      <c r="M548" s="19">
        <f>IF(OR(ISBLANK(C548),C548=""),"",ROUND((C548-B548)*24,2))</f>
        <v>44.78</v>
      </c>
      <c r="N548" s="35" t="str">
        <f>IF(OR(ISBLANK(C548),C548="",M548=""),"In Progress",IF(M548&lt;=J548,"Met","Breached"))</f>
        <v>Met</v>
      </c>
    </row>
    <row r="549" ht="19" customHeight="1" spans="1:14" x14ac:dyDescent="0.25">
      <c r="A549" s="22" t="s">
        <v>663</v>
      </c>
      <c r="B549" s="36">
        <v>46262.50902777778</v>
      </c>
      <c r="C549" s="36">
        <v>46263.351388888885</v>
      </c>
      <c r="D549" s="22" t="s">
        <v>33</v>
      </c>
      <c r="E549" s="22" t="s">
        <v>61</v>
      </c>
      <c r="F549" s="22" t="s">
        <v>43</v>
      </c>
      <c r="G549" s="22" t="s">
        <v>113</v>
      </c>
      <c r="H549" s="22" t="s">
        <v>67</v>
      </c>
      <c r="I549" s="22" t="s">
        <v>117</v>
      </c>
      <c r="J549" s="23">
        <v>12</v>
      </c>
      <c r="K549" s="37">
        <v>0</v>
      </c>
      <c r="L549" s="37">
        <v>4</v>
      </c>
      <c r="M549" s="22">
        <f>IF(OR(ISBLANK(C549),C549=""),"",ROUND((C549-B549)*24,2))</f>
        <v>20.22</v>
      </c>
      <c r="N549" s="38" t="str">
        <f>IF(OR(ISBLANK(C549),C549="",M549=""),"In Progress",IF(M549&lt;=J549,"Met","Breached"))</f>
        <v>Breached</v>
      </c>
    </row>
    <row r="550" ht="19" customHeight="1" spans="1:14" x14ac:dyDescent="0.25">
      <c r="A550" s="19" t="s">
        <v>664</v>
      </c>
      <c r="B550" s="33">
        <v>45956.94305555556</v>
      </c>
      <c r="C550" s="33">
        <v>45958.07083333333</v>
      </c>
      <c r="D550" s="19" t="s">
        <v>33</v>
      </c>
      <c r="E550" s="19" t="s">
        <v>65</v>
      </c>
      <c r="F550" s="19" t="s">
        <v>37</v>
      </c>
      <c r="G550" s="19" t="s">
        <v>63</v>
      </c>
      <c r="H550" s="19" t="s">
        <v>59</v>
      </c>
      <c r="I550" s="19" t="s">
        <v>111</v>
      </c>
      <c r="J550" s="20">
        <v>48</v>
      </c>
      <c r="K550" s="34">
        <v>0</v>
      </c>
      <c r="M550" s="19">
        <f>IF(OR(ISBLANK(C550),C550=""),"",ROUND((C550-B550)*24,2))</f>
        <v>27.07</v>
      </c>
      <c r="N550" s="35" t="str">
        <f>IF(OR(ISBLANK(C550),C550="",M550=""),"In Progress",IF(M550&lt;=J550,"Met","Breached"))</f>
        <v>Met</v>
      </c>
    </row>
    <row r="551" ht="19" customHeight="1" spans="1:14" x14ac:dyDescent="0.25">
      <c r="A551" s="22" t="s">
        <v>665</v>
      </c>
      <c r="B551" s="36">
        <v>46116.819444444445</v>
      </c>
      <c r="C551" s="36">
        <v>46119.78472222222</v>
      </c>
      <c r="D551" s="22" t="s">
        <v>33</v>
      </c>
      <c r="E551" s="22" t="s">
        <v>65</v>
      </c>
      <c r="F551" s="22" t="s">
        <v>45</v>
      </c>
      <c r="G551" s="22" t="s">
        <v>63</v>
      </c>
      <c r="H551" s="22" t="s">
        <v>59</v>
      </c>
      <c r="I551" s="22" t="s">
        <v>123</v>
      </c>
      <c r="J551" s="23">
        <v>48</v>
      </c>
      <c r="K551" s="37">
        <v>0</v>
      </c>
      <c r="M551" s="22">
        <f>IF(OR(ISBLANK(C551),C551=""),"",ROUND((C551-B551)*24,2))</f>
        <v>71.17</v>
      </c>
      <c r="N551" s="38" t="str">
        <f>IF(OR(ISBLANK(C551),C551="",M551=""),"In Progress",IF(M551&lt;=J551,"Met","Breached"))</f>
        <v>Breached</v>
      </c>
    </row>
    <row r="552" ht="19" customHeight="1" spans="1:14" x14ac:dyDescent="0.25">
      <c r="A552" s="19" t="s">
        <v>666</v>
      </c>
      <c r="B552" s="33">
        <v>45685.55625</v>
      </c>
      <c r="C552" s="33">
        <v>45688.40069444444</v>
      </c>
      <c r="D552" s="19" t="s">
        <v>36</v>
      </c>
      <c r="E552" s="19" t="s">
        <v>65</v>
      </c>
      <c r="F552" s="19" t="s">
        <v>34</v>
      </c>
      <c r="G552" s="19" t="s">
        <v>113</v>
      </c>
      <c r="H552" s="19" t="s">
        <v>67</v>
      </c>
      <c r="I552" s="19" t="s">
        <v>147</v>
      </c>
      <c r="J552" s="20">
        <v>48</v>
      </c>
      <c r="K552" s="34">
        <v>0</v>
      </c>
      <c r="L552" s="34">
        <v>1</v>
      </c>
      <c r="M552" s="19">
        <f>IF(OR(ISBLANK(C552),C552=""),"",ROUND((C552-B552)*24,2))</f>
        <v>68.27</v>
      </c>
      <c r="N552" s="39" t="str">
        <f>IF(OR(ISBLANK(C552),C552="",M552=""),"In Progress",IF(M552&lt;=J552,"Met","Breached"))</f>
        <v>Breached</v>
      </c>
    </row>
    <row r="553" ht="19" customHeight="1" spans="1:14" x14ac:dyDescent="0.25">
      <c r="A553" s="22" t="s">
        <v>667</v>
      </c>
      <c r="B553" s="36">
        <v>45780.96527777778</v>
      </c>
      <c r="C553" s="36">
        <v>45783.57361111111</v>
      </c>
      <c r="D553" s="22" t="s">
        <v>36</v>
      </c>
      <c r="E553" s="22" t="s">
        <v>65</v>
      </c>
      <c r="F553" s="22" t="s">
        <v>45</v>
      </c>
      <c r="G553" s="22" t="s">
        <v>63</v>
      </c>
      <c r="H553" s="22" t="s">
        <v>67</v>
      </c>
      <c r="I553" s="22" t="s">
        <v>147</v>
      </c>
      <c r="J553" s="23">
        <v>48</v>
      </c>
      <c r="K553" s="37">
        <v>0</v>
      </c>
      <c r="L553" s="37">
        <v>1</v>
      </c>
      <c r="M553" s="22">
        <f>IF(OR(ISBLANK(C553),C553=""),"",ROUND((C553-B553)*24,2))</f>
        <v>62.6</v>
      </c>
      <c r="N553" s="38" t="str">
        <f>IF(OR(ISBLANK(C553),C553="",M553=""),"In Progress",IF(M553&lt;=J553,"Met","Breached"))</f>
        <v>Breached</v>
      </c>
    </row>
    <row r="554" ht="19" customHeight="1" spans="1:14" x14ac:dyDescent="0.25">
      <c r="A554" s="19" t="s">
        <v>668</v>
      </c>
      <c r="B554" s="33">
        <v>45801.15972222222</v>
      </c>
      <c r="C554" s="33">
        <v>45808.618055555555</v>
      </c>
      <c r="D554" s="19" t="s">
        <v>33</v>
      </c>
      <c r="E554" s="19" t="s">
        <v>69</v>
      </c>
      <c r="F554" s="19" t="s">
        <v>34</v>
      </c>
      <c r="G554" s="19" t="s">
        <v>113</v>
      </c>
      <c r="H554" s="19" t="s">
        <v>67</v>
      </c>
      <c r="I554" s="19" t="s">
        <v>114</v>
      </c>
      <c r="J554" s="20">
        <v>120</v>
      </c>
      <c r="K554" s="34">
        <v>0</v>
      </c>
      <c r="L554" s="34">
        <v>3</v>
      </c>
      <c r="M554" s="19">
        <f>IF(OR(ISBLANK(C554),C554=""),"",ROUND((C554-B554)*24,2))</f>
        <v>179</v>
      </c>
      <c r="N554" s="39" t="str">
        <f>IF(OR(ISBLANK(C554),C554="",M554=""),"In Progress",IF(M554&lt;=J554,"Met","Breached"))</f>
        <v>Breached</v>
      </c>
    </row>
    <row r="555" ht="19" customHeight="1" spans="1:14" x14ac:dyDescent="0.25">
      <c r="A555" s="22" t="s">
        <v>669</v>
      </c>
      <c r="B555" s="36">
        <v>46197.711111111115</v>
      </c>
      <c r="C555" s="36">
        <v>46199.7625</v>
      </c>
      <c r="D555" s="22" t="s">
        <v>33</v>
      </c>
      <c r="E555" s="22" t="s">
        <v>65</v>
      </c>
      <c r="F555" s="22" t="s">
        <v>40</v>
      </c>
      <c r="G555" s="22" t="s">
        <v>63</v>
      </c>
      <c r="H555" s="22" t="s">
        <v>59</v>
      </c>
      <c r="I555" s="22" t="s">
        <v>111</v>
      </c>
      <c r="J555" s="23">
        <v>48</v>
      </c>
      <c r="K555" s="37">
        <v>0</v>
      </c>
      <c r="M555" s="22">
        <f>IF(OR(ISBLANK(C555),C555=""),"",ROUND((C555-B555)*24,2))</f>
        <v>49.23</v>
      </c>
      <c r="N555" s="38" t="str">
        <f>IF(OR(ISBLANK(C555),C555="",M555=""),"In Progress",IF(M555&lt;=J555,"Met","Breached"))</f>
        <v>Breached</v>
      </c>
    </row>
    <row r="556" ht="19" customHeight="1" spans="1:14" x14ac:dyDescent="0.25">
      <c r="A556" s="19" t="s">
        <v>670</v>
      </c>
      <c r="B556" s="33">
        <v>46264.851388888885</v>
      </c>
      <c r="C556" s="33">
        <v>46267.85</v>
      </c>
      <c r="D556" s="19" t="s">
        <v>33</v>
      </c>
      <c r="E556" s="19" t="s">
        <v>65</v>
      </c>
      <c r="F556" s="19" t="s">
        <v>45</v>
      </c>
      <c r="G556" s="19" t="s">
        <v>113</v>
      </c>
      <c r="H556" s="19" t="s">
        <v>67</v>
      </c>
      <c r="I556" s="19" t="s">
        <v>114</v>
      </c>
      <c r="J556" s="20">
        <v>48</v>
      </c>
      <c r="K556" s="34">
        <v>0</v>
      </c>
      <c r="L556" s="34">
        <v>2</v>
      </c>
      <c r="M556" s="19">
        <f>IF(OR(ISBLANK(C556),C556=""),"",ROUND((C556-B556)*24,2))</f>
        <v>71.97</v>
      </c>
      <c r="N556" s="39" t="str">
        <f>IF(OR(ISBLANK(C556),C556="",M556=""),"In Progress",IF(M556&lt;=J556,"Met","Breached"))</f>
        <v>Breached</v>
      </c>
    </row>
    <row r="557" ht="19" customHeight="1" spans="1:14" x14ac:dyDescent="0.25">
      <c r="A557" s="22" t="s">
        <v>671</v>
      </c>
      <c r="B557" s="36">
        <v>45895.35277777778</v>
      </c>
      <c r="C557" s="36">
        <v>45898.62847222222</v>
      </c>
      <c r="D557" s="22" t="s">
        <v>33</v>
      </c>
      <c r="E557" s="22" t="s">
        <v>65</v>
      </c>
      <c r="F557" s="22" t="s">
        <v>37</v>
      </c>
      <c r="G557" s="22" t="s">
        <v>110</v>
      </c>
      <c r="H557" s="22" t="s">
        <v>71</v>
      </c>
      <c r="I557" s="22" t="s">
        <v>111</v>
      </c>
      <c r="J557" s="23">
        <v>48</v>
      </c>
      <c r="K557" s="37">
        <v>0</v>
      </c>
      <c r="L557" s="37">
        <v>2</v>
      </c>
      <c r="M557" s="22">
        <f>IF(OR(ISBLANK(C557),C557=""),"",ROUND((C557-B557)*24,2))</f>
        <v>78.62</v>
      </c>
      <c r="N557" s="38" t="str">
        <f>IF(OR(ISBLANK(C557),C557="",M557=""),"In Progress",IF(M557&lt;=J557,"Met","Breached"))</f>
        <v>Breached</v>
      </c>
    </row>
    <row r="558" ht="19" customHeight="1" spans="1:14" x14ac:dyDescent="0.25">
      <c r="A558" s="19" t="s">
        <v>672</v>
      </c>
      <c r="B558" s="33">
        <v>45971.22013888889</v>
      </c>
      <c r="C558" s="33">
        <v>45974.55625</v>
      </c>
      <c r="D558" s="19" t="s">
        <v>36</v>
      </c>
      <c r="E558" s="19" t="s">
        <v>65</v>
      </c>
      <c r="F558" s="19" t="s">
        <v>40</v>
      </c>
      <c r="G558" s="19" t="s">
        <v>126</v>
      </c>
      <c r="H558" s="19" t="s">
        <v>63</v>
      </c>
      <c r="I558" s="19" t="s">
        <v>114</v>
      </c>
      <c r="J558" s="20">
        <v>48</v>
      </c>
      <c r="K558" s="34">
        <v>0</v>
      </c>
      <c r="L558" s="34">
        <v>4</v>
      </c>
      <c r="M558" s="19">
        <f>IF(OR(ISBLANK(C558),C558=""),"",ROUND((C558-B558)*24,2))</f>
        <v>80.07</v>
      </c>
      <c r="N558" s="39" t="str">
        <f>IF(OR(ISBLANK(C558),C558="",M558=""),"In Progress",IF(M558&lt;=J558,"Met","Breached"))</f>
        <v>Breached</v>
      </c>
    </row>
    <row r="559" ht="19" customHeight="1" spans="1:14" x14ac:dyDescent="0.25">
      <c r="A559" s="22" t="s">
        <v>673</v>
      </c>
      <c r="B559" s="36">
        <v>45839.85902777778</v>
      </c>
      <c r="C559" s="36">
        <v>45843.05138888889</v>
      </c>
      <c r="D559" s="22" t="s">
        <v>36</v>
      </c>
      <c r="E559" s="22" t="s">
        <v>65</v>
      </c>
      <c r="F559" s="22" t="s">
        <v>40</v>
      </c>
      <c r="G559" s="22" t="s">
        <v>121</v>
      </c>
      <c r="H559" s="22" t="s">
        <v>59</v>
      </c>
      <c r="I559" s="22" t="s">
        <v>108</v>
      </c>
      <c r="J559" s="23">
        <v>48</v>
      </c>
      <c r="K559" s="37">
        <v>0</v>
      </c>
      <c r="L559" s="37">
        <v>1</v>
      </c>
      <c r="M559" s="22">
        <f>IF(OR(ISBLANK(C559),C559=""),"",ROUND((C559-B559)*24,2))</f>
        <v>76.62</v>
      </c>
      <c r="N559" s="38" t="str">
        <f>IF(OR(ISBLANK(C559),C559="",M559=""),"In Progress",IF(M559&lt;=J559,"Met","Breached"))</f>
        <v>Breached</v>
      </c>
    </row>
    <row r="560" ht="19" customHeight="1" spans="1:14" x14ac:dyDescent="0.25">
      <c r="A560" s="19" t="s">
        <v>674</v>
      </c>
      <c r="B560" s="33">
        <v>45987.66805555555</v>
      </c>
      <c r="D560" s="19" t="s">
        <v>39</v>
      </c>
      <c r="E560" s="19" t="s">
        <v>69</v>
      </c>
      <c r="F560" s="19" t="s">
        <v>37</v>
      </c>
      <c r="G560" s="19" t="s">
        <v>113</v>
      </c>
      <c r="H560" s="19" t="s">
        <v>59</v>
      </c>
      <c r="I560" s="19" t="s">
        <v>123</v>
      </c>
      <c r="J560" s="20">
        <v>120</v>
      </c>
      <c r="K560" s="34">
        <v>0</v>
      </c>
      <c r="M560" s="19" t="str">
        <f>IF(OR(ISBLANK(C560),C560=""),"",ROUND((C560-B560)*24,2))</f>
        <v/>
      </c>
      <c r="N560" s="19" t="str">
        <f>IF(OR(ISBLANK(C560),C560="",M560=""),"In Progress",IF(M560&lt;=J560,"Met","Breached"))</f>
        <v>In Progress</v>
      </c>
    </row>
    <row r="561" ht="19" customHeight="1" spans="1:14" x14ac:dyDescent="0.25">
      <c r="A561" s="22" t="s">
        <v>675</v>
      </c>
      <c r="B561" s="36">
        <v>46067.72986111111</v>
      </c>
      <c r="D561" s="22" t="s">
        <v>39</v>
      </c>
      <c r="E561" s="22" t="s">
        <v>65</v>
      </c>
      <c r="F561" s="22" t="s">
        <v>34</v>
      </c>
      <c r="G561" s="22" t="s">
        <v>121</v>
      </c>
      <c r="H561" s="22" t="s">
        <v>63</v>
      </c>
      <c r="I561" s="22" t="s">
        <v>108</v>
      </c>
      <c r="J561" s="23">
        <v>48</v>
      </c>
      <c r="K561" s="37">
        <v>0</v>
      </c>
      <c r="M561" s="22" t="str">
        <f>IF(OR(ISBLANK(C561),C561=""),"",ROUND((C561-B561)*24,2))</f>
        <v/>
      </c>
      <c r="N561" s="22" t="str">
        <f>IF(OR(ISBLANK(C561),C561="",M561=""),"In Progress",IF(M561&lt;=J561,"Met","Breached"))</f>
        <v>In Progress</v>
      </c>
    </row>
    <row r="562" ht="19" customHeight="1" spans="1:14" x14ac:dyDescent="0.25">
      <c r="A562" s="19" t="s">
        <v>676</v>
      </c>
      <c r="B562" s="33">
        <v>45728.691666666666</v>
      </c>
      <c r="C562" s="33">
        <v>45731.43125</v>
      </c>
      <c r="D562" s="19" t="s">
        <v>33</v>
      </c>
      <c r="E562" s="19" t="s">
        <v>65</v>
      </c>
      <c r="F562" s="19" t="s">
        <v>34</v>
      </c>
      <c r="G562" s="19" t="s">
        <v>126</v>
      </c>
      <c r="H562" s="19" t="s">
        <v>59</v>
      </c>
      <c r="I562" s="19" t="s">
        <v>114</v>
      </c>
      <c r="J562" s="20">
        <v>48</v>
      </c>
      <c r="K562" s="34">
        <v>0</v>
      </c>
      <c r="L562" s="34">
        <v>1</v>
      </c>
      <c r="M562" s="19">
        <f>IF(OR(ISBLANK(C562),C562=""),"",ROUND((C562-B562)*24,2))</f>
        <v>65.75</v>
      </c>
      <c r="N562" s="39" t="str">
        <f>IF(OR(ISBLANK(C562),C562="",M562=""),"In Progress",IF(M562&lt;=J562,"Met","Breached"))</f>
        <v>Breached</v>
      </c>
    </row>
    <row r="563" ht="19" customHeight="1" spans="1:14" x14ac:dyDescent="0.25">
      <c r="A563" s="22" t="s">
        <v>677</v>
      </c>
      <c r="B563" s="36">
        <v>46165.77013888889</v>
      </c>
      <c r="C563" s="36">
        <v>46169.4375</v>
      </c>
      <c r="D563" s="22" t="s">
        <v>33</v>
      </c>
      <c r="E563" s="22" t="s">
        <v>69</v>
      </c>
      <c r="F563" s="22" t="s">
        <v>34</v>
      </c>
      <c r="G563" s="22" t="s">
        <v>121</v>
      </c>
      <c r="H563" s="22" t="s">
        <v>71</v>
      </c>
      <c r="I563" s="22" t="s">
        <v>114</v>
      </c>
      <c r="J563" s="23">
        <v>120</v>
      </c>
      <c r="K563" s="37">
        <v>1</v>
      </c>
      <c r="L563" s="37">
        <v>2</v>
      </c>
      <c r="M563" s="22">
        <f>IF(OR(ISBLANK(C563),C563=""),"",ROUND((C563-B563)*24,2))</f>
        <v>88.02</v>
      </c>
      <c r="N563" s="40" t="str">
        <f>IF(OR(ISBLANK(C563),C563="",M563=""),"In Progress",IF(M563&lt;=J563,"Met","Breached"))</f>
        <v>Met</v>
      </c>
    </row>
    <row r="564" ht="19" customHeight="1" spans="1:14" x14ac:dyDescent="0.25">
      <c r="A564" s="19" t="s">
        <v>678</v>
      </c>
      <c r="B564" s="33">
        <v>46254.129166666666</v>
      </c>
      <c r="C564" s="33">
        <v>46256.62708333333</v>
      </c>
      <c r="D564" s="19" t="s">
        <v>33</v>
      </c>
      <c r="E564" s="19" t="s">
        <v>65</v>
      </c>
      <c r="F564" s="19" t="s">
        <v>43</v>
      </c>
      <c r="G564" s="19" t="s">
        <v>116</v>
      </c>
      <c r="H564" s="19" t="s">
        <v>67</v>
      </c>
      <c r="I564" s="19" t="s">
        <v>147</v>
      </c>
      <c r="J564" s="20">
        <v>48</v>
      </c>
      <c r="K564" s="34">
        <v>1</v>
      </c>
      <c r="L564" s="34">
        <v>1</v>
      </c>
      <c r="M564" s="19">
        <f>IF(OR(ISBLANK(C564),C564=""),"",ROUND((C564-B564)*24,2))</f>
        <v>59.95</v>
      </c>
      <c r="N564" s="39" t="str">
        <f>IF(OR(ISBLANK(C564),C564="",M564=""),"In Progress",IF(M564&lt;=J564,"Met","Breached"))</f>
        <v>Breached</v>
      </c>
    </row>
    <row r="565" ht="19" customHeight="1" spans="1:14" x14ac:dyDescent="0.25">
      <c r="A565" s="22" t="s">
        <v>679</v>
      </c>
      <c r="B565" s="36">
        <v>45758.76875</v>
      </c>
      <c r="D565" s="22" t="s">
        <v>39</v>
      </c>
      <c r="E565" s="22" t="s">
        <v>61</v>
      </c>
      <c r="F565" s="22" t="s">
        <v>43</v>
      </c>
      <c r="G565" s="22" t="s">
        <v>63</v>
      </c>
      <c r="H565" s="22" t="s">
        <v>59</v>
      </c>
      <c r="I565" s="22" t="s">
        <v>108</v>
      </c>
      <c r="J565" s="23">
        <v>12</v>
      </c>
      <c r="K565" s="37">
        <v>0</v>
      </c>
      <c r="M565" s="22" t="str">
        <f>IF(OR(ISBLANK(C565),C565=""),"",ROUND((C565-B565)*24,2))</f>
        <v/>
      </c>
      <c r="N565" s="22" t="str">
        <f>IF(OR(ISBLANK(C565),C565="",M565=""),"In Progress",IF(M565&lt;=J565,"Met","Breached"))</f>
        <v>In Progress</v>
      </c>
    </row>
    <row r="566" ht="19" customHeight="1" spans="1:14" x14ac:dyDescent="0.25">
      <c r="A566" s="19" t="s">
        <v>680</v>
      </c>
      <c r="B566" s="33">
        <v>45919.495833333334</v>
      </c>
      <c r="C566" s="33">
        <v>45919.84375</v>
      </c>
      <c r="D566" s="19" t="s">
        <v>33</v>
      </c>
      <c r="E566" s="19" t="s">
        <v>61</v>
      </c>
      <c r="F566" s="19" t="s">
        <v>45</v>
      </c>
      <c r="G566" s="19" t="s">
        <v>121</v>
      </c>
      <c r="H566" s="19" t="s">
        <v>63</v>
      </c>
      <c r="I566" s="19" t="s">
        <v>114</v>
      </c>
      <c r="J566" s="20">
        <v>12</v>
      </c>
      <c r="K566" s="34">
        <v>0</v>
      </c>
      <c r="L566" s="34">
        <v>3</v>
      </c>
      <c r="M566" s="19">
        <f>IF(OR(ISBLANK(C566),C566=""),"",ROUND((C566-B566)*24,2))</f>
        <v>8.35</v>
      </c>
      <c r="N566" s="35" t="str">
        <f>IF(OR(ISBLANK(C566),C566="",M566=""),"In Progress",IF(M566&lt;=J566,"Met","Breached"))</f>
        <v>Met</v>
      </c>
    </row>
    <row r="567" ht="19" customHeight="1" spans="1:14" x14ac:dyDescent="0.25">
      <c r="A567" s="22" t="s">
        <v>681</v>
      </c>
      <c r="B567" s="36">
        <v>45797.236805555556</v>
      </c>
      <c r="C567" s="36">
        <v>45799.15555555555</v>
      </c>
      <c r="D567" s="22" t="s">
        <v>33</v>
      </c>
      <c r="E567" s="22" t="s">
        <v>65</v>
      </c>
      <c r="F567" s="22" t="s">
        <v>37</v>
      </c>
      <c r="G567" s="22" t="s">
        <v>126</v>
      </c>
      <c r="H567" s="22" t="s">
        <v>59</v>
      </c>
      <c r="I567" s="22" t="s">
        <v>114</v>
      </c>
      <c r="J567" s="23">
        <v>48</v>
      </c>
      <c r="K567" s="37">
        <v>0</v>
      </c>
      <c r="M567" s="22">
        <f>IF(OR(ISBLANK(C567),C567=""),"",ROUND((C567-B567)*24,2))</f>
        <v>46.05</v>
      </c>
      <c r="N567" s="40" t="str">
        <f>IF(OR(ISBLANK(C567),C567="",M567=""),"In Progress",IF(M567&lt;=J567,"Met","Breached"))</f>
        <v>Met</v>
      </c>
    </row>
    <row r="568" ht="19" customHeight="1" spans="1:14" x14ac:dyDescent="0.25">
      <c r="A568" s="19" t="s">
        <v>682</v>
      </c>
      <c r="B568" s="33">
        <v>46090.32430555555</v>
      </c>
      <c r="C568" s="33">
        <v>46091.88541666667</v>
      </c>
      <c r="D568" s="19" t="s">
        <v>33</v>
      </c>
      <c r="E568" s="19" t="s">
        <v>65</v>
      </c>
      <c r="F568" s="19" t="s">
        <v>45</v>
      </c>
      <c r="G568" s="19" t="s">
        <v>121</v>
      </c>
      <c r="H568" s="19" t="s">
        <v>71</v>
      </c>
      <c r="I568" s="19" t="s">
        <v>114</v>
      </c>
      <c r="J568" s="20">
        <v>48</v>
      </c>
      <c r="K568" s="34">
        <v>0</v>
      </c>
      <c r="L568" s="34">
        <v>3</v>
      </c>
      <c r="M568" s="19">
        <f>IF(OR(ISBLANK(C568),C568=""),"",ROUND((C568-B568)*24,2))</f>
        <v>37.47</v>
      </c>
      <c r="N568" s="35" t="str">
        <f>IF(OR(ISBLANK(C568),C568="",M568=""),"In Progress",IF(M568&lt;=J568,"Met","Breached"))</f>
        <v>Met</v>
      </c>
    </row>
    <row r="569" ht="19" customHeight="1" spans="1:14" x14ac:dyDescent="0.25">
      <c r="A569" s="22" t="s">
        <v>683</v>
      </c>
      <c r="B569" s="36">
        <v>46200.20277777778</v>
      </c>
      <c r="C569" s="36">
        <v>46202.82430555555</v>
      </c>
      <c r="D569" s="22" t="s">
        <v>36</v>
      </c>
      <c r="E569" s="22" t="s">
        <v>65</v>
      </c>
      <c r="F569" s="22" t="s">
        <v>43</v>
      </c>
      <c r="G569" s="22" t="s">
        <v>126</v>
      </c>
      <c r="H569" s="22" t="s">
        <v>59</v>
      </c>
      <c r="I569" s="22" t="s">
        <v>108</v>
      </c>
      <c r="J569" s="23">
        <v>48</v>
      </c>
      <c r="K569" s="37">
        <v>0</v>
      </c>
      <c r="L569" s="37">
        <v>4</v>
      </c>
      <c r="M569" s="22">
        <f>IF(OR(ISBLANK(C569),C569=""),"",ROUND((C569-B569)*24,2))</f>
        <v>62.92</v>
      </c>
      <c r="N569" s="38" t="str">
        <f>IF(OR(ISBLANK(C569),C569="",M569=""),"In Progress",IF(M569&lt;=J569,"Met","Breached"))</f>
        <v>Breached</v>
      </c>
    </row>
    <row r="570" ht="19" customHeight="1" spans="1:14" x14ac:dyDescent="0.25">
      <c r="A570" s="19" t="s">
        <v>684</v>
      </c>
      <c r="B570" s="33">
        <v>45934.04652777778</v>
      </c>
      <c r="D570" s="19" t="s">
        <v>39</v>
      </c>
      <c r="E570" s="19" t="s">
        <v>65</v>
      </c>
      <c r="F570" s="19" t="s">
        <v>34</v>
      </c>
      <c r="G570" s="19" t="s">
        <v>126</v>
      </c>
      <c r="H570" s="19" t="s">
        <v>63</v>
      </c>
      <c r="I570" s="19" t="s">
        <v>117</v>
      </c>
      <c r="J570" s="20">
        <v>48</v>
      </c>
      <c r="K570" s="34">
        <v>0</v>
      </c>
      <c r="M570" s="19" t="str">
        <f>IF(OR(ISBLANK(C570),C570=""),"",ROUND((C570-B570)*24,2))</f>
        <v/>
      </c>
      <c r="N570" s="19" t="str">
        <f>IF(OR(ISBLANK(C570),C570="",M570=""),"In Progress",IF(M570&lt;=J570,"Met","Breached"))</f>
        <v>In Progress</v>
      </c>
    </row>
    <row r="571" ht="19" customHeight="1" spans="1:14" x14ac:dyDescent="0.25">
      <c r="A571" s="22" t="s">
        <v>685</v>
      </c>
      <c r="B571" s="36">
        <v>46108.77222222222</v>
      </c>
      <c r="C571" s="36">
        <v>46111.74444444444</v>
      </c>
      <c r="D571" s="22" t="s">
        <v>33</v>
      </c>
      <c r="E571" s="22" t="s">
        <v>65</v>
      </c>
      <c r="F571" s="22" t="s">
        <v>43</v>
      </c>
      <c r="G571" s="22" t="s">
        <v>110</v>
      </c>
      <c r="H571" s="22" t="s">
        <v>59</v>
      </c>
      <c r="I571" s="22" t="s">
        <v>123</v>
      </c>
      <c r="J571" s="23">
        <v>48</v>
      </c>
      <c r="K571" s="37">
        <v>0</v>
      </c>
      <c r="L571" s="37">
        <v>3</v>
      </c>
      <c r="M571" s="22">
        <f>IF(OR(ISBLANK(C571),C571=""),"",ROUND((C571-B571)*24,2))</f>
        <v>71.33</v>
      </c>
      <c r="N571" s="38" t="str">
        <f>IF(OR(ISBLANK(C571),C571="",M571=""),"In Progress",IF(M571&lt;=J571,"Met","Breached"))</f>
        <v>Breached</v>
      </c>
    </row>
    <row r="572" ht="19" customHeight="1" spans="1:14" x14ac:dyDescent="0.25">
      <c r="A572" s="19" t="s">
        <v>686</v>
      </c>
      <c r="B572" s="33">
        <v>45773.30972222222</v>
      </c>
      <c r="C572" s="33">
        <v>45777.47708333333</v>
      </c>
      <c r="D572" s="19" t="s">
        <v>33</v>
      </c>
      <c r="E572" s="19" t="s">
        <v>69</v>
      </c>
      <c r="F572" s="19" t="s">
        <v>40</v>
      </c>
      <c r="G572" s="19" t="s">
        <v>126</v>
      </c>
      <c r="H572" s="19" t="s">
        <v>59</v>
      </c>
      <c r="I572" s="19" t="s">
        <v>111</v>
      </c>
      <c r="J572" s="20">
        <v>120</v>
      </c>
      <c r="K572" s="34">
        <v>0</v>
      </c>
      <c r="L572" s="34">
        <v>3</v>
      </c>
      <c r="M572" s="19">
        <f>IF(OR(ISBLANK(C572),C572=""),"",ROUND((C572-B572)*24,2))</f>
        <v>100.02</v>
      </c>
      <c r="N572" s="35" t="str">
        <f>IF(OR(ISBLANK(C572),C572="",M572=""),"In Progress",IF(M572&lt;=J572,"Met","Breached"))</f>
        <v>Met</v>
      </c>
    </row>
    <row r="573" ht="19" customHeight="1" spans="1:14" x14ac:dyDescent="0.25">
      <c r="A573" s="22" t="s">
        <v>687</v>
      </c>
      <c r="B573" s="36">
        <v>45927.95208333334</v>
      </c>
      <c r="D573" s="22" t="s">
        <v>39</v>
      </c>
      <c r="E573" s="22" t="s">
        <v>65</v>
      </c>
      <c r="F573" s="22" t="s">
        <v>45</v>
      </c>
      <c r="G573" s="22" t="s">
        <v>110</v>
      </c>
      <c r="H573" s="22" t="s">
        <v>71</v>
      </c>
      <c r="I573" s="22" t="s">
        <v>114</v>
      </c>
      <c r="J573" s="23">
        <v>48</v>
      </c>
      <c r="K573" s="37">
        <v>0</v>
      </c>
      <c r="M573" s="22" t="str">
        <f>IF(OR(ISBLANK(C573),C573=""),"",ROUND((C573-B573)*24,2))</f>
        <v/>
      </c>
      <c r="N573" s="22" t="str">
        <f>IF(OR(ISBLANK(C573),C573="",M573=""),"In Progress",IF(M573&lt;=J573,"Met","Breached"))</f>
        <v>In Progress</v>
      </c>
    </row>
    <row r="574" ht="19" customHeight="1" spans="1:14" x14ac:dyDescent="0.25">
      <c r="A574" s="19" t="s">
        <v>688</v>
      </c>
      <c r="B574" s="33">
        <v>45672.36388888889</v>
      </c>
      <c r="D574" s="19" t="s">
        <v>42</v>
      </c>
      <c r="E574" s="19" t="s">
        <v>57</v>
      </c>
      <c r="F574" s="19" t="s">
        <v>45</v>
      </c>
      <c r="G574" s="19" t="s">
        <v>113</v>
      </c>
      <c r="H574" s="19" t="s">
        <v>59</v>
      </c>
      <c r="I574" s="19" t="s">
        <v>147</v>
      </c>
      <c r="J574" s="20">
        <v>4</v>
      </c>
      <c r="K574" s="34">
        <v>0</v>
      </c>
      <c r="M574" s="19" t="str">
        <f>IF(OR(ISBLANK(C574),C574=""),"",ROUND((C574-B574)*24,2))</f>
        <v/>
      </c>
      <c r="N574" s="19" t="str">
        <f>IF(OR(ISBLANK(C574),C574="",M574=""),"In Progress",IF(M574&lt;=J574,"Met","Breached"))</f>
        <v>In Progress</v>
      </c>
    </row>
    <row r="575" ht="19" customHeight="1" spans="1:14" x14ac:dyDescent="0.25">
      <c r="A575" s="22" t="s">
        <v>689</v>
      </c>
      <c r="B575" s="36">
        <v>46113.07708333334</v>
      </c>
      <c r="C575" s="36">
        <v>46115.88611111111</v>
      </c>
      <c r="D575" s="22" t="s">
        <v>33</v>
      </c>
      <c r="E575" s="22" t="s">
        <v>65</v>
      </c>
      <c r="F575" s="22" t="s">
        <v>40</v>
      </c>
      <c r="G575" s="22" t="s">
        <v>63</v>
      </c>
      <c r="H575" s="22" t="s">
        <v>59</v>
      </c>
      <c r="I575" s="22" t="s">
        <v>108</v>
      </c>
      <c r="J575" s="23">
        <v>48</v>
      </c>
      <c r="K575" s="37">
        <v>0</v>
      </c>
      <c r="M575" s="22">
        <f>IF(OR(ISBLANK(C575),C575=""),"",ROUND((C575-B575)*24,2))</f>
        <v>67.42</v>
      </c>
      <c r="N575" s="38" t="str">
        <f>IF(OR(ISBLANK(C575),C575="",M575=""),"In Progress",IF(M575&lt;=J575,"Met","Breached"))</f>
        <v>Breached</v>
      </c>
    </row>
    <row r="576" ht="19" customHeight="1" spans="1:14" x14ac:dyDescent="0.25">
      <c r="A576" s="19" t="s">
        <v>690</v>
      </c>
      <c r="B576" s="33">
        <v>46111.20972222222</v>
      </c>
      <c r="D576" s="19" t="s">
        <v>42</v>
      </c>
      <c r="E576" s="19" t="s">
        <v>61</v>
      </c>
      <c r="F576" s="19" t="s">
        <v>43</v>
      </c>
      <c r="G576" s="19" t="s">
        <v>116</v>
      </c>
      <c r="H576" s="19" t="s">
        <v>63</v>
      </c>
      <c r="I576" s="19" t="s">
        <v>123</v>
      </c>
      <c r="J576" s="20">
        <v>12</v>
      </c>
      <c r="K576" s="34">
        <v>0</v>
      </c>
      <c r="M576" s="19" t="str">
        <f>IF(OR(ISBLANK(C576),C576=""),"",ROUND((C576-B576)*24,2))</f>
        <v/>
      </c>
      <c r="N576" s="19" t="str">
        <f>IF(OR(ISBLANK(C576),C576="",M576=""),"In Progress",IF(M576&lt;=J576,"Met","Breached"))</f>
        <v>In Progress</v>
      </c>
    </row>
    <row r="577" ht="19" customHeight="1" spans="1:14" x14ac:dyDescent="0.25">
      <c r="A577" s="22" t="s">
        <v>691</v>
      </c>
      <c r="B577" s="36">
        <v>45887.580555555556</v>
      </c>
      <c r="C577" s="36">
        <v>45892.86597222222</v>
      </c>
      <c r="D577" s="22" t="s">
        <v>33</v>
      </c>
      <c r="E577" s="22" t="s">
        <v>69</v>
      </c>
      <c r="F577" s="22" t="s">
        <v>43</v>
      </c>
      <c r="G577" s="22" t="s">
        <v>110</v>
      </c>
      <c r="H577" s="22" t="s">
        <v>63</v>
      </c>
      <c r="I577" s="22" t="s">
        <v>147</v>
      </c>
      <c r="J577" s="23">
        <v>120</v>
      </c>
      <c r="K577" s="37">
        <v>0</v>
      </c>
      <c r="L577" s="37">
        <v>4</v>
      </c>
      <c r="M577" s="22">
        <f>IF(OR(ISBLANK(C577),C577=""),"",ROUND((C577-B577)*24,2))</f>
        <v>126.85</v>
      </c>
      <c r="N577" s="38" t="str">
        <f>IF(OR(ISBLANK(C577),C577="",M577=""),"In Progress",IF(M577&lt;=J577,"Met","Breached"))</f>
        <v>Breached</v>
      </c>
    </row>
    <row r="578" ht="19" customHeight="1" spans="1:14" x14ac:dyDescent="0.25">
      <c r="A578" s="19" t="s">
        <v>692</v>
      </c>
      <c r="B578" s="33">
        <v>45749.353472222225</v>
      </c>
      <c r="C578" s="33">
        <v>45753.56388888889</v>
      </c>
      <c r="D578" s="19" t="s">
        <v>33</v>
      </c>
      <c r="E578" s="19" t="s">
        <v>69</v>
      </c>
      <c r="F578" s="19" t="s">
        <v>37</v>
      </c>
      <c r="G578" s="19" t="s">
        <v>110</v>
      </c>
      <c r="H578" s="19" t="s">
        <v>67</v>
      </c>
      <c r="I578" s="19" t="s">
        <v>147</v>
      </c>
      <c r="J578" s="20">
        <v>120</v>
      </c>
      <c r="K578" s="34">
        <v>0</v>
      </c>
      <c r="L578" s="34">
        <v>4</v>
      </c>
      <c r="M578" s="19">
        <f>IF(OR(ISBLANK(C578),C578=""),"",ROUND((C578-B578)*24,2))</f>
        <v>101.05</v>
      </c>
      <c r="N578" s="35" t="str">
        <f>IF(OR(ISBLANK(C578),C578="",M578=""),"In Progress",IF(M578&lt;=J578,"Met","Breached"))</f>
        <v>Met</v>
      </c>
    </row>
    <row r="579" ht="19" customHeight="1" spans="1:14" x14ac:dyDescent="0.25">
      <c r="A579" s="22" t="s">
        <v>693</v>
      </c>
      <c r="B579" s="36">
        <v>46090.73333333334</v>
      </c>
      <c r="C579" s="36">
        <v>46090.89791666667</v>
      </c>
      <c r="D579" s="22" t="s">
        <v>33</v>
      </c>
      <c r="E579" s="22" t="s">
        <v>61</v>
      </c>
      <c r="F579" s="22" t="s">
        <v>37</v>
      </c>
      <c r="G579" s="22" t="s">
        <v>121</v>
      </c>
      <c r="H579" s="22" t="s">
        <v>71</v>
      </c>
      <c r="I579" s="22" t="s">
        <v>123</v>
      </c>
      <c r="J579" s="23">
        <v>12</v>
      </c>
      <c r="K579" s="37">
        <v>0</v>
      </c>
      <c r="L579" s="37">
        <v>2</v>
      </c>
      <c r="M579" s="22">
        <f>IF(OR(ISBLANK(C579),C579=""),"",ROUND((C579-B579)*24,2))</f>
        <v>3.95</v>
      </c>
      <c r="N579" s="40" t="str">
        <f>IF(OR(ISBLANK(C579),C579="",M579=""),"In Progress",IF(M579&lt;=J579,"Met","Breached"))</f>
        <v>Met</v>
      </c>
    </row>
    <row r="580" ht="19" customHeight="1" spans="1:14" x14ac:dyDescent="0.25">
      <c r="A580" s="19" t="s">
        <v>694</v>
      </c>
      <c r="B580" s="33">
        <v>45899.45833333333</v>
      </c>
      <c r="C580" s="33">
        <v>45902.71944444445</v>
      </c>
      <c r="D580" s="19" t="s">
        <v>33</v>
      </c>
      <c r="E580" s="19" t="s">
        <v>65</v>
      </c>
      <c r="F580" s="19" t="s">
        <v>40</v>
      </c>
      <c r="G580" s="19" t="s">
        <v>63</v>
      </c>
      <c r="H580" s="19" t="s">
        <v>67</v>
      </c>
      <c r="I580" s="19" t="s">
        <v>114</v>
      </c>
      <c r="J580" s="20">
        <v>48</v>
      </c>
      <c r="K580" s="34">
        <v>0</v>
      </c>
      <c r="L580" s="34">
        <v>5</v>
      </c>
      <c r="M580" s="19">
        <f>IF(OR(ISBLANK(C580),C580=""),"",ROUND((C580-B580)*24,2))</f>
        <v>78.27</v>
      </c>
      <c r="N580" s="39" t="str">
        <f>IF(OR(ISBLANK(C580),C580="",M580=""),"In Progress",IF(M580&lt;=J580,"Met","Breached"))</f>
        <v>Breached</v>
      </c>
    </row>
    <row r="581" ht="19" customHeight="1" spans="1:14" x14ac:dyDescent="0.25">
      <c r="A581" s="22" t="s">
        <v>695</v>
      </c>
      <c r="B581" s="36">
        <v>46038.773611111115</v>
      </c>
      <c r="C581" s="36">
        <v>46042.01875</v>
      </c>
      <c r="D581" s="22" t="s">
        <v>33</v>
      </c>
      <c r="E581" s="22" t="s">
        <v>65</v>
      </c>
      <c r="F581" s="22" t="s">
        <v>45</v>
      </c>
      <c r="G581" s="22" t="s">
        <v>116</v>
      </c>
      <c r="H581" s="22" t="s">
        <v>67</v>
      </c>
      <c r="I581" s="22" t="s">
        <v>111</v>
      </c>
      <c r="J581" s="23">
        <v>48</v>
      </c>
      <c r="K581" s="37">
        <v>0</v>
      </c>
      <c r="M581" s="22">
        <f>IF(OR(ISBLANK(C581),C581=""),"",ROUND((C581-B581)*24,2))</f>
        <v>77.88</v>
      </c>
      <c r="N581" s="38" t="str">
        <f>IF(OR(ISBLANK(C581),C581="",M581=""),"In Progress",IF(M581&lt;=J581,"Met","Breached"))</f>
        <v>Breached</v>
      </c>
    </row>
    <row r="582" ht="19" customHeight="1" spans="1:14" x14ac:dyDescent="0.25">
      <c r="A582" s="19" t="s">
        <v>696</v>
      </c>
      <c r="B582" s="33">
        <v>45681.98055555555</v>
      </c>
      <c r="C582" s="33">
        <v>45684.36875</v>
      </c>
      <c r="D582" s="19" t="s">
        <v>33</v>
      </c>
      <c r="E582" s="19" t="s">
        <v>65</v>
      </c>
      <c r="F582" s="19" t="s">
        <v>40</v>
      </c>
      <c r="G582" s="19" t="s">
        <v>113</v>
      </c>
      <c r="H582" s="19" t="s">
        <v>63</v>
      </c>
      <c r="I582" s="19" t="s">
        <v>111</v>
      </c>
      <c r="J582" s="20">
        <v>48</v>
      </c>
      <c r="K582" s="34">
        <v>1</v>
      </c>
      <c r="M582" s="19">
        <f>IF(OR(ISBLANK(C582),C582=""),"",ROUND((C582-B582)*24,2))</f>
        <v>57.32</v>
      </c>
      <c r="N582" s="39" t="str">
        <f>IF(OR(ISBLANK(C582),C582="",M582=""),"In Progress",IF(M582&lt;=J582,"Met","Breached"))</f>
        <v>Breached</v>
      </c>
    </row>
    <row r="583" ht="19" customHeight="1" spans="1:14" x14ac:dyDescent="0.25">
      <c r="A583" s="22" t="s">
        <v>697</v>
      </c>
      <c r="B583" s="36">
        <v>45903.589583333334</v>
      </c>
      <c r="C583" s="36">
        <v>45907.129166666666</v>
      </c>
      <c r="D583" s="22" t="s">
        <v>33</v>
      </c>
      <c r="E583" s="22" t="s">
        <v>65</v>
      </c>
      <c r="F583" s="22" t="s">
        <v>45</v>
      </c>
      <c r="G583" s="22" t="s">
        <v>121</v>
      </c>
      <c r="H583" s="22" t="s">
        <v>59</v>
      </c>
      <c r="I583" s="22" t="s">
        <v>123</v>
      </c>
      <c r="J583" s="23">
        <v>48</v>
      </c>
      <c r="K583" s="37">
        <v>0</v>
      </c>
      <c r="L583" s="37">
        <v>2</v>
      </c>
      <c r="M583" s="22">
        <f>IF(OR(ISBLANK(C583),C583=""),"",ROUND((C583-B583)*24,2))</f>
        <v>84.95</v>
      </c>
      <c r="N583" s="38" t="str">
        <f>IF(OR(ISBLANK(C583),C583="",M583=""),"In Progress",IF(M583&lt;=J583,"Met","Breached"))</f>
        <v>Breached</v>
      </c>
    </row>
    <row r="584" ht="19" customHeight="1" spans="1:14" x14ac:dyDescent="0.25">
      <c r="A584" s="19" t="s">
        <v>698</v>
      </c>
      <c r="B584" s="33">
        <v>46206.132638888885</v>
      </c>
      <c r="C584" s="33">
        <v>46209.67847222222</v>
      </c>
      <c r="D584" s="19" t="s">
        <v>33</v>
      </c>
      <c r="E584" s="19" t="s">
        <v>65</v>
      </c>
      <c r="F584" s="19" t="s">
        <v>34</v>
      </c>
      <c r="G584" s="19" t="s">
        <v>121</v>
      </c>
      <c r="H584" s="19" t="s">
        <v>71</v>
      </c>
      <c r="I584" s="19" t="s">
        <v>117</v>
      </c>
      <c r="J584" s="20">
        <v>48</v>
      </c>
      <c r="K584" s="34">
        <v>0</v>
      </c>
      <c r="M584" s="19">
        <f>IF(OR(ISBLANK(C584),C584=""),"",ROUND((C584-B584)*24,2))</f>
        <v>85.1</v>
      </c>
      <c r="N584" s="39" t="str">
        <f>IF(OR(ISBLANK(C584),C584="",M584=""),"In Progress",IF(M584&lt;=J584,"Met","Breached"))</f>
        <v>Breached</v>
      </c>
    </row>
    <row r="585" ht="19" customHeight="1" spans="1:14" x14ac:dyDescent="0.25">
      <c r="A585" s="22" t="s">
        <v>699</v>
      </c>
      <c r="B585" s="36">
        <v>46110.56111111111</v>
      </c>
      <c r="C585" s="36">
        <v>46113.22152777778</v>
      </c>
      <c r="D585" s="22" t="s">
        <v>33</v>
      </c>
      <c r="E585" s="22" t="s">
        <v>65</v>
      </c>
      <c r="F585" s="22" t="s">
        <v>45</v>
      </c>
      <c r="G585" s="22" t="s">
        <v>63</v>
      </c>
      <c r="H585" s="22" t="s">
        <v>63</v>
      </c>
      <c r="I585" s="22" t="s">
        <v>117</v>
      </c>
      <c r="J585" s="23">
        <v>48</v>
      </c>
      <c r="K585" s="37">
        <v>0</v>
      </c>
      <c r="M585" s="22">
        <f>IF(OR(ISBLANK(C585),C585=""),"",ROUND((C585-B585)*24,2))</f>
        <v>63.85</v>
      </c>
      <c r="N585" s="38" t="str">
        <f>IF(OR(ISBLANK(C585),C585="",M585=""),"In Progress",IF(M585&lt;=J585,"Met","Breached"))</f>
        <v>Breached</v>
      </c>
    </row>
    <row r="586" ht="19" customHeight="1" spans="1:14" x14ac:dyDescent="0.25">
      <c r="A586" s="19" t="s">
        <v>700</v>
      </c>
      <c r="B586" s="33">
        <v>45827.836805555555</v>
      </c>
      <c r="C586" s="33">
        <v>45834.52569444444</v>
      </c>
      <c r="D586" s="19" t="s">
        <v>33</v>
      </c>
      <c r="E586" s="19" t="s">
        <v>69</v>
      </c>
      <c r="F586" s="19" t="s">
        <v>34</v>
      </c>
      <c r="G586" s="19" t="s">
        <v>121</v>
      </c>
      <c r="H586" s="19" t="s">
        <v>63</v>
      </c>
      <c r="I586" s="19" t="s">
        <v>147</v>
      </c>
      <c r="J586" s="20">
        <v>120</v>
      </c>
      <c r="K586" s="34">
        <v>0</v>
      </c>
      <c r="L586" s="34">
        <v>3</v>
      </c>
      <c r="M586" s="19">
        <f>IF(OR(ISBLANK(C586),C586=""),"",ROUND((C586-B586)*24,2))</f>
        <v>160.53</v>
      </c>
      <c r="N586" s="39" t="str">
        <f>IF(OR(ISBLANK(C586),C586="",M586=""),"In Progress",IF(M586&lt;=J586,"Met","Breached"))</f>
        <v>Breached</v>
      </c>
    </row>
    <row r="587" ht="19" customHeight="1" spans="1:14" x14ac:dyDescent="0.25">
      <c r="A587" s="22" t="s">
        <v>701</v>
      </c>
      <c r="B587" s="36">
        <v>45824.20208333334</v>
      </c>
      <c r="C587" s="36">
        <v>45830.42152777778</v>
      </c>
      <c r="D587" s="22" t="s">
        <v>33</v>
      </c>
      <c r="E587" s="22" t="s">
        <v>69</v>
      </c>
      <c r="F587" s="22" t="s">
        <v>34</v>
      </c>
      <c r="G587" s="22" t="s">
        <v>110</v>
      </c>
      <c r="H587" s="22" t="s">
        <v>59</v>
      </c>
      <c r="I587" s="22" t="s">
        <v>117</v>
      </c>
      <c r="J587" s="23">
        <v>120</v>
      </c>
      <c r="K587" s="37">
        <v>1</v>
      </c>
      <c r="L587" s="37">
        <v>2</v>
      </c>
      <c r="M587" s="22">
        <f>IF(OR(ISBLANK(C587),C587=""),"",ROUND((C587-B587)*24,2))</f>
        <v>149.27</v>
      </c>
      <c r="N587" s="38" t="str">
        <f>IF(OR(ISBLANK(C587),C587="",M587=""),"In Progress",IF(M587&lt;=J587,"Met","Breached"))</f>
        <v>Breached</v>
      </c>
    </row>
    <row r="588" ht="19" customHeight="1" spans="1:14" x14ac:dyDescent="0.25">
      <c r="A588" s="19" t="s">
        <v>702</v>
      </c>
      <c r="B588" s="33">
        <v>46194.60555555555</v>
      </c>
      <c r="C588" s="33">
        <v>46198.18541666667</v>
      </c>
      <c r="D588" s="19" t="s">
        <v>36</v>
      </c>
      <c r="E588" s="19" t="s">
        <v>65</v>
      </c>
      <c r="F588" s="19" t="s">
        <v>40</v>
      </c>
      <c r="G588" s="19" t="s">
        <v>63</v>
      </c>
      <c r="H588" s="19" t="s">
        <v>63</v>
      </c>
      <c r="I588" s="19" t="s">
        <v>147</v>
      </c>
      <c r="J588" s="20">
        <v>48</v>
      </c>
      <c r="K588" s="34">
        <v>1</v>
      </c>
      <c r="M588" s="19">
        <f>IF(OR(ISBLANK(C588),C588=""),"",ROUND((C588-B588)*24,2))</f>
        <v>85.92</v>
      </c>
      <c r="N588" s="39" t="str">
        <f>IF(OR(ISBLANK(C588),C588="",M588=""),"In Progress",IF(M588&lt;=J588,"Met","Breached"))</f>
        <v>Breached</v>
      </c>
    </row>
    <row r="589" ht="19" customHeight="1" spans="1:14" x14ac:dyDescent="0.25">
      <c r="A589" s="22" t="s">
        <v>703</v>
      </c>
      <c r="B589" s="36">
        <v>45975.74652777778</v>
      </c>
      <c r="C589" s="36">
        <v>45976.535416666666</v>
      </c>
      <c r="D589" s="22" t="s">
        <v>33</v>
      </c>
      <c r="E589" s="22" t="s">
        <v>65</v>
      </c>
      <c r="F589" s="22" t="s">
        <v>34</v>
      </c>
      <c r="G589" s="22" t="s">
        <v>121</v>
      </c>
      <c r="H589" s="22" t="s">
        <v>63</v>
      </c>
      <c r="I589" s="22" t="s">
        <v>147</v>
      </c>
      <c r="J589" s="23">
        <v>48</v>
      </c>
      <c r="K589" s="37">
        <v>0</v>
      </c>
      <c r="L589" s="37">
        <v>2</v>
      </c>
      <c r="M589" s="22">
        <f>IF(OR(ISBLANK(C589),C589=""),"",ROUND((C589-B589)*24,2))</f>
        <v>18.93</v>
      </c>
      <c r="N589" s="40" t="str">
        <f>IF(OR(ISBLANK(C589),C589="",M589=""),"In Progress",IF(M589&lt;=J589,"Met","Breached"))</f>
        <v>Met</v>
      </c>
    </row>
    <row r="590" ht="19" customHeight="1" spans="1:14" x14ac:dyDescent="0.25">
      <c r="A590" s="19" t="s">
        <v>704</v>
      </c>
      <c r="B590" s="33">
        <v>45869.634722222225</v>
      </c>
      <c r="D590" s="19" t="s">
        <v>39</v>
      </c>
      <c r="E590" s="19" t="s">
        <v>57</v>
      </c>
      <c r="F590" s="19" t="s">
        <v>40</v>
      </c>
      <c r="G590" s="19" t="s">
        <v>110</v>
      </c>
      <c r="H590" s="19" t="s">
        <v>63</v>
      </c>
      <c r="I590" s="19" t="s">
        <v>147</v>
      </c>
      <c r="J590" s="20">
        <v>4</v>
      </c>
      <c r="K590" s="34">
        <v>0</v>
      </c>
      <c r="M590" s="19" t="str">
        <f>IF(OR(ISBLANK(C590),C590=""),"",ROUND((C590-B590)*24,2))</f>
        <v/>
      </c>
      <c r="N590" s="19" t="str">
        <f>IF(OR(ISBLANK(C590),C590="",M590=""),"In Progress",IF(M590&lt;=J590,"Met","Breached"))</f>
        <v>In Progress</v>
      </c>
    </row>
    <row r="591" ht="19" customHeight="1" spans="1:14" x14ac:dyDescent="0.25">
      <c r="A591" s="22" t="s">
        <v>705</v>
      </c>
      <c r="B591" s="36">
        <v>45773.415972222225</v>
      </c>
      <c r="C591" s="36">
        <v>45775.91180555556</v>
      </c>
      <c r="D591" s="22" t="s">
        <v>33</v>
      </c>
      <c r="E591" s="22" t="s">
        <v>65</v>
      </c>
      <c r="F591" s="22" t="s">
        <v>40</v>
      </c>
      <c r="G591" s="22" t="s">
        <v>116</v>
      </c>
      <c r="H591" s="22" t="s">
        <v>59</v>
      </c>
      <c r="I591" s="22" t="s">
        <v>114</v>
      </c>
      <c r="J591" s="23">
        <v>48</v>
      </c>
      <c r="K591" s="37">
        <v>0</v>
      </c>
      <c r="M591" s="22">
        <f>IF(OR(ISBLANK(C591),C591=""),"",ROUND((C591-B591)*24,2))</f>
        <v>59.9</v>
      </c>
      <c r="N591" s="38" t="str">
        <f>IF(OR(ISBLANK(C591),C591="",M591=""),"In Progress",IF(M591&lt;=J591,"Met","Breached"))</f>
        <v>Breached</v>
      </c>
    </row>
    <row r="592" ht="19" customHeight="1" spans="1:14" x14ac:dyDescent="0.25">
      <c r="A592" s="19" t="s">
        <v>706</v>
      </c>
      <c r="B592" s="33">
        <v>46263.305555555555</v>
      </c>
      <c r="C592" s="33">
        <v>46268.339583333334</v>
      </c>
      <c r="D592" s="19" t="s">
        <v>36</v>
      </c>
      <c r="E592" s="19" t="s">
        <v>69</v>
      </c>
      <c r="F592" s="19" t="s">
        <v>34</v>
      </c>
      <c r="G592" s="19" t="s">
        <v>63</v>
      </c>
      <c r="H592" s="19" t="s">
        <v>63</v>
      </c>
      <c r="I592" s="19" t="s">
        <v>108</v>
      </c>
      <c r="J592" s="20">
        <v>120</v>
      </c>
      <c r="K592" s="34">
        <v>0</v>
      </c>
      <c r="L592" s="34">
        <v>1</v>
      </c>
      <c r="M592" s="19">
        <f>IF(OR(ISBLANK(C592),C592=""),"",ROUND((C592-B592)*24,2))</f>
        <v>120.82</v>
      </c>
      <c r="N592" s="39" t="str">
        <f>IF(OR(ISBLANK(C592),C592="",M592=""),"In Progress",IF(M592&lt;=J592,"Met","Breached"))</f>
        <v>Breached</v>
      </c>
    </row>
    <row r="593" ht="19" customHeight="1" spans="1:14" x14ac:dyDescent="0.25">
      <c r="A593" s="22" t="s">
        <v>707</v>
      </c>
      <c r="B593" s="36">
        <v>45986.74652777778</v>
      </c>
      <c r="C593" s="36">
        <v>45987.32847222222</v>
      </c>
      <c r="D593" s="22" t="s">
        <v>33</v>
      </c>
      <c r="E593" s="22" t="s">
        <v>61</v>
      </c>
      <c r="F593" s="22" t="s">
        <v>43</v>
      </c>
      <c r="G593" s="22" t="s">
        <v>126</v>
      </c>
      <c r="H593" s="22" t="s">
        <v>59</v>
      </c>
      <c r="I593" s="22" t="s">
        <v>111</v>
      </c>
      <c r="J593" s="23">
        <v>12</v>
      </c>
      <c r="K593" s="37">
        <v>0</v>
      </c>
      <c r="L593" s="37">
        <v>3</v>
      </c>
      <c r="M593" s="22">
        <f>IF(OR(ISBLANK(C593),C593=""),"",ROUND((C593-B593)*24,2))</f>
        <v>13.97</v>
      </c>
      <c r="N593" s="38" t="str">
        <f>IF(OR(ISBLANK(C593),C593="",M593=""),"In Progress",IF(M593&lt;=J593,"Met","Breached"))</f>
        <v>Breached</v>
      </c>
    </row>
    <row r="594" ht="19" customHeight="1" spans="1:14" x14ac:dyDescent="0.25">
      <c r="A594" s="19" t="s">
        <v>708</v>
      </c>
      <c r="B594" s="33">
        <v>46045.07291666667</v>
      </c>
      <c r="C594" s="33">
        <v>46045.566666666666</v>
      </c>
      <c r="D594" s="19" t="s">
        <v>33</v>
      </c>
      <c r="E594" s="19" t="s">
        <v>61</v>
      </c>
      <c r="F594" s="19" t="s">
        <v>40</v>
      </c>
      <c r="G594" s="19" t="s">
        <v>126</v>
      </c>
      <c r="H594" s="19" t="s">
        <v>71</v>
      </c>
      <c r="I594" s="19" t="s">
        <v>123</v>
      </c>
      <c r="J594" s="20">
        <v>12</v>
      </c>
      <c r="K594" s="34">
        <v>0</v>
      </c>
      <c r="L594" s="34">
        <v>4</v>
      </c>
      <c r="M594" s="19">
        <f>IF(OR(ISBLANK(C594),C594=""),"",ROUND((C594-B594)*24,2))</f>
        <v>11.85</v>
      </c>
      <c r="N594" s="35" t="str">
        <f>IF(OR(ISBLANK(C594),C594="",M594=""),"In Progress",IF(M594&lt;=J594,"Met","Breached"))</f>
        <v>Met</v>
      </c>
    </row>
    <row r="595" ht="19" customHeight="1" spans="1:14" x14ac:dyDescent="0.25">
      <c r="A595" s="22" t="s">
        <v>709</v>
      </c>
      <c r="B595" s="36">
        <v>46160.93541666667</v>
      </c>
      <c r="C595" s="36">
        <v>46162.51666666666</v>
      </c>
      <c r="D595" s="22" t="s">
        <v>33</v>
      </c>
      <c r="E595" s="22" t="s">
        <v>65</v>
      </c>
      <c r="F595" s="22" t="s">
        <v>37</v>
      </c>
      <c r="G595" s="22" t="s">
        <v>113</v>
      </c>
      <c r="H595" s="22" t="s">
        <v>71</v>
      </c>
      <c r="I595" s="22" t="s">
        <v>147</v>
      </c>
      <c r="J595" s="23">
        <v>48</v>
      </c>
      <c r="K595" s="37">
        <v>0</v>
      </c>
      <c r="L595" s="37">
        <v>1</v>
      </c>
      <c r="M595" s="22">
        <f>IF(OR(ISBLANK(C595),C595=""),"",ROUND((C595-B595)*24,2))</f>
        <v>37.95</v>
      </c>
      <c r="N595" s="40" t="str">
        <f>IF(OR(ISBLANK(C595),C595="",M595=""),"In Progress",IF(M595&lt;=J595,"Met","Breached"))</f>
        <v>Met</v>
      </c>
    </row>
    <row r="596" ht="19" customHeight="1" spans="1:14" x14ac:dyDescent="0.25">
      <c r="A596" s="19" t="s">
        <v>710</v>
      </c>
      <c r="B596" s="33">
        <v>46025.68125</v>
      </c>
      <c r="C596" s="33">
        <v>46027.42708333333</v>
      </c>
      <c r="D596" s="19" t="s">
        <v>33</v>
      </c>
      <c r="E596" s="19" t="s">
        <v>69</v>
      </c>
      <c r="F596" s="19" t="s">
        <v>34</v>
      </c>
      <c r="G596" s="19" t="s">
        <v>113</v>
      </c>
      <c r="H596" s="19" t="s">
        <v>71</v>
      </c>
      <c r="I596" s="19" t="s">
        <v>147</v>
      </c>
      <c r="J596" s="20">
        <v>120</v>
      </c>
      <c r="K596" s="34">
        <v>0</v>
      </c>
      <c r="L596" s="34">
        <v>2</v>
      </c>
      <c r="M596" s="19">
        <f>IF(OR(ISBLANK(C596),C596=""),"",ROUND((C596-B596)*24,2))</f>
        <v>41.9</v>
      </c>
      <c r="N596" s="35" t="str">
        <f>IF(OR(ISBLANK(C596),C596="",M596=""),"In Progress",IF(M596&lt;=J596,"Met","Breached"))</f>
        <v>Met</v>
      </c>
    </row>
    <row r="597" ht="19" customHeight="1" spans="1:14" x14ac:dyDescent="0.25">
      <c r="A597" s="22" t="s">
        <v>711</v>
      </c>
      <c r="B597" s="36">
        <v>46010.40833333333</v>
      </c>
      <c r="C597" s="36">
        <v>46011.597916666666</v>
      </c>
      <c r="D597" s="22" t="s">
        <v>33</v>
      </c>
      <c r="E597" s="22" t="s">
        <v>65</v>
      </c>
      <c r="F597" s="22" t="s">
        <v>43</v>
      </c>
      <c r="G597" s="22" t="s">
        <v>110</v>
      </c>
      <c r="H597" s="22" t="s">
        <v>63</v>
      </c>
      <c r="I597" s="22" t="s">
        <v>147</v>
      </c>
      <c r="J597" s="23">
        <v>48</v>
      </c>
      <c r="K597" s="37">
        <v>0</v>
      </c>
      <c r="L597" s="37">
        <v>5</v>
      </c>
      <c r="M597" s="22">
        <f>IF(OR(ISBLANK(C597),C597=""),"",ROUND((C597-B597)*24,2))</f>
        <v>28.55</v>
      </c>
      <c r="N597" s="40" t="str">
        <f>IF(OR(ISBLANK(C597),C597="",M597=""),"In Progress",IF(M597&lt;=J597,"Met","Breached"))</f>
        <v>Met</v>
      </c>
    </row>
    <row r="598" ht="19" customHeight="1" spans="1:14" x14ac:dyDescent="0.25">
      <c r="A598" s="19" t="s">
        <v>712</v>
      </c>
      <c r="B598" s="33">
        <v>46138.066666666666</v>
      </c>
      <c r="C598" s="33">
        <v>46141.30069444445</v>
      </c>
      <c r="D598" s="19" t="s">
        <v>36</v>
      </c>
      <c r="E598" s="19" t="s">
        <v>65</v>
      </c>
      <c r="F598" s="19" t="s">
        <v>40</v>
      </c>
      <c r="G598" s="19" t="s">
        <v>126</v>
      </c>
      <c r="H598" s="19" t="s">
        <v>67</v>
      </c>
      <c r="I598" s="19" t="s">
        <v>108</v>
      </c>
      <c r="J598" s="20">
        <v>48</v>
      </c>
      <c r="K598" s="34">
        <v>0</v>
      </c>
      <c r="M598" s="19">
        <f>IF(OR(ISBLANK(C598),C598=""),"",ROUND((C598-B598)*24,2))</f>
        <v>77.62</v>
      </c>
      <c r="N598" s="39" t="str">
        <f>IF(OR(ISBLANK(C598),C598="",M598=""),"In Progress",IF(M598&lt;=J598,"Met","Breached"))</f>
        <v>Breached</v>
      </c>
    </row>
    <row r="599" ht="19" customHeight="1" spans="1:14" x14ac:dyDescent="0.25">
      <c r="A599" s="22" t="s">
        <v>713</v>
      </c>
      <c r="B599" s="36">
        <v>46012.288888888885</v>
      </c>
      <c r="C599" s="36">
        <v>46013.22430555556</v>
      </c>
      <c r="D599" s="22" t="s">
        <v>36</v>
      </c>
      <c r="E599" s="22" t="s">
        <v>65</v>
      </c>
      <c r="F599" s="22" t="s">
        <v>34</v>
      </c>
      <c r="G599" s="22" t="s">
        <v>121</v>
      </c>
      <c r="H599" s="22" t="s">
        <v>59</v>
      </c>
      <c r="I599" s="22" t="s">
        <v>117</v>
      </c>
      <c r="J599" s="23">
        <v>48</v>
      </c>
      <c r="K599" s="37">
        <v>0</v>
      </c>
      <c r="L599" s="37">
        <v>1</v>
      </c>
      <c r="M599" s="22">
        <f>IF(OR(ISBLANK(C599),C599=""),"",ROUND((C599-B599)*24,2))</f>
        <v>22.45</v>
      </c>
      <c r="N599" s="40" t="str">
        <f>IF(OR(ISBLANK(C599),C599="",M599=""),"In Progress",IF(M599&lt;=J599,"Met","Breached"))</f>
        <v>Met</v>
      </c>
    </row>
    <row r="600" ht="19" customHeight="1" spans="1:14" x14ac:dyDescent="0.25">
      <c r="A600" s="19" t="s">
        <v>714</v>
      </c>
      <c r="B600" s="33">
        <v>45735.7625</v>
      </c>
      <c r="C600" s="33">
        <v>45739.3</v>
      </c>
      <c r="D600" s="19" t="s">
        <v>36</v>
      </c>
      <c r="E600" s="19" t="s">
        <v>69</v>
      </c>
      <c r="F600" s="19" t="s">
        <v>34</v>
      </c>
      <c r="G600" s="19" t="s">
        <v>113</v>
      </c>
      <c r="H600" s="19" t="s">
        <v>59</v>
      </c>
      <c r="I600" s="19" t="s">
        <v>108</v>
      </c>
      <c r="J600" s="20">
        <v>120</v>
      </c>
      <c r="K600" s="34">
        <v>0</v>
      </c>
      <c r="L600" s="34">
        <v>1</v>
      </c>
      <c r="M600" s="19">
        <f>IF(OR(ISBLANK(C600),C600=""),"",ROUND((C600-B600)*24,2))</f>
        <v>84.9</v>
      </c>
      <c r="N600" s="35" t="str">
        <f>IF(OR(ISBLANK(C600),C600="",M600=""),"In Progress",IF(M600&lt;=J600,"Met","Breached"))</f>
        <v>Met</v>
      </c>
    </row>
    <row r="601" ht="19" customHeight="1" spans="1:14" x14ac:dyDescent="0.25">
      <c r="A601" s="22" t="s">
        <v>715</v>
      </c>
      <c r="B601" s="36">
        <v>46142.44305555556</v>
      </c>
      <c r="C601" s="36">
        <v>46148.57152777778</v>
      </c>
      <c r="D601" s="22" t="s">
        <v>36</v>
      </c>
      <c r="E601" s="22" t="s">
        <v>69</v>
      </c>
      <c r="F601" s="22" t="s">
        <v>45</v>
      </c>
      <c r="G601" s="22" t="s">
        <v>121</v>
      </c>
      <c r="H601" s="22" t="s">
        <v>59</v>
      </c>
      <c r="I601" s="22" t="s">
        <v>108</v>
      </c>
      <c r="J601" s="23">
        <v>120</v>
      </c>
      <c r="K601" s="37">
        <v>0</v>
      </c>
      <c r="L601" s="37">
        <v>4</v>
      </c>
      <c r="M601" s="22">
        <f>IF(OR(ISBLANK(C601),C601=""),"",ROUND((C601-B601)*24,2))</f>
        <v>147.08</v>
      </c>
      <c r="N601" s="38" t="str">
        <f>IF(OR(ISBLANK(C601),C601="",M601=""),"In Progress",IF(M601&lt;=J601,"Met","Breached"))</f>
        <v>Breached</v>
      </c>
    </row>
    <row r="602" ht="19" customHeight="1" spans="1:14" x14ac:dyDescent="0.25">
      <c r="A602" s="19" t="s">
        <v>716</v>
      </c>
      <c r="B602" s="33">
        <v>45707.12986111111</v>
      </c>
      <c r="C602" s="33">
        <v>45708.10555555555</v>
      </c>
      <c r="D602" s="19" t="s">
        <v>33</v>
      </c>
      <c r="E602" s="19" t="s">
        <v>65</v>
      </c>
      <c r="F602" s="19" t="s">
        <v>37</v>
      </c>
      <c r="G602" s="19" t="s">
        <v>116</v>
      </c>
      <c r="H602" s="19" t="s">
        <v>71</v>
      </c>
      <c r="I602" s="19" t="s">
        <v>117</v>
      </c>
      <c r="J602" s="20">
        <v>48</v>
      </c>
      <c r="K602" s="34">
        <v>0</v>
      </c>
      <c r="L602" s="34">
        <v>5</v>
      </c>
      <c r="M602" s="19">
        <f>IF(OR(ISBLANK(C602),C602=""),"",ROUND((C602-B602)*24,2))</f>
        <v>23.42</v>
      </c>
      <c r="N602" s="35" t="str">
        <f>IF(OR(ISBLANK(C602),C602="",M602=""),"In Progress",IF(M602&lt;=J602,"Met","Breached"))</f>
        <v>Met</v>
      </c>
    </row>
    <row r="603" ht="19" customHeight="1" spans="1:14" x14ac:dyDescent="0.25">
      <c r="A603" s="22" t="s">
        <v>717</v>
      </c>
      <c r="B603" s="36">
        <v>45675.49652777778</v>
      </c>
      <c r="D603" s="22" t="s">
        <v>39</v>
      </c>
      <c r="E603" s="22" t="s">
        <v>69</v>
      </c>
      <c r="F603" s="22" t="s">
        <v>37</v>
      </c>
      <c r="G603" s="22" t="s">
        <v>121</v>
      </c>
      <c r="H603" s="22" t="s">
        <v>59</v>
      </c>
      <c r="I603" s="22" t="s">
        <v>147</v>
      </c>
      <c r="J603" s="23">
        <v>120</v>
      </c>
      <c r="K603" s="37">
        <v>0</v>
      </c>
      <c r="M603" s="22" t="str">
        <f>IF(OR(ISBLANK(C603),C603=""),"",ROUND((C603-B603)*24,2))</f>
        <v/>
      </c>
      <c r="N603" s="22" t="str">
        <f>IF(OR(ISBLANK(C603),C603="",M603=""),"In Progress",IF(M603&lt;=J603,"Met","Breached"))</f>
        <v>In Progress</v>
      </c>
    </row>
    <row r="604" ht="19" customHeight="1" spans="1:14" x14ac:dyDescent="0.25">
      <c r="A604" s="19" t="s">
        <v>718</v>
      </c>
      <c r="B604" s="33">
        <v>45857.78472222222</v>
      </c>
      <c r="C604" s="33">
        <v>45860.49861111111</v>
      </c>
      <c r="D604" s="19" t="s">
        <v>33</v>
      </c>
      <c r="E604" s="19" t="s">
        <v>65</v>
      </c>
      <c r="F604" s="19" t="s">
        <v>34</v>
      </c>
      <c r="G604" s="19" t="s">
        <v>63</v>
      </c>
      <c r="H604" s="19" t="s">
        <v>59</v>
      </c>
      <c r="I604" s="19" t="s">
        <v>111</v>
      </c>
      <c r="J604" s="20">
        <v>48</v>
      </c>
      <c r="K604" s="34">
        <v>0</v>
      </c>
      <c r="L604" s="34">
        <v>5</v>
      </c>
      <c r="M604" s="19">
        <f>IF(OR(ISBLANK(C604),C604=""),"",ROUND((C604-B604)*24,2))</f>
        <v>65.13</v>
      </c>
      <c r="N604" s="39" t="str">
        <f>IF(OR(ISBLANK(C604),C604="",M604=""),"In Progress",IF(M604&lt;=J604,"Met","Breached"))</f>
        <v>Breached</v>
      </c>
    </row>
    <row r="605" ht="19" customHeight="1" spans="1:14" x14ac:dyDescent="0.25">
      <c r="A605" s="22" t="s">
        <v>719</v>
      </c>
      <c r="B605" s="36">
        <v>45883.70347222222</v>
      </c>
      <c r="C605" s="36">
        <v>45883.99166666667</v>
      </c>
      <c r="D605" s="22" t="s">
        <v>33</v>
      </c>
      <c r="E605" s="22" t="s">
        <v>57</v>
      </c>
      <c r="F605" s="22" t="s">
        <v>34</v>
      </c>
      <c r="G605" s="22" t="s">
        <v>121</v>
      </c>
      <c r="H605" s="22" t="s">
        <v>71</v>
      </c>
      <c r="I605" s="22" t="s">
        <v>123</v>
      </c>
      <c r="J605" s="23">
        <v>4</v>
      </c>
      <c r="K605" s="37">
        <v>0</v>
      </c>
      <c r="M605" s="22">
        <f>IF(OR(ISBLANK(C605),C605=""),"",ROUND((C605-B605)*24,2))</f>
        <v>6.92</v>
      </c>
      <c r="N605" s="38" t="str">
        <f>IF(OR(ISBLANK(C605),C605="",M605=""),"In Progress",IF(M605&lt;=J605,"Met","Breached"))</f>
        <v>Breached</v>
      </c>
    </row>
    <row r="606" ht="19" customHeight="1" spans="1:14" x14ac:dyDescent="0.25">
      <c r="A606" s="19" t="s">
        <v>720</v>
      </c>
      <c r="B606" s="33">
        <v>46187.57430555555</v>
      </c>
      <c r="D606" s="19" t="s">
        <v>39</v>
      </c>
      <c r="E606" s="19" t="s">
        <v>61</v>
      </c>
      <c r="F606" s="19" t="s">
        <v>45</v>
      </c>
      <c r="G606" s="19" t="s">
        <v>113</v>
      </c>
      <c r="H606" s="19" t="s">
        <v>59</v>
      </c>
      <c r="I606" s="19" t="s">
        <v>147</v>
      </c>
      <c r="J606" s="20">
        <v>12</v>
      </c>
      <c r="K606" s="34">
        <v>0</v>
      </c>
      <c r="M606" s="19" t="str">
        <f>IF(OR(ISBLANK(C606),C606=""),"",ROUND((C606-B606)*24,2))</f>
        <v/>
      </c>
      <c r="N606" s="19" t="str">
        <f>IF(OR(ISBLANK(C606),C606="",M606=""),"In Progress",IF(M606&lt;=J606,"Met","Breached"))</f>
        <v>In Progress</v>
      </c>
    </row>
    <row r="607" ht="19" customHeight="1" spans="1:14" x14ac:dyDescent="0.25">
      <c r="A607" s="22" t="s">
        <v>721</v>
      </c>
      <c r="B607" s="36">
        <v>45913.47222222222</v>
      </c>
      <c r="C607" s="36">
        <v>45914.02986111111</v>
      </c>
      <c r="D607" s="22" t="s">
        <v>33</v>
      </c>
      <c r="E607" s="22" t="s">
        <v>61</v>
      </c>
      <c r="F607" s="22" t="s">
        <v>40</v>
      </c>
      <c r="G607" s="22" t="s">
        <v>121</v>
      </c>
      <c r="H607" s="22" t="s">
        <v>71</v>
      </c>
      <c r="I607" s="22" t="s">
        <v>111</v>
      </c>
      <c r="J607" s="23">
        <v>12</v>
      </c>
      <c r="K607" s="37">
        <v>1</v>
      </c>
      <c r="L607" s="37">
        <v>3</v>
      </c>
      <c r="M607" s="22">
        <f>IF(OR(ISBLANK(C607),C607=""),"",ROUND((C607-B607)*24,2))</f>
        <v>13.38</v>
      </c>
      <c r="N607" s="38" t="str">
        <f>IF(OR(ISBLANK(C607),C607="",M607=""),"In Progress",IF(M607&lt;=J607,"Met","Breached"))</f>
        <v>Breached</v>
      </c>
    </row>
    <row r="608" ht="19" customHeight="1" spans="1:14" x14ac:dyDescent="0.25">
      <c r="A608" s="19" t="s">
        <v>722</v>
      </c>
      <c r="B608" s="33">
        <v>45774.21736111111</v>
      </c>
      <c r="D608" s="19" t="s">
        <v>39</v>
      </c>
      <c r="E608" s="19" t="s">
        <v>65</v>
      </c>
      <c r="F608" s="19" t="s">
        <v>40</v>
      </c>
      <c r="G608" s="19" t="s">
        <v>63</v>
      </c>
      <c r="H608" s="19" t="s">
        <v>63</v>
      </c>
      <c r="I608" s="19" t="s">
        <v>123</v>
      </c>
      <c r="J608" s="20">
        <v>48</v>
      </c>
      <c r="K608" s="34">
        <v>0</v>
      </c>
      <c r="M608" s="19" t="str">
        <f>IF(OR(ISBLANK(C608),C608=""),"",ROUND((C608-B608)*24,2))</f>
        <v/>
      </c>
      <c r="N608" s="19" t="str">
        <f>IF(OR(ISBLANK(C608),C608="",M608=""),"In Progress",IF(M608&lt;=J608,"Met","Breached"))</f>
        <v>In Progress</v>
      </c>
    </row>
    <row r="609" ht="19" customHeight="1" spans="1:14" x14ac:dyDescent="0.25">
      <c r="A609" s="22" t="s">
        <v>723</v>
      </c>
      <c r="B609" s="36">
        <v>46283.179861111115</v>
      </c>
      <c r="C609" s="36">
        <v>46285.91111111111</v>
      </c>
      <c r="D609" s="22" t="s">
        <v>33</v>
      </c>
      <c r="E609" s="22" t="s">
        <v>69</v>
      </c>
      <c r="F609" s="22" t="s">
        <v>37</v>
      </c>
      <c r="G609" s="22" t="s">
        <v>121</v>
      </c>
      <c r="H609" s="22" t="s">
        <v>63</v>
      </c>
      <c r="I609" s="22" t="s">
        <v>108</v>
      </c>
      <c r="J609" s="23">
        <v>120</v>
      </c>
      <c r="K609" s="37">
        <v>0</v>
      </c>
      <c r="L609" s="37">
        <v>1</v>
      </c>
      <c r="M609" s="22">
        <f>IF(OR(ISBLANK(C609),C609=""),"",ROUND((C609-B609)*24,2))</f>
        <v>65.55</v>
      </c>
      <c r="N609" s="40" t="str">
        <f>IF(OR(ISBLANK(C609),C609="",M609=""),"In Progress",IF(M609&lt;=J609,"Met","Breached"))</f>
        <v>Met</v>
      </c>
    </row>
    <row r="610" ht="19" customHeight="1" spans="1:14" x14ac:dyDescent="0.25">
      <c r="A610" s="19" t="s">
        <v>724</v>
      </c>
      <c r="B610" s="33">
        <v>46101.481944444444</v>
      </c>
      <c r="D610" s="19" t="s">
        <v>39</v>
      </c>
      <c r="E610" s="19" t="s">
        <v>61</v>
      </c>
      <c r="F610" s="19" t="s">
        <v>40</v>
      </c>
      <c r="G610" s="19" t="s">
        <v>113</v>
      </c>
      <c r="H610" s="19" t="s">
        <v>67</v>
      </c>
      <c r="I610" s="19" t="s">
        <v>108</v>
      </c>
      <c r="J610" s="20">
        <v>12</v>
      </c>
      <c r="K610" s="34">
        <v>0</v>
      </c>
      <c r="M610" s="19" t="str">
        <f>IF(OR(ISBLANK(C610),C610=""),"",ROUND((C610-B610)*24,2))</f>
        <v/>
      </c>
      <c r="N610" s="19" t="str">
        <f>IF(OR(ISBLANK(C610),C610="",M610=""),"In Progress",IF(M610&lt;=J610,"Met","Breached"))</f>
        <v>In Progress</v>
      </c>
    </row>
    <row r="611" ht="19" customHeight="1" spans="1:14" x14ac:dyDescent="0.25">
      <c r="A611" s="22" t="s">
        <v>725</v>
      </c>
      <c r="B611" s="36">
        <v>46152.620833333334</v>
      </c>
      <c r="C611" s="36">
        <v>46154.43125</v>
      </c>
      <c r="D611" s="22" t="s">
        <v>33</v>
      </c>
      <c r="E611" s="22" t="s">
        <v>65</v>
      </c>
      <c r="F611" s="22" t="s">
        <v>45</v>
      </c>
      <c r="G611" s="22" t="s">
        <v>110</v>
      </c>
      <c r="H611" s="22" t="s">
        <v>71</v>
      </c>
      <c r="I611" s="22" t="s">
        <v>147</v>
      </c>
      <c r="J611" s="23">
        <v>48</v>
      </c>
      <c r="K611" s="37">
        <v>0</v>
      </c>
      <c r="L611" s="37">
        <v>1</v>
      </c>
      <c r="M611" s="22">
        <f>IF(OR(ISBLANK(C611),C611=""),"",ROUND((C611-B611)*24,2))</f>
        <v>43.45</v>
      </c>
      <c r="N611" s="40" t="str">
        <f>IF(OR(ISBLANK(C611),C611="",M611=""),"In Progress",IF(M611&lt;=J611,"Met","Breached"))</f>
        <v>Met</v>
      </c>
    </row>
    <row r="612" ht="19" customHeight="1" spans="1:14" x14ac:dyDescent="0.25">
      <c r="A612" s="19" t="s">
        <v>726</v>
      </c>
      <c r="B612" s="33">
        <v>46092.95416666666</v>
      </c>
      <c r="C612" s="33">
        <v>46099.663888888885</v>
      </c>
      <c r="D612" s="19" t="s">
        <v>36</v>
      </c>
      <c r="E612" s="19" t="s">
        <v>69</v>
      </c>
      <c r="F612" s="19" t="s">
        <v>45</v>
      </c>
      <c r="G612" s="19" t="s">
        <v>63</v>
      </c>
      <c r="H612" s="19" t="s">
        <v>63</v>
      </c>
      <c r="I612" s="19" t="s">
        <v>108</v>
      </c>
      <c r="J612" s="20">
        <v>120</v>
      </c>
      <c r="K612" s="34">
        <v>0</v>
      </c>
      <c r="M612" s="19">
        <f>IF(OR(ISBLANK(C612),C612=""),"",ROUND((C612-B612)*24,2))</f>
        <v>161.03</v>
      </c>
      <c r="N612" s="39" t="str">
        <f>IF(OR(ISBLANK(C612),C612="",M612=""),"In Progress",IF(M612&lt;=J612,"Met","Breached"))</f>
        <v>Breached</v>
      </c>
    </row>
    <row r="613" ht="19" customHeight="1" spans="1:14" x14ac:dyDescent="0.25">
      <c r="A613" s="22" t="s">
        <v>727</v>
      </c>
      <c r="B613" s="36">
        <v>45771.21041666667</v>
      </c>
      <c r="C613" s="36">
        <v>45774.18819444445</v>
      </c>
      <c r="D613" s="22" t="s">
        <v>33</v>
      </c>
      <c r="E613" s="22" t="s">
        <v>69</v>
      </c>
      <c r="F613" s="22" t="s">
        <v>34</v>
      </c>
      <c r="G613" s="22" t="s">
        <v>126</v>
      </c>
      <c r="H613" s="22" t="s">
        <v>63</v>
      </c>
      <c r="I613" s="22" t="s">
        <v>117</v>
      </c>
      <c r="J613" s="23">
        <v>120</v>
      </c>
      <c r="K613" s="37">
        <v>0</v>
      </c>
      <c r="L613" s="37">
        <v>3</v>
      </c>
      <c r="M613" s="22">
        <f>IF(OR(ISBLANK(C613),C613=""),"",ROUND((C613-B613)*24,2))</f>
        <v>71.47</v>
      </c>
      <c r="N613" s="40" t="str">
        <f>IF(OR(ISBLANK(C613),C613="",M613=""),"In Progress",IF(M613&lt;=J613,"Met","Breached"))</f>
        <v>Met</v>
      </c>
    </row>
    <row r="614" ht="19" customHeight="1" spans="1:14" x14ac:dyDescent="0.25">
      <c r="A614" s="19" t="s">
        <v>728</v>
      </c>
      <c r="B614" s="33">
        <v>45687.81180555555</v>
      </c>
      <c r="C614" s="33">
        <v>45691.56319444445</v>
      </c>
      <c r="D614" s="19" t="s">
        <v>33</v>
      </c>
      <c r="E614" s="19" t="s">
        <v>69</v>
      </c>
      <c r="F614" s="19" t="s">
        <v>40</v>
      </c>
      <c r="G614" s="19" t="s">
        <v>113</v>
      </c>
      <c r="H614" s="19" t="s">
        <v>59</v>
      </c>
      <c r="I614" s="19" t="s">
        <v>123</v>
      </c>
      <c r="J614" s="20">
        <v>120</v>
      </c>
      <c r="K614" s="34">
        <v>0</v>
      </c>
      <c r="L614" s="34">
        <v>4</v>
      </c>
      <c r="M614" s="19">
        <f>IF(OR(ISBLANK(C614),C614=""),"",ROUND((C614-B614)*24,2))</f>
        <v>90.03</v>
      </c>
      <c r="N614" s="35" t="str">
        <f>IF(OR(ISBLANK(C614),C614="",M614=""),"In Progress",IF(M614&lt;=J614,"Met","Breached"))</f>
        <v>Met</v>
      </c>
    </row>
    <row r="615" ht="19" customHeight="1" spans="1:14" x14ac:dyDescent="0.25">
      <c r="A615" s="22" t="s">
        <v>729</v>
      </c>
      <c r="B615" s="36">
        <v>45983.19583333333</v>
      </c>
      <c r="D615" s="22" t="s">
        <v>39</v>
      </c>
      <c r="E615" s="22" t="s">
        <v>61</v>
      </c>
      <c r="F615" s="22" t="s">
        <v>40</v>
      </c>
      <c r="G615" s="22" t="s">
        <v>63</v>
      </c>
      <c r="H615" s="22" t="s">
        <v>63</v>
      </c>
      <c r="I615" s="22" t="s">
        <v>123</v>
      </c>
      <c r="J615" s="23">
        <v>12</v>
      </c>
      <c r="K615" s="37">
        <v>0</v>
      </c>
      <c r="M615" s="22" t="str">
        <f>IF(OR(ISBLANK(C615),C615=""),"",ROUND((C615-B615)*24,2))</f>
        <v/>
      </c>
      <c r="N615" s="22" t="str">
        <f>IF(OR(ISBLANK(C615),C615="",M615=""),"In Progress",IF(M615&lt;=J615,"Met","Breached"))</f>
        <v>In Progress</v>
      </c>
    </row>
    <row r="616" ht="19" customHeight="1" spans="1:14" x14ac:dyDescent="0.25">
      <c r="A616" s="19" t="s">
        <v>730</v>
      </c>
      <c r="B616" s="33">
        <v>45667.35972222222</v>
      </c>
      <c r="C616" s="33">
        <v>45668.19652777778</v>
      </c>
      <c r="D616" s="19" t="s">
        <v>33</v>
      </c>
      <c r="E616" s="19" t="s">
        <v>61</v>
      </c>
      <c r="F616" s="19" t="s">
        <v>37</v>
      </c>
      <c r="G616" s="19" t="s">
        <v>121</v>
      </c>
      <c r="H616" s="19" t="s">
        <v>59</v>
      </c>
      <c r="I616" s="19" t="s">
        <v>117</v>
      </c>
      <c r="J616" s="20">
        <v>12</v>
      </c>
      <c r="K616" s="34">
        <v>0</v>
      </c>
      <c r="L616" s="34">
        <v>3</v>
      </c>
      <c r="M616" s="19">
        <f>IF(OR(ISBLANK(C616),C616=""),"",ROUND((C616-B616)*24,2))</f>
        <v>20.08</v>
      </c>
      <c r="N616" s="39" t="str">
        <f>IF(OR(ISBLANK(C616),C616="",M616=""),"In Progress",IF(M616&lt;=J616,"Met","Breached"))</f>
        <v>Breached</v>
      </c>
    </row>
    <row r="617" ht="19" customHeight="1" spans="1:14" x14ac:dyDescent="0.25">
      <c r="A617" s="22" t="s">
        <v>731</v>
      </c>
      <c r="B617" s="36">
        <v>46016.95833333333</v>
      </c>
      <c r="C617" s="36">
        <v>46025.91458333333</v>
      </c>
      <c r="D617" s="22" t="s">
        <v>33</v>
      </c>
      <c r="E617" s="22" t="s">
        <v>69</v>
      </c>
      <c r="F617" s="22" t="s">
        <v>40</v>
      </c>
      <c r="G617" s="22" t="s">
        <v>113</v>
      </c>
      <c r="H617" s="22" t="s">
        <v>67</v>
      </c>
      <c r="I617" s="22" t="s">
        <v>147</v>
      </c>
      <c r="J617" s="23">
        <v>120</v>
      </c>
      <c r="K617" s="37">
        <v>0</v>
      </c>
      <c r="L617" s="37">
        <v>1</v>
      </c>
      <c r="M617" s="22">
        <f>IF(OR(ISBLANK(C617),C617=""),"",ROUND((C617-B617)*24,2))</f>
        <v>214.95</v>
      </c>
      <c r="N617" s="38" t="str">
        <f>IF(OR(ISBLANK(C617),C617="",M617=""),"In Progress",IF(M617&lt;=J617,"Met","Breached"))</f>
        <v>Breached</v>
      </c>
    </row>
    <row r="618" ht="19" customHeight="1" spans="1:14" x14ac:dyDescent="0.25">
      <c r="A618" s="19" t="s">
        <v>732</v>
      </c>
      <c r="B618" s="33">
        <v>45921.149305555555</v>
      </c>
      <c r="C618" s="33">
        <v>45922.53333333333</v>
      </c>
      <c r="D618" s="19" t="s">
        <v>36</v>
      </c>
      <c r="E618" s="19" t="s">
        <v>65</v>
      </c>
      <c r="F618" s="19" t="s">
        <v>43</v>
      </c>
      <c r="G618" s="19" t="s">
        <v>113</v>
      </c>
      <c r="H618" s="19" t="s">
        <v>63</v>
      </c>
      <c r="I618" s="19" t="s">
        <v>147</v>
      </c>
      <c r="J618" s="20">
        <v>48</v>
      </c>
      <c r="K618" s="34">
        <v>0</v>
      </c>
      <c r="M618" s="19">
        <f>IF(OR(ISBLANK(C618),C618=""),"",ROUND((C618-B618)*24,2))</f>
        <v>33.22</v>
      </c>
      <c r="N618" s="35" t="str">
        <f>IF(OR(ISBLANK(C618),C618="",M618=""),"In Progress",IF(M618&lt;=J618,"Met","Breached"))</f>
        <v>Met</v>
      </c>
    </row>
    <row r="619" ht="19" customHeight="1" spans="1:14" x14ac:dyDescent="0.25">
      <c r="A619" s="22" t="s">
        <v>733</v>
      </c>
      <c r="B619" s="36">
        <v>45766.01458333334</v>
      </c>
      <c r="C619" s="36">
        <v>45769.11944444444</v>
      </c>
      <c r="D619" s="22" t="s">
        <v>33</v>
      </c>
      <c r="E619" s="22" t="s">
        <v>65</v>
      </c>
      <c r="F619" s="22" t="s">
        <v>45</v>
      </c>
      <c r="G619" s="22" t="s">
        <v>110</v>
      </c>
      <c r="H619" s="22" t="s">
        <v>59</v>
      </c>
      <c r="I619" s="22" t="s">
        <v>123</v>
      </c>
      <c r="J619" s="23">
        <v>48</v>
      </c>
      <c r="K619" s="37">
        <v>0</v>
      </c>
      <c r="L619" s="37">
        <v>3</v>
      </c>
      <c r="M619" s="22">
        <f>IF(OR(ISBLANK(C619),C619=""),"",ROUND((C619-B619)*24,2))</f>
        <v>74.52</v>
      </c>
      <c r="N619" s="38" t="str">
        <f>IF(OR(ISBLANK(C619),C619="",M619=""),"In Progress",IF(M619&lt;=J619,"Met","Breached"))</f>
        <v>Breached</v>
      </c>
    </row>
    <row r="620" ht="19" customHeight="1" spans="1:14" x14ac:dyDescent="0.25">
      <c r="A620" s="19" t="s">
        <v>734</v>
      </c>
      <c r="B620" s="33">
        <v>46200.34722222222</v>
      </c>
      <c r="D620" s="19" t="s">
        <v>39</v>
      </c>
      <c r="E620" s="19" t="s">
        <v>61</v>
      </c>
      <c r="F620" s="19" t="s">
        <v>40</v>
      </c>
      <c r="G620" s="19" t="s">
        <v>121</v>
      </c>
      <c r="H620" s="19" t="s">
        <v>67</v>
      </c>
      <c r="I620" s="19" t="s">
        <v>111</v>
      </c>
      <c r="J620" s="20">
        <v>12</v>
      </c>
      <c r="K620" s="34">
        <v>0</v>
      </c>
      <c r="M620" s="19" t="str">
        <f>IF(OR(ISBLANK(C620),C620=""),"",ROUND((C620-B620)*24,2))</f>
        <v/>
      </c>
      <c r="N620" s="19" t="str">
        <f>IF(OR(ISBLANK(C620),C620="",M620=""),"In Progress",IF(M620&lt;=J620,"Met","Breached"))</f>
        <v>In Progress</v>
      </c>
    </row>
    <row r="621" ht="19" customHeight="1" spans="1:14" x14ac:dyDescent="0.25">
      <c r="A621" s="22" t="s">
        <v>735</v>
      </c>
      <c r="B621" s="36">
        <v>46090.90763888889</v>
      </c>
      <c r="C621" s="36">
        <v>46091.06180555555</v>
      </c>
      <c r="D621" s="22" t="s">
        <v>36</v>
      </c>
      <c r="E621" s="22" t="s">
        <v>61</v>
      </c>
      <c r="F621" s="22" t="s">
        <v>37</v>
      </c>
      <c r="G621" s="22" t="s">
        <v>121</v>
      </c>
      <c r="H621" s="22" t="s">
        <v>63</v>
      </c>
      <c r="I621" s="22" t="s">
        <v>147</v>
      </c>
      <c r="J621" s="23">
        <v>12</v>
      </c>
      <c r="K621" s="37">
        <v>0</v>
      </c>
      <c r="L621" s="37">
        <v>1</v>
      </c>
      <c r="M621" s="22">
        <f>IF(OR(ISBLANK(C621),C621=""),"",ROUND((C621-B621)*24,2))</f>
        <v>3.7</v>
      </c>
      <c r="N621" s="40" t="str">
        <f>IF(OR(ISBLANK(C621),C621="",M621=""),"In Progress",IF(M621&lt;=J621,"Met","Breached"))</f>
        <v>Met</v>
      </c>
    </row>
    <row r="622" ht="19" customHeight="1" spans="1:14" x14ac:dyDescent="0.25">
      <c r="A622" s="19" t="s">
        <v>736</v>
      </c>
      <c r="B622" s="33">
        <v>46255.74861111111</v>
      </c>
      <c r="D622" s="19" t="s">
        <v>42</v>
      </c>
      <c r="E622" s="19" t="s">
        <v>65</v>
      </c>
      <c r="F622" s="19" t="s">
        <v>45</v>
      </c>
      <c r="G622" s="19" t="s">
        <v>121</v>
      </c>
      <c r="H622" s="19" t="s">
        <v>59</v>
      </c>
      <c r="I622" s="19" t="s">
        <v>114</v>
      </c>
      <c r="J622" s="20">
        <v>48</v>
      </c>
      <c r="K622" s="34">
        <v>0</v>
      </c>
      <c r="M622" s="19" t="str">
        <f>IF(OR(ISBLANK(C622),C622=""),"",ROUND((C622-B622)*24,2))</f>
        <v/>
      </c>
      <c r="N622" s="19" t="str">
        <f>IF(OR(ISBLANK(C622),C622="",M622=""),"In Progress",IF(M622&lt;=J622,"Met","Breached"))</f>
        <v>In Progress</v>
      </c>
    </row>
    <row r="623" ht="19" customHeight="1" spans="1:14" x14ac:dyDescent="0.25">
      <c r="A623" s="22" t="s">
        <v>737</v>
      </c>
      <c r="B623" s="36">
        <v>46050.50625</v>
      </c>
      <c r="D623" s="22" t="s">
        <v>42</v>
      </c>
      <c r="E623" s="22" t="s">
        <v>61</v>
      </c>
      <c r="F623" s="22" t="s">
        <v>43</v>
      </c>
      <c r="G623" s="22" t="s">
        <v>113</v>
      </c>
      <c r="H623" s="22" t="s">
        <v>63</v>
      </c>
      <c r="I623" s="22" t="s">
        <v>147</v>
      </c>
      <c r="J623" s="23">
        <v>12</v>
      </c>
      <c r="K623" s="37">
        <v>0</v>
      </c>
      <c r="M623" s="22" t="str">
        <f>IF(OR(ISBLANK(C623),C623=""),"",ROUND((C623-B623)*24,2))</f>
        <v/>
      </c>
      <c r="N623" s="22" t="str">
        <f>IF(OR(ISBLANK(C623),C623="",M623=""),"In Progress",IF(M623&lt;=J623,"Met","Breached"))</f>
        <v>In Progress</v>
      </c>
    </row>
    <row r="624" ht="19" customHeight="1" spans="1:14" x14ac:dyDescent="0.25">
      <c r="A624" s="19" t="s">
        <v>738</v>
      </c>
      <c r="B624" s="33">
        <v>45984.072222222225</v>
      </c>
      <c r="D624" s="19" t="s">
        <v>39</v>
      </c>
      <c r="E624" s="19" t="s">
        <v>69</v>
      </c>
      <c r="F624" s="19" t="s">
        <v>40</v>
      </c>
      <c r="G624" s="19" t="s">
        <v>110</v>
      </c>
      <c r="H624" s="19" t="s">
        <v>59</v>
      </c>
      <c r="I624" s="19" t="s">
        <v>123</v>
      </c>
      <c r="J624" s="20">
        <v>120</v>
      </c>
      <c r="K624" s="34">
        <v>0</v>
      </c>
      <c r="M624" s="19" t="str">
        <f>IF(OR(ISBLANK(C624),C624=""),"",ROUND((C624-B624)*24,2))</f>
        <v/>
      </c>
      <c r="N624" s="19" t="str">
        <f>IF(OR(ISBLANK(C624),C624="",M624=""),"In Progress",IF(M624&lt;=J624,"Met","Breached"))</f>
        <v>In Progress</v>
      </c>
    </row>
    <row r="625" ht="19" customHeight="1" spans="1:14" x14ac:dyDescent="0.25">
      <c r="A625" s="22" t="s">
        <v>739</v>
      </c>
      <c r="B625" s="36">
        <v>46095.103472222225</v>
      </c>
      <c r="C625" s="36">
        <v>46095.61666666667</v>
      </c>
      <c r="D625" s="22" t="s">
        <v>33</v>
      </c>
      <c r="E625" s="22" t="s">
        <v>61</v>
      </c>
      <c r="F625" s="22" t="s">
        <v>40</v>
      </c>
      <c r="G625" s="22" t="s">
        <v>126</v>
      </c>
      <c r="H625" s="22" t="s">
        <v>63</v>
      </c>
      <c r="I625" s="22" t="s">
        <v>123</v>
      </c>
      <c r="J625" s="23">
        <v>12</v>
      </c>
      <c r="K625" s="37">
        <v>0</v>
      </c>
      <c r="L625" s="37">
        <v>3</v>
      </c>
      <c r="M625" s="22">
        <f>IF(OR(ISBLANK(C625),C625=""),"",ROUND((C625-B625)*24,2))</f>
        <v>12.32</v>
      </c>
      <c r="N625" s="38" t="str">
        <f>IF(OR(ISBLANK(C625),C625="",M625=""),"In Progress",IF(M625&lt;=J625,"Met","Breached"))</f>
        <v>Breached</v>
      </c>
    </row>
    <row r="626" ht="19" customHeight="1" spans="1:14" x14ac:dyDescent="0.25">
      <c r="A626" s="19" t="s">
        <v>740</v>
      </c>
      <c r="B626" s="33">
        <v>46022.27847222222</v>
      </c>
      <c r="C626" s="33">
        <v>46024.200694444444</v>
      </c>
      <c r="D626" s="19" t="s">
        <v>33</v>
      </c>
      <c r="E626" s="19" t="s">
        <v>65</v>
      </c>
      <c r="F626" s="19" t="s">
        <v>37</v>
      </c>
      <c r="G626" s="19" t="s">
        <v>63</v>
      </c>
      <c r="H626" s="19" t="s">
        <v>63</v>
      </c>
      <c r="I626" s="19" t="s">
        <v>111</v>
      </c>
      <c r="J626" s="20">
        <v>48</v>
      </c>
      <c r="K626" s="34">
        <v>0</v>
      </c>
      <c r="L626" s="34">
        <v>2</v>
      </c>
      <c r="M626" s="19">
        <f>IF(OR(ISBLANK(C626),C626=""),"",ROUND((C626-B626)*24,2))</f>
        <v>46.13</v>
      </c>
      <c r="N626" s="35" t="str">
        <f>IF(OR(ISBLANK(C626),C626="",M626=""),"In Progress",IF(M626&lt;=J626,"Met","Breached"))</f>
        <v>Met</v>
      </c>
    </row>
    <row r="627" ht="19" customHeight="1" spans="1:14" x14ac:dyDescent="0.25">
      <c r="A627" s="22" t="s">
        <v>741</v>
      </c>
      <c r="B627" s="36">
        <v>45958.87847222222</v>
      </c>
      <c r="C627" s="36">
        <v>45963.13333333333</v>
      </c>
      <c r="D627" s="22" t="s">
        <v>36</v>
      </c>
      <c r="E627" s="22" t="s">
        <v>69</v>
      </c>
      <c r="F627" s="22" t="s">
        <v>40</v>
      </c>
      <c r="G627" s="22" t="s">
        <v>113</v>
      </c>
      <c r="H627" s="22" t="s">
        <v>67</v>
      </c>
      <c r="I627" s="22" t="s">
        <v>114</v>
      </c>
      <c r="J627" s="23">
        <v>120</v>
      </c>
      <c r="K627" s="37">
        <v>0</v>
      </c>
      <c r="L627" s="37">
        <v>4</v>
      </c>
      <c r="M627" s="22">
        <f>IF(OR(ISBLANK(C627),C627=""),"",ROUND((C627-B627)*24,2))</f>
        <v>102.12</v>
      </c>
      <c r="N627" s="40" t="str">
        <f>IF(OR(ISBLANK(C627),C627="",M627=""),"In Progress",IF(M627&lt;=J627,"Met","Breached"))</f>
        <v>Met</v>
      </c>
    </row>
    <row r="628" ht="19" customHeight="1" spans="1:14" x14ac:dyDescent="0.25">
      <c r="A628" s="19" t="s">
        <v>742</v>
      </c>
      <c r="B628" s="33">
        <v>46202.63125</v>
      </c>
      <c r="C628" s="33">
        <v>46205.36111111111</v>
      </c>
      <c r="D628" s="19" t="s">
        <v>33</v>
      </c>
      <c r="E628" s="19" t="s">
        <v>65</v>
      </c>
      <c r="F628" s="19" t="s">
        <v>43</v>
      </c>
      <c r="G628" s="19" t="s">
        <v>121</v>
      </c>
      <c r="H628" s="19" t="s">
        <v>63</v>
      </c>
      <c r="I628" s="19" t="s">
        <v>117</v>
      </c>
      <c r="J628" s="20">
        <v>48</v>
      </c>
      <c r="K628" s="34">
        <v>0</v>
      </c>
      <c r="M628" s="19">
        <f>IF(OR(ISBLANK(C628),C628=""),"",ROUND((C628-B628)*24,2))</f>
        <v>65.52</v>
      </c>
      <c r="N628" s="39" t="str">
        <f>IF(OR(ISBLANK(C628),C628="",M628=""),"In Progress",IF(M628&lt;=J628,"Met","Breached"))</f>
        <v>Breached</v>
      </c>
    </row>
    <row r="629" ht="19" customHeight="1" spans="1:14" x14ac:dyDescent="0.25">
      <c r="A629" s="22" t="s">
        <v>743</v>
      </c>
      <c r="B629" s="36">
        <v>45688.95486111111</v>
      </c>
      <c r="D629" s="22" t="s">
        <v>39</v>
      </c>
      <c r="E629" s="22" t="s">
        <v>57</v>
      </c>
      <c r="F629" s="22" t="s">
        <v>34</v>
      </c>
      <c r="G629" s="22" t="s">
        <v>126</v>
      </c>
      <c r="H629" s="22" t="s">
        <v>63</v>
      </c>
      <c r="I629" s="22" t="s">
        <v>108</v>
      </c>
      <c r="J629" s="23">
        <v>4</v>
      </c>
      <c r="K629" s="37">
        <v>0</v>
      </c>
      <c r="M629" s="22" t="str">
        <f>IF(OR(ISBLANK(C629),C629=""),"",ROUND((C629-B629)*24,2))</f>
        <v/>
      </c>
      <c r="N629" s="22" t="str">
        <f>IF(OR(ISBLANK(C629),C629="",M629=""),"In Progress",IF(M629&lt;=J629,"Met","Breached"))</f>
        <v>In Progress</v>
      </c>
    </row>
    <row r="630" ht="19" customHeight="1" spans="1:14" x14ac:dyDescent="0.25">
      <c r="A630" s="19" t="s">
        <v>744</v>
      </c>
      <c r="B630" s="33">
        <v>45895.42013888889</v>
      </c>
      <c r="D630" s="19" t="s">
        <v>39</v>
      </c>
      <c r="E630" s="19" t="s">
        <v>61</v>
      </c>
      <c r="F630" s="19" t="s">
        <v>37</v>
      </c>
      <c r="G630" s="19" t="s">
        <v>126</v>
      </c>
      <c r="H630" s="19" t="s">
        <v>63</v>
      </c>
      <c r="I630" s="19" t="s">
        <v>108</v>
      </c>
      <c r="J630" s="20">
        <v>12</v>
      </c>
      <c r="K630" s="34">
        <v>0</v>
      </c>
      <c r="M630" s="19" t="str">
        <f>IF(OR(ISBLANK(C630),C630=""),"",ROUND((C630-B630)*24,2))</f>
        <v/>
      </c>
      <c r="N630" s="19" t="str">
        <f>IF(OR(ISBLANK(C630),C630="",M630=""),"In Progress",IF(M630&lt;=J630,"Met","Breached"))</f>
        <v>In Progress</v>
      </c>
    </row>
    <row r="631" ht="19" customHeight="1" spans="1:14" x14ac:dyDescent="0.25">
      <c r="A631" s="22" t="s">
        <v>745</v>
      </c>
      <c r="B631" s="36">
        <v>45893.3375</v>
      </c>
      <c r="C631" s="36">
        <v>45894.620833333334</v>
      </c>
      <c r="D631" s="22" t="s">
        <v>36</v>
      </c>
      <c r="E631" s="22" t="s">
        <v>65</v>
      </c>
      <c r="F631" s="22" t="s">
        <v>34</v>
      </c>
      <c r="G631" s="22" t="s">
        <v>63</v>
      </c>
      <c r="H631" s="22" t="s">
        <v>59</v>
      </c>
      <c r="I631" s="22" t="s">
        <v>147</v>
      </c>
      <c r="J631" s="23">
        <v>48</v>
      </c>
      <c r="K631" s="37">
        <v>0</v>
      </c>
      <c r="L631" s="37">
        <v>3</v>
      </c>
      <c r="M631" s="22">
        <f>IF(OR(ISBLANK(C631),C631=""),"",ROUND((C631-B631)*24,2))</f>
        <v>30.8</v>
      </c>
      <c r="N631" s="40" t="str">
        <f>IF(OR(ISBLANK(C631),C631="",M631=""),"In Progress",IF(M631&lt;=J631,"Met","Breached"))</f>
        <v>Met</v>
      </c>
    </row>
    <row r="632" ht="19" customHeight="1" spans="1:14" x14ac:dyDescent="0.25">
      <c r="A632" s="19" t="s">
        <v>746</v>
      </c>
      <c r="B632" s="33">
        <v>45738.834027777775</v>
      </c>
      <c r="C632" s="33">
        <v>45740.919444444444</v>
      </c>
      <c r="D632" s="19" t="s">
        <v>36</v>
      </c>
      <c r="E632" s="19" t="s">
        <v>65</v>
      </c>
      <c r="F632" s="19" t="s">
        <v>40</v>
      </c>
      <c r="G632" s="19" t="s">
        <v>116</v>
      </c>
      <c r="H632" s="19" t="s">
        <v>59</v>
      </c>
      <c r="I632" s="19" t="s">
        <v>123</v>
      </c>
      <c r="J632" s="20">
        <v>48</v>
      </c>
      <c r="K632" s="34">
        <v>0</v>
      </c>
      <c r="L632" s="34">
        <v>3</v>
      </c>
      <c r="M632" s="19">
        <f>IF(OR(ISBLANK(C632),C632=""),"",ROUND((C632-B632)*24,2))</f>
        <v>50.05</v>
      </c>
      <c r="N632" s="39" t="str">
        <f>IF(OR(ISBLANK(C632),C632="",M632=""),"In Progress",IF(M632&lt;=J632,"Met","Breached"))</f>
        <v>Breached</v>
      </c>
    </row>
    <row r="633" ht="19" customHeight="1" spans="1:14" x14ac:dyDescent="0.25">
      <c r="A633" s="22" t="s">
        <v>747</v>
      </c>
      <c r="B633" s="36">
        <v>46247.98541666666</v>
      </c>
      <c r="C633" s="36">
        <v>46248.742361111115</v>
      </c>
      <c r="D633" s="22" t="s">
        <v>33</v>
      </c>
      <c r="E633" s="22" t="s">
        <v>61</v>
      </c>
      <c r="F633" s="22" t="s">
        <v>40</v>
      </c>
      <c r="G633" s="22" t="s">
        <v>121</v>
      </c>
      <c r="H633" s="22" t="s">
        <v>63</v>
      </c>
      <c r="I633" s="22" t="s">
        <v>108</v>
      </c>
      <c r="J633" s="23">
        <v>12</v>
      </c>
      <c r="K633" s="37">
        <v>0</v>
      </c>
      <c r="L633" s="37">
        <v>4</v>
      </c>
      <c r="M633" s="22">
        <f>IF(OR(ISBLANK(C633),C633=""),"",ROUND((C633-B633)*24,2))</f>
        <v>18.17</v>
      </c>
      <c r="N633" s="38" t="str">
        <f>IF(OR(ISBLANK(C633),C633="",M633=""),"In Progress",IF(M633&lt;=J633,"Met","Breached"))</f>
        <v>Breached</v>
      </c>
    </row>
    <row r="634" ht="19" customHeight="1" spans="1:14" x14ac:dyDescent="0.25">
      <c r="A634" s="19" t="s">
        <v>748</v>
      </c>
      <c r="B634" s="33">
        <v>45711.038194444445</v>
      </c>
      <c r="C634" s="33">
        <v>45711.695138888885</v>
      </c>
      <c r="D634" s="19" t="s">
        <v>33</v>
      </c>
      <c r="E634" s="19" t="s">
        <v>65</v>
      </c>
      <c r="F634" s="19" t="s">
        <v>34</v>
      </c>
      <c r="G634" s="19" t="s">
        <v>110</v>
      </c>
      <c r="H634" s="19" t="s">
        <v>59</v>
      </c>
      <c r="I634" s="19" t="s">
        <v>117</v>
      </c>
      <c r="J634" s="20">
        <v>48</v>
      </c>
      <c r="K634" s="34">
        <v>0</v>
      </c>
      <c r="L634" s="34">
        <v>4</v>
      </c>
      <c r="M634" s="19">
        <f>IF(OR(ISBLANK(C634),C634=""),"",ROUND((C634-B634)*24,2))</f>
        <v>15.77</v>
      </c>
      <c r="N634" s="35" t="str">
        <f>IF(OR(ISBLANK(C634),C634="",M634=""),"In Progress",IF(M634&lt;=J634,"Met","Breached"))</f>
        <v>Met</v>
      </c>
    </row>
    <row r="635" ht="19" customHeight="1" spans="1:14" x14ac:dyDescent="0.25">
      <c r="A635" s="22" t="s">
        <v>749</v>
      </c>
      <c r="B635" s="36">
        <v>45687.375</v>
      </c>
      <c r="C635" s="36">
        <v>45687.71041666667</v>
      </c>
      <c r="D635" s="22" t="s">
        <v>36</v>
      </c>
      <c r="E635" s="22" t="s">
        <v>61</v>
      </c>
      <c r="F635" s="22" t="s">
        <v>43</v>
      </c>
      <c r="G635" s="22" t="s">
        <v>116</v>
      </c>
      <c r="H635" s="22" t="s">
        <v>59</v>
      </c>
      <c r="I635" s="22" t="s">
        <v>123</v>
      </c>
      <c r="J635" s="23">
        <v>12</v>
      </c>
      <c r="K635" s="37">
        <v>0</v>
      </c>
      <c r="L635" s="37">
        <v>1</v>
      </c>
      <c r="M635" s="22">
        <f>IF(OR(ISBLANK(C635),C635=""),"",ROUND((C635-B635)*24,2))</f>
        <v>8.05</v>
      </c>
      <c r="N635" s="40" t="str">
        <f>IF(OR(ISBLANK(C635),C635="",M635=""),"In Progress",IF(M635&lt;=J635,"Met","Breached"))</f>
        <v>Met</v>
      </c>
    </row>
    <row r="636" ht="19" customHeight="1" spans="1:14" x14ac:dyDescent="0.25">
      <c r="A636" s="19" t="s">
        <v>750</v>
      </c>
      <c r="B636" s="33">
        <v>46250.274305555555</v>
      </c>
      <c r="C636" s="33">
        <v>46253.743055555555</v>
      </c>
      <c r="D636" s="19" t="s">
        <v>33</v>
      </c>
      <c r="E636" s="19" t="s">
        <v>69</v>
      </c>
      <c r="F636" s="19" t="s">
        <v>43</v>
      </c>
      <c r="G636" s="19" t="s">
        <v>110</v>
      </c>
      <c r="H636" s="19" t="s">
        <v>63</v>
      </c>
      <c r="I636" s="19" t="s">
        <v>147</v>
      </c>
      <c r="J636" s="20">
        <v>120</v>
      </c>
      <c r="K636" s="34">
        <v>0</v>
      </c>
      <c r="M636" s="19">
        <f>IF(OR(ISBLANK(C636),C636=""),"",ROUND((C636-B636)*24,2))</f>
        <v>83.25</v>
      </c>
      <c r="N636" s="35" t="str">
        <f>IF(OR(ISBLANK(C636),C636="",M636=""),"In Progress",IF(M636&lt;=J636,"Met","Breached"))</f>
        <v>Met</v>
      </c>
    </row>
    <row r="637" ht="19" customHeight="1" spans="1:14" x14ac:dyDescent="0.25">
      <c r="A637" s="22" t="s">
        <v>751</v>
      </c>
      <c r="B637" s="36">
        <v>46269.165972222225</v>
      </c>
      <c r="C637" s="36">
        <v>46270.94375</v>
      </c>
      <c r="D637" s="22" t="s">
        <v>33</v>
      </c>
      <c r="E637" s="22" t="s">
        <v>65</v>
      </c>
      <c r="F637" s="22" t="s">
        <v>37</v>
      </c>
      <c r="G637" s="22" t="s">
        <v>113</v>
      </c>
      <c r="H637" s="22" t="s">
        <v>59</v>
      </c>
      <c r="I637" s="22" t="s">
        <v>123</v>
      </c>
      <c r="J637" s="23">
        <v>48</v>
      </c>
      <c r="K637" s="37">
        <v>0</v>
      </c>
      <c r="M637" s="22">
        <f>IF(OR(ISBLANK(C637),C637=""),"",ROUND((C637-B637)*24,2))</f>
        <v>42.67</v>
      </c>
      <c r="N637" s="40" t="str">
        <f>IF(OR(ISBLANK(C637),C637="",M637=""),"In Progress",IF(M637&lt;=J637,"Met","Breached"))</f>
        <v>Met</v>
      </c>
    </row>
    <row r="638" ht="19" customHeight="1" spans="1:14" x14ac:dyDescent="0.25">
      <c r="A638" s="19" t="s">
        <v>752</v>
      </c>
      <c r="B638" s="33">
        <v>45720.34861111111</v>
      </c>
      <c r="C638" s="33">
        <v>45723.15277777778</v>
      </c>
      <c r="D638" s="19" t="s">
        <v>36</v>
      </c>
      <c r="E638" s="19" t="s">
        <v>65</v>
      </c>
      <c r="F638" s="19" t="s">
        <v>37</v>
      </c>
      <c r="G638" s="19" t="s">
        <v>113</v>
      </c>
      <c r="H638" s="19" t="s">
        <v>67</v>
      </c>
      <c r="I638" s="19" t="s">
        <v>108</v>
      </c>
      <c r="J638" s="20">
        <v>48</v>
      </c>
      <c r="K638" s="34">
        <v>0</v>
      </c>
      <c r="L638" s="34">
        <v>4</v>
      </c>
      <c r="M638" s="19">
        <f>IF(OR(ISBLANK(C638),C638=""),"",ROUND((C638-B638)*24,2))</f>
        <v>67.3</v>
      </c>
      <c r="N638" s="39" t="str">
        <f>IF(OR(ISBLANK(C638),C638="",M638=""),"In Progress",IF(M638&lt;=J638,"Met","Breached"))</f>
        <v>Breached</v>
      </c>
    </row>
    <row r="639" ht="19" customHeight="1" spans="1:14" x14ac:dyDescent="0.25">
      <c r="A639" s="22" t="s">
        <v>753</v>
      </c>
      <c r="B639" s="36">
        <v>46255.19583333333</v>
      </c>
      <c r="D639" s="22" t="s">
        <v>39</v>
      </c>
      <c r="E639" s="22" t="s">
        <v>65</v>
      </c>
      <c r="F639" s="22" t="s">
        <v>37</v>
      </c>
      <c r="G639" s="22" t="s">
        <v>113</v>
      </c>
      <c r="H639" s="22" t="s">
        <v>63</v>
      </c>
      <c r="I639" s="22" t="s">
        <v>114</v>
      </c>
      <c r="J639" s="23">
        <v>48</v>
      </c>
      <c r="K639" s="37">
        <v>0</v>
      </c>
      <c r="M639" s="22" t="str">
        <f>IF(OR(ISBLANK(C639),C639=""),"",ROUND((C639-B639)*24,2))</f>
        <v/>
      </c>
      <c r="N639" s="22" t="str">
        <f>IF(OR(ISBLANK(C639),C639="",M639=""),"In Progress",IF(M639&lt;=J639,"Met","Breached"))</f>
        <v>In Progress</v>
      </c>
    </row>
    <row r="640" ht="19" customHeight="1" spans="1:14" x14ac:dyDescent="0.25">
      <c r="A640" s="19" t="s">
        <v>754</v>
      </c>
      <c r="B640" s="33">
        <v>45817.61944444444</v>
      </c>
      <c r="C640" s="33">
        <v>45819.32152777778</v>
      </c>
      <c r="D640" s="19" t="s">
        <v>33</v>
      </c>
      <c r="E640" s="19" t="s">
        <v>65</v>
      </c>
      <c r="F640" s="19" t="s">
        <v>40</v>
      </c>
      <c r="G640" s="19" t="s">
        <v>126</v>
      </c>
      <c r="H640" s="19" t="s">
        <v>63</v>
      </c>
      <c r="I640" s="19" t="s">
        <v>114</v>
      </c>
      <c r="J640" s="20">
        <v>48</v>
      </c>
      <c r="K640" s="34">
        <v>0</v>
      </c>
      <c r="L640" s="34">
        <v>1</v>
      </c>
      <c r="M640" s="19">
        <f>IF(OR(ISBLANK(C640),C640=""),"",ROUND((C640-B640)*24,2))</f>
        <v>40.85</v>
      </c>
      <c r="N640" s="35" t="str">
        <f>IF(OR(ISBLANK(C640),C640="",M640=""),"In Progress",IF(M640&lt;=J640,"Met","Breached"))</f>
        <v>Met</v>
      </c>
    </row>
    <row r="641" ht="19" customHeight="1" spans="1:14" x14ac:dyDescent="0.25">
      <c r="A641" s="22" t="s">
        <v>755</v>
      </c>
      <c r="B641" s="36">
        <v>46243.76666666666</v>
      </c>
      <c r="C641" s="36">
        <v>46243.92708333333</v>
      </c>
      <c r="D641" s="22" t="s">
        <v>33</v>
      </c>
      <c r="E641" s="22" t="s">
        <v>57</v>
      </c>
      <c r="F641" s="22" t="s">
        <v>45</v>
      </c>
      <c r="G641" s="22" t="s">
        <v>110</v>
      </c>
      <c r="H641" s="22" t="s">
        <v>63</v>
      </c>
      <c r="I641" s="22" t="s">
        <v>111</v>
      </c>
      <c r="J641" s="23">
        <v>4</v>
      </c>
      <c r="K641" s="37">
        <v>0</v>
      </c>
      <c r="L641" s="37">
        <v>5</v>
      </c>
      <c r="M641" s="22">
        <f>IF(OR(ISBLANK(C641),C641=""),"",ROUND((C641-B641)*24,2))</f>
        <v>3.85</v>
      </c>
      <c r="N641" s="40" t="str">
        <f>IF(OR(ISBLANK(C641),C641="",M641=""),"In Progress",IF(M641&lt;=J641,"Met","Breached"))</f>
        <v>Met</v>
      </c>
    </row>
    <row r="642" ht="19" customHeight="1" spans="1:14" x14ac:dyDescent="0.25">
      <c r="A642" s="19" t="s">
        <v>756</v>
      </c>
      <c r="B642" s="33">
        <v>46023.27083333333</v>
      </c>
      <c r="C642" s="33">
        <v>46025.23541666666</v>
      </c>
      <c r="D642" s="19" t="s">
        <v>33</v>
      </c>
      <c r="E642" s="19" t="s">
        <v>65</v>
      </c>
      <c r="F642" s="19" t="s">
        <v>37</v>
      </c>
      <c r="G642" s="19" t="s">
        <v>110</v>
      </c>
      <c r="H642" s="19" t="s">
        <v>59</v>
      </c>
      <c r="I642" s="19" t="s">
        <v>147</v>
      </c>
      <c r="J642" s="20">
        <v>48</v>
      </c>
      <c r="K642" s="34">
        <v>0</v>
      </c>
      <c r="L642" s="34">
        <v>3</v>
      </c>
      <c r="M642" s="19">
        <f>IF(OR(ISBLANK(C642),C642=""),"",ROUND((C642-B642)*24,2))</f>
        <v>47.15</v>
      </c>
      <c r="N642" s="35" t="str">
        <f>IF(OR(ISBLANK(C642),C642="",M642=""),"In Progress",IF(M642&lt;=J642,"Met","Breached"))</f>
        <v>Met</v>
      </c>
    </row>
    <row r="643" ht="19" customHeight="1" spans="1:14" x14ac:dyDescent="0.25">
      <c r="A643" s="22" t="s">
        <v>757</v>
      </c>
      <c r="B643" s="36">
        <v>45900.399305555555</v>
      </c>
      <c r="D643" s="22" t="s">
        <v>39</v>
      </c>
      <c r="E643" s="22" t="s">
        <v>69</v>
      </c>
      <c r="F643" s="22" t="s">
        <v>40</v>
      </c>
      <c r="G643" s="22" t="s">
        <v>116</v>
      </c>
      <c r="H643" s="22" t="s">
        <v>71</v>
      </c>
      <c r="I643" s="22" t="s">
        <v>123</v>
      </c>
      <c r="J643" s="23">
        <v>120</v>
      </c>
      <c r="K643" s="37">
        <v>0</v>
      </c>
      <c r="M643" s="22" t="str">
        <f>IF(OR(ISBLANK(C643),C643=""),"",ROUND((C643-B643)*24,2))</f>
        <v/>
      </c>
      <c r="N643" s="22" t="str">
        <f>IF(OR(ISBLANK(C643),C643="",M643=""),"In Progress",IF(M643&lt;=J643,"Met","Breached"))</f>
        <v>In Progress</v>
      </c>
    </row>
    <row r="644" ht="19" customHeight="1" spans="1:14" x14ac:dyDescent="0.25">
      <c r="A644" s="19" t="s">
        <v>758</v>
      </c>
      <c r="B644" s="33">
        <v>45818.240277777775</v>
      </c>
      <c r="C644" s="33">
        <v>45819.70972222222</v>
      </c>
      <c r="D644" s="19" t="s">
        <v>33</v>
      </c>
      <c r="E644" s="19" t="s">
        <v>65</v>
      </c>
      <c r="F644" s="19" t="s">
        <v>37</v>
      </c>
      <c r="G644" s="19" t="s">
        <v>63</v>
      </c>
      <c r="H644" s="19" t="s">
        <v>59</v>
      </c>
      <c r="I644" s="19" t="s">
        <v>114</v>
      </c>
      <c r="J644" s="20">
        <v>48</v>
      </c>
      <c r="K644" s="34">
        <v>0</v>
      </c>
      <c r="M644" s="19">
        <f>IF(OR(ISBLANK(C644),C644=""),"",ROUND((C644-B644)*24,2))</f>
        <v>35.27</v>
      </c>
      <c r="N644" s="35" t="str">
        <f>IF(OR(ISBLANK(C644),C644="",M644=""),"In Progress",IF(M644&lt;=J644,"Met","Breached"))</f>
        <v>Met</v>
      </c>
    </row>
    <row r="645" ht="19" customHeight="1" spans="1:14" x14ac:dyDescent="0.25">
      <c r="A645" s="22" t="s">
        <v>759</v>
      </c>
      <c r="B645" s="36">
        <v>46247.77013888889</v>
      </c>
      <c r="C645" s="36">
        <v>46253.743055555555</v>
      </c>
      <c r="D645" s="22" t="s">
        <v>33</v>
      </c>
      <c r="E645" s="22" t="s">
        <v>69</v>
      </c>
      <c r="F645" s="22" t="s">
        <v>45</v>
      </c>
      <c r="G645" s="22" t="s">
        <v>126</v>
      </c>
      <c r="H645" s="22" t="s">
        <v>63</v>
      </c>
      <c r="I645" s="22" t="s">
        <v>108</v>
      </c>
      <c r="J645" s="23">
        <v>120</v>
      </c>
      <c r="K645" s="37">
        <v>0</v>
      </c>
      <c r="L645" s="37">
        <v>1</v>
      </c>
      <c r="M645" s="22">
        <f>IF(OR(ISBLANK(C645),C645=""),"",ROUND((C645-B645)*24,2))</f>
        <v>143.35</v>
      </c>
      <c r="N645" s="38" t="str">
        <f>IF(OR(ISBLANK(C645),C645="",M645=""),"In Progress",IF(M645&lt;=J645,"Met","Breached"))</f>
        <v>Breached</v>
      </c>
    </row>
    <row r="646" ht="19" customHeight="1" spans="1:14" x14ac:dyDescent="0.25">
      <c r="A646" s="19" t="s">
        <v>760</v>
      </c>
      <c r="B646" s="33">
        <v>46268.42152777778</v>
      </c>
      <c r="C646" s="33">
        <v>46268.75277777778</v>
      </c>
      <c r="D646" s="19" t="s">
        <v>36</v>
      </c>
      <c r="E646" s="19" t="s">
        <v>61</v>
      </c>
      <c r="F646" s="19" t="s">
        <v>45</v>
      </c>
      <c r="G646" s="19" t="s">
        <v>110</v>
      </c>
      <c r="H646" s="19" t="s">
        <v>63</v>
      </c>
      <c r="I646" s="19" t="s">
        <v>111</v>
      </c>
      <c r="J646" s="20">
        <v>12</v>
      </c>
      <c r="K646" s="34">
        <v>0</v>
      </c>
      <c r="L646" s="34">
        <v>4</v>
      </c>
      <c r="M646" s="19">
        <f>IF(OR(ISBLANK(C646),C646=""),"",ROUND((C646-B646)*24,2))</f>
        <v>7.95</v>
      </c>
      <c r="N646" s="35" t="str">
        <f>IF(OR(ISBLANK(C646),C646="",M646=""),"In Progress",IF(M646&lt;=J646,"Met","Breached"))</f>
        <v>Met</v>
      </c>
    </row>
    <row r="647" ht="19" customHeight="1" spans="1:14" x14ac:dyDescent="0.25">
      <c r="A647" s="22" t="s">
        <v>761</v>
      </c>
      <c r="B647" s="36">
        <v>46176.245833333334</v>
      </c>
      <c r="C647" s="36">
        <v>46183.211111111115</v>
      </c>
      <c r="D647" s="22" t="s">
        <v>33</v>
      </c>
      <c r="E647" s="22" t="s">
        <v>69</v>
      </c>
      <c r="F647" s="22" t="s">
        <v>37</v>
      </c>
      <c r="G647" s="22" t="s">
        <v>126</v>
      </c>
      <c r="H647" s="22" t="s">
        <v>71</v>
      </c>
      <c r="I647" s="22" t="s">
        <v>111</v>
      </c>
      <c r="J647" s="23">
        <v>120</v>
      </c>
      <c r="K647" s="37">
        <v>0</v>
      </c>
      <c r="L647" s="37">
        <v>5</v>
      </c>
      <c r="M647" s="22">
        <f>IF(OR(ISBLANK(C647),C647=""),"",ROUND((C647-B647)*24,2))</f>
        <v>167.17</v>
      </c>
      <c r="N647" s="38" t="str">
        <f>IF(OR(ISBLANK(C647),C647="",M647=""),"In Progress",IF(M647&lt;=J647,"Met","Breached"))</f>
        <v>Breached</v>
      </c>
    </row>
    <row r="648" ht="19" customHeight="1" spans="1:14" x14ac:dyDescent="0.25">
      <c r="A648" s="19" t="s">
        <v>762</v>
      </c>
      <c r="B648" s="33">
        <v>46248.275</v>
      </c>
      <c r="D648" s="19" t="s">
        <v>39</v>
      </c>
      <c r="E648" s="19" t="s">
        <v>61</v>
      </c>
      <c r="F648" s="19" t="s">
        <v>43</v>
      </c>
      <c r="G648" s="19" t="s">
        <v>126</v>
      </c>
      <c r="H648" s="19" t="s">
        <v>63</v>
      </c>
      <c r="I648" s="19" t="s">
        <v>111</v>
      </c>
      <c r="J648" s="20">
        <v>12</v>
      </c>
      <c r="K648" s="34">
        <v>0</v>
      </c>
      <c r="M648" s="19" t="str">
        <f>IF(OR(ISBLANK(C648),C648=""),"",ROUND((C648-B648)*24,2))</f>
        <v/>
      </c>
      <c r="N648" s="19" t="str">
        <f>IF(OR(ISBLANK(C648),C648="",M648=""),"In Progress",IF(M648&lt;=J648,"Met","Breached"))</f>
        <v>In Progress</v>
      </c>
    </row>
    <row r="649" ht="19" customHeight="1" spans="1:14" x14ac:dyDescent="0.25">
      <c r="A649" s="22" t="s">
        <v>763</v>
      </c>
      <c r="B649" s="36">
        <v>45790.853472222225</v>
      </c>
      <c r="C649" s="36">
        <v>45793.00208333333</v>
      </c>
      <c r="D649" s="22" t="s">
        <v>36</v>
      </c>
      <c r="E649" s="22" t="s">
        <v>65</v>
      </c>
      <c r="F649" s="22" t="s">
        <v>34</v>
      </c>
      <c r="G649" s="22" t="s">
        <v>126</v>
      </c>
      <c r="H649" s="22" t="s">
        <v>59</v>
      </c>
      <c r="I649" s="22" t="s">
        <v>117</v>
      </c>
      <c r="J649" s="23">
        <v>48</v>
      </c>
      <c r="K649" s="37">
        <v>0</v>
      </c>
      <c r="M649" s="22">
        <f>IF(OR(ISBLANK(C649),C649=""),"",ROUND((C649-B649)*24,2))</f>
        <v>51.57</v>
      </c>
      <c r="N649" s="38" t="str">
        <f>IF(OR(ISBLANK(C649),C649="",M649=""),"In Progress",IF(M649&lt;=J649,"Met","Breached"))</f>
        <v>Breached</v>
      </c>
    </row>
    <row r="650" ht="19" customHeight="1" spans="1:14" x14ac:dyDescent="0.25">
      <c r="A650" s="19" t="s">
        <v>764</v>
      </c>
      <c r="B650" s="33">
        <v>45667.42152777778</v>
      </c>
      <c r="C650" s="33">
        <v>45669.62638888889</v>
      </c>
      <c r="D650" s="19" t="s">
        <v>36</v>
      </c>
      <c r="E650" s="19" t="s">
        <v>65</v>
      </c>
      <c r="F650" s="19" t="s">
        <v>34</v>
      </c>
      <c r="G650" s="19" t="s">
        <v>113</v>
      </c>
      <c r="H650" s="19" t="s">
        <v>59</v>
      </c>
      <c r="I650" s="19" t="s">
        <v>114</v>
      </c>
      <c r="J650" s="20">
        <v>48</v>
      </c>
      <c r="K650" s="34">
        <v>0</v>
      </c>
      <c r="L650" s="34">
        <v>1</v>
      </c>
      <c r="M650" s="19">
        <f>IF(OR(ISBLANK(C650),C650=""),"",ROUND((C650-B650)*24,2))</f>
        <v>52.92</v>
      </c>
      <c r="N650" s="39" t="str">
        <f>IF(OR(ISBLANK(C650),C650="",M650=""),"In Progress",IF(M650&lt;=J650,"Met","Breached"))</f>
        <v>Breached</v>
      </c>
    </row>
    <row r="651" ht="19" customHeight="1" spans="1:14" x14ac:dyDescent="0.25">
      <c r="A651" s="22" t="s">
        <v>765</v>
      </c>
      <c r="B651" s="36">
        <v>45667.52847222222</v>
      </c>
      <c r="D651" s="22" t="s">
        <v>39</v>
      </c>
      <c r="E651" s="22" t="s">
        <v>61</v>
      </c>
      <c r="F651" s="22" t="s">
        <v>45</v>
      </c>
      <c r="G651" s="22" t="s">
        <v>121</v>
      </c>
      <c r="H651" s="22" t="s">
        <v>59</v>
      </c>
      <c r="I651" s="22" t="s">
        <v>147</v>
      </c>
      <c r="J651" s="23">
        <v>12</v>
      </c>
      <c r="K651" s="37">
        <v>0</v>
      </c>
      <c r="M651" s="22" t="str">
        <f>IF(OR(ISBLANK(C651),C651=""),"",ROUND((C651-B651)*24,2))</f>
        <v/>
      </c>
      <c r="N651" s="22" t="str">
        <f>IF(OR(ISBLANK(C651),C651="",M651=""),"In Progress",IF(M651&lt;=J651,"Met","Breached"))</f>
        <v>In Progress</v>
      </c>
    </row>
    <row r="652" ht="19" customHeight="1" spans="1:14" x14ac:dyDescent="0.25">
      <c r="A652" s="19" t="s">
        <v>766</v>
      </c>
      <c r="B652" s="33">
        <v>46105.89722222222</v>
      </c>
      <c r="C652" s="33">
        <v>46109.83472222222</v>
      </c>
      <c r="D652" s="19" t="s">
        <v>36</v>
      </c>
      <c r="E652" s="19" t="s">
        <v>69</v>
      </c>
      <c r="F652" s="19" t="s">
        <v>34</v>
      </c>
      <c r="G652" s="19" t="s">
        <v>113</v>
      </c>
      <c r="H652" s="19" t="s">
        <v>59</v>
      </c>
      <c r="I652" s="19" t="s">
        <v>117</v>
      </c>
      <c r="J652" s="20">
        <v>120</v>
      </c>
      <c r="K652" s="34">
        <v>0</v>
      </c>
      <c r="M652" s="19">
        <f>IF(OR(ISBLANK(C652),C652=""),"",ROUND((C652-B652)*24,2))</f>
        <v>94.5</v>
      </c>
      <c r="N652" s="35" t="str">
        <f>IF(OR(ISBLANK(C652),C652="",M652=""),"In Progress",IF(M652&lt;=J652,"Met","Breached"))</f>
        <v>Met</v>
      </c>
    </row>
    <row r="653" ht="19" customHeight="1" spans="1:14" x14ac:dyDescent="0.25">
      <c r="A653" s="22" t="s">
        <v>767</v>
      </c>
      <c r="B653" s="36">
        <v>46021.22083333333</v>
      </c>
      <c r="C653" s="36">
        <v>46023.78333333333</v>
      </c>
      <c r="D653" s="22" t="s">
        <v>36</v>
      </c>
      <c r="E653" s="22" t="s">
        <v>65</v>
      </c>
      <c r="F653" s="22" t="s">
        <v>37</v>
      </c>
      <c r="G653" s="22" t="s">
        <v>126</v>
      </c>
      <c r="H653" s="22" t="s">
        <v>63</v>
      </c>
      <c r="I653" s="22" t="s">
        <v>114</v>
      </c>
      <c r="J653" s="23">
        <v>48</v>
      </c>
      <c r="K653" s="37">
        <v>0</v>
      </c>
      <c r="L653" s="37">
        <v>4</v>
      </c>
      <c r="M653" s="22">
        <f>IF(OR(ISBLANK(C653),C653=""),"",ROUND((C653-B653)*24,2))</f>
        <v>61.5</v>
      </c>
      <c r="N653" s="38" t="str">
        <f>IF(OR(ISBLANK(C653),C653="",M653=""),"In Progress",IF(M653&lt;=J653,"Met","Breached"))</f>
        <v>Breached</v>
      </c>
    </row>
    <row r="654" ht="19" customHeight="1" spans="1:14" x14ac:dyDescent="0.25">
      <c r="A654" s="19" t="s">
        <v>768</v>
      </c>
      <c r="B654" s="33">
        <v>45704.93263888889</v>
      </c>
      <c r="C654" s="33">
        <v>45706.697222222225</v>
      </c>
      <c r="D654" s="19" t="s">
        <v>33</v>
      </c>
      <c r="E654" s="19" t="s">
        <v>69</v>
      </c>
      <c r="F654" s="19" t="s">
        <v>45</v>
      </c>
      <c r="G654" s="19" t="s">
        <v>121</v>
      </c>
      <c r="H654" s="19" t="s">
        <v>71</v>
      </c>
      <c r="I654" s="19" t="s">
        <v>111</v>
      </c>
      <c r="J654" s="20">
        <v>120</v>
      </c>
      <c r="K654" s="34">
        <v>0</v>
      </c>
      <c r="L654" s="34">
        <v>4</v>
      </c>
      <c r="M654" s="19">
        <f>IF(OR(ISBLANK(C654),C654=""),"",ROUND((C654-B654)*24,2))</f>
        <v>42.35</v>
      </c>
      <c r="N654" s="35" t="str">
        <f>IF(OR(ISBLANK(C654),C654="",M654=""),"In Progress",IF(M654&lt;=J654,"Met","Breached"))</f>
        <v>Met</v>
      </c>
    </row>
    <row r="655" ht="19" customHeight="1" spans="1:14" x14ac:dyDescent="0.25">
      <c r="A655" s="22" t="s">
        <v>769</v>
      </c>
      <c r="B655" s="36">
        <v>46026.47986111111</v>
      </c>
      <c r="C655" s="36">
        <v>46029.007638888885</v>
      </c>
      <c r="D655" s="22" t="s">
        <v>33</v>
      </c>
      <c r="E655" s="22" t="s">
        <v>65</v>
      </c>
      <c r="F655" s="22" t="s">
        <v>40</v>
      </c>
      <c r="G655" s="22" t="s">
        <v>110</v>
      </c>
      <c r="H655" s="22" t="s">
        <v>59</v>
      </c>
      <c r="I655" s="22" t="s">
        <v>123</v>
      </c>
      <c r="J655" s="23">
        <v>48</v>
      </c>
      <c r="K655" s="37">
        <v>0</v>
      </c>
      <c r="M655" s="22">
        <f>IF(OR(ISBLANK(C655),C655=""),"",ROUND((C655-B655)*24,2))</f>
        <v>60.67</v>
      </c>
      <c r="N655" s="38" t="str">
        <f>IF(OR(ISBLANK(C655),C655="",M655=""),"In Progress",IF(M655&lt;=J655,"Met","Breached"))</f>
        <v>Breached</v>
      </c>
    </row>
    <row r="656" ht="19" customHeight="1" spans="1:14" x14ac:dyDescent="0.25">
      <c r="A656" s="19" t="s">
        <v>770</v>
      </c>
      <c r="B656" s="33">
        <v>46009.226388888885</v>
      </c>
      <c r="C656" s="33">
        <v>46012.31736111111</v>
      </c>
      <c r="D656" s="19" t="s">
        <v>36</v>
      </c>
      <c r="E656" s="19" t="s">
        <v>65</v>
      </c>
      <c r="F656" s="19" t="s">
        <v>34</v>
      </c>
      <c r="G656" s="19" t="s">
        <v>126</v>
      </c>
      <c r="H656" s="19" t="s">
        <v>71</v>
      </c>
      <c r="I656" s="19" t="s">
        <v>123</v>
      </c>
      <c r="J656" s="20">
        <v>48</v>
      </c>
      <c r="K656" s="34">
        <v>0</v>
      </c>
      <c r="M656" s="19">
        <f>IF(OR(ISBLANK(C656),C656=""),"",ROUND((C656-B656)*24,2))</f>
        <v>74.18</v>
      </c>
      <c r="N656" s="39" t="str">
        <f>IF(OR(ISBLANK(C656),C656="",M656=""),"In Progress",IF(M656&lt;=J656,"Met","Breached"))</f>
        <v>Breached</v>
      </c>
    </row>
    <row r="657" ht="19" customHeight="1" spans="1:14" x14ac:dyDescent="0.25">
      <c r="A657" s="22" t="s">
        <v>771</v>
      </c>
      <c r="B657" s="36">
        <v>45711.62361111111</v>
      </c>
      <c r="D657" s="22" t="s">
        <v>42</v>
      </c>
      <c r="E657" s="22" t="s">
        <v>69</v>
      </c>
      <c r="F657" s="22" t="s">
        <v>34</v>
      </c>
      <c r="G657" s="22" t="s">
        <v>63</v>
      </c>
      <c r="H657" s="22" t="s">
        <v>59</v>
      </c>
      <c r="I657" s="22" t="s">
        <v>114</v>
      </c>
      <c r="J657" s="23">
        <v>120</v>
      </c>
      <c r="K657" s="37">
        <v>0</v>
      </c>
      <c r="M657" s="22" t="str">
        <f>IF(OR(ISBLANK(C657),C657=""),"",ROUND((C657-B657)*24,2))</f>
        <v/>
      </c>
      <c r="N657" s="22" t="str">
        <f>IF(OR(ISBLANK(C657),C657="",M657=""),"In Progress",IF(M657&lt;=J657,"Met","Breached"))</f>
        <v>In Progress</v>
      </c>
    </row>
    <row r="658" ht="19" customHeight="1" spans="1:14" x14ac:dyDescent="0.25">
      <c r="A658" s="19" t="s">
        <v>772</v>
      </c>
      <c r="B658" s="33">
        <v>45792.82083333333</v>
      </c>
      <c r="D658" s="19" t="s">
        <v>39</v>
      </c>
      <c r="E658" s="19" t="s">
        <v>61</v>
      </c>
      <c r="F658" s="19" t="s">
        <v>40</v>
      </c>
      <c r="G658" s="19" t="s">
        <v>63</v>
      </c>
      <c r="H658" s="19" t="s">
        <v>63</v>
      </c>
      <c r="I658" s="19" t="s">
        <v>117</v>
      </c>
      <c r="J658" s="20">
        <v>12</v>
      </c>
      <c r="K658" s="34">
        <v>0</v>
      </c>
      <c r="M658" s="19" t="str">
        <f>IF(OR(ISBLANK(C658),C658=""),"",ROUND((C658-B658)*24,2))</f>
        <v/>
      </c>
      <c r="N658" s="19" t="str">
        <f>IF(OR(ISBLANK(C658),C658="",M658=""),"In Progress",IF(M658&lt;=J658,"Met","Breached"))</f>
        <v>In Progress</v>
      </c>
    </row>
    <row r="659" ht="19" customHeight="1" spans="1:14" x14ac:dyDescent="0.25">
      <c r="A659" s="22" t="s">
        <v>773</v>
      </c>
      <c r="B659" s="36">
        <v>45778.339583333334</v>
      </c>
      <c r="C659" s="36">
        <v>45786.40555555555</v>
      </c>
      <c r="D659" s="22" t="s">
        <v>33</v>
      </c>
      <c r="E659" s="22" t="s">
        <v>69</v>
      </c>
      <c r="F659" s="22" t="s">
        <v>40</v>
      </c>
      <c r="G659" s="22" t="s">
        <v>113</v>
      </c>
      <c r="H659" s="22" t="s">
        <v>59</v>
      </c>
      <c r="I659" s="22" t="s">
        <v>147</v>
      </c>
      <c r="J659" s="23">
        <v>120</v>
      </c>
      <c r="K659" s="37">
        <v>0</v>
      </c>
      <c r="M659" s="22">
        <f>IF(OR(ISBLANK(C659),C659=""),"",ROUND((C659-B659)*24,2))</f>
        <v>193.58</v>
      </c>
      <c r="N659" s="38" t="str">
        <f>IF(OR(ISBLANK(C659),C659="",M659=""),"In Progress",IF(M659&lt;=J659,"Met","Breached"))</f>
        <v>Breached</v>
      </c>
    </row>
    <row r="660" ht="19" customHeight="1" spans="1:14" x14ac:dyDescent="0.25">
      <c r="A660" s="19" t="s">
        <v>774</v>
      </c>
      <c r="B660" s="33">
        <v>46195.69236111111</v>
      </c>
      <c r="D660" s="19" t="s">
        <v>39</v>
      </c>
      <c r="E660" s="19" t="s">
        <v>65</v>
      </c>
      <c r="F660" s="19" t="s">
        <v>43</v>
      </c>
      <c r="G660" s="19" t="s">
        <v>116</v>
      </c>
      <c r="H660" s="19" t="s">
        <v>63</v>
      </c>
      <c r="I660" s="19" t="s">
        <v>111</v>
      </c>
      <c r="J660" s="20">
        <v>48</v>
      </c>
      <c r="K660" s="34">
        <v>0</v>
      </c>
      <c r="M660" s="19" t="str">
        <f>IF(OR(ISBLANK(C660),C660=""),"",ROUND((C660-B660)*24,2))</f>
        <v/>
      </c>
      <c r="N660" s="19" t="str">
        <f>IF(OR(ISBLANK(C660),C660="",M660=""),"In Progress",IF(M660&lt;=J660,"Met","Breached"))</f>
        <v>In Progress</v>
      </c>
    </row>
    <row r="661" ht="19" customHeight="1" spans="1:14" x14ac:dyDescent="0.25">
      <c r="A661" s="22" t="s">
        <v>775</v>
      </c>
      <c r="B661" s="36">
        <v>45699.1</v>
      </c>
      <c r="C661" s="36">
        <v>45702.54236111111</v>
      </c>
      <c r="D661" s="22" t="s">
        <v>33</v>
      </c>
      <c r="E661" s="22" t="s">
        <v>65</v>
      </c>
      <c r="F661" s="22" t="s">
        <v>40</v>
      </c>
      <c r="G661" s="22" t="s">
        <v>121</v>
      </c>
      <c r="H661" s="22" t="s">
        <v>67</v>
      </c>
      <c r="I661" s="22" t="s">
        <v>111</v>
      </c>
      <c r="J661" s="23">
        <v>48</v>
      </c>
      <c r="K661" s="37">
        <v>0</v>
      </c>
      <c r="L661" s="37">
        <v>2</v>
      </c>
      <c r="M661" s="22">
        <f>IF(OR(ISBLANK(C661),C661=""),"",ROUND((C661-B661)*24,2))</f>
        <v>82.62</v>
      </c>
      <c r="N661" s="38" t="str">
        <f>IF(OR(ISBLANK(C661),C661="",M661=""),"In Progress",IF(M661&lt;=J661,"Met","Breached"))</f>
        <v>Breached</v>
      </c>
    </row>
    <row r="662" ht="19" customHeight="1" spans="1:14" x14ac:dyDescent="0.25">
      <c r="A662" s="19" t="s">
        <v>776</v>
      </c>
      <c r="B662" s="33">
        <v>45825.90902777778</v>
      </c>
      <c r="C662" s="33">
        <v>45828.775</v>
      </c>
      <c r="D662" s="19" t="s">
        <v>33</v>
      </c>
      <c r="E662" s="19" t="s">
        <v>69</v>
      </c>
      <c r="F662" s="19" t="s">
        <v>43</v>
      </c>
      <c r="G662" s="19" t="s">
        <v>126</v>
      </c>
      <c r="H662" s="19" t="s">
        <v>59</v>
      </c>
      <c r="I662" s="19" t="s">
        <v>111</v>
      </c>
      <c r="J662" s="20">
        <v>120</v>
      </c>
      <c r="K662" s="34">
        <v>0</v>
      </c>
      <c r="L662" s="34">
        <v>4</v>
      </c>
      <c r="M662" s="19">
        <f>IF(OR(ISBLANK(C662),C662=""),"",ROUND((C662-B662)*24,2))</f>
        <v>68.78</v>
      </c>
      <c r="N662" s="35" t="str">
        <f>IF(OR(ISBLANK(C662),C662="",M662=""),"In Progress",IF(M662&lt;=J662,"Met","Breached"))</f>
        <v>Met</v>
      </c>
    </row>
    <row r="663" ht="19" customHeight="1" spans="1:14" x14ac:dyDescent="0.25">
      <c r="A663" s="22" t="s">
        <v>777</v>
      </c>
      <c r="B663" s="36">
        <v>46282.49791666667</v>
      </c>
      <c r="C663" s="36">
        <v>46285.06111111111</v>
      </c>
      <c r="D663" s="22" t="s">
        <v>33</v>
      </c>
      <c r="E663" s="22" t="s">
        <v>65</v>
      </c>
      <c r="F663" s="22" t="s">
        <v>37</v>
      </c>
      <c r="G663" s="22" t="s">
        <v>110</v>
      </c>
      <c r="H663" s="22" t="s">
        <v>59</v>
      </c>
      <c r="I663" s="22" t="s">
        <v>117</v>
      </c>
      <c r="J663" s="23">
        <v>48</v>
      </c>
      <c r="K663" s="37">
        <v>0</v>
      </c>
      <c r="L663" s="37">
        <v>5</v>
      </c>
      <c r="M663" s="22">
        <f>IF(OR(ISBLANK(C663),C663=""),"",ROUND((C663-B663)*24,2))</f>
        <v>61.52</v>
      </c>
      <c r="N663" s="38" t="str">
        <f>IF(OR(ISBLANK(C663),C663="",M663=""),"In Progress",IF(M663&lt;=J663,"Met","Breached"))</f>
        <v>Breached</v>
      </c>
    </row>
    <row r="664" ht="19" customHeight="1" spans="1:14" x14ac:dyDescent="0.25">
      <c r="A664" s="19" t="s">
        <v>778</v>
      </c>
      <c r="B664" s="33">
        <v>46176.14513888889</v>
      </c>
      <c r="D664" s="19" t="s">
        <v>42</v>
      </c>
      <c r="E664" s="19" t="s">
        <v>65</v>
      </c>
      <c r="F664" s="19" t="s">
        <v>37</v>
      </c>
      <c r="G664" s="19" t="s">
        <v>116</v>
      </c>
      <c r="H664" s="19" t="s">
        <v>67</v>
      </c>
      <c r="I664" s="19" t="s">
        <v>117</v>
      </c>
      <c r="J664" s="20">
        <v>48</v>
      </c>
      <c r="K664" s="34">
        <v>0</v>
      </c>
      <c r="M664" s="19" t="str">
        <f>IF(OR(ISBLANK(C664),C664=""),"",ROUND((C664-B664)*24,2))</f>
        <v/>
      </c>
      <c r="N664" s="19" t="str">
        <f>IF(OR(ISBLANK(C664),C664="",M664=""),"In Progress",IF(M664&lt;=J664,"Met","Breached"))</f>
        <v>In Progress</v>
      </c>
    </row>
    <row r="665" ht="19" customHeight="1" spans="1:14" x14ac:dyDescent="0.25">
      <c r="A665" s="22" t="s">
        <v>779</v>
      </c>
      <c r="B665" s="36">
        <v>46226.65486111111</v>
      </c>
      <c r="C665" s="36">
        <v>46228.725694444445</v>
      </c>
      <c r="D665" s="22" t="s">
        <v>33</v>
      </c>
      <c r="E665" s="22" t="s">
        <v>65</v>
      </c>
      <c r="F665" s="22" t="s">
        <v>40</v>
      </c>
      <c r="G665" s="22" t="s">
        <v>126</v>
      </c>
      <c r="H665" s="22" t="s">
        <v>71</v>
      </c>
      <c r="I665" s="22" t="s">
        <v>108</v>
      </c>
      <c r="J665" s="23">
        <v>48</v>
      </c>
      <c r="K665" s="37">
        <v>0</v>
      </c>
      <c r="M665" s="22">
        <f>IF(OR(ISBLANK(C665),C665=""),"",ROUND((C665-B665)*24,2))</f>
        <v>49.7</v>
      </c>
      <c r="N665" s="38" t="str">
        <f>IF(OR(ISBLANK(C665),C665="",M665=""),"In Progress",IF(M665&lt;=J665,"Met","Breached"))</f>
        <v>Breached</v>
      </c>
    </row>
    <row r="666" ht="19" customHeight="1" spans="1:14" x14ac:dyDescent="0.25">
      <c r="A666" s="19" t="s">
        <v>780</v>
      </c>
      <c r="B666" s="33">
        <v>45723.25486111111</v>
      </c>
      <c r="C666" s="33">
        <v>45724.67013888889</v>
      </c>
      <c r="D666" s="19" t="s">
        <v>36</v>
      </c>
      <c r="E666" s="19" t="s">
        <v>65</v>
      </c>
      <c r="F666" s="19" t="s">
        <v>34</v>
      </c>
      <c r="G666" s="19" t="s">
        <v>116</v>
      </c>
      <c r="H666" s="19" t="s">
        <v>71</v>
      </c>
      <c r="I666" s="19" t="s">
        <v>114</v>
      </c>
      <c r="J666" s="20">
        <v>48</v>
      </c>
      <c r="K666" s="34">
        <v>0</v>
      </c>
      <c r="M666" s="19">
        <f>IF(OR(ISBLANK(C666),C666=""),"",ROUND((C666-B666)*24,2))</f>
        <v>33.97</v>
      </c>
      <c r="N666" s="35" t="str">
        <f>IF(OR(ISBLANK(C666),C666="",M666=""),"In Progress",IF(M666&lt;=J666,"Met","Breached"))</f>
        <v>Met</v>
      </c>
    </row>
    <row r="667" ht="19" customHeight="1" spans="1:14" x14ac:dyDescent="0.25">
      <c r="A667" s="22" t="s">
        <v>781</v>
      </c>
      <c r="B667" s="36">
        <v>45689.2375</v>
      </c>
      <c r="C667" s="36">
        <v>45690.64236111111</v>
      </c>
      <c r="D667" s="22" t="s">
        <v>36</v>
      </c>
      <c r="E667" s="22" t="s">
        <v>65</v>
      </c>
      <c r="F667" s="22" t="s">
        <v>34</v>
      </c>
      <c r="G667" s="22" t="s">
        <v>121</v>
      </c>
      <c r="H667" s="22" t="s">
        <v>59</v>
      </c>
      <c r="I667" s="22" t="s">
        <v>123</v>
      </c>
      <c r="J667" s="23">
        <v>48</v>
      </c>
      <c r="K667" s="37">
        <v>1</v>
      </c>
      <c r="M667" s="22">
        <f>IF(OR(ISBLANK(C667),C667=""),"",ROUND((C667-B667)*24,2))</f>
        <v>33.72</v>
      </c>
      <c r="N667" s="40" t="str">
        <f>IF(OR(ISBLANK(C667),C667="",M667=""),"In Progress",IF(M667&lt;=J667,"Met","Breached"))</f>
        <v>Met</v>
      </c>
    </row>
    <row r="668" ht="19" customHeight="1" spans="1:14" x14ac:dyDescent="0.25">
      <c r="A668" s="19" t="s">
        <v>782</v>
      </c>
      <c r="B668" s="33">
        <v>46088.67222222222</v>
      </c>
      <c r="C668" s="33">
        <v>46089.46597222222</v>
      </c>
      <c r="D668" s="19" t="s">
        <v>33</v>
      </c>
      <c r="E668" s="19" t="s">
        <v>65</v>
      </c>
      <c r="F668" s="19" t="s">
        <v>45</v>
      </c>
      <c r="G668" s="19" t="s">
        <v>110</v>
      </c>
      <c r="H668" s="19" t="s">
        <v>63</v>
      </c>
      <c r="I668" s="19" t="s">
        <v>114</v>
      </c>
      <c r="J668" s="20">
        <v>48</v>
      </c>
      <c r="K668" s="34">
        <v>0</v>
      </c>
      <c r="L668" s="34">
        <v>4</v>
      </c>
      <c r="M668" s="19">
        <f>IF(OR(ISBLANK(C668),C668=""),"",ROUND((C668-B668)*24,2))</f>
        <v>19.05</v>
      </c>
      <c r="N668" s="35" t="str">
        <f>IF(OR(ISBLANK(C668),C668="",M668=""),"In Progress",IF(M668&lt;=J668,"Met","Breached"))</f>
        <v>Met</v>
      </c>
    </row>
    <row r="669" ht="19" customHeight="1" spans="1:14" x14ac:dyDescent="0.25">
      <c r="A669" s="22" t="s">
        <v>783</v>
      </c>
      <c r="B669" s="36">
        <v>45791.228472222225</v>
      </c>
      <c r="D669" s="22" t="s">
        <v>42</v>
      </c>
      <c r="E669" s="22" t="s">
        <v>65</v>
      </c>
      <c r="F669" s="22" t="s">
        <v>43</v>
      </c>
      <c r="G669" s="22" t="s">
        <v>110</v>
      </c>
      <c r="H669" s="22" t="s">
        <v>63</v>
      </c>
      <c r="I669" s="22" t="s">
        <v>123</v>
      </c>
      <c r="J669" s="23">
        <v>48</v>
      </c>
      <c r="K669" s="37">
        <v>0</v>
      </c>
      <c r="M669" s="22" t="str">
        <f>IF(OR(ISBLANK(C669),C669=""),"",ROUND((C669-B669)*24,2))</f>
        <v/>
      </c>
      <c r="N669" s="22" t="str">
        <f>IF(OR(ISBLANK(C669),C669="",M669=""),"In Progress",IF(M669&lt;=J669,"Met","Breached"))</f>
        <v>In Progress</v>
      </c>
    </row>
    <row r="670" ht="19" customHeight="1" spans="1:14" x14ac:dyDescent="0.25">
      <c r="A670" s="19" t="s">
        <v>784</v>
      </c>
      <c r="B670" s="33">
        <v>45761.31319444445</v>
      </c>
      <c r="C670" s="33">
        <v>45764.51111111111</v>
      </c>
      <c r="D670" s="19" t="s">
        <v>36</v>
      </c>
      <c r="E670" s="19" t="s">
        <v>65</v>
      </c>
      <c r="F670" s="19" t="s">
        <v>34</v>
      </c>
      <c r="G670" s="19" t="s">
        <v>121</v>
      </c>
      <c r="H670" s="19" t="s">
        <v>71</v>
      </c>
      <c r="I670" s="19" t="s">
        <v>114</v>
      </c>
      <c r="J670" s="20">
        <v>48</v>
      </c>
      <c r="K670" s="34">
        <v>0</v>
      </c>
      <c r="L670" s="34">
        <v>5</v>
      </c>
      <c r="M670" s="19">
        <f>IF(OR(ISBLANK(C670),C670=""),"",ROUND((C670-B670)*24,2))</f>
        <v>76.75</v>
      </c>
      <c r="N670" s="39" t="str">
        <f>IF(OR(ISBLANK(C670),C670="",M670=""),"In Progress",IF(M670&lt;=J670,"Met","Breached"))</f>
        <v>Breached</v>
      </c>
    </row>
    <row r="671" ht="19" customHeight="1" spans="1:14" x14ac:dyDescent="0.25">
      <c r="A671" s="22" t="s">
        <v>785</v>
      </c>
      <c r="B671" s="36">
        <v>45662.72222222222</v>
      </c>
      <c r="C671" s="36">
        <v>45663.59444444445</v>
      </c>
      <c r="D671" s="22" t="s">
        <v>36</v>
      </c>
      <c r="E671" s="22" t="s">
        <v>61</v>
      </c>
      <c r="F671" s="22" t="s">
        <v>43</v>
      </c>
      <c r="G671" s="22" t="s">
        <v>63</v>
      </c>
      <c r="H671" s="22" t="s">
        <v>67</v>
      </c>
      <c r="I671" s="22" t="s">
        <v>111</v>
      </c>
      <c r="J671" s="23">
        <v>12</v>
      </c>
      <c r="K671" s="37">
        <v>0</v>
      </c>
      <c r="L671" s="37">
        <v>3</v>
      </c>
      <c r="M671" s="22">
        <f>IF(OR(ISBLANK(C671),C671=""),"",ROUND((C671-B671)*24,2))</f>
        <v>20.93</v>
      </c>
      <c r="N671" s="38" t="str">
        <f>IF(OR(ISBLANK(C671),C671="",M671=""),"In Progress",IF(M671&lt;=J671,"Met","Breached"))</f>
        <v>Breached</v>
      </c>
    </row>
    <row r="672" ht="19" customHeight="1" spans="1:14" x14ac:dyDescent="0.25">
      <c r="A672" s="19" t="s">
        <v>786</v>
      </c>
      <c r="B672" s="33">
        <v>46024.11388888889</v>
      </c>
      <c r="C672" s="33">
        <v>46024.37222222222</v>
      </c>
      <c r="D672" s="19" t="s">
        <v>36</v>
      </c>
      <c r="E672" s="19" t="s">
        <v>57</v>
      </c>
      <c r="F672" s="19" t="s">
        <v>37</v>
      </c>
      <c r="G672" s="19" t="s">
        <v>113</v>
      </c>
      <c r="H672" s="19" t="s">
        <v>63</v>
      </c>
      <c r="I672" s="19" t="s">
        <v>123</v>
      </c>
      <c r="J672" s="20">
        <v>4</v>
      </c>
      <c r="K672" s="34">
        <v>0</v>
      </c>
      <c r="M672" s="19">
        <f>IF(OR(ISBLANK(C672),C672=""),"",ROUND((C672-B672)*24,2))</f>
        <v>6.2</v>
      </c>
      <c r="N672" s="39" t="str">
        <f>IF(OR(ISBLANK(C672),C672="",M672=""),"In Progress",IF(M672&lt;=J672,"Met","Breached"))</f>
        <v>Breached</v>
      </c>
    </row>
    <row r="673" ht="19" customHeight="1" spans="1:14" x14ac:dyDescent="0.25">
      <c r="A673" s="22" t="s">
        <v>787</v>
      </c>
      <c r="B673" s="36">
        <v>45949.15416666667</v>
      </c>
      <c r="C673" s="36">
        <v>45949.663194444445</v>
      </c>
      <c r="D673" s="22" t="s">
        <v>36</v>
      </c>
      <c r="E673" s="22" t="s">
        <v>61</v>
      </c>
      <c r="F673" s="22" t="s">
        <v>43</v>
      </c>
      <c r="G673" s="22" t="s">
        <v>116</v>
      </c>
      <c r="H673" s="22" t="s">
        <v>59</v>
      </c>
      <c r="I673" s="22" t="s">
        <v>108</v>
      </c>
      <c r="J673" s="23">
        <v>12</v>
      </c>
      <c r="K673" s="37">
        <v>0</v>
      </c>
      <c r="M673" s="22">
        <f>IF(OR(ISBLANK(C673),C673=""),"",ROUND((C673-B673)*24,2))</f>
        <v>12.22</v>
      </c>
      <c r="N673" s="38" t="str">
        <f>IF(OR(ISBLANK(C673),C673="",M673=""),"In Progress",IF(M673&lt;=J673,"Met","Breached"))</f>
        <v>Breached</v>
      </c>
    </row>
    <row r="674" ht="19" customHeight="1" spans="1:14" x14ac:dyDescent="0.25">
      <c r="A674" s="19" t="s">
        <v>788</v>
      </c>
      <c r="B674" s="33">
        <v>46035.83541666667</v>
      </c>
      <c r="C674" s="33">
        <v>46036.21597222222</v>
      </c>
      <c r="D674" s="19" t="s">
        <v>36</v>
      </c>
      <c r="E674" s="19" t="s">
        <v>61</v>
      </c>
      <c r="F674" s="19" t="s">
        <v>43</v>
      </c>
      <c r="G674" s="19" t="s">
        <v>116</v>
      </c>
      <c r="H674" s="19" t="s">
        <v>63</v>
      </c>
      <c r="I674" s="19" t="s">
        <v>147</v>
      </c>
      <c r="J674" s="20">
        <v>12</v>
      </c>
      <c r="K674" s="34">
        <v>0</v>
      </c>
      <c r="L674" s="34">
        <v>4</v>
      </c>
      <c r="M674" s="19">
        <f>IF(OR(ISBLANK(C674),C674=""),"",ROUND((C674-B674)*24,2))</f>
        <v>9.13</v>
      </c>
      <c r="N674" s="35" t="str">
        <f>IF(OR(ISBLANK(C674),C674="",M674=""),"In Progress",IF(M674&lt;=J674,"Met","Breached"))</f>
        <v>Met</v>
      </c>
    </row>
    <row r="675" ht="19" customHeight="1" spans="1:14" x14ac:dyDescent="0.25">
      <c r="A675" s="22" t="s">
        <v>789</v>
      </c>
      <c r="B675" s="36">
        <v>45823.92291666666</v>
      </c>
      <c r="C675" s="36">
        <v>45824.177777777775</v>
      </c>
      <c r="D675" s="22" t="s">
        <v>33</v>
      </c>
      <c r="E675" s="22" t="s">
        <v>57</v>
      </c>
      <c r="F675" s="22" t="s">
        <v>40</v>
      </c>
      <c r="G675" s="22" t="s">
        <v>110</v>
      </c>
      <c r="H675" s="22" t="s">
        <v>63</v>
      </c>
      <c r="I675" s="22" t="s">
        <v>108</v>
      </c>
      <c r="J675" s="23">
        <v>4</v>
      </c>
      <c r="K675" s="37">
        <v>0</v>
      </c>
      <c r="M675" s="22">
        <f>IF(OR(ISBLANK(C675),C675=""),"",ROUND((C675-B675)*24,2))</f>
        <v>6.12</v>
      </c>
      <c r="N675" s="38" t="str">
        <f>IF(OR(ISBLANK(C675),C675="",M675=""),"In Progress",IF(M675&lt;=J675,"Met","Breached"))</f>
        <v>Breached</v>
      </c>
    </row>
    <row r="676" ht="19" customHeight="1" spans="1:14" x14ac:dyDescent="0.25">
      <c r="A676" s="19" t="s">
        <v>790</v>
      </c>
      <c r="B676" s="33">
        <v>45779.910416666666</v>
      </c>
      <c r="D676" s="19" t="s">
        <v>42</v>
      </c>
      <c r="E676" s="19" t="s">
        <v>69</v>
      </c>
      <c r="F676" s="19" t="s">
        <v>43</v>
      </c>
      <c r="G676" s="19" t="s">
        <v>126</v>
      </c>
      <c r="H676" s="19" t="s">
        <v>59</v>
      </c>
      <c r="I676" s="19" t="s">
        <v>117</v>
      </c>
      <c r="J676" s="20">
        <v>120</v>
      </c>
      <c r="K676" s="34">
        <v>0</v>
      </c>
      <c r="M676" s="19" t="str">
        <f>IF(OR(ISBLANK(C676),C676=""),"",ROUND((C676-B676)*24,2))</f>
        <v/>
      </c>
      <c r="N676" s="19" t="str">
        <f>IF(OR(ISBLANK(C676),C676="",M676=""),"In Progress",IF(M676&lt;=J676,"Met","Breached"))</f>
        <v>In Progress</v>
      </c>
    </row>
    <row r="677" ht="19" customHeight="1" spans="1:14" x14ac:dyDescent="0.25">
      <c r="A677" s="22" t="s">
        <v>791</v>
      </c>
      <c r="B677" s="36">
        <v>45707.677777777775</v>
      </c>
      <c r="C677" s="36">
        <v>45709.044444444444</v>
      </c>
      <c r="D677" s="22" t="s">
        <v>33</v>
      </c>
      <c r="E677" s="22" t="s">
        <v>65</v>
      </c>
      <c r="F677" s="22" t="s">
        <v>34</v>
      </c>
      <c r="G677" s="22" t="s">
        <v>113</v>
      </c>
      <c r="H677" s="22" t="s">
        <v>59</v>
      </c>
      <c r="I677" s="22" t="s">
        <v>123</v>
      </c>
      <c r="J677" s="23">
        <v>48</v>
      </c>
      <c r="K677" s="37">
        <v>0</v>
      </c>
      <c r="L677" s="37">
        <v>4</v>
      </c>
      <c r="M677" s="22">
        <f>IF(OR(ISBLANK(C677),C677=""),"",ROUND((C677-B677)*24,2))</f>
        <v>32.8</v>
      </c>
      <c r="N677" s="40" t="str">
        <f>IF(OR(ISBLANK(C677),C677="",M677=""),"In Progress",IF(M677&lt;=J677,"Met","Breached"))</f>
        <v>Met</v>
      </c>
    </row>
    <row r="678" ht="19" customHeight="1" spans="1:14" x14ac:dyDescent="0.25">
      <c r="A678" s="19" t="s">
        <v>792</v>
      </c>
      <c r="B678" s="33">
        <v>45918.40069444444</v>
      </c>
      <c r="C678" s="33">
        <v>45922.39236111111</v>
      </c>
      <c r="D678" s="19" t="s">
        <v>33</v>
      </c>
      <c r="E678" s="19" t="s">
        <v>69</v>
      </c>
      <c r="F678" s="19" t="s">
        <v>43</v>
      </c>
      <c r="G678" s="19" t="s">
        <v>116</v>
      </c>
      <c r="H678" s="19" t="s">
        <v>67</v>
      </c>
      <c r="I678" s="19" t="s">
        <v>117</v>
      </c>
      <c r="J678" s="20">
        <v>120</v>
      </c>
      <c r="K678" s="34">
        <v>0</v>
      </c>
      <c r="M678" s="19">
        <f>IF(OR(ISBLANK(C678),C678=""),"",ROUND((C678-B678)*24,2))</f>
        <v>95.8</v>
      </c>
      <c r="N678" s="35" t="str">
        <f>IF(OR(ISBLANK(C678),C678="",M678=""),"In Progress",IF(M678&lt;=J678,"Met","Breached"))</f>
        <v>Met</v>
      </c>
    </row>
    <row r="679" ht="19" customHeight="1" spans="1:14" x14ac:dyDescent="0.25">
      <c r="A679" s="22" t="s">
        <v>793</v>
      </c>
      <c r="B679" s="36">
        <v>45685.115277777775</v>
      </c>
      <c r="C679" s="36">
        <v>45688.05694444444</v>
      </c>
      <c r="D679" s="22" t="s">
        <v>33</v>
      </c>
      <c r="E679" s="22" t="s">
        <v>65</v>
      </c>
      <c r="F679" s="22" t="s">
        <v>40</v>
      </c>
      <c r="G679" s="22" t="s">
        <v>63</v>
      </c>
      <c r="H679" s="22" t="s">
        <v>71</v>
      </c>
      <c r="I679" s="22" t="s">
        <v>123</v>
      </c>
      <c r="J679" s="23">
        <v>48</v>
      </c>
      <c r="K679" s="37">
        <v>0</v>
      </c>
      <c r="L679" s="37">
        <v>1</v>
      </c>
      <c r="M679" s="22">
        <f>IF(OR(ISBLANK(C679),C679=""),"",ROUND((C679-B679)*24,2))</f>
        <v>70.6</v>
      </c>
      <c r="N679" s="38" t="str">
        <f>IF(OR(ISBLANK(C679),C679="",M679=""),"In Progress",IF(M679&lt;=J679,"Met","Breached"))</f>
        <v>Breached</v>
      </c>
    </row>
    <row r="680" ht="19" customHeight="1" spans="1:14" x14ac:dyDescent="0.25">
      <c r="A680" s="19" t="s">
        <v>794</v>
      </c>
      <c r="B680" s="33">
        <v>45804.53194444445</v>
      </c>
      <c r="C680" s="33">
        <v>45804.757638888885</v>
      </c>
      <c r="D680" s="19" t="s">
        <v>33</v>
      </c>
      <c r="E680" s="19" t="s">
        <v>61</v>
      </c>
      <c r="F680" s="19" t="s">
        <v>43</v>
      </c>
      <c r="G680" s="19" t="s">
        <v>116</v>
      </c>
      <c r="H680" s="19" t="s">
        <v>63</v>
      </c>
      <c r="I680" s="19" t="s">
        <v>114</v>
      </c>
      <c r="J680" s="20">
        <v>12</v>
      </c>
      <c r="K680" s="34">
        <v>0</v>
      </c>
      <c r="L680" s="34">
        <v>1</v>
      </c>
      <c r="M680" s="19">
        <f>IF(OR(ISBLANK(C680),C680=""),"",ROUND((C680-B680)*24,2))</f>
        <v>5.42</v>
      </c>
      <c r="N680" s="35" t="str">
        <f>IF(OR(ISBLANK(C680),C680="",M680=""),"In Progress",IF(M680&lt;=J680,"Met","Breached"))</f>
        <v>Met</v>
      </c>
    </row>
    <row r="681" ht="19" customHeight="1" spans="1:14" x14ac:dyDescent="0.25">
      <c r="A681" s="22" t="s">
        <v>795</v>
      </c>
      <c r="B681" s="36">
        <v>46112.87430555555</v>
      </c>
      <c r="C681" s="36">
        <v>46114.038888888885</v>
      </c>
      <c r="D681" s="22" t="s">
        <v>33</v>
      </c>
      <c r="E681" s="22" t="s">
        <v>65</v>
      </c>
      <c r="F681" s="22" t="s">
        <v>43</v>
      </c>
      <c r="G681" s="22" t="s">
        <v>110</v>
      </c>
      <c r="H681" s="22" t="s">
        <v>59</v>
      </c>
      <c r="I681" s="22" t="s">
        <v>111</v>
      </c>
      <c r="J681" s="23">
        <v>48</v>
      </c>
      <c r="K681" s="37">
        <v>0</v>
      </c>
      <c r="L681" s="37">
        <v>3</v>
      </c>
      <c r="M681" s="22">
        <f>IF(OR(ISBLANK(C681),C681=""),"",ROUND((C681-B681)*24,2))</f>
        <v>27.95</v>
      </c>
      <c r="N681" s="40" t="str">
        <f>IF(OR(ISBLANK(C681),C681="",M681=""),"In Progress",IF(M681&lt;=J681,"Met","Breached"))</f>
        <v>Met</v>
      </c>
    </row>
    <row r="682" ht="19" customHeight="1" spans="1:14" x14ac:dyDescent="0.25">
      <c r="A682" s="19" t="s">
        <v>796</v>
      </c>
      <c r="B682" s="33">
        <v>45692.035416666666</v>
      </c>
      <c r="C682" s="33">
        <v>45701.023611111115</v>
      </c>
      <c r="D682" s="19" t="s">
        <v>33</v>
      </c>
      <c r="E682" s="19" t="s">
        <v>69</v>
      </c>
      <c r="F682" s="19" t="s">
        <v>45</v>
      </c>
      <c r="G682" s="19" t="s">
        <v>113</v>
      </c>
      <c r="H682" s="19" t="s">
        <v>63</v>
      </c>
      <c r="I682" s="19" t="s">
        <v>114</v>
      </c>
      <c r="J682" s="20">
        <v>120</v>
      </c>
      <c r="K682" s="34">
        <v>0</v>
      </c>
      <c r="L682" s="34">
        <v>1</v>
      </c>
      <c r="M682" s="19">
        <f>IF(OR(ISBLANK(C682),C682=""),"",ROUND((C682-B682)*24,2))</f>
        <v>215.72</v>
      </c>
      <c r="N682" s="39" t="str">
        <f>IF(OR(ISBLANK(C682),C682="",M682=""),"In Progress",IF(M682&lt;=J682,"Met","Breached"))</f>
        <v>Breached</v>
      </c>
    </row>
    <row r="683" ht="19" customHeight="1" spans="1:14" x14ac:dyDescent="0.25">
      <c r="A683" s="22" t="s">
        <v>797</v>
      </c>
      <c r="B683" s="36">
        <v>45767.009722222225</v>
      </c>
      <c r="C683" s="36">
        <v>45768.756944444445</v>
      </c>
      <c r="D683" s="22" t="s">
        <v>33</v>
      </c>
      <c r="E683" s="22" t="s">
        <v>65</v>
      </c>
      <c r="F683" s="22" t="s">
        <v>37</v>
      </c>
      <c r="G683" s="22" t="s">
        <v>121</v>
      </c>
      <c r="H683" s="22" t="s">
        <v>63</v>
      </c>
      <c r="I683" s="22" t="s">
        <v>108</v>
      </c>
      <c r="J683" s="23">
        <v>48</v>
      </c>
      <c r="K683" s="37">
        <v>0</v>
      </c>
      <c r="M683" s="22">
        <f>IF(OR(ISBLANK(C683),C683=""),"",ROUND((C683-B683)*24,2))</f>
        <v>41.93</v>
      </c>
      <c r="N683" s="40" t="str">
        <f>IF(OR(ISBLANK(C683),C683="",M683=""),"In Progress",IF(M683&lt;=J683,"Met","Breached"))</f>
        <v>Met</v>
      </c>
    </row>
    <row r="684" ht="19" customHeight="1" spans="1:14" x14ac:dyDescent="0.25">
      <c r="A684" s="19" t="s">
        <v>798</v>
      </c>
      <c r="B684" s="33">
        <v>45827.669444444444</v>
      </c>
      <c r="D684" s="19" t="s">
        <v>39</v>
      </c>
      <c r="E684" s="19" t="s">
        <v>69</v>
      </c>
      <c r="F684" s="19" t="s">
        <v>43</v>
      </c>
      <c r="G684" s="19" t="s">
        <v>116</v>
      </c>
      <c r="H684" s="19" t="s">
        <v>67</v>
      </c>
      <c r="I684" s="19" t="s">
        <v>114</v>
      </c>
      <c r="J684" s="20">
        <v>120</v>
      </c>
      <c r="K684" s="34">
        <v>0</v>
      </c>
      <c r="M684" s="19" t="str">
        <f>IF(OR(ISBLANK(C684),C684=""),"",ROUND((C684-B684)*24,2))</f>
        <v/>
      </c>
      <c r="N684" s="19" t="str">
        <f>IF(OR(ISBLANK(C684),C684="",M684=""),"In Progress",IF(M684&lt;=J684,"Met","Breached"))</f>
        <v>In Progress</v>
      </c>
    </row>
    <row r="685" ht="19" customHeight="1" spans="1:14" x14ac:dyDescent="0.25">
      <c r="A685" s="22" t="s">
        <v>799</v>
      </c>
      <c r="B685" s="36">
        <v>46158.58888888889</v>
      </c>
      <c r="C685" s="36">
        <v>46158.86875</v>
      </c>
      <c r="D685" s="22" t="s">
        <v>33</v>
      </c>
      <c r="E685" s="22" t="s">
        <v>57</v>
      </c>
      <c r="F685" s="22" t="s">
        <v>40</v>
      </c>
      <c r="G685" s="22" t="s">
        <v>116</v>
      </c>
      <c r="H685" s="22" t="s">
        <v>59</v>
      </c>
      <c r="I685" s="22" t="s">
        <v>111</v>
      </c>
      <c r="J685" s="23">
        <v>4</v>
      </c>
      <c r="K685" s="37">
        <v>0</v>
      </c>
      <c r="M685" s="22">
        <f>IF(OR(ISBLANK(C685),C685=""),"",ROUND((C685-B685)*24,2))</f>
        <v>6.72</v>
      </c>
      <c r="N685" s="38" t="str">
        <f>IF(OR(ISBLANK(C685),C685="",M685=""),"In Progress",IF(M685&lt;=J685,"Met","Breached"))</f>
        <v>Breached</v>
      </c>
    </row>
    <row r="686" ht="19" customHeight="1" spans="1:14" x14ac:dyDescent="0.25">
      <c r="A686" s="19" t="s">
        <v>800</v>
      </c>
      <c r="B686" s="33">
        <v>46182.492361111115</v>
      </c>
      <c r="C686" s="33">
        <v>46184.25347222222</v>
      </c>
      <c r="D686" s="19" t="s">
        <v>33</v>
      </c>
      <c r="E686" s="19" t="s">
        <v>65</v>
      </c>
      <c r="F686" s="19" t="s">
        <v>45</v>
      </c>
      <c r="G686" s="19" t="s">
        <v>110</v>
      </c>
      <c r="H686" s="19" t="s">
        <v>63</v>
      </c>
      <c r="I686" s="19" t="s">
        <v>123</v>
      </c>
      <c r="J686" s="20">
        <v>48</v>
      </c>
      <c r="K686" s="34">
        <v>0</v>
      </c>
      <c r="L686" s="34">
        <v>4</v>
      </c>
      <c r="M686" s="19">
        <f>IF(OR(ISBLANK(C686),C686=""),"",ROUND((C686-B686)*24,2))</f>
        <v>42.27</v>
      </c>
      <c r="N686" s="35" t="str">
        <f>IF(OR(ISBLANK(C686),C686="",M686=""),"In Progress",IF(M686&lt;=J686,"Met","Breached"))</f>
        <v>Met</v>
      </c>
    </row>
    <row r="687" ht="19" customHeight="1" spans="1:14" x14ac:dyDescent="0.25">
      <c r="A687" s="22" t="s">
        <v>801</v>
      </c>
      <c r="B687" s="36">
        <v>45842.83333333333</v>
      </c>
      <c r="C687" s="36">
        <v>45844.97083333333</v>
      </c>
      <c r="D687" s="22" t="s">
        <v>36</v>
      </c>
      <c r="E687" s="22" t="s">
        <v>65</v>
      </c>
      <c r="F687" s="22" t="s">
        <v>43</v>
      </c>
      <c r="G687" s="22" t="s">
        <v>116</v>
      </c>
      <c r="H687" s="22" t="s">
        <v>63</v>
      </c>
      <c r="I687" s="22" t="s">
        <v>123</v>
      </c>
      <c r="J687" s="23">
        <v>48</v>
      </c>
      <c r="K687" s="37">
        <v>0</v>
      </c>
      <c r="L687" s="37">
        <v>2</v>
      </c>
      <c r="M687" s="22">
        <f>IF(OR(ISBLANK(C687),C687=""),"",ROUND((C687-B687)*24,2))</f>
        <v>51.3</v>
      </c>
      <c r="N687" s="38" t="str">
        <f>IF(OR(ISBLANK(C687),C687="",M687=""),"In Progress",IF(M687&lt;=J687,"Met","Breached"))</f>
        <v>Breached</v>
      </c>
    </row>
    <row r="688" ht="19" customHeight="1" spans="1:14" x14ac:dyDescent="0.25">
      <c r="A688" s="19" t="s">
        <v>802</v>
      </c>
      <c r="B688" s="33">
        <v>45997.15625</v>
      </c>
      <c r="C688" s="33">
        <v>45997.24791666667</v>
      </c>
      <c r="D688" s="19" t="s">
        <v>33</v>
      </c>
      <c r="E688" s="19" t="s">
        <v>57</v>
      </c>
      <c r="F688" s="19" t="s">
        <v>43</v>
      </c>
      <c r="G688" s="19" t="s">
        <v>63</v>
      </c>
      <c r="H688" s="19" t="s">
        <v>59</v>
      </c>
      <c r="I688" s="19" t="s">
        <v>147</v>
      </c>
      <c r="J688" s="20">
        <v>4</v>
      </c>
      <c r="K688" s="34">
        <v>0</v>
      </c>
      <c r="L688" s="34">
        <v>5</v>
      </c>
      <c r="M688" s="19">
        <f>IF(OR(ISBLANK(C688),C688=""),"",ROUND((C688-B688)*24,2))</f>
        <v>2.2</v>
      </c>
      <c r="N688" s="35" t="str">
        <f>IF(OR(ISBLANK(C688),C688="",M688=""),"In Progress",IF(M688&lt;=J688,"Met","Breached"))</f>
        <v>Met</v>
      </c>
    </row>
    <row r="689" ht="19" customHeight="1" spans="1:14" x14ac:dyDescent="0.25">
      <c r="A689" s="22" t="s">
        <v>803</v>
      </c>
      <c r="B689" s="36">
        <v>46244.22361111111</v>
      </c>
      <c r="C689" s="36">
        <v>46244.46388888889</v>
      </c>
      <c r="D689" s="22" t="s">
        <v>33</v>
      </c>
      <c r="E689" s="22" t="s">
        <v>57</v>
      </c>
      <c r="F689" s="22" t="s">
        <v>37</v>
      </c>
      <c r="G689" s="22" t="s">
        <v>110</v>
      </c>
      <c r="H689" s="22" t="s">
        <v>63</v>
      </c>
      <c r="I689" s="22" t="s">
        <v>123</v>
      </c>
      <c r="J689" s="23">
        <v>4</v>
      </c>
      <c r="K689" s="37">
        <v>0</v>
      </c>
      <c r="L689" s="37">
        <v>1</v>
      </c>
      <c r="M689" s="22">
        <f>IF(OR(ISBLANK(C689),C689=""),"",ROUND((C689-B689)*24,2))</f>
        <v>5.77</v>
      </c>
      <c r="N689" s="38" t="str">
        <f>IF(OR(ISBLANK(C689),C689="",M689=""),"In Progress",IF(M689&lt;=J689,"Met","Breached"))</f>
        <v>Breached</v>
      </c>
    </row>
    <row r="690" ht="19" customHeight="1" spans="1:14" x14ac:dyDescent="0.25">
      <c r="A690" s="19" t="s">
        <v>804</v>
      </c>
      <c r="B690" s="33">
        <v>45910.95347222222</v>
      </c>
      <c r="D690" s="19" t="s">
        <v>39</v>
      </c>
      <c r="E690" s="19" t="s">
        <v>65</v>
      </c>
      <c r="F690" s="19" t="s">
        <v>45</v>
      </c>
      <c r="G690" s="19" t="s">
        <v>63</v>
      </c>
      <c r="H690" s="19" t="s">
        <v>63</v>
      </c>
      <c r="I690" s="19" t="s">
        <v>117</v>
      </c>
      <c r="J690" s="20">
        <v>48</v>
      </c>
      <c r="K690" s="34">
        <v>0</v>
      </c>
      <c r="M690" s="19" t="str">
        <f>IF(OR(ISBLANK(C690),C690=""),"",ROUND((C690-B690)*24,2))</f>
        <v/>
      </c>
      <c r="N690" s="19" t="str">
        <f>IF(OR(ISBLANK(C690),C690="",M690=""),"In Progress",IF(M690&lt;=J690,"Met","Breached"))</f>
        <v>In Progress</v>
      </c>
    </row>
    <row r="691" ht="19" customHeight="1" spans="1:14" x14ac:dyDescent="0.25">
      <c r="A691" s="22" t="s">
        <v>805</v>
      </c>
      <c r="B691" s="36">
        <v>46247.09166666667</v>
      </c>
      <c r="C691" s="36">
        <v>46250.07708333334</v>
      </c>
      <c r="D691" s="22" t="s">
        <v>36</v>
      </c>
      <c r="E691" s="22" t="s">
        <v>65</v>
      </c>
      <c r="F691" s="22" t="s">
        <v>34</v>
      </c>
      <c r="G691" s="22" t="s">
        <v>126</v>
      </c>
      <c r="H691" s="22" t="s">
        <v>71</v>
      </c>
      <c r="I691" s="22" t="s">
        <v>114</v>
      </c>
      <c r="J691" s="23">
        <v>48</v>
      </c>
      <c r="K691" s="37">
        <v>0</v>
      </c>
      <c r="M691" s="22">
        <f>IF(OR(ISBLANK(C691),C691=""),"",ROUND((C691-B691)*24,2))</f>
        <v>71.65</v>
      </c>
      <c r="N691" s="38" t="str">
        <f>IF(OR(ISBLANK(C691),C691="",M691=""),"In Progress",IF(M691&lt;=J691,"Met","Breached"))</f>
        <v>Breached</v>
      </c>
    </row>
    <row r="692" ht="19" customHeight="1" spans="1:14" x14ac:dyDescent="0.25">
      <c r="A692" s="19" t="s">
        <v>806</v>
      </c>
      <c r="B692" s="33">
        <v>45737.013194444444</v>
      </c>
      <c r="C692" s="33">
        <v>45739.39027777778</v>
      </c>
      <c r="D692" s="19" t="s">
        <v>36</v>
      </c>
      <c r="E692" s="19" t="s">
        <v>65</v>
      </c>
      <c r="F692" s="19" t="s">
        <v>40</v>
      </c>
      <c r="G692" s="19" t="s">
        <v>113</v>
      </c>
      <c r="H692" s="19" t="s">
        <v>59</v>
      </c>
      <c r="I692" s="19" t="s">
        <v>111</v>
      </c>
      <c r="J692" s="20">
        <v>48</v>
      </c>
      <c r="K692" s="34">
        <v>0</v>
      </c>
      <c r="L692" s="34">
        <v>2</v>
      </c>
      <c r="M692" s="19">
        <f>IF(OR(ISBLANK(C692),C692=""),"",ROUND((C692-B692)*24,2))</f>
        <v>57.05</v>
      </c>
      <c r="N692" s="39" t="str">
        <f>IF(OR(ISBLANK(C692),C692="",M692=""),"In Progress",IF(M692&lt;=J692,"Met","Breached"))</f>
        <v>Breached</v>
      </c>
    </row>
    <row r="693" ht="19" customHeight="1" spans="1:14" x14ac:dyDescent="0.25">
      <c r="A693" s="22" t="s">
        <v>807</v>
      </c>
      <c r="B693" s="36">
        <v>45743.21319444444</v>
      </c>
      <c r="C693" s="36">
        <v>45744.09097222222</v>
      </c>
      <c r="D693" s="22" t="s">
        <v>36</v>
      </c>
      <c r="E693" s="22" t="s">
        <v>65</v>
      </c>
      <c r="F693" s="22" t="s">
        <v>37</v>
      </c>
      <c r="G693" s="22" t="s">
        <v>116</v>
      </c>
      <c r="H693" s="22" t="s">
        <v>71</v>
      </c>
      <c r="I693" s="22" t="s">
        <v>117</v>
      </c>
      <c r="J693" s="23">
        <v>48</v>
      </c>
      <c r="K693" s="37">
        <v>0</v>
      </c>
      <c r="L693" s="37">
        <v>4</v>
      </c>
      <c r="M693" s="22">
        <f>IF(OR(ISBLANK(C693),C693=""),"",ROUND((C693-B693)*24,2))</f>
        <v>21.07</v>
      </c>
      <c r="N693" s="40" t="str">
        <f>IF(OR(ISBLANK(C693),C693="",M693=""),"In Progress",IF(M693&lt;=J693,"Met","Breached"))</f>
        <v>Met</v>
      </c>
    </row>
    <row r="694" ht="19" customHeight="1" spans="1:14" x14ac:dyDescent="0.25">
      <c r="A694" s="19" t="s">
        <v>808</v>
      </c>
      <c r="B694" s="33">
        <v>46004.45138888889</v>
      </c>
      <c r="C694" s="33">
        <v>46006.64027777778</v>
      </c>
      <c r="D694" s="19" t="s">
        <v>36</v>
      </c>
      <c r="E694" s="19" t="s">
        <v>65</v>
      </c>
      <c r="F694" s="19" t="s">
        <v>34</v>
      </c>
      <c r="G694" s="19" t="s">
        <v>113</v>
      </c>
      <c r="H694" s="19" t="s">
        <v>71</v>
      </c>
      <c r="I694" s="19" t="s">
        <v>111</v>
      </c>
      <c r="J694" s="20">
        <v>48</v>
      </c>
      <c r="K694" s="34">
        <v>1</v>
      </c>
      <c r="M694" s="19">
        <f>IF(OR(ISBLANK(C694),C694=""),"",ROUND((C694-B694)*24,2))</f>
        <v>52.53</v>
      </c>
      <c r="N694" s="39" t="str">
        <f>IF(OR(ISBLANK(C694),C694="",M694=""),"In Progress",IF(M694&lt;=J694,"Met","Breached"))</f>
        <v>Breached</v>
      </c>
    </row>
    <row r="695" ht="19" customHeight="1" spans="1:14" x14ac:dyDescent="0.25">
      <c r="A695" s="22" t="s">
        <v>809</v>
      </c>
      <c r="B695" s="36">
        <v>46069.76527777778</v>
      </c>
      <c r="D695" s="22" t="s">
        <v>39</v>
      </c>
      <c r="E695" s="22" t="s">
        <v>61</v>
      </c>
      <c r="F695" s="22" t="s">
        <v>40</v>
      </c>
      <c r="G695" s="22" t="s">
        <v>110</v>
      </c>
      <c r="H695" s="22" t="s">
        <v>63</v>
      </c>
      <c r="I695" s="22" t="s">
        <v>114</v>
      </c>
      <c r="J695" s="23">
        <v>12</v>
      </c>
      <c r="K695" s="37">
        <v>0</v>
      </c>
      <c r="M695" s="22" t="str">
        <f>IF(OR(ISBLANK(C695),C695=""),"",ROUND((C695-B695)*24,2))</f>
        <v/>
      </c>
      <c r="N695" s="22" t="str">
        <f>IF(OR(ISBLANK(C695),C695="",M695=""),"In Progress",IF(M695&lt;=J695,"Met","Breached"))</f>
        <v>In Progress</v>
      </c>
    </row>
    <row r="696" ht="19" customHeight="1" spans="1:14" x14ac:dyDescent="0.25">
      <c r="A696" s="19" t="s">
        <v>810</v>
      </c>
      <c r="B696" s="33">
        <v>46160.24166666667</v>
      </c>
      <c r="C696" s="33">
        <v>46161.794444444444</v>
      </c>
      <c r="D696" s="19" t="s">
        <v>36</v>
      </c>
      <c r="E696" s="19" t="s">
        <v>65</v>
      </c>
      <c r="F696" s="19" t="s">
        <v>40</v>
      </c>
      <c r="G696" s="19" t="s">
        <v>63</v>
      </c>
      <c r="H696" s="19" t="s">
        <v>59</v>
      </c>
      <c r="I696" s="19" t="s">
        <v>111</v>
      </c>
      <c r="J696" s="20">
        <v>48</v>
      </c>
      <c r="K696" s="34">
        <v>1</v>
      </c>
      <c r="L696" s="34">
        <v>5</v>
      </c>
      <c r="M696" s="19">
        <f>IF(OR(ISBLANK(C696),C696=""),"",ROUND((C696-B696)*24,2))</f>
        <v>37.27</v>
      </c>
      <c r="N696" s="35" t="str">
        <f>IF(OR(ISBLANK(C696),C696="",M696=""),"In Progress",IF(M696&lt;=J696,"Met","Breached"))</f>
        <v>Met</v>
      </c>
    </row>
    <row r="697" ht="19" customHeight="1" spans="1:14" x14ac:dyDescent="0.25">
      <c r="A697" s="22" t="s">
        <v>811</v>
      </c>
      <c r="B697" s="36">
        <v>45775.52916666667</v>
      </c>
      <c r="C697" s="36">
        <v>45777.353472222225</v>
      </c>
      <c r="D697" s="22" t="s">
        <v>33</v>
      </c>
      <c r="E697" s="22" t="s">
        <v>65</v>
      </c>
      <c r="F697" s="22" t="s">
        <v>43</v>
      </c>
      <c r="G697" s="22" t="s">
        <v>113</v>
      </c>
      <c r="H697" s="22" t="s">
        <v>63</v>
      </c>
      <c r="I697" s="22" t="s">
        <v>108</v>
      </c>
      <c r="J697" s="23">
        <v>48</v>
      </c>
      <c r="K697" s="37">
        <v>0</v>
      </c>
      <c r="L697" s="37">
        <v>1</v>
      </c>
      <c r="M697" s="22">
        <f>IF(OR(ISBLANK(C697),C697=""),"",ROUND((C697-B697)*24,2))</f>
        <v>43.78</v>
      </c>
      <c r="N697" s="40" t="str">
        <f>IF(OR(ISBLANK(C697),C697="",M697=""),"In Progress",IF(M697&lt;=J697,"Met","Breached"))</f>
        <v>Met</v>
      </c>
    </row>
    <row r="698" ht="19" customHeight="1" spans="1:14" x14ac:dyDescent="0.25">
      <c r="A698" s="19" t="s">
        <v>812</v>
      </c>
      <c r="B698" s="33">
        <v>45846.976388888885</v>
      </c>
      <c r="C698" s="33">
        <v>45852.11875</v>
      </c>
      <c r="D698" s="19" t="s">
        <v>33</v>
      </c>
      <c r="E698" s="19" t="s">
        <v>69</v>
      </c>
      <c r="F698" s="19" t="s">
        <v>34</v>
      </c>
      <c r="G698" s="19" t="s">
        <v>126</v>
      </c>
      <c r="H698" s="19" t="s">
        <v>63</v>
      </c>
      <c r="I698" s="19" t="s">
        <v>108</v>
      </c>
      <c r="J698" s="20">
        <v>120</v>
      </c>
      <c r="K698" s="34">
        <v>0</v>
      </c>
      <c r="L698" s="34">
        <v>3</v>
      </c>
      <c r="M698" s="19">
        <f>IF(OR(ISBLANK(C698),C698=""),"",ROUND((C698-B698)*24,2))</f>
        <v>123.42</v>
      </c>
      <c r="N698" s="39" t="str">
        <f>IF(OR(ISBLANK(C698),C698="",M698=""),"In Progress",IF(M698&lt;=J698,"Met","Breached"))</f>
        <v>Breached</v>
      </c>
    </row>
    <row r="699" ht="19" customHeight="1" spans="1:14" x14ac:dyDescent="0.25">
      <c r="A699" s="22" t="s">
        <v>813</v>
      </c>
      <c r="B699" s="36">
        <v>46007.23958333333</v>
      </c>
      <c r="C699" s="36">
        <v>46009.350694444445</v>
      </c>
      <c r="D699" s="22" t="s">
        <v>33</v>
      </c>
      <c r="E699" s="22" t="s">
        <v>69</v>
      </c>
      <c r="F699" s="22" t="s">
        <v>34</v>
      </c>
      <c r="G699" s="22" t="s">
        <v>121</v>
      </c>
      <c r="H699" s="22" t="s">
        <v>59</v>
      </c>
      <c r="I699" s="22" t="s">
        <v>111</v>
      </c>
      <c r="J699" s="23">
        <v>120</v>
      </c>
      <c r="K699" s="37">
        <v>0</v>
      </c>
      <c r="L699" s="37">
        <v>4</v>
      </c>
      <c r="M699" s="22">
        <f>IF(OR(ISBLANK(C699),C699=""),"",ROUND((C699-B699)*24,2))</f>
        <v>50.67</v>
      </c>
      <c r="N699" s="40" t="str">
        <f>IF(OR(ISBLANK(C699),C699="",M699=""),"In Progress",IF(M699&lt;=J699,"Met","Breached"))</f>
        <v>Met</v>
      </c>
    </row>
    <row r="700" ht="19" customHeight="1" spans="1:14" x14ac:dyDescent="0.25">
      <c r="A700" s="19" t="s">
        <v>814</v>
      </c>
      <c r="B700" s="33">
        <v>46010.79583333334</v>
      </c>
      <c r="C700" s="33">
        <v>46013.09305555555</v>
      </c>
      <c r="D700" s="19" t="s">
        <v>33</v>
      </c>
      <c r="E700" s="19" t="s">
        <v>69</v>
      </c>
      <c r="F700" s="19" t="s">
        <v>43</v>
      </c>
      <c r="G700" s="19" t="s">
        <v>113</v>
      </c>
      <c r="H700" s="19" t="s">
        <v>59</v>
      </c>
      <c r="I700" s="19" t="s">
        <v>114</v>
      </c>
      <c r="J700" s="20">
        <v>120</v>
      </c>
      <c r="K700" s="34">
        <v>0</v>
      </c>
      <c r="L700" s="34">
        <v>2</v>
      </c>
      <c r="M700" s="19">
        <f>IF(OR(ISBLANK(C700),C700=""),"",ROUND((C700-B700)*24,2))</f>
        <v>55.13</v>
      </c>
      <c r="N700" s="35" t="str">
        <f>IF(OR(ISBLANK(C700),C700="",M700=""),"In Progress",IF(M700&lt;=J700,"Met","Breached"))</f>
        <v>Met</v>
      </c>
    </row>
    <row r="701" ht="19" customHeight="1" spans="1:14" x14ac:dyDescent="0.25">
      <c r="A701" s="22" t="s">
        <v>815</v>
      </c>
      <c r="B701" s="36">
        <v>45858.12638888889</v>
      </c>
      <c r="C701" s="36">
        <v>45859.58472222222</v>
      </c>
      <c r="D701" s="22" t="s">
        <v>36</v>
      </c>
      <c r="E701" s="22" t="s">
        <v>65</v>
      </c>
      <c r="F701" s="22" t="s">
        <v>34</v>
      </c>
      <c r="G701" s="22" t="s">
        <v>126</v>
      </c>
      <c r="H701" s="22" t="s">
        <v>63</v>
      </c>
      <c r="I701" s="22" t="s">
        <v>123</v>
      </c>
      <c r="J701" s="23">
        <v>48</v>
      </c>
      <c r="K701" s="37">
        <v>0</v>
      </c>
      <c r="M701" s="22">
        <f>IF(OR(ISBLANK(C701),C701=""),"",ROUND((C701-B701)*24,2))</f>
        <v>35</v>
      </c>
      <c r="N701" s="40" t="str">
        <f>IF(OR(ISBLANK(C701),C701="",M701=""),"In Progress",IF(M701&lt;=J701,"Met","Breached"))</f>
        <v>Met</v>
      </c>
    </row>
    <row r="702" ht="19" customHeight="1" spans="1:14" x14ac:dyDescent="0.25">
      <c r="A702" s="19" t="s">
        <v>816</v>
      </c>
      <c r="B702" s="33">
        <v>45930.21805555555</v>
      </c>
      <c r="C702" s="33">
        <v>45930.643055555556</v>
      </c>
      <c r="D702" s="19" t="s">
        <v>33</v>
      </c>
      <c r="E702" s="19" t="s">
        <v>61</v>
      </c>
      <c r="F702" s="19" t="s">
        <v>45</v>
      </c>
      <c r="G702" s="19" t="s">
        <v>110</v>
      </c>
      <c r="H702" s="19" t="s">
        <v>59</v>
      </c>
      <c r="I702" s="19" t="s">
        <v>117</v>
      </c>
      <c r="J702" s="20">
        <v>12</v>
      </c>
      <c r="K702" s="34">
        <v>0</v>
      </c>
      <c r="L702" s="34">
        <v>2</v>
      </c>
      <c r="M702" s="19">
        <f>IF(OR(ISBLANK(C702),C702=""),"",ROUND((C702-B702)*24,2))</f>
        <v>10.2</v>
      </c>
      <c r="N702" s="35" t="str">
        <f>IF(OR(ISBLANK(C702),C702="",M702=""),"In Progress",IF(M702&lt;=J702,"Met","Breached"))</f>
        <v>Met</v>
      </c>
    </row>
    <row r="703" ht="19" customHeight="1" spans="1:14" x14ac:dyDescent="0.25">
      <c r="A703" s="22" t="s">
        <v>817</v>
      </c>
      <c r="B703" s="36">
        <v>46046.01111111111</v>
      </c>
      <c r="C703" s="36">
        <v>46048.955555555556</v>
      </c>
      <c r="D703" s="22" t="s">
        <v>33</v>
      </c>
      <c r="E703" s="22" t="s">
        <v>65</v>
      </c>
      <c r="F703" s="22" t="s">
        <v>45</v>
      </c>
      <c r="G703" s="22" t="s">
        <v>113</v>
      </c>
      <c r="H703" s="22" t="s">
        <v>63</v>
      </c>
      <c r="I703" s="22" t="s">
        <v>108</v>
      </c>
      <c r="J703" s="23">
        <v>48</v>
      </c>
      <c r="K703" s="37">
        <v>0</v>
      </c>
      <c r="L703" s="37">
        <v>5</v>
      </c>
      <c r="M703" s="22">
        <f>IF(OR(ISBLANK(C703),C703=""),"",ROUND((C703-B703)*24,2))</f>
        <v>70.67</v>
      </c>
      <c r="N703" s="38" t="str">
        <f>IF(OR(ISBLANK(C703),C703="",M703=""),"In Progress",IF(M703&lt;=J703,"Met","Breached"))</f>
        <v>Breached</v>
      </c>
    </row>
    <row r="704" ht="19" customHeight="1" spans="1:14" x14ac:dyDescent="0.25">
      <c r="A704" s="19" t="s">
        <v>818</v>
      </c>
      <c r="B704" s="33">
        <v>46003.76388888889</v>
      </c>
      <c r="C704" s="33">
        <v>46006.021527777775</v>
      </c>
      <c r="D704" s="19" t="s">
        <v>33</v>
      </c>
      <c r="E704" s="19" t="s">
        <v>65</v>
      </c>
      <c r="F704" s="19" t="s">
        <v>40</v>
      </c>
      <c r="G704" s="19" t="s">
        <v>121</v>
      </c>
      <c r="H704" s="19" t="s">
        <v>67</v>
      </c>
      <c r="I704" s="19" t="s">
        <v>114</v>
      </c>
      <c r="J704" s="20">
        <v>48</v>
      </c>
      <c r="K704" s="34">
        <v>0</v>
      </c>
      <c r="L704" s="34">
        <v>4</v>
      </c>
      <c r="M704" s="19">
        <f>IF(OR(ISBLANK(C704),C704=""),"",ROUND((C704-B704)*24,2))</f>
        <v>54.18</v>
      </c>
      <c r="N704" s="39" t="str">
        <f>IF(OR(ISBLANK(C704),C704="",M704=""),"In Progress",IF(M704&lt;=J704,"Met","Breached"))</f>
        <v>Breached</v>
      </c>
    </row>
    <row r="705" ht="19" customHeight="1" spans="1:14" x14ac:dyDescent="0.25">
      <c r="A705" s="22" t="s">
        <v>819</v>
      </c>
      <c r="B705" s="36">
        <v>46145.03055555555</v>
      </c>
      <c r="C705" s="36">
        <v>46145.28055555555</v>
      </c>
      <c r="D705" s="22" t="s">
        <v>33</v>
      </c>
      <c r="E705" s="22" t="s">
        <v>57</v>
      </c>
      <c r="F705" s="22" t="s">
        <v>40</v>
      </c>
      <c r="G705" s="22" t="s">
        <v>110</v>
      </c>
      <c r="H705" s="22" t="s">
        <v>59</v>
      </c>
      <c r="I705" s="22" t="s">
        <v>114</v>
      </c>
      <c r="J705" s="23">
        <v>4</v>
      </c>
      <c r="K705" s="37">
        <v>0</v>
      </c>
      <c r="L705" s="37">
        <v>4</v>
      </c>
      <c r="M705" s="22">
        <f>IF(OR(ISBLANK(C705),C705=""),"",ROUND((C705-B705)*24,2))</f>
        <v>6</v>
      </c>
      <c r="N705" s="38" t="str">
        <f>IF(OR(ISBLANK(C705),C705="",M705=""),"In Progress",IF(M705&lt;=J705,"Met","Breached"))</f>
        <v>Breached</v>
      </c>
    </row>
    <row r="706" ht="19" customHeight="1" spans="1:14" x14ac:dyDescent="0.25">
      <c r="A706" s="19" t="s">
        <v>820</v>
      </c>
      <c r="B706" s="33">
        <v>46116.27986111111</v>
      </c>
      <c r="C706" s="33">
        <v>46120.60277777778</v>
      </c>
      <c r="D706" s="19" t="s">
        <v>33</v>
      </c>
      <c r="E706" s="19" t="s">
        <v>69</v>
      </c>
      <c r="F706" s="19" t="s">
        <v>37</v>
      </c>
      <c r="G706" s="19" t="s">
        <v>116</v>
      </c>
      <c r="H706" s="19" t="s">
        <v>71</v>
      </c>
      <c r="I706" s="19" t="s">
        <v>117</v>
      </c>
      <c r="J706" s="20">
        <v>120</v>
      </c>
      <c r="K706" s="34">
        <v>0</v>
      </c>
      <c r="L706" s="34">
        <v>3</v>
      </c>
      <c r="M706" s="19">
        <f>IF(OR(ISBLANK(C706),C706=""),"",ROUND((C706-B706)*24,2))</f>
        <v>103.75</v>
      </c>
      <c r="N706" s="35" t="str">
        <f>IF(OR(ISBLANK(C706),C706="",M706=""),"In Progress",IF(M706&lt;=J706,"Met","Breached"))</f>
        <v>Met</v>
      </c>
    </row>
    <row r="707" ht="19" customHeight="1" spans="1:14" x14ac:dyDescent="0.25">
      <c r="A707" s="22" t="s">
        <v>821</v>
      </c>
      <c r="B707" s="36">
        <v>45837.63125</v>
      </c>
      <c r="C707" s="36">
        <v>45838.02986111111</v>
      </c>
      <c r="D707" s="22" t="s">
        <v>33</v>
      </c>
      <c r="E707" s="22" t="s">
        <v>61</v>
      </c>
      <c r="F707" s="22" t="s">
        <v>34</v>
      </c>
      <c r="G707" s="22" t="s">
        <v>116</v>
      </c>
      <c r="H707" s="22" t="s">
        <v>59</v>
      </c>
      <c r="I707" s="22" t="s">
        <v>111</v>
      </c>
      <c r="J707" s="23">
        <v>12</v>
      </c>
      <c r="K707" s="37">
        <v>0</v>
      </c>
      <c r="M707" s="22">
        <f>IF(OR(ISBLANK(C707),C707=""),"",ROUND((C707-B707)*24,2))</f>
        <v>9.57</v>
      </c>
      <c r="N707" s="40" t="str">
        <f>IF(OR(ISBLANK(C707),C707="",M707=""),"In Progress",IF(M707&lt;=J707,"Met","Breached"))</f>
        <v>Met</v>
      </c>
    </row>
    <row r="708" ht="19" customHeight="1" spans="1:14" x14ac:dyDescent="0.25">
      <c r="A708" s="19" t="s">
        <v>822</v>
      </c>
      <c r="B708" s="33">
        <v>46144.38541666667</v>
      </c>
      <c r="C708" s="33">
        <v>46147.81875</v>
      </c>
      <c r="D708" s="19" t="s">
        <v>33</v>
      </c>
      <c r="E708" s="19" t="s">
        <v>65</v>
      </c>
      <c r="F708" s="19" t="s">
        <v>34</v>
      </c>
      <c r="G708" s="19" t="s">
        <v>121</v>
      </c>
      <c r="H708" s="19" t="s">
        <v>67</v>
      </c>
      <c r="I708" s="19" t="s">
        <v>108</v>
      </c>
      <c r="J708" s="20">
        <v>48</v>
      </c>
      <c r="K708" s="34">
        <v>0</v>
      </c>
      <c r="L708" s="34">
        <v>5</v>
      </c>
      <c r="M708" s="19">
        <f>IF(OR(ISBLANK(C708),C708=""),"",ROUND((C708-B708)*24,2))</f>
        <v>82.4</v>
      </c>
      <c r="N708" s="39" t="str">
        <f>IF(OR(ISBLANK(C708),C708="",M708=""),"In Progress",IF(M708&lt;=J708,"Met","Breached"))</f>
        <v>Breached</v>
      </c>
    </row>
    <row r="709" ht="19" customHeight="1" spans="1:14" x14ac:dyDescent="0.25">
      <c r="A709" s="22" t="s">
        <v>823</v>
      </c>
      <c r="B709" s="36">
        <v>46222.527083333334</v>
      </c>
      <c r="C709" s="36">
        <v>46223.33888888889</v>
      </c>
      <c r="D709" s="22" t="s">
        <v>33</v>
      </c>
      <c r="E709" s="22" t="s">
        <v>61</v>
      </c>
      <c r="F709" s="22" t="s">
        <v>43</v>
      </c>
      <c r="G709" s="22" t="s">
        <v>121</v>
      </c>
      <c r="H709" s="22" t="s">
        <v>63</v>
      </c>
      <c r="I709" s="22" t="s">
        <v>108</v>
      </c>
      <c r="J709" s="23">
        <v>12</v>
      </c>
      <c r="K709" s="37">
        <v>0</v>
      </c>
      <c r="L709" s="37">
        <v>2</v>
      </c>
      <c r="M709" s="22">
        <f>IF(OR(ISBLANK(C709),C709=""),"",ROUND((C709-B709)*24,2))</f>
        <v>19.48</v>
      </c>
      <c r="N709" s="38" t="str">
        <f>IF(OR(ISBLANK(C709),C709="",M709=""),"In Progress",IF(M709&lt;=J709,"Met","Breached"))</f>
        <v>Breached</v>
      </c>
    </row>
    <row r="710" ht="19" customHeight="1" spans="1:14" x14ac:dyDescent="0.25">
      <c r="A710" s="19" t="s">
        <v>824</v>
      </c>
      <c r="B710" s="33">
        <v>46001.01666666666</v>
      </c>
      <c r="C710" s="33">
        <v>46002.48611111111</v>
      </c>
      <c r="D710" s="19" t="s">
        <v>33</v>
      </c>
      <c r="E710" s="19" t="s">
        <v>65</v>
      </c>
      <c r="F710" s="19" t="s">
        <v>37</v>
      </c>
      <c r="G710" s="19" t="s">
        <v>121</v>
      </c>
      <c r="H710" s="19" t="s">
        <v>59</v>
      </c>
      <c r="I710" s="19" t="s">
        <v>111</v>
      </c>
      <c r="J710" s="20">
        <v>48</v>
      </c>
      <c r="K710" s="34">
        <v>0</v>
      </c>
      <c r="L710" s="34">
        <v>5</v>
      </c>
      <c r="M710" s="19">
        <f>IF(OR(ISBLANK(C710),C710=""),"",ROUND((C710-B710)*24,2))</f>
        <v>35.27</v>
      </c>
      <c r="N710" s="35" t="str">
        <f>IF(OR(ISBLANK(C710),C710="",M710=""),"In Progress",IF(M710&lt;=J710,"Met","Breached"))</f>
        <v>Met</v>
      </c>
    </row>
    <row r="711" ht="19" customHeight="1" spans="1:14" x14ac:dyDescent="0.25">
      <c r="A711" s="22" t="s">
        <v>825</v>
      </c>
      <c r="B711" s="36">
        <v>46084.580555555556</v>
      </c>
      <c r="C711" s="36">
        <v>46087.05208333333</v>
      </c>
      <c r="D711" s="22" t="s">
        <v>36</v>
      </c>
      <c r="E711" s="22" t="s">
        <v>65</v>
      </c>
      <c r="F711" s="22" t="s">
        <v>40</v>
      </c>
      <c r="G711" s="22" t="s">
        <v>116</v>
      </c>
      <c r="H711" s="22" t="s">
        <v>59</v>
      </c>
      <c r="I711" s="22" t="s">
        <v>108</v>
      </c>
      <c r="J711" s="23">
        <v>48</v>
      </c>
      <c r="K711" s="37">
        <v>0</v>
      </c>
      <c r="L711" s="37">
        <v>3</v>
      </c>
      <c r="M711" s="22">
        <f>IF(OR(ISBLANK(C711),C711=""),"",ROUND((C711-B711)*24,2))</f>
        <v>59.32</v>
      </c>
      <c r="N711" s="38" t="str">
        <f>IF(OR(ISBLANK(C711),C711="",M711=""),"In Progress",IF(M711&lt;=J711,"Met","Breached"))</f>
        <v>Breached</v>
      </c>
    </row>
    <row r="712" ht="19" customHeight="1" spans="1:14" x14ac:dyDescent="0.25">
      <c r="A712" s="19" t="s">
        <v>826</v>
      </c>
      <c r="B712" s="33">
        <v>46229.80347222222</v>
      </c>
      <c r="D712" s="19" t="s">
        <v>42</v>
      </c>
      <c r="E712" s="19" t="s">
        <v>65</v>
      </c>
      <c r="F712" s="19" t="s">
        <v>34</v>
      </c>
      <c r="G712" s="19" t="s">
        <v>113</v>
      </c>
      <c r="H712" s="19" t="s">
        <v>59</v>
      </c>
      <c r="I712" s="19" t="s">
        <v>123</v>
      </c>
      <c r="J712" s="20">
        <v>48</v>
      </c>
      <c r="K712" s="34">
        <v>0</v>
      </c>
      <c r="M712" s="19" t="str">
        <f>IF(OR(ISBLANK(C712),C712=""),"",ROUND((C712-B712)*24,2))</f>
        <v/>
      </c>
      <c r="N712" s="19" t="str">
        <f>IF(OR(ISBLANK(C712),C712="",M712=""),"In Progress",IF(M712&lt;=J712,"Met","Breached"))</f>
        <v>In Progress</v>
      </c>
    </row>
    <row r="713" ht="19" customHeight="1" spans="1:14" x14ac:dyDescent="0.25">
      <c r="A713" s="22" t="s">
        <v>827</v>
      </c>
      <c r="B713" s="36">
        <v>46235.27083333333</v>
      </c>
      <c r="C713" s="36">
        <v>46235.46319444444</v>
      </c>
      <c r="D713" s="22" t="s">
        <v>33</v>
      </c>
      <c r="E713" s="22" t="s">
        <v>61</v>
      </c>
      <c r="F713" s="22" t="s">
        <v>37</v>
      </c>
      <c r="G713" s="22" t="s">
        <v>126</v>
      </c>
      <c r="H713" s="22" t="s">
        <v>59</v>
      </c>
      <c r="I713" s="22" t="s">
        <v>147</v>
      </c>
      <c r="J713" s="23">
        <v>12</v>
      </c>
      <c r="K713" s="37">
        <v>0</v>
      </c>
      <c r="L713" s="37">
        <v>5</v>
      </c>
      <c r="M713" s="22">
        <f>IF(OR(ISBLANK(C713),C713=""),"",ROUND((C713-B713)*24,2))</f>
        <v>4.62</v>
      </c>
      <c r="N713" s="40" t="str">
        <f>IF(OR(ISBLANK(C713),C713="",M713=""),"In Progress",IF(M713&lt;=J713,"Met","Breached"))</f>
        <v>Met</v>
      </c>
    </row>
    <row r="714" ht="19" customHeight="1" spans="1:14" x14ac:dyDescent="0.25">
      <c r="A714" s="19" t="s">
        <v>828</v>
      </c>
      <c r="B714" s="33">
        <v>45883.39027777778</v>
      </c>
      <c r="D714" s="19" t="s">
        <v>42</v>
      </c>
      <c r="E714" s="19" t="s">
        <v>65</v>
      </c>
      <c r="F714" s="19" t="s">
        <v>45</v>
      </c>
      <c r="G714" s="19" t="s">
        <v>116</v>
      </c>
      <c r="H714" s="19" t="s">
        <v>59</v>
      </c>
      <c r="I714" s="19" t="s">
        <v>123</v>
      </c>
      <c r="J714" s="20">
        <v>48</v>
      </c>
      <c r="K714" s="34">
        <v>0</v>
      </c>
      <c r="M714" s="19" t="str">
        <f>IF(OR(ISBLANK(C714),C714=""),"",ROUND((C714-B714)*24,2))</f>
        <v/>
      </c>
      <c r="N714" s="19" t="str">
        <f>IF(OR(ISBLANK(C714),C714="",M714=""),"In Progress",IF(M714&lt;=J714,"Met","Breached"))</f>
        <v>In Progress</v>
      </c>
    </row>
    <row r="715" ht="19" customHeight="1" spans="1:14" x14ac:dyDescent="0.25">
      <c r="A715" s="22" t="s">
        <v>829</v>
      </c>
      <c r="B715" s="36">
        <v>45681.82916666666</v>
      </c>
      <c r="D715" s="22" t="s">
        <v>39</v>
      </c>
      <c r="E715" s="22" t="s">
        <v>65</v>
      </c>
      <c r="F715" s="22" t="s">
        <v>43</v>
      </c>
      <c r="G715" s="22" t="s">
        <v>121</v>
      </c>
      <c r="H715" s="22" t="s">
        <v>63</v>
      </c>
      <c r="I715" s="22" t="s">
        <v>111</v>
      </c>
      <c r="J715" s="23">
        <v>48</v>
      </c>
      <c r="K715" s="37">
        <v>0</v>
      </c>
      <c r="M715" s="22" t="str">
        <f>IF(OR(ISBLANK(C715),C715=""),"",ROUND((C715-B715)*24,2))</f>
        <v/>
      </c>
      <c r="N715" s="22" t="str">
        <f>IF(OR(ISBLANK(C715),C715="",M715=""),"In Progress",IF(M715&lt;=J715,"Met","Breached"))</f>
        <v>In Progress</v>
      </c>
    </row>
    <row r="716" ht="19" customHeight="1" spans="1:14" x14ac:dyDescent="0.25">
      <c r="A716" s="19" t="s">
        <v>830</v>
      </c>
      <c r="B716" s="33">
        <v>45889.99375</v>
      </c>
      <c r="C716" s="33">
        <v>45891.02222222222</v>
      </c>
      <c r="D716" s="19" t="s">
        <v>33</v>
      </c>
      <c r="E716" s="19" t="s">
        <v>65</v>
      </c>
      <c r="F716" s="19" t="s">
        <v>43</v>
      </c>
      <c r="G716" s="19" t="s">
        <v>110</v>
      </c>
      <c r="H716" s="19" t="s">
        <v>71</v>
      </c>
      <c r="I716" s="19" t="s">
        <v>108</v>
      </c>
      <c r="J716" s="20">
        <v>48</v>
      </c>
      <c r="K716" s="34">
        <v>0</v>
      </c>
      <c r="L716" s="34">
        <v>2</v>
      </c>
      <c r="M716" s="19">
        <f>IF(OR(ISBLANK(C716),C716=""),"",ROUND((C716-B716)*24,2))</f>
        <v>24.68</v>
      </c>
      <c r="N716" s="35" t="str">
        <f>IF(OR(ISBLANK(C716),C716="",M716=""),"In Progress",IF(M716&lt;=J716,"Met","Breached"))</f>
        <v>Met</v>
      </c>
    </row>
    <row r="717" ht="19" customHeight="1" spans="1:14" x14ac:dyDescent="0.25">
      <c r="A717" s="22" t="s">
        <v>831</v>
      </c>
      <c r="B717" s="36">
        <v>46173.865277777775</v>
      </c>
      <c r="D717" s="22" t="s">
        <v>39</v>
      </c>
      <c r="E717" s="22" t="s">
        <v>65</v>
      </c>
      <c r="F717" s="22" t="s">
        <v>34</v>
      </c>
      <c r="G717" s="22" t="s">
        <v>110</v>
      </c>
      <c r="H717" s="22" t="s">
        <v>59</v>
      </c>
      <c r="I717" s="22" t="s">
        <v>111</v>
      </c>
      <c r="J717" s="23">
        <v>48</v>
      </c>
      <c r="K717" s="37">
        <v>0</v>
      </c>
      <c r="M717" s="22" t="str">
        <f>IF(OR(ISBLANK(C717),C717=""),"",ROUND((C717-B717)*24,2))</f>
        <v/>
      </c>
      <c r="N717" s="22" t="str">
        <f>IF(OR(ISBLANK(C717),C717="",M717=""),"In Progress",IF(M717&lt;=J717,"Met","Breached"))</f>
        <v>In Progress</v>
      </c>
    </row>
    <row r="718" ht="19" customHeight="1" spans="1:14" x14ac:dyDescent="0.25">
      <c r="A718" s="19" t="s">
        <v>832</v>
      </c>
      <c r="B718" s="33">
        <v>45744.45694444445</v>
      </c>
      <c r="C718" s="33">
        <v>45745.097916666666</v>
      </c>
      <c r="D718" s="19" t="s">
        <v>33</v>
      </c>
      <c r="E718" s="19" t="s">
        <v>61</v>
      </c>
      <c r="F718" s="19" t="s">
        <v>45</v>
      </c>
      <c r="G718" s="19" t="s">
        <v>116</v>
      </c>
      <c r="H718" s="19" t="s">
        <v>59</v>
      </c>
      <c r="I718" s="19" t="s">
        <v>114</v>
      </c>
      <c r="J718" s="20">
        <v>12</v>
      </c>
      <c r="K718" s="34">
        <v>0</v>
      </c>
      <c r="L718" s="34">
        <v>3</v>
      </c>
      <c r="M718" s="19">
        <f>IF(OR(ISBLANK(C718),C718=""),"",ROUND((C718-B718)*24,2))</f>
        <v>15.38</v>
      </c>
      <c r="N718" s="39" t="str">
        <f>IF(OR(ISBLANK(C718),C718="",M718=""),"In Progress",IF(M718&lt;=J718,"Met","Breached"))</f>
        <v>Breached</v>
      </c>
    </row>
    <row r="719" ht="19" customHeight="1" spans="1:14" x14ac:dyDescent="0.25">
      <c r="A719" s="22" t="s">
        <v>833</v>
      </c>
      <c r="B719" s="36">
        <v>45963.00347222222</v>
      </c>
      <c r="C719" s="36">
        <v>45964.353472222225</v>
      </c>
      <c r="D719" s="22" t="s">
        <v>33</v>
      </c>
      <c r="E719" s="22" t="s">
        <v>65</v>
      </c>
      <c r="F719" s="22" t="s">
        <v>34</v>
      </c>
      <c r="G719" s="22" t="s">
        <v>110</v>
      </c>
      <c r="H719" s="22" t="s">
        <v>63</v>
      </c>
      <c r="I719" s="22" t="s">
        <v>114</v>
      </c>
      <c r="J719" s="23">
        <v>48</v>
      </c>
      <c r="K719" s="37">
        <v>0</v>
      </c>
      <c r="L719" s="37">
        <v>2</v>
      </c>
      <c r="M719" s="22">
        <f>IF(OR(ISBLANK(C719),C719=""),"",ROUND((C719-B719)*24,2))</f>
        <v>32.4</v>
      </c>
      <c r="N719" s="40" t="str">
        <f>IF(OR(ISBLANK(C719),C719="",M719=""),"In Progress",IF(M719&lt;=J719,"Met","Breached"))</f>
        <v>Met</v>
      </c>
    </row>
    <row r="720" ht="19" customHeight="1" spans="1:14" x14ac:dyDescent="0.25">
      <c r="A720" s="19" t="s">
        <v>834</v>
      </c>
      <c r="B720" s="33">
        <v>45865.26388888889</v>
      </c>
      <c r="D720" s="19" t="s">
        <v>39</v>
      </c>
      <c r="E720" s="19" t="s">
        <v>65</v>
      </c>
      <c r="F720" s="19" t="s">
        <v>34</v>
      </c>
      <c r="G720" s="19" t="s">
        <v>121</v>
      </c>
      <c r="H720" s="19" t="s">
        <v>71</v>
      </c>
      <c r="I720" s="19" t="s">
        <v>147</v>
      </c>
      <c r="J720" s="20">
        <v>48</v>
      </c>
      <c r="K720" s="34">
        <v>0</v>
      </c>
      <c r="M720" s="19" t="str">
        <f>IF(OR(ISBLANK(C720),C720=""),"",ROUND((C720-B720)*24,2))</f>
        <v/>
      </c>
      <c r="N720" s="19" t="str">
        <f>IF(OR(ISBLANK(C720),C720="",M720=""),"In Progress",IF(M720&lt;=J720,"Met","Breached"))</f>
        <v>In Progress</v>
      </c>
    </row>
    <row r="721" ht="19" customHeight="1" spans="1:14" x14ac:dyDescent="0.25">
      <c r="A721" s="22" t="s">
        <v>835</v>
      </c>
      <c r="B721" s="36">
        <v>45777.76736111111</v>
      </c>
      <c r="C721" s="36">
        <v>45778.50138888889</v>
      </c>
      <c r="D721" s="22" t="s">
        <v>36</v>
      </c>
      <c r="E721" s="22" t="s">
        <v>65</v>
      </c>
      <c r="F721" s="22" t="s">
        <v>40</v>
      </c>
      <c r="G721" s="22" t="s">
        <v>126</v>
      </c>
      <c r="H721" s="22" t="s">
        <v>71</v>
      </c>
      <c r="I721" s="22" t="s">
        <v>111</v>
      </c>
      <c r="J721" s="23">
        <v>48</v>
      </c>
      <c r="K721" s="37">
        <v>0</v>
      </c>
      <c r="L721" s="37">
        <v>3</v>
      </c>
      <c r="M721" s="22">
        <f>IF(OR(ISBLANK(C721),C721=""),"",ROUND((C721-B721)*24,2))</f>
        <v>17.62</v>
      </c>
      <c r="N721" s="40" t="str">
        <f>IF(OR(ISBLANK(C721),C721="",M721=""),"In Progress",IF(M721&lt;=J721,"Met","Breached"))</f>
        <v>Met</v>
      </c>
    </row>
    <row r="722" ht="19" customHeight="1" spans="1:14" x14ac:dyDescent="0.25">
      <c r="A722" s="19" t="s">
        <v>836</v>
      </c>
      <c r="B722" s="33">
        <v>45764.29722222222</v>
      </c>
      <c r="C722" s="33">
        <v>45765.53958333333</v>
      </c>
      <c r="D722" s="19" t="s">
        <v>33</v>
      </c>
      <c r="E722" s="19" t="s">
        <v>65</v>
      </c>
      <c r="F722" s="19" t="s">
        <v>34</v>
      </c>
      <c r="G722" s="19" t="s">
        <v>116</v>
      </c>
      <c r="H722" s="19" t="s">
        <v>67</v>
      </c>
      <c r="I722" s="19" t="s">
        <v>123</v>
      </c>
      <c r="J722" s="20">
        <v>48</v>
      </c>
      <c r="K722" s="34">
        <v>0</v>
      </c>
      <c r="M722" s="19">
        <f>IF(OR(ISBLANK(C722),C722=""),"",ROUND((C722-B722)*24,2))</f>
        <v>29.82</v>
      </c>
      <c r="N722" s="35" t="str">
        <f>IF(OR(ISBLANK(C722),C722="",M722=""),"In Progress",IF(M722&lt;=J722,"Met","Breached"))</f>
        <v>Met</v>
      </c>
    </row>
    <row r="723" ht="19" customHeight="1" spans="1:14" x14ac:dyDescent="0.25">
      <c r="A723" s="22" t="s">
        <v>837</v>
      </c>
      <c r="B723" s="36">
        <v>45783.41736111111</v>
      </c>
      <c r="C723" s="36">
        <v>45783.92291666666</v>
      </c>
      <c r="D723" s="22" t="s">
        <v>33</v>
      </c>
      <c r="E723" s="22" t="s">
        <v>61</v>
      </c>
      <c r="F723" s="22" t="s">
        <v>37</v>
      </c>
      <c r="G723" s="22" t="s">
        <v>63</v>
      </c>
      <c r="H723" s="22" t="s">
        <v>63</v>
      </c>
      <c r="I723" s="22" t="s">
        <v>108</v>
      </c>
      <c r="J723" s="23">
        <v>12</v>
      </c>
      <c r="K723" s="37">
        <v>0</v>
      </c>
      <c r="L723" s="37">
        <v>4</v>
      </c>
      <c r="M723" s="22">
        <f>IF(OR(ISBLANK(C723),C723=""),"",ROUND((C723-B723)*24,2))</f>
        <v>12.13</v>
      </c>
      <c r="N723" s="38" t="str">
        <f>IF(OR(ISBLANK(C723),C723="",M723=""),"In Progress",IF(M723&lt;=J723,"Met","Breached"))</f>
        <v>Breached</v>
      </c>
    </row>
    <row r="724" ht="19" customHeight="1" spans="1:14" x14ac:dyDescent="0.25">
      <c r="A724" s="19" t="s">
        <v>838</v>
      </c>
      <c r="B724" s="33">
        <v>46109.475</v>
      </c>
      <c r="C724" s="33">
        <v>46110.01736111111</v>
      </c>
      <c r="D724" s="19" t="s">
        <v>33</v>
      </c>
      <c r="E724" s="19" t="s">
        <v>61</v>
      </c>
      <c r="F724" s="19" t="s">
        <v>43</v>
      </c>
      <c r="G724" s="19" t="s">
        <v>110</v>
      </c>
      <c r="H724" s="19" t="s">
        <v>59</v>
      </c>
      <c r="I724" s="19" t="s">
        <v>114</v>
      </c>
      <c r="J724" s="20">
        <v>12</v>
      </c>
      <c r="K724" s="34">
        <v>0</v>
      </c>
      <c r="M724" s="19">
        <f>IF(OR(ISBLANK(C724),C724=""),"",ROUND((C724-B724)*24,2))</f>
        <v>13.02</v>
      </c>
      <c r="N724" s="39" t="str">
        <f>IF(OR(ISBLANK(C724),C724="",M724=""),"In Progress",IF(M724&lt;=J724,"Met","Breached"))</f>
        <v>Breached</v>
      </c>
    </row>
    <row r="725" ht="19" customHeight="1" spans="1:14" x14ac:dyDescent="0.25">
      <c r="A725" s="22" t="s">
        <v>839</v>
      </c>
      <c r="B725" s="36">
        <v>46033.98472222222</v>
      </c>
      <c r="C725" s="36">
        <v>46038.88125</v>
      </c>
      <c r="D725" s="22" t="s">
        <v>33</v>
      </c>
      <c r="E725" s="22" t="s">
        <v>69</v>
      </c>
      <c r="F725" s="22" t="s">
        <v>34</v>
      </c>
      <c r="G725" s="22" t="s">
        <v>63</v>
      </c>
      <c r="H725" s="22" t="s">
        <v>71</v>
      </c>
      <c r="I725" s="22" t="s">
        <v>111</v>
      </c>
      <c r="J725" s="23">
        <v>120</v>
      </c>
      <c r="K725" s="37">
        <v>0</v>
      </c>
      <c r="L725" s="37">
        <v>1</v>
      </c>
      <c r="M725" s="22">
        <f>IF(OR(ISBLANK(C725),C725=""),"",ROUND((C725-B725)*24,2))</f>
        <v>117.52</v>
      </c>
      <c r="N725" s="40" t="str">
        <f>IF(OR(ISBLANK(C725),C725="",M725=""),"In Progress",IF(M725&lt;=J725,"Met","Breached"))</f>
        <v>Met</v>
      </c>
    </row>
    <row r="726" ht="19" customHeight="1" spans="1:14" x14ac:dyDescent="0.25">
      <c r="A726" s="19" t="s">
        <v>840</v>
      </c>
      <c r="B726" s="33">
        <v>45680.55972222222</v>
      </c>
      <c r="D726" s="19" t="s">
        <v>39</v>
      </c>
      <c r="E726" s="19" t="s">
        <v>65</v>
      </c>
      <c r="F726" s="19" t="s">
        <v>43</v>
      </c>
      <c r="G726" s="19" t="s">
        <v>63</v>
      </c>
      <c r="H726" s="19" t="s">
        <v>59</v>
      </c>
      <c r="I726" s="19" t="s">
        <v>147</v>
      </c>
      <c r="J726" s="20">
        <v>48</v>
      </c>
      <c r="K726" s="34">
        <v>0</v>
      </c>
      <c r="M726" s="19" t="str">
        <f>IF(OR(ISBLANK(C726),C726=""),"",ROUND((C726-B726)*24,2))</f>
        <v/>
      </c>
      <c r="N726" s="19" t="str">
        <f>IF(OR(ISBLANK(C726),C726="",M726=""),"In Progress",IF(M726&lt;=J726,"Met","Breached"))</f>
        <v>In Progress</v>
      </c>
    </row>
    <row r="727" ht="19" customHeight="1" spans="1:14" x14ac:dyDescent="0.25">
      <c r="A727" s="22" t="s">
        <v>841</v>
      </c>
      <c r="B727" s="36">
        <v>46060.65138888889</v>
      </c>
      <c r="C727" s="36">
        <v>46063.04513888889</v>
      </c>
      <c r="D727" s="22" t="s">
        <v>33</v>
      </c>
      <c r="E727" s="22" t="s">
        <v>65</v>
      </c>
      <c r="F727" s="22" t="s">
        <v>37</v>
      </c>
      <c r="G727" s="22" t="s">
        <v>63</v>
      </c>
      <c r="H727" s="22" t="s">
        <v>59</v>
      </c>
      <c r="I727" s="22" t="s">
        <v>111</v>
      </c>
      <c r="J727" s="23">
        <v>48</v>
      </c>
      <c r="K727" s="37">
        <v>0</v>
      </c>
      <c r="L727" s="37">
        <v>1</v>
      </c>
      <c r="M727" s="22">
        <f>IF(OR(ISBLANK(C727),C727=""),"",ROUND((C727-B727)*24,2))</f>
        <v>57.45</v>
      </c>
      <c r="N727" s="38" t="str">
        <f>IF(OR(ISBLANK(C727),C727="",M727=""),"In Progress",IF(M727&lt;=J727,"Met","Breached"))</f>
        <v>Breached</v>
      </c>
    </row>
    <row r="728" ht="19" customHeight="1" spans="1:14" x14ac:dyDescent="0.25">
      <c r="A728" s="19" t="s">
        <v>842</v>
      </c>
      <c r="B728" s="33">
        <v>46184.11388888889</v>
      </c>
      <c r="C728" s="33">
        <v>46184.9375</v>
      </c>
      <c r="D728" s="19" t="s">
        <v>33</v>
      </c>
      <c r="E728" s="19" t="s">
        <v>61</v>
      </c>
      <c r="F728" s="19" t="s">
        <v>40</v>
      </c>
      <c r="G728" s="19" t="s">
        <v>63</v>
      </c>
      <c r="H728" s="19" t="s">
        <v>71</v>
      </c>
      <c r="I728" s="19" t="s">
        <v>108</v>
      </c>
      <c r="J728" s="20">
        <v>12</v>
      </c>
      <c r="K728" s="34">
        <v>0</v>
      </c>
      <c r="L728" s="34">
        <v>5</v>
      </c>
      <c r="M728" s="19">
        <f>IF(OR(ISBLANK(C728),C728=""),"",ROUND((C728-B728)*24,2))</f>
        <v>19.77</v>
      </c>
      <c r="N728" s="39" t="str">
        <f>IF(OR(ISBLANK(C728),C728="",M728=""),"In Progress",IF(M728&lt;=J728,"Met","Breached"))</f>
        <v>Breached</v>
      </c>
    </row>
    <row r="729" ht="19" customHeight="1" spans="1:14" x14ac:dyDescent="0.25">
      <c r="A729" s="22" t="s">
        <v>843</v>
      </c>
      <c r="B729" s="36">
        <v>46002.42361111111</v>
      </c>
      <c r="D729" s="22" t="s">
        <v>42</v>
      </c>
      <c r="E729" s="22" t="s">
        <v>65</v>
      </c>
      <c r="F729" s="22" t="s">
        <v>43</v>
      </c>
      <c r="G729" s="22" t="s">
        <v>121</v>
      </c>
      <c r="H729" s="22" t="s">
        <v>63</v>
      </c>
      <c r="I729" s="22" t="s">
        <v>147</v>
      </c>
      <c r="J729" s="23">
        <v>48</v>
      </c>
      <c r="K729" s="37">
        <v>0</v>
      </c>
      <c r="M729" s="22" t="str">
        <f>IF(OR(ISBLANK(C729),C729=""),"",ROUND((C729-B729)*24,2))</f>
        <v/>
      </c>
      <c r="N729" s="22" t="str">
        <f>IF(OR(ISBLANK(C729),C729="",M729=""),"In Progress",IF(M729&lt;=J729,"Met","Breached"))</f>
        <v>In Progress</v>
      </c>
    </row>
    <row r="730" ht="19" customHeight="1" spans="1:14" x14ac:dyDescent="0.25">
      <c r="A730" s="19" t="s">
        <v>844</v>
      </c>
      <c r="B730" s="33">
        <v>45818.62361111111</v>
      </c>
      <c r="C730" s="33">
        <v>45822.04027777778</v>
      </c>
      <c r="D730" s="19" t="s">
        <v>33</v>
      </c>
      <c r="E730" s="19" t="s">
        <v>65</v>
      </c>
      <c r="F730" s="19" t="s">
        <v>40</v>
      </c>
      <c r="G730" s="19" t="s">
        <v>121</v>
      </c>
      <c r="H730" s="19" t="s">
        <v>63</v>
      </c>
      <c r="I730" s="19" t="s">
        <v>123</v>
      </c>
      <c r="J730" s="20">
        <v>48</v>
      </c>
      <c r="K730" s="34">
        <v>0</v>
      </c>
      <c r="M730" s="19">
        <f>IF(OR(ISBLANK(C730),C730=""),"",ROUND((C730-B730)*24,2))</f>
        <v>82</v>
      </c>
      <c r="N730" s="39" t="str">
        <f>IF(OR(ISBLANK(C730),C730="",M730=""),"In Progress",IF(M730&lt;=J730,"Met","Breached"))</f>
        <v>Breached</v>
      </c>
    </row>
    <row r="731" ht="19" customHeight="1" spans="1:14" x14ac:dyDescent="0.25">
      <c r="A731" s="22" t="s">
        <v>845</v>
      </c>
      <c r="B731" s="36">
        <v>45868.38541666667</v>
      </c>
      <c r="C731" s="36">
        <v>45876.22916666667</v>
      </c>
      <c r="D731" s="22" t="s">
        <v>33</v>
      </c>
      <c r="E731" s="22" t="s">
        <v>69</v>
      </c>
      <c r="F731" s="22" t="s">
        <v>43</v>
      </c>
      <c r="G731" s="22" t="s">
        <v>116</v>
      </c>
      <c r="H731" s="22" t="s">
        <v>59</v>
      </c>
      <c r="I731" s="22" t="s">
        <v>111</v>
      </c>
      <c r="J731" s="23">
        <v>120</v>
      </c>
      <c r="K731" s="37">
        <v>0</v>
      </c>
      <c r="L731" s="37">
        <v>2</v>
      </c>
      <c r="M731" s="22">
        <f>IF(OR(ISBLANK(C731),C731=""),"",ROUND((C731-B731)*24,2))</f>
        <v>188.25</v>
      </c>
      <c r="N731" s="38" t="str">
        <f>IF(OR(ISBLANK(C731),C731="",M731=""),"In Progress",IF(M731&lt;=J731,"Met","Breached"))</f>
        <v>Breached</v>
      </c>
    </row>
    <row r="732" ht="19" customHeight="1" spans="1:14" x14ac:dyDescent="0.25">
      <c r="A732" s="19" t="s">
        <v>846</v>
      </c>
      <c r="B732" s="33">
        <v>46116.12361111111</v>
      </c>
      <c r="C732" s="33">
        <v>46120.8875</v>
      </c>
      <c r="D732" s="19" t="s">
        <v>33</v>
      </c>
      <c r="E732" s="19" t="s">
        <v>69</v>
      </c>
      <c r="F732" s="19" t="s">
        <v>34</v>
      </c>
      <c r="G732" s="19" t="s">
        <v>113</v>
      </c>
      <c r="H732" s="19" t="s">
        <v>63</v>
      </c>
      <c r="I732" s="19" t="s">
        <v>111</v>
      </c>
      <c r="J732" s="20">
        <v>120</v>
      </c>
      <c r="K732" s="34">
        <v>0</v>
      </c>
      <c r="L732" s="34">
        <v>1</v>
      </c>
      <c r="M732" s="19">
        <f>IF(OR(ISBLANK(C732),C732=""),"",ROUND((C732-B732)*24,2))</f>
        <v>114.33</v>
      </c>
      <c r="N732" s="35" t="str">
        <f>IF(OR(ISBLANK(C732),C732="",M732=""),"In Progress",IF(M732&lt;=J732,"Met","Breached"))</f>
        <v>Met</v>
      </c>
    </row>
    <row r="733" ht="19" customHeight="1" spans="1:14" x14ac:dyDescent="0.25">
      <c r="A733" s="22" t="s">
        <v>847</v>
      </c>
      <c r="B733" s="36">
        <v>46092.558333333334</v>
      </c>
      <c r="C733" s="36">
        <v>46095.67361111111</v>
      </c>
      <c r="D733" s="22" t="s">
        <v>36</v>
      </c>
      <c r="E733" s="22" t="s">
        <v>65</v>
      </c>
      <c r="F733" s="22" t="s">
        <v>45</v>
      </c>
      <c r="G733" s="22" t="s">
        <v>63</v>
      </c>
      <c r="H733" s="22" t="s">
        <v>59</v>
      </c>
      <c r="I733" s="22" t="s">
        <v>108</v>
      </c>
      <c r="J733" s="23">
        <v>48</v>
      </c>
      <c r="K733" s="37">
        <v>0</v>
      </c>
      <c r="L733" s="37">
        <v>4</v>
      </c>
      <c r="M733" s="22">
        <f>IF(OR(ISBLANK(C733),C733=""),"",ROUND((C733-B733)*24,2))</f>
        <v>74.77</v>
      </c>
      <c r="N733" s="38" t="str">
        <f>IF(OR(ISBLANK(C733),C733="",M733=""),"In Progress",IF(M733&lt;=J733,"Met","Breached"))</f>
        <v>Breached</v>
      </c>
    </row>
    <row r="734" ht="19" customHeight="1" spans="1:14" x14ac:dyDescent="0.25">
      <c r="A734" s="19" t="s">
        <v>848</v>
      </c>
      <c r="B734" s="33">
        <v>45837.48611111111</v>
      </c>
      <c r="C734" s="33">
        <v>45840.38611111111</v>
      </c>
      <c r="D734" s="19" t="s">
        <v>36</v>
      </c>
      <c r="E734" s="19" t="s">
        <v>65</v>
      </c>
      <c r="F734" s="19" t="s">
        <v>40</v>
      </c>
      <c r="G734" s="19" t="s">
        <v>110</v>
      </c>
      <c r="H734" s="19" t="s">
        <v>59</v>
      </c>
      <c r="I734" s="19" t="s">
        <v>123</v>
      </c>
      <c r="J734" s="20">
        <v>48</v>
      </c>
      <c r="K734" s="34">
        <v>0</v>
      </c>
      <c r="L734" s="34">
        <v>3</v>
      </c>
      <c r="M734" s="19">
        <f>IF(OR(ISBLANK(C734),C734=""),"",ROUND((C734-B734)*24,2))</f>
        <v>69.6</v>
      </c>
      <c r="N734" s="39" t="str">
        <f>IF(OR(ISBLANK(C734),C734="",M734=""),"In Progress",IF(M734&lt;=J734,"Met","Breached"))</f>
        <v>Breached</v>
      </c>
    </row>
    <row r="735" ht="19" customHeight="1" spans="1:14" x14ac:dyDescent="0.25">
      <c r="A735" s="22" t="s">
        <v>849</v>
      </c>
      <c r="B735" s="36">
        <v>45889.97361111111</v>
      </c>
      <c r="C735" s="36">
        <v>45894.080555555556</v>
      </c>
      <c r="D735" s="22" t="s">
        <v>33</v>
      </c>
      <c r="E735" s="22" t="s">
        <v>69</v>
      </c>
      <c r="F735" s="22" t="s">
        <v>34</v>
      </c>
      <c r="G735" s="22" t="s">
        <v>113</v>
      </c>
      <c r="H735" s="22" t="s">
        <v>59</v>
      </c>
      <c r="I735" s="22" t="s">
        <v>108</v>
      </c>
      <c r="J735" s="23">
        <v>120</v>
      </c>
      <c r="K735" s="37">
        <v>0</v>
      </c>
      <c r="L735" s="37">
        <v>2</v>
      </c>
      <c r="M735" s="22">
        <f>IF(OR(ISBLANK(C735),C735=""),"",ROUND((C735-B735)*24,2))</f>
        <v>98.57</v>
      </c>
      <c r="N735" s="40" t="str">
        <f>IF(OR(ISBLANK(C735),C735="",M735=""),"In Progress",IF(M735&lt;=J735,"Met","Breached"))</f>
        <v>Met</v>
      </c>
    </row>
    <row r="736" ht="19" customHeight="1" spans="1:14" x14ac:dyDescent="0.25">
      <c r="A736" s="19" t="s">
        <v>850</v>
      </c>
      <c r="B736" s="33">
        <v>46177.38125</v>
      </c>
      <c r="C736" s="33">
        <v>46182.99375</v>
      </c>
      <c r="D736" s="19" t="s">
        <v>33</v>
      </c>
      <c r="E736" s="19" t="s">
        <v>69</v>
      </c>
      <c r="F736" s="19" t="s">
        <v>37</v>
      </c>
      <c r="G736" s="19" t="s">
        <v>110</v>
      </c>
      <c r="H736" s="19" t="s">
        <v>59</v>
      </c>
      <c r="I736" s="19" t="s">
        <v>108</v>
      </c>
      <c r="J736" s="20">
        <v>120</v>
      </c>
      <c r="K736" s="34">
        <v>0</v>
      </c>
      <c r="M736" s="19">
        <f>IF(OR(ISBLANK(C736),C736=""),"",ROUND((C736-B736)*24,2))</f>
        <v>134.7</v>
      </c>
      <c r="N736" s="39" t="str">
        <f>IF(OR(ISBLANK(C736),C736="",M736=""),"In Progress",IF(M736&lt;=J736,"Met","Breached"))</f>
        <v>Breached</v>
      </c>
    </row>
    <row r="737" ht="19" customHeight="1" spans="1:14" x14ac:dyDescent="0.25">
      <c r="A737" s="22" t="s">
        <v>851</v>
      </c>
      <c r="B737" s="36">
        <v>45899.175</v>
      </c>
      <c r="D737" s="22" t="s">
        <v>42</v>
      </c>
      <c r="E737" s="22" t="s">
        <v>65</v>
      </c>
      <c r="F737" s="22" t="s">
        <v>45</v>
      </c>
      <c r="G737" s="22" t="s">
        <v>121</v>
      </c>
      <c r="H737" s="22" t="s">
        <v>59</v>
      </c>
      <c r="I737" s="22" t="s">
        <v>123</v>
      </c>
      <c r="J737" s="23">
        <v>48</v>
      </c>
      <c r="K737" s="37">
        <v>0</v>
      </c>
      <c r="M737" s="22" t="str">
        <f>IF(OR(ISBLANK(C737),C737=""),"",ROUND((C737-B737)*24,2))</f>
        <v/>
      </c>
      <c r="N737" s="22" t="str">
        <f>IF(OR(ISBLANK(C737),C737="",M737=""),"In Progress",IF(M737&lt;=J737,"Met","Breached"))</f>
        <v>In Progress</v>
      </c>
    </row>
    <row r="738" ht="19" customHeight="1" spans="1:14" x14ac:dyDescent="0.25">
      <c r="A738" s="19" t="s">
        <v>852</v>
      </c>
      <c r="B738" s="33">
        <v>45862.586805555555</v>
      </c>
      <c r="D738" s="19" t="s">
        <v>39</v>
      </c>
      <c r="E738" s="19" t="s">
        <v>65</v>
      </c>
      <c r="F738" s="19" t="s">
        <v>34</v>
      </c>
      <c r="G738" s="19" t="s">
        <v>63</v>
      </c>
      <c r="H738" s="19" t="s">
        <v>67</v>
      </c>
      <c r="I738" s="19" t="s">
        <v>123</v>
      </c>
      <c r="J738" s="20">
        <v>48</v>
      </c>
      <c r="K738" s="34">
        <v>0</v>
      </c>
      <c r="M738" s="19" t="str">
        <f>IF(OR(ISBLANK(C738),C738=""),"",ROUND((C738-B738)*24,2))</f>
        <v/>
      </c>
      <c r="N738" s="19" t="str">
        <f>IF(OR(ISBLANK(C738),C738="",M738=""),"In Progress",IF(M738&lt;=J738,"Met","Breached"))</f>
        <v>In Progress</v>
      </c>
    </row>
    <row r="739" ht="19" customHeight="1" spans="1:14" x14ac:dyDescent="0.25">
      <c r="A739" s="22" t="s">
        <v>853</v>
      </c>
      <c r="B739" s="36">
        <v>45847.63333333333</v>
      </c>
      <c r="C739" s="36">
        <v>45849.72361111111</v>
      </c>
      <c r="D739" s="22" t="s">
        <v>33</v>
      </c>
      <c r="E739" s="22" t="s">
        <v>65</v>
      </c>
      <c r="F739" s="22" t="s">
        <v>34</v>
      </c>
      <c r="G739" s="22" t="s">
        <v>110</v>
      </c>
      <c r="H739" s="22" t="s">
        <v>63</v>
      </c>
      <c r="I739" s="22" t="s">
        <v>114</v>
      </c>
      <c r="J739" s="23">
        <v>48</v>
      </c>
      <c r="K739" s="37">
        <v>0</v>
      </c>
      <c r="L739" s="37">
        <v>5</v>
      </c>
      <c r="M739" s="22">
        <f>IF(OR(ISBLANK(C739),C739=""),"",ROUND((C739-B739)*24,2))</f>
        <v>50.17</v>
      </c>
      <c r="N739" s="38" t="str">
        <f>IF(OR(ISBLANK(C739),C739="",M739=""),"In Progress",IF(M739&lt;=J739,"Met","Breached"))</f>
        <v>Breached</v>
      </c>
    </row>
    <row r="740" ht="19" customHeight="1" spans="1:14" x14ac:dyDescent="0.25">
      <c r="A740" s="19" t="s">
        <v>854</v>
      </c>
      <c r="B740" s="33">
        <v>46039.57916666666</v>
      </c>
      <c r="C740" s="33">
        <v>46040.04652777778</v>
      </c>
      <c r="D740" s="19" t="s">
        <v>36</v>
      </c>
      <c r="E740" s="19" t="s">
        <v>61</v>
      </c>
      <c r="F740" s="19" t="s">
        <v>34</v>
      </c>
      <c r="G740" s="19" t="s">
        <v>121</v>
      </c>
      <c r="H740" s="19" t="s">
        <v>59</v>
      </c>
      <c r="I740" s="19" t="s">
        <v>114</v>
      </c>
      <c r="J740" s="20">
        <v>12</v>
      </c>
      <c r="K740" s="34">
        <v>0</v>
      </c>
      <c r="M740" s="19">
        <f>IF(OR(ISBLANK(C740),C740=""),"",ROUND((C740-B740)*24,2))</f>
        <v>11.22</v>
      </c>
      <c r="N740" s="35" t="str">
        <f>IF(OR(ISBLANK(C740),C740="",M740=""),"In Progress",IF(M740&lt;=J740,"Met","Breached"))</f>
        <v>Met</v>
      </c>
    </row>
    <row r="741" ht="19" customHeight="1" spans="1:14" x14ac:dyDescent="0.25">
      <c r="A741" s="22" t="s">
        <v>855</v>
      </c>
      <c r="B741" s="36">
        <v>46058.02083333333</v>
      </c>
      <c r="C741" s="36">
        <v>46058.853472222225</v>
      </c>
      <c r="D741" s="22" t="s">
        <v>33</v>
      </c>
      <c r="E741" s="22" t="s">
        <v>65</v>
      </c>
      <c r="F741" s="22" t="s">
        <v>34</v>
      </c>
      <c r="G741" s="22" t="s">
        <v>113</v>
      </c>
      <c r="H741" s="22" t="s">
        <v>59</v>
      </c>
      <c r="I741" s="22" t="s">
        <v>114</v>
      </c>
      <c r="J741" s="23">
        <v>48</v>
      </c>
      <c r="K741" s="37">
        <v>0</v>
      </c>
      <c r="L741" s="37">
        <v>3</v>
      </c>
      <c r="M741" s="22">
        <f>IF(OR(ISBLANK(C741),C741=""),"",ROUND((C741-B741)*24,2))</f>
        <v>19.98</v>
      </c>
      <c r="N741" s="40" t="str">
        <f>IF(OR(ISBLANK(C741),C741="",M741=""),"In Progress",IF(M741&lt;=J741,"Met","Breached"))</f>
        <v>Met</v>
      </c>
    </row>
    <row r="742" ht="19" customHeight="1" spans="1:14" x14ac:dyDescent="0.25">
      <c r="A742" s="19" t="s">
        <v>856</v>
      </c>
      <c r="B742" s="33">
        <v>46134.11597222222</v>
      </c>
      <c r="C742" s="33">
        <v>46137.57083333333</v>
      </c>
      <c r="D742" s="19" t="s">
        <v>36</v>
      </c>
      <c r="E742" s="19" t="s">
        <v>65</v>
      </c>
      <c r="F742" s="19" t="s">
        <v>40</v>
      </c>
      <c r="G742" s="19" t="s">
        <v>113</v>
      </c>
      <c r="H742" s="19" t="s">
        <v>59</v>
      </c>
      <c r="I742" s="19" t="s">
        <v>123</v>
      </c>
      <c r="J742" s="20">
        <v>48</v>
      </c>
      <c r="K742" s="34">
        <v>0</v>
      </c>
      <c r="L742" s="34">
        <v>4</v>
      </c>
      <c r="M742" s="19">
        <f>IF(OR(ISBLANK(C742),C742=""),"",ROUND((C742-B742)*24,2))</f>
        <v>82.92</v>
      </c>
      <c r="N742" s="39" t="str">
        <f>IF(OR(ISBLANK(C742),C742="",M742=""),"In Progress",IF(M742&lt;=J742,"Met","Breached"))</f>
        <v>Breached</v>
      </c>
    </row>
    <row r="743" ht="19" customHeight="1" spans="1:14" x14ac:dyDescent="0.25">
      <c r="A743" s="22" t="s">
        <v>857</v>
      </c>
      <c r="B743" s="36">
        <v>45711.48819444445</v>
      </c>
      <c r="C743" s="36">
        <v>45711.836111111115</v>
      </c>
      <c r="D743" s="22" t="s">
        <v>33</v>
      </c>
      <c r="E743" s="22" t="s">
        <v>61</v>
      </c>
      <c r="F743" s="22" t="s">
        <v>43</v>
      </c>
      <c r="G743" s="22" t="s">
        <v>113</v>
      </c>
      <c r="H743" s="22" t="s">
        <v>63</v>
      </c>
      <c r="I743" s="22" t="s">
        <v>123</v>
      </c>
      <c r="J743" s="23">
        <v>12</v>
      </c>
      <c r="K743" s="37">
        <v>0</v>
      </c>
      <c r="L743" s="37">
        <v>4</v>
      </c>
      <c r="M743" s="22">
        <f>IF(OR(ISBLANK(C743),C743=""),"",ROUND((C743-B743)*24,2))</f>
        <v>8.35</v>
      </c>
      <c r="N743" s="40" t="str">
        <f>IF(OR(ISBLANK(C743),C743="",M743=""),"In Progress",IF(M743&lt;=J743,"Met","Breached"))</f>
        <v>Met</v>
      </c>
    </row>
    <row r="744" ht="19" customHeight="1" spans="1:14" x14ac:dyDescent="0.25">
      <c r="A744" s="19" t="s">
        <v>858</v>
      </c>
      <c r="B744" s="33">
        <v>45890.34097222222</v>
      </c>
      <c r="C744" s="33">
        <v>45890.69791666667</v>
      </c>
      <c r="D744" s="19" t="s">
        <v>36</v>
      </c>
      <c r="E744" s="19" t="s">
        <v>61</v>
      </c>
      <c r="F744" s="19" t="s">
        <v>43</v>
      </c>
      <c r="G744" s="19" t="s">
        <v>126</v>
      </c>
      <c r="H744" s="19" t="s">
        <v>63</v>
      </c>
      <c r="I744" s="19" t="s">
        <v>114</v>
      </c>
      <c r="J744" s="20">
        <v>12</v>
      </c>
      <c r="K744" s="34">
        <v>0</v>
      </c>
      <c r="M744" s="19">
        <f>IF(OR(ISBLANK(C744),C744=""),"",ROUND((C744-B744)*24,2))</f>
        <v>8.57</v>
      </c>
      <c r="N744" s="35" t="str">
        <f>IF(OR(ISBLANK(C744),C744="",M744=""),"In Progress",IF(M744&lt;=J744,"Met","Breached"))</f>
        <v>Met</v>
      </c>
    </row>
    <row r="745" ht="19" customHeight="1" spans="1:14" x14ac:dyDescent="0.25">
      <c r="A745" s="22" t="s">
        <v>859</v>
      </c>
      <c r="B745" s="36">
        <v>46009.777083333334</v>
      </c>
      <c r="C745" s="36">
        <v>46012.959027777775</v>
      </c>
      <c r="D745" s="22" t="s">
        <v>33</v>
      </c>
      <c r="E745" s="22" t="s">
        <v>65</v>
      </c>
      <c r="F745" s="22" t="s">
        <v>34</v>
      </c>
      <c r="G745" s="22" t="s">
        <v>116</v>
      </c>
      <c r="H745" s="22" t="s">
        <v>67</v>
      </c>
      <c r="I745" s="22" t="s">
        <v>117</v>
      </c>
      <c r="J745" s="23">
        <v>48</v>
      </c>
      <c r="K745" s="37">
        <v>0</v>
      </c>
      <c r="L745" s="37">
        <v>5</v>
      </c>
      <c r="M745" s="22">
        <f>IF(OR(ISBLANK(C745),C745=""),"",ROUND((C745-B745)*24,2))</f>
        <v>76.37</v>
      </c>
      <c r="N745" s="38" t="str">
        <f>IF(OR(ISBLANK(C745),C745="",M745=""),"In Progress",IF(M745&lt;=J745,"Met","Breached"))</f>
        <v>Breached</v>
      </c>
    </row>
    <row r="746" ht="19" customHeight="1" spans="1:14" x14ac:dyDescent="0.25">
      <c r="A746" s="19" t="s">
        <v>860</v>
      </c>
      <c r="B746" s="33">
        <v>45703.29583333334</v>
      </c>
      <c r="C746" s="33">
        <v>45706.67291666666</v>
      </c>
      <c r="D746" s="19" t="s">
        <v>33</v>
      </c>
      <c r="E746" s="19" t="s">
        <v>69</v>
      </c>
      <c r="F746" s="19" t="s">
        <v>37</v>
      </c>
      <c r="G746" s="19" t="s">
        <v>110</v>
      </c>
      <c r="H746" s="19" t="s">
        <v>71</v>
      </c>
      <c r="I746" s="19" t="s">
        <v>114</v>
      </c>
      <c r="J746" s="20">
        <v>120</v>
      </c>
      <c r="K746" s="34">
        <v>0</v>
      </c>
      <c r="L746" s="34">
        <v>2</v>
      </c>
      <c r="M746" s="19">
        <f>IF(OR(ISBLANK(C746),C746=""),"",ROUND((C746-B746)*24,2))</f>
        <v>81.05</v>
      </c>
      <c r="N746" s="35" t="str">
        <f>IF(OR(ISBLANK(C746),C746="",M746=""),"In Progress",IF(M746&lt;=J746,"Met","Breached"))</f>
        <v>Met</v>
      </c>
    </row>
    <row r="747" ht="19" customHeight="1" spans="1:14" x14ac:dyDescent="0.25">
      <c r="A747" s="22" t="s">
        <v>861</v>
      </c>
      <c r="B747" s="36">
        <v>46010.47708333333</v>
      </c>
      <c r="C747" s="36">
        <v>46013.725</v>
      </c>
      <c r="D747" s="22" t="s">
        <v>36</v>
      </c>
      <c r="E747" s="22" t="s">
        <v>69</v>
      </c>
      <c r="F747" s="22" t="s">
        <v>40</v>
      </c>
      <c r="G747" s="22" t="s">
        <v>126</v>
      </c>
      <c r="H747" s="22" t="s">
        <v>59</v>
      </c>
      <c r="I747" s="22" t="s">
        <v>147</v>
      </c>
      <c r="J747" s="23">
        <v>120</v>
      </c>
      <c r="K747" s="37">
        <v>0</v>
      </c>
      <c r="L747" s="37">
        <v>1</v>
      </c>
      <c r="M747" s="22">
        <f>IF(OR(ISBLANK(C747),C747=""),"",ROUND((C747-B747)*24,2))</f>
        <v>77.95</v>
      </c>
      <c r="N747" s="40" t="str">
        <f>IF(OR(ISBLANK(C747),C747="",M747=""),"In Progress",IF(M747&lt;=J747,"Met","Breached"))</f>
        <v>Met</v>
      </c>
    </row>
    <row r="748" ht="19" customHeight="1" spans="1:14" x14ac:dyDescent="0.25">
      <c r="A748" s="19" t="s">
        <v>862</v>
      </c>
      <c r="B748" s="33">
        <v>46073.06388888889</v>
      </c>
      <c r="C748" s="33">
        <v>46073.44027777778</v>
      </c>
      <c r="D748" s="19" t="s">
        <v>33</v>
      </c>
      <c r="E748" s="19" t="s">
        <v>61</v>
      </c>
      <c r="F748" s="19" t="s">
        <v>40</v>
      </c>
      <c r="G748" s="19" t="s">
        <v>113</v>
      </c>
      <c r="H748" s="19" t="s">
        <v>63</v>
      </c>
      <c r="I748" s="19" t="s">
        <v>108</v>
      </c>
      <c r="J748" s="20">
        <v>12</v>
      </c>
      <c r="K748" s="34">
        <v>0</v>
      </c>
      <c r="L748" s="34">
        <v>5</v>
      </c>
      <c r="M748" s="19">
        <f>IF(OR(ISBLANK(C748),C748=""),"",ROUND((C748-B748)*24,2))</f>
        <v>9.03</v>
      </c>
      <c r="N748" s="35" t="str">
        <f>IF(OR(ISBLANK(C748),C748="",M748=""),"In Progress",IF(M748&lt;=J748,"Met","Breached"))</f>
        <v>Met</v>
      </c>
    </row>
    <row r="749" ht="19" customHeight="1" spans="1:14" x14ac:dyDescent="0.25">
      <c r="A749" s="22" t="s">
        <v>863</v>
      </c>
      <c r="B749" s="36">
        <v>45964.85486111111</v>
      </c>
      <c r="C749" s="36">
        <v>45965.66805555555</v>
      </c>
      <c r="D749" s="22" t="s">
        <v>33</v>
      </c>
      <c r="E749" s="22" t="s">
        <v>61</v>
      </c>
      <c r="F749" s="22" t="s">
        <v>43</v>
      </c>
      <c r="G749" s="22" t="s">
        <v>116</v>
      </c>
      <c r="H749" s="22" t="s">
        <v>59</v>
      </c>
      <c r="I749" s="22" t="s">
        <v>114</v>
      </c>
      <c r="J749" s="23">
        <v>12</v>
      </c>
      <c r="K749" s="37">
        <v>1</v>
      </c>
      <c r="L749" s="37">
        <v>1</v>
      </c>
      <c r="M749" s="22">
        <f>IF(OR(ISBLANK(C749),C749=""),"",ROUND((C749-B749)*24,2))</f>
        <v>19.52</v>
      </c>
      <c r="N749" s="38" t="str">
        <f>IF(OR(ISBLANK(C749),C749="",M749=""),"In Progress",IF(M749&lt;=J749,"Met","Breached"))</f>
        <v>Breached</v>
      </c>
    </row>
    <row r="750" ht="19" customHeight="1" spans="1:14" x14ac:dyDescent="0.25">
      <c r="A750" s="19" t="s">
        <v>864</v>
      </c>
      <c r="B750" s="33">
        <v>45769.54652777778</v>
      </c>
      <c r="C750" s="33">
        <v>45769.81805555556</v>
      </c>
      <c r="D750" s="19" t="s">
        <v>36</v>
      </c>
      <c r="E750" s="19" t="s">
        <v>61</v>
      </c>
      <c r="F750" s="19" t="s">
        <v>37</v>
      </c>
      <c r="G750" s="19" t="s">
        <v>116</v>
      </c>
      <c r="H750" s="19" t="s">
        <v>63</v>
      </c>
      <c r="I750" s="19" t="s">
        <v>108</v>
      </c>
      <c r="J750" s="20">
        <v>12</v>
      </c>
      <c r="K750" s="34">
        <v>0</v>
      </c>
      <c r="M750" s="19">
        <f>IF(OR(ISBLANK(C750),C750=""),"",ROUND((C750-B750)*24,2))</f>
        <v>6.52</v>
      </c>
      <c r="N750" s="35" t="str">
        <f>IF(OR(ISBLANK(C750),C750="",M750=""),"In Progress",IF(M750&lt;=J750,"Met","Breached"))</f>
        <v>Met</v>
      </c>
    </row>
    <row r="751" ht="19" customHeight="1" spans="1:14" x14ac:dyDescent="0.25">
      <c r="A751" s="22" t="s">
        <v>865</v>
      </c>
      <c r="B751" s="36">
        <v>46254.8625</v>
      </c>
      <c r="C751" s="36">
        <v>46255.584027777775</v>
      </c>
      <c r="D751" s="22" t="s">
        <v>33</v>
      </c>
      <c r="E751" s="22" t="s">
        <v>61</v>
      </c>
      <c r="F751" s="22" t="s">
        <v>40</v>
      </c>
      <c r="G751" s="22" t="s">
        <v>126</v>
      </c>
      <c r="H751" s="22" t="s">
        <v>71</v>
      </c>
      <c r="I751" s="22" t="s">
        <v>111</v>
      </c>
      <c r="J751" s="23">
        <v>12</v>
      </c>
      <c r="K751" s="37">
        <v>0</v>
      </c>
      <c r="L751" s="37">
        <v>1</v>
      </c>
      <c r="M751" s="22">
        <f>IF(OR(ISBLANK(C751),C751=""),"",ROUND((C751-B751)*24,2))</f>
        <v>17.32</v>
      </c>
      <c r="N751" s="38" t="str">
        <f>IF(OR(ISBLANK(C751),C751="",M751=""),"In Progress",IF(M751&lt;=J751,"Met","Breached"))</f>
        <v>Breached</v>
      </c>
    </row>
    <row r="752" ht="19" customHeight="1" spans="1:14" x14ac:dyDescent="0.25">
      <c r="A752" s="19" t="s">
        <v>866</v>
      </c>
      <c r="B752" s="33">
        <v>46248.57847222222</v>
      </c>
      <c r="C752" s="33">
        <v>46248.870833333334</v>
      </c>
      <c r="D752" s="19" t="s">
        <v>36</v>
      </c>
      <c r="E752" s="19" t="s">
        <v>57</v>
      </c>
      <c r="F752" s="19" t="s">
        <v>45</v>
      </c>
      <c r="G752" s="19" t="s">
        <v>113</v>
      </c>
      <c r="H752" s="19" t="s">
        <v>63</v>
      </c>
      <c r="I752" s="19" t="s">
        <v>147</v>
      </c>
      <c r="J752" s="20">
        <v>4</v>
      </c>
      <c r="K752" s="34">
        <v>0</v>
      </c>
      <c r="M752" s="19">
        <f>IF(OR(ISBLANK(C752),C752=""),"",ROUND((C752-B752)*24,2))</f>
        <v>7.02</v>
      </c>
      <c r="N752" s="39" t="str">
        <f>IF(OR(ISBLANK(C752),C752="",M752=""),"In Progress",IF(M752&lt;=J752,"Met","Breached"))</f>
        <v>Breached</v>
      </c>
    </row>
    <row r="753" ht="19" customHeight="1" spans="1:14" x14ac:dyDescent="0.25">
      <c r="A753" s="22" t="s">
        <v>867</v>
      </c>
      <c r="B753" s="36">
        <v>46268.20277777778</v>
      </c>
      <c r="C753" s="36">
        <v>46274.45833333333</v>
      </c>
      <c r="D753" s="22" t="s">
        <v>33</v>
      </c>
      <c r="E753" s="22" t="s">
        <v>69</v>
      </c>
      <c r="F753" s="22" t="s">
        <v>37</v>
      </c>
      <c r="G753" s="22" t="s">
        <v>121</v>
      </c>
      <c r="H753" s="22" t="s">
        <v>59</v>
      </c>
      <c r="I753" s="22" t="s">
        <v>108</v>
      </c>
      <c r="J753" s="23">
        <v>120</v>
      </c>
      <c r="K753" s="37">
        <v>0</v>
      </c>
      <c r="L753" s="37">
        <v>2</v>
      </c>
      <c r="M753" s="22">
        <f>IF(OR(ISBLANK(C753),C753=""),"",ROUND((C753-B753)*24,2))</f>
        <v>150.13</v>
      </c>
      <c r="N753" s="38" t="str">
        <f>IF(OR(ISBLANK(C753),C753="",M753=""),"In Progress",IF(M753&lt;=J753,"Met","Breached"))</f>
        <v>Breached</v>
      </c>
    </row>
    <row r="754" ht="19" customHeight="1" spans="1:14" x14ac:dyDescent="0.25">
      <c r="A754" s="19" t="s">
        <v>868</v>
      </c>
      <c r="B754" s="33">
        <v>45877.69375</v>
      </c>
      <c r="C754" s="33">
        <v>45881.5875</v>
      </c>
      <c r="D754" s="19" t="s">
        <v>33</v>
      </c>
      <c r="E754" s="19" t="s">
        <v>69</v>
      </c>
      <c r="F754" s="19" t="s">
        <v>37</v>
      </c>
      <c r="G754" s="19" t="s">
        <v>121</v>
      </c>
      <c r="H754" s="19" t="s">
        <v>67</v>
      </c>
      <c r="I754" s="19" t="s">
        <v>114</v>
      </c>
      <c r="J754" s="20">
        <v>120</v>
      </c>
      <c r="K754" s="34">
        <v>0</v>
      </c>
      <c r="L754" s="34">
        <v>4</v>
      </c>
      <c r="M754" s="19">
        <f>IF(OR(ISBLANK(C754),C754=""),"",ROUND((C754-B754)*24,2))</f>
        <v>93.45</v>
      </c>
      <c r="N754" s="35" t="str">
        <f>IF(OR(ISBLANK(C754),C754="",M754=""),"In Progress",IF(M754&lt;=J754,"Met","Breached"))</f>
        <v>Met</v>
      </c>
    </row>
    <row r="755" ht="19" customHeight="1" spans="1:14" x14ac:dyDescent="0.25">
      <c r="A755" s="22" t="s">
        <v>869</v>
      </c>
      <c r="B755" s="36">
        <v>46237.74513888889</v>
      </c>
      <c r="C755" s="36">
        <v>46239.60625</v>
      </c>
      <c r="D755" s="22" t="s">
        <v>33</v>
      </c>
      <c r="E755" s="22" t="s">
        <v>69</v>
      </c>
      <c r="F755" s="22" t="s">
        <v>43</v>
      </c>
      <c r="G755" s="22" t="s">
        <v>113</v>
      </c>
      <c r="H755" s="22" t="s">
        <v>67</v>
      </c>
      <c r="I755" s="22" t="s">
        <v>114</v>
      </c>
      <c r="J755" s="23">
        <v>120</v>
      </c>
      <c r="K755" s="37">
        <v>0</v>
      </c>
      <c r="M755" s="22">
        <f>IF(OR(ISBLANK(C755),C755=""),"",ROUND((C755-B755)*24,2))</f>
        <v>44.67</v>
      </c>
      <c r="N755" s="40" t="str">
        <f>IF(OR(ISBLANK(C755),C755="",M755=""),"In Progress",IF(M755&lt;=J755,"Met","Breached"))</f>
        <v>Met</v>
      </c>
    </row>
    <row r="756" ht="19" customHeight="1" spans="1:14" x14ac:dyDescent="0.25">
      <c r="A756" s="19" t="s">
        <v>870</v>
      </c>
      <c r="B756" s="33">
        <v>45747.88680555555</v>
      </c>
      <c r="D756" s="19" t="s">
        <v>39</v>
      </c>
      <c r="E756" s="19" t="s">
        <v>65</v>
      </c>
      <c r="F756" s="19" t="s">
        <v>37</v>
      </c>
      <c r="G756" s="19" t="s">
        <v>116</v>
      </c>
      <c r="H756" s="19" t="s">
        <v>63</v>
      </c>
      <c r="I756" s="19" t="s">
        <v>147</v>
      </c>
      <c r="J756" s="20">
        <v>48</v>
      </c>
      <c r="K756" s="34">
        <v>0</v>
      </c>
      <c r="M756" s="19" t="str">
        <f>IF(OR(ISBLANK(C756),C756=""),"",ROUND((C756-B756)*24,2))</f>
        <v/>
      </c>
      <c r="N756" s="19" t="str">
        <f>IF(OR(ISBLANK(C756),C756="",M756=""),"In Progress",IF(M756&lt;=J756,"Met","Breached"))</f>
        <v>In Progress</v>
      </c>
    </row>
    <row r="757" ht="19" customHeight="1" spans="1:14" x14ac:dyDescent="0.25">
      <c r="A757" s="22" t="s">
        <v>871</v>
      </c>
      <c r="B757" s="36">
        <v>46128.725</v>
      </c>
      <c r="C757" s="36">
        <v>46129.0125</v>
      </c>
      <c r="D757" s="22" t="s">
        <v>33</v>
      </c>
      <c r="E757" s="22" t="s">
        <v>57</v>
      </c>
      <c r="F757" s="22" t="s">
        <v>34</v>
      </c>
      <c r="G757" s="22" t="s">
        <v>110</v>
      </c>
      <c r="H757" s="22" t="s">
        <v>67</v>
      </c>
      <c r="I757" s="22" t="s">
        <v>114</v>
      </c>
      <c r="J757" s="23">
        <v>4</v>
      </c>
      <c r="K757" s="37">
        <v>0</v>
      </c>
      <c r="M757" s="22">
        <f>IF(OR(ISBLANK(C757),C757=""),"",ROUND((C757-B757)*24,2))</f>
        <v>6.9</v>
      </c>
      <c r="N757" s="38" t="str">
        <f>IF(OR(ISBLANK(C757),C757="",M757=""),"In Progress",IF(M757&lt;=J757,"Met","Breached"))</f>
        <v>Breached</v>
      </c>
    </row>
    <row r="758" ht="19" customHeight="1" spans="1:14" x14ac:dyDescent="0.25">
      <c r="A758" s="19" t="s">
        <v>872</v>
      </c>
      <c r="B758" s="33">
        <v>45932.330555555556</v>
      </c>
      <c r="C758" s="33">
        <v>45932.54652777778</v>
      </c>
      <c r="D758" s="19" t="s">
        <v>33</v>
      </c>
      <c r="E758" s="19" t="s">
        <v>61</v>
      </c>
      <c r="F758" s="19" t="s">
        <v>34</v>
      </c>
      <c r="G758" s="19" t="s">
        <v>110</v>
      </c>
      <c r="H758" s="19" t="s">
        <v>63</v>
      </c>
      <c r="I758" s="19" t="s">
        <v>123</v>
      </c>
      <c r="J758" s="20">
        <v>12</v>
      </c>
      <c r="K758" s="34">
        <v>0</v>
      </c>
      <c r="M758" s="19">
        <f>IF(OR(ISBLANK(C758),C758=""),"",ROUND((C758-B758)*24,2))</f>
        <v>5.18</v>
      </c>
      <c r="N758" s="35" t="str">
        <f>IF(OR(ISBLANK(C758),C758="",M758=""),"In Progress",IF(M758&lt;=J758,"Met","Breached"))</f>
        <v>Met</v>
      </c>
    </row>
    <row r="759" ht="19" customHeight="1" spans="1:14" x14ac:dyDescent="0.25">
      <c r="A759" s="22" t="s">
        <v>873</v>
      </c>
      <c r="B759" s="36">
        <v>45746.17847222222</v>
      </c>
      <c r="C759" s="36">
        <v>45746.88958333334</v>
      </c>
      <c r="D759" s="22" t="s">
        <v>33</v>
      </c>
      <c r="E759" s="22" t="s">
        <v>65</v>
      </c>
      <c r="F759" s="22" t="s">
        <v>34</v>
      </c>
      <c r="G759" s="22" t="s">
        <v>113</v>
      </c>
      <c r="H759" s="22" t="s">
        <v>59</v>
      </c>
      <c r="I759" s="22" t="s">
        <v>147</v>
      </c>
      <c r="J759" s="23">
        <v>48</v>
      </c>
      <c r="K759" s="37">
        <v>0</v>
      </c>
      <c r="L759" s="37">
        <v>5</v>
      </c>
      <c r="M759" s="22">
        <f>IF(OR(ISBLANK(C759),C759=""),"",ROUND((C759-B759)*24,2))</f>
        <v>17.07</v>
      </c>
      <c r="N759" s="40" t="str">
        <f>IF(OR(ISBLANK(C759),C759="",M759=""),"In Progress",IF(M759&lt;=J759,"Met","Breached"))</f>
        <v>Met</v>
      </c>
    </row>
    <row r="760" ht="19" customHeight="1" spans="1:14" x14ac:dyDescent="0.25">
      <c r="A760" s="19" t="s">
        <v>874</v>
      </c>
      <c r="B760" s="33">
        <v>45779.415972222225</v>
      </c>
      <c r="C760" s="33">
        <v>45783.52222222222</v>
      </c>
      <c r="D760" s="19" t="s">
        <v>33</v>
      </c>
      <c r="E760" s="19" t="s">
        <v>69</v>
      </c>
      <c r="F760" s="19" t="s">
        <v>45</v>
      </c>
      <c r="G760" s="19" t="s">
        <v>116</v>
      </c>
      <c r="H760" s="19" t="s">
        <v>59</v>
      </c>
      <c r="I760" s="19" t="s">
        <v>117</v>
      </c>
      <c r="J760" s="20">
        <v>120</v>
      </c>
      <c r="K760" s="34">
        <v>0</v>
      </c>
      <c r="L760" s="34">
        <v>1</v>
      </c>
      <c r="M760" s="19">
        <f>IF(OR(ISBLANK(C760),C760=""),"",ROUND((C760-B760)*24,2))</f>
        <v>98.55</v>
      </c>
      <c r="N760" s="35" t="str">
        <f>IF(OR(ISBLANK(C760),C760="",M760=""),"In Progress",IF(M760&lt;=J760,"Met","Breached"))</f>
        <v>Met</v>
      </c>
    </row>
    <row r="761" ht="19" customHeight="1" spans="1:14" x14ac:dyDescent="0.25">
      <c r="A761" s="22" t="s">
        <v>875</v>
      </c>
      <c r="B761" s="36">
        <v>46074.131944444445</v>
      </c>
      <c r="D761" s="22" t="s">
        <v>42</v>
      </c>
      <c r="E761" s="22" t="s">
        <v>61</v>
      </c>
      <c r="F761" s="22" t="s">
        <v>37</v>
      </c>
      <c r="G761" s="22" t="s">
        <v>116</v>
      </c>
      <c r="H761" s="22" t="s">
        <v>67</v>
      </c>
      <c r="I761" s="22" t="s">
        <v>114</v>
      </c>
      <c r="J761" s="23">
        <v>12</v>
      </c>
      <c r="K761" s="37">
        <v>0</v>
      </c>
      <c r="M761" s="22" t="str">
        <f>IF(OR(ISBLANK(C761),C761=""),"",ROUND((C761-B761)*24,2))</f>
        <v/>
      </c>
      <c r="N761" s="22" t="str">
        <f>IF(OR(ISBLANK(C761),C761="",M761=""),"In Progress",IF(M761&lt;=J761,"Met","Breached"))</f>
        <v>In Progress</v>
      </c>
    </row>
    <row r="762" ht="19" customHeight="1" spans="1:14" x14ac:dyDescent="0.25">
      <c r="A762" s="19" t="s">
        <v>876</v>
      </c>
      <c r="B762" s="33">
        <v>46136.245833333334</v>
      </c>
      <c r="C762" s="33">
        <v>46139.18819444445</v>
      </c>
      <c r="D762" s="19" t="s">
        <v>33</v>
      </c>
      <c r="E762" s="19" t="s">
        <v>65</v>
      </c>
      <c r="F762" s="19" t="s">
        <v>45</v>
      </c>
      <c r="G762" s="19" t="s">
        <v>113</v>
      </c>
      <c r="H762" s="19" t="s">
        <v>63</v>
      </c>
      <c r="I762" s="19" t="s">
        <v>108</v>
      </c>
      <c r="J762" s="20">
        <v>48</v>
      </c>
      <c r="K762" s="34">
        <v>0</v>
      </c>
      <c r="L762" s="34">
        <v>3</v>
      </c>
      <c r="M762" s="19">
        <f>IF(OR(ISBLANK(C762),C762=""),"",ROUND((C762-B762)*24,2))</f>
        <v>70.62</v>
      </c>
      <c r="N762" s="39" t="str">
        <f>IF(OR(ISBLANK(C762),C762="",M762=""),"In Progress",IF(M762&lt;=J762,"Met","Breached"))</f>
        <v>Breached</v>
      </c>
    </row>
    <row r="763" ht="19" customHeight="1" spans="1:14" x14ac:dyDescent="0.25">
      <c r="A763" s="22" t="s">
        <v>877</v>
      </c>
      <c r="B763" s="36">
        <v>45765.80208333333</v>
      </c>
      <c r="C763" s="36">
        <v>45766.896527777775</v>
      </c>
      <c r="D763" s="22" t="s">
        <v>33</v>
      </c>
      <c r="E763" s="22" t="s">
        <v>65</v>
      </c>
      <c r="F763" s="22" t="s">
        <v>45</v>
      </c>
      <c r="G763" s="22" t="s">
        <v>126</v>
      </c>
      <c r="H763" s="22" t="s">
        <v>59</v>
      </c>
      <c r="I763" s="22" t="s">
        <v>147</v>
      </c>
      <c r="J763" s="23">
        <v>48</v>
      </c>
      <c r="K763" s="37">
        <v>0</v>
      </c>
      <c r="M763" s="22">
        <f>IF(OR(ISBLANK(C763),C763=""),"",ROUND((C763-B763)*24,2))</f>
        <v>26.27</v>
      </c>
      <c r="N763" s="40" t="str">
        <f>IF(OR(ISBLANK(C763),C763="",M763=""),"In Progress",IF(M763&lt;=J763,"Met","Breached"))</f>
        <v>Met</v>
      </c>
    </row>
    <row r="764" ht="19" customHeight="1" spans="1:14" x14ac:dyDescent="0.25">
      <c r="A764" s="19" t="s">
        <v>878</v>
      </c>
      <c r="B764" s="33">
        <v>46211.68819444445</v>
      </c>
      <c r="C764" s="33">
        <v>46213.72986111111</v>
      </c>
      <c r="D764" s="19" t="s">
        <v>36</v>
      </c>
      <c r="E764" s="19" t="s">
        <v>65</v>
      </c>
      <c r="F764" s="19" t="s">
        <v>34</v>
      </c>
      <c r="G764" s="19" t="s">
        <v>63</v>
      </c>
      <c r="H764" s="19" t="s">
        <v>59</v>
      </c>
      <c r="I764" s="19" t="s">
        <v>117</v>
      </c>
      <c r="J764" s="20">
        <v>48</v>
      </c>
      <c r="K764" s="34">
        <v>0</v>
      </c>
      <c r="M764" s="19">
        <f>IF(OR(ISBLANK(C764),C764=""),"",ROUND((C764-B764)*24,2))</f>
        <v>49</v>
      </c>
      <c r="N764" s="39" t="str">
        <f>IF(OR(ISBLANK(C764),C764="",M764=""),"In Progress",IF(M764&lt;=J764,"Met","Breached"))</f>
        <v>Breached</v>
      </c>
    </row>
    <row r="765" ht="19" customHeight="1" spans="1:14" x14ac:dyDescent="0.25">
      <c r="A765" s="22" t="s">
        <v>879</v>
      </c>
      <c r="B765" s="36">
        <v>46132.33472222222</v>
      </c>
      <c r="C765" s="36">
        <v>46132.74097222222</v>
      </c>
      <c r="D765" s="22" t="s">
        <v>36</v>
      </c>
      <c r="E765" s="22" t="s">
        <v>61</v>
      </c>
      <c r="F765" s="22" t="s">
        <v>40</v>
      </c>
      <c r="G765" s="22" t="s">
        <v>110</v>
      </c>
      <c r="H765" s="22" t="s">
        <v>71</v>
      </c>
      <c r="I765" s="22" t="s">
        <v>147</v>
      </c>
      <c r="J765" s="23">
        <v>12</v>
      </c>
      <c r="K765" s="37">
        <v>0</v>
      </c>
      <c r="M765" s="22">
        <f>IF(OR(ISBLANK(C765),C765=""),"",ROUND((C765-B765)*24,2))</f>
        <v>9.75</v>
      </c>
      <c r="N765" s="40" t="str">
        <f>IF(OR(ISBLANK(C765),C765="",M765=""),"In Progress",IF(M765&lt;=J765,"Met","Breached"))</f>
        <v>Met</v>
      </c>
    </row>
    <row r="766" ht="19" customHeight="1" spans="1:14" x14ac:dyDescent="0.25">
      <c r="A766" s="19" t="s">
        <v>880</v>
      </c>
      <c r="B766" s="33">
        <v>46027.78611111111</v>
      </c>
      <c r="C766" s="33">
        <v>46031.03194444445</v>
      </c>
      <c r="D766" s="19" t="s">
        <v>33</v>
      </c>
      <c r="E766" s="19" t="s">
        <v>65</v>
      </c>
      <c r="F766" s="19" t="s">
        <v>37</v>
      </c>
      <c r="G766" s="19" t="s">
        <v>121</v>
      </c>
      <c r="H766" s="19" t="s">
        <v>59</v>
      </c>
      <c r="I766" s="19" t="s">
        <v>147</v>
      </c>
      <c r="J766" s="20">
        <v>48</v>
      </c>
      <c r="K766" s="34">
        <v>0</v>
      </c>
      <c r="L766" s="34">
        <v>3</v>
      </c>
      <c r="M766" s="19">
        <f>IF(OR(ISBLANK(C766),C766=""),"",ROUND((C766-B766)*24,2))</f>
        <v>77.9</v>
      </c>
      <c r="N766" s="39" t="str">
        <f>IF(OR(ISBLANK(C766),C766="",M766=""),"In Progress",IF(M766&lt;=J766,"Met","Breached"))</f>
        <v>Breached</v>
      </c>
    </row>
    <row r="767" ht="19" customHeight="1" spans="1:14" x14ac:dyDescent="0.25">
      <c r="A767" s="22" t="s">
        <v>881</v>
      </c>
      <c r="B767" s="36">
        <v>46161.347916666666</v>
      </c>
      <c r="C767" s="36">
        <v>46161.98611111111</v>
      </c>
      <c r="D767" s="22" t="s">
        <v>36</v>
      </c>
      <c r="E767" s="22" t="s">
        <v>61</v>
      </c>
      <c r="F767" s="22" t="s">
        <v>37</v>
      </c>
      <c r="G767" s="22" t="s">
        <v>126</v>
      </c>
      <c r="H767" s="22" t="s">
        <v>71</v>
      </c>
      <c r="I767" s="22" t="s">
        <v>111</v>
      </c>
      <c r="J767" s="23">
        <v>12</v>
      </c>
      <c r="K767" s="37">
        <v>0</v>
      </c>
      <c r="M767" s="22">
        <f>IF(OR(ISBLANK(C767),C767=""),"",ROUND((C767-B767)*24,2))</f>
        <v>15.32</v>
      </c>
      <c r="N767" s="38" t="str">
        <f>IF(OR(ISBLANK(C767),C767="",M767=""),"In Progress",IF(M767&lt;=J767,"Met","Breached"))</f>
        <v>Breached</v>
      </c>
    </row>
    <row r="768" ht="19" customHeight="1" spans="1:14" x14ac:dyDescent="0.25">
      <c r="A768" s="19" t="s">
        <v>882</v>
      </c>
      <c r="B768" s="33">
        <v>45921.902083333334</v>
      </c>
      <c r="C768" s="33">
        <v>45922.45277777778</v>
      </c>
      <c r="D768" s="19" t="s">
        <v>36</v>
      </c>
      <c r="E768" s="19" t="s">
        <v>61</v>
      </c>
      <c r="F768" s="19" t="s">
        <v>40</v>
      </c>
      <c r="G768" s="19" t="s">
        <v>63</v>
      </c>
      <c r="H768" s="19" t="s">
        <v>59</v>
      </c>
      <c r="I768" s="19" t="s">
        <v>123</v>
      </c>
      <c r="J768" s="20">
        <v>12</v>
      </c>
      <c r="K768" s="34">
        <v>0</v>
      </c>
      <c r="L768" s="34">
        <v>1</v>
      </c>
      <c r="M768" s="19">
        <f>IF(OR(ISBLANK(C768),C768=""),"",ROUND((C768-B768)*24,2))</f>
        <v>13.22</v>
      </c>
      <c r="N768" s="39" t="str">
        <f>IF(OR(ISBLANK(C768),C768="",M768=""),"In Progress",IF(M768&lt;=J768,"Met","Breached"))</f>
        <v>Breached</v>
      </c>
    </row>
    <row r="769" ht="19" customHeight="1" spans="1:14" x14ac:dyDescent="0.25">
      <c r="A769" s="22" t="s">
        <v>883</v>
      </c>
      <c r="B769" s="36">
        <v>46286.8875</v>
      </c>
      <c r="C769" s="36">
        <v>46289.96388888889</v>
      </c>
      <c r="D769" s="22" t="s">
        <v>36</v>
      </c>
      <c r="E769" s="22" t="s">
        <v>65</v>
      </c>
      <c r="F769" s="22" t="s">
        <v>34</v>
      </c>
      <c r="G769" s="22" t="s">
        <v>121</v>
      </c>
      <c r="H769" s="22" t="s">
        <v>63</v>
      </c>
      <c r="I769" s="22" t="s">
        <v>147</v>
      </c>
      <c r="J769" s="23">
        <v>48</v>
      </c>
      <c r="K769" s="37">
        <v>0</v>
      </c>
      <c r="L769" s="37">
        <v>4</v>
      </c>
      <c r="M769" s="22">
        <f>IF(OR(ISBLANK(C769),C769=""),"",ROUND((C769-B769)*24,2))</f>
        <v>73.83</v>
      </c>
      <c r="N769" s="38" t="str">
        <f>IF(OR(ISBLANK(C769),C769="",M769=""),"In Progress",IF(M769&lt;=J769,"Met","Breached"))</f>
        <v>Breached</v>
      </c>
    </row>
    <row r="770" ht="19" customHeight="1" spans="1:14" x14ac:dyDescent="0.25">
      <c r="A770" s="19" t="s">
        <v>884</v>
      </c>
      <c r="B770" s="33">
        <v>45989.11458333333</v>
      </c>
      <c r="C770" s="33">
        <v>45989.42569444445</v>
      </c>
      <c r="D770" s="19" t="s">
        <v>33</v>
      </c>
      <c r="E770" s="19" t="s">
        <v>61</v>
      </c>
      <c r="F770" s="19" t="s">
        <v>45</v>
      </c>
      <c r="G770" s="19" t="s">
        <v>121</v>
      </c>
      <c r="H770" s="19" t="s">
        <v>63</v>
      </c>
      <c r="I770" s="19" t="s">
        <v>111</v>
      </c>
      <c r="J770" s="20">
        <v>12</v>
      </c>
      <c r="K770" s="34">
        <v>0</v>
      </c>
      <c r="L770" s="34">
        <v>3</v>
      </c>
      <c r="M770" s="19">
        <f>IF(OR(ISBLANK(C770),C770=""),"",ROUND((C770-B770)*24,2))</f>
        <v>7.47</v>
      </c>
      <c r="N770" s="35" t="str">
        <f>IF(OR(ISBLANK(C770),C770="",M770=""),"In Progress",IF(M770&lt;=J770,"Met","Breached"))</f>
        <v>Met</v>
      </c>
    </row>
    <row r="771" ht="19" customHeight="1" spans="1:14" x14ac:dyDescent="0.25">
      <c r="A771" s="22" t="s">
        <v>885</v>
      </c>
      <c r="B771" s="36">
        <v>45767.71041666667</v>
      </c>
      <c r="C771" s="36">
        <v>45770.34861111111</v>
      </c>
      <c r="D771" s="22" t="s">
        <v>36</v>
      </c>
      <c r="E771" s="22" t="s">
        <v>65</v>
      </c>
      <c r="F771" s="22" t="s">
        <v>37</v>
      </c>
      <c r="G771" s="22" t="s">
        <v>116</v>
      </c>
      <c r="H771" s="22" t="s">
        <v>63</v>
      </c>
      <c r="I771" s="22" t="s">
        <v>123</v>
      </c>
      <c r="J771" s="23">
        <v>48</v>
      </c>
      <c r="K771" s="37">
        <v>0</v>
      </c>
      <c r="L771" s="37">
        <v>1</v>
      </c>
      <c r="M771" s="22">
        <f>IF(OR(ISBLANK(C771),C771=""),"",ROUND((C771-B771)*24,2))</f>
        <v>63.32</v>
      </c>
      <c r="N771" s="38" t="str">
        <f>IF(OR(ISBLANK(C771),C771="",M771=""),"In Progress",IF(M771&lt;=J771,"Met","Breached"))</f>
        <v>Breached</v>
      </c>
    </row>
    <row r="772" ht="19" customHeight="1" spans="1:14" x14ac:dyDescent="0.25">
      <c r="A772" s="19" t="s">
        <v>886</v>
      </c>
      <c r="B772" s="33">
        <v>46264.16805555555</v>
      </c>
      <c r="C772" s="33">
        <v>46264.37430555555</v>
      </c>
      <c r="D772" s="19" t="s">
        <v>33</v>
      </c>
      <c r="E772" s="19" t="s">
        <v>61</v>
      </c>
      <c r="F772" s="19" t="s">
        <v>43</v>
      </c>
      <c r="G772" s="19" t="s">
        <v>121</v>
      </c>
      <c r="H772" s="19" t="s">
        <v>59</v>
      </c>
      <c r="I772" s="19" t="s">
        <v>147</v>
      </c>
      <c r="J772" s="20">
        <v>12</v>
      </c>
      <c r="K772" s="34">
        <v>0</v>
      </c>
      <c r="M772" s="19">
        <f>IF(OR(ISBLANK(C772),C772=""),"",ROUND((C772-B772)*24,2))</f>
        <v>4.95</v>
      </c>
      <c r="N772" s="35" t="str">
        <f>IF(OR(ISBLANK(C772),C772="",M772=""),"In Progress",IF(M772&lt;=J772,"Met","Breached"))</f>
        <v>Met</v>
      </c>
    </row>
    <row r="773" ht="19" customHeight="1" spans="1:14" x14ac:dyDescent="0.25">
      <c r="A773" s="22" t="s">
        <v>887</v>
      </c>
      <c r="B773" s="36">
        <v>46271.42361111111</v>
      </c>
      <c r="C773" s="36">
        <v>46273.97777777778</v>
      </c>
      <c r="D773" s="22" t="s">
        <v>33</v>
      </c>
      <c r="E773" s="22" t="s">
        <v>65</v>
      </c>
      <c r="F773" s="22" t="s">
        <v>37</v>
      </c>
      <c r="G773" s="22" t="s">
        <v>126</v>
      </c>
      <c r="H773" s="22" t="s">
        <v>63</v>
      </c>
      <c r="I773" s="22" t="s">
        <v>108</v>
      </c>
      <c r="J773" s="23">
        <v>48</v>
      </c>
      <c r="K773" s="37">
        <v>0</v>
      </c>
      <c r="L773" s="37">
        <v>1</v>
      </c>
      <c r="M773" s="22">
        <f>IF(OR(ISBLANK(C773),C773=""),"",ROUND((C773-B773)*24,2))</f>
        <v>61.3</v>
      </c>
      <c r="N773" s="38" t="str">
        <f>IF(OR(ISBLANK(C773),C773="",M773=""),"In Progress",IF(M773&lt;=J773,"Met","Breached"))</f>
        <v>Breached</v>
      </c>
    </row>
    <row r="774" ht="19" customHeight="1" spans="1:14" x14ac:dyDescent="0.25">
      <c r="A774" s="19" t="s">
        <v>888</v>
      </c>
      <c r="B774" s="33">
        <v>45778.768055555556</v>
      </c>
      <c r="C774" s="33">
        <v>45780.03958333333</v>
      </c>
      <c r="D774" s="19" t="s">
        <v>33</v>
      </c>
      <c r="E774" s="19" t="s">
        <v>65</v>
      </c>
      <c r="F774" s="19" t="s">
        <v>45</v>
      </c>
      <c r="G774" s="19" t="s">
        <v>116</v>
      </c>
      <c r="H774" s="19" t="s">
        <v>63</v>
      </c>
      <c r="I774" s="19" t="s">
        <v>147</v>
      </c>
      <c r="J774" s="20">
        <v>48</v>
      </c>
      <c r="K774" s="34">
        <v>1</v>
      </c>
      <c r="L774" s="34">
        <v>5</v>
      </c>
      <c r="M774" s="19">
        <f>IF(OR(ISBLANK(C774),C774=""),"",ROUND((C774-B774)*24,2))</f>
        <v>30.52</v>
      </c>
      <c r="N774" s="35" t="str">
        <f>IF(OR(ISBLANK(C774),C774="",M774=""),"In Progress",IF(M774&lt;=J774,"Met","Breached"))</f>
        <v>Met</v>
      </c>
    </row>
    <row r="775" ht="19" customHeight="1" spans="1:14" x14ac:dyDescent="0.25">
      <c r="A775" s="22" t="s">
        <v>889</v>
      </c>
      <c r="B775" s="36">
        <v>46005.37638888889</v>
      </c>
      <c r="C775" s="36">
        <v>46008.669444444444</v>
      </c>
      <c r="D775" s="22" t="s">
        <v>36</v>
      </c>
      <c r="E775" s="22" t="s">
        <v>65</v>
      </c>
      <c r="F775" s="22" t="s">
        <v>34</v>
      </c>
      <c r="G775" s="22" t="s">
        <v>116</v>
      </c>
      <c r="H775" s="22" t="s">
        <v>67</v>
      </c>
      <c r="I775" s="22" t="s">
        <v>117</v>
      </c>
      <c r="J775" s="23">
        <v>48</v>
      </c>
      <c r="K775" s="37">
        <v>0</v>
      </c>
      <c r="M775" s="22">
        <f>IF(OR(ISBLANK(C775),C775=""),"",ROUND((C775-B775)*24,2))</f>
        <v>79.03</v>
      </c>
      <c r="N775" s="38" t="str">
        <f>IF(OR(ISBLANK(C775),C775="",M775=""),"In Progress",IF(M775&lt;=J775,"Met","Breached"))</f>
        <v>Breached</v>
      </c>
    </row>
    <row r="776" ht="19" customHeight="1" spans="1:14" x14ac:dyDescent="0.25">
      <c r="A776" s="19" t="s">
        <v>890</v>
      </c>
      <c r="B776" s="33">
        <v>46084.68194444444</v>
      </c>
      <c r="C776" s="33">
        <v>46089.65972222222</v>
      </c>
      <c r="D776" s="19" t="s">
        <v>33</v>
      </c>
      <c r="E776" s="19" t="s">
        <v>69</v>
      </c>
      <c r="F776" s="19" t="s">
        <v>34</v>
      </c>
      <c r="G776" s="19" t="s">
        <v>126</v>
      </c>
      <c r="H776" s="19" t="s">
        <v>71</v>
      </c>
      <c r="I776" s="19" t="s">
        <v>117</v>
      </c>
      <c r="J776" s="20">
        <v>120</v>
      </c>
      <c r="K776" s="34">
        <v>1</v>
      </c>
      <c r="L776" s="34">
        <v>3</v>
      </c>
      <c r="M776" s="19">
        <f>IF(OR(ISBLANK(C776),C776=""),"",ROUND((C776-B776)*24,2))</f>
        <v>119.47</v>
      </c>
      <c r="N776" s="35" t="str">
        <f>IF(OR(ISBLANK(C776),C776="",M776=""),"In Progress",IF(M776&lt;=J776,"Met","Breached"))</f>
        <v>Met</v>
      </c>
    </row>
    <row r="777" ht="19" customHeight="1" spans="1:14" x14ac:dyDescent="0.25">
      <c r="A777" s="22" t="s">
        <v>891</v>
      </c>
      <c r="B777" s="36">
        <v>45672.23958333333</v>
      </c>
      <c r="C777" s="36">
        <v>45675.47986111111</v>
      </c>
      <c r="D777" s="22" t="s">
        <v>36</v>
      </c>
      <c r="E777" s="22" t="s">
        <v>65</v>
      </c>
      <c r="F777" s="22" t="s">
        <v>34</v>
      </c>
      <c r="G777" s="22" t="s">
        <v>110</v>
      </c>
      <c r="H777" s="22" t="s">
        <v>63</v>
      </c>
      <c r="I777" s="22" t="s">
        <v>108</v>
      </c>
      <c r="J777" s="23">
        <v>48</v>
      </c>
      <c r="K777" s="37">
        <v>0</v>
      </c>
      <c r="L777" s="37">
        <v>1</v>
      </c>
      <c r="M777" s="22">
        <f>IF(OR(ISBLANK(C777),C777=""),"",ROUND((C777-B777)*24,2))</f>
        <v>77.77</v>
      </c>
      <c r="N777" s="38" t="str">
        <f>IF(OR(ISBLANK(C777),C777="",M777=""),"In Progress",IF(M777&lt;=J777,"Met","Breached"))</f>
        <v>Breached</v>
      </c>
    </row>
    <row r="778" ht="19" customHeight="1" spans="1:14" x14ac:dyDescent="0.25">
      <c r="A778" s="19" t="s">
        <v>892</v>
      </c>
      <c r="B778" s="33">
        <v>45751.14722222222</v>
      </c>
      <c r="D778" s="19" t="s">
        <v>39</v>
      </c>
      <c r="E778" s="19" t="s">
        <v>61</v>
      </c>
      <c r="F778" s="19" t="s">
        <v>45</v>
      </c>
      <c r="G778" s="19" t="s">
        <v>63</v>
      </c>
      <c r="H778" s="19" t="s">
        <v>71</v>
      </c>
      <c r="I778" s="19" t="s">
        <v>108</v>
      </c>
      <c r="J778" s="20">
        <v>12</v>
      </c>
      <c r="K778" s="34">
        <v>0</v>
      </c>
      <c r="M778" s="19" t="str">
        <f>IF(OR(ISBLANK(C778),C778=""),"",ROUND((C778-B778)*24,2))</f>
        <v/>
      </c>
      <c r="N778" s="19" t="str">
        <f>IF(OR(ISBLANK(C778),C778="",M778=""),"In Progress",IF(M778&lt;=J778,"Met","Breached"))</f>
        <v>In Progress</v>
      </c>
    </row>
    <row r="779" ht="19" customHeight="1" spans="1:14" x14ac:dyDescent="0.25">
      <c r="A779" s="22" t="s">
        <v>893</v>
      </c>
      <c r="B779" s="36">
        <v>45880.21041666667</v>
      </c>
      <c r="C779" s="36">
        <v>45880.48125</v>
      </c>
      <c r="D779" s="22" t="s">
        <v>33</v>
      </c>
      <c r="E779" s="22" t="s">
        <v>61</v>
      </c>
      <c r="F779" s="22" t="s">
        <v>40</v>
      </c>
      <c r="G779" s="22" t="s">
        <v>126</v>
      </c>
      <c r="H779" s="22" t="s">
        <v>59</v>
      </c>
      <c r="I779" s="22" t="s">
        <v>123</v>
      </c>
      <c r="J779" s="23">
        <v>12</v>
      </c>
      <c r="K779" s="37">
        <v>0</v>
      </c>
      <c r="L779" s="37">
        <v>1</v>
      </c>
      <c r="M779" s="22">
        <f>IF(OR(ISBLANK(C779),C779=""),"",ROUND((C779-B779)*24,2))</f>
        <v>6.5</v>
      </c>
      <c r="N779" s="40" t="str">
        <f>IF(OR(ISBLANK(C779),C779="",M779=""),"In Progress",IF(M779&lt;=J779,"Met","Breached"))</f>
        <v>Met</v>
      </c>
    </row>
    <row r="780" ht="19" customHeight="1" spans="1:14" x14ac:dyDescent="0.25">
      <c r="A780" s="19" t="s">
        <v>894</v>
      </c>
      <c r="B780" s="33">
        <v>46224.07777777778</v>
      </c>
      <c r="C780" s="33">
        <v>46224.14097222222</v>
      </c>
      <c r="D780" s="19" t="s">
        <v>33</v>
      </c>
      <c r="E780" s="19" t="s">
        <v>57</v>
      </c>
      <c r="F780" s="19" t="s">
        <v>34</v>
      </c>
      <c r="G780" s="19" t="s">
        <v>126</v>
      </c>
      <c r="H780" s="19" t="s">
        <v>71</v>
      </c>
      <c r="I780" s="19" t="s">
        <v>123</v>
      </c>
      <c r="J780" s="20">
        <v>4</v>
      </c>
      <c r="K780" s="34">
        <v>0</v>
      </c>
      <c r="L780" s="34">
        <v>2</v>
      </c>
      <c r="M780" s="19">
        <f>IF(OR(ISBLANK(C780),C780=""),"",ROUND((C780-B780)*24,2))</f>
        <v>1.52</v>
      </c>
      <c r="N780" s="35" t="str">
        <f>IF(OR(ISBLANK(C780),C780="",M780=""),"In Progress",IF(M780&lt;=J780,"Met","Breached"))</f>
        <v>Met</v>
      </c>
    </row>
    <row r="781" ht="19" customHeight="1" spans="1:14" x14ac:dyDescent="0.25">
      <c r="A781" s="22" t="s">
        <v>895</v>
      </c>
      <c r="B781" s="36">
        <v>46176.28055555555</v>
      </c>
      <c r="C781" s="36">
        <v>46176.91666666667</v>
      </c>
      <c r="D781" s="22" t="s">
        <v>33</v>
      </c>
      <c r="E781" s="22" t="s">
        <v>61</v>
      </c>
      <c r="F781" s="22" t="s">
        <v>37</v>
      </c>
      <c r="G781" s="22" t="s">
        <v>126</v>
      </c>
      <c r="H781" s="22" t="s">
        <v>59</v>
      </c>
      <c r="I781" s="22" t="s">
        <v>117</v>
      </c>
      <c r="J781" s="23">
        <v>12</v>
      </c>
      <c r="K781" s="37">
        <v>0</v>
      </c>
      <c r="M781" s="22">
        <f>IF(OR(ISBLANK(C781),C781=""),"",ROUND((C781-B781)*24,2))</f>
        <v>15.27</v>
      </c>
      <c r="N781" s="38" t="str">
        <f>IF(OR(ISBLANK(C781),C781="",M781=""),"In Progress",IF(M781&lt;=J781,"Met","Breached"))</f>
        <v>Breached</v>
      </c>
    </row>
    <row r="782" ht="19" customHeight="1" spans="1:14" x14ac:dyDescent="0.25">
      <c r="A782" s="19" t="s">
        <v>896</v>
      </c>
      <c r="B782" s="33">
        <v>46053.85902777778</v>
      </c>
      <c r="C782" s="33">
        <v>46054.709027777775</v>
      </c>
      <c r="D782" s="19" t="s">
        <v>33</v>
      </c>
      <c r="E782" s="19" t="s">
        <v>61</v>
      </c>
      <c r="F782" s="19" t="s">
        <v>45</v>
      </c>
      <c r="G782" s="19" t="s">
        <v>116</v>
      </c>
      <c r="H782" s="19" t="s">
        <v>63</v>
      </c>
      <c r="I782" s="19" t="s">
        <v>117</v>
      </c>
      <c r="J782" s="20">
        <v>12</v>
      </c>
      <c r="K782" s="34">
        <v>1</v>
      </c>
      <c r="M782" s="19">
        <f>IF(OR(ISBLANK(C782),C782=""),"",ROUND((C782-B782)*24,2))</f>
        <v>20.4</v>
      </c>
      <c r="N782" s="39" t="str">
        <f>IF(OR(ISBLANK(C782),C782="",M782=""),"In Progress",IF(M782&lt;=J782,"Met","Breached"))</f>
        <v>Breached</v>
      </c>
    </row>
    <row r="783" ht="19" customHeight="1" spans="1:14" x14ac:dyDescent="0.25">
      <c r="A783" s="22" t="s">
        <v>897</v>
      </c>
      <c r="B783" s="36">
        <v>45885.89583333333</v>
      </c>
      <c r="C783" s="36">
        <v>45887.57916666666</v>
      </c>
      <c r="D783" s="22" t="s">
        <v>33</v>
      </c>
      <c r="E783" s="22" t="s">
        <v>65</v>
      </c>
      <c r="F783" s="22" t="s">
        <v>45</v>
      </c>
      <c r="G783" s="22" t="s">
        <v>63</v>
      </c>
      <c r="H783" s="22" t="s">
        <v>63</v>
      </c>
      <c r="I783" s="22" t="s">
        <v>114</v>
      </c>
      <c r="J783" s="23">
        <v>48</v>
      </c>
      <c r="K783" s="37">
        <v>0</v>
      </c>
      <c r="M783" s="22">
        <f>IF(OR(ISBLANK(C783),C783=""),"",ROUND((C783-B783)*24,2))</f>
        <v>40.4</v>
      </c>
      <c r="N783" s="40" t="str">
        <f>IF(OR(ISBLANK(C783),C783="",M783=""),"In Progress",IF(M783&lt;=J783,"Met","Breached"))</f>
        <v>Met</v>
      </c>
    </row>
    <row r="784" ht="19" customHeight="1" spans="1:14" x14ac:dyDescent="0.25">
      <c r="A784" s="19" t="s">
        <v>898</v>
      </c>
      <c r="B784" s="33">
        <v>46106.131944444445</v>
      </c>
      <c r="C784" s="33">
        <v>46106.570138888885</v>
      </c>
      <c r="D784" s="19" t="s">
        <v>33</v>
      </c>
      <c r="E784" s="19" t="s">
        <v>61</v>
      </c>
      <c r="F784" s="19" t="s">
        <v>37</v>
      </c>
      <c r="G784" s="19" t="s">
        <v>63</v>
      </c>
      <c r="H784" s="19" t="s">
        <v>67</v>
      </c>
      <c r="I784" s="19" t="s">
        <v>111</v>
      </c>
      <c r="J784" s="20">
        <v>12</v>
      </c>
      <c r="K784" s="34">
        <v>0</v>
      </c>
      <c r="L784" s="34">
        <v>4</v>
      </c>
      <c r="M784" s="19">
        <f>IF(OR(ISBLANK(C784),C784=""),"",ROUND((C784-B784)*24,2))</f>
        <v>10.52</v>
      </c>
      <c r="N784" s="35" t="str">
        <f>IF(OR(ISBLANK(C784),C784="",M784=""),"In Progress",IF(M784&lt;=J784,"Met","Breached"))</f>
        <v>Met</v>
      </c>
    </row>
    <row r="785" ht="19" customHeight="1" spans="1:14" x14ac:dyDescent="0.25">
      <c r="A785" s="22" t="s">
        <v>899</v>
      </c>
      <c r="B785" s="36">
        <v>46058.67569444445</v>
      </c>
      <c r="C785" s="36">
        <v>46059.18611111111</v>
      </c>
      <c r="D785" s="22" t="s">
        <v>33</v>
      </c>
      <c r="E785" s="22" t="s">
        <v>61</v>
      </c>
      <c r="F785" s="22" t="s">
        <v>37</v>
      </c>
      <c r="G785" s="22" t="s">
        <v>113</v>
      </c>
      <c r="H785" s="22" t="s">
        <v>63</v>
      </c>
      <c r="I785" s="22" t="s">
        <v>147</v>
      </c>
      <c r="J785" s="23">
        <v>12</v>
      </c>
      <c r="K785" s="37">
        <v>0</v>
      </c>
      <c r="L785" s="37">
        <v>1</v>
      </c>
      <c r="M785" s="22">
        <f>IF(OR(ISBLANK(C785),C785=""),"",ROUND((C785-B785)*24,2))</f>
        <v>12.25</v>
      </c>
      <c r="N785" s="38" t="str">
        <f>IF(OR(ISBLANK(C785),C785="",M785=""),"In Progress",IF(M785&lt;=J785,"Met","Breached"))</f>
        <v>Breached</v>
      </c>
    </row>
    <row r="786" ht="19" customHeight="1" spans="1:14" x14ac:dyDescent="0.25">
      <c r="A786" s="19" t="s">
        <v>900</v>
      </c>
      <c r="B786" s="33">
        <v>46127.929861111115</v>
      </c>
      <c r="C786" s="33">
        <v>46128.35486111111</v>
      </c>
      <c r="D786" s="19" t="s">
        <v>33</v>
      </c>
      <c r="E786" s="19" t="s">
        <v>61</v>
      </c>
      <c r="F786" s="19" t="s">
        <v>40</v>
      </c>
      <c r="G786" s="19" t="s">
        <v>126</v>
      </c>
      <c r="H786" s="19" t="s">
        <v>71</v>
      </c>
      <c r="I786" s="19" t="s">
        <v>111</v>
      </c>
      <c r="J786" s="20">
        <v>12</v>
      </c>
      <c r="K786" s="34">
        <v>1</v>
      </c>
      <c r="L786" s="34">
        <v>1</v>
      </c>
      <c r="M786" s="19">
        <f>IF(OR(ISBLANK(C786),C786=""),"",ROUND((C786-B786)*24,2))</f>
        <v>10.2</v>
      </c>
      <c r="N786" s="35" t="str">
        <f>IF(OR(ISBLANK(C786),C786="",M786=""),"In Progress",IF(M786&lt;=J786,"Met","Breached"))</f>
        <v>Met</v>
      </c>
    </row>
    <row r="787" ht="19" customHeight="1" spans="1:14" x14ac:dyDescent="0.25">
      <c r="A787" s="22" t="s">
        <v>901</v>
      </c>
      <c r="B787" s="36">
        <v>45922.2625</v>
      </c>
      <c r="C787" s="36">
        <v>45922.54375</v>
      </c>
      <c r="D787" s="22" t="s">
        <v>36</v>
      </c>
      <c r="E787" s="22" t="s">
        <v>61</v>
      </c>
      <c r="F787" s="22" t="s">
        <v>34</v>
      </c>
      <c r="G787" s="22" t="s">
        <v>113</v>
      </c>
      <c r="H787" s="22" t="s">
        <v>63</v>
      </c>
      <c r="I787" s="22" t="s">
        <v>111</v>
      </c>
      <c r="J787" s="23">
        <v>12</v>
      </c>
      <c r="K787" s="37">
        <v>0</v>
      </c>
      <c r="L787" s="37">
        <v>3</v>
      </c>
      <c r="M787" s="22">
        <f>IF(OR(ISBLANK(C787),C787=""),"",ROUND((C787-B787)*24,2))</f>
        <v>6.75</v>
      </c>
      <c r="N787" s="40" t="str">
        <f>IF(OR(ISBLANK(C787),C787="",M787=""),"In Progress",IF(M787&lt;=J787,"Met","Breached"))</f>
        <v>Met</v>
      </c>
    </row>
    <row r="788" ht="19" customHeight="1" spans="1:14" x14ac:dyDescent="0.25">
      <c r="A788" s="19" t="s">
        <v>902</v>
      </c>
      <c r="B788" s="33">
        <v>45711.84375</v>
      </c>
      <c r="D788" s="19" t="s">
        <v>39</v>
      </c>
      <c r="E788" s="19" t="s">
        <v>69</v>
      </c>
      <c r="F788" s="19" t="s">
        <v>45</v>
      </c>
      <c r="G788" s="19" t="s">
        <v>63</v>
      </c>
      <c r="H788" s="19" t="s">
        <v>67</v>
      </c>
      <c r="I788" s="19" t="s">
        <v>114</v>
      </c>
      <c r="J788" s="20">
        <v>120</v>
      </c>
      <c r="K788" s="34">
        <v>0</v>
      </c>
      <c r="M788" s="19" t="str">
        <f>IF(OR(ISBLANK(C788),C788=""),"",ROUND((C788-B788)*24,2))</f>
        <v/>
      </c>
      <c r="N788" s="19" t="str">
        <f>IF(OR(ISBLANK(C788),C788="",M788=""),"In Progress",IF(M788&lt;=J788,"Met","Breached"))</f>
        <v>In Progress</v>
      </c>
    </row>
    <row r="789" ht="19" customHeight="1" spans="1:14" x14ac:dyDescent="0.25">
      <c r="A789" s="22" t="s">
        <v>903</v>
      </c>
      <c r="B789" s="36">
        <v>45873.10277777778</v>
      </c>
      <c r="C789" s="36">
        <v>45875.75625</v>
      </c>
      <c r="D789" s="22" t="s">
        <v>36</v>
      </c>
      <c r="E789" s="22" t="s">
        <v>69</v>
      </c>
      <c r="F789" s="22" t="s">
        <v>34</v>
      </c>
      <c r="G789" s="22" t="s">
        <v>126</v>
      </c>
      <c r="H789" s="22" t="s">
        <v>63</v>
      </c>
      <c r="I789" s="22" t="s">
        <v>117</v>
      </c>
      <c r="J789" s="23">
        <v>120</v>
      </c>
      <c r="K789" s="37">
        <v>0</v>
      </c>
      <c r="L789" s="37">
        <v>4</v>
      </c>
      <c r="M789" s="22">
        <f>IF(OR(ISBLANK(C789),C789=""),"",ROUND((C789-B789)*24,2))</f>
        <v>63.68</v>
      </c>
      <c r="N789" s="40" t="str">
        <f>IF(OR(ISBLANK(C789),C789="",M789=""),"In Progress",IF(M789&lt;=J789,"Met","Breached"))</f>
        <v>Met</v>
      </c>
    </row>
    <row r="790" ht="19" customHeight="1" spans="1:14" x14ac:dyDescent="0.25">
      <c r="A790" s="19" t="s">
        <v>904</v>
      </c>
      <c r="B790" s="33">
        <v>45834.725694444445</v>
      </c>
      <c r="C790" s="33">
        <v>45835.17708333333</v>
      </c>
      <c r="D790" s="19" t="s">
        <v>33</v>
      </c>
      <c r="E790" s="19" t="s">
        <v>61</v>
      </c>
      <c r="F790" s="19" t="s">
        <v>40</v>
      </c>
      <c r="G790" s="19" t="s">
        <v>121</v>
      </c>
      <c r="H790" s="19" t="s">
        <v>63</v>
      </c>
      <c r="I790" s="19" t="s">
        <v>147</v>
      </c>
      <c r="J790" s="20">
        <v>12</v>
      </c>
      <c r="K790" s="34">
        <v>0</v>
      </c>
      <c r="L790" s="34">
        <v>3</v>
      </c>
      <c r="M790" s="19">
        <f>IF(OR(ISBLANK(C790),C790=""),"",ROUND((C790-B790)*24,2))</f>
        <v>10.83</v>
      </c>
      <c r="N790" s="35" t="str">
        <f>IF(OR(ISBLANK(C790),C790="",M790=""),"In Progress",IF(M790&lt;=J790,"Met","Breached"))</f>
        <v>Met</v>
      </c>
    </row>
    <row r="791" ht="19" customHeight="1" spans="1:14" x14ac:dyDescent="0.25">
      <c r="A791" s="22" t="s">
        <v>905</v>
      </c>
      <c r="B791" s="36">
        <v>46058.06875</v>
      </c>
      <c r="C791" s="36">
        <v>46061.15</v>
      </c>
      <c r="D791" s="22" t="s">
        <v>33</v>
      </c>
      <c r="E791" s="22" t="s">
        <v>69</v>
      </c>
      <c r="F791" s="22" t="s">
        <v>45</v>
      </c>
      <c r="G791" s="22" t="s">
        <v>110</v>
      </c>
      <c r="H791" s="22" t="s">
        <v>59</v>
      </c>
      <c r="I791" s="22" t="s">
        <v>111</v>
      </c>
      <c r="J791" s="23">
        <v>120</v>
      </c>
      <c r="K791" s="37">
        <v>0</v>
      </c>
      <c r="L791" s="37">
        <v>5</v>
      </c>
      <c r="M791" s="22">
        <f>IF(OR(ISBLANK(C791),C791=""),"",ROUND((C791-B791)*24,2))</f>
        <v>73.95</v>
      </c>
      <c r="N791" s="40" t="str">
        <f>IF(OR(ISBLANK(C791),C791="",M791=""),"In Progress",IF(M791&lt;=J791,"Met","Breached"))</f>
        <v>Met</v>
      </c>
    </row>
    <row r="792" ht="19" customHeight="1" spans="1:14" x14ac:dyDescent="0.25">
      <c r="A792" s="19" t="s">
        <v>906</v>
      </c>
      <c r="B792" s="33">
        <v>46078.70694444445</v>
      </c>
      <c r="C792" s="33">
        <v>46081.34027777778</v>
      </c>
      <c r="D792" s="19" t="s">
        <v>36</v>
      </c>
      <c r="E792" s="19" t="s">
        <v>65</v>
      </c>
      <c r="F792" s="19" t="s">
        <v>37</v>
      </c>
      <c r="G792" s="19" t="s">
        <v>110</v>
      </c>
      <c r="H792" s="19" t="s">
        <v>63</v>
      </c>
      <c r="I792" s="19" t="s">
        <v>108</v>
      </c>
      <c r="J792" s="20">
        <v>48</v>
      </c>
      <c r="K792" s="34">
        <v>0</v>
      </c>
      <c r="L792" s="34">
        <v>5</v>
      </c>
      <c r="M792" s="19">
        <f>IF(OR(ISBLANK(C792),C792=""),"",ROUND((C792-B792)*24,2))</f>
        <v>63.2</v>
      </c>
      <c r="N792" s="39" t="str">
        <f>IF(OR(ISBLANK(C792),C792="",M792=""),"In Progress",IF(M792&lt;=J792,"Met","Breached"))</f>
        <v>Breached</v>
      </c>
    </row>
    <row r="793" ht="19" customHeight="1" spans="1:14" x14ac:dyDescent="0.25">
      <c r="A793" s="22" t="s">
        <v>907</v>
      </c>
      <c r="B793" s="36">
        <v>45943.24375</v>
      </c>
      <c r="D793" s="22" t="s">
        <v>39</v>
      </c>
      <c r="E793" s="22" t="s">
        <v>69</v>
      </c>
      <c r="F793" s="22" t="s">
        <v>40</v>
      </c>
      <c r="G793" s="22" t="s">
        <v>63</v>
      </c>
      <c r="H793" s="22" t="s">
        <v>63</v>
      </c>
      <c r="I793" s="22" t="s">
        <v>111</v>
      </c>
      <c r="J793" s="23">
        <v>120</v>
      </c>
      <c r="K793" s="37">
        <v>0</v>
      </c>
      <c r="M793" s="22" t="str">
        <f>IF(OR(ISBLANK(C793),C793=""),"",ROUND((C793-B793)*24,2))</f>
        <v/>
      </c>
      <c r="N793" s="22" t="str">
        <f>IF(OR(ISBLANK(C793),C793="",M793=""),"In Progress",IF(M793&lt;=J793,"Met","Breached"))</f>
        <v>In Progress</v>
      </c>
    </row>
    <row r="794" ht="19" customHeight="1" spans="1:14" x14ac:dyDescent="0.25">
      <c r="A794" s="19" t="s">
        <v>908</v>
      </c>
      <c r="B794" s="33">
        <v>46198.39097222222</v>
      </c>
      <c r="C794" s="33">
        <v>46201.51388888889</v>
      </c>
      <c r="D794" s="19" t="s">
        <v>33</v>
      </c>
      <c r="E794" s="19" t="s">
        <v>65</v>
      </c>
      <c r="F794" s="19" t="s">
        <v>43</v>
      </c>
      <c r="G794" s="19" t="s">
        <v>110</v>
      </c>
      <c r="H794" s="19" t="s">
        <v>71</v>
      </c>
      <c r="I794" s="19" t="s">
        <v>111</v>
      </c>
      <c r="J794" s="20">
        <v>48</v>
      </c>
      <c r="K794" s="34">
        <v>0</v>
      </c>
      <c r="L794" s="34">
        <v>5</v>
      </c>
      <c r="M794" s="19">
        <f>IF(OR(ISBLANK(C794),C794=""),"",ROUND((C794-B794)*24,2))</f>
        <v>74.95</v>
      </c>
      <c r="N794" s="39" t="str">
        <f>IF(OR(ISBLANK(C794),C794="",M794=""),"In Progress",IF(M794&lt;=J794,"Met","Breached"))</f>
        <v>Breached</v>
      </c>
    </row>
    <row r="795" ht="19" customHeight="1" spans="1:14" x14ac:dyDescent="0.25">
      <c r="A795" s="22" t="s">
        <v>909</v>
      </c>
      <c r="B795" s="36">
        <v>45979.21736111111</v>
      </c>
      <c r="C795" s="36">
        <v>45979.39791666667</v>
      </c>
      <c r="D795" s="22" t="s">
        <v>36</v>
      </c>
      <c r="E795" s="22" t="s">
        <v>57</v>
      </c>
      <c r="F795" s="22" t="s">
        <v>40</v>
      </c>
      <c r="G795" s="22" t="s">
        <v>116</v>
      </c>
      <c r="H795" s="22" t="s">
        <v>63</v>
      </c>
      <c r="I795" s="22" t="s">
        <v>108</v>
      </c>
      <c r="J795" s="23">
        <v>4</v>
      </c>
      <c r="K795" s="37">
        <v>0</v>
      </c>
      <c r="L795" s="37">
        <v>2</v>
      </c>
      <c r="M795" s="22">
        <f>IF(OR(ISBLANK(C795),C795=""),"",ROUND((C795-B795)*24,2))</f>
        <v>4.33</v>
      </c>
      <c r="N795" s="38" t="str">
        <f>IF(OR(ISBLANK(C795),C795="",M795=""),"In Progress",IF(M795&lt;=J795,"Met","Breached"))</f>
        <v>Breached</v>
      </c>
    </row>
    <row r="796" ht="19" customHeight="1" spans="1:14" x14ac:dyDescent="0.25">
      <c r="A796" s="19" t="s">
        <v>910</v>
      </c>
      <c r="B796" s="33">
        <v>46193.320138888885</v>
      </c>
      <c r="C796" s="33">
        <v>46193.40625</v>
      </c>
      <c r="D796" s="19" t="s">
        <v>33</v>
      </c>
      <c r="E796" s="19" t="s">
        <v>57</v>
      </c>
      <c r="F796" s="19" t="s">
        <v>45</v>
      </c>
      <c r="G796" s="19" t="s">
        <v>63</v>
      </c>
      <c r="H796" s="19" t="s">
        <v>63</v>
      </c>
      <c r="I796" s="19" t="s">
        <v>147</v>
      </c>
      <c r="J796" s="20">
        <v>4</v>
      </c>
      <c r="K796" s="34">
        <v>0</v>
      </c>
      <c r="M796" s="19">
        <f>IF(OR(ISBLANK(C796),C796=""),"",ROUND((C796-B796)*24,2))</f>
        <v>2.07</v>
      </c>
      <c r="N796" s="35" t="str">
        <f>IF(OR(ISBLANK(C796),C796="",M796=""),"In Progress",IF(M796&lt;=J796,"Met","Breached"))</f>
        <v>Met</v>
      </c>
    </row>
    <row r="797" ht="19" customHeight="1" spans="1:14" x14ac:dyDescent="0.25">
      <c r="A797" s="22" t="s">
        <v>911</v>
      </c>
      <c r="B797" s="36">
        <v>46153.0875</v>
      </c>
      <c r="D797" s="22" t="s">
        <v>42</v>
      </c>
      <c r="E797" s="22" t="s">
        <v>65</v>
      </c>
      <c r="F797" s="22" t="s">
        <v>37</v>
      </c>
      <c r="G797" s="22" t="s">
        <v>63</v>
      </c>
      <c r="H797" s="22" t="s">
        <v>67</v>
      </c>
      <c r="I797" s="22" t="s">
        <v>147</v>
      </c>
      <c r="J797" s="23">
        <v>48</v>
      </c>
      <c r="K797" s="37">
        <v>0</v>
      </c>
      <c r="M797" s="22" t="str">
        <f>IF(OR(ISBLANK(C797),C797=""),"",ROUND((C797-B797)*24,2))</f>
        <v/>
      </c>
      <c r="N797" s="22" t="str">
        <f>IF(OR(ISBLANK(C797),C797="",M797=""),"In Progress",IF(M797&lt;=J797,"Met","Breached"))</f>
        <v>In Progress</v>
      </c>
    </row>
    <row r="798" ht="19" customHeight="1" spans="1:14" x14ac:dyDescent="0.25">
      <c r="A798" s="19" t="s">
        <v>912</v>
      </c>
      <c r="B798" s="33">
        <v>46020.711111111115</v>
      </c>
      <c r="C798" s="33">
        <v>46024.03055555555</v>
      </c>
      <c r="D798" s="19" t="s">
        <v>33</v>
      </c>
      <c r="E798" s="19" t="s">
        <v>65</v>
      </c>
      <c r="F798" s="19" t="s">
        <v>37</v>
      </c>
      <c r="G798" s="19" t="s">
        <v>110</v>
      </c>
      <c r="H798" s="19" t="s">
        <v>59</v>
      </c>
      <c r="I798" s="19" t="s">
        <v>108</v>
      </c>
      <c r="J798" s="20">
        <v>48</v>
      </c>
      <c r="K798" s="34">
        <v>0</v>
      </c>
      <c r="L798" s="34">
        <v>4</v>
      </c>
      <c r="M798" s="19">
        <f>IF(OR(ISBLANK(C798),C798=""),"",ROUND((C798-B798)*24,2))</f>
        <v>79.67</v>
      </c>
      <c r="N798" s="39" t="str">
        <f>IF(OR(ISBLANK(C798),C798="",M798=""),"In Progress",IF(M798&lt;=J798,"Met","Breached"))</f>
        <v>Breached</v>
      </c>
    </row>
    <row r="799" ht="19" customHeight="1" spans="1:14" x14ac:dyDescent="0.25">
      <c r="A799" s="22" t="s">
        <v>913</v>
      </c>
      <c r="B799" s="36">
        <v>46226.652083333334</v>
      </c>
      <c r="C799" s="36">
        <v>46228.98888888889</v>
      </c>
      <c r="D799" s="22" t="s">
        <v>33</v>
      </c>
      <c r="E799" s="22" t="s">
        <v>65</v>
      </c>
      <c r="F799" s="22" t="s">
        <v>43</v>
      </c>
      <c r="G799" s="22" t="s">
        <v>116</v>
      </c>
      <c r="H799" s="22" t="s">
        <v>63</v>
      </c>
      <c r="I799" s="22" t="s">
        <v>147</v>
      </c>
      <c r="J799" s="23">
        <v>48</v>
      </c>
      <c r="K799" s="37">
        <v>0</v>
      </c>
      <c r="M799" s="22">
        <f>IF(OR(ISBLANK(C799),C799=""),"",ROUND((C799-B799)*24,2))</f>
        <v>56.08</v>
      </c>
      <c r="N799" s="38" t="str">
        <f>IF(OR(ISBLANK(C799),C799="",M799=""),"In Progress",IF(M799&lt;=J799,"Met","Breached"))</f>
        <v>Breached</v>
      </c>
    </row>
    <row r="800" ht="19" customHeight="1" spans="1:14" x14ac:dyDescent="0.25">
      <c r="A800" s="19" t="s">
        <v>914</v>
      </c>
      <c r="B800" s="33">
        <v>46280.211805555555</v>
      </c>
      <c r="C800" s="33">
        <v>46282.02222222222</v>
      </c>
      <c r="D800" s="19" t="s">
        <v>33</v>
      </c>
      <c r="E800" s="19" t="s">
        <v>65</v>
      </c>
      <c r="F800" s="19" t="s">
        <v>45</v>
      </c>
      <c r="G800" s="19" t="s">
        <v>113</v>
      </c>
      <c r="H800" s="19" t="s">
        <v>59</v>
      </c>
      <c r="I800" s="19" t="s">
        <v>117</v>
      </c>
      <c r="J800" s="20">
        <v>48</v>
      </c>
      <c r="K800" s="34">
        <v>0</v>
      </c>
      <c r="M800" s="19">
        <f>IF(OR(ISBLANK(C800),C800=""),"",ROUND((C800-B800)*24,2))</f>
        <v>43.45</v>
      </c>
      <c r="N800" s="35" t="str">
        <f>IF(OR(ISBLANK(C800),C800="",M800=""),"In Progress",IF(M800&lt;=J800,"Met","Breached"))</f>
        <v>Met</v>
      </c>
    </row>
    <row r="801" ht="19" customHeight="1" spans="1:14" x14ac:dyDescent="0.25">
      <c r="A801" s="22" t="s">
        <v>915</v>
      </c>
      <c r="B801" s="36">
        <v>45822.700694444444</v>
      </c>
      <c r="C801" s="36">
        <v>45823.39444444445</v>
      </c>
      <c r="D801" s="22" t="s">
        <v>33</v>
      </c>
      <c r="E801" s="22" t="s">
        <v>65</v>
      </c>
      <c r="F801" s="22" t="s">
        <v>40</v>
      </c>
      <c r="G801" s="22" t="s">
        <v>63</v>
      </c>
      <c r="H801" s="22" t="s">
        <v>63</v>
      </c>
      <c r="I801" s="22" t="s">
        <v>147</v>
      </c>
      <c r="J801" s="23">
        <v>48</v>
      </c>
      <c r="K801" s="37">
        <v>0</v>
      </c>
      <c r="M801" s="22">
        <f>IF(OR(ISBLANK(C801),C801=""),"",ROUND((C801-B801)*24,2))</f>
        <v>16.65</v>
      </c>
      <c r="N801" s="40" t="str">
        <f>IF(OR(ISBLANK(C801),C801="",M801=""),"In Progress",IF(M801&lt;=J801,"Met","Breached"))</f>
        <v>Met</v>
      </c>
    </row>
    <row r="802" ht="19" customHeight="1" spans="1:14" x14ac:dyDescent="0.25">
      <c r="A802" s="19" t="s">
        <v>916</v>
      </c>
      <c r="B802" s="33">
        <v>46107.53194444445</v>
      </c>
      <c r="C802" s="33">
        <v>46115.32361111111</v>
      </c>
      <c r="D802" s="19" t="s">
        <v>33</v>
      </c>
      <c r="E802" s="19" t="s">
        <v>69</v>
      </c>
      <c r="F802" s="19" t="s">
        <v>40</v>
      </c>
      <c r="G802" s="19" t="s">
        <v>116</v>
      </c>
      <c r="H802" s="19" t="s">
        <v>67</v>
      </c>
      <c r="I802" s="19" t="s">
        <v>114</v>
      </c>
      <c r="J802" s="20">
        <v>120</v>
      </c>
      <c r="K802" s="34">
        <v>0</v>
      </c>
      <c r="L802" s="34">
        <v>4</v>
      </c>
      <c r="M802" s="19">
        <f>IF(OR(ISBLANK(C802),C802=""),"",ROUND((C802-B802)*24,2))</f>
        <v>187</v>
      </c>
      <c r="N802" s="39" t="str">
        <f>IF(OR(ISBLANK(C802),C802="",M802=""),"In Progress",IF(M802&lt;=J802,"Met","Breached"))</f>
        <v>Breached</v>
      </c>
    </row>
    <row r="803" ht="19" customHeight="1" spans="1:14" x14ac:dyDescent="0.25">
      <c r="A803" s="22" t="s">
        <v>917</v>
      </c>
      <c r="B803" s="36">
        <v>46070.353472222225</v>
      </c>
      <c r="C803" s="36">
        <v>46070.506944444445</v>
      </c>
      <c r="D803" s="22" t="s">
        <v>33</v>
      </c>
      <c r="E803" s="22" t="s">
        <v>57</v>
      </c>
      <c r="F803" s="22" t="s">
        <v>43</v>
      </c>
      <c r="G803" s="22" t="s">
        <v>63</v>
      </c>
      <c r="H803" s="22" t="s">
        <v>63</v>
      </c>
      <c r="I803" s="22" t="s">
        <v>117</v>
      </c>
      <c r="J803" s="23">
        <v>4</v>
      </c>
      <c r="K803" s="37">
        <v>0</v>
      </c>
      <c r="L803" s="37">
        <v>4</v>
      </c>
      <c r="M803" s="22">
        <f>IF(OR(ISBLANK(C803),C803=""),"",ROUND((C803-B803)*24,2))</f>
        <v>3.68</v>
      </c>
      <c r="N803" s="40" t="str">
        <f>IF(OR(ISBLANK(C803),C803="",M803=""),"In Progress",IF(M803&lt;=J803,"Met","Breached"))</f>
        <v>Met</v>
      </c>
    </row>
    <row r="804" ht="19" customHeight="1" spans="1:14" x14ac:dyDescent="0.25">
      <c r="A804" s="19" t="s">
        <v>918</v>
      </c>
      <c r="B804" s="33">
        <v>46014.16805555555</v>
      </c>
      <c r="C804" s="33">
        <v>46014.933333333334</v>
      </c>
      <c r="D804" s="19" t="s">
        <v>33</v>
      </c>
      <c r="E804" s="19" t="s">
        <v>65</v>
      </c>
      <c r="F804" s="19" t="s">
        <v>34</v>
      </c>
      <c r="G804" s="19" t="s">
        <v>110</v>
      </c>
      <c r="H804" s="19" t="s">
        <v>63</v>
      </c>
      <c r="I804" s="19" t="s">
        <v>117</v>
      </c>
      <c r="J804" s="20">
        <v>48</v>
      </c>
      <c r="K804" s="34">
        <v>0</v>
      </c>
      <c r="M804" s="19">
        <f>IF(OR(ISBLANK(C804),C804=""),"",ROUND((C804-B804)*24,2))</f>
        <v>18.37</v>
      </c>
      <c r="N804" s="35" t="str">
        <f>IF(OR(ISBLANK(C804),C804="",M804=""),"In Progress",IF(M804&lt;=J804,"Met","Breached"))</f>
        <v>Met</v>
      </c>
    </row>
    <row r="805" ht="19" customHeight="1" spans="1:14" x14ac:dyDescent="0.25">
      <c r="A805" s="22" t="s">
        <v>919</v>
      </c>
      <c r="B805" s="36">
        <v>45980.93888888889</v>
      </c>
      <c r="C805" s="36">
        <v>45981.111805555556</v>
      </c>
      <c r="D805" s="22" t="s">
        <v>33</v>
      </c>
      <c r="E805" s="22" t="s">
        <v>61</v>
      </c>
      <c r="F805" s="22" t="s">
        <v>45</v>
      </c>
      <c r="G805" s="22" t="s">
        <v>126</v>
      </c>
      <c r="H805" s="22" t="s">
        <v>59</v>
      </c>
      <c r="I805" s="22" t="s">
        <v>108</v>
      </c>
      <c r="J805" s="23">
        <v>12</v>
      </c>
      <c r="K805" s="37">
        <v>0</v>
      </c>
      <c r="L805" s="37">
        <v>5</v>
      </c>
      <c r="M805" s="22">
        <f>IF(OR(ISBLANK(C805),C805=""),"",ROUND((C805-B805)*24,2))</f>
        <v>4.15</v>
      </c>
      <c r="N805" s="40" t="str">
        <f>IF(OR(ISBLANK(C805),C805="",M805=""),"In Progress",IF(M805&lt;=J805,"Met","Breached"))</f>
        <v>Met</v>
      </c>
    </row>
    <row r="806" ht="19" customHeight="1" spans="1:14" x14ac:dyDescent="0.25">
      <c r="A806" s="19" t="s">
        <v>920</v>
      </c>
      <c r="B806" s="33">
        <v>46110.509722222225</v>
      </c>
      <c r="C806" s="33">
        <v>46110.89583333333</v>
      </c>
      <c r="D806" s="19" t="s">
        <v>33</v>
      </c>
      <c r="E806" s="19" t="s">
        <v>61</v>
      </c>
      <c r="F806" s="19" t="s">
        <v>40</v>
      </c>
      <c r="G806" s="19" t="s">
        <v>63</v>
      </c>
      <c r="H806" s="19" t="s">
        <v>63</v>
      </c>
      <c r="I806" s="19" t="s">
        <v>117</v>
      </c>
      <c r="J806" s="20">
        <v>12</v>
      </c>
      <c r="K806" s="34">
        <v>0</v>
      </c>
      <c r="M806" s="19">
        <f>IF(OR(ISBLANK(C806),C806=""),"",ROUND((C806-B806)*24,2))</f>
        <v>9.27</v>
      </c>
      <c r="N806" s="35" t="str">
        <f>IF(OR(ISBLANK(C806),C806="",M806=""),"In Progress",IF(M806&lt;=J806,"Met","Breached"))</f>
        <v>Met</v>
      </c>
    </row>
    <row r="807" ht="19" customHeight="1" spans="1:14" x14ac:dyDescent="0.25">
      <c r="A807" s="22" t="s">
        <v>921</v>
      </c>
      <c r="B807" s="36">
        <v>45869.67083333334</v>
      </c>
      <c r="D807" s="22" t="s">
        <v>39</v>
      </c>
      <c r="E807" s="22" t="s">
        <v>65</v>
      </c>
      <c r="F807" s="22" t="s">
        <v>45</v>
      </c>
      <c r="G807" s="22" t="s">
        <v>110</v>
      </c>
      <c r="H807" s="22" t="s">
        <v>71</v>
      </c>
      <c r="I807" s="22" t="s">
        <v>114</v>
      </c>
      <c r="J807" s="23">
        <v>48</v>
      </c>
      <c r="K807" s="37">
        <v>0</v>
      </c>
      <c r="M807" s="22" t="str">
        <f>IF(OR(ISBLANK(C807),C807=""),"",ROUND((C807-B807)*24,2))</f>
        <v/>
      </c>
      <c r="N807" s="22" t="str">
        <f>IF(OR(ISBLANK(C807),C807="",M807=""),"In Progress",IF(M807&lt;=J807,"Met","Breached"))</f>
        <v>In Progress</v>
      </c>
    </row>
    <row r="808" ht="19" customHeight="1" spans="1:14" x14ac:dyDescent="0.25">
      <c r="A808" s="19" t="s">
        <v>922</v>
      </c>
      <c r="B808" s="33">
        <v>46176.70486111111</v>
      </c>
      <c r="D808" s="19" t="s">
        <v>39</v>
      </c>
      <c r="E808" s="19" t="s">
        <v>69</v>
      </c>
      <c r="F808" s="19" t="s">
        <v>37</v>
      </c>
      <c r="G808" s="19" t="s">
        <v>63</v>
      </c>
      <c r="H808" s="19" t="s">
        <v>63</v>
      </c>
      <c r="I808" s="19" t="s">
        <v>108</v>
      </c>
      <c r="J808" s="20">
        <v>120</v>
      </c>
      <c r="K808" s="34">
        <v>0</v>
      </c>
      <c r="M808" s="19" t="str">
        <f>IF(OR(ISBLANK(C808),C808=""),"",ROUND((C808-B808)*24,2))</f>
        <v/>
      </c>
      <c r="N808" s="19" t="str">
        <f>IF(OR(ISBLANK(C808),C808="",M808=""),"In Progress",IF(M808&lt;=J808,"Met","Breached"))</f>
        <v>In Progress</v>
      </c>
    </row>
    <row r="809" ht="19" customHeight="1" spans="1:14" x14ac:dyDescent="0.25">
      <c r="A809" s="22" t="s">
        <v>923</v>
      </c>
      <c r="B809" s="36">
        <v>46158.58194444445</v>
      </c>
      <c r="C809" s="36">
        <v>46161.09652777778</v>
      </c>
      <c r="D809" s="22" t="s">
        <v>36</v>
      </c>
      <c r="E809" s="22" t="s">
        <v>65</v>
      </c>
      <c r="F809" s="22" t="s">
        <v>37</v>
      </c>
      <c r="G809" s="22" t="s">
        <v>63</v>
      </c>
      <c r="H809" s="22" t="s">
        <v>67</v>
      </c>
      <c r="I809" s="22" t="s">
        <v>117</v>
      </c>
      <c r="J809" s="23">
        <v>48</v>
      </c>
      <c r="K809" s="37">
        <v>0</v>
      </c>
      <c r="L809" s="37">
        <v>2</v>
      </c>
      <c r="M809" s="22">
        <f>IF(OR(ISBLANK(C809),C809=""),"",ROUND((C809-B809)*24,2))</f>
        <v>60.35</v>
      </c>
      <c r="N809" s="38" t="str">
        <f>IF(OR(ISBLANK(C809),C809="",M809=""),"In Progress",IF(M809&lt;=J809,"Met","Breached"))</f>
        <v>Breached</v>
      </c>
    </row>
    <row r="810" ht="19" customHeight="1" spans="1:14" x14ac:dyDescent="0.25">
      <c r="A810" s="19" t="s">
        <v>924</v>
      </c>
      <c r="B810" s="33">
        <v>45739.38333333333</v>
      </c>
      <c r="C810" s="33">
        <v>45741.42152777778</v>
      </c>
      <c r="D810" s="19" t="s">
        <v>33</v>
      </c>
      <c r="E810" s="19" t="s">
        <v>65</v>
      </c>
      <c r="F810" s="19" t="s">
        <v>34</v>
      </c>
      <c r="G810" s="19" t="s">
        <v>63</v>
      </c>
      <c r="H810" s="19" t="s">
        <v>71</v>
      </c>
      <c r="I810" s="19" t="s">
        <v>117</v>
      </c>
      <c r="J810" s="20">
        <v>48</v>
      </c>
      <c r="K810" s="34">
        <v>0</v>
      </c>
      <c r="L810" s="34">
        <v>4</v>
      </c>
      <c r="M810" s="19">
        <f>IF(OR(ISBLANK(C810),C810=""),"",ROUND((C810-B810)*24,2))</f>
        <v>48.92</v>
      </c>
      <c r="N810" s="39" t="str">
        <f>IF(OR(ISBLANK(C810),C810="",M810=""),"In Progress",IF(M810&lt;=J810,"Met","Breached"))</f>
        <v>Breached</v>
      </c>
    </row>
    <row r="811" ht="19" customHeight="1" spans="1:14" x14ac:dyDescent="0.25">
      <c r="A811" s="22" t="s">
        <v>925</v>
      </c>
      <c r="B811" s="36">
        <v>46126.02222222222</v>
      </c>
      <c r="C811" s="36">
        <v>46126.29027777778</v>
      </c>
      <c r="D811" s="22" t="s">
        <v>33</v>
      </c>
      <c r="E811" s="22" t="s">
        <v>61</v>
      </c>
      <c r="F811" s="22" t="s">
        <v>43</v>
      </c>
      <c r="G811" s="22" t="s">
        <v>116</v>
      </c>
      <c r="H811" s="22" t="s">
        <v>59</v>
      </c>
      <c r="I811" s="22" t="s">
        <v>147</v>
      </c>
      <c r="J811" s="23">
        <v>12</v>
      </c>
      <c r="K811" s="37">
        <v>0</v>
      </c>
      <c r="M811" s="22">
        <f>IF(OR(ISBLANK(C811),C811=""),"",ROUND((C811-B811)*24,2))</f>
        <v>6.43</v>
      </c>
      <c r="N811" s="40" t="str">
        <f>IF(OR(ISBLANK(C811),C811="",M811=""),"In Progress",IF(M811&lt;=J811,"Met","Breached"))</f>
        <v>Met</v>
      </c>
    </row>
    <row r="812" ht="19" customHeight="1" spans="1:14" x14ac:dyDescent="0.25">
      <c r="A812" s="19" t="s">
        <v>926</v>
      </c>
      <c r="B812" s="33">
        <v>46264.17847222222</v>
      </c>
      <c r="C812" s="33">
        <v>46267.09375</v>
      </c>
      <c r="D812" s="19" t="s">
        <v>36</v>
      </c>
      <c r="E812" s="19" t="s">
        <v>65</v>
      </c>
      <c r="F812" s="19" t="s">
        <v>43</v>
      </c>
      <c r="G812" s="19" t="s">
        <v>121</v>
      </c>
      <c r="H812" s="19" t="s">
        <v>63</v>
      </c>
      <c r="I812" s="19" t="s">
        <v>123</v>
      </c>
      <c r="J812" s="20">
        <v>48</v>
      </c>
      <c r="K812" s="34">
        <v>0</v>
      </c>
      <c r="L812" s="34">
        <v>4</v>
      </c>
      <c r="M812" s="19">
        <f>IF(OR(ISBLANK(C812),C812=""),"",ROUND((C812-B812)*24,2))</f>
        <v>69.97</v>
      </c>
      <c r="N812" s="39" t="str">
        <f>IF(OR(ISBLANK(C812),C812="",M812=""),"In Progress",IF(M812&lt;=J812,"Met","Breached"))</f>
        <v>Breached</v>
      </c>
    </row>
    <row r="813" ht="19" customHeight="1" spans="1:14" x14ac:dyDescent="0.25">
      <c r="A813" s="22" t="s">
        <v>927</v>
      </c>
      <c r="B813" s="36">
        <v>46003.87986111111</v>
      </c>
      <c r="D813" s="22" t="s">
        <v>39</v>
      </c>
      <c r="E813" s="22" t="s">
        <v>65</v>
      </c>
      <c r="F813" s="22" t="s">
        <v>37</v>
      </c>
      <c r="G813" s="22" t="s">
        <v>126</v>
      </c>
      <c r="H813" s="22" t="s">
        <v>59</v>
      </c>
      <c r="I813" s="22" t="s">
        <v>147</v>
      </c>
      <c r="J813" s="23">
        <v>48</v>
      </c>
      <c r="K813" s="37">
        <v>0</v>
      </c>
      <c r="M813" s="22" t="str">
        <f>IF(OR(ISBLANK(C813),C813=""),"",ROUND((C813-B813)*24,2))</f>
        <v/>
      </c>
      <c r="N813" s="22" t="str">
        <f>IF(OR(ISBLANK(C813),C813="",M813=""),"In Progress",IF(M813&lt;=J813,"Met","Breached"))</f>
        <v>In Progress</v>
      </c>
    </row>
    <row r="814" ht="19" customHeight="1" spans="1:14" x14ac:dyDescent="0.25">
      <c r="A814" s="19" t="s">
        <v>928</v>
      </c>
      <c r="B814" s="33">
        <v>45799.14375</v>
      </c>
      <c r="C814" s="33">
        <v>45799.31458333333</v>
      </c>
      <c r="D814" s="19" t="s">
        <v>33</v>
      </c>
      <c r="E814" s="19" t="s">
        <v>57</v>
      </c>
      <c r="F814" s="19" t="s">
        <v>45</v>
      </c>
      <c r="G814" s="19" t="s">
        <v>63</v>
      </c>
      <c r="H814" s="19" t="s">
        <v>63</v>
      </c>
      <c r="I814" s="19" t="s">
        <v>123</v>
      </c>
      <c r="J814" s="20">
        <v>4</v>
      </c>
      <c r="K814" s="34">
        <v>0</v>
      </c>
      <c r="L814" s="34">
        <v>3</v>
      </c>
      <c r="M814" s="19">
        <f>IF(OR(ISBLANK(C814),C814=""),"",ROUND((C814-B814)*24,2))</f>
        <v>4.1</v>
      </c>
      <c r="N814" s="39" t="str">
        <f>IF(OR(ISBLANK(C814),C814="",M814=""),"In Progress",IF(M814&lt;=J814,"Met","Breached"))</f>
        <v>Breached</v>
      </c>
    </row>
    <row r="815" ht="19" customHeight="1" spans="1:14" x14ac:dyDescent="0.25">
      <c r="A815" s="22" t="s">
        <v>929</v>
      </c>
      <c r="B815" s="36">
        <v>45944.175</v>
      </c>
      <c r="C815" s="36">
        <v>45944.91875</v>
      </c>
      <c r="D815" s="22" t="s">
        <v>36</v>
      </c>
      <c r="E815" s="22" t="s">
        <v>65</v>
      </c>
      <c r="F815" s="22" t="s">
        <v>43</v>
      </c>
      <c r="G815" s="22" t="s">
        <v>116</v>
      </c>
      <c r="H815" s="22" t="s">
        <v>59</v>
      </c>
      <c r="I815" s="22" t="s">
        <v>123</v>
      </c>
      <c r="J815" s="23">
        <v>48</v>
      </c>
      <c r="K815" s="37">
        <v>1</v>
      </c>
      <c r="L815" s="37">
        <v>1</v>
      </c>
      <c r="M815" s="22">
        <f>IF(OR(ISBLANK(C815),C815=""),"",ROUND((C815-B815)*24,2))</f>
        <v>17.85</v>
      </c>
      <c r="N815" s="40" t="str">
        <f>IF(OR(ISBLANK(C815),C815="",M815=""),"In Progress",IF(M815&lt;=J815,"Met","Breached"))</f>
        <v>Met</v>
      </c>
    </row>
    <row r="816" ht="19" customHeight="1" spans="1:14" x14ac:dyDescent="0.25">
      <c r="A816" s="19" t="s">
        <v>930</v>
      </c>
      <c r="B816" s="33">
        <v>45716.013194444444</v>
      </c>
      <c r="C816" s="33">
        <v>45717.84375</v>
      </c>
      <c r="D816" s="19" t="s">
        <v>33</v>
      </c>
      <c r="E816" s="19" t="s">
        <v>65</v>
      </c>
      <c r="F816" s="19" t="s">
        <v>34</v>
      </c>
      <c r="G816" s="19" t="s">
        <v>116</v>
      </c>
      <c r="H816" s="19" t="s">
        <v>67</v>
      </c>
      <c r="I816" s="19" t="s">
        <v>117</v>
      </c>
      <c r="J816" s="20">
        <v>48</v>
      </c>
      <c r="K816" s="34">
        <v>0</v>
      </c>
      <c r="L816" s="34">
        <v>1</v>
      </c>
      <c r="M816" s="19">
        <f>IF(OR(ISBLANK(C816),C816=""),"",ROUND((C816-B816)*24,2))</f>
        <v>43.93</v>
      </c>
      <c r="N816" s="35" t="str">
        <f>IF(OR(ISBLANK(C816),C816="",M816=""),"In Progress",IF(M816&lt;=J816,"Met","Breached"))</f>
        <v>Met</v>
      </c>
    </row>
    <row r="817" ht="19" customHeight="1" spans="1:14" x14ac:dyDescent="0.25">
      <c r="A817" s="22" t="s">
        <v>931</v>
      </c>
      <c r="B817" s="36">
        <v>46009.56111111111</v>
      </c>
      <c r="C817" s="36">
        <v>46011.64236111111</v>
      </c>
      <c r="D817" s="22" t="s">
        <v>33</v>
      </c>
      <c r="E817" s="22" t="s">
        <v>65</v>
      </c>
      <c r="F817" s="22" t="s">
        <v>45</v>
      </c>
      <c r="G817" s="22" t="s">
        <v>116</v>
      </c>
      <c r="H817" s="22" t="s">
        <v>59</v>
      </c>
      <c r="I817" s="22" t="s">
        <v>123</v>
      </c>
      <c r="J817" s="23">
        <v>48</v>
      </c>
      <c r="K817" s="37">
        <v>0</v>
      </c>
      <c r="L817" s="37">
        <v>1</v>
      </c>
      <c r="M817" s="22">
        <f>IF(OR(ISBLANK(C817),C817=""),"",ROUND((C817-B817)*24,2))</f>
        <v>49.95</v>
      </c>
      <c r="N817" s="38" t="str">
        <f>IF(OR(ISBLANK(C817),C817="",M817=""),"In Progress",IF(M817&lt;=J817,"Met","Breached"))</f>
        <v>Breached</v>
      </c>
    </row>
    <row r="818" ht="19" customHeight="1" spans="1:14" x14ac:dyDescent="0.25">
      <c r="A818" s="19" t="s">
        <v>932</v>
      </c>
      <c r="B818" s="33">
        <v>45787.660416666666</v>
      </c>
      <c r="C818" s="33">
        <v>45791.11666666667</v>
      </c>
      <c r="D818" s="19" t="s">
        <v>33</v>
      </c>
      <c r="E818" s="19" t="s">
        <v>65</v>
      </c>
      <c r="F818" s="19" t="s">
        <v>34</v>
      </c>
      <c r="G818" s="19" t="s">
        <v>113</v>
      </c>
      <c r="H818" s="19" t="s">
        <v>71</v>
      </c>
      <c r="I818" s="19" t="s">
        <v>114</v>
      </c>
      <c r="J818" s="20">
        <v>48</v>
      </c>
      <c r="K818" s="34">
        <v>0</v>
      </c>
      <c r="L818" s="34">
        <v>1</v>
      </c>
      <c r="M818" s="19">
        <f>IF(OR(ISBLANK(C818),C818=""),"",ROUND((C818-B818)*24,2))</f>
        <v>82.95</v>
      </c>
      <c r="N818" s="39" t="str">
        <f>IF(OR(ISBLANK(C818),C818="",M818=""),"In Progress",IF(M818&lt;=J818,"Met","Breached"))</f>
        <v>Breached</v>
      </c>
    </row>
    <row r="819" ht="19" customHeight="1" spans="1:14" x14ac:dyDescent="0.25">
      <c r="A819" s="22" t="s">
        <v>933</v>
      </c>
      <c r="B819" s="36">
        <v>45794.521527777775</v>
      </c>
      <c r="C819" s="36">
        <v>45796.31736111111</v>
      </c>
      <c r="D819" s="22" t="s">
        <v>33</v>
      </c>
      <c r="E819" s="22" t="s">
        <v>65</v>
      </c>
      <c r="F819" s="22" t="s">
        <v>40</v>
      </c>
      <c r="G819" s="22" t="s">
        <v>113</v>
      </c>
      <c r="H819" s="22" t="s">
        <v>71</v>
      </c>
      <c r="I819" s="22" t="s">
        <v>147</v>
      </c>
      <c r="J819" s="23">
        <v>48</v>
      </c>
      <c r="K819" s="37">
        <v>0</v>
      </c>
      <c r="M819" s="22">
        <f>IF(OR(ISBLANK(C819),C819=""),"",ROUND((C819-B819)*24,2))</f>
        <v>43.1</v>
      </c>
      <c r="N819" s="40" t="str">
        <f>IF(OR(ISBLANK(C819),C819="",M819=""),"In Progress",IF(M819&lt;=J819,"Met","Breached"))</f>
        <v>Met</v>
      </c>
    </row>
    <row r="820" ht="19" customHeight="1" spans="1:14" x14ac:dyDescent="0.25">
      <c r="A820" s="19" t="s">
        <v>934</v>
      </c>
      <c r="B820" s="33">
        <v>45850.415972222225</v>
      </c>
      <c r="D820" s="19" t="s">
        <v>39</v>
      </c>
      <c r="E820" s="19" t="s">
        <v>61</v>
      </c>
      <c r="F820" s="19" t="s">
        <v>40</v>
      </c>
      <c r="G820" s="19" t="s">
        <v>116</v>
      </c>
      <c r="H820" s="19" t="s">
        <v>67</v>
      </c>
      <c r="I820" s="19" t="s">
        <v>147</v>
      </c>
      <c r="J820" s="20">
        <v>12</v>
      </c>
      <c r="K820" s="34">
        <v>0</v>
      </c>
      <c r="M820" s="19" t="str">
        <f>IF(OR(ISBLANK(C820),C820=""),"",ROUND((C820-B820)*24,2))</f>
        <v/>
      </c>
      <c r="N820" s="19" t="str">
        <f>IF(OR(ISBLANK(C820),C820="",M820=""),"In Progress",IF(M820&lt;=J820,"Met","Breached"))</f>
        <v>In Progress</v>
      </c>
    </row>
    <row r="821" ht="19" customHeight="1" spans="1:14" x14ac:dyDescent="0.25">
      <c r="A821" s="22" t="s">
        <v>935</v>
      </c>
      <c r="B821" s="36">
        <v>46070.52013888889</v>
      </c>
      <c r="C821" s="36">
        <v>46072.37222222222</v>
      </c>
      <c r="D821" s="22" t="s">
        <v>33</v>
      </c>
      <c r="E821" s="22" t="s">
        <v>65</v>
      </c>
      <c r="F821" s="22" t="s">
        <v>34</v>
      </c>
      <c r="G821" s="22" t="s">
        <v>63</v>
      </c>
      <c r="H821" s="22" t="s">
        <v>67</v>
      </c>
      <c r="I821" s="22" t="s">
        <v>117</v>
      </c>
      <c r="J821" s="23">
        <v>48</v>
      </c>
      <c r="K821" s="37">
        <v>0</v>
      </c>
      <c r="L821" s="37">
        <v>2</v>
      </c>
      <c r="M821" s="22">
        <f>IF(OR(ISBLANK(C821),C821=""),"",ROUND((C821-B821)*24,2))</f>
        <v>44.45</v>
      </c>
      <c r="N821" s="40" t="str">
        <f>IF(OR(ISBLANK(C821),C821="",M821=""),"In Progress",IF(M821&lt;=J821,"Met","Breached"))</f>
        <v>Met</v>
      </c>
    </row>
    <row r="822" ht="19" customHeight="1" spans="1:14" x14ac:dyDescent="0.25">
      <c r="A822" s="19" t="s">
        <v>936</v>
      </c>
      <c r="B822" s="33">
        <v>46170.929861111115</v>
      </c>
      <c r="C822" s="33">
        <v>46171.836111111115</v>
      </c>
      <c r="D822" s="19" t="s">
        <v>33</v>
      </c>
      <c r="E822" s="19" t="s">
        <v>65</v>
      </c>
      <c r="F822" s="19" t="s">
        <v>34</v>
      </c>
      <c r="G822" s="19" t="s">
        <v>116</v>
      </c>
      <c r="H822" s="19" t="s">
        <v>63</v>
      </c>
      <c r="I822" s="19" t="s">
        <v>147</v>
      </c>
      <c r="J822" s="20">
        <v>48</v>
      </c>
      <c r="K822" s="34">
        <v>0</v>
      </c>
      <c r="L822" s="34">
        <v>4</v>
      </c>
      <c r="M822" s="19">
        <f>IF(OR(ISBLANK(C822),C822=""),"",ROUND((C822-B822)*24,2))</f>
        <v>21.75</v>
      </c>
      <c r="N822" s="35" t="str">
        <f>IF(OR(ISBLANK(C822),C822="",M822=""),"In Progress",IF(M822&lt;=J822,"Met","Breached"))</f>
        <v>Met</v>
      </c>
    </row>
    <row r="823" ht="19" customHeight="1" spans="1:14" x14ac:dyDescent="0.25">
      <c r="A823" s="22" t="s">
        <v>937</v>
      </c>
      <c r="B823" s="36">
        <v>46000.347916666666</v>
      </c>
      <c r="C823" s="36">
        <v>46000.87152777778</v>
      </c>
      <c r="D823" s="22" t="s">
        <v>33</v>
      </c>
      <c r="E823" s="22" t="s">
        <v>61</v>
      </c>
      <c r="F823" s="22" t="s">
        <v>45</v>
      </c>
      <c r="G823" s="22" t="s">
        <v>63</v>
      </c>
      <c r="H823" s="22" t="s">
        <v>63</v>
      </c>
      <c r="I823" s="22" t="s">
        <v>117</v>
      </c>
      <c r="J823" s="23">
        <v>12</v>
      </c>
      <c r="K823" s="37">
        <v>0</v>
      </c>
      <c r="L823" s="37">
        <v>1</v>
      </c>
      <c r="M823" s="22">
        <f>IF(OR(ISBLANK(C823),C823=""),"",ROUND((C823-B823)*24,2))</f>
        <v>12.57</v>
      </c>
      <c r="N823" s="38" t="str">
        <f>IF(OR(ISBLANK(C823),C823="",M823=""),"In Progress",IF(M823&lt;=J823,"Met","Breached"))</f>
        <v>Breached</v>
      </c>
    </row>
    <row r="824" ht="19" customHeight="1" spans="1:14" x14ac:dyDescent="0.25">
      <c r="A824" s="19" t="s">
        <v>938</v>
      </c>
      <c r="B824" s="33">
        <v>45890.85763888889</v>
      </c>
      <c r="C824" s="33">
        <v>45898.68888888889</v>
      </c>
      <c r="D824" s="19" t="s">
        <v>33</v>
      </c>
      <c r="E824" s="19" t="s">
        <v>69</v>
      </c>
      <c r="F824" s="19" t="s">
        <v>45</v>
      </c>
      <c r="G824" s="19" t="s">
        <v>126</v>
      </c>
      <c r="H824" s="19" t="s">
        <v>59</v>
      </c>
      <c r="I824" s="19" t="s">
        <v>123</v>
      </c>
      <c r="J824" s="20">
        <v>120</v>
      </c>
      <c r="K824" s="34">
        <v>0</v>
      </c>
      <c r="L824" s="34">
        <v>3</v>
      </c>
      <c r="M824" s="19">
        <f>IF(OR(ISBLANK(C824),C824=""),"",ROUND((C824-B824)*24,2))</f>
        <v>187.95</v>
      </c>
      <c r="N824" s="39" t="str">
        <f>IF(OR(ISBLANK(C824),C824="",M824=""),"In Progress",IF(M824&lt;=J824,"Met","Breached"))</f>
        <v>Breached</v>
      </c>
    </row>
    <row r="825" ht="19" customHeight="1" spans="1:14" x14ac:dyDescent="0.25">
      <c r="A825" s="22" t="s">
        <v>939</v>
      </c>
      <c r="B825" s="36">
        <v>46095.3125</v>
      </c>
      <c r="C825" s="36">
        <v>46097.77569444444</v>
      </c>
      <c r="D825" s="22" t="s">
        <v>36</v>
      </c>
      <c r="E825" s="22" t="s">
        <v>65</v>
      </c>
      <c r="F825" s="22" t="s">
        <v>40</v>
      </c>
      <c r="G825" s="22" t="s">
        <v>110</v>
      </c>
      <c r="H825" s="22" t="s">
        <v>63</v>
      </c>
      <c r="I825" s="22" t="s">
        <v>108</v>
      </c>
      <c r="J825" s="23">
        <v>48</v>
      </c>
      <c r="K825" s="37">
        <v>0</v>
      </c>
      <c r="L825" s="37">
        <v>5</v>
      </c>
      <c r="M825" s="22">
        <f>IF(OR(ISBLANK(C825),C825=""),"",ROUND((C825-B825)*24,2))</f>
        <v>59.12</v>
      </c>
      <c r="N825" s="38" t="str">
        <f>IF(OR(ISBLANK(C825),C825="",M825=""),"In Progress",IF(M825&lt;=J825,"Met","Breached"))</f>
        <v>Breached</v>
      </c>
    </row>
    <row r="826" ht="19" customHeight="1" spans="1:14" x14ac:dyDescent="0.25">
      <c r="A826" s="19" t="s">
        <v>940</v>
      </c>
      <c r="B826" s="33">
        <v>46210.072222222225</v>
      </c>
      <c r="C826" s="33">
        <v>46216.76597222222</v>
      </c>
      <c r="D826" s="19" t="s">
        <v>36</v>
      </c>
      <c r="E826" s="19" t="s">
        <v>69</v>
      </c>
      <c r="F826" s="19" t="s">
        <v>40</v>
      </c>
      <c r="G826" s="19" t="s">
        <v>126</v>
      </c>
      <c r="H826" s="19" t="s">
        <v>67</v>
      </c>
      <c r="I826" s="19" t="s">
        <v>117</v>
      </c>
      <c r="J826" s="20">
        <v>120</v>
      </c>
      <c r="K826" s="34">
        <v>0</v>
      </c>
      <c r="L826" s="34">
        <v>1</v>
      </c>
      <c r="M826" s="19">
        <f>IF(OR(ISBLANK(C826),C826=""),"",ROUND((C826-B826)*24,2))</f>
        <v>160.65</v>
      </c>
      <c r="N826" s="39" t="str">
        <f>IF(OR(ISBLANK(C826),C826="",M826=""),"In Progress",IF(M826&lt;=J826,"Met","Breached"))</f>
        <v>Breached</v>
      </c>
    </row>
    <row r="827" ht="19" customHeight="1" spans="1:14" x14ac:dyDescent="0.25">
      <c r="A827" s="22" t="s">
        <v>941</v>
      </c>
      <c r="B827" s="36">
        <v>46199.99861111111</v>
      </c>
      <c r="C827" s="36">
        <v>46201.95694444445</v>
      </c>
      <c r="D827" s="22" t="s">
        <v>33</v>
      </c>
      <c r="E827" s="22" t="s">
        <v>65</v>
      </c>
      <c r="F827" s="22" t="s">
        <v>34</v>
      </c>
      <c r="G827" s="22" t="s">
        <v>63</v>
      </c>
      <c r="H827" s="22" t="s">
        <v>67</v>
      </c>
      <c r="I827" s="22" t="s">
        <v>111</v>
      </c>
      <c r="J827" s="23">
        <v>48</v>
      </c>
      <c r="K827" s="37">
        <v>0</v>
      </c>
      <c r="L827" s="37">
        <v>4</v>
      </c>
      <c r="M827" s="22">
        <f>IF(OR(ISBLANK(C827),C827=""),"",ROUND((C827-B827)*24,2))</f>
        <v>47</v>
      </c>
      <c r="N827" s="40" t="str">
        <f>IF(OR(ISBLANK(C827),C827="",M827=""),"In Progress",IF(M827&lt;=J827,"Met","Breached"))</f>
        <v>Met</v>
      </c>
    </row>
    <row r="828" ht="19" customHeight="1" spans="1:14" x14ac:dyDescent="0.25">
      <c r="A828" s="19" t="s">
        <v>942</v>
      </c>
      <c r="B828" s="33">
        <v>45919.052777777775</v>
      </c>
      <c r="C828" s="33">
        <v>45922.85763888889</v>
      </c>
      <c r="D828" s="19" t="s">
        <v>33</v>
      </c>
      <c r="E828" s="19" t="s">
        <v>69</v>
      </c>
      <c r="F828" s="19" t="s">
        <v>43</v>
      </c>
      <c r="G828" s="19" t="s">
        <v>113</v>
      </c>
      <c r="H828" s="19" t="s">
        <v>59</v>
      </c>
      <c r="I828" s="19" t="s">
        <v>111</v>
      </c>
      <c r="J828" s="20">
        <v>120</v>
      </c>
      <c r="K828" s="34">
        <v>0</v>
      </c>
      <c r="L828" s="34">
        <v>3</v>
      </c>
      <c r="M828" s="19">
        <f>IF(OR(ISBLANK(C828),C828=""),"",ROUND((C828-B828)*24,2))</f>
        <v>91.32</v>
      </c>
      <c r="N828" s="35" t="str">
        <f>IF(OR(ISBLANK(C828),C828="",M828=""),"In Progress",IF(M828&lt;=J828,"Met","Breached"))</f>
        <v>Met</v>
      </c>
    </row>
    <row r="829" ht="19" customHeight="1" spans="1:14" x14ac:dyDescent="0.25">
      <c r="A829" s="22" t="s">
        <v>943</v>
      </c>
      <c r="B829" s="36">
        <v>46270.72083333333</v>
      </c>
      <c r="C829" s="36">
        <v>46274.941666666666</v>
      </c>
      <c r="D829" s="22" t="s">
        <v>36</v>
      </c>
      <c r="E829" s="22" t="s">
        <v>69</v>
      </c>
      <c r="F829" s="22" t="s">
        <v>45</v>
      </c>
      <c r="G829" s="22" t="s">
        <v>110</v>
      </c>
      <c r="H829" s="22" t="s">
        <v>59</v>
      </c>
      <c r="I829" s="22" t="s">
        <v>108</v>
      </c>
      <c r="J829" s="23">
        <v>120</v>
      </c>
      <c r="K829" s="37">
        <v>0</v>
      </c>
      <c r="L829" s="37">
        <v>3</v>
      </c>
      <c r="M829" s="22">
        <f>IF(OR(ISBLANK(C829),C829=""),"",ROUND((C829-B829)*24,2))</f>
        <v>101.3</v>
      </c>
      <c r="N829" s="40" t="str">
        <f>IF(OR(ISBLANK(C829),C829="",M829=""),"In Progress",IF(M829&lt;=J829,"Met","Breached"))</f>
        <v>Met</v>
      </c>
    </row>
    <row r="830" ht="19" customHeight="1" spans="1:14" x14ac:dyDescent="0.25">
      <c r="A830" s="19" t="s">
        <v>944</v>
      </c>
      <c r="B830" s="33">
        <v>45994.67916666667</v>
      </c>
      <c r="C830" s="33">
        <v>45998.509722222225</v>
      </c>
      <c r="D830" s="19" t="s">
        <v>36</v>
      </c>
      <c r="E830" s="19" t="s">
        <v>69</v>
      </c>
      <c r="F830" s="19" t="s">
        <v>45</v>
      </c>
      <c r="G830" s="19" t="s">
        <v>126</v>
      </c>
      <c r="H830" s="19" t="s">
        <v>63</v>
      </c>
      <c r="I830" s="19" t="s">
        <v>108</v>
      </c>
      <c r="J830" s="20">
        <v>120</v>
      </c>
      <c r="K830" s="34">
        <v>0</v>
      </c>
      <c r="L830" s="34">
        <v>2</v>
      </c>
      <c r="M830" s="19">
        <f>IF(OR(ISBLANK(C830),C830=""),"",ROUND((C830-B830)*24,2))</f>
        <v>91.93</v>
      </c>
      <c r="N830" s="35" t="str">
        <f>IF(OR(ISBLANK(C830),C830="",M830=""),"In Progress",IF(M830&lt;=J830,"Met","Breached"))</f>
        <v>Met</v>
      </c>
    </row>
    <row r="831" ht="19" customHeight="1" spans="1:14" x14ac:dyDescent="0.25">
      <c r="A831" s="22" t="s">
        <v>945</v>
      </c>
      <c r="B831" s="36">
        <v>45721.57291666667</v>
      </c>
      <c r="C831" s="36">
        <v>45721.75</v>
      </c>
      <c r="D831" s="22" t="s">
        <v>33</v>
      </c>
      <c r="E831" s="22" t="s">
        <v>61</v>
      </c>
      <c r="F831" s="22" t="s">
        <v>34</v>
      </c>
      <c r="G831" s="22" t="s">
        <v>121</v>
      </c>
      <c r="H831" s="22" t="s">
        <v>67</v>
      </c>
      <c r="I831" s="22" t="s">
        <v>114</v>
      </c>
      <c r="J831" s="23">
        <v>12</v>
      </c>
      <c r="K831" s="37">
        <v>0</v>
      </c>
      <c r="L831" s="37">
        <v>5</v>
      </c>
      <c r="M831" s="22">
        <f>IF(OR(ISBLANK(C831),C831=""),"",ROUND((C831-B831)*24,2))</f>
        <v>4.25</v>
      </c>
      <c r="N831" s="40" t="str">
        <f>IF(OR(ISBLANK(C831),C831="",M831=""),"In Progress",IF(M831&lt;=J831,"Met","Breached"))</f>
        <v>Met</v>
      </c>
    </row>
    <row r="832" ht="19" customHeight="1" spans="1:14" x14ac:dyDescent="0.25">
      <c r="A832" s="19" t="s">
        <v>946</v>
      </c>
      <c r="B832" s="33">
        <v>46058.24444444444</v>
      </c>
      <c r="C832" s="33">
        <v>46060.46527777778</v>
      </c>
      <c r="D832" s="19" t="s">
        <v>33</v>
      </c>
      <c r="E832" s="19" t="s">
        <v>65</v>
      </c>
      <c r="F832" s="19" t="s">
        <v>40</v>
      </c>
      <c r="G832" s="19" t="s">
        <v>63</v>
      </c>
      <c r="H832" s="19" t="s">
        <v>63</v>
      </c>
      <c r="I832" s="19" t="s">
        <v>108</v>
      </c>
      <c r="J832" s="20">
        <v>48</v>
      </c>
      <c r="K832" s="34">
        <v>0</v>
      </c>
      <c r="L832" s="34">
        <v>3</v>
      </c>
      <c r="M832" s="19">
        <f>IF(OR(ISBLANK(C832),C832=""),"",ROUND((C832-B832)*24,2))</f>
        <v>53.3</v>
      </c>
      <c r="N832" s="39" t="str">
        <f>IF(OR(ISBLANK(C832),C832="",M832=""),"In Progress",IF(M832&lt;=J832,"Met","Breached"))</f>
        <v>Breached</v>
      </c>
    </row>
    <row r="833" ht="19" customHeight="1" spans="1:14" x14ac:dyDescent="0.25">
      <c r="A833" s="22" t="s">
        <v>947</v>
      </c>
      <c r="B833" s="36">
        <v>45747.00277777778</v>
      </c>
      <c r="D833" s="22" t="s">
        <v>42</v>
      </c>
      <c r="E833" s="22" t="s">
        <v>61</v>
      </c>
      <c r="F833" s="22" t="s">
        <v>43</v>
      </c>
      <c r="G833" s="22" t="s">
        <v>126</v>
      </c>
      <c r="H833" s="22" t="s">
        <v>59</v>
      </c>
      <c r="I833" s="22" t="s">
        <v>111</v>
      </c>
      <c r="J833" s="23">
        <v>12</v>
      </c>
      <c r="K833" s="37">
        <v>0</v>
      </c>
      <c r="M833" s="22" t="str">
        <f>IF(OR(ISBLANK(C833),C833=""),"",ROUND((C833-B833)*24,2))</f>
        <v/>
      </c>
      <c r="N833" s="22" t="str">
        <f>IF(OR(ISBLANK(C833),C833="",M833=""),"In Progress",IF(M833&lt;=J833,"Met","Breached"))</f>
        <v>In Progress</v>
      </c>
    </row>
    <row r="834" ht="19" customHeight="1" spans="1:14" x14ac:dyDescent="0.25">
      <c r="A834" s="19" t="s">
        <v>948</v>
      </c>
      <c r="B834" s="33">
        <v>45991.46875</v>
      </c>
      <c r="C834" s="33">
        <v>45993.11319444445</v>
      </c>
      <c r="D834" s="19" t="s">
        <v>33</v>
      </c>
      <c r="E834" s="19" t="s">
        <v>65</v>
      </c>
      <c r="F834" s="19" t="s">
        <v>43</v>
      </c>
      <c r="G834" s="19" t="s">
        <v>121</v>
      </c>
      <c r="H834" s="19" t="s">
        <v>59</v>
      </c>
      <c r="I834" s="19" t="s">
        <v>123</v>
      </c>
      <c r="J834" s="20">
        <v>48</v>
      </c>
      <c r="K834" s="34">
        <v>0</v>
      </c>
      <c r="L834" s="34">
        <v>1</v>
      </c>
      <c r="M834" s="19">
        <f>IF(OR(ISBLANK(C834),C834=""),"",ROUND((C834-B834)*24,2))</f>
        <v>39.47</v>
      </c>
      <c r="N834" s="35" t="str">
        <f>IF(OR(ISBLANK(C834),C834="",M834=""),"In Progress",IF(M834&lt;=J834,"Met","Breached"))</f>
        <v>Met</v>
      </c>
    </row>
    <row r="835" ht="19" customHeight="1" spans="1:14" x14ac:dyDescent="0.25">
      <c r="A835" s="22" t="s">
        <v>949</v>
      </c>
      <c r="B835" s="36">
        <v>46175.649305555555</v>
      </c>
      <c r="C835" s="36">
        <v>46177.73541666666</v>
      </c>
      <c r="D835" s="22" t="s">
        <v>33</v>
      </c>
      <c r="E835" s="22" t="s">
        <v>65</v>
      </c>
      <c r="F835" s="22" t="s">
        <v>43</v>
      </c>
      <c r="G835" s="22" t="s">
        <v>126</v>
      </c>
      <c r="H835" s="22" t="s">
        <v>71</v>
      </c>
      <c r="I835" s="22" t="s">
        <v>108</v>
      </c>
      <c r="J835" s="23">
        <v>48</v>
      </c>
      <c r="K835" s="37">
        <v>0</v>
      </c>
      <c r="L835" s="37">
        <v>2</v>
      </c>
      <c r="M835" s="22">
        <f>IF(OR(ISBLANK(C835),C835=""),"",ROUND((C835-B835)*24,2))</f>
        <v>50.07</v>
      </c>
      <c r="N835" s="38" t="str">
        <f>IF(OR(ISBLANK(C835),C835="",M835=""),"In Progress",IF(M835&lt;=J835,"Met","Breached"))</f>
        <v>Breached</v>
      </c>
    </row>
    <row r="836" ht="19" customHeight="1" spans="1:14" x14ac:dyDescent="0.25">
      <c r="A836" s="19" t="s">
        <v>950</v>
      </c>
      <c r="B836" s="33">
        <v>45721.91736111111</v>
      </c>
      <c r="C836" s="33">
        <v>45724.023611111115</v>
      </c>
      <c r="D836" s="19" t="s">
        <v>33</v>
      </c>
      <c r="E836" s="19" t="s">
        <v>65</v>
      </c>
      <c r="F836" s="19" t="s">
        <v>34</v>
      </c>
      <c r="G836" s="19" t="s">
        <v>116</v>
      </c>
      <c r="H836" s="19" t="s">
        <v>59</v>
      </c>
      <c r="I836" s="19" t="s">
        <v>108</v>
      </c>
      <c r="J836" s="20">
        <v>48</v>
      </c>
      <c r="K836" s="34">
        <v>0</v>
      </c>
      <c r="L836" s="34">
        <v>3</v>
      </c>
      <c r="M836" s="19">
        <f>IF(OR(ISBLANK(C836),C836=""),"",ROUND((C836-B836)*24,2))</f>
        <v>50.55</v>
      </c>
      <c r="N836" s="39" t="str">
        <f>IF(OR(ISBLANK(C836),C836="",M836=""),"In Progress",IF(M836&lt;=J836,"Met","Breached"))</f>
        <v>Breached</v>
      </c>
    </row>
    <row r="837" ht="19" customHeight="1" spans="1:14" x14ac:dyDescent="0.25">
      <c r="A837" s="22" t="s">
        <v>951</v>
      </c>
      <c r="B837" s="36">
        <v>45844.42847222222</v>
      </c>
      <c r="C837" s="36">
        <v>45848.320138888885</v>
      </c>
      <c r="D837" s="22" t="s">
        <v>36</v>
      </c>
      <c r="E837" s="22" t="s">
        <v>69</v>
      </c>
      <c r="F837" s="22" t="s">
        <v>40</v>
      </c>
      <c r="G837" s="22" t="s">
        <v>116</v>
      </c>
      <c r="H837" s="22" t="s">
        <v>63</v>
      </c>
      <c r="I837" s="22" t="s">
        <v>111</v>
      </c>
      <c r="J837" s="23">
        <v>120</v>
      </c>
      <c r="K837" s="37">
        <v>1</v>
      </c>
      <c r="L837" s="37">
        <v>2</v>
      </c>
      <c r="M837" s="22">
        <f>IF(OR(ISBLANK(C837),C837=""),"",ROUND((C837-B837)*24,2))</f>
        <v>93.4</v>
      </c>
      <c r="N837" s="40" t="str">
        <f>IF(OR(ISBLANK(C837),C837="",M837=""),"In Progress",IF(M837&lt;=J837,"Met","Breached"))</f>
        <v>Met</v>
      </c>
    </row>
    <row r="838" ht="19" customHeight="1" spans="1:14" x14ac:dyDescent="0.25">
      <c r="A838" s="19" t="s">
        <v>952</v>
      </c>
      <c r="B838" s="33">
        <v>45836.41875</v>
      </c>
      <c r="C838" s="33">
        <v>45837.29652777778</v>
      </c>
      <c r="D838" s="19" t="s">
        <v>36</v>
      </c>
      <c r="E838" s="19" t="s">
        <v>61</v>
      </c>
      <c r="F838" s="19" t="s">
        <v>34</v>
      </c>
      <c r="G838" s="19" t="s">
        <v>116</v>
      </c>
      <c r="H838" s="19" t="s">
        <v>59</v>
      </c>
      <c r="I838" s="19" t="s">
        <v>123</v>
      </c>
      <c r="J838" s="20">
        <v>12</v>
      </c>
      <c r="K838" s="34">
        <v>0</v>
      </c>
      <c r="L838" s="34">
        <v>4</v>
      </c>
      <c r="M838" s="19">
        <f>IF(OR(ISBLANK(C838),C838=""),"",ROUND((C838-B838)*24,2))</f>
        <v>21.07</v>
      </c>
      <c r="N838" s="39" t="str">
        <f>IF(OR(ISBLANK(C838),C838="",M838=""),"In Progress",IF(M838&lt;=J838,"Met","Breached"))</f>
        <v>Breached</v>
      </c>
    </row>
    <row r="839" ht="19" customHeight="1" spans="1:14" x14ac:dyDescent="0.25">
      <c r="A839" s="22" t="s">
        <v>953</v>
      </c>
      <c r="B839" s="36">
        <v>45721.575</v>
      </c>
      <c r="C839" s="36">
        <v>45723.45625</v>
      </c>
      <c r="D839" s="22" t="s">
        <v>33</v>
      </c>
      <c r="E839" s="22" t="s">
        <v>65</v>
      </c>
      <c r="F839" s="22" t="s">
        <v>43</v>
      </c>
      <c r="G839" s="22" t="s">
        <v>121</v>
      </c>
      <c r="H839" s="22" t="s">
        <v>59</v>
      </c>
      <c r="I839" s="22" t="s">
        <v>108</v>
      </c>
      <c r="J839" s="23">
        <v>48</v>
      </c>
      <c r="K839" s="37">
        <v>0</v>
      </c>
      <c r="L839" s="37">
        <v>5</v>
      </c>
      <c r="M839" s="22">
        <f>IF(OR(ISBLANK(C839),C839=""),"",ROUND((C839-B839)*24,2))</f>
        <v>45.15</v>
      </c>
      <c r="N839" s="40" t="str">
        <f>IF(OR(ISBLANK(C839),C839="",M839=""),"In Progress",IF(M839&lt;=J839,"Met","Breached"))</f>
        <v>Met</v>
      </c>
    </row>
    <row r="840" ht="19" customHeight="1" spans="1:14" x14ac:dyDescent="0.25">
      <c r="A840" s="19" t="s">
        <v>954</v>
      </c>
      <c r="B840" s="33">
        <v>45787.37013888889</v>
      </c>
      <c r="C840" s="33">
        <v>45788.075</v>
      </c>
      <c r="D840" s="19" t="s">
        <v>33</v>
      </c>
      <c r="E840" s="19" t="s">
        <v>61</v>
      </c>
      <c r="F840" s="19" t="s">
        <v>40</v>
      </c>
      <c r="G840" s="19" t="s">
        <v>116</v>
      </c>
      <c r="H840" s="19" t="s">
        <v>59</v>
      </c>
      <c r="I840" s="19" t="s">
        <v>123</v>
      </c>
      <c r="J840" s="20">
        <v>12</v>
      </c>
      <c r="K840" s="34">
        <v>0</v>
      </c>
      <c r="L840" s="34">
        <v>1</v>
      </c>
      <c r="M840" s="19">
        <f>IF(OR(ISBLANK(C840),C840=""),"",ROUND((C840-B840)*24,2))</f>
        <v>16.92</v>
      </c>
      <c r="N840" s="39" t="str">
        <f>IF(OR(ISBLANK(C840),C840="",M840=""),"In Progress",IF(M840&lt;=J840,"Met","Breached"))</f>
        <v>Breached</v>
      </c>
    </row>
    <row r="841" ht="19" customHeight="1" spans="1:14" x14ac:dyDescent="0.25">
      <c r="A841" s="22" t="s">
        <v>955</v>
      </c>
      <c r="B841" s="36">
        <v>46266.70763888889</v>
      </c>
      <c r="C841" s="36">
        <v>46268.51111111111</v>
      </c>
      <c r="D841" s="22" t="s">
        <v>33</v>
      </c>
      <c r="E841" s="22" t="s">
        <v>69</v>
      </c>
      <c r="F841" s="22" t="s">
        <v>43</v>
      </c>
      <c r="G841" s="22" t="s">
        <v>116</v>
      </c>
      <c r="H841" s="22" t="s">
        <v>59</v>
      </c>
      <c r="I841" s="22" t="s">
        <v>114</v>
      </c>
      <c r="J841" s="23">
        <v>120</v>
      </c>
      <c r="K841" s="37">
        <v>0</v>
      </c>
      <c r="L841" s="37">
        <v>2</v>
      </c>
      <c r="M841" s="22">
        <f>IF(OR(ISBLANK(C841),C841=""),"",ROUND((C841-B841)*24,2))</f>
        <v>43.28</v>
      </c>
      <c r="N841" s="40" t="str">
        <f>IF(OR(ISBLANK(C841),C841="",M841=""),"In Progress",IF(M841&lt;=J841,"Met","Breached"))</f>
        <v>Met</v>
      </c>
    </row>
    <row r="842" ht="19" customHeight="1" spans="1:14" x14ac:dyDescent="0.25">
      <c r="A842" s="19" t="s">
        <v>956</v>
      </c>
      <c r="B842" s="33">
        <v>46048.39027777778</v>
      </c>
      <c r="C842" s="33">
        <v>46051.820138888885</v>
      </c>
      <c r="D842" s="19" t="s">
        <v>33</v>
      </c>
      <c r="E842" s="19" t="s">
        <v>65</v>
      </c>
      <c r="F842" s="19" t="s">
        <v>40</v>
      </c>
      <c r="G842" s="19" t="s">
        <v>121</v>
      </c>
      <c r="H842" s="19" t="s">
        <v>63</v>
      </c>
      <c r="I842" s="19" t="s">
        <v>111</v>
      </c>
      <c r="J842" s="20">
        <v>48</v>
      </c>
      <c r="K842" s="34">
        <v>0</v>
      </c>
      <c r="M842" s="19">
        <f>IF(OR(ISBLANK(C842),C842=""),"",ROUND((C842-B842)*24,2))</f>
        <v>82.32</v>
      </c>
      <c r="N842" s="39" t="str">
        <f>IF(OR(ISBLANK(C842),C842="",M842=""),"In Progress",IF(M842&lt;=J842,"Met","Breached"))</f>
        <v>Breached</v>
      </c>
    </row>
    <row r="843" ht="19" customHeight="1" spans="1:14" x14ac:dyDescent="0.25">
      <c r="A843" s="22" t="s">
        <v>957</v>
      </c>
      <c r="B843" s="36">
        <v>45957.6125</v>
      </c>
      <c r="C843" s="36">
        <v>45958.634722222225</v>
      </c>
      <c r="D843" s="22" t="s">
        <v>36</v>
      </c>
      <c r="E843" s="22" t="s">
        <v>65</v>
      </c>
      <c r="F843" s="22" t="s">
        <v>43</v>
      </c>
      <c r="G843" s="22" t="s">
        <v>63</v>
      </c>
      <c r="H843" s="22" t="s">
        <v>59</v>
      </c>
      <c r="I843" s="22" t="s">
        <v>111</v>
      </c>
      <c r="J843" s="23">
        <v>48</v>
      </c>
      <c r="K843" s="37">
        <v>0</v>
      </c>
      <c r="L843" s="37">
        <v>4</v>
      </c>
      <c r="M843" s="22">
        <f>IF(OR(ISBLANK(C843),C843=""),"",ROUND((C843-B843)*24,2))</f>
        <v>24.53</v>
      </c>
      <c r="N843" s="40" t="str">
        <f>IF(OR(ISBLANK(C843),C843="",M843=""),"In Progress",IF(M843&lt;=J843,"Met","Breached"))</f>
        <v>Met</v>
      </c>
    </row>
    <row r="844" ht="19" customHeight="1" spans="1:14" x14ac:dyDescent="0.25">
      <c r="A844" s="19" t="s">
        <v>958</v>
      </c>
      <c r="B844" s="33">
        <v>45814.31388888889</v>
      </c>
      <c r="D844" s="19" t="s">
        <v>39</v>
      </c>
      <c r="E844" s="19" t="s">
        <v>65</v>
      </c>
      <c r="F844" s="19" t="s">
        <v>34</v>
      </c>
      <c r="G844" s="19" t="s">
        <v>126</v>
      </c>
      <c r="H844" s="19" t="s">
        <v>63</v>
      </c>
      <c r="I844" s="19" t="s">
        <v>111</v>
      </c>
      <c r="J844" s="20">
        <v>48</v>
      </c>
      <c r="K844" s="34">
        <v>0</v>
      </c>
      <c r="M844" s="19" t="str">
        <f>IF(OR(ISBLANK(C844),C844=""),"",ROUND((C844-B844)*24,2))</f>
        <v/>
      </c>
      <c r="N844" s="19" t="str">
        <f>IF(OR(ISBLANK(C844),C844="",M844=""),"In Progress",IF(M844&lt;=J844,"Met","Breached"))</f>
        <v>In Progress</v>
      </c>
    </row>
    <row r="845" ht="19" customHeight="1" spans="1:14" x14ac:dyDescent="0.25">
      <c r="A845" s="22" t="s">
        <v>959</v>
      </c>
      <c r="B845" s="36">
        <v>46120.990277777775</v>
      </c>
      <c r="D845" s="22" t="s">
        <v>42</v>
      </c>
      <c r="E845" s="22" t="s">
        <v>65</v>
      </c>
      <c r="F845" s="22" t="s">
        <v>45</v>
      </c>
      <c r="G845" s="22" t="s">
        <v>126</v>
      </c>
      <c r="H845" s="22" t="s">
        <v>59</v>
      </c>
      <c r="I845" s="22" t="s">
        <v>123</v>
      </c>
      <c r="J845" s="23">
        <v>48</v>
      </c>
      <c r="K845" s="37">
        <v>0</v>
      </c>
      <c r="M845" s="22" t="str">
        <f>IF(OR(ISBLANK(C845),C845=""),"",ROUND((C845-B845)*24,2))</f>
        <v/>
      </c>
      <c r="N845" s="22" t="str">
        <f>IF(OR(ISBLANK(C845),C845="",M845=""),"In Progress",IF(M845&lt;=J845,"Met","Breached"))</f>
        <v>In Progress</v>
      </c>
    </row>
    <row r="846" ht="19" customHeight="1" spans="1:14" x14ac:dyDescent="0.25">
      <c r="A846" s="19" t="s">
        <v>960</v>
      </c>
      <c r="B846" s="33">
        <v>46142.04375</v>
      </c>
      <c r="C846" s="33">
        <v>46142.73958333333</v>
      </c>
      <c r="D846" s="19" t="s">
        <v>33</v>
      </c>
      <c r="E846" s="19" t="s">
        <v>61</v>
      </c>
      <c r="F846" s="19" t="s">
        <v>40</v>
      </c>
      <c r="G846" s="19" t="s">
        <v>116</v>
      </c>
      <c r="H846" s="19" t="s">
        <v>67</v>
      </c>
      <c r="I846" s="19" t="s">
        <v>108</v>
      </c>
      <c r="J846" s="20">
        <v>12</v>
      </c>
      <c r="K846" s="34">
        <v>0</v>
      </c>
      <c r="M846" s="19">
        <f>IF(OR(ISBLANK(C846),C846=""),"",ROUND((C846-B846)*24,2))</f>
        <v>16.7</v>
      </c>
      <c r="N846" s="39" t="str">
        <f>IF(OR(ISBLANK(C846),C846="",M846=""),"In Progress",IF(M846&lt;=J846,"Met","Breached"))</f>
        <v>Breached</v>
      </c>
    </row>
    <row r="847" ht="19" customHeight="1" spans="1:14" x14ac:dyDescent="0.25">
      <c r="A847" s="22" t="s">
        <v>961</v>
      </c>
      <c r="B847" s="36">
        <v>45840.288888888885</v>
      </c>
      <c r="C847" s="36">
        <v>45846.36388888889</v>
      </c>
      <c r="D847" s="22" t="s">
        <v>33</v>
      </c>
      <c r="E847" s="22" t="s">
        <v>69</v>
      </c>
      <c r="F847" s="22" t="s">
        <v>40</v>
      </c>
      <c r="G847" s="22" t="s">
        <v>113</v>
      </c>
      <c r="H847" s="22" t="s">
        <v>59</v>
      </c>
      <c r="I847" s="22" t="s">
        <v>117</v>
      </c>
      <c r="J847" s="23">
        <v>120</v>
      </c>
      <c r="K847" s="37">
        <v>0</v>
      </c>
      <c r="L847" s="37">
        <v>1</v>
      </c>
      <c r="M847" s="22">
        <f>IF(OR(ISBLANK(C847),C847=""),"",ROUND((C847-B847)*24,2))</f>
        <v>145.8</v>
      </c>
      <c r="N847" s="38" t="str">
        <f>IF(OR(ISBLANK(C847),C847="",M847=""),"In Progress",IF(M847&lt;=J847,"Met","Breached"))</f>
        <v>Breached</v>
      </c>
    </row>
    <row r="848" ht="19" customHeight="1" spans="1:14" x14ac:dyDescent="0.25">
      <c r="A848" s="19" t="s">
        <v>962</v>
      </c>
      <c r="B848" s="33">
        <v>46027.39027777778</v>
      </c>
      <c r="D848" s="19" t="s">
        <v>42</v>
      </c>
      <c r="E848" s="19" t="s">
        <v>65</v>
      </c>
      <c r="F848" s="19" t="s">
        <v>40</v>
      </c>
      <c r="G848" s="19" t="s">
        <v>121</v>
      </c>
      <c r="H848" s="19" t="s">
        <v>71</v>
      </c>
      <c r="I848" s="19" t="s">
        <v>111</v>
      </c>
      <c r="J848" s="20">
        <v>48</v>
      </c>
      <c r="K848" s="34">
        <v>0</v>
      </c>
      <c r="M848" s="19" t="str">
        <f>IF(OR(ISBLANK(C848),C848=""),"",ROUND((C848-B848)*24,2))</f>
        <v/>
      </c>
      <c r="N848" s="19" t="str">
        <f>IF(OR(ISBLANK(C848),C848="",M848=""),"In Progress",IF(M848&lt;=J848,"Met","Breached"))</f>
        <v>In Progress</v>
      </c>
    </row>
    <row r="849" ht="19" customHeight="1" spans="1:14" x14ac:dyDescent="0.25">
      <c r="A849" s="22" t="s">
        <v>963</v>
      </c>
      <c r="B849" s="36">
        <v>46059.35416666667</v>
      </c>
      <c r="C849" s="36">
        <v>46062.1125</v>
      </c>
      <c r="D849" s="22" t="s">
        <v>36</v>
      </c>
      <c r="E849" s="22" t="s">
        <v>65</v>
      </c>
      <c r="F849" s="22" t="s">
        <v>37</v>
      </c>
      <c r="G849" s="22" t="s">
        <v>121</v>
      </c>
      <c r="H849" s="22" t="s">
        <v>67</v>
      </c>
      <c r="I849" s="22" t="s">
        <v>123</v>
      </c>
      <c r="J849" s="23">
        <v>48</v>
      </c>
      <c r="K849" s="37">
        <v>0</v>
      </c>
      <c r="L849" s="37">
        <v>4</v>
      </c>
      <c r="M849" s="22">
        <f>IF(OR(ISBLANK(C849),C849=""),"",ROUND((C849-B849)*24,2))</f>
        <v>66.2</v>
      </c>
      <c r="N849" s="38" t="str">
        <f>IF(OR(ISBLANK(C849),C849="",M849=""),"In Progress",IF(M849&lt;=J849,"Met","Breached"))</f>
        <v>Breached</v>
      </c>
    </row>
    <row r="850" ht="19" customHeight="1" spans="1:14" x14ac:dyDescent="0.25">
      <c r="A850" s="19" t="s">
        <v>964</v>
      </c>
      <c r="B850" s="33">
        <v>46170.146527777775</v>
      </c>
      <c r="C850" s="33">
        <v>46171.34305555555</v>
      </c>
      <c r="D850" s="19" t="s">
        <v>33</v>
      </c>
      <c r="E850" s="19" t="s">
        <v>65</v>
      </c>
      <c r="F850" s="19" t="s">
        <v>43</v>
      </c>
      <c r="G850" s="19" t="s">
        <v>113</v>
      </c>
      <c r="H850" s="19" t="s">
        <v>59</v>
      </c>
      <c r="I850" s="19" t="s">
        <v>111</v>
      </c>
      <c r="J850" s="20">
        <v>48</v>
      </c>
      <c r="K850" s="34">
        <v>1</v>
      </c>
      <c r="L850" s="34">
        <v>1</v>
      </c>
      <c r="M850" s="19">
        <f>IF(OR(ISBLANK(C850),C850=""),"",ROUND((C850-B850)*24,2))</f>
        <v>28.72</v>
      </c>
      <c r="N850" s="35" t="str">
        <f>IF(OR(ISBLANK(C850),C850="",M850=""),"In Progress",IF(M850&lt;=J850,"Met","Breached"))</f>
        <v>Met</v>
      </c>
    </row>
    <row r="851" ht="19" customHeight="1" spans="1:14" x14ac:dyDescent="0.25">
      <c r="A851" s="22" t="s">
        <v>965</v>
      </c>
      <c r="B851" s="36">
        <v>45667.9875</v>
      </c>
      <c r="C851" s="36">
        <v>45668.47361111111</v>
      </c>
      <c r="D851" s="22" t="s">
        <v>33</v>
      </c>
      <c r="E851" s="22" t="s">
        <v>61</v>
      </c>
      <c r="F851" s="22" t="s">
        <v>43</v>
      </c>
      <c r="G851" s="22" t="s">
        <v>126</v>
      </c>
      <c r="H851" s="22" t="s">
        <v>59</v>
      </c>
      <c r="I851" s="22" t="s">
        <v>114</v>
      </c>
      <c r="J851" s="23">
        <v>12</v>
      </c>
      <c r="K851" s="37">
        <v>0</v>
      </c>
      <c r="L851" s="37">
        <v>1</v>
      </c>
      <c r="M851" s="22">
        <f>IF(OR(ISBLANK(C851),C851=""),"",ROUND((C851-B851)*24,2))</f>
        <v>11.67</v>
      </c>
      <c r="N851" s="40" t="str">
        <f>IF(OR(ISBLANK(C851),C851="",M851=""),"In Progress",IF(M851&lt;=J851,"Met","Breached"))</f>
        <v>Met</v>
      </c>
    </row>
    <row r="852" ht="19" customHeight="1" spans="1:14" x14ac:dyDescent="0.25">
      <c r="A852" s="19" t="s">
        <v>966</v>
      </c>
      <c r="B852" s="33">
        <v>45742.43263888889</v>
      </c>
      <c r="C852" s="33">
        <v>45745.79027777778</v>
      </c>
      <c r="D852" s="19" t="s">
        <v>33</v>
      </c>
      <c r="E852" s="19" t="s">
        <v>65</v>
      </c>
      <c r="F852" s="19" t="s">
        <v>34</v>
      </c>
      <c r="G852" s="19" t="s">
        <v>126</v>
      </c>
      <c r="H852" s="19" t="s">
        <v>63</v>
      </c>
      <c r="I852" s="19" t="s">
        <v>108</v>
      </c>
      <c r="J852" s="20">
        <v>48</v>
      </c>
      <c r="K852" s="34">
        <v>0</v>
      </c>
      <c r="M852" s="19">
        <f>IF(OR(ISBLANK(C852),C852=""),"",ROUND((C852-B852)*24,2))</f>
        <v>80.58</v>
      </c>
      <c r="N852" s="39" t="str">
        <f>IF(OR(ISBLANK(C852),C852="",M852=""),"In Progress",IF(M852&lt;=J852,"Met","Breached"))</f>
        <v>Breached</v>
      </c>
    </row>
    <row r="853" ht="19" customHeight="1" spans="1:14" x14ac:dyDescent="0.25">
      <c r="A853" s="22" t="s">
        <v>967</v>
      </c>
      <c r="B853" s="36">
        <v>46046.5875</v>
      </c>
      <c r="C853" s="36">
        <v>46047.93263888889</v>
      </c>
      <c r="D853" s="22" t="s">
        <v>36</v>
      </c>
      <c r="E853" s="22" t="s">
        <v>65</v>
      </c>
      <c r="F853" s="22" t="s">
        <v>45</v>
      </c>
      <c r="G853" s="22" t="s">
        <v>110</v>
      </c>
      <c r="H853" s="22" t="s">
        <v>71</v>
      </c>
      <c r="I853" s="22" t="s">
        <v>117</v>
      </c>
      <c r="J853" s="23">
        <v>48</v>
      </c>
      <c r="K853" s="37">
        <v>1</v>
      </c>
      <c r="L853" s="37">
        <v>4</v>
      </c>
      <c r="M853" s="22">
        <f>IF(OR(ISBLANK(C853),C853=""),"",ROUND((C853-B853)*24,2))</f>
        <v>32.28</v>
      </c>
      <c r="N853" s="40" t="str">
        <f>IF(OR(ISBLANK(C853),C853="",M853=""),"In Progress",IF(M853&lt;=J853,"Met","Breached"))</f>
        <v>Met</v>
      </c>
    </row>
    <row r="854" ht="19" customHeight="1" spans="1:14" x14ac:dyDescent="0.25">
      <c r="A854" s="19" t="s">
        <v>968</v>
      </c>
      <c r="B854" s="33">
        <v>46123.74444444444</v>
      </c>
      <c r="D854" s="19" t="s">
        <v>42</v>
      </c>
      <c r="E854" s="19" t="s">
        <v>69</v>
      </c>
      <c r="F854" s="19" t="s">
        <v>34</v>
      </c>
      <c r="G854" s="19" t="s">
        <v>126</v>
      </c>
      <c r="H854" s="19" t="s">
        <v>59</v>
      </c>
      <c r="I854" s="19" t="s">
        <v>108</v>
      </c>
      <c r="J854" s="20">
        <v>120</v>
      </c>
      <c r="K854" s="34">
        <v>0</v>
      </c>
      <c r="M854" s="19" t="str">
        <f>IF(OR(ISBLANK(C854),C854=""),"",ROUND((C854-B854)*24,2))</f>
        <v/>
      </c>
      <c r="N854" s="19" t="str">
        <f>IF(OR(ISBLANK(C854),C854="",M854=""),"In Progress",IF(M854&lt;=J854,"Met","Breached"))</f>
        <v>In Progress</v>
      </c>
    </row>
    <row r="855" ht="19" customHeight="1" spans="1:14" x14ac:dyDescent="0.25">
      <c r="A855" s="22" t="s">
        <v>969</v>
      </c>
      <c r="B855" s="36">
        <v>46040.46319444444</v>
      </c>
      <c r="D855" s="22" t="s">
        <v>42</v>
      </c>
      <c r="E855" s="22" t="s">
        <v>65</v>
      </c>
      <c r="F855" s="22" t="s">
        <v>34</v>
      </c>
      <c r="G855" s="22" t="s">
        <v>121</v>
      </c>
      <c r="H855" s="22" t="s">
        <v>59</v>
      </c>
      <c r="I855" s="22" t="s">
        <v>117</v>
      </c>
      <c r="J855" s="23">
        <v>48</v>
      </c>
      <c r="K855" s="37">
        <v>0</v>
      </c>
      <c r="M855" s="22" t="str">
        <f>IF(OR(ISBLANK(C855),C855=""),"",ROUND((C855-B855)*24,2))</f>
        <v/>
      </c>
      <c r="N855" s="22" t="str">
        <f>IF(OR(ISBLANK(C855),C855="",M855=""),"In Progress",IF(M855&lt;=J855,"Met","Breached"))</f>
        <v>In Progress</v>
      </c>
    </row>
    <row r="856" ht="19" customHeight="1" spans="1:14" x14ac:dyDescent="0.25">
      <c r="A856" s="19" t="s">
        <v>970</v>
      </c>
      <c r="B856" s="33">
        <v>46075.80138888889</v>
      </c>
      <c r="C856" s="33">
        <v>46076.11388888889</v>
      </c>
      <c r="D856" s="19" t="s">
        <v>33</v>
      </c>
      <c r="E856" s="19" t="s">
        <v>61</v>
      </c>
      <c r="F856" s="19" t="s">
        <v>34</v>
      </c>
      <c r="G856" s="19" t="s">
        <v>63</v>
      </c>
      <c r="H856" s="19" t="s">
        <v>71</v>
      </c>
      <c r="I856" s="19" t="s">
        <v>117</v>
      </c>
      <c r="J856" s="20">
        <v>12</v>
      </c>
      <c r="K856" s="34">
        <v>0</v>
      </c>
      <c r="L856" s="34">
        <v>2</v>
      </c>
      <c r="M856" s="19">
        <f>IF(OR(ISBLANK(C856),C856=""),"",ROUND((C856-B856)*24,2))</f>
        <v>7.5</v>
      </c>
      <c r="N856" s="35" t="str">
        <f>IF(OR(ISBLANK(C856),C856="",M856=""),"In Progress",IF(M856&lt;=J856,"Met","Breached"))</f>
        <v>Met</v>
      </c>
    </row>
    <row r="857" ht="19" customHeight="1" spans="1:14" x14ac:dyDescent="0.25">
      <c r="A857" s="22" t="s">
        <v>971</v>
      </c>
      <c r="B857" s="36">
        <v>46238.356944444444</v>
      </c>
      <c r="C857" s="36">
        <v>46240.15486111111</v>
      </c>
      <c r="D857" s="22" t="s">
        <v>33</v>
      </c>
      <c r="E857" s="22" t="s">
        <v>65</v>
      </c>
      <c r="F857" s="22" t="s">
        <v>37</v>
      </c>
      <c r="G857" s="22" t="s">
        <v>121</v>
      </c>
      <c r="H857" s="22" t="s">
        <v>59</v>
      </c>
      <c r="I857" s="22" t="s">
        <v>114</v>
      </c>
      <c r="J857" s="23">
        <v>48</v>
      </c>
      <c r="K857" s="37">
        <v>0</v>
      </c>
      <c r="M857" s="22">
        <f>IF(OR(ISBLANK(C857),C857=""),"",ROUND((C857-B857)*24,2))</f>
        <v>43.15</v>
      </c>
      <c r="N857" s="40" t="str">
        <f>IF(OR(ISBLANK(C857),C857="",M857=""),"In Progress",IF(M857&lt;=J857,"Met","Breached"))</f>
        <v>Met</v>
      </c>
    </row>
    <row r="858" ht="19" customHeight="1" spans="1:14" x14ac:dyDescent="0.25">
      <c r="A858" s="19" t="s">
        <v>972</v>
      </c>
      <c r="B858" s="33">
        <v>45765.17361111111</v>
      </c>
      <c r="C858" s="33">
        <v>45766.01597222222</v>
      </c>
      <c r="D858" s="19" t="s">
        <v>33</v>
      </c>
      <c r="E858" s="19" t="s">
        <v>61</v>
      </c>
      <c r="F858" s="19" t="s">
        <v>43</v>
      </c>
      <c r="G858" s="19" t="s">
        <v>126</v>
      </c>
      <c r="H858" s="19" t="s">
        <v>63</v>
      </c>
      <c r="I858" s="19" t="s">
        <v>108</v>
      </c>
      <c r="J858" s="20">
        <v>12</v>
      </c>
      <c r="K858" s="34">
        <v>0</v>
      </c>
      <c r="L858" s="34">
        <v>3</v>
      </c>
      <c r="M858" s="19">
        <f>IF(OR(ISBLANK(C858),C858=""),"",ROUND((C858-B858)*24,2))</f>
        <v>20.22</v>
      </c>
      <c r="N858" s="39" t="str">
        <f>IF(OR(ISBLANK(C858),C858="",M858=""),"In Progress",IF(M858&lt;=J858,"Met","Breached"))</f>
        <v>Breached</v>
      </c>
    </row>
    <row r="859" ht="19" customHeight="1" spans="1:14" x14ac:dyDescent="0.25">
      <c r="A859" s="22" t="s">
        <v>973</v>
      </c>
      <c r="B859" s="36">
        <v>46088.29166666667</v>
      </c>
      <c r="D859" s="22" t="s">
        <v>39</v>
      </c>
      <c r="E859" s="22" t="s">
        <v>61</v>
      </c>
      <c r="F859" s="22" t="s">
        <v>34</v>
      </c>
      <c r="G859" s="22" t="s">
        <v>63</v>
      </c>
      <c r="H859" s="22" t="s">
        <v>71</v>
      </c>
      <c r="I859" s="22" t="s">
        <v>147</v>
      </c>
      <c r="J859" s="23">
        <v>12</v>
      </c>
      <c r="K859" s="37">
        <v>0</v>
      </c>
      <c r="M859" s="22" t="str">
        <f>IF(OR(ISBLANK(C859),C859=""),"",ROUND((C859-B859)*24,2))</f>
        <v/>
      </c>
      <c r="N859" s="22" t="str">
        <f>IF(OR(ISBLANK(C859),C859="",M859=""),"In Progress",IF(M859&lt;=J859,"Met","Breached"))</f>
        <v>In Progress</v>
      </c>
    </row>
    <row r="860" ht="19" customHeight="1" spans="1:14" x14ac:dyDescent="0.25">
      <c r="A860" s="19" t="s">
        <v>974</v>
      </c>
      <c r="B860" s="33">
        <v>46262.40555555555</v>
      </c>
      <c r="C860" s="33">
        <v>46264.41180555556</v>
      </c>
      <c r="D860" s="19" t="s">
        <v>33</v>
      </c>
      <c r="E860" s="19" t="s">
        <v>65</v>
      </c>
      <c r="F860" s="19" t="s">
        <v>40</v>
      </c>
      <c r="G860" s="19" t="s">
        <v>110</v>
      </c>
      <c r="H860" s="19" t="s">
        <v>59</v>
      </c>
      <c r="I860" s="19" t="s">
        <v>108</v>
      </c>
      <c r="J860" s="20">
        <v>48</v>
      </c>
      <c r="K860" s="34">
        <v>0</v>
      </c>
      <c r="L860" s="34">
        <v>3</v>
      </c>
      <c r="M860" s="19">
        <f>IF(OR(ISBLANK(C860),C860=""),"",ROUND((C860-B860)*24,2))</f>
        <v>48.15</v>
      </c>
      <c r="N860" s="39" t="str">
        <f>IF(OR(ISBLANK(C860),C860="",M860=""),"In Progress",IF(M860&lt;=J860,"Met","Breached"))</f>
        <v>Breached</v>
      </c>
    </row>
    <row r="861" ht="19" customHeight="1" spans="1:14" x14ac:dyDescent="0.25">
      <c r="A861" s="22" t="s">
        <v>975</v>
      </c>
      <c r="B861" s="36">
        <v>45913.06111111111</v>
      </c>
      <c r="C861" s="36">
        <v>45914.67013888889</v>
      </c>
      <c r="D861" s="22" t="s">
        <v>36</v>
      </c>
      <c r="E861" s="22" t="s">
        <v>69</v>
      </c>
      <c r="F861" s="22" t="s">
        <v>37</v>
      </c>
      <c r="G861" s="22" t="s">
        <v>126</v>
      </c>
      <c r="H861" s="22" t="s">
        <v>63</v>
      </c>
      <c r="I861" s="22" t="s">
        <v>123</v>
      </c>
      <c r="J861" s="23">
        <v>120</v>
      </c>
      <c r="K861" s="37">
        <v>0</v>
      </c>
      <c r="L861" s="37">
        <v>1</v>
      </c>
      <c r="M861" s="22">
        <f>IF(OR(ISBLANK(C861),C861=""),"",ROUND((C861-B861)*24,2))</f>
        <v>38.62</v>
      </c>
      <c r="N861" s="40" t="str">
        <f>IF(OR(ISBLANK(C861),C861="",M861=""),"In Progress",IF(M861&lt;=J861,"Met","Breached"))</f>
        <v>Met</v>
      </c>
    </row>
    <row r="862" ht="19" customHeight="1" spans="1:14" x14ac:dyDescent="0.25">
      <c r="A862" s="19" t="s">
        <v>976</v>
      </c>
      <c r="B862" s="33">
        <v>46131.11041666666</v>
      </c>
      <c r="D862" s="19" t="s">
        <v>39</v>
      </c>
      <c r="E862" s="19" t="s">
        <v>57</v>
      </c>
      <c r="F862" s="19" t="s">
        <v>43</v>
      </c>
      <c r="G862" s="19" t="s">
        <v>110</v>
      </c>
      <c r="H862" s="19" t="s">
        <v>67</v>
      </c>
      <c r="I862" s="19" t="s">
        <v>117</v>
      </c>
      <c r="J862" s="20">
        <v>4</v>
      </c>
      <c r="K862" s="34">
        <v>0</v>
      </c>
      <c r="M862" s="19" t="str">
        <f>IF(OR(ISBLANK(C862),C862=""),"",ROUND((C862-B862)*24,2))</f>
        <v/>
      </c>
      <c r="N862" s="19" t="str">
        <f>IF(OR(ISBLANK(C862),C862="",M862=""),"In Progress",IF(M862&lt;=J862,"Met","Breached"))</f>
        <v>In Progress</v>
      </c>
    </row>
    <row r="863" ht="19" customHeight="1" spans="1:14" x14ac:dyDescent="0.25">
      <c r="A863" s="22" t="s">
        <v>977</v>
      </c>
      <c r="B863" s="36">
        <v>46204.85277777778</v>
      </c>
      <c r="C863" s="36">
        <v>46206.51736111111</v>
      </c>
      <c r="D863" s="22" t="s">
        <v>36</v>
      </c>
      <c r="E863" s="22" t="s">
        <v>65</v>
      </c>
      <c r="F863" s="22" t="s">
        <v>45</v>
      </c>
      <c r="G863" s="22" t="s">
        <v>113</v>
      </c>
      <c r="H863" s="22" t="s">
        <v>71</v>
      </c>
      <c r="I863" s="22" t="s">
        <v>123</v>
      </c>
      <c r="J863" s="23">
        <v>48</v>
      </c>
      <c r="K863" s="37">
        <v>0</v>
      </c>
      <c r="L863" s="37">
        <v>5</v>
      </c>
      <c r="M863" s="22">
        <f>IF(OR(ISBLANK(C863),C863=""),"",ROUND((C863-B863)*24,2))</f>
        <v>39.95</v>
      </c>
      <c r="N863" s="40" t="str">
        <f>IF(OR(ISBLANK(C863),C863="",M863=""),"In Progress",IF(M863&lt;=J863,"Met","Breached"))</f>
        <v>Met</v>
      </c>
    </row>
    <row r="864" ht="19" customHeight="1" spans="1:14" x14ac:dyDescent="0.25">
      <c r="A864" s="19" t="s">
        <v>978</v>
      </c>
      <c r="B864" s="33">
        <v>45873.25069444445</v>
      </c>
      <c r="D864" s="19" t="s">
        <v>42</v>
      </c>
      <c r="E864" s="19" t="s">
        <v>65</v>
      </c>
      <c r="F864" s="19" t="s">
        <v>37</v>
      </c>
      <c r="G864" s="19" t="s">
        <v>110</v>
      </c>
      <c r="H864" s="19" t="s">
        <v>67</v>
      </c>
      <c r="I864" s="19" t="s">
        <v>147</v>
      </c>
      <c r="J864" s="20">
        <v>48</v>
      </c>
      <c r="K864" s="34">
        <v>0</v>
      </c>
      <c r="M864" s="19" t="str">
        <f>IF(OR(ISBLANK(C864),C864=""),"",ROUND((C864-B864)*24,2))</f>
        <v/>
      </c>
      <c r="N864" s="19" t="str">
        <f>IF(OR(ISBLANK(C864),C864="",M864=""),"In Progress",IF(M864&lt;=J864,"Met","Breached"))</f>
        <v>In Progress</v>
      </c>
    </row>
    <row r="865" ht="19" customHeight="1" spans="1:14" x14ac:dyDescent="0.25">
      <c r="A865" s="22" t="s">
        <v>979</v>
      </c>
      <c r="B865" s="36">
        <v>45675.08541666667</v>
      </c>
      <c r="D865" s="22" t="s">
        <v>39</v>
      </c>
      <c r="E865" s="22" t="s">
        <v>65</v>
      </c>
      <c r="F865" s="22" t="s">
        <v>37</v>
      </c>
      <c r="G865" s="22" t="s">
        <v>116</v>
      </c>
      <c r="H865" s="22" t="s">
        <v>59</v>
      </c>
      <c r="I865" s="22" t="s">
        <v>147</v>
      </c>
      <c r="J865" s="23">
        <v>48</v>
      </c>
      <c r="K865" s="37">
        <v>0</v>
      </c>
      <c r="M865" s="22" t="str">
        <f>IF(OR(ISBLANK(C865),C865=""),"",ROUND((C865-B865)*24,2))</f>
        <v/>
      </c>
      <c r="N865" s="22" t="str">
        <f>IF(OR(ISBLANK(C865),C865="",M865=""),"In Progress",IF(M865&lt;=J865,"Met","Breached"))</f>
        <v>In Progress</v>
      </c>
    </row>
    <row r="866" ht="19" customHeight="1" spans="1:14" x14ac:dyDescent="0.25">
      <c r="A866" s="19" t="s">
        <v>980</v>
      </c>
      <c r="B866" s="33">
        <v>45986.3375</v>
      </c>
      <c r="C866" s="33">
        <v>45988.294444444444</v>
      </c>
      <c r="D866" s="19" t="s">
        <v>33</v>
      </c>
      <c r="E866" s="19" t="s">
        <v>65</v>
      </c>
      <c r="F866" s="19" t="s">
        <v>40</v>
      </c>
      <c r="G866" s="19" t="s">
        <v>110</v>
      </c>
      <c r="H866" s="19" t="s">
        <v>59</v>
      </c>
      <c r="I866" s="19" t="s">
        <v>108</v>
      </c>
      <c r="J866" s="20">
        <v>48</v>
      </c>
      <c r="K866" s="34">
        <v>0</v>
      </c>
      <c r="L866" s="34">
        <v>4</v>
      </c>
      <c r="M866" s="19">
        <f>IF(OR(ISBLANK(C866),C866=""),"",ROUND((C866-B866)*24,2))</f>
        <v>46.97</v>
      </c>
      <c r="N866" s="35" t="str">
        <f>IF(OR(ISBLANK(C866),C866="",M866=""),"In Progress",IF(M866&lt;=J866,"Met","Breached"))</f>
        <v>Met</v>
      </c>
    </row>
    <row r="867" ht="19" customHeight="1" spans="1:14" x14ac:dyDescent="0.25">
      <c r="A867" s="22" t="s">
        <v>981</v>
      </c>
      <c r="B867" s="36">
        <v>45783.82777777778</v>
      </c>
      <c r="C867" s="36">
        <v>45792.024305555555</v>
      </c>
      <c r="D867" s="22" t="s">
        <v>33</v>
      </c>
      <c r="E867" s="22" t="s">
        <v>69</v>
      </c>
      <c r="F867" s="22" t="s">
        <v>45</v>
      </c>
      <c r="G867" s="22" t="s">
        <v>116</v>
      </c>
      <c r="H867" s="22" t="s">
        <v>59</v>
      </c>
      <c r="I867" s="22" t="s">
        <v>114</v>
      </c>
      <c r="J867" s="23">
        <v>120</v>
      </c>
      <c r="K867" s="37">
        <v>0</v>
      </c>
      <c r="L867" s="37">
        <v>2</v>
      </c>
      <c r="M867" s="22">
        <f>IF(OR(ISBLANK(C867),C867=""),"",ROUND((C867-B867)*24,2))</f>
        <v>196.72</v>
      </c>
      <c r="N867" s="38" t="str">
        <f>IF(OR(ISBLANK(C867),C867="",M867=""),"In Progress",IF(M867&lt;=J867,"Met","Breached"))</f>
        <v>Breached</v>
      </c>
    </row>
    <row r="868" ht="19" customHeight="1" spans="1:14" x14ac:dyDescent="0.25">
      <c r="A868" s="19" t="s">
        <v>982</v>
      </c>
      <c r="B868" s="33">
        <v>45977.19861111111</v>
      </c>
      <c r="C868" s="33">
        <v>45979.788888888885</v>
      </c>
      <c r="D868" s="19" t="s">
        <v>33</v>
      </c>
      <c r="E868" s="19" t="s">
        <v>65</v>
      </c>
      <c r="F868" s="19" t="s">
        <v>37</v>
      </c>
      <c r="G868" s="19" t="s">
        <v>121</v>
      </c>
      <c r="H868" s="19" t="s">
        <v>59</v>
      </c>
      <c r="I868" s="19" t="s">
        <v>108</v>
      </c>
      <c r="J868" s="20">
        <v>48</v>
      </c>
      <c r="K868" s="34">
        <v>0</v>
      </c>
      <c r="M868" s="19">
        <f>IF(OR(ISBLANK(C868),C868=""),"",ROUND((C868-B868)*24,2))</f>
        <v>62.17</v>
      </c>
      <c r="N868" s="39" t="str">
        <f>IF(OR(ISBLANK(C868),C868="",M868=""),"In Progress",IF(M868&lt;=J868,"Met","Breached"))</f>
        <v>Breached</v>
      </c>
    </row>
    <row r="869" ht="19" customHeight="1" spans="1:14" x14ac:dyDescent="0.25">
      <c r="A869" s="22" t="s">
        <v>983</v>
      </c>
      <c r="B869" s="36">
        <v>46143.961111111115</v>
      </c>
      <c r="C869" s="36">
        <v>46146.23402777778</v>
      </c>
      <c r="D869" s="22" t="s">
        <v>33</v>
      </c>
      <c r="E869" s="22" t="s">
        <v>65</v>
      </c>
      <c r="F869" s="22" t="s">
        <v>43</v>
      </c>
      <c r="G869" s="22" t="s">
        <v>116</v>
      </c>
      <c r="H869" s="22" t="s">
        <v>63</v>
      </c>
      <c r="I869" s="22" t="s">
        <v>123</v>
      </c>
      <c r="J869" s="23">
        <v>48</v>
      </c>
      <c r="K869" s="37">
        <v>0</v>
      </c>
      <c r="L869" s="37">
        <v>4</v>
      </c>
      <c r="M869" s="22">
        <f>IF(OR(ISBLANK(C869),C869=""),"",ROUND((C869-B869)*24,2))</f>
        <v>54.55</v>
      </c>
      <c r="N869" s="38" t="str">
        <f>IF(OR(ISBLANK(C869),C869="",M869=""),"In Progress",IF(M869&lt;=J869,"Met","Breached"))</f>
        <v>Breached</v>
      </c>
    </row>
    <row r="870" ht="19" customHeight="1" spans="1:14" x14ac:dyDescent="0.25">
      <c r="A870" s="19" t="s">
        <v>984</v>
      </c>
      <c r="B870" s="33">
        <v>45879.30416666667</v>
      </c>
      <c r="C870" s="33">
        <v>45881.46597222222</v>
      </c>
      <c r="D870" s="19" t="s">
        <v>33</v>
      </c>
      <c r="E870" s="19" t="s">
        <v>65</v>
      </c>
      <c r="F870" s="19" t="s">
        <v>45</v>
      </c>
      <c r="G870" s="19" t="s">
        <v>110</v>
      </c>
      <c r="H870" s="19" t="s">
        <v>59</v>
      </c>
      <c r="I870" s="19" t="s">
        <v>108</v>
      </c>
      <c r="J870" s="20">
        <v>48</v>
      </c>
      <c r="K870" s="34">
        <v>0</v>
      </c>
      <c r="L870" s="34">
        <v>4</v>
      </c>
      <c r="M870" s="19">
        <f>IF(OR(ISBLANK(C870),C870=""),"",ROUND((C870-B870)*24,2))</f>
        <v>51.88</v>
      </c>
      <c r="N870" s="39" t="str">
        <f>IF(OR(ISBLANK(C870),C870="",M870=""),"In Progress",IF(M870&lt;=J870,"Met","Breached"))</f>
        <v>Breached</v>
      </c>
    </row>
    <row r="871" ht="19" customHeight="1" spans="1:14" x14ac:dyDescent="0.25">
      <c r="A871" s="22" t="s">
        <v>985</v>
      </c>
      <c r="B871" s="36">
        <v>45750.66527777778</v>
      </c>
      <c r="C871" s="36">
        <v>45753.763194444444</v>
      </c>
      <c r="D871" s="22" t="s">
        <v>36</v>
      </c>
      <c r="E871" s="22" t="s">
        <v>65</v>
      </c>
      <c r="F871" s="22" t="s">
        <v>37</v>
      </c>
      <c r="G871" s="22" t="s">
        <v>126</v>
      </c>
      <c r="H871" s="22" t="s">
        <v>63</v>
      </c>
      <c r="I871" s="22" t="s">
        <v>108</v>
      </c>
      <c r="J871" s="23">
        <v>48</v>
      </c>
      <c r="K871" s="37">
        <v>0</v>
      </c>
      <c r="L871" s="37">
        <v>4</v>
      </c>
      <c r="M871" s="22">
        <f>IF(OR(ISBLANK(C871),C871=""),"",ROUND((C871-B871)*24,2))</f>
        <v>74.35</v>
      </c>
      <c r="N871" s="38" t="str">
        <f>IF(OR(ISBLANK(C871),C871="",M871=""),"In Progress",IF(M871&lt;=J871,"Met","Breached"))</f>
        <v>Breached</v>
      </c>
    </row>
    <row r="872" ht="19" customHeight="1" spans="1:14" x14ac:dyDescent="0.25">
      <c r="A872" s="19" t="s">
        <v>986</v>
      </c>
      <c r="B872" s="33">
        <v>46087.87430555555</v>
      </c>
      <c r="C872" s="33">
        <v>46091.17638888889</v>
      </c>
      <c r="D872" s="19" t="s">
        <v>36</v>
      </c>
      <c r="E872" s="19" t="s">
        <v>69</v>
      </c>
      <c r="F872" s="19" t="s">
        <v>40</v>
      </c>
      <c r="G872" s="19" t="s">
        <v>121</v>
      </c>
      <c r="H872" s="19" t="s">
        <v>63</v>
      </c>
      <c r="I872" s="19" t="s">
        <v>111</v>
      </c>
      <c r="J872" s="20">
        <v>120</v>
      </c>
      <c r="K872" s="34">
        <v>0</v>
      </c>
      <c r="L872" s="34">
        <v>2</v>
      </c>
      <c r="M872" s="19">
        <f>IF(OR(ISBLANK(C872),C872=""),"",ROUND((C872-B872)*24,2))</f>
        <v>79.25</v>
      </c>
      <c r="N872" s="35" t="str">
        <f>IF(OR(ISBLANK(C872),C872="",M872=""),"In Progress",IF(M872&lt;=J872,"Met","Breached"))</f>
        <v>Met</v>
      </c>
    </row>
    <row r="873" ht="19" customHeight="1" spans="1:14" x14ac:dyDescent="0.25">
      <c r="A873" s="22" t="s">
        <v>987</v>
      </c>
      <c r="B873" s="36">
        <v>45828.75</v>
      </c>
      <c r="D873" s="22" t="s">
        <v>42</v>
      </c>
      <c r="E873" s="22" t="s">
        <v>69</v>
      </c>
      <c r="F873" s="22" t="s">
        <v>45</v>
      </c>
      <c r="G873" s="22" t="s">
        <v>113</v>
      </c>
      <c r="H873" s="22" t="s">
        <v>63</v>
      </c>
      <c r="I873" s="22" t="s">
        <v>117</v>
      </c>
      <c r="J873" s="23">
        <v>120</v>
      </c>
      <c r="K873" s="37">
        <v>0</v>
      </c>
      <c r="M873" s="22" t="str">
        <f>IF(OR(ISBLANK(C873),C873=""),"",ROUND((C873-B873)*24,2))</f>
        <v/>
      </c>
      <c r="N873" s="22" t="str">
        <f>IF(OR(ISBLANK(C873),C873="",M873=""),"In Progress",IF(M873&lt;=J873,"Met","Breached"))</f>
        <v>In Progress</v>
      </c>
    </row>
    <row r="874" ht="19" customHeight="1" spans="1:14" x14ac:dyDescent="0.25">
      <c r="A874" s="19" t="s">
        <v>988</v>
      </c>
      <c r="B874" s="33">
        <v>45717.375</v>
      </c>
      <c r="C874" s="33">
        <v>45718.3125</v>
      </c>
      <c r="D874" s="19" t="s">
        <v>36</v>
      </c>
      <c r="E874" s="19" t="s">
        <v>65</v>
      </c>
      <c r="F874" s="19" t="s">
        <v>43</v>
      </c>
      <c r="G874" s="19" t="s">
        <v>113</v>
      </c>
      <c r="H874" s="19" t="s">
        <v>67</v>
      </c>
      <c r="I874" s="19" t="s">
        <v>108</v>
      </c>
      <c r="J874" s="20">
        <v>48</v>
      </c>
      <c r="K874" s="34">
        <v>0</v>
      </c>
      <c r="M874" s="19">
        <f>IF(OR(ISBLANK(C874),C874=""),"",ROUND((C874-B874)*24,2))</f>
        <v>22.5</v>
      </c>
      <c r="N874" s="35" t="str">
        <f>IF(OR(ISBLANK(C874),C874="",M874=""),"In Progress",IF(M874&lt;=J874,"Met","Breached"))</f>
        <v>Met</v>
      </c>
    </row>
    <row r="875" ht="19" customHeight="1" spans="1:14" x14ac:dyDescent="0.25">
      <c r="A875" s="22" t="s">
        <v>989</v>
      </c>
      <c r="B875" s="36">
        <v>45883.70347222222</v>
      </c>
      <c r="C875" s="36">
        <v>45886.94791666667</v>
      </c>
      <c r="D875" s="22" t="s">
        <v>33</v>
      </c>
      <c r="E875" s="22" t="s">
        <v>65</v>
      </c>
      <c r="F875" s="22" t="s">
        <v>37</v>
      </c>
      <c r="G875" s="22" t="s">
        <v>121</v>
      </c>
      <c r="H875" s="22" t="s">
        <v>63</v>
      </c>
      <c r="I875" s="22" t="s">
        <v>111</v>
      </c>
      <c r="J875" s="23">
        <v>48</v>
      </c>
      <c r="K875" s="37">
        <v>1</v>
      </c>
      <c r="L875" s="37">
        <v>4</v>
      </c>
      <c r="M875" s="22">
        <f>IF(OR(ISBLANK(C875),C875=""),"",ROUND((C875-B875)*24,2))</f>
        <v>77.87</v>
      </c>
      <c r="N875" s="38" t="str">
        <f>IF(OR(ISBLANK(C875),C875="",M875=""),"In Progress",IF(M875&lt;=J875,"Met","Breached"))</f>
        <v>Breached</v>
      </c>
    </row>
    <row r="876" ht="19" customHeight="1" spans="1:14" x14ac:dyDescent="0.25">
      <c r="A876" s="19" t="s">
        <v>990</v>
      </c>
      <c r="B876" s="33">
        <v>45750.271527777775</v>
      </c>
      <c r="D876" s="19" t="s">
        <v>39</v>
      </c>
      <c r="E876" s="19" t="s">
        <v>65</v>
      </c>
      <c r="F876" s="19" t="s">
        <v>34</v>
      </c>
      <c r="G876" s="19" t="s">
        <v>110</v>
      </c>
      <c r="H876" s="19" t="s">
        <v>59</v>
      </c>
      <c r="I876" s="19" t="s">
        <v>117</v>
      </c>
      <c r="J876" s="20">
        <v>48</v>
      </c>
      <c r="K876" s="34">
        <v>0</v>
      </c>
      <c r="M876" s="19" t="str">
        <f>IF(OR(ISBLANK(C876),C876=""),"",ROUND((C876-B876)*24,2))</f>
        <v/>
      </c>
      <c r="N876" s="19" t="str">
        <f>IF(OR(ISBLANK(C876),C876="",M876=""),"In Progress",IF(M876&lt;=J876,"Met","Breached"))</f>
        <v>In Progress</v>
      </c>
    </row>
    <row r="877" ht="19" customHeight="1" spans="1:14" x14ac:dyDescent="0.25">
      <c r="A877" s="22" t="s">
        <v>991</v>
      </c>
      <c r="B877" s="36">
        <v>45682.61666666667</v>
      </c>
      <c r="C877" s="36">
        <v>45682.865277777775</v>
      </c>
      <c r="D877" s="22" t="s">
        <v>36</v>
      </c>
      <c r="E877" s="22" t="s">
        <v>57</v>
      </c>
      <c r="F877" s="22" t="s">
        <v>34</v>
      </c>
      <c r="G877" s="22" t="s">
        <v>113</v>
      </c>
      <c r="H877" s="22" t="s">
        <v>59</v>
      </c>
      <c r="I877" s="22" t="s">
        <v>111</v>
      </c>
      <c r="J877" s="23">
        <v>4</v>
      </c>
      <c r="K877" s="37">
        <v>0</v>
      </c>
      <c r="L877" s="37">
        <v>4</v>
      </c>
      <c r="M877" s="22">
        <f>IF(OR(ISBLANK(C877),C877=""),"",ROUND((C877-B877)*24,2))</f>
        <v>5.97</v>
      </c>
      <c r="N877" s="38" t="str">
        <f>IF(OR(ISBLANK(C877),C877="",M877=""),"In Progress",IF(M877&lt;=J877,"Met","Breached"))</f>
        <v>Breached</v>
      </c>
    </row>
    <row r="878" ht="19" customHeight="1" spans="1:14" x14ac:dyDescent="0.25">
      <c r="A878" s="19" t="s">
        <v>992</v>
      </c>
      <c r="B878" s="33">
        <v>46073.790972222225</v>
      </c>
      <c r="C878" s="33">
        <v>46074.549305555556</v>
      </c>
      <c r="D878" s="19" t="s">
        <v>36</v>
      </c>
      <c r="E878" s="19" t="s">
        <v>61</v>
      </c>
      <c r="F878" s="19" t="s">
        <v>40</v>
      </c>
      <c r="G878" s="19" t="s">
        <v>63</v>
      </c>
      <c r="H878" s="19" t="s">
        <v>67</v>
      </c>
      <c r="I878" s="19" t="s">
        <v>111</v>
      </c>
      <c r="J878" s="20">
        <v>12</v>
      </c>
      <c r="K878" s="34">
        <v>0</v>
      </c>
      <c r="M878" s="19">
        <f>IF(OR(ISBLANK(C878),C878=""),"",ROUND((C878-B878)*24,2))</f>
        <v>18.2</v>
      </c>
      <c r="N878" s="39" t="str">
        <f>IF(OR(ISBLANK(C878),C878="",M878=""),"In Progress",IF(M878&lt;=J878,"Met","Breached"))</f>
        <v>Breached</v>
      </c>
    </row>
    <row r="879" ht="19" customHeight="1" spans="1:14" x14ac:dyDescent="0.25">
      <c r="A879" s="22" t="s">
        <v>993</v>
      </c>
      <c r="B879" s="36">
        <v>45900.10833333334</v>
      </c>
      <c r="C879" s="36">
        <v>45900.65138888889</v>
      </c>
      <c r="D879" s="22" t="s">
        <v>33</v>
      </c>
      <c r="E879" s="22" t="s">
        <v>61</v>
      </c>
      <c r="F879" s="22" t="s">
        <v>34</v>
      </c>
      <c r="G879" s="22" t="s">
        <v>113</v>
      </c>
      <c r="H879" s="22" t="s">
        <v>59</v>
      </c>
      <c r="I879" s="22" t="s">
        <v>111</v>
      </c>
      <c r="J879" s="23">
        <v>12</v>
      </c>
      <c r="K879" s="37">
        <v>0</v>
      </c>
      <c r="L879" s="37">
        <v>3</v>
      </c>
      <c r="M879" s="22">
        <f>IF(OR(ISBLANK(C879),C879=""),"",ROUND((C879-B879)*24,2))</f>
        <v>13.03</v>
      </c>
      <c r="N879" s="38" t="str">
        <f>IF(OR(ISBLANK(C879),C879="",M879=""),"In Progress",IF(M879&lt;=J879,"Met","Breached"))</f>
        <v>Breached</v>
      </c>
    </row>
    <row r="880" ht="19" customHeight="1" spans="1:14" x14ac:dyDescent="0.25">
      <c r="A880" s="19" t="s">
        <v>994</v>
      </c>
      <c r="B880" s="33">
        <v>46211.955555555556</v>
      </c>
      <c r="C880" s="33">
        <v>46215.07847222222</v>
      </c>
      <c r="D880" s="19" t="s">
        <v>36</v>
      </c>
      <c r="E880" s="19" t="s">
        <v>65</v>
      </c>
      <c r="F880" s="19" t="s">
        <v>43</v>
      </c>
      <c r="G880" s="19" t="s">
        <v>113</v>
      </c>
      <c r="H880" s="19" t="s">
        <v>63</v>
      </c>
      <c r="I880" s="19" t="s">
        <v>114</v>
      </c>
      <c r="J880" s="20">
        <v>48</v>
      </c>
      <c r="K880" s="34">
        <v>0</v>
      </c>
      <c r="L880" s="34">
        <v>1</v>
      </c>
      <c r="M880" s="19">
        <f>IF(OR(ISBLANK(C880),C880=""),"",ROUND((C880-B880)*24,2))</f>
        <v>74.95</v>
      </c>
      <c r="N880" s="39" t="str">
        <f>IF(OR(ISBLANK(C880),C880="",M880=""),"In Progress",IF(M880&lt;=J880,"Met","Breached"))</f>
        <v>Breached</v>
      </c>
    </row>
    <row r="881" ht="19" customHeight="1" spans="1:14" x14ac:dyDescent="0.25">
      <c r="A881" s="22" t="s">
        <v>995</v>
      </c>
      <c r="B881" s="36">
        <v>46089.381944444445</v>
      </c>
      <c r="C881" s="36">
        <v>46089.97083333333</v>
      </c>
      <c r="D881" s="22" t="s">
        <v>33</v>
      </c>
      <c r="E881" s="22" t="s">
        <v>61</v>
      </c>
      <c r="F881" s="22" t="s">
        <v>45</v>
      </c>
      <c r="G881" s="22" t="s">
        <v>113</v>
      </c>
      <c r="H881" s="22" t="s">
        <v>59</v>
      </c>
      <c r="I881" s="22" t="s">
        <v>108</v>
      </c>
      <c r="J881" s="23">
        <v>12</v>
      </c>
      <c r="K881" s="37">
        <v>0</v>
      </c>
      <c r="M881" s="22">
        <f>IF(OR(ISBLANK(C881),C881=""),"",ROUND((C881-B881)*24,2))</f>
        <v>14.13</v>
      </c>
      <c r="N881" s="38" t="str">
        <f>IF(OR(ISBLANK(C881),C881="",M881=""),"In Progress",IF(M881&lt;=J881,"Met","Breached"))</f>
        <v>Breached</v>
      </c>
    </row>
    <row r="882" ht="19" customHeight="1" spans="1:14" x14ac:dyDescent="0.25">
      <c r="A882" s="19" t="s">
        <v>996</v>
      </c>
      <c r="B882" s="33">
        <v>45750.65902777778</v>
      </c>
      <c r="C882" s="33">
        <v>45751.37708333333</v>
      </c>
      <c r="D882" s="19" t="s">
        <v>33</v>
      </c>
      <c r="E882" s="19" t="s">
        <v>65</v>
      </c>
      <c r="F882" s="19" t="s">
        <v>45</v>
      </c>
      <c r="G882" s="19" t="s">
        <v>116</v>
      </c>
      <c r="H882" s="19" t="s">
        <v>71</v>
      </c>
      <c r="I882" s="19" t="s">
        <v>114</v>
      </c>
      <c r="J882" s="20">
        <v>48</v>
      </c>
      <c r="K882" s="34">
        <v>0</v>
      </c>
      <c r="L882" s="34">
        <v>1</v>
      </c>
      <c r="M882" s="19">
        <f>IF(OR(ISBLANK(C882),C882=""),"",ROUND((C882-B882)*24,2))</f>
        <v>17.23</v>
      </c>
      <c r="N882" s="35" t="str">
        <f>IF(OR(ISBLANK(C882),C882="",M882=""),"In Progress",IF(M882&lt;=J882,"Met","Breached"))</f>
        <v>Met</v>
      </c>
    </row>
    <row r="883" ht="19" customHeight="1" spans="1:14" x14ac:dyDescent="0.25">
      <c r="A883" s="22" t="s">
        <v>997</v>
      </c>
      <c r="B883" s="36">
        <v>45817.73263888889</v>
      </c>
      <c r="C883" s="36">
        <v>45820.45</v>
      </c>
      <c r="D883" s="22" t="s">
        <v>36</v>
      </c>
      <c r="E883" s="22" t="s">
        <v>65</v>
      </c>
      <c r="F883" s="22" t="s">
        <v>37</v>
      </c>
      <c r="G883" s="22" t="s">
        <v>110</v>
      </c>
      <c r="H883" s="22" t="s">
        <v>63</v>
      </c>
      <c r="I883" s="22" t="s">
        <v>147</v>
      </c>
      <c r="J883" s="23">
        <v>48</v>
      </c>
      <c r="K883" s="37">
        <v>0</v>
      </c>
      <c r="L883" s="37">
        <v>1</v>
      </c>
      <c r="M883" s="22">
        <f>IF(OR(ISBLANK(C883),C883=""),"",ROUND((C883-B883)*24,2))</f>
        <v>65.22</v>
      </c>
      <c r="N883" s="38" t="str">
        <f>IF(OR(ISBLANK(C883),C883="",M883=""),"In Progress",IF(M883&lt;=J883,"Met","Breached"))</f>
        <v>Breached</v>
      </c>
    </row>
    <row r="884" ht="19" customHeight="1" spans="1:14" x14ac:dyDescent="0.25">
      <c r="A884" s="19" t="s">
        <v>998</v>
      </c>
      <c r="B884" s="33">
        <v>45992.97222222222</v>
      </c>
      <c r="C884" s="33">
        <v>45995.86319444445</v>
      </c>
      <c r="D884" s="19" t="s">
        <v>36</v>
      </c>
      <c r="E884" s="19" t="s">
        <v>65</v>
      </c>
      <c r="F884" s="19" t="s">
        <v>45</v>
      </c>
      <c r="G884" s="19" t="s">
        <v>126</v>
      </c>
      <c r="H884" s="19" t="s">
        <v>59</v>
      </c>
      <c r="I884" s="19" t="s">
        <v>108</v>
      </c>
      <c r="J884" s="20">
        <v>48</v>
      </c>
      <c r="K884" s="34">
        <v>0</v>
      </c>
      <c r="L884" s="34">
        <v>2</v>
      </c>
      <c r="M884" s="19">
        <f>IF(OR(ISBLANK(C884),C884=""),"",ROUND((C884-B884)*24,2))</f>
        <v>69.38</v>
      </c>
      <c r="N884" s="39" t="str">
        <f>IF(OR(ISBLANK(C884),C884="",M884=""),"In Progress",IF(M884&lt;=J884,"Met","Breached"))</f>
        <v>Breached</v>
      </c>
    </row>
    <row r="885" ht="19" customHeight="1" spans="1:14" x14ac:dyDescent="0.25">
      <c r="A885" s="22" t="s">
        <v>999</v>
      </c>
      <c r="B885" s="36">
        <v>46157.149305555555</v>
      </c>
      <c r="D885" s="22" t="s">
        <v>39</v>
      </c>
      <c r="E885" s="22" t="s">
        <v>61</v>
      </c>
      <c r="F885" s="22" t="s">
        <v>37</v>
      </c>
      <c r="G885" s="22" t="s">
        <v>110</v>
      </c>
      <c r="H885" s="22" t="s">
        <v>59</v>
      </c>
      <c r="I885" s="22" t="s">
        <v>123</v>
      </c>
      <c r="J885" s="23">
        <v>12</v>
      </c>
      <c r="K885" s="37">
        <v>0</v>
      </c>
      <c r="M885" s="22" t="str">
        <f>IF(OR(ISBLANK(C885),C885=""),"",ROUND((C885-B885)*24,2))</f>
        <v/>
      </c>
      <c r="N885" s="22" t="str">
        <f>IF(OR(ISBLANK(C885),C885="",M885=""),"In Progress",IF(M885&lt;=J885,"Met","Breached"))</f>
        <v>In Progress</v>
      </c>
    </row>
    <row r="886" ht="19" customHeight="1" spans="1:14" x14ac:dyDescent="0.25">
      <c r="A886" s="19" t="s">
        <v>1000</v>
      </c>
      <c r="B886" s="33">
        <v>45856.225</v>
      </c>
      <c r="D886" s="19" t="s">
        <v>42</v>
      </c>
      <c r="E886" s="19" t="s">
        <v>65</v>
      </c>
      <c r="F886" s="19" t="s">
        <v>43</v>
      </c>
      <c r="G886" s="19" t="s">
        <v>63</v>
      </c>
      <c r="H886" s="19" t="s">
        <v>59</v>
      </c>
      <c r="I886" s="19" t="s">
        <v>114</v>
      </c>
      <c r="J886" s="20">
        <v>48</v>
      </c>
      <c r="K886" s="34">
        <v>0</v>
      </c>
      <c r="M886" s="19" t="str">
        <f>IF(OR(ISBLANK(C886),C886=""),"",ROUND((C886-B886)*24,2))</f>
        <v/>
      </c>
      <c r="N886" s="19" t="str">
        <f>IF(OR(ISBLANK(C886),C886="",M886=""),"In Progress",IF(M886&lt;=J886,"Met","Breached"))</f>
        <v>In Progress</v>
      </c>
    </row>
    <row r="887" ht="19" customHeight="1" spans="1:14" x14ac:dyDescent="0.25">
      <c r="A887" s="22" t="s">
        <v>1001</v>
      </c>
      <c r="B887" s="36">
        <v>46087.90763888889</v>
      </c>
      <c r="C887" s="36">
        <v>46089.73611111111</v>
      </c>
      <c r="D887" s="22" t="s">
        <v>36</v>
      </c>
      <c r="E887" s="22" t="s">
        <v>65</v>
      </c>
      <c r="F887" s="22" t="s">
        <v>40</v>
      </c>
      <c r="G887" s="22" t="s">
        <v>113</v>
      </c>
      <c r="H887" s="22" t="s">
        <v>59</v>
      </c>
      <c r="I887" s="22" t="s">
        <v>117</v>
      </c>
      <c r="J887" s="23">
        <v>48</v>
      </c>
      <c r="K887" s="37">
        <v>0</v>
      </c>
      <c r="L887" s="37">
        <v>3</v>
      </c>
      <c r="M887" s="22">
        <f>IF(OR(ISBLANK(C887),C887=""),"",ROUND((C887-B887)*24,2))</f>
        <v>43.88</v>
      </c>
      <c r="N887" s="40" t="str">
        <f>IF(OR(ISBLANK(C887),C887="",M887=""),"In Progress",IF(M887&lt;=J887,"Met","Breached"))</f>
        <v>Met</v>
      </c>
    </row>
    <row r="888" ht="19" customHeight="1" spans="1:14" x14ac:dyDescent="0.25">
      <c r="A888" s="19" t="s">
        <v>1002</v>
      </c>
      <c r="B888" s="33">
        <v>45743.92013888889</v>
      </c>
      <c r="C888" s="33">
        <v>45745.24166666667</v>
      </c>
      <c r="D888" s="19" t="s">
        <v>33</v>
      </c>
      <c r="E888" s="19" t="s">
        <v>65</v>
      </c>
      <c r="F888" s="19" t="s">
        <v>43</v>
      </c>
      <c r="G888" s="19" t="s">
        <v>110</v>
      </c>
      <c r="H888" s="19" t="s">
        <v>71</v>
      </c>
      <c r="I888" s="19" t="s">
        <v>111</v>
      </c>
      <c r="J888" s="20">
        <v>48</v>
      </c>
      <c r="K888" s="34">
        <v>0</v>
      </c>
      <c r="L888" s="34">
        <v>5</v>
      </c>
      <c r="M888" s="19">
        <f>IF(OR(ISBLANK(C888),C888=""),"",ROUND((C888-B888)*24,2))</f>
        <v>31.72</v>
      </c>
      <c r="N888" s="35" t="str">
        <f>IF(OR(ISBLANK(C888),C888="",M888=""),"In Progress",IF(M888&lt;=J888,"Met","Breached"))</f>
        <v>Met</v>
      </c>
    </row>
    <row r="889" ht="19" customHeight="1" spans="1:14" x14ac:dyDescent="0.25">
      <c r="A889" s="22" t="s">
        <v>1003</v>
      </c>
      <c r="B889" s="36">
        <v>46277.54375</v>
      </c>
      <c r="C889" s="36">
        <v>46278.351388888885</v>
      </c>
      <c r="D889" s="22" t="s">
        <v>36</v>
      </c>
      <c r="E889" s="22" t="s">
        <v>65</v>
      </c>
      <c r="F889" s="22" t="s">
        <v>37</v>
      </c>
      <c r="G889" s="22" t="s">
        <v>121</v>
      </c>
      <c r="H889" s="22" t="s">
        <v>71</v>
      </c>
      <c r="I889" s="22" t="s">
        <v>117</v>
      </c>
      <c r="J889" s="23">
        <v>48</v>
      </c>
      <c r="K889" s="37">
        <v>0</v>
      </c>
      <c r="M889" s="22">
        <f>IF(OR(ISBLANK(C889),C889=""),"",ROUND((C889-B889)*24,2))</f>
        <v>19.38</v>
      </c>
      <c r="N889" s="40" t="str">
        <f>IF(OR(ISBLANK(C889),C889="",M889=""),"In Progress",IF(M889&lt;=J889,"Met","Breached"))</f>
        <v>Met</v>
      </c>
    </row>
    <row r="890" ht="19" customHeight="1" spans="1:14" x14ac:dyDescent="0.25">
      <c r="A890" s="19" t="s">
        <v>1004</v>
      </c>
      <c r="B890" s="33">
        <v>46159.476388888885</v>
      </c>
      <c r="C890" s="33">
        <v>46160.10416666667</v>
      </c>
      <c r="D890" s="19" t="s">
        <v>33</v>
      </c>
      <c r="E890" s="19" t="s">
        <v>65</v>
      </c>
      <c r="F890" s="19" t="s">
        <v>43</v>
      </c>
      <c r="G890" s="19" t="s">
        <v>113</v>
      </c>
      <c r="H890" s="19" t="s">
        <v>63</v>
      </c>
      <c r="I890" s="19" t="s">
        <v>108</v>
      </c>
      <c r="J890" s="20">
        <v>48</v>
      </c>
      <c r="K890" s="34">
        <v>0</v>
      </c>
      <c r="L890" s="34">
        <v>5</v>
      </c>
      <c r="M890" s="19">
        <f>IF(OR(ISBLANK(C890),C890=""),"",ROUND((C890-B890)*24,2))</f>
        <v>15.07</v>
      </c>
      <c r="N890" s="35" t="str">
        <f>IF(OR(ISBLANK(C890),C890="",M890=""),"In Progress",IF(M890&lt;=J890,"Met","Breached"))</f>
        <v>Met</v>
      </c>
    </row>
    <row r="891" ht="19" customHeight="1" spans="1:14" x14ac:dyDescent="0.25">
      <c r="A891" s="22" t="s">
        <v>1005</v>
      </c>
      <c r="B891" s="36">
        <v>45668.745833333334</v>
      </c>
      <c r="D891" s="22" t="s">
        <v>39</v>
      </c>
      <c r="E891" s="22" t="s">
        <v>69</v>
      </c>
      <c r="F891" s="22" t="s">
        <v>43</v>
      </c>
      <c r="G891" s="22" t="s">
        <v>121</v>
      </c>
      <c r="H891" s="22" t="s">
        <v>67</v>
      </c>
      <c r="I891" s="22" t="s">
        <v>114</v>
      </c>
      <c r="J891" s="23">
        <v>120</v>
      </c>
      <c r="K891" s="37">
        <v>0</v>
      </c>
      <c r="M891" s="22" t="str">
        <f>IF(OR(ISBLANK(C891),C891=""),"",ROUND((C891-B891)*24,2))</f>
        <v/>
      </c>
      <c r="N891" s="22" t="str">
        <f>IF(OR(ISBLANK(C891),C891="",M891=""),"In Progress",IF(M891&lt;=J891,"Met","Breached"))</f>
        <v>In Progress</v>
      </c>
    </row>
    <row r="892" ht="19" customHeight="1" spans="1:14" x14ac:dyDescent="0.25">
      <c r="A892" s="19" t="s">
        <v>1006</v>
      </c>
      <c r="B892" s="33">
        <v>45666.60486111111</v>
      </c>
      <c r="C892" s="33">
        <v>45669.98055555555</v>
      </c>
      <c r="D892" s="19" t="s">
        <v>33</v>
      </c>
      <c r="E892" s="19" t="s">
        <v>65</v>
      </c>
      <c r="F892" s="19" t="s">
        <v>34</v>
      </c>
      <c r="G892" s="19" t="s">
        <v>116</v>
      </c>
      <c r="H892" s="19" t="s">
        <v>63</v>
      </c>
      <c r="I892" s="19" t="s">
        <v>123</v>
      </c>
      <c r="J892" s="20">
        <v>48</v>
      </c>
      <c r="K892" s="34">
        <v>1</v>
      </c>
      <c r="M892" s="19">
        <f>IF(OR(ISBLANK(C892),C892=""),"",ROUND((C892-B892)*24,2))</f>
        <v>81.02</v>
      </c>
      <c r="N892" s="39" t="str">
        <f>IF(OR(ISBLANK(C892),C892="",M892=""),"In Progress",IF(M892&lt;=J892,"Met","Breached"))</f>
        <v>Breached</v>
      </c>
    </row>
    <row r="893" ht="19" customHeight="1" spans="1:14" x14ac:dyDescent="0.25">
      <c r="A893" s="22" t="s">
        <v>1007</v>
      </c>
      <c r="B893" s="36">
        <v>45964.88680555555</v>
      </c>
      <c r="D893" s="22" t="s">
        <v>42</v>
      </c>
      <c r="E893" s="22" t="s">
        <v>69</v>
      </c>
      <c r="F893" s="22" t="s">
        <v>40</v>
      </c>
      <c r="G893" s="22" t="s">
        <v>110</v>
      </c>
      <c r="H893" s="22" t="s">
        <v>59</v>
      </c>
      <c r="I893" s="22" t="s">
        <v>111</v>
      </c>
      <c r="J893" s="23">
        <v>120</v>
      </c>
      <c r="K893" s="37">
        <v>0</v>
      </c>
      <c r="M893" s="22" t="str">
        <f>IF(OR(ISBLANK(C893),C893=""),"",ROUND((C893-B893)*24,2))</f>
        <v/>
      </c>
      <c r="N893" s="22" t="str">
        <f>IF(OR(ISBLANK(C893),C893="",M893=""),"In Progress",IF(M893&lt;=J893,"Met","Breached"))</f>
        <v>In Progress</v>
      </c>
    </row>
    <row r="894" ht="19" customHeight="1" spans="1:14" x14ac:dyDescent="0.25">
      <c r="A894" s="19" t="s">
        <v>1008</v>
      </c>
      <c r="B894" s="33">
        <v>46206.415972222225</v>
      </c>
      <c r="C894" s="33">
        <v>46208.56388888889</v>
      </c>
      <c r="D894" s="19" t="s">
        <v>33</v>
      </c>
      <c r="E894" s="19" t="s">
        <v>65</v>
      </c>
      <c r="F894" s="19" t="s">
        <v>34</v>
      </c>
      <c r="G894" s="19" t="s">
        <v>121</v>
      </c>
      <c r="H894" s="19" t="s">
        <v>59</v>
      </c>
      <c r="I894" s="19" t="s">
        <v>114</v>
      </c>
      <c r="J894" s="20">
        <v>48</v>
      </c>
      <c r="K894" s="34">
        <v>0</v>
      </c>
      <c r="L894" s="34">
        <v>5</v>
      </c>
      <c r="M894" s="19">
        <f>IF(OR(ISBLANK(C894),C894=""),"",ROUND((C894-B894)*24,2))</f>
        <v>51.55</v>
      </c>
      <c r="N894" s="39" t="str">
        <f>IF(OR(ISBLANK(C894),C894="",M894=""),"In Progress",IF(M894&lt;=J894,"Met","Breached"))</f>
        <v>Breached</v>
      </c>
    </row>
    <row r="895" ht="19" customHeight="1" spans="1:14" x14ac:dyDescent="0.25">
      <c r="A895" s="22" t="s">
        <v>1009</v>
      </c>
      <c r="B895" s="36">
        <v>45675.50208333333</v>
      </c>
      <c r="C895" s="36">
        <v>45675.68541666667</v>
      </c>
      <c r="D895" s="22" t="s">
        <v>36</v>
      </c>
      <c r="E895" s="22" t="s">
        <v>57</v>
      </c>
      <c r="F895" s="22" t="s">
        <v>45</v>
      </c>
      <c r="G895" s="22" t="s">
        <v>121</v>
      </c>
      <c r="H895" s="22" t="s">
        <v>59</v>
      </c>
      <c r="I895" s="22" t="s">
        <v>111</v>
      </c>
      <c r="J895" s="23">
        <v>4</v>
      </c>
      <c r="K895" s="37">
        <v>0</v>
      </c>
      <c r="M895" s="22">
        <f>IF(OR(ISBLANK(C895),C895=""),"",ROUND((C895-B895)*24,2))</f>
        <v>4.4</v>
      </c>
      <c r="N895" s="38" t="str">
        <f>IF(OR(ISBLANK(C895),C895="",M895=""),"In Progress",IF(M895&lt;=J895,"Met","Breached"))</f>
        <v>Breached</v>
      </c>
    </row>
    <row r="896" ht="19" customHeight="1" spans="1:14" x14ac:dyDescent="0.25">
      <c r="A896" s="19" t="s">
        <v>1010</v>
      </c>
      <c r="B896" s="33">
        <v>45660.03055555555</v>
      </c>
      <c r="C896" s="33">
        <v>45662.867361111115</v>
      </c>
      <c r="D896" s="19" t="s">
        <v>33</v>
      </c>
      <c r="E896" s="19" t="s">
        <v>65</v>
      </c>
      <c r="F896" s="19" t="s">
        <v>43</v>
      </c>
      <c r="G896" s="19" t="s">
        <v>126</v>
      </c>
      <c r="H896" s="19" t="s">
        <v>59</v>
      </c>
      <c r="I896" s="19" t="s">
        <v>114</v>
      </c>
      <c r="J896" s="20">
        <v>48</v>
      </c>
      <c r="K896" s="34">
        <v>0</v>
      </c>
      <c r="L896" s="34">
        <v>3</v>
      </c>
      <c r="M896" s="19">
        <f>IF(OR(ISBLANK(C896),C896=""),"",ROUND((C896-B896)*24,2))</f>
        <v>68.08</v>
      </c>
      <c r="N896" s="39" t="str">
        <f>IF(OR(ISBLANK(C896),C896="",M896=""),"In Progress",IF(M896&lt;=J896,"Met","Breached"))</f>
        <v>Breached</v>
      </c>
    </row>
    <row r="897" ht="19" customHeight="1" spans="1:14" x14ac:dyDescent="0.25">
      <c r="A897" s="22" t="s">
        <v>1011</v>
      </c>
      <c r="B897" s="36">
        <v>45675.85902777778</v>
      </c>
      <c r="C897" s="36">
        <v>45677.51736111111</v>
      </c>
      <c r="D897" s="22" t="s">
        <v>33</v>
      </c>
      <c r="E897" s="22" t="s">
        <v>65</v>
      </c>
      <c r="F897" s="22" t="s">
        <v>34</v>
      </c>
      <c r="G897" s="22" t="s">
        <v>116</v>
      </c>
      <c r="H897" s="22" t="s">
        <v>59</v>
      </c>
      <c r="I897" s="22" t="s">
        <v>123</v>
      </c>
      <c r="J897" s="23">
        <v>48</v>
      </c>
      <c r="K897" s="37">
        <v>0</v>
      </c>
      <c r="M897" s="22">
        <f>IF(OR(ISBLANK(C897),C897=""),"",ROUND((C897-B897)*24,2))</f>
        <v>39.8</v>
      </c>
      <c r="N897" s="40" t="str">
        <f>IF(OR(ISBLANK(C897),C897="",M897=""),"In Progress",IF(M897&lt;=J897,"Met","Breached"))</f>
        <v>Met</v>
      </c>
    </row>
    <row r="898" ht="19" customHeight="1" spans="1:14" x14ac:dyDescent="0.25">
      <c r="A898" s="19" t="s">
        <v>1012</v>
      </c>
      <c r="B898" s="33">
        <v>45741.25555555556</v>
      </c>
      <c r="D898" s="19" t="s">
        <v>39</v>
      </c>
      <c r="E898" s="19" t="s">
        <v>61</v>
      </c>
      <c r="F898" s="19" t="s">
        <v>43</v>
      </c>
      <c r="G898" s="19" t="s">
        <v>116</v>
      </c>
      <c r="H898" s="19" t="s">
        <v>59</v>
      </c>
      <c r="I898" s="19" t="s">
        <v>114</v>
      </c>
      <c r="J898" s="20">
        <v>12</v>
      </c>
      <c r="K898" s="34">
        <v>0</v>
      </c>
      <c r="M898" s="19" t="str">
        <f>IF(OR(ISBLANK(C898),C898=""),"",ROUND((C898-B898)*24,2))</f>
        <v/>
      </c>
      <c r="N898" s="19" t="str">
        <f>IF(OR(ISBLANK(C898),C898="",M898=""),"In Progress",IF(M898&lt;=J898,"Met","Breached"))</f>
        <v>In Progress</v>
      </c>
    </row>
    <row r="899" ht="19" customHeight="1" spans="1:14" x14ac:dyDescent="0.25">
      <c r="A899" s="22" t="s">
        <v>1013</v>
      </c>
      <c r="B899" s="36">
        <v>45922.027083333334</v>
      </c>
      <c r="D899" s="22" t="s">
        <v>42</v>
      </c>
      <c r="E899" s="22" t="s">
        <v>65</v>
      </c>
      <c r="F899" s="22" t="s">
        <v>45</v>
      </c>
      <c r="G899" s="22" t="s">
        <v>126</v>
      </c>
      <c r="H899" s="22" t="s">
        <v>63</v>
      </c>
      <c r="I899" s="22" t="s">
        <v>147</v>
      </c>
      <c r="J899" s="23">
        <v>48</v>
      </c>
      <c r="K899" s="37">
        <v>0</v>
      </c>
      <c r="M899" s="22" t="str">
        <f>IF(OR(ISBLANK(C899),C899=""),"",ROUND((C899-B899)*24,2))</f>
        <v/>
      </c>
      <c r="N899" s="22" t="str">
        <f>IF(OR(ISBLANK(C899),C899="",M899=""),"In Progress",IF(M899&lt;=J899,"Met","Breached"))</f>
        <v>In Progress</v>
      </c>
    </row>
    <row r="900" ht="19" customHeight="1" spans="1:14" x14ac:dyDescent="0.25">
      <c r="A900" s="19" t="s">
        <v>1014</v>
      </c>
      <c r="B900" s="33">
        <v>45893.23472222222</v>
      </c>
      <c r="D900" s="19" t="s">
        <v>39</v>
      </c>
      <c r="E900" s="19" t="s">
        <v>69</v>
      </c>
      <c r="F900" s="19" t="s">
        <v>34</v>
      </c>
      <c r="G900" s="19" t="s">
        <v>110</v>
      </c>
      <c r="H900" s="19" t="s">
        <v>67</v>
      </c>
      <c r="I900" s="19" t="s">
        <v>114</v>
      </c>
      <c r="J900" s="20">
        <v>120</v>
      </c>
      <c r="K900" s="34">
        <v>0</v>
      </c>
      <c r="M900" s="19" t="str">
        <f>IF(OR(ISBLANK(C900),C900=""),"",ROUND((C900-B900)*24,2))</f>
        <v/>
      </c>
      <c r="N900" s="19" t="str">
        <f>IF(OR(ISBLANK(C900),C900="",M900=""),"In Progress",IF(M900&lt;=J900,"Met","Breached"))</f>
        <v>In Progress</v>
      </c>
    </row>
    <row r="901" ht="19" customHeight="1" spans="1:14" x14ac:dyDescent="0.25">
      <c r="A901" s="22" t="s">
        <v>1015</v>
      </c>
      <c r="B901" s="36">
        <v>45750.64791666667</v>
      </c>
      <c r="C901" s="36">
        <v>45750.85972222222</v>
      </c>
      <c r="D901" s="22" t="s">
        <v>33</v>
      </c>
      <c r="E901" s="22" t="s">
        <v>57</v>
      </c>
      <c r="F901" s="22" t="s">
        <v>40</v>
      </c>
      <c r="G901" s="22" t="s">
        <v>126</v>
      </c>
      <c r="H901" s="22" t="s">
        <v>67</v>
      </c>
      <c r="I901" s="22" t="s">
        <v>147</v>
      </c>
      <c r="J901" s="23">
        <v>4</v>
      </c>
      <c r="K901" s="37">
        <v>0</v>
      </c>
      <c r="L901" s="37">
        <v>1</v>
      </c>
      <c r="M901" s="22">
        <f>IF(OR(ISBLANK(C901),C901=""),"",ROUND((C901-B901)*24,2))</f>
        <v>5.08</v>
      </c>
      <c r="N901" s="38" t="str">
        <f>IF(OR(ISBLANK(C901),C901="",M901=""),"In Progress",IF(M901&lt;=J901,"Met","Breached"))</f>
        <v>Breached</v>
      </c>
    </row>
    <row r="902" ht="19" customHeight="1" spans="1:14" x14ac:dyDescent="0.25">
      <c r="A902" s="19" t="s">
        <v>1016</v>
      </c>
      <c r="B902" s="33">
        <v>46181.30972222222</v>
      </c>
      <c r="C902" s="33">
        <v>46183.632638888885</v>
      </c>
      <c r="D902" s="19" t="s">
        <v>33</v>
      </c>
      <c r="E902" s="19" t="s">
        <v>65</v>
      </c>
      <c r="F902" s="19" t="s">
        <v>40</v>
      </c>
      <c r="G902" s="19" t="s">
        <v>116</v>
      </c>
      <c r="H902" s="19" t="s">
        <v>63</v>
      </c>
      <c r="I902" s="19" t="s">
        <v>111</v>
      </c>
      <c r="J902" s="20">
        <v>48</v>
      </c>
      <c r="K902" s="34">
        <v>0</v>
      </c>
      <c r="M902" s="19">
        <f>IF(OR(ISBLANK(C902),C902=""),"",ROUND((C902-B902)*24,2))</f>
        <v>55.75</v>
      </c>
      <c r="N902" s="39" t="str">
        <f>IF(OR(ISBLANK(C902),C902="",M902=""),"In Progress",IF(M902&lt;=J902,"Met","Breached"))</f>
        <v>Breached</v>
      </c>
    </row>
    <row r="903" ht="19" customHeight="1" spans="1:14" x14ac:dyDescent="0.25">
      <c r="A903" s="22" t="s">
        <v>1017</v>
      </c>
      <c r="B903" s="36">
        <v>46069.12986111111</v>
      </c>
      <c r="C903" s="36">
        <v>46069.87986111111</v>
      </c>
      <c r="D903" s="22" t="s">
        <v>33</v>
      </c>
      <c r="E903" s="22" t="s">
        <v>61</v>
      </c>
      <c r="F903" s="22" t="s">
        <v>37</v>
      </c>
      <c r="G903" s="22" t="s">
        <v>116</v>
      </c>
      <c r="H903" s="22" t="s">
        <v>63</v>
      </c>
      <c r="I903" s="22" t="s">
        <v>114</v>
      </c>
      <c r="J903" s="23">
        <v>12</v>
      </c>
      <c r="K903" s="37">
        <v>0</v>
      </c>
      <c r="L903" s="37">
        <v>3</v>
      </c>
      <c r="M903" s="22">
        <f>IF(OR(ISBLANK(C903),C903=""),"",ROUND((C903-B903)*24,2))</f>
        <v>18</v>
      </c>
      <c r="N903" s="38" t="str">
        <f>IF(OR(ISBLANK(C903),C903="",M903=""),"In Progress",IF(M903&lt;=J903,"Met","Breached"))</f>
        <v>Breached</v>
      </c>
    </row>
    <row r="904" ht="19" customHeight="1" spans="1:14" x14ac:dyDescent="0.25">
      <c r="A904" s="19" t="s">
        <v>1018</v>
      </c>
      <c r="B904" s="33">
        <v>46038.59861111111</v>
      </c>
      <c r="C904" s="33">
        <v>46042.101388888885</v>
      </c>
      <c r="D904" s="19" t="s">
        <v>33</v>
      </c>
      <c r="E904" s="19" t="s">
        <v>65</v>
      </c>
      <c r="F904" s="19" t="s">
        <v>45</v>
      </c>
      <c r="G904" s="19" t="s">
        <v>126</v>
      </c>
      <c r="H904" s="19" t="s">
        <v>59</v>
      </c>
      <c r="I904" s="19" t="s">
        <v>108</v>
      </c>
      <c r="J904" s="20">
        <v>48</v>
      </c>
      <c r="K904" s="34">
        <v>0</v>
      </c>
      <c r="M904" s="19">
        <f>IF(OR(ISBLANK(C904),C904=""),"",ROUND((C904-B904)*24,2))</f>
        <v>84.07</v>
      </c>
      <c r="N904" s="39" t="str">
        <f>IF(OR(ISBLANK(C904),C904="",M904=""),"In Progress",IF(M904&lt;=J904,"Met","Breached"))</f>
        <v>Breached</v>
      </c>
    </row>
    <row r="905" ht="19" customHeight="1" spans="1:14" x14ac:dyDescent="0.25">
      <c r="A905" s="22" t="s">
        <v>1019</v>
      </c>
      <c r="B905" s="36">
        <v>46257.05625</v>
      </c>
      <c r="C905" s="36">
        <v>46257.65694444445</v>
      </c>
      <c r="D905" s="22" t="s">
        <v>33</v>
      </c>
      <c r="E905" s="22" t="s">
        <v>61</v>
      </c>
      <c r="F905" s="22" t="s">
        <v>40</v>
      </c>
      <c r="G905" s="22" t="s">
        <v>113</v>
      </c>
      <c r="H905" s="22" t="s">
        <v>63</v>
      </c>
      <c r="I905" s="22" t="s">
        <v>117</v>
      </c>
      <c r="J905" s="23">
        <v>12</v>
      </c>
      <c r="K905" s="37">
        <v>0</v>
      </c>
      <c r="L905" s="37">
        <v>1</v>
      </c>
      <c r="M905" s="22">
        <f>IF(OR(ISBLANK(C905),C905=""),"",ROUND((C905-B905)*24,2))</f>
        <v>14.42</v>
      </c>
      <c r="N905" s="38" t="str">
        <f>IF(OR(ISBLANK(C905),C905="",M905=""),"In Progress",IF(M905&lt;=J905,"Met","Breached"))</f>
        <v>Breached</v>
      </c>
    </row>
    <row r="906" ht="19" customHeight="1" spans="1:14" x14ac:dyDescent="0.25">
      <c r="A906" s="19" t="s">
        <v>1020</v>
      </c>
      <c r="B906" s="33">
        <v>46267.04305555555</v>
      </c>
      <c r="C906" s="33">
        <v>46269.10625</v>
      </c>
      <c r="D906" s="19" t="s">
        <v>33</v>
      </c>
      <c r="E906" s="19" t="s">
        <v>65</v>
      </c>
      <c r="F906" s="19" t="s">
        <v>34</v>
      </c>
      <c r="G906" s="19" t="s">
        <v>63</v>
      </c>
      <c r="H906" s="19" t="s">
        <v>67</v>
      </c>
      <c r="I906" s="19" t="s">
        <v>123</v>
      </c>
      <c r="J906" s="20">
        <v>48</v>
      </c>
      <c r="K906" s="34">
        <v>1</v>
      </c>
      <c r="L906" s="34">
        <v>3</v>
      </c>
      <c r="M906" s="19">
        <f>IF(OR(ISBLANK(C906),C906=""),"",ROUND((C906-B906)*24,2))</f>
        <v>49.52</v>
      </c>
      <c r="N906" s="39" t="str">
        <f>IF(OR(ISBLANK(C906),C906="",M906=""),"In Progress",IF(M906&lt;=J906,"Met","Breached"))</f>
        <v>Breached</v>
      </c>
    </row>
    <row r="907" ht="19" customHeight="1" spans="1:14" x14ac:dyDescent="0.25">
      <c r="A907" s="22" t="s">
        <v>1021</v>
      </c>
      <c r="B907" s="36">
        <v>45719.120833333334</v>
      </c>
      <c r="C907" s="36">
        <v>45719.41111111111</v>
      </c>
      <c r="D907" s="22" t="s">
        <v>33</v>
      </c>
      <c r="E907" s="22" t="s">
        <v>57</v>
      </c>
      <c r="F907" s="22" t="s">
        <v>34</v>
      </c>
      <c r="G907" s="22" t="s">
        <v>116</v>
      </c>
      <c r="H907" s="22" t="s">
        <v>59</v>
      </c>
      <c r="I907" s="22" t="s">
        <v>117</v>
      </c>
      <c r="J907" s="23">
        <v>4</v>
      </c>
      <c r="K907" s="37">
        <v>1</v>
      </c>
      <c r="L907" s="37">
        <v>2</v>
      </c>
      <c r="M907" s="22">
        <f>IF(OR(ISBLANK(C907),C907=""),"",ROUND((C907-B907)*24,2))</f>
        <v>6.97</v>
      </c>
      <c r="N907" s="38" t="str">
        <f>IF(OR(ISBLANK(C907),C907="",M907=""),"In Progress",IF(M907&lt;=J907,"Met","Breached"))</f>
        <v>Breached</v>
      </c>
    </row>
    <row r="908" ht="19" customHeight="1" spans="1:14" x14ac:dyDescent="0.25">
      <c r="A908" s="19" t="s">
        <v>1022</v>
      </c>
      <c r="B908" s="33">
        <v>46056.24166666667</v>
      </c>
      <c r="C908" s="33">
        <v>46060.425</v>
      </c>
      <c r="D908" s="19" t="s">
        <v>36</v>
      </c>
      <c r="E908" s="19" t="s">
        <v>69</v>
      </c>
      <c r="F908" s="19" t="s">
        <v>43</v>
      </c>
      <c r="G908" s="19" t="s">
        <v>113</v>
      </c>
      <c r="H908" s="19" t="s">
        <v>63</v>
      </c>
      <c r="I908" s="19" t="s">
        <v>111</v>
      </c>
      <c r="J908" s="20">
        <v>120</v>
      </c>
      <c r="K908" s="34">
        <v>0</v>
      </c>
      <c r="L908" s="34">
        <v>3</v>
      </c>
      <c r="M908" s="19">
        <f>IF(OR(ISBLANK(C908),C908=""),"",ROUND((C908-B908)*24,2))</f>
        <v>100.4</v>
      </c>
      <c r="N908" s="35" t="str">
        <f>IF(OR(ISBLANK(C908),C908="",M908=""),"In Progress",IF(M908&lt;=J908,"Met","Breached"))</f>
        <v>Met</v>
      </c>
    </row>
    <row r="909" ht="19" customHeight="1" spans="1:14" x14ac:dyDescent="0.25">
      <c r="A909" s="22" t="s">
        <v>1023</v>
      </c>
      <c r="B909" s="36">
        <v>45766.41527777778</v>
      </c>
      <c r="C909" s="36">
        <v>45767.413888888885</v>
      </c>
      <c r="D909" s="22" t="s">
        <v>33</v>
      </c>
      <c r="E909" s="22" t="s">
        <v>65</v>
      </c>
      <c r="F909" s="22" t="s">
        <v>34</v>
      </c>
      <c r="G909" s="22" t="s">
        <v>63</v>
      </c>
      <c r="H909" s="22" t="s">
        <v>59</v>
      </c>
      <c r="I909" s="22" t="s">
        <v>108</v>
      </c>
      <c r="J909" s="23">
        <v>48</v>
      </c>
      <c r="K909" s="37">
        <v>0</v>
      </c>
      <c r="L909" s="37">
        <v>5</v>
      </c>
      <c r="M909" s="22">
        <f>IF(OR(ISBLANK(C909),C909=""),"",ROUND((C909-B909)*24,2))</f>
        <v>23.97</v>
      </c>
      <c r="N909" s="40" t="str">
        <f>IF(OR(ISBLANK(C909),C909="",M909=""),"In Progress",IF(M909&lt;=J909,"Met","Breached"))</f>
        <v>Met</v>
      </c>
    </row>
    <row r="910" ht="19" customHeight="1" spans="1:14" x14ac:dyDescent="0.25">
      <c r="A910" s="19" t="s">
        <v>1024</v>
      </c>
      <c r="B910" s="33">
        <v>46059.89236111111</v>
      </c>
      <c r="D910" s="19" t="s">
        <v>42</v>
      </c>
      <c r="E910" s="19" t="s">
        <v>65</v>
      </c>
      <c r="F910" s="19" t="s">
        <v>43</v>
      </c>
      <c r="G910" s="19" t="s">
        <v>126</v>
      </c>
      <c r="H910" s="19" t="s">
        <v>59</v>
      </c>
      <c r="I910" s="19" t="s">
        <v>114</v>
      </c>
      <c r="J910" s="20">
        <v>48</v>
      </c>
      <c r="K910" s="34">
        <v>0</v>
      </c>
      <c r="M910" s="19" t="str">
        <f>IF(OR(ISBLANK(C910),C910=""),"",ROUND((C910-B910)*24,2))</f>
        <v/>
      </c>
      <c r="N910" s="19" t="str">
        <f>IF(OR(ISBLANK(C910),C910="",M910=""),"In Progress",IF(M910&lt;=J910,"Met","Breached"))</f>
        <v>In Progress</v>
      </c>
    </row>
    <row r="911" ht="19" customHeight="1" spans="1:14" x14ac:dyDescent="0.25">
      <c r="A911" s="22" t="s">
        <v>1025</v>
      </c>
      <c r="B911" s="36">
        <v>45664.18125</v>
      </c>
      <c r="C911" s="36">
        <v>45665.72152777778</v>
      </c>
      <c r="D911" s="22" t="s">
        <v>36</v>
      </c>
      <c r="E911" s="22" t="s">
        <v>65</v>
      </c>
      <c r="F911" s="22" t="s">
        <v>40</v>
      </c>
      <c r="G911" s="22" t="s">
        <v>63</v>
      </c>
      <c r="H911" s="22" t="s">
        <v>59</v>
      </c>
      <c r="I911" s="22" t="s">
        <v>123</v>
      </c>
      <c r="J911" s="23">
        <v>48</v>
      </c>
      <c r="K911" s="37">
        <v>0</v>
      </c>
      <c r="M911" s="22">
        <f>IF(OR(ISBLANK(C911),C911=""),"",ROUND((C911-B911)*24,2))</f>
        <v>36.97</v>
      </c>
      <c r="N911" s="40" t="str">
        <f>IF(OR(ISBLANK(C911),C911="",M911=""),"In Progress",IF(M911&lt;=J911,"Met","Breached"))</f>
        <v>Met</v>
      </c>
    </row>
    <row r="912" ht="19" customHeight="1" spans="1:14" x14ac:dyDescent="0.25">
      <c r="A912" s="19" t="s">
        <v>1026</v>
      </c>
      <c r="B912" s="33">
        <v>46016.72986111111</v>
      </c>
      <c r="C912" s="33">
        <v>46016.77986111111</v>
      </c>
      <c r="D912" s="19" t="s">
        <v>33</v>
      </c>
      <c r="E912" s="19" t="s">
        <v>57</v>
      </c>
      <c r="F912" s="19" t="s">
        <v>45</v>
      </c>
      <c r="G912" s="19" t="s">
        <v>110</v>
      </c>
      <c r="H912" s="19" t="s">
        <v>59</v>
      </c>
      <c r="I912" s="19" t="s">
        <v>108</v>
      </c>
      <c r="J912" s="20">
        <v>4</v>
      </c>
      <c r="K912" s="34">
        <v>0</v>
      </c>
      <c r="L912" s="34">
        <v>2</v>
      </c>
      <c r="M912" s="19">
        <f>IF(OR(ISBLANK(C912),C912=""),"",ROUND((C912-B912)*24,2))</f>
        <v>1.2</v>
      </c>
      <c r="N912" s="35" t="str">
        <f>IF(OR(ISBLANK(C912),C912="",M912=""),"In Progress",IF(M912&lt;=J912,"Met","Breached"))</f>
        <v>Met</v>
      </c>
    </row>
    <row r="913" ht="19" customHeight="1" spans="1:14" x14ac:dyDescent="0.25">
      <c r="A913" s="22" t="s">
        <v>1027</v>
      </c>
      <c r="B913" s="36">
        <v>46102.28333333333</v>
      </c>
      <c r="D913" s="22" t="s">
        <v>42</v>
      </c>
      <c r="E913" s="22" t="s">
        <v>57</v>
      </c>
      <c r="F913" s="22" t="s">
        <v>43</v>
      </c>
      <c r="G913" s="22" t="s">
        <v>116</v>
      </c>
      <c r="H913" s="22" t="s">
        <v>59</v>
      </c>
      <c r="I913" s="22" t="s">
        <v>123</v>
      </c>
      <c r="J913" s="23">
        <v>4</v>
      </c>
      <c r="K913" s="37">
        <v>0</v>
      </c>
      <c r="M913" s="22" t="str">
        <f>IF(OR(ISBLANK(C913),C913=""),"",ROUND((C913-B913)*24,2))</f>
        <v/>
      </c>
      <c r="N913" s="22" t="str">
        <f>IF(OR(ISBLANK(C913),C913="",M913=""),"In Progress",IF(M913&lt;=J913,"Met","Breached"))</f>
        <v>In Progress</v>
      </c>
    </row>
    <row r="914" ht="19" customHeight="1" spans="1:14" x14ac:dyDescent="0.25">
      <c r="A914" s="19" t="s">
        <v>1028</v>
      </c>
      <c r="B914" s="33">
        <v>46119.79166666667</v>
      </c>
      <c r="C914" s="33">
        <v>46121.19652777778</v>
      </c>
      <c r="D914" s="19" t="s">
        <v>36</v>
      </c>
      <c r="E914" s="19" t="s">
        <v>65</v>
      </c>
      <c r="F914" s="19" t="s">
        <v>43</v>
      </c>
      <c r="G914" s="19" t="s">
        <v>116</v>
      </c>
      <c r="H914" s="19" t="s">
        <v>67</v>
      </c>
      <c r="I914" s="19" t="s">
        <v>108</v>
      </c>
      <c r="J914" s="20">
        <v>48</v>
      </c>
      <c r="K914" s="34">
        <v>0</v>
      </c>
      <c r="L914" s="34">
        <v>5</v>
      </c>
      <c r="M914" s="19">
        <f>IF(OR(ISBLANK(C914),C914=""),"",ROUND((C914-B914)*24,2))</f>
        <v>33.72</v>
      </c>
      <c r="N914" s="35" t="str">
        <f>IF(OR(ISBLANK(C914),C914="",M914=""),"In Progress",IF(M914&lt;=J914,"Met","Breached"))</f>
        <v>Met</v>
      </c>
    </row>
    <row r="915" ht="19" customHeight="1" spans="1:14" x14ac:dyDescent="0.25">
      <c r="A915" s="22" t="s">
        <v>1029</v>
      </c>
      <c r="B915" s="36">
        <v>45668.82986111111</v>
      </c>
      <c r="C915" s="36">
        <v>45670.66458333333</v>
      </c>
      <c r="D915" s="22" t="s">
        <v>36</v>
      </c>
      <c r="E915" s="22" t="s">
        <v>65</v>
      </c>
      <c r="F915" s="22" t="s">
        <v>43</v>
      </c>
      <c r="G915" s="22" t="s">
        <v>110</v>
      </c>
      <c r="H915" s="22" t="s">
        <v>63</v>
      </c>
      <c r="I915" s="22" t="s">
        <v>114</v>
      </c>
      <c r="J915" s="23">
        <v>48</v>
      </c>
      <c r="K915" s="37">
        <v>0</v>
      </c>
      <c r="L915" s="37">
        <v>5</v>
      </c>
      <c r="M915" s="22">
        <f>IF(OR(ISBLANK(C915),C915=""),"",ROUND((C915-B915)*24,2))</f>
        <v>44.03</v>
      </c>
      <c r="N915" s="40" t="str">
        <f>IF(OR(ISBLANK(C915),C915="",M915=""),"In Progress",IF(M915&lt;=J915,"Met","Breached"))</f>
        <v>Met</v>
      </c>
    </row>
    <row r="916" ht="19" customHeight="1" spans="1:14" x14ac:dyDescent="0.25">
      <c r="A916" s="19" t="s">
        <v>1030</v>
      </c>
      <c r="B916" s="33">
        <v>45957.73819444445</v>
      </c>
      <c r="C916" s="33">
        <v>45958.924305555556</v>
      </c>
      <c r="D916" s="19" t="s">
        <v>33</v>
      </c>
      <c r="E916" s="19" t="s">
        <v>65</v>
      </c>
      <c r="F916" s="19" t="s">
        <v>40</v>
      </c>
      <c r="G916" s="19" t="s">
        <v>116</v>
      </c>
      <c r="H916" s="19" t="s">
        <v>63</v>
      </c>
      <c r="I916" s="19" t="s">
        <v>108</v>
      </c>
      <c r="J916" s="20">
        <v>48</v>
      </c>
      <c r="K916" s="34">
        <v>0</v>
      </c>
      <c r="L916" s="34">
        <v>2</v>
      </c>
      <c r="M916" s="19">
        <f>IF(OR(ISBLANK(C916),C916=""),"",ROUND((C916-B916)*24,2))</f>
        <v>28.47</v>
      </c>
      <c r="N916" s="35" t="str">
        <f>IF(OR(ISBLANK(C916),C916="",M916=""),"In Progress",IF(M916&lt;=J916,"Met","Breached"))</f>
        <v>Met</v>
      </c>
    </row>
    <row r="917" ht="19" customHeight="1" spans="1:14" x14ac:dyDescent="0.25">
      <c r="A917" s="22" t="s">
        <v>1031</v>
      </c>
      <c r="B917" s="36">
        <v>46056.23819444445</v>
      </c>
      <c r="C917" s="36">
        <v>46057.04791666666</v>
      </c>
      <c r="D917" s="22" t="s">
        <v>36</v>
      </c>
      <c r="E917" s="22" t="s">
        <v>61</v>
      </c>
      <c r="F917" s="22" t="s">
        <v>43</v>
      </c>
      <c r="G917" s="22" t="s">
        <v>121</v>
      </c>
      <c r="H917" s="22" t="s">
        <v>59</v>
      </c>
      <c r="I917" s="22" t="s">
        <v>114</v>
      </c>
      <c r="J917" s="23">
        <v>12</v>
      </c>
      <c r="K917" s="37">
        <v>0</v>
      </c>
      <c r="L917" s="37">
        <v>3</v>
      </c>
      <c r="M917" s="22">
        <f>IF(OR(ISBLANK(C917),C917=""),"",ROUND((C917-B917)*24,2))</f>
        <v>19.43</v>
      </c>
      <c r="N917" s="38" t="str">
        <f>IF(OR(ISBLANK(C917),C917="",M917=""),"In Progress",IF(M917&lt;=J917,"Met","Breached"))</f>
        <v>Breached</v>
      </c>
    </row>
    <row r="918" ht="19" customHeight="1" spans="1:14" x14ac:dyDescent="0.25">
      <c r="A918" s="19" t="s">
        <v>1032</v>
      </c>
      <c r="B918" s="33">
        <v>46115.59236111111</v>
      </c>
      <c r="D918" s="19" t="s">
        <v>42</v>
      </c>
      <c r="E918" s="19" t="s">
        <v>69</v>
      </c>
      <c r="F918" s="19" t="s">
        <v>37</v>
      </c>
      <c r="G918" s="19" t="s">
        <v>121</v>
      </c>
      <c r="H918" s="19" t="s">
        <v>67</v>
      </c>
      <c r="I918" s="19" t="s">
        <v>117</v>
      </c>
      <c r="J918" s="20">
        <v>120</v>
      </c>
      <c r="K918" s="34">
        <v>0</v>
      </c>
      <c r="M918" s="19" t="str">
        <f>IF(OR(ISBLANK(C918),C918=""),"",ROUND((C918-B918)*24,2))</f>
        <v/>
      </c>
      <c r="N918" s="19" t="str">
        <f>IF(OR(ISBLANK(C918),C918="",M918=""),"In Progress",IF(M918&lt;=J918,"Met","Breached"))</f>
        <v>In Progress</v>
      </c>
    </row>
    <row r="919" ht="19" customHeight="1" spans="1:14" x14ac:dyDescent="0.25">
      <c r="A919" s="22" t="s">
        <v>1033</v>
      </c>
      <c r="B919" s="36">
        <v>46181.97083333333</v>
      </c>
      <c r="D919" s="22" t="s">
        <v>39</v>
      </c>
      <c r="E919" s="22" t="s">
        <v>65</v>
      </c>
      <c r="F919" s="22" t="s">
        <v>43</v>
      </c>
      <c r="G919" s="22" t="s">
        <v>113</v>
      </c>
      <c r="H919" s="22" t="s">
        <v>67</v>
      </c>
      <c r="I919" s="22" t="s">
        <v>111</v>
      </c>
      <c r="J919" s="23">
        <v>48</v>
      </c>
      <c r="K919" s="37">
        <v>0</v>
      </c>
      <c r="M919" s="22" t="str">
        <f>IF(OR(ISBLANK(C919),C919=""),"",ROUND((C919-B919)*24,2))</f>
        <v/>
      </c>
      <c r="N919" s="22" t="str">
        <f>IF(OR(ISBLANK(C919),C919="",M919=""),"In Progress",IF(M919&lt;=J919,"Met","Breached"))</f>
        <v>In Progress</v>
      </c>
    </row>
    <row r="920" ht="19" customHeight="1" spans="1:14" x14ac:dyDescent="0.25">
      <c r="A920" s="19" t="s">
        <v>1034</v>
      </c>
      <c r="B920" s="33">
        <v>45799.59375</v>
      </c>
      <c r="C920" s="33">
        <v>45801.231944444444</v>
      </c>
      <c r="D920" s="19" t="s">
        <v>33</v>
      </c>
      <c r="E920" s="19" t="s">
        <v>65</v>
      </c>
      <c r="F920" s="19" t="s">
        <v>34</v>
      </c>
      <c r="G920" s="19" t="s">
        <v>110</v>
      </c>
      <c r="H920" s="19" t="s">
        <v>63</v>
      </c>
      <c r="I920" s="19" t="s">
        <v>114</v>
      </c>
      <c r="J920" s="20">
        <v>48</v>
      </c>
      <c r="K920" s="34">
        <v>0</v>
      </c>
      <c r="M920" s="19">
        <f>IF(OR(ISBLANK(C920),C920=""),"",ROUND((C920-B920)*24,2))</f>
        <v>39.32</v>
      </c>
      <c r="N920" s="35" t="str">
        <f>IF(OR(ISBLANK(C920),C920="",M920=""),"In Progress",IF(M920&lt;=J920,"Met","Breached"))</f>
        <v>Met</v>
      </c>
    </row>
    <row r="921" ht="19" customHeight="1" spans="1:14" x14ac:dyDescent="0.25">
      <c r="A921" s="22" t="s">
        <v>1035</v>
      </c>
      <c r="B921" s="36">
        <v>45681.92013888889</v>
      </c>
      <c r="C921" s="36">
        <v>45682.63958333334</v>
      </c>
      <c r="D921" s="22" t="s">
        <v>33</v>
      </c>
      <c r="E921" s="22" t="s">
        <v>61</v>
      </c>
      <c r="F921" s="22" t="s">
        <v>45</v>
      </c>
      <c r="G921" s="22" t="s">
        <v>126</v>
      </c>
      <c r="H921" s="22" t="s">
        <v>59</v>
      </c>
      <c r="I921" s="22" t="s">
        <v>123</v>
      </c>
      <c r="J921" s="23">
        <v>12</v>
      </c>
      <c r="K921" s="37">
        <v>0</v>
      </c>
      <c r="M921" s="22">
        <f>IF(OR(ISBLANK(C921),C921=""),"",ROUND((C921-B921)*24,2))</f>
        <v>17.27</v>
      </c>
      <c r="N921" s="38" t="str">
        <f>IF(OR(ISBLANK(C921),C921="",M921=""),"In Progress",IF(M921&lt;=J921,"Met","Breached"))</f>
        <v>Breached</v>
      </c>
    </row>
    <row r="922" ht="19" customHeight="1" spans="1:14" x14ac:dyDescent="0.25">
      <c r="A922" s="19" t="s">
        <v>1036</v>
      </c>
      <c r="B922" s="33">
        <v>45887.3</v>
      </c>
      <c r="C922" s="33">
        <v>45887.64236111111</v>
      </c>
      <c r="D922" s="19" t="s">
        <v>33</v>
      </c>
      <c r="E922" s="19" t="s">
        <v>61</v>
      </c>
      <c r="F922" s="19" t="s">
        <v>43</v>
      </c>
      <c r="G922" s="19" t="s">
        <v>116</v>
      </c>
      <c r="H922" s="19" t="s">
        <v>59</v>
      </c>
      <c r="I922" s="19" t="s">
        <v>111</v>
      </c>
      <c r="J922" s="20">
        <v>12</v>
      </c>
      <c r="K922" s="34">
        <v>0</v>
      </c>
      <c r="L922" s="34">
        <v>4</v>
      </c>
      <c r="M922" s="19">
        <f>IF(OR(ISBLANK(C922),C922=""),"",ROUND((C922-B922)*24,2))</f>
        <v>8.22</v>
      </c>
      <c r="N922" s="35" t="str">
        <f>IF(OR(ISBLANK(C922),C922="",M922=""),"In Progress",IF(M922&lt;=J922,"Met","Breached"))</f>
        <v>Met</v>
      </c>
    </row>
    <row r="923" ht="19" customHeight="1" spans="1:14" x14ac:dyDescent="0.25">
      <c r="A923" s="22" t="s">
        <v>1037</v>
      </c>
      <c r="B923" s="36">
        <v>45987.87152777778</v>
      </c>
      <c r="C923" s="36">
        <v>45990.74166666667</v>
      </c>
      <c r="D923" s="22" t="s">
        <v>33</v>
      </c>
      <c r="E923" s="22" t="s">
        <v>65</v>
      </c>
      <c r="F923" s="22" t="s">
        <v>37</v>
      </c>
      <c r="G923" s="22" t="s">
        <v>63</v>
      </c>
      <c r="H923" s="22" t="s">
        <v>59</v>
      </c>
      <c r="I923" s="22" t="s">
        <v>117</v>
      </c>
      <c r="J923" s="23">
        <v>48</v>
      </c>
      <c r="K923" s="37">
        <v>0</v>
      </c>
      <c r="L923" s="37">
        <v>3</v>
      </c>
      <c r="M923" s="22">
        <f>IF(OR(ISBLANK(C923),C923=""),"",ROUND((C923-B923)*24,2))</f>
        <v>68.88</v>
      </c>
      <c r="N923" s="38" t="str">
        <f>IF(OR(ISBLANK(C923),C923="",M923=""),"In Progress",IF(M923&lt;=J923,"Met","Breached"))</f>
        <v>Breached</v>
      </c>
    </row>
    <row r="924" ht="19" customHeight="1" spans="1:14" x14ac:dyDescent="0.25">
      <c r="A924" s="19" t="s">
        <v>1038</v>
      </c>
      <c r="B924" s="33">
        <v>46233.117361111115</v>
      </c>
      <c r="C924" s="33">
        <v>46233.49791666667</v>
      </c>
      <c r="D924" s="19" t="s">
        <v>33</v>
      </c>
      <c r="E924" s="19" t="s">
        <v>61</v>
      </c>
      <c r="F924" s="19" t="s">
        <v>37</v>
      </c>
      <c r="G924" s="19" t="s">
        <v>126</v>
      </c>
      <c r="H924" s="19" t="s">
        <v>59</v>
      </c>
      <c r="I924" s="19" t="s">
        <v>108</v>
      </c>
      <c r="J924" s="20">
        <v>12</v>
      </c>
      <c r="K924" s="34">
        <v>0</v>
      </c>
      <c r="L924" s="34">
        <v>1</v>
      </c>
      <c r="M924" s="19">
        <f>IF(OR(ISBLANK(C924),C924=""),"",ROUND((C924-B924)*24,2))</f>
        <v>9.13</v>
      </c>
      <c r="N924" s="35" t="str">
        <f>IF(OR(ISBLANK(C924),C924="",M924=""),"In Progress",IF(M924&lt;=J924,"Met","Breached"))</f>
        <v>Met</v>
      </c>
    </row>
    <row r="925" ht="19" customHeight="1" spans="1:14" x14ac:dyDescent="0.25">
      <c r="A925" s="22" t="s">
        <v>1039</v>
      </c>
      <c r="B925" s="36">
        <v>46064.05625</v>
      </c>
      <c r="D925" s="22" t="s">
        <v>39</v>
      </c>
      <c r="E925" s="22" t="s">
        <v>65</v>
      </c>
      <c r="F925" s="22" t="s">
        <v>40</v>
      </c>
      <c r="G925" s="22" t="s">
        <v>121</v>
      </c>
      <c r="H925" s="22" t="s">
        <v>67</v>
      </c>
      <c r="I925" s="22" t="s">
        <v>147</v>
      </c>
      <c r="J925" s="23">
        <v>48</v>
      </c>
      <c r="K925" s="37">
        <v>0</v>
      </c>
      <c r="M925" s="22" t="str">
        <f>IF(OR(ISBLANK(C925),C925=""),"",ROUND((C925-B925)*24,2))</f>
        <v/>
      </c>
      <c r="N925" s="22" t="str">
        <f>IF(OR(ISBLANK(C925),C925="",M925=""),"In Progress",IF(M925&lt;=J925,"Met","Breached"))</f>
        <v>In Progress</v>
      </c>
    </row>
    <row r="926" ht="19" customHeight="1" spans="1:14" x14ac:dyDescent="0.25">
      <c r="A926" s="19" t="s">
        <v>1040</v>
      </c>
      <c r="B926" s="33">
        <v>45881.52986111111</v>
      </c>
      <c r="C926" s="33">
        <v>45882.959027777775</v>
      </c>
      <c r="D926" s="19" t="s">
        <v>33</v>
      </c>
      <c r="E926" s="19" t="s">
        <v>65</v>
      </c>
      <c r="F926" s="19" t="s">
        <v>45</v>
      </c>
      <c r="G926" s="19" t="s">
        <v>113</v>
      </c>
      <c r="H926" s="19" t="s">
        <v>71</v>
      </c>
      <c r="I926" s="19" t="s">
        <v>147</v>
      </c>
      <c r="J926" s="20">
        <v>48</v>
      </c>
      <c r="K926" s="34">
        <v>0</v>
      </c>
      <c r="L926" s="34">
        <v>3</v>
      </c>
      <c r="M926" s="19">
        <f>IF(OR(ISBLANK(C926),C926=""),"",ROUND((C926-B926)*24,2))</f>
        <v>34.3</v>
      </c>
      <c r="N926" s="35" t="str">
        <f>IF(OR(ISBLANK(C926),C926="",M926=""),"In Progress",IF(M926&lt;=J926,"Met","Breached"))</f>
        <v>Met</v>
      </c>
    </row>
    <row r="927" ht="19" customHeight="1" spans="1:14" x14ac:dyDescent="0.25">
      <c r="A927" s="22" t="s">
        <v>1041</v>
      </c>
      <c r="B927" s="36">
        <v>46175.68541666667</v>
      </c>
      <c r="C927" s="36">
        <v>46183.18402777778</v>
      </c>
      <c r="D927" s="22" t="s">
        <v>36</v>
      </c>
      <c r="E927" s="22" t="s">
        <v>69</v>
      </c>
      <c r="F927" s="22" t="s">
        <v>34</v>
      </c>
      <c r="G927" s="22" t="s">
        <v>126</v>
      </c>
      <c r="H927" s="22" t="s">
        <v>63</v>
      </c>
      <c r="I927" s="22" t="s">
        <v>111</v>
      </c>
      <c r="J927" s="23">
        <v>120</v>
      </c>
      <c r="K927" s="37">
        <v>0</v>
      </c>
      <c r="L927" s="37">
        <v>1</v>
      </c>
      <c r="M927" s="22">
        <f>IF(OR(ISBLANK(C927),C927=""),"",ROUND((C927-B927)*24,2))</f>
        <v>179.97</v>
      </c>
      <c r="N927" s="38" t="str">
        <f>IF(OR(ISBLANK(C927),C927="",M927=""),"In Progress",IF(M927&lt;=J927,"Met","Breached"))</f>
        <v>Breached</v>
      </c>
    </row>
    <row r="928" ht="19" customHeight="1" spans="1:14" x14ac:dyDescent="0.25">
      <c r="A928" s="19" t="s">
        <v>1042</v>
      </c>
      <c r="B928" s="33">
        <v>45914.200694444444</v>
      </c>
      <c r="C928" s="33">
        <v>45918.04513888889</v>
      </c>
      <c r="D928" s="19" t="s">
        <v>36</v>
      </c>
      <c r="E928" s="19" t="s">
        <v>69</v>
      </c>
      <c r="F928" s="19" t="s">
        <v>34</v>
      </c>
      <c r="G928" s="19" t="s">
        <v>63</v>
      </c>
      <c r="H928" s="19" t="s">
        <v>59</v>
      </c>
      <c r="I928" s="19" t="s">
        <v>114</v>
      </c>
      <c r="J928" s="20">
        <v>120</v>
      </c>
      <c r="K928" s="34">
        <v>1</v>
      </c>
      <c r="L928" s="34">
        <v>2</v>
      </c>
      <c r="M928" s="19">
        <f>IF(OR(ISBLANK(C928),C928=""),"",ROUND((C928-B928)*24,2))</f>
        <v>92.27</v>
      </c>
      <c r="N928" s="35" t="str">
        <f>IF(OR(ISBLANK(C928),C928="",M928=""),"In Progress",IF(M928&lt;=J928,"Met","Breached"))</f>
        <v>Met</v>
      </c>
    </row>
    <row r="929" ht="19" customHeight="1" spans="1:14" x14ac:dyDescent="0.25">
      <c r="A929" s="22" t="s">
        <v>1043</v>
      </c>
      <c r="B929" s="36">
        <v>45735.59652777778</v>
      </c>
      <c r="D929" s="22" t="s">
        <v>39</v>
      </c>
      <c r="E929" s="22" t="s">
        <v>65</v>
      </c>
      <c r="F929" s="22" t="s">
        <v>43</v>
      </c>
      <c r="G929" s="22" t="s">
        <v>63</v>
      </c>
      <c r="H929" s="22" t="s">
        <v>59</v>
      </c>
      <c r="I929" s="22" t="s">
        <v>117</v>
      </c>
      <c r="J929" s="23">
        <v>48</v>
      </c>
      <c r="K929" s="37">
        <v>0</v>
      </c>
      <c r="M929" s="22" t="str">
        <f>IF(OR(ISBLANK(C929),C929=""),"",ROUND((C929-B929)*24,2))</f>
        <v/>
      </c>
      <c r="N929" s="22" t="str">
        <f>IF(OR(ISBLANK(C929),C929="",M929=""),"In Progress",IF(M929&lt;=J929,"Met","Breached"))</f>
        <v>In Progress</v>
      </c>
    </row>
    <row r="930" ht="19" customHeight="1" spans="1:14" x14ac:dyDescent="0.25">
      <c r="A930" s="19" t="s">
        <v>1044</v>
      </c>
      <c r="B930" s="33">
        <v>45773.944444444445</v>
      </c>
      <c r="C930" s="33">
        <v>45776.83541666667</v>
      </c>
      <c r="D930" s="19" t="s">
        <v>33</v>
      </c>
      <c r="E930" s="19" t="s">
        <v>65</v>
      </c>
      <c r="F930" s="19" t="s">
        <v>43</v>
      </c>
      <c r="G930" s="19" t="s">
        <v>110</v>
      </c>
      <c r="H930" s="19" t="s">
        <v>59</v>
      </c>
      <c r="I930" s="19" t="s">
        <v>147</v>
      </c>
      <c r="J930" s="20">
        <v>48</v>
      </c>
      <c r="K930" s="34">
        <v>0</v>
      </c>
      <c r="L930" s="34">
        <v>5</v>
      </c>
      <c r="M930" s="19">
        <f>IF(OR(ISBLANK(C930),C930=""),"",ROUND((C930-B930)*24,2))</f>
        <v>69.38</v>
      </c>
      <c r="N930" s="39" t="str">
        <f>IF(OR(ISBLANK(C930),C930="",M930=""),"In Progress",IF(M930&lt;=J930,"Met","Breached"))</f>
        <v>Breached</v>
      </c>
    </row>
    <row r="931" ht="19" customHeight="1" spans="1:14" x14ac:dyDescent="0.25">
      <c r="A931" s="22" t="s">
        <v>1045</v>
      </c>
      <c r="B931" s="36">
        <v>45736.30763888889</v>
      </c>
      <c r="D931" s="22" t="s">
        <v>42</v>
      </c>
      <c r="E931" s="22" t="s">
        <v>61</v>
      </c>
      <c r="F931" s="22" t="s">
        <v>37</v>
      </c>
      <c r="G931" s="22" t="s">
        <v>126</v>
      </c>
      <c r="H931" s="22" t="s">
        <v>63</v>
      </c>
      <c r="I931" s="22" t="s">
        <v>114</v>
      </c>
      <c r="J931" s="23">
        <v>12</v>
      </c>
      <c r="K931" s="37">
        <v>0</v>
      </c>
      <c r="M931" s="22" t="str">
        <f>IF(OR(ISBLANK(C931),C931=""),"",ROUND((C931-B931)*24,2))</f>
        <v/>
      </c>
      <c r="N931" s="22" t="str">
        <f>IF(OR(ISBLANK(C931),C931="",M931=""),"In Progress",IF(M931&lt;=J931,"Met","Breached"))</f>
        <v>In Progress</v>
      </c>
    </row>
    <row r="932" ht="19" customHeight="1" spans="1:14" x14ac:dyDescent="0.25">
      <c r="A932" s="19" t="s">
        <v>1046</v>
      </c>
      <c r="B932" s="33">
        <v>45883.305555555555</v>
      </c>
      <c r="C932" s="33">
        <v>45883.98125</v>
      </c>
      <c r="D932" s="19" t="s">
        <v>33</v>
      </c>
      <c r="E932" s="19" t="s">
        <v>61</v>
      </c>
      <c r="F932" s="19" t="s">
        <v>40</v>
      </c>
      <c r="G932" s="19" t="s">
        <v>126</v>
      </c>
      <c r="H932" s="19" t="s">
        <v>63</v>
      </c>
      <c r="I932" s="19" t="s">
        <v>111</v>
      </c>
      <c r="J932" s="20">
        <v>12</v>
      </c>
      <c r="K932" s="34">
        <v>0</v>
      </c>
      <c r="L932" s="34">
        <v>4</v>
      </c>
      <c r="M932" s="19">
        <f>IF(OR(ISBLANK(C932),C932=""),"",ROUND((C932-B932)*24,2))</f>
        <v>16.22</v>
      </c>
      <c r="N932" s="39" t="str">
        <f>IF(OR(ISBLANK(C932),C932="",M932=""),"In Progress",IF(M932&lt;=J932,"Met","Breached"))</f>
        <v>Breached</v>
      </c>
    </row>
    <row r="933" ht="19" customHeight="1" spans="1:14" x14ac:dyDescent="0.25">
      <c r="A933" s="22" t="s">
        <v>1047</v>
      </c>
      <c r="B933" s="36">
        <v>45885.45416666666</v>
      </c>
      <c r="C933" s="36">
        <v>45890.1</v>
      </c>
      <c r="D933" s="22" t="s">
        <v>33</v>
      </c>
      <c r="E933" s="22" t="s">
        <v>69</v>
      </c>
      <c r="F933" s="22" t="s">
        <v>34</v>
      </c>
      <c r="G933" s="22" t="s">
        <v>63</v>
      </c>
      <c r="H933" s="22" t="s">
        <v>59</v>
      </c>
      <c r="I933" s="22" t="s">
        <v>114</v>
      </c>
      <c r="J933" s="23">
        <v>120</v>
      </c>
      <c r="K933" s="37">
        <v>0</v>
      </c>
      <c r="L933" s="37">
        <v>4</v>
      </c>
      <c r="M933" s="22">
        <f>IF(OR(ISBLANK(C933),C933=""),"",ROUND((C933-B933)*24,2))</f>
        <v>111.5</v>
      </c>
      <c r="N933" s="40" t="str">
        <f>IF(OR(ISBLANK(C933),C933="",M933=""),"In Progress",IF(M933&lt;=J933,"Met","Breached"))</f>
        <v>Met</v>
      </c>
    </row>
    <row r="934" ht="19" customHeight="1" spans="1:14" x14ac:dyDescent="0.25">
      <c r="A934" s="19" t="s">
        <v>1048</v>
      </c>
      <c r="B934" s="33">
        <v>46207.898611111115</v>
      </c>
      <c r="C934" s="33">
        <v>46215.990277777775</v>
      </c>
      <c r="D934" s="19" t="s">
        <v>33</v>
      </c>
      <c r="E934" s="19" t="s">
        <v>69</v>
      </c>
      <c r="F934" s="19" t="s">
        <v>40</v>
      </c>
      <c r="G934" s="19" t="s">
        <v>121</v>
      </c>
      <c r="H934" s="19" t="s">
        <v>67</v>
      </c>
      <c r="I934" s="19" t="s">
        <v>123</v>
      </c>
      <c r="J934" s="20">
        <v>120</v>
      </c>
      <c r="K934" s="34">
        <v>0</v>
      </c>
      <c r="L934" s="34">
        <v>3</v>
      </c>
      <c r="M934" s="19">
        <f>IF(OR(ISBLANK(C934),C934=""),"",ROUND((C934-B934)*24,2))</f>
        <v>194.2</v>
      </c>
      <c r="N934" s="39" t="str">
        <f>IF(OR(ISBLANK(C934),C934="",M934=""),"In Progress",IF(M934&lt;=J934,"Met","Breached"))</f>
        <v>Breached</v>
      </c>
    </row>
    <row r="935" ht="19" customHeight="1" spans="1:14" x14ac:dyDescent="0.25">
      <c r="A935" s="22" t="s">
        <v>1049</v>
      </c>
      <c r="B935" s="36">
        <v>45715.70763888889</v>
      </c>
      <c r="C935" s="36">
        <v>45715.976388888885</v>
      </c>
      <c r="D935" s="22" t="s">
        <v>33</v>
      </c>
      <c r="E935" s="22" t="s">
        <v>61</v>
      </c>
      <c r="F935" s="22" t="s">
        <v>34</v>
      </c>
      <c r="G935" s="22" t="s">
        <v>63</v>
      </c>
      <c r="H935" s="22" t="s">
        <v>59</v>
      </c>
      <c r="I935" s="22" t="s">
        <v>108</v>
      </c>
      <c r="J935" s="23">
        <v>12</v>
      </c>
      <c r="K935" s="37">
        <v>0</v>
      </c>
      <c r="L935" s="37">
        <v>5</v>
      </c>
      <c r="M935" s="22">
        <f>IF(OR(ISBLANK(C935),C935=""),"",ROUND((C935-B935)*24,2))</f>
        <v>6.45</v>
      </c>
      <c r="N935" s="40" t="str">
        <f>IF(OR(ISBLANK(C935),C935="",M935=""),"In Progress",IF(M935&lt;=J935,"Met","Breached"))</f>
        <v>Met</v>
      </c>
    </row>
    <row r="936" ht="19" customHeight="1" spans="1:14" x14ac:dyDescent="0.25">
      <c r="A936" s="19" t="s">
        <v>1050</v>
      </c>
      <c r="B936" s="33">
        <v>45848.731944444444</v>
      </c>
      <c r="C936" s="33">
        <v>45848.86597222222</v>
      </c>
      <c r="D936" s="19" t="s">
        <v>33</v>
      </c>
      <c r="E936" s="19" t="s">
        <v>57</v>
      </c>
      <c r="F936" s="19" t="s">
        <v>37</v>
      </c>
      <c r="G936" s="19" t="s">
        <v>126</v>
      </c>
      <c r="H936" s="19" t="s">
        <v>63</v>
      </c>
      <c r="I936" s="19" t="s">
        <v>147</v>
      </c>
      <c r="J936" s="20">
        <v>4</v>
      </c>
      <c r="K936" s="34">
        <v>0</v>
      </c>
      <c r="M936" s="19">
        <f>IF(OR(ISBLANK(C936),C936=""),"",ROUND((C936-B936)*24,2))</f>
        <v>3.22</v>
      </c>
      <c r="N936" s="35" t="str">
        <f>IF(OR(ISBLANK(C936),C936="",M936=""),"In Progress",IF(M936&lt;=J936,"Met","Breached"))</f>
        <v>Met</v>
      </c>
    </row>
    <row r="937" ht="19" customHeight="1" spans="1:14" x14ac:dyDescent="0.25">
      <c r="A937" s="22" t="s">
        <v>1051</v>
      </c>
      <c r="B937" s="36">
        <v>46106.93472222222</v>
      </c>
      <c r="D937" s="22" t="s">
        <v>42</v>
      </c>
      <c r="E937" s="22" t="s">
        <v>61</v>
      </c>
      <c r="F937" s="22" t="s">
        <v>34</v>
      </c>
      <c r="G937" s="22" t="s">
        <v>110</v>
      </c>
      <c r="H937" s="22" t="s">
        <v>63</v>
      </c>
      <c r="I937" s="22" t="s">
        <v>108</v>
      </c>
      <c r="J937" s="23">
        <v>12</v>
      </c>
      <c r="K937" s="37">
        <v>0</v>
      </c>
      <c r="M937" s="22" t="str">
        <f>IF(OR(ISBLANK(C937),C937=""),"",ROUND((C937-B937)*24,2))</f>
        <v/>
      </c>
      <c r="N937" s="22" t="str">
        <f>IF(OR(ISBLANK(C937),C937="",M937=""),"In Progress",IF(M937&lt;=J937,"Met","Breached"))</f>
        <v>In Progress</v>
      </c>
    </row>
    <row r="938" ht="19" customHeight="1" spans="1:14" x14ac:dyDescent="0.25">
      <c r="A938" s="19" t="s">
        <v>1052</v>
      </c>
      <c r="B938" s="33">
        <v>46075.27777777778</v>
      </c>
      <c r="D938" s="19" t="s">
        <v>39</v>
      </c>
      <c r="E938" s="19" t="s">
        <v>61</v>
      </c>
      <c r="F938" s="19" t="s">
        <v>34</v>
      </c>
      <c r="G938" s="19" t="s">
        <v>116</v>
      </c>
      <c r="H938" s="19" t="s">
        <v>63</v>
      </c>
      <c r="I938" s="19" t="s">
        <v>123</v>
      </c>
      <c r="J938" s="20">
        <v>12</v>
      </c>
      <c r="K938" s="34">
        <v>0</v>
      </c>
      <c r="M938" s="19" t="str">
        <f>IF(OR(ISBLANK(C938),C938=""),"",ROUND((C938-B938)*24,2))</f>
        <v/>
      </c>
      <c r="N938" s="19" t="str">
        <f>IF(OR(ISBLANK(C938),C938="",M938=""),"In Progress",IF(M938&lt;=J938,"Met","Breached"))</f>
        <v>In Progress</v>
      </c>
    </row>
    <row r="939" ht="19" customHeight="1" spans="1:14" x14ac:dyDescent="0.25">
      <c r="A939" s="22" t="s">
        <v>1053</v>
      </c>
      <c r="B939" s="36">
        <v>45913.64583333333</v>
      </c>
      <c r="C939" s="36">
        <v>45920.93541666667</v>
      </c>
      <c r="D939" s="22" t="s">
        <v>36</v>
      </c>
      <c r="E939" s="22" t="s">
        <v>69</v>
      </c>
      <c r="F939" s="22" t="s">
        <v>37</v>
      </c>
      <c r="G939" s="22" t="s">
        <v>63</v>
      </c>
      <c r="H939" s="22" t="s">
        <v>59</v>
      </c>
      <c r="I939" s="22" t="s">
        <v>147</v>
      </c>
      <c r="J939" s="23">
        <v>120</v>
      </c>
      <c r="K939" s="37">
        <v>0</v>
      </c>
      <c r="L939" s="37">
        <v>3</v>
      </c>
      <c r="M939" s="22">
        <f>IF(OR(ISBLANK(C939),C939=""),"",ROUND((C939-B939)*24,2))</f>
        <v>174.95</v>
      </c>
      <c r="N939" s="38" t="str">
        <f>IF(OR(ISBLANK(C939),C939="",M939=""),"In Progress",IF(M939&lt;=J939,"Met","Breached"))</f>
        <v>Breached</v>
      </c>
    </row>
    <row r="940" ht="19" customHeight="1" spans="1:14" x14ac:dyDescent="0.25">
      <c r="A940" s="19" t="s">
        <v>1054</v>
      </c>
      <c r="B940" s="33">
        <v>46072.643055555556</v>
      </c>
      <c r="D940" s="19" t="s">
        <v>42</v>
      </c>
      <c r="E940" s="19" t="s">
        <v>69</v>
      </c>
      <c r="F940" s="19" t="s">
        <v>37</v>
      </c>
      <c r="G940" s="19" t="s">
        <v>113</v>
      </c>
      <c r="H940" s="19" t="s">
        <v>67</v>
      </c>
      <c r="I940" s="19" t="s">
        <v>147</v>
      </c>
      <c r="J940" s="20">
        <v>120</v>
      </c>
      <c r="K940" s="34">
        <v>0</v>
      </c>
      <c r="M940" s="19" t="str">
        <f>IF(OR(ISBLANK(C940),C940=""),"",ROUND((C940-B940)*24,2))</f>
        <v/>
      </c>
      <c r="N940" s="19" t="str">
        <f>IF(OR(ISBLANK(C940),C940="",M940=""),"In Progress",IF(M940&lt;=J940,"Met","Breached"))</f>
        <v>In Progress</v>
      </c>
    </row>
    <row r="941" ht="19" customHeight="1" spans="1:14" x14ac:dyDescent="0.25">
      <c r="A941" s="22" t="s">
        <v>1055</v>
      </c>
      <c r="B941" s="36">
        <v>46178.115277777775</v>
      </c>
      <c r="C941" s="36">
        <v>46178.76527777778</v>
      </c>
      <c r="D941" s="22" t="s">
        <v>33</v>
      </c>
      <c r="E941" s="22" t="s">
        <v>61</v>
      </c>
      <c r="F941" s="22" t="s">
        <v>34</v>
      </c>
      <c r="G941" s="22" t="s">
        <v>113</v>
      </c>
      <c r="H941" s="22" t="s">
        <v>59</v>
      </c>
      <c r="I941" s="22" t="s">
        <v>111</v>
      </c>
      <c r="J941" s="23">
        <v>12</v>
      </c>
      <c r="K941" s="37">
        <v>0</v>
      </c>
      <c r="L941" s="37">
        <v>5</v>
      </c>
      <c r="M941" s="22">
        <f>IF(OR(ISBLANK(C941),C941=""),"",ROUND((C941-B941)*24,2))</f>
        <v>15.6</v>
      </c>
      <c r="N941" s="38" t="str">
        <f>IF(OR(ISBLANK(C941),C941="",M941=""),"In Progress",IF(M941&lt;=J941,"Met","Breached"))</f>
        <v>Breached</v>
      </c>
    </row>
    <row r="942" ht="19" customHeight="1" spans="1:14" x14ac:dyDescent="0.25">
      <c r="A942" s="19" t="s">
        <v>1056</v>
      </c>
      <c r="B942" s="33">
        <v>46256.83819444444</v>
      </c>
      <c r="C942" s="33">
        <v>46257.14583333333</v>
      </c>
      <c r="D942" s="19" t="s">
        <v>33</v>
      </c>
      <c r="E942" s="19" t="s">
        <v>61</v>
      </c>
      <c r="F942" s="19" t="s">
        <v>40</v>
      </c>
      <c r="G942" s="19" t="s">
        <v>126</v>
      </c>
      <c r="H942" s="19" t="s">
        <v>63</v>
      </c>
      <c r="I942" s="19" t="s">
        <v>123</v>
      </c>
      <c r="J942" s="20">
        <v>12</v>
      </c>
      <c r="K942" s="34">
        <v>0</v>
      </c>
      <c r="L942" s="34">
        <v>5</v>
      </c>
      <c r="M942" s="19">
        <f>IF(OR(ISBLANK(C942),C942=""),"",ROUND((C942-B942)*24,2))</f>
        <v>7.38</v>
      </c>
      <c r="N942" s="35" t="str">
        <f>IF(OR(ISBLANK(C942),C942="",M942=""),"In Progress",IF(M942&lt;=J942,"Met","Breached"))</f>
        <v>Met</v>
      </c>
    </row>
    <row r="943" ht="19" customHeight="1" spans="1:14" x14ac:dyDescent="0.25">
      <c r="A943" s="22" t="s">
        <v>1057</v>
      </c>
      <c r="B943" s="36">
        <v>45848.402083333334</v>
      </c>
      <c r="D943" s="22" t="s">
        <v>39</v>
      </c>
      <c r="E943" s="22" t="s">
        <v>61</v>
      </c>
      <c r="F943" s="22" t="s">
        <v>40</v>
      </c>
      <c r="G943" s="22" t="s">
        <v>121</v>
      </c>
      <c r="H943" s="22" t="s">
        <v>59</v>
      </c>
      <c r="I943" s="22" t="s">
        <v>117</v>
      </c>
      <c r="J943" s="23">
        <v>12</v>
      </c>
      <c r="K943" s="37">
        <v>0</v>
      </c>
      <c r="M943" s="22" t="str">
        <f>IF(OR(ISBLANK(C943),C943=""),"",ROUND((C943-B943)*24,2))</f>
        <v/>
      </c>
      <c r="N943" s="22" t="str">
        <f>IF(OR(ISBLANK(C943),C943="",M943=""),"In Progress",IF(M943&lt;=J943,"Met","Breached"))</f>
        <v>In Progress</v>
      </c>
    </row>
    <row r="944" ht="19" customHeight="1" spans="1:14" x14ac:dyDescent="0.25">
      <c r="A944" s="19" t="s">
        <v>1058</v>
      </c>
      <c r="B944" s="33">
        <v>45938.25625</v>
      </c>
      <c r="D944" s="19" t="s">
        <v>39</v>
      </c>
      <c r="E944" s="19" t="s">
        <v>57</v>
      </c>
      <c r="F944" s="19" t="s">
        <v>34</v>
      </c>
      <c r="G944" s="19" t="s">
        <v>121</v>
      </c>
      <c r="H944" s="19" t="s">
        <v>59</v>
      </c>
      <c r="I944" s="19" t="s">
        <v>123</v>
      </c>
      <c r="J944" s="20">
        <v>4</v>
      </c>
      <c r="K944" s="34">
        <v>0</v>
      </c>
      <c r="M944" s="19" t="str">
        <f>IF(OR(ISBLANK(C944),C944=""),"",ROUND((C944-B944)*24,2))</f>
        <v/>
      </c>
      <c r="N944" s="19" t="str">
        <f>IF(OR(ISBLANK(C944),C944="",M944=""),"In Progress",IF(M944&lt;=J944,"Met","Breached"))</f>
        <v>In Progress</v>
      </c>
    </row>
    <row r="945" ht="19" customHeight="1" spans="1:14" x14ac:dyDescent="0.25">
      <c r="A945" s="22" t="s">
        <v>1059</v>
      </c>
      <c r="B945" s="36">
        <v>45807.17291666666</v>
      </c>
      <c r="C945" s="36">
        <v>45810.34444444445</v>
      </c>
      <c r="D945" s="22" t="s">
        <v>33</v>
      </c>
      <c r="E945" s="22" t="s">
        <v>65</v>
      </c>
      <c r="F945" s="22" t="s">
        <v>45</v>
      </c>
      <c r="G945" s="22" t="s">
        <v>110</v>
      </c>
      <c r="H945" s="22" t="s">
        <v>67</v>
      </c>
      <c r="I945" s="22" t="s">
        <v>111</v>
      </c>
      <c r="J945" s="23">
        <v>48</v>
      </c>
      <c r="K945" s="37">
        <v>0</v>
      </c>
      <c r="L945" s="37">
        <v>2</v>
      </c>
      <c r="M945" s="22">
        <f>IF(OR(ISBLANK(C945),C945=""),"",ROUND((C945-B945)*24,2))</f>
        <v>76.12</v>
      </c>
      <c r="N945" s="38" t="str">
        <f>IF(OR(ISBLANK(C945),C945="",M945=""),"In Progress",IF(M945&lt;=J945,"Met","Breached"))</f>
        <v>Breached</v>
      </c>
    </row>
    <row r="946" ht="19" customHeight="1" spans="1:14" x14ac:dyDescent="0.25">
      <c r="A946" s="19" t="s">
        <v>1060</v>
      </c>
      <c r="B946" s="33">
        <v>45679.79861111111</v>
      </c>
      <c r="D946" s="19" t="s">
        <v>42</v>
      </c>
      <c r="E946" s="19" t="s">
        <v>69</v>
      </c>
      <c r="F946" s="19" t="s">
        <v>37</v>
      </c>
      <c r="G946" s="19" t="s">
        <v>113</v>
      </c>
      <c r="H946" s="19" t="s">
        <v>59</v>
      </c>
      <c r="I946" s="19" t="s">
        <v>111</v>
      </c>
      <c r="J946" s="20">
        <v>120</v>
      </c>
      <c r="K946" s="34">
        <v>0</v>
      </c>
      <c r="M946" s="19" t="str">
        <f>IF(OR(ISBLANK(C946),C946=""),"",ROUND((C946-B946)*24,2))</f>
        <v/>
      </c>
      <c r="N946" s="19" t="str">
        <f>IF(OR(ISBLANK(C946),C946="",M946=""),"In Progress",IF(M946&lt;=J946,"Met","Breached"))</f>
        <v>In Progress</v>
      </c>
    </row>
    <row r="947" ht="19" customHeight="1" spans="1:14" x14ac:dyDescent="0.25">
      <c r="A947" s="22" t="s">
        <v>1061</v>
      </c>
      <c r="B947" s="36">
        <v>46237.44652777778</v>
      </c>
      <c r="C947" s="36">
        <v>46241.04375</v>
      </c>
      <c r="D947" s="22" t="s">
        <v>36</v>
      </c>
      <c r="E947" s="22" t="s">
        <v>69</v>
      </c>
      <c r="F947" s="22" t="s">
        <v>40</v>
      </c>
      <c r="G947" s="22" t="s">
        <v>110</v>
      </c>
      <c r="H947" s="22" t="s">
        <v>63</v>
      </c>
      <c r="I947" s="22" t="s">
        <v>147</v>
      </c>
      <c r="J947" s="23">
        <v>120</v>
      </c>
      <c r="K947" s="37">
        <v>0</v>
      </c>
      <c r="L947" s="37">
        <v>4</v>
      </c>
      <c r="M947" s="22">
        <f>IF(OR(ISBLANK(C947),C947=""),"",ROUND((C947-B947)*24,2))</f>
        <v>86.33</v>
      </c>
      <c r="N947" s="40" t="str">
        <f>IF(OR(ISBLANK(C947),C947="",M947=""),"In Progress",IF(M947&lt;=J947,"Met","Breached"))</f>
        <v>Met</v>
      </c>
    </row>
    <row r="948" ht="19" customHeight="1" spans="1:14" x14ac:dyDescent="0.25">
      <c r="A948" s="19" t="s">
        <v>1062</v>
      </c>
      <c r="B948" s="33">
        <v>46015.12013888889</v>
      </c>
      <c r="C948" s="33">
        <v>46015.69097222222</v>
      </c>
      <c r="D948" s="19" t="s">
        <v>33</v>
      </c>
      <c r="E948" s="19" t="s">
        <v>61</v>
      </c>
      <c r="F948" s="19" t="s">
        <v>34</v>
      </c>
      <c r="G948" s="19" t="s">
        <v>63</v>
      </c>
      <c r="H948" s="19" t="s">
        <v>63</v>
      </c>
      <c r="I948" s="19" t="s">
        <v>147</v>
      </c>
      <c r="J948" s="20">
        <v>12</v>
      </c>
      <c r="K948" s="34">
        <v>0</v>
      </c>
      <c r="L948" s="34">
        <v>5</v>
      </c>
      <c r="M948" s="19">
        <f>IF(OR(ISBLANK(C948),C948=""),"",ROUND((C948-B948)*24,2))</f>
        <v>13.7</v>
      </c>
      <c r="N948" s="39" t="str">
        <f>IF(OR(ISBLANK(C948),C948="",M948=""),"In Progress",IF(M948&lt;=J948,"Met","Breached"))</f>
        <v>Breached</v>
      </c>
    </row>
    <row r="949" ht="19" customHeight="1" spans="1:14" x14ac:dyDescent="0.25">
      <c r="A949" s="22" t="s">
        <v>1063</v>
      </c>
      <c r="B949" s="36">
        <v>46179.15347222222</v>
      </c>
      <c r="D949" s="22" t="s">
        <v>42</v>
      </c>
      <c r="E949" s="22" t="s">
        <v>69</v>
      </c>
      <c r="F949" s="22" t="s">
        <v>45</v>
      </c>
      <c r="G949" s="22" t="s">
        <v>63</v>
      </c>
      <c r="H949" s="22" t="s">
        <v>63</v>
      </c>
      <c r="I949" s="22" t="s">
        <v>111</v>
      </c>
      <c r="J949" s="23">
        <v>120</v>
      </c>
      <c r="K949" s="37">
        <v>0</v>
      </c>
      <c r="M949" s="22" t="str">
        <f>IF(OR(ISBLANK(C949),C949=""),"",ROUND((C949-B949)*24,2))</f>
        <v/>
      </c>
      <c r="N949" s="22" t="str">
        <f>IF(OR(ISBLANK(C949),C949="",M949=""),"In Progress",IF(M949&lt;=J949,"Met","Breached"))</f>
        <v>In Progress</v>
      </c>
    </row>
    <row r="950" ht="19" customHeight="1" spans="1:14" x14ac:dyDescent="0.25">
      <c r="A950" s="19" t="s">
        <v>1064</v>
      </c>
      <c r="B950" s="33">
        <v>46176.24097222222</v>
      </c>
      <c r="D950" s="19" t="s">
        <v>42</v>
      </c>
      <c r="E950" s="19" t="s">
        <v>65</v>
      </c>
      <c r="F950" s="19" t="s">
        <v>43</v>
      </c>
      <c r="G950" s="19" t="s">
        <v>121</v>
      </c>
      <c r="H950" s="19" t="s">
        <v>71</v>
      </c>
      <c r="I950" s="19" t="s">
        <v>114</v>
      </c>
      <c r="J950" s="20">
        <v>48</v>
      </c>
      <c r="K950" s="34">
        <v>0</v>
      </c>
      <c r="M950" s="19" t="str">
        <f>IF(OR(ISBLANK(C950),C950=""),"",ROUND((C950-B950)*24,2))</f>
        <v/>
      </c>
      <c r="N950" s="19" t="str">
        <f>IF(OR(ISBLANK(C950),C950="",M950=""),"In Progress",IF(M950&lt;=J950,"Met","Breached"))</f>
        <v>In Progress</v>
      </c>
    </row>
    <row r="951" ht="19" customHeight="1" spans="1:14" x14ac:dyDescent="0.25">
      <c r="A951" s="22" t="s">
        <v>1065</v>
      </c>
      <c r="B951" s="36">
        <v>45821.66666666667</v>
      </c>
      <c r="D951" s="22" t="s">
        <v>39</v>
      </c>
      <c r="E951" s="22" t="s">
        <v>69</v>
      </c>
      <c r="F951" s="22" t="s">
        <v>37</v>
      </c>
      <c r="G951" s="22" t="s">
        <v>126</v>
      </c>
      <c r="H951" s="22" t="s">
        <v>59</v>
      </c>
      <c r="I951" s="22" t="s">
        <v>147</v>
      </c>
      <c r="J951" s="23">
        <v>120</v>
      </c>
      <c r="K951" s="37">
        <v>0</v>
      </c>
      <c r="M951" s="22" t="str">
        <f>IF(OR(ISBLANK(C951),C951=""),"",ROUND((C951-B951)*24,2))</f>
        <v/>
      </c>
      <c r="N951" s="22" t="str">
        <f>IF(OR(ISBLANK(C951),C951="",M951=""),"In Progress",IF(M951&lt;=J951,"Met","Breached"))</f>
        <v>In Progress</v>
      </c>
    </row>
    <row r="952" ht="19" customHeight="1" spans="1:14" x14ac:dyDescent="0.25">
      <c r="A952" s="19" t="s">
        <v>1066</v>
      </c>
      <c r="B952" s="33">
        <v>45886.589583333334</v>
      </c>
      <c r="C952" s="33">
        <v>45888.38333333333</v>
      </c>
      <c r="D952" s="19" t="s">
        <v>36</v>
      </c>
      <c r="E952" s="19" t="s">
        <v>65</v>
      </c>
      <c r="F952" s="19" t="s">
        <v>45</v>
      </c>
      <c r="G952" s="19" t="s">
        <v>113</v>
      </c>
      <c r="H952" s="19" t="s">
        <v>59</v>
      </c>
      <c r="I952" s="19" t="s">
        <v>117</v>
      </c>
      <c r="J952" s="20">
        <v>48</v>
      </c>
      <c r="K952" s="34">
        <v>0</v>
      </c>
      <c r="L952" s="34">
        <v>4</v>
      </c>
      <c r="M952" s="19">
        <f>IF(OR(ISBLANK(C952),C952=""),"",ROUND((C952-B952)*24,2))</f>
        <v>43.05</v>
      </c>
      <c r="N952" s="35" t="str">
        <f>IF(OR(ISBLANK(C952),C952="",M952=""),"In Progress",IF(M952&lt;=J952,"Met","Breached"))</f>
        <v>Met</v>
      </c>
    </row>
    <row r="953" ht="19" customHeight="1" spans="1:14" x14ac:dyDescent="0.25">
      <c r="A953" s="22" t="s">
        <v>1067</v>
      </c>
      <c r="B953" s="36">
        <v>46106.507638888885</v>
      </c>
      <c r="D953" s="22" t="s">
        <v>39</v>
      </c>
      <c r="E953" s="22" t="s">
        <v>57</v>
      </c>
      <c r="F953" s="22" t="s">
        <v>45</v>
      </c>
      <c r="G953" s="22" t="s">
        <v>63</v>
      </c>
      <c r="H953" s="22" t="s">
        <v>59</v>
      </c>
      <c r="I953" s="22" t="s">
        <v>123</v>
      </c>
      <c r="J953" s="23">
        <v>4</v>
      </c>
      <c r="K953" s="37">
        <v>0</v>
      </c>
      <c r="M953" s="22" t="str">
        <f>IF(OR(ISBLANK(C953),C953=""),"",ROUND((C953-B953)*24,2))</f>
        <v/>
      </c>
      <c r="N953" s="22" t="str">
        <f>IF(OR(ISBLANK(C953),C953="",M953=""),"In Progress",IF(M953&lt;=J953,"Met","Breached"))</f>
        <v>In Progress</v>
      </c>
    </row>
    <row r="954" ht="19" customHeight="1" spans="1:14" x14ac:dyDescent="0.25">
      <c r="A954" s="19" t="s">
        <v>1068</v>
      </c>
      <c r="B954" s="33">
        <v>45778.9375</v>
      </c>
      <c r="C954" s="33">
        <v>45784.43680555555</v>
      </c>
      <c r="D954" s="19" t="s">
        <v>33</v>
      </c>
      <c r="E954" s="19" t="s">
        <v>69</v>
      </c>
      <c r="F954" s="19" t="s">
        <v>43</v>
      </c>
      <c r="G954" s="19" t="s">
        <v>113</v>
      </c>
      <c r="H954" s="19" t="s">
        <v>63</v>
      </c>
      <c r="I954" s="19" t="s">
        <v>111</v>
      </c>
      <c r="J954" s="20">
        <v>120</v>
      </c>
      <c r="K954" s="34">
        <v>0</v>
      </c>
      <c r="M954" s="19">
        <f>IF(OR(ISBLANK(C954),C954=""),"",ROUND((C954-B954)*24,2))</f>
        <v>131.98</v>
      </c>
      <c r="N954" s="39" t="str">
        <f>IF(OR(ISBLANK(C954),C954="",M954=""),"In Progress",IF(M954&lt;=J954,"Met","Breached"))</f>
        <v>Breached</v>
      </c>
    </row>
    <row r="955" ht="19" customHeight="1" spans="1:14" x14ac:dyDescent="0.25">
      <c r="A955" s="22" t="s">
        <v>1069</v>
      </c>
      <c r="B955" s="36">
        <v>45957.4</v>
      </c>
      <c r="C955" s="36">
        <v>45963.74444444444</v>
      </c>
      <c r="D955" s="22" t="s">
        <v>33</v>
      </c>
      <c r="E955" s="22" t="s">
        <v>69</v>
      </c>
      <c r="F955" s="22" t="s">
        <v>34</v>
      </c>
      <c r="G955" s="22" t="s">
        <v>63</v>
      </c>
      <c r="H955" s="22" t="s">
        <v>63</v>
      </c>
      <c r="I955" s="22" t="s">
        <v>147</v>
      </c>
      <c r="J955" s="23">
        <v>120</v>
      </c>
      <c r="K955" s="37">
        <v>0</v>
      </c>
      <c r="L955" s="37">
        <v>3</v>
      </c>
      <c r="M955" s="22">
        <f>IF(OR(ISBLANK(C955),C955=""),"",ROUND((C955-B955)*24,2))</f>
        <v>152.27</v>
      </c>
      <c r="N955" s="38" t="str">
        <f>IF(OR(ISBLANK(C955),C955="",M955=""),"In Progress",IF(M955&lt;=J955,"Met","Breached"))</f>
        <v>Breached</v>
      </c>
    </row>
    <row r="956" ht="19" customHeight="1" spans="1:14" x14ac:dyDescent="0.25">
      <c r="A956" s="19" t="s">
        <v>1070</v>
      </c>
      <c r="B956" s="33">
        <v>46083.50625</v>
      </c>
      <c r="C956" s="33">
        <v>46092.10208333333</v>
      </c>
      <c r="D956" s="19" t="s">
        <v>33</v>
      </c>
      <c r="E956" s="19" t="s">
        <v>69</v>
      </c>
      <c r="F956" s="19" t="s">
        <v>40</v>
      </c>
      <c r="G956" s="19" t="s">
        <v>113</v>
      </c>
      <c r="H956" s="19" t="s">
        <v>63</v>
      </c>
      <c r="I956" s="19" t="s">
        <v>123</v>
      </c>
      <c r="J956" s="20">
        <v>120</v>
      </c>
      <c r="K956" s="34">
        <v>0</v>
      </c>
      <c r="L956" s="34">
        <v>4</v>
      </c>
      <c r="M956" s="19">
        <f>IF(OR(ISBLANK(C956),C956=""),"",ROUND((C956-B956)*24,2))</f>
        <v>206.3</v>
      </c>
      <c r="N956" s="39" t="str">
        <f>IF(OR(ISBLANK(C956),C956="",M956=""),"In Progress",IF(M956&lt;=J956,"Met","Breached"))</f>
        <v>Breached</v>
      </c>
    </row>
    <row r="957" ht="19" customHeight="1" spans="1:14" x14ac:dyDescent="0.25">
      <c r="A957" s="22" t="s">
        <v>1071</v>
      </c>
      <c r="B957" s="36">
        <v>46273.26458333334</v>
      </c>
      <c r="C957" s="36">
        <v>46276.47430555556</v>
      </c>
      <c r="D957" s="22" t="s">
        <v>33</v>
      </c>
      <c r="E957" s="22" t="s">
        <v>65</v>
      </c>
      <c r="F957" s="22" t="s">
        <v>43</v>
      </c>
      <c r="G957" s="22" t="s">
        <v>63</v>
      </c>
      <c r="H957" s="22" t="s">
        <v>63</v>
      </c>
      <c r="I957" s="22" t="s">
        <v>117</v>
      </c>
      <c r="J957" s="23">
        <v>48</v>
      </c>
      <c r="K957" s="37">
        <v>0</v>
      </c>
      <c r="L957" s="37">
        <v>1</v>
      </c>
      <c r="M957" s="22">
        <f>IF(OR(ISBLANK(C957),C957=""),"",ROUND((C957-B957)*24,2))</f>
        <v>77.03</v>
      </c>
      <c r="N957" s="38" t="str">
        <f>IF(OR(ISBLANK(C957),C957="",M957=""),"In Progress",IF(M957&lt;=J957,"Met","Breached"))</f>
        <v>Breached</v>
      </c>
    </row>
    <row r="958" ht="19" customHeight="1" spans="1:14" x14ac:dyDescent="0.25">
      <c r="A958" s="19" t="s">
        <v>1072</v>
      </c>
      <c r="B958" s="33">
        <v>46280.09861111111</v>
      </c>
      <c r="D958" s="19" t="s">
        <v>39</v>
      </c>
      <c r="E958" s="19" t="s">
        <v>69</v>
      </c>
      <c r="F958" s="19" t="s">
        <v>34</v>
      </c>
      <c r="G958" s="19" t="s">
        <v>126</v>
      </c>
      <c r="H958" s="19" t="s">
        <v>59</v>
      </c>
      <c r="I958" s="19" t="s">
        <v>117</v>
      </c>
      <c r="J958" s="20">
        <v>120</v>
      </c>
      <c r="K958" s="34">
        <v>0</v>
      </c>
      <c r="M958" s="19" t="str">
        <f>IF(OR(ISBLANK(C958),C958=""),"",ROUND((C958-B958)*24,2))</f>
        <v/>
      </c>
      <c r="N958" s="19" t="str">
        <f>IF(OR(ISBLANK(C958),C958="",M958=""),"In Progress",IF(M958&lt;=J958,"Met","Breached"))</f>
        <v>In Progress</v>
      </c>
    </row>
    <row r="959" ht="19" customHeight="1" spans="1:14" x14ac:dyDescent="0.25">
      <c r="A959" s="22" t="s">
        <v>1073</v>
      </c>
      <c r="B959" s="36">
        <v>46064.71527777778</v>
      </c>
      <c r="C959" s="36">
        <v>46065.44027777778</v>
      </c>
      <c r="D959" s="22" t="s">
        <v>33</v>
      </c>
      <c r="E959" s="22" t="s">
        <v>65</v>
      </c>
      <c r="F959" s="22" t="s">
        <v>37</v>
      </c>
      <c r="G959" s="22" t="s">
        <v>126</v>
      </c>
      <c r="H959" s="22" t="s">
        <v>71</v>
      </c>
      <c r="I959" s="22" t="s">
        <v>147</v>
      </c>
      <c r="J959" s="23">
        <v>48</v>
      </c>
      <c r="K959" s="37">
        <v>0</v>
      </c>
      <c r="M959" s="22">
        <f>IF(OR(ISBLANK(C959),C959=""),"",ROUND((C959-B959)*24,2))</f>
        <v>17.4</v>
      </c>
      <c r="N959" s="40" t="str">
        <f>IF(OR(ISBLANK(C959),C959="",M959=""),"In Progress",IF(M959&lt;=J959,"Met","Breached"))</f>
        <v>Met</v>
      </c>
    </row>
    <row r="960" ht="19" customHeight="1" spans="1:14" x14ac:dyDescent="0.25">
      <c r="A960" s="19" t="s">
        <v>1074</v>
      </c>
      <c r="B960" s="33">
        <v>45796.85486111111</v>
      </c>
      <c r="C960" s="33">
        <v>45805.22083333333</v>
      </c>
      <c r="D960" s="19" t="s">
        <v>33</v>
      </c>
      <c r="E960" s="19" t="s">
        <v>69</v>
      </c>
      <c r="F960" s="19" t="s">
        <v>43</v>
      </c>
      <c r="G960" s="19" t="s">
        <v>116</v>
      </c>
      <c r="H960" s="19" t="s">
        <v>67</v>
      </c>
      <c r="I960" s="19" t="s">
        <v>147</v>
      </c>
      <c r="J960" s="20">
        <v>120</v>
      </c>
      <c r="K960" s="34">
        <v>0</v>
      </c>
      <c r="L960" s="34">
        <v>5</v>
      </c>
      <c r="M960" s="19">
        <f>IF(OR(ISBLANK(C960),C960=""),"",ROUND((C960-B960)*24,2))</f>
        <v>200.78</v>
      </c>
      <c r="N960" s="39" t="str">
        <f>IF(OR(ISBLANK(C960),C960="",M960=""),"In Progress",IF(M960&lt;=J960,"Met","Breached"))</f>
        <v>Breached</v>
      </c>
    </row>
    <row r="961" ht="19" customHeight="1" spans="1:14" x14ac:dyDescent="0.25">
      <c r="A961" s="22" t="s">
        <v>1075</v>
      </c>
      <c r="B961" s="36">
        <v>45821.35486111111</v>
      </c>
      <c r="C961" s="36">
        <v>45822.570138888885</v>
      </c>
      <c r="D961" s="22" t="s">
        <v>33</v>
      </c>
      <c r="E961" s="22" t="s">
        <v>65</v>
      </c>
      <c r="F961" s="22" t="s">
        <v>37</v>
      </c>
      <c r="G961" s="22" t="s">
        <v>116</v>
      </c>
      <c r="H961" s="22" t="s">
        <v>67</v>
      </c>
      <c r="I961" s="22" t="s">
        <v>114</v>
      </c>
      <c r="J961" s="23">
        <v>48</v>
      </c>
      <c r="K961" s="37">
        <v>0</v>
      </c>
      <c r="L961" s="37">
        <v>2</v>
      </c>
      <c r="M961" s="22">
        <f>IF(OR(ISBLANK(C961),C961=""),"",ROUND((C961-B961)*24,2))</f>
        <v>29.17</v>
      </c>
      <c r="N961" s="40" t="str">
        <f>IF(OR(ISBLANK(C961),C961="",M961=""),"In Progress",IF(M961&lt;=J961,"Met","Breached"))</f>
        <v>Met</v>
      </c>
    </row>
    <row r="962" ht="19" customHeight="1" spans="1:14" x14ac:dyDescent="0.25">
      <c r="A962" s="19" t="s">
        <v>1076</v>
      </c>
      <c r="B962" s="33">
        <v>45903.07708333334</v>
      </c>
      <c r="C962" s="33">
        <v>45905.570138888885</v>
      </c>
      <c r="D962" s="19" t="s">
        <v>33</v>
      </c>
      <c r="E962" s="19" t="s">
        <v>65</v>
      </c>
      <c r="F962" s="19" t="s">
        <v>37</v>
      </c>
      <c r="G962" s="19" t="s">
        <v>116</v>
      </c>
      <c r="H962" s="19" t="s">
        <v>67</v>
      </c>
      <c r="I962" s="19" t="s">
        <v>123</v>
      </c>
      <c r="J962" s="20">
        <v>48</v>
      </c>
      <c r="K962" s="34">
        <v>0</v>
      </c>
      <c r="L962" s="34">
        <v>2</v>
      </c>
      <c r="M962" s="19">
        <f>IF(OR(ISBLANK(C962),C962=""),"",ROUND((C962-B962)*24,2))</f>
        <v>59.83</v>
      </c>
      <c r="N962" s="39" t="str">
        <f>IF(OR(ISBLANK(C962),C962="",M962=""),"In Progress",IF(M962&lt;=J962,"Met","Breached"))</f>
        <v>Breached</v>
      </c>
    </row>
    <row r="963" ht="19" customHeight="1" spans="1:14" x14ac:dyDescent="0.25">
      <c r="A963" s="22" t="s">
        <v>1077</v>
      </c>
      <c r="B963" s="36">
        <v>45913.12291666667</v>
      </c>
      <c r="C963" s="36">
        <v>45913.294444444444</v>
      </c>
      <c r="D963" s="22" t="s">
        <v>33</v>
      </c>
      <c r="E963" s="22" t="s">
        <v>61</v>
      </c>
      <c r="F963" s="22" t="s">
        <v>40</v>
      </c>
      <c r="G963" s="22" t="s">
        <v>126</v>
      </c>
      <c r="H963" s="22" t="s">
        <v>59</v>
      </c>
      <c r="I963" s="22" t="s">
        <v>123</v>
      </c>
      <c r="J963" s="23">
        <v>12</v>
      </c>
      <c r="K963" s="37">
        <v>0</v>
      </c>
      <c r="L963" s="37">
        <v>3</v>
      </c>
      <c r="M963" s="22">
        <f>IF(OR(ISBLANK(C963),C963=""),"",ROUND((C963-B963)*24,2))</f>
        <v>4.12</v>
      </c>
      <c r="N963" s="40" t="str">
        <f>IF(OR(ISBLANK(C963),C963="",M963=""),"In Progress",IF(M963&lt;=J963,"Met","Breached"))</f>
        <v>Met</v>
      </c>
    </row>
    <row r="964" ht="19" customHeight="1" spans="1:14" x14ac:dyDescent="0.25">
      <c r="A964" s="19" t="s">
        <v>1078</v>
      </c>
      <c r="B964" s="33">
        <v>46221.07152777778</v>
      </c>
      <c r="C964" s="33">
        <v>46221.69305555556</v>
      </c>
      <c r="D964" s="19" t="s">
        <v>33</v>
      </c>
      <c r="E964" s="19" t="s">
        <v>61</v>
      </c>
      <c r="F964" s="19" t="s">
        <v>45</v>
      </c>
      <c r="G964" s="19" t="s">
        <v>110</v>
      </c>
      <c r="H964" s="19" t="s">
        <v>71</v>
      </c>
      <c r="I964" s="19" t="s">
        <v>114</v>
      </c>
      <c r="J964" s="20">
        <v>12</v>
      </c>
      <c r="K964" s="34">
        <v>0</v>
      </c>
      <c r="L964" s="34">
        <v>4</v>
      </c>
      <c r="M964" s="19">
        <f>IF(OR(ISBLANK(C964),C964=""),"",ROUND((C964-B964)*24,2))</f>
        <v>14.92</v>
      </c>
      <c r="N964" s="39" t="str">
        <f>IF(OR(ISBLANK(C964),C964="",M964=""),"In Progress",IF(M964&lt;=J964,"Met","Breached"))</f>
        <v>Breached</v>
      </c>
    </row>
    <row r="965" ht="19" customHeight="1" spans="1:14" x14ac:dyDescent="0.25">
      <c r="A965" s="22" t="s">
        <v>1079</v>
      </c>
      <c r="B965" s="36">
        <v>45849.131944444445</v>
      </c>
      <c r="C965" s="36">
        <v>45850.274305555555</v>
      </c>
      <c r="D965" s="22" t="s">
        <v>33</v>
      </c>
      <c r="E965" s="22" t="s">
        <v>65</v>
      </c>
      <c r="F965" s="22" t="s">
        <v>34</v>
      </c>
      <c r="G965" s="22" t="s">
        <v>121</v>
      </c>
      <c r="H965" s="22" t="s">
        <v>63</v>
      </c>
      <c r="I965" s="22" t="s">
        <v>117</v>
      </c>
      <c r="J965" s="23">
        <v>48</v>
      </c>
      <c r="K965" s="37">
        <v>0</v>
      </c>
      <c r="L965" s="37">
        <v>5</v>
      </c>
      <c r="M965" s="22">
        <f>IF(OR(ISBLANK(C965),C965=""),"",ROUND((C965-B965)*24,2))</f>
        <v>27.42</v>
      </c>
      <c r="N965" s="40" t="str">
        <f>IF(OR(ISBLANK(C965),C965="",M965=""),"In Progress",IF(M965&lt;=J965,"Met","Breached"))</f>
        <v>Met</v>
      </c>
    </row>
    <row r="966" ht="19" customHeight="1" spans="1:14" x14ac:dyDescent="0.25">
      <c r="A966" s="19" t="s">
        <v>1080</v>
      </c>
      <c r="B966" s="33">
        <v>46035.214583333334</v>
      </c>
      <c r="C966" s="33">
        <v>46037.99444444444</v>
      </c>
      <c r="D966" s="19" t="s">
        <v>36</v>
      </c>
      <c r="E966" s="19" t="s">
        <v>65</v>
      </c>
      <c r="F966" s="19" t="s">
        <v>43</v>
      </c>
      <c r="G966" s="19" t="s">
        <v>121</v>
      </c>
      <c r="H966" s="19" t="s">
        <v>67</v>
      </c>
      <c r="I966" s="19" t="s">
        <v>108</v>
      </c>
      <c r="J966" s="20">
        <v>48</v>
      </c>
      <c r="K966" s="34">
        <v>1</v>
      </c>
      <c r="L966" s="34">
        <v>1</v>
      </c>
      <c r="M966" s="19">
        <f>IF(OR(ISBLANK(C966),C966=""),"",ROUND((C966-B966)*24,2))</f>
        <v>66.72</v>
      </c>
      <c r="N966" s="39" t="str">
        <f>IF(OR(ISBLANK(C966),C966="",M966=""),"In Progress",IF(M966&lt;=J966,"Met","Breached"))</f>
        <v>Breached</v>
      </c>
    </row>
    <row r="967" ht="19" customHeight="1" spans="1:14" x14ac:dyDescent="0.25">
      <c r="A967" s="22" t="s">
        <v>1081</v>
      </c>
      <c r="B967" s="36">
        <v>45680.26527777778</v>
      </c>
      <c r="C967" s="36">
        <v>45681.09930555556</v>
      </c>
      <c r="D967" s="22" t="s">
        <v>33</v>
      </c>
      <c r="E967" s="22" t="s">
        <v>61</v>
      </c>
      <c r="F967" s="22" t="s">
        <v>45</v>
      </c>
      <c r="G967" s="22" t="s">
        <v>63</v>
      </c>
      <c r="H967" s="22" t="s">
        <v>63</v>
      </c>
      <c r="I967" s="22" t="s">
        <v>114</v>
      </c>
      <c r="J967" s="23">
        <v>12</v>
      </c>
      <c r="K967" s="37">
        <v>0</v>
      </c>
      <c r="L967" s="37">
        <v>5</v>
      </c>
      <c r="M967" s="22">
        <f>IF(OR(ISBLANK(C967),C967=""),"",ROUND((C967-B967)*24,2))</f>
        <v>20.02</v>
      </c>
      <c r="N967" s="38" t="str">
        <f>IF(OR(ISBLANK(C967),C967="",M967=""),"In Progress",IF(M967&lt;=J967,"Met","Breached"))</f>
        <v>Breached</v>
      </c>
    </row>
    <row r="968" ht="19" customHeight="1" spans="1:14" x14ac:dyDescent="0.25">
      <c r="A968" s="19" t="s">
        <v>1082</v>
      </c>
      <c r="B968" s="33">
        <v>46144.95763888889</v>
      </c>
      <c r="C968" s="33">
        <v>46147.02847222222</v>
      </c>
      <c r="D968" s="19" t="s">
        <v>33</v>
      </c>
      <c r="E968" s="19" t="s">
        <v>65</v>
      </c>
      <c r="F968" s="19" t="s">
        <v>45</v>
      </c>
      <c r="G968" s="19" t="s">
        <v>113</v>
      </c>
      <c r="H968" s="19" t="s">
        <v>63</v>
      </c>
      <c r="I968" s="19" t="s">
        <v>123</v>
      </c>
      <c r="J968" s="20">
        <v>48</v>
      </c>
      <c r="K968" s="34">
        <v>1</v>
      </c>
      <c r="L968" s="34">
        <v>3</v>
      </c>
      <c r="M968" s="19">
        <f>IF(OR(ISBLANK(C968),C968=""),"",ROUND((C968-B968)*24,2))</f>
        <v>49.7</v>
      </c>
      <c r="N968" s="39" t="str">
        <f>IF(OR(ISBLANK(C968),C968="",M968=""),"In Progress",IF(M968&lt;=J968,"Met","Breached"))</f>
        <v>Breached</v>
      </c>
    </row>
    <row r="969" ht="19" customHeight="1" spans="1:14" x14ac:dyDescent="0.25">
      <c r="A969" s="22" t="s">
        <v>1083</v>
      </c>
      <c r="B969" s="36">
        <v>46010.75625</v>
      </c>
      <c r="C969" s="36">
        <v>46013.00833333333</v>
      </c>
      <c r="D969" s="22" t="s">
        <v>33</v>
      </c>
      <c r="E969" s="22" t="s">
        <v>65</v>
      </c>
      <c r="F969" s="22" t="s">
        <v>43</v>
      </c>
      <c r="G969" s="22" t="s">
        <v>116</v>
      </c>
      <c r="H969" s="22" t="s">
        <v>63</v>
      </c>
      <c r="I969" s="22" t="s">
        <v>123</v>
      </c>
      <c r="J969" s="23">
        <v>48</v>
      </c>
      <c r="K969" s="37">
        <v>1</v>
      </c>
      <c r="L969" s="37">
        <v>4</v>
      </c>
      <c r="M969" s="22">
        <f>IF(OR(ISBLANK(C969),C969=""),"",ROUND((C969-B969)*24,2))</f>
        <v>54.05</v>
      </c>
      <c r="N969" s="38" t="str">
        <f>IF(OR(ISBLANK(C969),C969="",M969=""),"In Progress",IF(M969&lt;=J969,"Met","Breached"))</f>
        <v>Breached</v>
      </c>
    </row>
    <row r="970" ht="19" customHeight="1" spans="1:14" x14ac:dyDescent="0.25">
      <c r="A970" s="19" t="s">
        <v>1084</v>
      </c>
      <c r="B970" s="33">
        <v>46092.64722222222</v>
      </c>
      <c r="C970" s="33">
        <v>46093.305555555555</v>
      </c>
      <c r="D970" s="19" t="s">
        <v>33</v>
      </c>
      <c r="E970" s="19" t="s">
        <v>65</v>
      </c>
      <c r="F970" s="19" t="s">
        <v>40</v>
      </c>
      <c r="G970" s="19" t="s">
        <v>126</v>
      </c>
      <c r="H970" s="19" t="s">
        <v>59</v>
      </c>
      <c r="I970" s="19" t="s">
        <v>111</v>
      </c>
      <c r="J970" s="20">
        <v>48</v>
      </c>
      <c r="K970" s="34">
        <v>0</v>
      </c>
      <c r="L970" s="34">
        <v>1</v>
      </c>
      <c r="M970" s="19">
        <f>IF(OR(ISBLANK(C970),C970=""),"",ROUND((C970-B970)*24,2))</f>
        <v>15.8</v>
      </c>
      <c r="N970" s="35" t="str">
        <f>IF(OR(ISBLANK(C970),C970="",M970=""),"In Progress",IF(M970&lt;=J970,"Met","Breached"))</f>
        <v>Met</v>
      </c>
    </row>
    <row r="971" ht="19" customHeight="1" spans="1:14" x14ac:dyDescent="0.25">
      <c r="A971" s="22" t="s">
        <v>1085</v>
      </c>
      <c r="B971" s="36">
        <v>46255.51527777778</v>
      </c>
      <c r="C971" s="36">
        <v>46255.711111111115</v>
      </c>
      <c r="D971" s="22" t="s">
        <v>33</v>
      </c>
      <c r="E971" s="22" t="s">
        <v>57</v>
      </c>
      <c r="F971" s="22" t="s">
        <v>43</v>
      </c>
      <c r="G971" s="22" t="s">
        <v>126</v>
      </c>
      <c r="H971" s="22" t="s">
        <v>59</v>
      </c>
      <c r="I971" s="22" t="s">
        <v>111</v>
      </c>
      <c r="J971" s="23">
        <v>4</v>
      </c>
      <c r="K971" s="37">
        <v>0</v>
      </c>
      <c r="M971" s="22">
        <f>IF(OR(ISBLANK(C971),C971=""),"",ROUND((C971-B971)*24,2))</f>
        <v>4.7</v>
      </c>
      <c r="N971" s="38" t="str">
        <f>IF(OR(ISBLANK(C971),C971="",M971=""),"In Progress",IF(M971&lt;=J971,"Met","Breached"))</f>
        <v>Breached</v>
      </c>
    </row>
    <row r="972" ht="19" customHeight="1" spans="1:14" x14ac:dyDescent="0.25">
      <c r="A972" s="19" t="s">
        <v>1086</v>
      </c>
      <c r="B972" s="33">
        <v>45840.12361111111</v>
      </c>
      <c r="C972" s="33">
        <v>45842.475</v>
      </c>
      <c r="D972" s="19" t="s">
        <v>33</v>
      </c>
      <c r="E972" s="19" t="s">
        <v>65</v>
      </c>
      <c r="F972" s="19" t="s">
        <v>34</v>
      </c>
      <c r="G972" s="19" t="s">
        <v>121</v>
      </c>
      <c r="H972" s="19" t="s">
        <v>71</v>
      </c>
      <c r="I972" s="19" t="s">
        <v>147</v>
      </c>
      <c r="J972" s="20">
        <v>48</v>
      </c>
      <c r="K972" s="34">
        <v>0</v>
      </c>
      <c r="L972" s="34">
        <v>4</v>
      </c>
      <c r="M972" s="19">
        <f>IF(OR(ISBLANK(C972),C972=""),"",ROUND((C972-B972)*24,2))</f>
        <v>56.43</v>
      </c>
      <c r="N972" s="39" t="str">
        <f>IF(OR(ISBLANK(C972),C972="",M972=""),"In Progress",IF(M972&lt;=J972,"Met","Breached"))</f>
        <v>Breached</v>
      </c>
    </row>
    <row r="973" ht="19" customHeight="1" spans="1:14" x14ac:dyDescent="0.25">
      <c r="A973" s="22" t="s">
        <v>1087</v>
      </c>
      <c r="B973" s="36">
        <v>46276.67638888889</v>
      </c>
      <c r="D973" s="22" t="s">
        <v>42</v>
      </c>
      <c r="E973" s="22" t="s">
        <v>65</v>
      </c>
      <c r="F973" s="22" t="s">
        <v>43</v>
      </c>
      <c r="G973" s="22" t="s">
        <v>63</v>
      </c>
      <c r="H973" s="22" t="s">
        <v>59</v>
      </c>
      <c r="I973" s="22" t="s">
        <v>114</v>
      </c>
      <c r="J973" s="23">
        <v>48</v>
      </c>
      <c r="K973" s="37">
        <v>0</v>
      </c>
      <c r="M973" s="22" t="str">
        <f>IF(OR(ISBLANK(C973),C973=""),"",ROUND((C973-B973)*24,2))</f>
        <v/>
      </c>
      <c r="N973" s="22" t="str">
        <f>IF(OR(ISBLANK(C973),C973="",M973=""),"In Progress",IF(M973&lt;=J973,"Met","Breached"))</f>
        <v>In Progress</v>
      </c>
    </row>
    <row r="974" ht="19" customHeight="1" spans="1:14" x14ac:dyDescent="0.25">
      <c r="A974" s="19" t="s">
        <v>1088</v>
      </c>
      <c r="B974" s="33">
        <v>45761.40486111111</v>
      </c>
      <c r="C974" s="33">
        <v>45762.160416666666</v>
      </c>
      <c r="D974" s="19" t="s">
        <v>36</v>
      </c>
      <c r="E974" s="19" t="s">
        <v>61</v>
      </c>
      <c r="F974" s="19" t="s">
        <v>40</v>
      </c>
      <c r="G974" s="19" t="s">
        <v>110</v>
      </c>
      <c r="H974" s="19" t="s">
        <v>71</v>
      </c>
      <c r="I974" s="19" t="s">
        <v>114</v>
      </c>
      <c r="J974" s="20">
        <v>12</v>
      </c>
      <c r="K974" s="34">
        <v>0</v>
      </c>
      <c r="L974" s="34">
        <v>1</v>
      </c>
      <c r="M974" s="19">
        <f>IF(OR(ISBLANK(C974),C974=""),"",ROUND((C974-B974)*24,2))</f>
        <v>18.13</v>
      </c>
      <c r="N974" s="39" t="str">
        <f>IF(OR(ISBLANK(C974),C974="",M974=""),"In Progress",IF(M974&lt;=J974,"Met","Breached"))</f>
        <v>Breached</v>
      </c>
    </row>
    <row r="975" ht="19" customHeight="1" spans="1:14" x14ac:dyDescent="0.25">
      <c r="A975" s="22" t="s">
        <v>1089</v>
      </c>
      <c r="B975" s="36">
        <v>46056.868055555555</v>
      </c>
      <c r="C975" s="36">
        <v>46057.228472222225</v>
      </c>
      <c r="D975" s="22" t="s">
        <v>36</v>
      </c>
      <c r="E975" s="22" t="s">
        <v>61</v>
      </c>
      <c r="F975" s="22" t="s">
        <v>43</v>
      </c>
      <c r="G975" s="22" t="s">
        <v>110</v>
      </c>
      <c r="H975" s="22" t="s">
        <v>59</v>
      </c>
      <c r="I975" s="22" t="s">
        <v>117</v>
      </c>
      <c r="J975" s="23">
        <v>12</v>
      </c>
      <c r="K975" s="37">
        <v>0</v>
      </c>
      <c r="L975" s="37">
        <v>5</v>
      </c>
      <c r="M975" s="22">
        <f>IF(OR(ISBLANK(C975),C975=""),"",ROUND((C975-B975)*24,2))</f>
        <v>8.65</v>
      </c>
      <c r="N975" s="40" t="str">
        <f>IF(OR(ISBLANK(C975),C975="",M975=""),"In Progress",IF(M975&lt;=J975,"Met","Breached"))</f>
        <v>Met</v>
      </c>
    </row>
    <row r="976" ht="19" customHeight="1" spans="1:14" x14ac:dyDescent="0.25">
      <c r="A976" s="19" t="s">
        <v>1090</v>
      </c>
      <c r="B976" s="33">
        <v>46265.84930555556</v>
      </c>
      <c r="C976" s="33">
        <v>46273.15347222222</v>
      </c>
      <c r="D976" s="19" t="s">
        <v>33</v>
      </c>
      <c r="E976" s="19" t="s">
        <v>69</v>
      </c>
      <c r="F976" s="19" t="s">
        <v>34</v>
      </c>
      <c r="G976" s="19" t="s">
        <v>121</v>
      </c>
      <c r="H976" s="19" t="s">
        <v>59</v>
      </c>
      <c r="I976" s="19" t="s">
        <v>108</v>
      </c>
      <c r="J976" s="20">
        <v>120</v>
      </c>
      <c r="K976" s="34">
        <v>0</v>
      </c>
      <c r="L976" s="34">
        <v>1</v>
      </c>
      <c r="M976" s="19">
        <f>IF(OR(ISBLANK(C976),C976=""),"",ROUND((C976-B976)*24,2))</f>
        <v>175.3</v>
      </c>
      <c r="N976" s="39" t="str">
        <f>IF(OR(ISBLANK(C976),C976="",M976=""),"In Progress",IF(M976&lt;=J976,"Met","Breached"))</f>
        <v>Breached</v>
      </c>
    </row>
    <row r="977" ht="19" customHeight="1" spans="1:14" x14ac:dyDescent="0.25">
      <c r="A977" s="22" t="s">
        <v>1091</v>
      </c>
      <c r="B977" s="36">
        <v>46207.93888888889</v>
      </c>
      <c r="C977" s="36">
        <v>46208.54513888889</v>
      </c>
      <c r="D977" s="22" t="s">
        <v>33</v>
      </c>
      <c r="E977" s="22" t="s">
        <v>65</v>
      </c>
      <c r="F977" s="22" t="s">
        <v>37</v>
      </c>
      <c r="G977" s="22" t="s">
        <v>113</v>
      </c>
      <c r="H977" s="22" t="s">
        <v>59</v>
      </c>
      <c r="I977" s="22" t="s">
        <v>123</v>
      </c>
      <c r="J977" s="23">
        <v>48</v>
      </c>
      <c r="K977" s="37">
        <v>0</v>
      </c>
      <c r="L977" s="37">
        <v>5</v>
      </c>
      <c r="M977" s="22">
        <f>IF(OR(ISBLANK(C977),C977=""),"",ROUND((C977-B977)*24,2))</f>
        <v>14.55</v>
      </c>
      <c r="N977" s="40" t="str">
        <f>IF(OR(ISBLANK(C977),C977="",M977=""),"In Progress",IF(M977&lt;=J977,"Met","Breached"))</f>
        <v>Met</v>
      </c>
    </row>
    <row r="978" ht="19" customHeight="1" spans="1:14" x14ac:dyDescent="0.25">
      <c r="A978" s="19" t="s">
        <v>1092</v>
      </c>
      <c r="B978" s="33">
        <v>45966.90902777778</v>
      </c>
      <c r="C978" s="33">
        <v>45970.23402777778</v>
      </c>
      <c r="D978" s="19" t="s">
        <v>36</v>
      </c>
      <c r="E978" s="19" t="s">
        <v>65</v>
      </c>
      <c r="F978" s="19" t="s">
        <v>37</v>
      </c>
      <c r="G978" s="19" t="s">
        <v>116</v>
      </c>
      <c r="H978" s="19" t="s">
        <v>63</v>
      </c>
      <c r="I978" s="19" t="s">
        <v>108</v>
      </c>
      <c r="J978" s="20">
        <v>48</v>
      </c>
      <c r="K978" s="34">
        <v>0</v>
      </c>
      <c r="L978" s="34">
        <v>3</v>
      </c>
      <c r="M978" s="19">
        <f>IF(OR(ISBLANK(C978),C978=""),"",ROUND((C978-B978)*24,2))</f>
        <v>79.8</v>
      </c>
      <c r="N978" s="39" t="str">
        <f>IF(OR(ISBLANK(C978),C978="",M978=""),"In Progress",IF(M978&lt;=J978,"Met","Breached"))</f>
        <v>Breached</v>
      </c>
    </row>
    <row r="979" ht="19" customHeight="1" spans="1:14" x14ac:dyDescent="0.25">
      <c r="A979" s="22" t="s">
        <v>1093</v>
      </c>
      <c r="B979" s="36">
        <v>46184.370833333334</v>
      </c>
      <c r="C979" s="36">
        <v>46187.21319444444</v>
      </c>
      <c r="D979" s="22" t="s">
        <v>33</v>
      </c>
      <c r="E979" s="22" t="s">
        <v>65</v>
      </c>
      <c r="F979" s="22" t="s">
        <v>37</v>
      </c>
      <c r="G979" s="22" t="s">
        <v>116</v>
      </c>
      <c r="H979" s="22" t="s">
        <v>59</v>
      </c>
      <c r="I979" s="22" t="s">
        <v>111</v>
      </c>
      <c r="J979" s="23">
        <v>48</v>
      </c>
      <c r="K979" s="37">
        <v>0</v>
      </c>
      <c r="L979" s="37">
        <v>1</v>
      </c>
      <c r="M979" s="22">
        <f>IF(OR(ISBLANK(C979),C979=""),"",ROUND((C979-B979)*24,2))</f>
        <v>68.22</v>
      </c>
      <c r="N979" s="38" t="str">
        <f>IF(OR(ISBLANK(C979),C979="",M979=""),"In Progress",IF(M979&lt;=J979,"Met","Breached"))</f>
        <v>Breached</v>
      </c>
    </row>
    <row r="980" ht="19" customHeight="1" spans="1:14" x14ac:dyDescent="0.25">
      <c r="A980" s="19" t="s">
        <v>1094</v>
      </c>
      <c r="B980" s="33">
        <v>45787.59305555555</v>
      </c>
      <c r="C980" s="33">
        <v>45787.8375</v>
      </c>
      <c r="D980" s="19" t="s">
        <v>36</v>
      </c>
      <c r="E980" s="19" t="s">
        <v>61</v>
      </c>
      <c r="F980" s="19" t="s">
        <v>37</v>
      </c>
      <c r="G980" s="19" t="s">
        <v>121</v>
      </c>
      <c r="H980" s="19" t="s">
        <v>63</v>
      </c>
      <c r="I980" s="19" t="s">
        <v>123</v>
      </c>
      <c r="J980" s="20">
        <v>12</v>
      </c>
      <c r="K980" s="34">
        <v>0</v>
      </c>
      <c r="L980" s="34">
        <v>3</v>
      </c>
      <c r="M980" s="19">
        <f>IF(OR(ISBLANK(C980),C980=""),"",ROUND((C980-B980)*24,2))</f>
        <v>5.87</v>
      </c>
      <c r="N980" s="35" t="str">
        <f>IF(OR(ISBLANK(C980),C980="",M980=""),"In Progress",IF(M980&lt;=J980,"Met","Breached"))</f>
        <v>Met</v>
      </c>
    </row>
    <row r="981" ht="19" customHeight="1" spans="1:14" x14ac:dyDescent="0.25">
      <c r="A981" s="22" t="s">
        <v>1095</v>
      </c>
      <c r="B981" s="36">
        <v>45866.50138888889</v>
      </c>
      <c r="C981" s="36">
        <v>45868.23125</v>
      </c>
      <c r="D981" s="22" t="s">
        <v>33</v>
      </c>
      <c r="E981" s="22" t="s">
        <v>65</v>
      </c>
      <c r="F981" s="22" t="s">
        <v>43</v>
      </c>
      <c r="G981" s="22" t="s">
        <v>116</v>
      </c>
      <c r="H981" s="22" t="s">
        <v>63</v>
      </c>
      <c r="I981" s="22" t="s">
        <v>147</v>
      </c>
      <c r="J981" s="23">
        <v>48</v>
      </c>
      <c r="K981" s="37">
        <v>0</v>
      </c>
      <c r="L981" s="37">
        <v>5</v>
      </c>
      <c r="M981" s="22">
        <f>IF(OR(ISBLANK(C981),C981=""),"",ROUND((C981-B981)*24,2))</f>
        <v>41.52</v>
      </c>
      <c r="N981" s="40" t="str">
        <f>IF(OR(ISBLANK(C981),C981="",M981=""),"In Progress",IF(M981&lt;=J981,"Met","Breached"))</f>
        <v>Met</v>
      </c>
    </row>
    <row r="982" ht="19" customHeight="1" spans="1:14" x14ac:dyDescent="0.25">
      <c r="A982" s="19" t="s">
        <v>1096</v>
      </c>
      <c r="B982" s="33">
        <v>46083.99722222222</v>
      </c>
      <c r="C982" s="33">
        <v>46084.58888888889</v>
      </c>
      <c r="D982" s="19" t="s">
        <v>33</v>
      </c>
      <c r="E982" s="19" t="s">
        <v>61</v>
      </c>
      <c r="F982" s="19" t="s">
        <v>34</v>
      </c>
      <c r="G982" s="19" t="s">
        <v>116</v>
      </c>
      <c r="H982" s="19" t="s">
        <v>67</v>
      </c>
      <c r="I982" s="19" t="s">
        <v>147</v>
      </c>
      <c r="J982" s="20">
        <v>12</v>
      </c>
      <c r="K982" s="34">
        <v>0</v>
      </c>
      <c r="L982" s="34">
        <v>4</v>
      </c>
      <c r="M982" s="19">
        <f>IF(OR(ISBLANK(C982),C982=""),"",ROUND((C982-B982)*24,2))</f>
        <v>14.2</v>
      </c>
      <c r="N982" s="39" t="str">
        <f>IF(OR(ISBLANK(C982),C982="",M982=""),"In Progress",IF(M982&lt;=J982,"Met","Breached"))</f>
        <v>Breached</v>
      </c>
    </row>
    <row r="983" ht="19" customHeight="1" spans="1:14" x14ac:dyDescent="0.25">
      <c r="A983" s="22" t="s">
        <v>1097</v>
      </c>
      <c r="B983" s="36">
        <v>46273.69791666667</v>
      </c>
      <c r="C983" s="36">
        <v>46275.163194444445</v>
      </c>
      <c r="D983" s="22" t="s">
        <v>33</v>
      </c>
      <c r="E983" s="22" t="s">
        <v>65</v>
      </c>
      <c r="F983" s="22" t="s">
        <v>37</v>
      </c>
      <c r="G983" s="22" t="s">
        <v>121</v>
      </c>
      <c r="H983" s="22" t="s">
        <v>63</v>
      </c>
      <c r="I983" s="22" t="s">
        <v>111</v>
      </c>
      <c r="J983" s="23">
        <v>48</v>
      </c>
      <c r="K983" s="37">
        <v>0</v>
      </c>
      <c r="L983" s="37">
        <v>5</v>
      </c>
      <c r="M983" s="22">
        <f>IF(OR(ISBLANK(C983),C983=""),"",ROUND((C983-B983)*24,2))</f>
        <v>35.17</v>
      </c>
      <c r="N983" s="40" t="str">
        <f>IF(OR(ISBLANK(C983),C983="",M983=""),"In Progress",IF(M983&lt;=J983,"Met","Breached"))</f>
        <v>Met</v>
      </c>
    </row>
    <row r="984" ht="19" customHeight="1" spans="1:14" x14ac:dyDescent="0.25">
      <c r="A984" s="19" t="s">
        <v>1098</v>
      </c>
      <c r="B984" s="33">
        <v>45704.66875</v>
      </c>
      <c r="D984" s="19" t="s">
        <v>39</v>
      </c>
      <c r="E984" s="19" t="s">
        <v>65</v>
      </c>
      <c r="F984" s="19" t="s">
        <v>34</v>
      </c>
      <c r="G984" s="19" t="s">
        <v>116</v>
      </c>
      <c r="H984" s="19" t="s">
        <v>59</v>
      </c>
      <c r="I984" s="19" t="s">
        <v>108</v>
      </c>
      <c r="J984" s="20">
        <v>48</v>
      </c>
      <c r="K984" s="34">
        <v>0</v>
      </c>
      <c r="M984" s="19" t="str">
        <f>IF(OR(ISBLANK(C984),C984=""),"",ROUND((C984-B984)*24,2))</f>
        <v/>
      </c>
      <c r="N984" s="19" t="str">
        <f>IF(OR(ISBLANK(C984),C984="",M984=""),"In Progress",IF(M984&lt;=J984,"Met","Breached"))</f>
        <v>In Progress</v>
      </c>
    </row>
    <row r="985" ht="19" customHeight="1" spans="1:14" x14ac:dyDescent="0.25">
      <c r="A985" s="22" t="s">
        <v>1099</v>
      </c>
      <c r="B985" s="36">
        <v>46118.55763888889</v>
      </c>
      <c r="C985" s="36">
        <v>46120.91875</v>
      </c>
      <c r="D985" s="22" t="s">
        <v>33</v>
      </c>
      <c r="E985" s="22" t="s">
        <v>65</v>
      </c>
      <c r="F985" s="22" t="s">
        <v>34</v>
      </c>
      <c r="G985" s="22" t="s">
        <v>113</v>
      </c>
      <c r="H985" s="22" t="s">
        <v>67</v>
      </c>
      <c r="I985" s="22" t="s">
        <v>108</v>
      </c>
      <c r="J985" s="23">
        <v>48</v>
      </c>
      <c r="K985" s="37">
        <v>0</v>
      </c>
      <c r="M985" s="22">
        <f>IF(OR(ISBLANK(C985),C985=""),"",ROUND((C985-B985)*24,2))</f>
        <v>56.67</v>
      </c>
      <c r="N985" s="38" t="str">
        <f>IF(OR(ISBLANK(C985),C985="",M985=""),"In Progress",IF(M985&lt;=J985,"Met","Breached"))</f>
        <v>Breached</v>
      </c>
    </row>
    <row r="986" ht="19" customHeight="1" spans="1:14" x14ac:dyDescent="0.25">
      <c r="A986" s="19" t="s">
        <v>1100</v>
      </c>
      <c r="B986" s="33">
        <v>46252.319444444445</v>
      </c>
      <c r="C986" s="33">
        <v>46252.586111111115</v>
      </c>
      <c r="D986" s="19" t="s">
        <v>33</v>
      </c>
      <c r="E986" s="19" t="s">
        <v>61</v>
      </c>
      <c r="F986" s="19" t="s">
        <v>40</v>
      </c>
      <c r="G986" s="19" t="s">
        <v>63</v>
      </c>
      <c r="H986" s="19" t="s">
        <v>59</v>
      </c>
      <c r="I986" s="19" t="s">
        <v>111</v>
      </c>
      <c r="J986" s="20">
        <v>12</v>
      </c>
      <c r="K986" s="34">
        <v>0</v>
      </c>
      <c r="M986" s="19">
        <f>IF(OR(ISBLANK(C986),C986=""),"",ROUND((C986-B986)*24,2))</f>
        <v>6.4</v>
      </c>
      <c r="N986" s="35" t="str">
        <f>IF(OR(ISBLANK(C986),C986="",M986=""),"In Progress",IF(M986&lt;=J986,"Met","Breached"))</f>
        <v>Met</v>
      </c>
    </row>
    <row r="987" ht="19" customHeight="1" spans="1:14" x14ac:dyDescent="0.25">
      <c r="A987" s="22" t="s">
        <v>1101</v>
      </c>
      <c r="B987" s="36">
        <v>46098.60416666667</v>
      </c>
      <c r="D987" s="22" t="s">
        <v>42</v>
      </c>
      <c r="E987" s="22" t="s">
        <v>65</v>
      </c>
      <c r="F987" s="22" t="s">
        <v>43</v>
      </c>
      <c r="G987" s="22" t="s">
        <v>110</v>
      </c>
      <c r="H987" s="22" t="s">
        <v>71</v>
      </c>
      <c r="I987" s="22" t="s">
        <v>108</v>
      </c>
      <c r="J987" s="23">
        <v>48</v>
      </c>
      <c r="K987" s="37">
        <v>0</v>
      </c>
      <c r="M987" s="22" t="str">
        <f>IF(OR(ISBLANK(C987),C987=""),"",ROUND((C987-B987)*24,2))</f>
        <v/>
      </c>
      <c r="N987" s="22" t="str">
        <f>IF(OR(ISBLANK(C987),C987="",M987=""),"In Progress",IF(M987&lt;=J987,"Met","Breached"))</f>
        <v>In Progress</v>
      </c>
    </row>
    <row r="988" ht="19" customHeight="1" spans="1:14" x14ac:dyDescent="0.25">
      <c r="A988" s="19" t="s">
        <v>1102</v>
      </c>
      <c r="B988" s="33">
        <v>45969.461111111115</v>
      </c>
      <c r="C988" s="33">
        <v>45971.20277777778</v>
      </c>
      <c r="D988" s="19" t="s">
        <v>36</v>
      </c>
      <c r="E988" s="19" t="s">
        <v>65</v>
      </c>
      <c r="F988" s="19" t="s">
        <v>34</v>
      </c>
      <c r="G988" s="19" t="s">
        <v>126</v>
      </c>
      <c r="H988" s="19" t="s">
        <v>59</v>
      </c>
      <c r="I988" s="19" t="s">
        <v>108</v>
      </c>
      <c r="J988" s="20">
        <v>48</v>
      </c>
      <c r="K988" s="34">
        <v>0</v>
      </c>
      <c r="L988" s="34">
        <v>4</v>
      </c>
      <c r="M988" s="19">
        <f>IF(OR(ISBLANK(C988),C988=""),"",ROUND((C988-B988)*24,2))</f>
        <v>41.8</v>
      </c>
      <c r="N988" s="35" t="str">
        <f>IF(OR(ISBLANK(C988),C988="",M988=""),"In Progress",IF(M988&lt;=J988,"Met","Breached"))</f>
        <v>Met</v>
      </c>
    </row>
    <row r="989" ht="19" customHeight="1" spans="1:14" x14ac:dyDescent="0.25">
      <c r="A989" s="22" t="s">
        <v>1103</v>
      </c>
      <c r="B989" s="36">
        <v>46028.822222222225</v>
      </c>
      <c r="C989" s="36">
        <v>46028.93680555555</v>
      </c>
      <c r="D989" s="22" t="s">
        <v>36</v>
      </c>
      <c r="E989" s="22" t="s">
        <v>57</v>
      </c>
      <c r="F989" s="22" t="s">
        <v>40</v>
      </c>
      <c r="G989" s="22" t="s">
        <v>113</v>
      </c>
      <c r="H989" s="22" t="s">
        <v>59</v>
      </c>
      <c r="I989" s="22" t="s">
        <v>123</v>
      </c>
      <c r="J989" s="23">
        <v>4</v>
      </c>
      <c r="K989" s="37">
        <v>1</v>
      </c>
      <c r="L989" s="37">
        <v>1</v>
      </c>
      <c r="M989" s="22">
        <f>IF(OR(ISBLANK(C989),C989=""),"",ROUND((C989-B989)*24,2))</f>
        <v>2.75</v>
      </c>
      <c r="N989" s="40" t="str">
        <f>IF(OR(ISBLANK(C989),C989="",M989=""),"In Progress",IF(M989&lt;=J989,"Met","Breached"))</f>
        <v>Met</v>
      </c>
    </row>
    <row r="990" ht="19" customHeight="1" spans="1:14" x14ac:dyDescent="0.25">
      <c r="A990" s="19" t="s">
        <v>1104</v>
      </c>
      <c r="B990" s="33">
        <v>45993.71944444445</v>
      </c>
      <c r="C990" s="33">
        <v>45996.290972222225</v>
      </c>
      <c r="D990" s="19" t="s">
        <v>33</v>
      </c>
      <c r="E990" s="19" t="s">
        <v>65</v>
      </c>
      <c r="F990" s="19" t="s">
        <v>37</v>
      </c>
      <c r="G990" s="19" t="s">
        <v>121</v>
      </c>
      <c r="H990" s="19" t="s">
        <v>63</v>
      </c>
      <c r="I990" s="19" t="s">
        <v>123</v>
      </c>
      <c r="J990" s="20">
        <v>48</v>
      </c>
      <c r="K990" s="34">
        <v>0</v>
      </c>
      <c r="L990" s="34">
        <v>1</v>
      </c>
      <c r="M990" s="19">
        <f>IF(OR(ISBLANK(C990),C990=""),"",ROUND((C990-B990)*24,2))</f>
        <v>61.72</v>
      </c>
      <c r="N990" s="39" t="str">
        <f>IF(OR(ISBLANK(C990),C990="",M990=""),"In Progress",IF(M990&lt;=J990,"Met","Breached"))</f>
        <v>Breached</v>
      </c>
    </row>
    <row r="991" ht="19" customHeight="1" spans="1:14" x14ac:dyDescent="0.25">
      <c r="A991" s="22" t="s">
        <v>1105</v>
      </c>
      <c r="B991" s="36">
        <v>46265.67222222222</v>
      </c>
      <c r="C991" s="36">
        <v>46266.50625</v>
      </c>
      <c r="D991" s="22" t="s">
        <v>33</v>
      </c>
      <c r="E991" s="22" t="s">
        <v>65</v>
      </c>
      <c r="F991" s="22" t="s">
        <v>43</v>
      </c>
      <c r="G991" s="22" t="s">
        <v>63</v>
      </c>
      <c r="H991" s="22" t="s">
        <v>59</v>
      </c>
      <c r="I991" s="22" t="s">
        <v>108</v>
      </c>
      <c r="J991" s="23">
        <v>48</v>
      </c>
      <c r="K991" s="37">
        <v>0</v>
      </c>
      <c r="L991" s="37">
        <v>5</v>
      </c>
      <c r="M991" s="22">
        <f>IF(OR(ISBLANK(C991),C991=""),"",ROUND((C991-B991)*24,2))</f>
        <v>20.02</v>
      </c>
      <c r="N991" s="40" t="str">
        <f>IF(OR(ISBLANK(C991),C991="",M991=""),"In Progress",IF(M991&lt;=J991,"Met","Breached"))</f>
        <v>Met</v>
      </c>
    </row>
    <row r="992" ht="19" customHeight="1" spans="1:14" x14ac:dyDescent="0.25">
      <c r="A992" s="19" t="s">
        <v>1106</v>
      </c>
      <c r="B992" s="33">
        <v>46228.365277777775</v>
      </c>
      <c r="C992" s="33">
        <v>46231.146527777775</v>
      </c>
      <c r="D992" s="19" t="s">
        <v>33</v>
      </c>
      <c r="E992" s="19" t="s">
        <v>65</v>
      </c>
      <c r="F992" s="19" t="s">
        <v>37</v>
      </c>
      <c r="G992" s="19" t="s">
        <v>110</v>
      </c>
      <c r="H992" s="19" t="s">
        <v>59</v>
      </c>
      <c r="I992" s="19" t="s">
        <v>117</v>
      </c>
      <c r="J992" s="20">
        <v>48</v>
      </c>
      <c r="K992" s="34">
        <v>0</v>
      </c>
      <c r="M992" s="19">
        <f>IF(OR(ISBLANK(C992),C992=""),"",ROUND((C992-B992)*24,2))</f>
        <v>66.75</v>
      </c>
      <c r="N992" s="39" t="str">
        <f>IF(OR(ISBLANK(C992),C992="",M992=""),"In Progress",IF(M992&lt;=J992,"Met","Breached"))</f>
        <v>Breached</v>
      </c>
    </row>
    <row r="993" ht="19" customHeight="1" spans="1:14" x14ac:dyDescent="0.25">
      <c r="A993" s="22" t="s">
        <v>1107</v>
      </c>
      <c r="B993" s="36">
        <v>46186.72361111111</v>
      </c>
      <c r="C993" s="36">
        <v>46187.43680555555</v>
      </c>
      <c r="D993" s="22" t="s">
        <v>33</v>
      </c>
      <c r="E993" s="22" t="s">
        <v>61</v>
      </c>
      <c r="F993" s="22" t="s">
        <v>45</v>
      </c>
      <c r="G993" s="22" t="s">
        <v>121</v>
      </c>
      <c r="H993" s="22" t="s">
        <v>59</v>
      </c>
      <c r="I993" s="22" t="s">
        <v>117</v>
      </c>
      <c r="J993" s="23">
        <v>12</v>
      </c>
      <c r="K993" s="37">
        <v>0</v>
      </c>
      <c r="L993" s="37">
        <v>2</v>
      </c>
      <c r="M993" s="22">
        <f>IF(OR(ISBLANK(C993),C993=""),"",ROUND((C993-B993)*24,2))</f>
        <v>17.12</v>
      </c>
      <c r="N993" s="38" t="str">
        <f>IF(OR(ISBLANK(C993),C993="",M993=""),"In Progress",IF(M993&lt;=J993,"Met","Breached"))</f>
        <v>Breached</v>
      </c>
    </row>
    <row r="994" ht="19" customHeight="1" spans="1:14" x14ac:dyDescent="0.25">
      <c r="A994" s="19" t="s">
        <v>1108</v>
      </c>
      <c r="B994" s="33">
        <v>46013.97013888889</v>
      </c>
      <c r="C994" s="33">
        <v>46014.82777777778</v>
      </c>
      <c r="D994" s="19" t="s">
        <v>33</v>
      </c>
      <c r="E994" s="19" t="s">
        <v>65</v>
      </c>
      <c r="F994" s="19" t="s">
        <v>40</v>
      </c>
      <c r="G994" s="19" t="s">
        <v>110</v>
      </c>
      <c r="H994" s="19" t="s">
        <v>59</v>
      </c>
      <c r="I994" s="19" t="s">
        <v>117</v>
      </c>
      <c r="J994" s="20">
        <v>48</v>
      </c>
      <c r="K994" s="34">
        <v>0</v>
      </c>
      <c r="L994" s="34">
        <v>4</v>
      </c>
      <c r="M994" s="19">
        <f>IF(OR(ISBLANK(C994),C994=""),"",ROUND((C994-B994)*24,2))</f>
        <v>20.58</v>
      </c>
      <c r="N994" s="35" t="str">
        <f>IF(OR(ISBLANK(C994),C994="",M994=""),"In Progress",IF(M994&lt;=J994,"Met","Breached"))</f>
        <v>Met</v>
      </c>
    </row>
    <row r="995" ht="19" customHeight="1" spans="1:14" x14ac:dyDescent="0.25">
      <c r="A995" s="22" t="s">
        <v>1109</v>
      </c>
      <c r="B995" s="36">
        <v>45937.99652777778</v>
      </c>
      <c r="C995" s="36">
        <v>45941.04722222222</v>
      </c>
      <c r="D995" s="22" t="s">
        <v>36</v>
      </c>
      <c r="E995" s="22" t="s">
        <v>65</v>
      </c>
      <c r="F995" s="22" t="s">
        <v>40</v>
      </c>
      <c r="G995" s="22" t="s">
        <v>126</v>
      </c>
      <c r="H995" s="22" t="s">
        <v>59</v>
      </c>
      <c r="I995" s="22" t="s">
        <v>108</v>
      </c>
      <c r="J995" s="23">
        <v>48</v>
      </c>
      <c r="K995" s="37">
        <v>0</v>
      </c>
      <c r="M995" s="22">
        <f>IF(OR(ISBLANK(C995),C995=""),"",ROUND((C995-B995)*24,2))</f>
        <v>73.22</v>
      </c>
      <c r="N995" s="38" t="str">
        <f>IF(OR(ISBLANK(C995),C995="",M995=""),"In Progress",IF(M995&lt;=J995,"Met","Breached"))</f>
        <v>Breached</v>
      </c>
    </row>
    <row r="996" ht="19" customHeight="1" spans="1:14" x14ac:dyDescent="0.25">
      <c r="A996" s="19" t="s">
        <v>1110</v>
      </c>
      <c r="B996" s="33">
        <v>45863.768055555556</v>
      </c>
      <c r="D996" s="19" t="s">
        <v>39</v>
      </c>
      <c r="E996" s="19" t="s">
        <v>69</v>
      </c>
      <c r="F996" s="19" t="s">
        <v>43</v>
      </c>
      <c r="G996" s="19" t="s">
        <v>116</v>
      </c>
      <c r="H996" s="19" t="s">
        <v>67</v>
      </c>
      <c r="I996" s="19" t="s">
        <v>114</v>
      </c>
      <c r="J996" s="20">
        <v>120</v>
      </c>
      <c r="K996" s="34">
        <v>0</v>
      </c>
      <c r="M996" s="19" t="str">
        <f>IF(OR(ISBLANK(C996),C996=""),"",ROUND((C996-B996)*24,2))</f>
        <v/>
      </c>
      <c r="N996" s="19" t="str">
        <f>IF(OR(ISBLANK(C996),C996="",M996=""),"In Progress",IF(M996&lt;=J996,"Met","Breached"))</f>
        <v>In Progress</v>
      </c>
    </row>
    <row r="997" ht="19" customHeight="1" spans="1:14" x14ac:dyDescent="0.25">
      <c r="A997" s="22" t="s">
        <v>1111</v>
      </c>
      <c r="B997" s="36">
        <v>45938.12847222222</v>
      </c>
      <c r="D997" s="22" t="s">
        <v>39</v>
      </c>
      <c r="E997" s="22" t="s">
        <v>65</v>
      </c>
      <c r="F997" s="22" t="s">
        <v>34</v>
      </c>
      <c r="G997" s="22" t="s">
        <v>63</v>
      </c>
      <c r="H997" s="22" t="s">
        <v>59</v>
      </c>
      <c r="I997" s="22" t="s">
        <v>111</v>
      </c>
      <c r="J997" s="23">
        <v>48</v>
      </c>
      <c r="K997" s="37">
        <v>0</v>
      </c>
      <c r="M997" s="22" t="str">
        <f>IF(OR(ISBLANK(C997),C997=""),"",ROUND((C997-B997)*24,2))</f>
        <v/>
      </c>
      <c r="N997" s="22" t="str">
        <f>IF(OR(ISBLANK(C997),C997="",M997=""),"In Progress",IF(M997&lt;=J997,"Met","Breached"))</f>
        <v>In Progress</v>
      </c>
    </row>
    <row r="998" ht="19" customHeight="1" spans="1:14" x14ac:dyDescent="0.25">
      <c r="A998" s="19" t="s">
        <v>1112</v>
      </c>
      <c r="B998" s="33">
        <v>45863.32777777778</v>
      </c>
      <c r="C998" s="33">
        <v>45863.58194444445</v>
      </c>
      <c r="D998" s="19" t="s">
        <v>36</v>
      </c>
      <c r="E998" s="19" t="s">
        <v>57</v>
      </c>
      <c r="F998" s="19" t="s">
        <v>34</v>
      </c>
      <c r="G998" s="19" t="s">
        <v>113</v>
      </c>
      <c r="H998" s="19" t="s">
        <v>63</v>
      </c>
      <c r="I998" s="19" t="s">
        <v>117</v>
      </c>
      <c r="J998" s="20">
        <v>4</v>
      </c>
      <c r="K998" s="34">
        <v>0</v>
      </c>
      <c r="L998" s="34">
        <v>5</v>
      </c>
      <c r="M998" s="19">
        <f>IF(OR(ISBLANK(C998),C998=""),"",ROUND((C998-B998)*24,2))</f>
        <v>6.1</v>
      </c>
      <c r="N998" s="39" t="str">
        <f>IF(OR(ISBLANK(C998),C998="",M998=""),"In Progress",IF(M998&lt;=J998,"Met","Breached"))</f>
        <v>Breached</v>
      </c>
    </row>
    <row r="999" ht="19" customHeight="1" spans="1:14" x14ac:dyDescent="0.25">
      <c r="A999" s="22" t="s">
        <v>1113</v>
      </c>
      <c r="B999" s="36">
        <v>45981.274305555555</v>
      </c>
      <c r="C999" s="36">
        <v>45982.004166666666</v>
      </c>
      <c r="D999" s="22" t="s">
        <v>36</v>
      </c>
      <c r="E999" s="22" t="s">
        <v>65</v>
      </c>
      <c r="F999" s="22" t="s">
        <v>43</v>
      </c>
      <c r="G999" s="22" t="s">
        <v>121</v>
      </c>
      <c r="H999" s="22" t="s">
        <v>59</v>
      </c>
      <c r="I999" s="22" t="s">
        <v>114</v>
      </c>
      <c r="J999" s="23">
        <v>48</v>
      </c>
      <c r="K999" s="37">
        <v>1</v>
      </c>
      <c r="L999" s="37">
        <v>3</v>
      </c>
      <c r="M999" s="22">
        <f>IF(OR(ISBLANK(C999),C999=""),"",ROUND((C999-B999)*24,2))</f>
        <v>17.52</v>
      </c>
      <c r="N999" s="40" t="str">
        <f>IF(OR(ISBLANK(C999),C999="",M999=""),"In Progress",IF(M999&lt;=J999,"Met","Breached"))</f>
        <v>Met</v>
      </c>
    </row>
    <row r="1000" ht="19" customHeight="1" spans="1:14" x14ac:dyDescent="0.25">
      <c r="A1000" s="19" t="s">
        <v>1114</v>
      </c>
      <c r="B1000" s="33">
        <v>45672.54791666666</v>
      </c>
      <c r="C1000" s="33">
        <v>45675.23333333334</v>
      </c>
      <c r="D1000" s="19" t="s">
        <v>36</v>
      </c>
      <c r="E1000" s="19" t="s">
        <v>65</v>
      </c>
      <c r="F1000" s="19" t="s">
        <v>45</v>
      </c>
      <c r="G1000" s="19" t="s">
        <v>110</v>
      </c>
      <c r="H1000" s="19" t="s">
        <v>63</v>
      </c>
      <c r="I1000" s="19" t="s">
        <v>114</v>
      </c>
      <c r="J1000" s="20">
        <v>48</v>
      </c>
      <c r="K1000" s="34">
        <v>0</v>
      </c>
      <c r="L1000" s="34">
        <v>2</v>
      </c>
      <c r="M1000" s="19">
        <f>IF(OR(ISBLANK(C1000),C1000=""),"",ROUND((C1000-B1000)*24,2))</f>
        <v>64.45</v>
      </c>
      <c r="N1000" s="39" t="str">
        <f>IF(OR(ISBLANK(C1000),C1000="",M1000=""),"In Progress",IF(M1000&lt;=J1000,"Met","Breached"))</f>
        <v>Breached</v>
      </c>
    </row>
    <row r="1001" ht="19" customHeight="1" spans="1:14" x14ac:dyDescent="0.25">
      <c r="A1001" s="22" t="s">
        <v>1115</v>
      </c>
      <c r="B1001" s="36">
        <v>46180.726388888885</v>
      </c>
      <c r="C1001" s="36">
        <v>46181.18263888889</v>
      </c>
      <c r="D1001" s="22" t="s">
        <v>33</v>
      </c>
      <c r="E1001" s="22" t="s">
        <v>61</v>
      </c>
      <c r="F1001" s="22" t="s">
        <v>40</v>
      </c>
      <c r="G1001" s="22" t="s">
        <v>121</v>
      </c>
      <c r="H1001" s="22" t="s">
        <v>63</v>
      </c>
      <c r="I1001" s="22" t="s">
        <v>111</v>
      </c>
      <c r="J1001" s="23">
        <v>12</v>
      </c>
      <c r="K1001" s="37">
        <v>0</v>
      </c>
      <c r="L1001" s="37">
        <v>1</v>
      </c>
      <c r="M1001" s="22">
        <f>IF(OR(ISBLANK(C1001),C1001=""),"",ROUND((C1001-B1001)*24,2))</f>
        <v>10.95</v>
      </c>
      <c r="N1001" s="40" t="str">
        <f>IF(OR(ISBLANK(C1001),C1001="",M1001=""),"In Progress",IF(M1001&lt;=J1001,"Met","Breached"))</f>
        <v>Met</v>
      </c>
    </row>
    <row r="1002" ht="19" customHeight="1" spans="1:14" x14ac:dyDescent="0.25">
      <c r="A1002" s="19" t="s">
        <v>1116</v>
      </c>
      <c r="B1002" s="33">
        <v>45668.90625</v>
      </c>
      <c r="C1002" s="33">
        <v>45673.02569444444</v>
      </c>
      <c r="D1002" s="19" t="s">
        <v>36</v>
      </c>
      <c r="E1002" s="19" t="s">
        <v>69</v>
      </c>
      <c r="F1002" s="19" t="s">
        <v>40</v>
      </c>
      <c r="G1002" s="19" t="s">
        <v>121</v>
      </c>
      <c r="H1002" s="19" t="s">
        <v>71</v>
      </c>
      <c r="I1002" s="19" t="s">
        <v>114</v>
      </c>
      <c r="J1002" s="20">
        <v>120</v>
      </c>
      <c r="K1002" s="34">
        <v>0</v>
      </c>
      <c r="L1002" s="34">
        <v>2</v>
      </c>
      <c r="M1002" s="19">
        <f>IF(OR(ISBLANK(C1002),C1002=""),"",ROUND((C1002-B1002)*24,2))</f>
        <v>98.87</v>
      </c>
      <c r="N1002" s="35" t="str">
        <f>IF(OR(ISBLANK(C1002),C1002="",M1002=""),"In Progress",IF(M1002&lt;=J1002,"Met","Breached"))</f>
        <v>Met</v>
      </c>
    </row>
    <row r="1003" ht="19" customHeight="1" spans="1:14" x14ac:dyDescent="0.25">
      <c r="A1003" s="22" t="s">
        <v>1117</v>
      </c>
      <c r="B1003" s="36">
        <v>46250.46944444445</v>
      </c>
      <c r="C1003" s="36">
        <v>46253.106944444444</v>
      </c>
      <c r="D1003" s="22" t="s">
        <v>36</v>
      </c>
      <c r="E1003" s="22" t="s">
        <v>65</v>
      </c>
      <c r="F1003" s="22" t="s">
        <v>37</v>
      </c>
      <c r="G1003" s="22" t="s">
        <v>110</v>
      </c>
      <c r="H1003" s="22" t="s">
        <v>59</v>
      </c>
      <c r="I1003" s="22" t="s">
        <v>117</v>
      </c>
      <c r="J1003" s="23">
        <v>48</v>
      </c>
      <c r="K1003" s="37">
        <v>0</v>
      </c>
      <c r="L1003" s="37">
        <v>2</v>
      </c>
      <c r="M1003" s="22">
        <f>IF(OR(ISBLANK(C1003),C1003=""),"",ROUND((C1003-B1003)*24,2))</f>
        <v>63.3</v>
      </c>
      <c r="N1003" s="38" t="str">
        <f>IF(OR(ISBLANK(C1003),C1003="",M1003=""),"In Progress",IF(M1003&lt;=J1003,"Met","Breached"))</f>
        <v>Breached</v>
      </c>
    </row>
    <row r="1004" ht="19" customHeight="1" spans="1:14" x14ac:dyDescent="0.25">
      <c r="A1004" s="19" t="s">
        <v>1118</v>
      </c>
      <c r="B1004" s="33">
        <v>46014.99097222222</v>
      </c>
      <c r="D1004" s="19" t="s">
        <v>39</v>
      </c>
      <c r="E1004" s="19" t="s">
        <v>65</v>
      </c>
      <c r="F1004" s="19" t="s">
        <v>40</v>
      </c>
      <c r="G1004" s="19" t="s">
        <v>126</v>
      </c>
      <c r="H1004" s="19" t="s">
        <v>63</v>
      </c>
      <c r="I1004" s="19" t="s">
        <v>114</v>
      </c>
      <c r="J1004" s="20">
        <v>48</v>
      </c>
      <c r="K1004" s="34">
        <v>0</v>
      </c>
      <c r="M1004" s="19" t="str">
        <f>IF(OR(ISBLANK(C1004),C1004=""),"",ROUND((C1004-B1004)*24,2))</f>
        <v/>
      </c>
      <c r="N1004" s="19" t="str">
        <f>IF(OR(ISBLANK(C1004),C1004="",M1004=""),"In Progress",IF(M1004&lt;=J1004,"Met","Breached"))</f>
        <v>In Progress</v>
      </c>
    </row>
    <row r="1005" ht="19" customHeight="1" spans="1:14" x14ac:dyDescent="0.25">
      <c r="A1005" s="22" t="s">
        <v>1119</v>
      </c>
      <c r="B1005" s="36">
        <v>45672.802777777775</v>
      </c>
      <c r="C1005" s="36">
        <v>45675.631944444445</v>
      </c>
      <c r="D1005" s="22" t="s">
        <v>33</v>
      </c>
      <c r="E1005" s="22" t="s">
        <v>65</v>
      </c>
      <c r="F1005" s="22" t="s">
        <v>43</v>
      </c>
      <c r="G1005" s="22" t="s">
        <v>113</v>
      </c>
      <c r="H1005" s="22" t="s">
        <v>71</v>
      </c>
      <c r="I1005" s="22" t="s">
        <v>147</v>
      </c>
      <c r="J1005" s="23">
        <v>48</v>
      </c>
      <c r="K1005" s="37">
        <v>0</v>
      </c>
      <c r="M1005" s="22">
        <f>IF(OR(ISBLANK(C1005),C1005=""),"",ROUND((C1005-B1005)*24,2))</f>
        <v>67.9</v>
      </c>
      <c r="N1005" s="38" t="str">
        <f>IF(OR(ISBLANK(C1005),C1005="",M1005=""),"In Progress",IF(M1005&lt;=J1005,"Met","Breached"))</f>
        <v>Breached</v>
      </c>
    </row>
    <row r="1006" ht="19" customHeight="1" spans="1:14" x14ac:dyDescent="0.25">
      <c r="A1006" s="19" t="s">
        <v>1120</v>
      </c>
      <c r="B1006" s="33">
        <v>46096.6625</v>
      </c>
      <c r="C1006" s="33">
        <v>46099.20694444445</v>
      </c>
      <c r="D1006" s="19" t="s">
        <v>36</v>
      </c>
      <c r="E1006" s="19" t="s">
        <v>65</v>
      </c>
      <c r="F1006" s="19" t="s">
        <v>45</v>
      </c>
      <c r="G1006" s="19" t="s">
        <v>63</v>
      </c>
      <c r="H1006" s="19" t="s">
        <v>63</v>
      </c>
      <c r="I1006" s="19" t="s">
        <v>111</v>
      </c>
      <c r="J1006" s="20">
        <v>48</v>
      </c>
      <c r="K1006" s="34">
        <v>0</v>
      </c>
      <c r="L1006" s="34">
        <v>2</v>
      </c>
      <c r="M1006" s="19">
        <f>IF(OR(ISBLANK(C1006),C1006=""),"",ROUND((C1006-B1006)*24,2))</f>
        <v>61.07</v>
      </c>
      <c r="N1006" s="39" t="str">
        <f>IF(OR(ISBLANK(C1006),C1006="",M1006=""),"In Progress",IF(M1006&lt;=J1006,"Met","Breached"))</f>
        <v>Breached</v>
      </c>
    </row>
    <row r="1007" ht="19" customHeight="1" spans="1:14" x14ac:dyDescent="0.25">
      <c r="A1007" s="22" t="s">
        <v>1121</v>
      </c>
      <c r="B1007" s="36">
        <v>46188.822222222225</v>
      </c>
      <c r="C1007" s="36">
        <v>46189.632638888885</v>
      </c>
      <c r="D1007" s="22" t="s">
        <v>36</v>
      </c>
      <c r="E1007" s="22" t="s">
        <v>61</v>
      </c>
      <c r="F1007" s="22" t="s">
        <v>43</v>
      </c>
      <c r="G1007" s="22" t="s">
        <v>126</v>
      </c>
      <c r="H1007" s="22" t="s">
        <v>67</v>
      </c>
      <c r="I1007" s="22" t="s">
        <v>117</v>
      </c>
      <c r="J1007" s="23">
        <v>12</v>
      </c>
      <c r="K1007" s="37">
        <v>0</v>
      </c>
      <c r="M1007" s="22">
        <f>IF(OR(ISBLANK(C1007),C1007=""),"",ROUND((C1007-B1007)*24,2))</f>
        <v>19.45</v>
      </c>
      <c r="N1007" s="38" t="str">
        <f>IF(OR(ISBLANK(C1007),C1007="",M1007=""),"In Progress",IF(M1007&lt;=J1007,"Met","Breached"))</f>
        <v>Breached</v>
      </c>
    </row>
    <row r="1008" ht="19" customHeight="1" spans="1:14" x14ac:dyDescent="0.25">
      <c r="A1008" s="19" t="s">
        <v>1122</v>
      </c>
      <c r="B1008" s="33">
        <v>45840.16111111111</v>
      </c>
      <c r="C1008" s="33">
        <v>45840.73055555555</v>
      </c>
      <c r="D1008" s="19" t="s">
        <v>33</v>
      </c>
      <c r="E1008" s="19" t="s">
        <v>61</v>
      </c>
      <c r="F1008" s="19" t="s">
        <v>40</v>
      </c>
      <c r="G1008" s="19" t="s">
        <v>63</v>
      </c>
      <c r="H1008" s="19" t="s">
        <v>59</v>
      </c>
      <c r="I1008" s="19" t="s">
        <v>111</v>
      </c>
      <c r="J1008" s="20">
        <v>12</v>
      </c>
      <c r="K1008" s="34">
        <v>0</v>
      </c>
      <c r="L1008" s="34">
        <v>3</v>
      </c>
      <c r="M1008" s="19">
        <f>IF(OR(ISBLANK(C1008),C1008=""),"",ROUND((C1008-B1008)*24,2))</f>
        <v>13.67</v>
      </c>
      <c r="N1008" s="39" t="str">
        <f>IF(OR(ISBLANK(C1008),C1008="",M1008=""),"In Progress",IF(M1008&lt;=J1008,"Met","Breached"))</f>
        <v>Breached</v>
      </c>
    </row>
    <row r="1009" ht="19" customHeight="1" spans="1:14" x14ac:dyDescent="0.25">
      <c r="A1009" s="22" t="s">
        <v>1123</v>
      </c>
      <c r="B1009" s="36">
        <v>46121.804861111115</v>
      </c>
      <c r="D1009" s="22" t="s">
        <v>39</v>
      </c>
      <c r="E1009" s="22" t="s">
        <v>65</v>
      </c>
      <c r="F1009" s="22" t="s">
        <v>45</v>
      </c>
      <c r="G1009" s="22" t="s">
        <v>126</v>
      </c>
      <c r="H1009" s="22" t="s">
        <v>67</v>
      </c>
      <c r="I1009" s="22" t="s">
        <v>114</v>
      </c>
      <c r="J1009" s="23">
        <v>48</v>
      </c>
      <c r="K1009" s="37">
        <v>0</v>
      </c>
      <c r="M1009" s="22" t="str">
        <f>IF(OR(ISBLANK(C1009),C1009=""),"",ROUND((C1009-B1009)*24,2))</f>
        <v/>
      </c>
      <c r="N1009" s="22" t="str">
        <f>IF(OR(ISBLANK(C1009),C1009="",M1009=""),"In Progress",IF(M1009&lt;=J1009,"Met","Breached"))</f>
        <v>In Progress</v>
      </c>
    </row>
    <row r="1010" ht="19" customHeight="1" spans="1:14" x14ac:dyDescent="0.25">
      <c r="A1010" s="19" t="s">
        <v>1124</v>
      </c>
      <c r="B1010" s="33">
        <v>45765.19027777778</v>
      </c>
      <c r="C1010" s="33">
        <v>45765.88055555556</v>
      </c>
      <c r="D1010" s="19" t="s">
        <v>33</v>
      </c>
      <c r="E1010" s="19" t="s">
        <v>65</v>
      </c>
      <c r="F1010" s="19" t="s">
        <v>43</v>
      </c>
      <c r="G1010" s="19" t="s">
        <v>116</v>
      </c>
      <c r="H1010" s="19" t="s">
        <v>71</v>
      </c>
      <c r="I1010" s="19" t="s">
        <v>147</v>
      </c>
      <c r="J1010" s="20">
        <v>48</v>
      </c>
      <c r="K1010" s="34">
        <v>0</v>
      </c>
      <c r="L1010" s="34">
        <v>4</v>
      </c>
      <c r="M1010" s="19">
        <f>IF(OR(ISBLANK(C1010),C1010=""),"",ROUND((C1010-B1010)*24,2))</f>
        <v>16.57</v>
      </c>
      <c r="N1010" s="35" t="str">
        <f>IF(OR(ISBLANK(C1010),C1010="",M1010=""),"In Progress",IF(M1010&lt;=J1010,"Met","Breached"))</f>
        <v>Met</v>
      </c>
    </row>
    <row r="1011" ht="19" customHeight="1" spans="1:14" x14ac:dyDescent="0.25">
      <c r="A1011" s="22" t="s">
        <v>1125</v>
      </c>
      <c r="B1011" s="36">
        <v>45803.64722222222</v>
      </c>
      <c r="C1011" s="36">
        <v>45804.76527777778</v>
      </c>
      <c r="D1011" s="22" t="s">
        <v>36</v>
      </c>
      <c r="E1011" s="22" t="s">
        <v>65</v>
      </c>
      <c r="F1011" s="22" t="s">
        <v>37</v>
      </c>
      <c r="G1011" s="22" t="s">
        <v>113</v>
      </c>
      <c r="H1011" s="22" t="s">
        <v>67</v>
      </c>
      <c r="I1011" s="22" t="s">
        <v>123</v>
      </c>
      <c r="J1011" s="23">
        <v>48</v>
      </c>
      <c r="K1011" s="37">
        <v>0</v>
      </c>
      <c r="M1011" s="22">
        <f>IF(OR(ISBLANK(C1011),C1011=""),"",ROUND((C1011-B1011)*24,2))</f>
        <v>26.83</v>
      </c>
      <c r="N1011" s="40" t="str">
        <f>IF(OR(ISBLANK(C1011),C1011="",M1011=""),"In Progress",IF(M1011&lt;=J1011,"Met","Breached"))</f>
        <v>Met</v>
      </c>
    </row>
    <row r="1012" ht="19" customHeight="1" spans="1:14" x14ac:dyDescent="0.25">
      <c r="A1012" s="19" t="s">
        <v>1126</v>
      </c>
      <c r="B1012" s="33">
        <v>46153.77916666667</v>
      </c>
      <c r="D1012" s="19" t="s">
        <v>42</v>
      </c>
      <c r="E1012" s="19" t="s">
        <v>69</v>
      </c>
      <c r="F1012" s="19" t="s">
        <v>37</v>
      </c>
      <c r="G1012" s="19" t="s">
        <v>116</v>
      </c>
      <c r="H1012" s="19" t="s">
        <v>63</v>
      </c>
      <c r="I1012" s="19" t="s">
        <v>108</v>
      </c>
      <c r="J1012" s="20">
        <v>120</v>
      </c>
      <c r="K1012" s="34">
        <v>0</v>
      </c>
      <c r="M1012" s="19" t="str">
        <f>IF(OR(ISBLANK(C1012),C1012=""),"",ROUND((C1012-B1012)*24,2))</f>
        <v/>
      </c>
      <c r="N1012" s="19" t="str">
        <f>IF(OR(ISBLANK(C1012),C1012="",M1012=""),"In Progress",IF(M1012&lt;=J1012,"Met","Breached"))</f>
        <v>In Progress</v>
      </c>
    </row>
    <row r="1013" ht="19" customHeight="1" spans="1:14" x14ac:dyDescent="0.25">
      <c r="A1013" s="22" t="s">
        <v>1127</v>
      </c>
      <c r="B1013" s="36">
        <v>45919.82916666666</v>
      </c>
      <c r="C1013" s="36">
        <v>45920.47708333333</v>
      </c>
      <c r="D1013" s="22" t="s">
        <v>33</v>
      </c>
      <c r="E1013" s="22" t="s">
        <v>61</v>
      </c>
      <c r="F1013" s="22" t="s">
        <v>40</v>
      </c>
      <c r="G1013" s="22" t="s">
        <v>116</v>
      </c>
      <c r="H1013" s="22" t="s">
        <v>59</v>
      </c>
      <c r="I1013" s="22" t="s">
        <v>117</v>
      </c>
      <c r="J1013" s="23">
        <v>12</v>
      </c>
      <c r="K1013" s="37">
        <v>0</v>
      </c>
      <c r="L1013" s="37">
        <v>4</v>
      </c>
      <c r="M1013" s="22">
        <f>IF(OR(ISBLANK(C1013),C1013=""),"",ROUND((C1013-B1013)*24,2))</f>
        <v>15.55</v>
      </c>
      <c r="N1013" s="38" t="str">
        <f>IF(OR(ISBLANK(C1013),C1013="",M1013=""),"In Progress",IF(M1013&lt;=J1013,"Met","Breached"))</f>
        <v>Breached</v>
      </c>
    </row>
    <row r="1014" ht="19" customHeight="1" spans="1:14" x14ac:dyDescent="0.25">
      <c r="A1014" s="19" t="s">
        <v>1128</v>
      </c>
      <c r="B1014" s="33">
        <v>46129.03402777778</v>
      </c>
      <c r="C1014" s="33">
        <v>46136.83888888889</v>
      </c>
      <c r="D1014" s="19" t="s">
        <v>33</v>
      </c>
      <c r="E1014" s="19" t="s">
        <v>69</v>
      </c>
      <c r="F1014" s="19" t="s">
        <v>45</v>
      </c>
      <c r="G1014" s="19" t="s">
        <v>110</v>
      </c>
      <c r="H1014" s="19" t="s">
        <v>59</v>
      </c>
      <c r="I1014" s="19" t="s">
        <v>114</v>
      </c>
      <c r="J1014" s="20">
        <v>120</v>
      </c>
      <c r="K1014" s="34">
        <v>1</v>
      </c>
      <c r="L1014" s="34">
        <v>5</v>
      </c>
      <c r="M1014" s="19">
        <f>IF(OR(ISBLANK(C1014),C1014=""),"",ROUND((C1014-B1014)*24,2))</f>
        <v>187.32</v>
      </c>
      <c r="N1014" s="39" t="str">
        <f>IF(OR(ISBLANK(C1014),C1014="",M1014=""),"In Progress",IF(M1014&lt;=J1014,"Met","Breached"))</f>
        <v>Breached</v>
      </c>
    </row>
    <row r="1015" ht="19" customHeight="1" spans="1:14" x14ac:dyDescent="0.25">
      <c r="A1015" s="22" t="s">
        <v>1129</v>
      </c>
      <c r="B1015" s="36">
        <v>45716.47013888889</v>
      </c>
      <c r="C1015" s="36">
        <v>45716.68958333333</v>
      </c>
      <c r="D1015" s="22" t="s">
        <v>36</v>
      </c>
      <c r="E1015" s="22" t="s">
        <v>61</v>
      </c>
      <c r="F1015" s="22" t="s">
        <v>37</v>
      </c>
      <c r="G1015" s="22" t="s">
        <v>121</v>
      </c>
      <c r="H1015" s="22" t="s">
        <v>59</v>
      </c>
      <c r="I1015" s="22" t="s">
        <v>147</v>
      </c>
      <c r="J1015" s="23">
        <v>12</v>
      </c>
      <c r="K1015" s="37">
        <v>0</v>
      </c>
      <c r="L1015" s="37">
        <v>3</v>
      </c>
      <c r="M1015" s="22">
        <f>IF(OR(ISBLANK(C1015),C1015=""),"",ROUND((C1015-B1015)*24,2))</f>
        <v>5.27</v>
      </c>
      <c r="N1015" s="40" t="str">
        <f>IF(OR(ISBLANK(C1015),C1015="",M1015=""),"In Progress",IF(M1015&lt;=J1015,"Met","Breached"))</f>
        <v>Met</v>
      </c>
    </row>
    <row r="1016" ht="19" customHeight="1" spans="1:14" x14ac:dyDescent="0.25">
      <c r="A1016" s="19" t="s">
        <v>1130</v>
      </c>
      <c r="B1016" s="33">
        <v>45782.679861111115</v>
      </c>
      <c r="C1016" s="33">
        <v>45783.49166666667</v>
      </c>
      <c r="D1016" s="19" t="s">
        <v>33</v>
      </c>
      <c r="E1016" s="19" t="s">
        <v>65</v>
      </c>
      <c r="F1016" s="19" t="s">
        <v>37</v>
      </c>
      <c r="G1016" s="19" t="s">
        <v>116</v>
      </c>
      <c r="H1016" s="19" t="s">
        <v>71</v>
      </c>
      <c r="I1016" s="19" t="s">
        <v>117</v>
      </c>
      <c r="J1016" s="20">
        <v>48</v>
      </c>
      <c r="K1016" s="34">
        <v>0</v>
      </c>
      <c r="L1016" s="34">
        <v>5</v>
      </c>
      <c r="M1016" s="19">
        <f>IF(OR(ISBLANK(C1016),C1016=""),"",ROUND((C1016-B1016)*24,2))</f>
        <v>19.48</v>
      </c>
      <c r="N1016" s="35" t="str">
        <f>IF(OR(ISBLANK(C1016),C1016="",M1016=""),"In Progress",IF(M1016&lt;=J1016,"Met","Breached"))</f>
        <v>Met</v>
      </c>
    </row>
    <row r="1017" ht="19" customHeight="1" spans="1:14" x14ac:dyDescent="0.25">
      <c r="A1017" s="22" t="s">
        <v>1131</v>
      </c>
      <c r="B1017" s="36">
        <v>45702.2375</v>
      </c>
      <c r="C1017" s="36">
        <v>45704.75</v>
      </c>
      <c r="D1017" s="22" t="s">
        <v>36</v>
      </c>
      <c r="E1017" s="22" t="s">
        <v>65</v>
      </c>
      <c r="F1017" s="22" t="s">
        <v>37</v>
      </c>
      <c r="G1017" s="22" t="s">
        <v>116</v>
      </c>
      <c r="H1017" s="22" t="s">
        <v>59</v>
      </c>
      <c r="I1017" s="22" t="s">
        <v>123</v>
      </c>
      <c r="J1017" s="23">
        <v>48</v>
      </c>
      <c r="K1017" s="37">
        <v>0</v>
      </c>
      <c r="L1017" s="37">
        <v>3</v>
      </c>
      <c r="M1017" s="22">
        <f>IF(OR(ISBLANK(C1017),C1017=""),"",ROUND((C1017-B1017)*24,2))</f>
        <v>60.3</v>
      </c>
      <c r="N1017" s="38" t="str">
        <f>IF(OR(ISBLANK(C1017),C1017="",M1017=""),"In Progress",IF(M1017&lt;=J1017,"Met","Breached"))</f>
        <v>Breached</v>
      </c>
    </row>
    <row r="1018" ht="19" customHeight="1" spans="1:14" x14ac:dyDescent="0.25">
      <c r="A1018" s="19" t="s">
        <v>1132</v>
      </c>
      <c r="B1018" s="33">
        <v>45957.7875</v>
      </c>
      <c r="C1018" s="33">
        <v>45960.42152777778</v>
      </c>
      <c r="D1018" s="19" t="s">
        <v>33</v>
      </c>
      <c r="E1018" s="19" t="s">
        <v>65</v>
      </c>
      <c r="F1018" s="19" t="s">
        <v>37</v>
      </c>
      <c r="G1018" s="19" t="s">
        <v>113</v>
      </c>
      <c r="H1018" s="19" t="s">
        <v>67</v>
      </c>
      <c r="I1018" s="19" t="s">
        <v>147</v>
      </c>
      <c r="J1018" s="20">
        <v>48</v>
      </c>
      <c r="K1018" s="34">
        <v>0</v>
      </c>
      <c r="L1018" s="34">
        <v>2</v>
      </c>
      <c r="M1018" s="19">
        <f>IF(OR(ISBLANK(C1018),C1018=""),"",ROUND((C1018-B1018)*24,2))</f>
        <v>63.22</v>
      </c>
      <c r="N1018" s="39" t="str">
        <f>IF(OR(ISBLANK(C1018),C1018="",M1018=""),"In Progress",IF(M1018&lt;=J1018,"Met","Breached"))</f>
        <v>Breached</v>
      </c>
    </row>
    <row r="1019" ht="19" customHeight="1" spans="1:14" x14ac:dyDescent="0.25">
      <c r="A1019" s="22" t="s">
        <v>1133</v>
      </c>
      <c r="B1019" s="36">
        <v>45659.20347222222</v>
      </c>
      <c r="C1019" s="36">
        <v>45662.57916666666</v>
      </c>
      <c r="D1019" s="22" t="s">
        <v>33</v>
      </c>
      <c r="E1019" s="22" t="s">
        <v>65</v>
      </c>
      <c r="F1019" s="22" t="s">
        <v>43</v>
      </c>
      <c r="G1019" s="22" t="s">
        <v>126</v>
      </c>
      <c r="H1019" s="22" t="s">
        <v>63</v>
      </c>
      <c r="I1019" s="22" t="s">
        <v>147</v>
      </c>
      <c r="J1019" s="23">
        <v>48</v>
      </c>
      <c r="K1019" s="37">
        <v>0</v>
      </c>
      <c r="L1019" s="37">
        <v>2</v>
      </c>
      <c r="M1019" s="22">
        <f>IF(OR(ISBLANK(C1019),C1019=""),"",ROUND((C1019-B1019)*24,2))</f>
        <v>81.02</v>
      </c>
      <c r="N1019" s="38" t="str">
        <f>IF(OR(ISBLANK(C1019),C1019="",M1019=""),"In Progress",IF(M1019&lt;=J1019,"Met","Breached"))</f>
        <v>Breached</v>
      </c>
    </row>
    <row r="1020" ht="19" customHeight="1" spans="1:14" x14ac:dyDescent="0.25">
      <c r="A1020" s="19" t="s">
        <v>1134</v>
      </c>
      <c r="B1020" s="33">
        <v>45914.33333333333</v>
      </c>
      <c r="C1020" s="33">
        <v>45916.17916666667</v>
      </c>
      <c r="D1020" s="19" t="s">
        <v>33</v>
      </c>
      <c r="E1020" s="19" t="s">
        <v>65</v>
      </c>
      <c r="F1020" s="19" t="s">
        <v>40</v>
      </c>
      <c r="G1020" s="19" t="s">
        <v>121</v>
      </c>
      <c r="H1020" s="19" t="s">
        <v>59</v>
      </c>
      <c r="I1020" s="19" t="s">
        <v>111</v>
      </c>
      <c r="J1020" s="20">
        <v>48</v>
      </c>
      <c r="K1020" s="34">
        <v>0</v>
      </c>
      <c r="L1020" s="34">
        <v>5</v>
      </c>
      <c r="M1020" s="19">
        <f>IF(OR(ISBLANK(C1020),C1020=""),"",ROUND((C1020-B1020)*24,2))</f>
        <v>44.3</v>
      </c>
      <c r="N1020" s="35" t="str">
        <f>IF(OR(ISBLANK(C1020),C1020="",M1020=""),"In Progress",IF(M1020&lt;=J1020,"Met","Breached"))</f>
        <v>Met</v>
      </c>
    </row>
    <row r="1021" ht="19" customHeight="1" spans="1:14" x14ac:dyDescent="0.25">
      <c r="A1021" s="22" t="s">
        <v>1135</v>
      </c>
      <c r="B1021" s="36">
        <v>46045.01388888889</v>
      </c>
      <c r="D1021" s="22" t="s">
        <v>39</v>
      </c>
      <c r="E1021" s="22" t="s">
        <v>65</v>
      </c>
      <c r="F1021" s="22" t="s">
        <v>40</v>
      </c>
      <c r="G1021" s="22" t="s">
        <v>113</v>
      </c>
      <c r="H1021" s="22" t="s">
        <v>71</v>
      </c>
      <c r="I1021" s="22" t="s">
        <v>123</v>
      </c>
      <c r="J1021" s="23">
        <v>48</v>
      </c>
      <c r="K1021" s="37">
        <v>0</v>
      </c>
      <c r="M1021" s="22" t="str">
        <f>IF(OR(ISBLANK(C1021),C1021=""),"",ROUND((C1021-B1021)*24,2))</f>
        <v/>
      </c>
      <c r="N1021" s="22" t="str">
        <f>IF(OR(ISBLANK(C1021),C1021="",M1021=""),"In Progress",IF(M1021&lt;=J1021,"Met","Breached"))</f>
        <v>In Progress</v>
      </c>
    </row>
    <row r="1022" ht="19" customHeight="1" spans="1:14" x14ac:dyDescent="0.25">
      <c r="A1022" s="19" t="s">
        <v>1136</v>
      </c>
      <c r="B1022" s="33">
        <v>45887.61319444445</v>
      </c>
      <c r="D1022" s="19" t="s">
        <v>42</v>
      </c>
      <c r="E1022" s="19" t="s">
        <v>69</v>
      </c>
      <c r="F1022" s="19" t="s">
        <v>34</v>
      </c>
      <c r="G1022" s="19" t="s">
        <v>110</v>
      </c>
      <c r="H1022" s="19" t="s">
        <v>59</v>
      </c>
      <c r="I1022" s="19" t="s">
        <v>108</v>
      </c>
      <c r="J1022" s="20">
        <v>120</v>
      </c>
      <c r="K1022" s="34">
        <v>0</v>
      </c>
      <c r="M1022" s="19" t="str">
        <f>IF(OR(ISBLANK(C1022),C1022=""),"",ROUND((C1022-B1022)*24,2))</f>
        <v/>
      </c>
      <c r="N1022" s="19" t="str">
        <f>IF(OR(ISBLANK(C1022),C1022="",M1022=""),"In Progress",IF(M1022&lt;=J1022,"Met","Breached"))</f>
        <v>In Progress</v>
      </c>
    </row>
    <row r="1023" ht="19" customHeight="1" spans="1:14" x14ac:dyDescent="0.25">
      <c r="A1023" s="22" t="s">
        <v>1137</v>
      </c>
      <c r="B1023" s="36">
        <v>46076.27013888889</v>
      </c>
      <c r="C1023" s="36">
        <v>46082.1375</v>
      </c>
      <c r="D1023" s="22" t="s">
        <v>36</v>
      </c>
      <c r="E1023" s="22" t="s">
        <v>69</v>
      </c>
      <c r="F1023" s="22" t="s">
        <v>37</v>
      </c>
      <c r="G1023" s="22" t="s">
        <v>116</v>
      </c>
      <c r="H1023" s="22" t="s">
        <v>59</v>
      </c>
      <c r="I1023" s="22" t="s">
        <v>123</v>
      </c>
      <c r="J1023" s="23">
        <v>120</v>
      </c>
      <c r="K1023" s="37">
        <v>0</v>
      </c>
      <c r="M1023" s="22">
        <f>IF(OR(ISBLANK(C1023),C1023=""),"",ROUND((C1023-B1023)*24,2))</f>
        <v>140.82</v>
      </c>
      <c r="N1023" s="38" t="str">
        <f>IF(OR(ISBLANK(C1023),C1023="",M1023=""),"In Progress",IF(M1023&lt;=J1023,"Met","Breached"))</f>
        <v>Breached</v>
      </c>
    </row>
    <row r="1024" ht="19" customHeight="1" spans="1:14" x14ac:dyDescent="0.25">
      <c r="A1024" s="19" t="s">
        <v>1138</v>
      </c>
      <c r="B1024" s="33">
        <v>46007.0875</v>
      </c>
      <c r="D1024" s="19" t="s">
        <v>42</v>
      </c>
      <c r="E1024" s="19" t="s">
        <v>65</v>
      </c>
      <c r="F1024" s="19" t="s">
        <v>43</v>
      </c>
      <c r="G1024" s="19" t="s">
        <v>116</v>
      </c>
      <c r="H1024" s="19" t="s">
        <v>71</v>
      </c>
      <c r="I1024" s="19" t="s">
        <v>108</v>
      </c>
      <c r="J1024" s="20">
        <v>48</v>
      </c>
      <c r="K1024" s="34">
        <v>0</v>
      </c>
      <c r="M1024" s="19" t="str">
        <f>IF(OR(ISBLANK(C1024),C1024=""),"",ROUND((C1024-B1024)*24,2))</f>
        <v/>
      </c>
      <c r="N1024" s="19" t="str">
        <f>IF(OR(ISBLANK(C1024),C1024="",M1024=""),"In Progress",IF(M1024&lt;=J1024,"Met","Breached"))</f>
        <v>In Progress</v>
      </c>
    </row>
    <row r="1025" ht="19" customHeight="1" spans="1:14" x14ac:dyDescent="0.25">
      <c r="A1025" s="22" t="s">
        <v>1139</v>
      </c>
      <c r="B1025" s="36">
        <v>45881.169444444444</v>
      </c>
      <c r="D1025" s="22" t="s">
        <v>39</v>
      </c>
      <c r="E1025" s="22" t="s">
        <v>65</v>
      </c>
      <c r="F1025" s="22" t="s">
        <v>40</v>
      </c>
      <c r="G1025" s="22" t="s">
        <v>113</v>
      </c>
      <c r="H1025" s="22" t="s">
        <v>59</v>
      </c>
      <c r="I1025" s="22" t="s">
        <v>114</v>
      </c>
      <c r="J1025" s="23">
        <v>48</v>
      </c>
      <c r="K1025" s="37">
        <v>0</v>
      </c>
      <c r="M1025" s="22" t="str">
        <f>IF(OR(ISBLANK(C1025),C1025=""),"",ROUND((C1025-B1025)*24,2))</f>
        <v/>
      </c>
      <c r="N1025" s="22" t="str">
        <f>IF(OR(ISBLANK(C1025),C1025="",M1025=""),"In Progress",IF(M1025&lt;=J1025,"Met","Breached"))</f>
        <v>In Progress</v>
      </c>
    </row>
    <row r="1026" ht="19" customHeight="1" spans="1:14" x14ac:dyDescent="0.25">
      <c r="A1026" s="19" t="s">
        <v>1140</v>
      </c>
      <c r="B1026" s="33">
        <v>45900.86666666667</v>
      </c>
      <c r="C1026" s="33">
        <v>45903.90277777778</v>
      </c>
      <c r="D1026" s="19" t="s">
        <v>33</v>
      </c>
      <c r="E1026" s="19" t="s">
        <v>65</v>
      </c>
      <c r="F1026" s="19" t="s">
        <v>45</v>
      </c>
      <c r="G1026" s="19" t="s">
        <v>126</v>
      </c>
      <c r="H1026" s="19" t="s">
        <v>63</v>
      </c>
      <c r="I1026" s="19" t="s">
        <v>117</v>
      </c>
      <c r="J1026" s="20">
        <v>48</v>
      </c>
      <c r="K1026" s="34">
        <v>0</v>
      </c>
      <c r="L1026" s="34">
        <v>2</v>
      </c>
      <c r="M1026" s="19">
        <f>IF(OR(ISBLANK(C1026),C1026=""),"",ROUND((C1026-B1026)*24,2))</f>
        <v>72.87</v>
      </c>
      <c r="N1026" s="39" t="str">
        <f>IF(OR(ISBLANK(C1026),C1026="",M1026=""),"In Progress",IF(M1026&lt;=J1026,"Met","Breached"))</f>
        <v>Breached</v>
      </c>
    </row>
    <row r="1027" ht="19" customHeight="1" spans="1:14" x14ac:dyDescent="0.25">
      <c r="A1027" s="22" t="s">
        <v>1141</v>
      </c>
      <c r="B1027" s="36">
        <v>45848.972916666666</v>
      </c>
      <c r="C1027" s="36">
        <v>45849.92708333333</v>
      </c>
      <c r="D1027" s="22" t="s">
        <v>33</v>
      </c>
      <c r="E1027" s="22" t="s">
        <v>65</v>
      </c>
      <c r="F1027" s="22" t="s">
        <v>43</v>
      </c>
      <c r="G1027" s="22" t="s">
        <v>116</v>
      </c>
      <c r="H1027" s="22" t="s">
        <v>63</v>
      </c>
      <c r="I1027" s="22" t="s">
        <v>147</v>
      </c>
      <c r="J1027" s="23">
        <v>48</v>
      </c>
      <c r="K1027" s="37">
        <v>0</v>
      </c>
      <c r="L1027" s="37">
        <v>5</v>
      </c>
      <c r="M1027" s="22">
        <f>IF(OR(ISBLANK(C1027),C1027=""),"",ROUND((C1027-B1027)*24,2))</f>
        <v>22.9</v>
      </c>
      <c r="N1027" s="40" t="str">
        <f>IF(OR(ISBLANK(C1027),C1027="",M1027=""),"In Progress",IF(M1027&lt;=J1027,"Met","Breached"))</f>
        <v>Met</v>
      </c>
    </row>
    <row r="1028" ht="19" customHeight="1" spans="1:14" x14ac:dyDescent="0.25">
      <c r="A1028" s="19" t="s">
        <v>1142</v>
      </c>
      <c r="B1028" s="33">
        <v>45785.54652777778</v>
      </c>
      <c r="C1028" s="33">
        <v>45787.356944444444</v>
      </c>
      <c r="D1028" s="19" t="s">
        <v>36</v>
      </c>
      <c r="E1028" s="19" t="s">
        <v>65</v>
      </c>
      <c r="F1028" s="19" t="s">
        <v>37</v>
      </c>
      <c r="G1028" s="19" t="s">
        <v>121</v>
      </c>
      <c r="H1028" s="19" t="s">
        <v>67</v>
      </c>
      <c r="I1028" s="19" t="s">
        <v>117</v>
      </c>
      <c r="J1028" s="20">
        <v>48</v>
      </c>
      <c r="K1028" s="34">
        <v>0</v>
      </c>
      <c r="L1028" s="34">
        <v>4</v>
      </c>
      <c r="M1028" s="19">
        <f>IF(OR(ISBLANK(C1028),C1028=""),"",ROUND((C1028-B1028)*24,2))</f>
        <v>43.45</v>
      </c>
      <c r="N1028" s="35" t="str">
        <f>IF(OR(ISBLANK(C1028),C1028="",M1028=""),"In Progress",IF(M1028&lt;=J1028,"Met","Breached"))</f>
        <v>Met</v>
      </c>
    </row>
    <row r="1029" ht="19" customHeight="1" spans="1:14" x14ac:dyDescent="0.25">
      <c r="A1029" s="22" t="s">
        <v>1143</v>
      </c>
      <c r="B1029" s="36">
        <v>46204.538194444445</v>
      </c>
      <c r="D1029" s="22" t="s">
        <v>42</v>
      </c>
      <c r="E1029" s="22" t="s">
        <v>61</v>
      </c>
      <c r="F1029" s="22" t="s">
        <v>40</v>
      </c>
      <c r="G1029" s="22" t="s">
        <v>116</v>
      </c>
      <c r="H1029" s="22" t="s">
        <v>71</v>
      </c>
      <c r="I1029" s="22" t="s">
        <v>114</v>
      </c>
      <c r="J1029" s="23">
        <v>12</v>
      </c>
      <c r="K1029" s="37">
        <v>0</v>
      </c>
      <c r="M1029" s="22" t="str">
        <f>IF(OR(ISBLANK(C1029),C1029=""),"",ROUND((C1029-B1029)*24,2))</f>
        <v/>
      </c>
      <c r="N1029" s="22" t="str">
        <f>IF(OR(ISBLANK(C1029),C1029="",M1029=""),"In Progress",IF(M1029&lt;=J1029,"Met","Breached"))</f>
        <v>In Progress</v>
      </c>
    </row>
    <row r="1030" ht="19" customHeight="1" spans="1:14" x14ac:dyDescent="0.25">
      <c r="A1030" s="19" t="s">
        <v>1144</v>
      </c>
      <c r="B1030" s="33">
        <v>46154.96527777778</v>
      </c>
      <c r="C1030" s="33">
        <v>46155.21944444445</v>
      </c>
      <c r="D1030" s="19" t="s">
        <v>33</v>
      </c>
      <c r="E1030" s="19" t="s">
        <v>61</v>
      </c>
      <c r="F1030" s="19" t="s">
        <v>45</v>
      </c>
      <c r="G1030" s="19" t="s">
        <v>116</v>
      </c>
      <c r="H1030" s="19" t="s">
        <v>71</v>
      </c>
      <c r="I1030" s="19" t="s">
        <v>147</v>
      </c>
      <c r="J1030" s="20">
        <v>12</v>
      </c>
      <c r="K1030" s="34">
        <v>0</v>
      </c>
      <c r="L1030" s="34">
        <v>3</v>
      </c>
      <c r="M1030" s="19">
        <f>IF(OR(ISBLANK(C1030),C1030=""),"",ROUND((C1030-B1030)*24,2))</f>
        <v>6.1</v>
      </c>
      <c r="N1030" s="35" t="str">
        <f>IF(OR(ISBLANK(C1030),C1030="",M1030=""),"In Progress",IF(M1030&lt;=J1030,"Met","Breached"))</f>
        <v>Met</v>
      </c>
    </row>
    <row r="1031" ht="19" customHeight="1" spans="1:14" x14ac:dyDescent="0.25">
      <c r="A1031" s="22" t="s">
        <v>1145</v>
      </c>
      <c r="B1031" s="36">
        <v>45930.68125</v>
      </c>
      <c r="D1031" s="22" t="s">
        <v>42</v>
      </c>
      <c r="E1031" s="22" t="s">
        <v>69</v>
      </c>
      <c r="F1031" s="22" t="s">
        <v>40</v>
      </c>
      <c r="G1031" s="22" t="s">
        <v>126</v>
      </c>
      <c r="H1031" s="22" t="s">
        <v>59</v>
      </c>
      <c r="I1031" s="22" t="s">
        <v>147</v>
      </c>
      <c r="J1031" s="23">
        <v>120</v>
      </c>
      <c r="K1031" s="37">
        <v>0</v>
      </c>
      <c r="M1031" s="22" t="str">
        <f>IF(OR(ISBLANK(C1031),C1031=""),"",ROUND((C1031-B1031)*24,2))</f>
        <v/>
      </c>
      <c r="N1031" s="22" t="str">
        <f>IF(OR(ISBLANK(C1031),C1031="",M1031=""),"In Progress",IF(M1031&lt;=J1031,"Met","Breached"))</f>
        <v>In Progress</v>
      </c>
    </row>
    <row r="1032" ht="19" customHeight="1" spans="1:14" x14ac:dyDescent="0.25">
      <c r="A1032" s="19" t="s">
        <v>1146</v>
      </c>
      <c r="B1032" s="33">
        <v>45673.527083333334</v>
      </c>
      <c r="C1032" s="33">
        <v>45676.27013888889</v>
      </c>
      <c r="D1032" s="19" t="s">
        <v>36</v>
      </c>
      <c r="E1032" s="19" t="s">
        <v>65</v>
      </c>
      <c r="F1032" s="19" t="s">
        <v>43</v>
      </c>
      <c r="G1032" s="19" t="s">
        <v>126</v>
      </c>
      <c r="H1032" s="19" t="s">
        <v>63</v>
      </c>
      <c r="I1032" s="19" t="s">
        <v>111</v>
      </c>
      <c r="J1032" s="20">
        <v>48</v>
      </c>
      <c r="K1032" s="34">
        <v>0</v>
      </c>
      <c r="L1032" s="34">
        <v>5</v>
      </c>
      <c r="M1032" s="19">
        <f>IF(OR(ISBLANK(C1032),C1032=""),"",ROUND((C1032-B1032)*24,2))</f>
        <v>65.83</v>
      </c>
      <c r="N1032" s="39" t="str">
        <f>IF(OR(ISBLANK(C1032),C1032="",M1032=""),"In Progress",IF(M1032&lt;=J1032,"Met","Breached"))</f>
        <v>Breached</v>
      </c>
    </row>
    <row r="1033" ht="19" customHeight="1" spans="1:14" x14ac:dyDescent="0.25">
      <c r="A1033" s="22" t="s">
        <v>1147</v>
      </c>
      <c r="B1033" s="36">
        <v>45780.180555555555</v>
      </c>
      <c r="C1033" s="36">
        <v>45780.34375</v>
      </c>
      <c r="D1033" s="22" t="s">
        <v>36</v>
      </c>
      <c r="E1033" s="22" t="s">
        <v>61</v>
      </c>
      <c r="F1033" s="22" t="s">
        <v>43</v>
      </c>
      <c r="G1033" s="22" t="s">
        <v>113</v>
      </c>
      <c r="H1033" s="22" t="s">
        <v>59</v>
      </c>
      <c r="I1033" s="22" t="s">
        <v>114</v>
      </c>
      <c r="J1033" s="23">
        <v>12</v>
      </c>
      <c r="K1033" s="37">
        <v>0</v>
      </c>
      <c r="L1033" s="37">
        <v>3</v>
      </c>
      <c r="M1033" s="22">
        <f>IF(OR(ISBLANK(C1033),C1033=""),"",ROUND((C1033-B1033)*24,2))</f>
        <v>3.92</v>
      </c>
      <c r="N1033" s="40" t="str">
        <f>IF(OR(ISBLANK(C1033),C1033="",M1033=""),"In Progress",IF(M1033&lt;=J1033,"Met","Breached"))</f>
        <v>Met</v>
      </c>
    </row>
    <row r="1034" ht="19" customHeight="1" spans="1:14" x14ac:dyDescent="0.25">
      <c r="A1034" s="19" t="s">
        <v>1148</v>
      </c>
      <c r="B1034" s="33">
        <v>46034.04375</v>
      </c>
      <c r="D1034" s="19" t="s">
        <v>39</v>
      </c>
      <c r="E1034" s="19" t="s">
        <v>69</v>
      </c>
      <c r="F1034" s="19" t="s">
        <v>34</v>
      </c>
      <c r="G1034" s="19" t="s">
        <v>113</v>
      </c>
      <c r="H1034" s="19" t="s">
        <v>71</v>
      </c>
      <c r="I1034" s="19" t="s">
        <v>147</v>
      </c>
      <c r="J1034" s="20">
        <v>120</v>
      </c>
      <c r="K1034" s="34">
        <v>0</v>
      </c>
      <c r="M1034" s="19" t="str">
        <f>IF(OR(ISBLANK(C1034),C1034=""),"",ROUND((C1034-B1034)*24,2))</f>
        <v/>
      </c>
      <c r="N1034" s="19" t="str">
        <f>IF(OR(ISBLANK(C1034),C1034="",M1034=""),"In Progress",IF(M1034&lt;=J1034,"Met","Breached"))</f>
        <v>In Progress</v>
      </c>
    </row>
    <row r="1035" ht="19" customHeight="1" spans="1:14" x14ac:dyDescent="0.25">
      <c r="A1035" s="22" t="s">
        <v>1149</v>
      </c>
      <c r="B1035" s="36">
        <v>45943.277083333334</v>
      </c>
      <c r="C1035" s="36">
        <v>45944.80138888889</v>
      </c>
      <c r="D1035" s="22" t="s">
        <v>33</v>
      </c>
      <c r="E1035" s="22" t="s">
        <v>65</v>
      </c>
      <c r="F1035" s="22" t="s">
        <v>37</v>
      </c>
      <c r="G1035" s="22" t="s">
        <v>116</v>
      </c>
      <c r="H1035" s="22" t="s">
        <v>71</v>
      </c>
      <c r="I1035" s="22" t="s">
        <v>111</v>
      </c>
      <c r="J1035" s="23">
        <v>48</v>
      </c>
      <c r="K1035" s="37">
        <v>0</v>
      </c>
      <c r="L1035" s="37">
        <v>3</v>
      </c>
      <c r="M1035" s="22">
        <f>IF(OR(ISBLANK(C1035),C1035=""),"",ROUND((C1035-B1035)*24,2))</f>
        <v>36.58</v>
      </c>
      <c r="N1035" s="40" t="str">
        <f>IF(OR(ISBLANK(C1035),C1035="",M1035=""),"In Progress",IF(M1035&lt;=J1035,"Met","Breached"))</f>
        <v>Met</v>
      </c>
    </row>
    <row r="1036" ht="19" customHeight="1" spans="1:14" x14ac:dyDescent="0.25">
      <c r="A1036" s="19" t="s">
        <v>1150</v>
      </c>
      <c r="B1036" s="33">
        <v>45990.257638888885</v>
      </c>
      <c r="D1036" s="19" t="s">
        <v>39</v>
      </c>
      <c r="E1036" s="19" t="s">
        <v>65</v>
      </c>
      <c r="F1036" s="19" t="s">
        <v>34</v>
      </c>
      <c r="G1036" s="19" t="s">
        <v>121</v>
      </c>
      <c r="H1036" s="19" t="s">
        <v>63</v>
      </c>
      <c r="I1036" s="19" t="s">
        <v>147</v>
      </c>
      <c r="J1036" s="20">
        <v>48</v>
      </c>
      <c r="K1036" s="34">
        <v>0</v>
      </c>
      <c r="M1036" s="19" t="str">
        <f>IF(OR(ISBLANK(C1036),C1036=""),"",ROUND((C1036-B1036)*24,2))</f>
        <v/>
      </c>
      <c r="N1036" s="19" t="str">
        <f>IF(OR(ISBLANK(C1036),C1036="",M1036=""),"In Progress",IF(M1036&lt;=J1036,"Met","Breached"))</f>
        <v>In Progress</v>
      </c>
    </row>
    <row r="1037" ht="19" customHeight="1" spans="1:14" x14ac:dyDescent="0.25">
      <c r="A1037" s="22" t="s">
        <v>1151</v>
      </c>
      <c r="B1037" s="36">
        <v>45896.95694444445</v>
      </c>
      <c r="D1037" s="22" t="s">
        <v>42</v>
      </c>
      <c r="E1037" s="22" t="s">
        <v>65</v>
      </c>
      <c r="F1037" s="22" t="s">
        <v>40</v>
      </c>
      <c r="G1037" s="22" t="s">
        <v>63</v>
      </c>
      <c r="H1037" s="22" t="s">
        <v>59</v>
      </c>
      <c r="I1037" s="22" t="s">
        <v>111</v>
      </c>
      <c r="J1037" s="23">
        <v>48</v>
      </c>
      <c r="K1037" s="37">
        <v>0</v>
      </c>
      <c r="M1037" s="22" t="str">
        <f>IF(OR(ISBLANK(C1037),C1037=""),"",ROUND((C1037-B1037)*24,2))</f>
        <v/>
      </c>
      <c r="N1037" s="22" t="str">
        <f>IF(OR(ISBLANK(C1037),C1037="",M1037=""),"In Progress",IF(M1037&lt;=J1037,"Met","Breached"))</f>
        <v>In Progress</v>
      </c>
    </row>
    <row r="1038" ht="19" customHeight="1" spans="1:14" x14ac:dyDescent="0.25">
      <c r="A1038" s="19" t="s">
        <v>1152</v>
      </c>
      <c r="B1038" s="33">
        <v>45965.17916666667</v>
      </c>
      <c r="C1038" s="33">
        <v>45967.30416666667</v>
      </c>
      <c r="D1038" s="19" t="s">
        <v>36</v>
      </c>
      <c r="E1038" s="19" t="s">
        <v>65</v>
      </c>
      <c r="F1038" s="19" t="s">
        <v>37</v>
      </c>
      <c r="G1038" s="19" t="s">
        <v>116</v>
      </c>
      <c r="H1038" s="19" t="s">
        <v>59</v>
      </c>
      <c r="I1038" s="19" t="s">
        <v>117</v>
      </c>
      <c r="J1038" s="20">
        <v>48</v>
      </c>
      <c r="K1038" s="34">
        <v>0</v>
      </c>
      <c r="L1038" s="34">
        <v>2</v>
      </c>
      <c r="M1038" s="19">
        <f>IF(OR(ISBLANK(C1038),C1038=""),"",ROUND((C1038-B1038)*24,2))</f>
        <v>51</v>
      </c>
      <c r="N1038" s="39" t="str">
        <f>IF(OR(ISBLANK(C1038),C1038="",M1038=""),"In Progress",IF(M1038&lt;=J1038,"Met","Breached"))</f>
        <v>Breached</v>
      </c>
    </row>
    <row r="1039" ht="19" customHeight="1" spans="1:14" x14ac:dyDescent="0.25">
      <c r="A1039" s="22" t="s">
        <v>1153</v>
      </c>
      <c r="B1039" s="36">
        <v>46031.15069444444</v>
      </c>
      <c r="D1039" s="22" t="s">
        <v>39</v>
      </c>
      <c r="E1039" s="22" t="s">
        <v>65</v>
      </c>
      <c r="F1039" s="22" t="s">
        <v>40</v>
      </c>
      <c r="G1039" s="22" t="s">
        <v>110</v>
      </c>
      <c r="H1039" s="22" t="s">
        <v>59</v>
      </c>
      <c r="I1039" s="22" t="s">
        <v>123</v>
      </c>
      <c r="J1039" s="23">
        <v>48</v>
      </c>
      <c r="K1039" s="37">
        <v>0</v>
      </c>
      <c r="M1039" s="22" t="str">
        <f>IF(OR(ISBLANK(C1039),C1039=""),"",ROUND((C1039-B1039)*24,2))</f>
        <v/>
      </c>
      <c r="N1039" s="22" t="str">
        <f>IF(OR(ISBLANK(C1039),C1039="",M1039=""),"In Progress",IF(M1039&lt;=J1039,"Met","Breached"))</f>
        <v>In Progress</v>
      </c>
    </row>
    <row r="1040" ht="19" customHeight="1" spans="1:14" x14ac:dyDescent="0.25">
      <c r="A1040" s="19" t="s">
        <v>1154</v>
      </c>
      <c r="B1040" s="33">
        <v>45732.22083333333</v>
      </c>
      <c r="C1040" s="33">
        <v>45733.570138888885</v>
      </c>
      <c r="D1040" s="19" t="s">
        <v>36</v>
      </c>
      <c r="E1040" s="19" t="s">
        <v>65</v>
      </c>
      <c r="F1040" s="19" t="s">
        <v>34</v>
      </c>
      <c r="G1040" s="19" t="s">
        <v>113</v>
      </c>
      <c r="H1040" s="19" t="s">
        <v>71</v>
      </c>
      <c r="I1040" s="19" t="s">
        <v>117</v>
      </c>
      <c r="J1040" s="20">
        <v>48</v>
      </c>
      <c r="K1040" s="34">
        <v>0</v>
      </c>
      <c r="L1040" s="34">
        <v>2</v>
      </c>
      <c r="M1040" s="19">
        <f>IF(OR(ISBLANK(C1040),C1040=""),"",ROUND((C1040-B1040)*24,2))</f>
        <v>32.38</v>
      </c>
      <c r="N1040" s="35" t="str">
        <f>IF(OR(ISBLANK(C1040),C1040="",M1040=""),"In Progress",IF(M1040&lt;=J1040,"Met","Breached"))</f>
        <v>Met</v>
      </c>
    </row>
    <row r="1041" ht="19" customHeight="1" spans="1:14" x14ac:dyDescent="0.25">
      <c r="A1041" s="22" t="s">
        <v>1155</v>
      </c>
      <c r="B1041" s="36">
        <v>46210.08333333333</v>
      </c>
      <c r="C1041" s="36">
        <v>46211.05069444445</v>
      </c>
      <c r="D1041" s="22" t="s">
        <v>33</v>
      </c>
      <c r="E1041" s="22" t="s">
        <v>65</v>
      </c>
      <c r="F1041" s="22" t="s">
        <v>45</v>
      </c>
      <c r="G1041" s="22" t="s">
        <v>121</v>
      </c>
      <c r="H1041" s="22" t="s">
        <v>59</v>
      </c>
      <c r="I1041" s="22" t="s">
        <v>114</v>
      </c>
      <c r="J1041" s="23">
        <v>48</v>
      </c>
      <c r="K1041" s="37">
        <v>0</v>
      </c>
      <c r="M1041" s="22">
        <f>IF(OR(ISBLANK(C1041),C1041=""),"",ROUND((C1041-B1041)*24,2))</f>
        <v>23.22</v>
      </c>
      <c r="N1041" s="40" t="str">
        <f>IF(OR(ISBLANK(C1041),C1041="",M1041=""),"In Progress",IF(M1041&lt;=J1041,"Met","Breached"))</f>
        <v>Met</v>
      </c>
    </row>
    <row r="1042" ht="19" customHeight="1" spans="1:14" x14ac:dyDescent="0.25">
      <c r="A1042" s="19" t="s">
        <v>1156</v>
      </c>
      <c r="B1042" s="33">
        <v>45769.63125</v>
      </c>
      <c r="C1042" s="33">
        <v>45770.30069444445</v>
      </c>
      <c r="D1042" s="19" t="s">
        <v>33</v>
      </c>
      <c r="E1042" s="19" t="s">
        <v>65</v>
      </c>
      <c r="F1042" s="19" t="s">
        <v>34</v>
      </c>
      <c r="G1042" s="19" t="s">
        <v>63</v>
      </c>
      <c r="H1042" s="19" t="s">
        <v>59</v>
      </c>
      <c r="I1042" s="19" t="s">
        <v>147</v>
      </c>
      <c r="J1042" s="20">
        <v>48</v>
      </c>
      <c r="K1042" s="34">
        <v>0</v>
      </c>
      <c r="L1042" s="34">
        <v>3</v>
      </c>
      <c r="M1042" s="19">
        <f>IF(OR(ISBLANK(C1042),C1042=""),"",ROUND((C1042-B1042)*24,2))</f>
        <v>16.07</v>
      </c>
      <c r="N1042" s="35" t="str">
        <f>IF(OR(ISBLANK(C1042),C1042="",M1042=""),"In Progress",IF(M1042&lt;=J1042,"Met","Breached"))</f>
        <v>Met</v>
      </c>
    </row>
    <row r="1043" ht="19" customHeight="1" spans="1:14" x14ac:dyDescent="0.25">
      <c r="A1043" s="22" t="s">
        <v>1157</v>
      </c>
      <c r="B1043" s="36">
        <v>46028.243055555555</v>
      </c>
      <c r="C1043" s="36">
        <v>46029.58541666667</v>
      </c>
      <c r="D1043" s="22" t="s">
        <v>33</v>
      </c>
      <c r="E1043" s="22" t="s">
        <v>65</v>
      </c>
      <c r="F1043" s="22" t="s">
        <v>45</v>
      </c>
      <c r="G1043" s="22" t="s">
        <v>116</v>
      </c>
      <c r="H1043" s="22" t="s">
        <v>63</v>
      </c>
      <c r="I1043" s="22" t="s">
        <v>123</v>
      </c>
      <c r="J1043" s="23">
        <v>48</v>
      </c>
      <c r="K1043" s="37">
        <v>0</v>
      </c>
      <c r="L1043" s="37">
        <v>3</v>
      </c>
      <c r="M1043" s="22">
        <f>IF(OR(ISBLANK(C1043),C1043=""),"",ROUND((C1043-B1043)*24,2))</f>
        <v>32.22</v>
      </c>
      <c r="N1043" s="40" t="str">
        <f>IF(OR(ISBLANK(C1043),C1043="",M1043=""),"In Progress",IF(M1043&lt;=J1043,"Met","Breached"))</f>
        <v>Met</v>
      </c>
    </row>
    <row r="1044" ht="19" customHeight="1" spans="1:14" x14ac:dyDescent="0.25">
      <c r="A1044" s="19" t="s">
        <v>1158</v>
      </c>
      <c r="B1044" s="33">
        <v>46100.56527777778</v>
      </c>
      <c r="C1044" s="33">
        <v>46103.62291666667</v>
      </c>
      <c r="D1044" s="19" t="s">
        <v>33</v>
      </c>
      <c r="E1044" s="19" t="s">
        <v>65</v>
      </c>
      <c r="F1044" s="19" t="s">
        <v>43</v>
      </c>
      <c r="G1044" s="19" t="s">
        <v>110</v>
      </c>
      <c r="H1044" s="19" t="s">
        <v>59</v>
      </c>
      <c r="I1044" s="19" t="s">
        <v>114</v>
      </c>
      <c r="J1044" s="20">
        <v>48</v>
      </c>
      <c r="K1044" s="34">
        <v>1</v>
      </c>
      <c r="L1044" s="34">
        <v>5</v>
      </c>
      <c r="M1044" s="19">
        <f>IF(OR(ISBLANK(C1044),C1044=""),"",ROUND((C1044-B1044)*24,2))</f>
        <v>73.38</v>
      </c>
      <c r="N1044" s="39" t="str">
        <f>IF(OR(ISBLANK(C1044),C1044="",M1044=""),"In Progress",IF(M1044&lt;=J1044,"Met","Breached"))</f>
        <v>Breached</v>
      </c>
    </row>
    <row r="1045" ht="19" customHeight="1" spans="1:14" x14ac:dyDescent="0.25">
      <c r="A1045" s="22" t="s">
        <v>1159</v>
      </c>
      <c r="B1045" s="36">
        <v>46265.50486111111</v>
      </c>
      <c r="D1045" s="22" t="s">
        <v>42</v>
      </c>
      <c r="E1045" s="22" t="s">
        <v>69</v>
      </c>
      <c r="F1045" s="22" t="s">
        <v>34</v>
      </c>
      <c r="G1045" s="22" t="s">
        <v>63</v>
      </c>
      <c r="H1045" s="22" t="s">
        <v>67</v>
      </c>
      <c r="I1045" s="22" t="s">
        <v>117</v>
      </c>
      <c r="J1045" s="23">
        <v>120</v>
      </c>
      <c r="K1045" s="37">
        <v>0</v>
      </c>
      <c r="M1045" s="22" t="str">
        <f>IF(OR(ISBLANK(C1045),C1045=""),"",ROUND((C1045-B1045)*24,2))</f>
        <v/>
      </c>
      <c r="N1045" s="22" t="str">
        <f>IF(OR(ISBLANK(C1045),C1045="",M1045=""),"In Progress",IF(M1045&lt;=J1045,"Met","Breached"))</f>
        <v>In Progress</v>
      </c>
    </row>
    <row r="1046" ht="19" customHeight="1" spans="1:14" x14ac:dyDescent="0.25">
      <c r="A1046" s="19" t="s">
        <v>1160</v>
      </c>
      <c r="B1046" s="33">
        <v>46230.17013888889</v>
      </c>
      <c r="C1046" s="33">
        <v>46230.34513888889</v>
      </c>
      <c r="D1046" s="19" t="s">
        <v>33</v>
      </c>
      <c r="E1046" s="19" t="s">
        <v>57</v>
      </c>
      <c r="F1046" s="19" t="s">
        <v>43</v>
      </c>
      <c r="G1046" s="19" t="s">
        <v>126</v>
      </c>
      <c r="H1046" s="19" t="s">
        <v>63</v>
      </c>
      <c r="I1046" s="19" t="s">
        <v>123</v>
      </c>
      <c r="J1046" s="20">
        <v>4</v>
      </c>
      <c r="K1046" s="34">
        <v>0</v>
      </c>
      <c r="L1046" s="34">
        <v>5</v>
      </c>
      <c r="M1046" s="19">
        <f>IF(OR(ISBLANK(C1046),C1046=""),"",ROUND((C1046-B1046)*24,2))</f>
        <v>4.2</v>
      </c>
      <c r="N1046" s="39" t="str">
        <f>IF(OR(ISBLANK(C1046),C1046="",M1046=""),"In Progress",IF(M1046&lt;=J1046,"Met","Breached"))</f>
        <v>Breached</v>
      </c>
    </row>
    <row r="1047" ht="19" customHeight="1" spans="1:14" x14ac:dyDescent="0.25">
      <c r="A1047" s="22" t="s">
        <v>1161</v>
      </c>
      <c r="B1047" s="36">
        <v>46256.856944444444</v>
      </c>
      <c r="C1047" s="36">
        <v>46257.492361111115</v>
      </c>
      <c r="D1047" s="22" t="s">
        <v>33</v>
      </c>
      <c r="E1047" s="22" t="s">
        <v>61</v>
      </c>
      <c r="F1047" s="22" t="s">
        <v>43</v>
      </c>
      <c r="G1047" s="22" t="s">
        <v>63</v>
      </c>
      <c r="H1047" s="22" t="s">
        <v>63</v>
      </c>
      <c r="I1047" s="22" t="s">
        <v>111</v>
      </c>
      <c r="J1047" s="23">
        <v>12</v>
      </c>
      <c r="K1047" s="37">
        <v>0</v>
      </c>
      <c r="L1047" s="37">
        <v>4</v>
      </c>
      <c r="M1047" s="22">
        <f>IF(OR(ISBLANK(C1047),C1047=""),"",ROUND((C1047-B1047)*24,2))</f>
        <v>15.25</v>
      </c>
      <c r="N1047" s="38" t="str">
        <f>IF(OR(ISBLANK(C1047),C1047="",M1047=""),"In Progress",IF(M1047&lt;=J1047,"Met","Breached"))</f>
        <v>Breached</v>
      </c>
    </row>
    <row r="1048" ht="19" customHeight="1" spans="1:14" x14ac:dyDescent="0.25">
      <c r="A1048" s="19" t="s">
        <v>1162</v>
      </c>
      <c r="B1048" s="33">
        <v>46208.743055555555</v>
      </c>
      <c r="D1048" s="19" t="s">
        <v>39</v>
      </c>
      <c r="E1048" s="19" t="s">
        <v>65</v>
      </c>
      <c r="F1048" s="19" t="s">
        <v>37</v>
      </c>
      <c r="G1048" s="19" t="s">
        <v>113</v>
      </c>
      <c r="H1048" s="19" t="s">
        <v>71</v>
      </c>
      <c r="I1048" s="19" t="s">
        <v>147</v>
      </c>
      <c r="J1048" s="20">
        <v>48</v>
      </c>
      <c r="K1048" s="34">
        <v>0</v>
      </c>
      <c r="M1048" s="19" t="str">
        <f>IF(OR(ISBLANK(C1048),C1048=""),"",ROUND((C1048-B1048)*24,2))</f>
        <v/>
      </c>
      <c r="N1048" s="19" t="str">
        <f>IF(OR(ISBLANK(C1048),C1048="",M1048=""),"In Progress",IF(M1048&lt;=J1048,"Met","Breached"))</f>
        <v>In Progress</v>
      </c>
    </row>
    <row r="1049" ht="19" customHeight="1" spans="1:14" x14ac:dyDescent="0.25">
      <c r="A1049" s="22" t="s">
        <v>1163</v>
      </c>
      <c r="B1049" s="36">
        <v>46033.52847222222</v>
      </c>
      <c r="C1049" s="36">
        <v>46036.96388888889</v>
      </c>
      <c r="D1049" s="22" t="s">
        <v>33</v>
      </c>
      <c r="E1049" s="22" t="s">
        <v>65</v>
      </c>
      <c r="F1049" s="22" t="s">
        <v>45</v>
      </c>
      <c r="G1049" s="22" t="s">
        <v>63</v>
      </c>
      <c r="H1049" s="22" t="s">
        <v>71</v>
      </c>
      <c r="I1049" s="22" t="s">
        <v>147</v>
      </c>
      <c r="J1049" s="23">
        <v>48</v>
      </c>
      <c r="K1049" s="37">
        <v>1</v>
      </c>
      <c r="L1049" s="37">
        <v>3</v>
      </c>
      <c r="M1049" s="22">
        <f>IF(OR(ISBLANK(C1049),C1049=""),"",ROUND((C1049-B1049)*24,2))</f>
        <v>82.45</v>
      </c>
      <c r="N1049" s="38" t="str">
        <f>IF(OR(ISBLANK(C1049),C1049="",M1049=""),"In Progress",IF(M1049&lt;=J1049,"Met","Breached"))</f>
        <v>Breached</v>
      </c>
    </row>
    <row r="1050" ht="19" customHeight="1" spans="1:14" x14ac:dyDescent="0.25">
      <c r="A1050" s="19" t="s">
        <v>1164</v>
      </c>
      <c r="B1050" s="33">
        <v>46279.74930555555</v>
      </c>
      <c r="C1050" s="33">
        <v>46282.13680555555</v>
      </c>
      <c r="D1050" s="19" t="s">
        <v>33</v>
      </c>
      <c r="E1050" s="19" t="s">
        <v>65</v>
      </c>
      <c r="F1050" s="19" t="s">
        <v>40</v>
      </c>
      <c r="G1050" s="19" t="s">
        <v>110</v>
      </c>
      <c r="H1050" s="19" t="s">
        <v>59</v>
      </c>
      <c r="I1050" s="19" t="s">
        <v>111</v>
      </c>
      <c r="J1050" s="20">
        <v>48</v>
      </c>
      <c r="K1050" s="34">
        <v>0</v>
      </c>
      <c r="L1050" s="34">
        <v>5</v>
      </c>
      <c r="M1050" s="19">
        <f>IF(OR(ISBLANK(C1050),C1050=""),"",ROUND((C1050-B1050)*24,2))</f>
        <v>57.3</v>
      </c>
      <c r="N1050" s="39" t="str">
        <f>IF(OR(ISBLANK(C1050),C1050="",M1050=""),"In Progress",IF(M1050&lt;=J1050,"Met","Breached"))</f>
        <v>Breached</v>
      </c>
    </row>
    <row r="1051" ht="19" customHeight="1" spans="1:14" x14ac:dyDescent="0.25">
      <c r="A1051" s="22" t="s">
        <v>1165</v>
      </c>
      <c r="B1051" s="36">
        <v>45761.07638888889</v>
      </c>
      <c r="C1051" s="36">
        <v>45763.5625</v>
      </c>
      <c r="D1051" s="22" t="s">
        <v>36</v>
      </c>
      <c r="E1051" s="22" t="s">
        <v>65</v>
      </c>
      <c r="F1051" s="22" t="s">
        <v>43</v>
      </c>
      <c r="G1051" s="22" t="s">
        <v>110</v>
      </c>
      <c r="H1051" s="22" t="s">
        <v>59</v>
      </c>
      <c r="I1051" s="22" t="s">
        <v>123</v>
      </c>
      <c r="J1051" s="23">
        <v>48</v>
      </c>
      <c r="K1051" s="37">
        <v>0</v>
      </c>
      <c r="L1051" s="37">
        <v>2</v>
      </c>
      <c r="M1051" s="22">
        <f>IF(OR(ISBLANK(C1051),C1051=""),"",ROUND((C1051-B1051)*24,2))</f>
        <v>59.67</v>
      </c>
      <c r="N1051" s="38" t="str">
        <f>IF(OR(ISBLANK(C1051),C1051="",M1051=""),"In Progress",IF(M1051&lt;=J1051,"Met","Breached"))</f>
        <v>Breached</v>
      </c>
    </row>
    <row r="1052" ht="19" customHeight="1" spans="1:14" x14ac:dyDescent="0.25">
      <c r="A1052" s="19" t="s">
        <v>1166</v>
      </c>
      <c r="B1052" s="33">
        <v>46057.33194444445</v>
      </c>
      <c r="C1052" s="33">
        <v>46063.86597222222</v>
      </c>
      <c r="D1052" s="19" t="s">
        <v>33</v>
      </c>
      <c r="E1052" s="19" t="s">
        <v>69</v>
      </c>
      <c r="F1052" s="19" t="s">
        <v>34</v>
      </c>
      <c r="G1052" s="19" t="s">
        <v>113</v>
      </c>
      <c r="H1052" s="19" t="s">
        <v>71</v>
      </c>
      <c r="I1052" s="19" t="s">
        <v>117</v>
      </c>
      <c r="J1052" s="20">
        <v>120</v>
      </c>
      <c r="K1052" s="34">
        <v>1</v>
      </c>
      <c r="L1052" s="34">
        <v>3</v>
      </c>
      <c r="M1052" s="19">
        <f>IF(OR(ISBLANK(C1052),C1052=""),"",ROUND((C1052-B1052)*24,2))</f>
        <v>156.82</v>
      </c>
      <c r="N1052" s="39" t="str">
        <f>IF(OR(ISBLANK(C1052),C1052="",M1052=""),"In Progress",IF(M1052&lt;=J1052,"Met","Breached"))</f>
        <v>Breached</v>
      </c>
    </row>
    <row r="1053" ht="19" customHeight="1" spans="1:14" x14ac:dyDescent="0.25">
      <c r="A1053" s="22" t="s">
        <v>1167</v>
      </c>
      <c r="B1053" s="36">
        <v>45886.06180555555</v>
      </c>
      <c r="C1053" s="36">
        <v>45886.40763888889</v>
      </c>
      <c r="D1053" s="22" t="s">
        <v>33</v>
      </c>
      <c r="E1053" s="22" t="s">
        <v>61</v>
      </c>
      <c r="F1053" s="22" t="s">
        <v>37</v>
      </c>
      <c r="G1053" s="22" t="s">
        <v>63</v>
      </c>
      <c r="H1053" s="22" t="s">
        <v>59</v>
      </c>
      <c r="I1053" s="22" t="s">
        <v>117</v>
      </c>
      <c r="J1053" s="23">
        <v>12</v>
      </c>
      <c r="K1053" s="37">
        <v>0</v>
      </c>
      <c r="L1053" s="37">
        <v>4</v>
      </c>
      <c r="M1053" s="22">
        <f>IF(OR(ISBLANK(C1053),C1053=""),"",ROUND((C1053-B1053)*24,2))</f>
        <v>8.3</v>
      </c>
      <c r="N1053" s="40" t="str">
        <f>IF(OR(ISBLANK(C1053),C1053="",M1053=""),"In Progress",IF(M1053&lt;=J1053,"Met","Breached"))</f>
        <v>Met</v>
      </c>
    </row>
    <row r="1054" ht="19" customHeight="1" spans="1:14" x14ac:dyDescent="0.25">
      <c r="A1054" s="19" t="s">
        <v>1168</v>
      </c>
      <c r="B1054" s="33">
        <v>46233.7625</v>
      </c>
      <c r="C1054" s="33">
        <v>46241.21736111111</v>
      </c>
      <c r="D1054" s="19" t="s">
        <v>33</v>
      </c>
      <c r="E1054" s="19" t="s">
        <v>69</v>
      </c>
      <c r="F1054" s="19" t="s">
        <v>45</v>
      </c>
      <c r="G1054" s="19" t="s">
        <v>121</v>
      </c>
      <c r="H1054" s="19" t="s">
        <v>59</v>
      </c>
      <c r="I1054" s="19" t="s">
        <v>111</v>
      </c>
      <c r="J1054" s="20">
        <v>120</v>
      </c>
      <c r="K1054" s="34">
        <v>0</v>
      </c>
      <c r="L1054" s="34">
        <v>2</v>
      </c>
      <c r="M1054" s="19">
        <f>IF(OR(ISBLANK(C1054),C1054=""),"",ROUND((C1054-B1054)*24,2))</f>
        <v>178.92</v>
      </c>
      <c r="N1054" s="39" t="str">
        <f>IF(OR(ISBLANK(C1054),C1054="",M1054=""),"In Progress",IF(M1054&lt;=J1054,"Met","Breached"))</f>
        <v>Breached</v>
      </c>
    </row>
    <row r="1055" ht="19" customHeight="1" spans="1:14" x14ac:dyDescent="0.25">
      <c r="A1055" s="22" t="s">
        <v>1169</v>
      </c>
      <c r="B1055" s="36">
        <v>45843.52083333333</v>
      </c>
      <c r="C1055" s="36">
        <v>45844.33472222222</v>
      </c>
      <c r="D1055" s="22" t="s">
        <v>33</v>
      </c>
      <c r="E1055" s="22" t="s">
        <v>61</v>
      </c>
      <c r="F1055" s="22" t="s">
        <v>34</v>
      </c>
      <c r="G1055" s="22" t="s">
        <v>116</v>
      </c>
      <c r="H1055" s="22" t="s">
        <v>59</v>
      </c>
      <c r="I1055" s="22" t="s">
        <v>117</v>
      </c>
      <c r="J1055" s="23">
        <v>12</v>
      </c>
      <c r="K1055" s="37">
        <v>0</v>
      </c>
      <c r="L1055" s="37">
        <v>5</v>
      </c>
      <c r="M1055" s="22">
        <f>IF(OR(ISBLANK(C1055),C1055=""),"",ROUND((C1055-B1055)*24,2))</f>
        <v>19.53</v>
      </c>
      <c r="N1055" s="38" t="str">
        <f>IF(OR(ISBLANK(C1055),C1055="",M1055=""),"In Progress",IF(M1055&lt;=J1055,"Met","Breached"))</f>
        <v>Breached</v>
      </c>
    </row>
    <row r="1056" ht="19" customHeight="1" spans="1:14" x14ac:dyDescent="0.25">
      <c r="A1056" s="19" t="s">
        <v>1170</v>
      </c>
      <c r="B1056" s="33">
        <v>46208.82083333333</v>
      </c>
      <c r="C1056" s="33">
        <v>46211.288194444445</v>
      </c>
      <c r="D1056" s="19" t="s">
        <v>33</v>
      </c>
      <c r="E1056" s="19" t="s">
        <v>69</v>
      </c>
      <c r="F1056" s="19" t="s">
        <v>37</v>
      </c>
      <c r="G1056" s="19" t="s">
        <v>121</v>
      </c>
      <c r="H1056" s="19" t="s">
        <v>59</v>
      </c>
      <c r="I1056" s="19" t="s">
        <v>111</v>
      </c>
      <c r="J1056" s="20">
        <v>120</v>
      </c>
      <c r="K1056" s="34">
        <v>0</v>
      </c>
      <c r="L1056" s="34">
        <v>2</v>
      </c>
      <c r="M1056" s="19">
        <f>IF(OR(ISBLANK(C1056),C1056=""),"",ROUND((C1056-B1056)*24,2))</f>
        <v>59.22</v>
      </c>
      <c r="N1056" s="35" t="str">
        <f>IF(OR(ISBLANK(C1056),C1056="",M1056=""),"In Progress",IF(M1056&lt;=J1056,"Met","Breached"))</f>
        <v>Met</v>
      </c>
    </row>
    <row r="1057" ht="19" customHeight="1" spans="1:14" x14ac:dyDescent="0.25">
      <c r="A1057" s="22" t="s">
        <v>1171</v>
      </c>
      <c r="B1057" s="36">
        <v>45740.89166666666</v>
      </c>
      <c r="C1057" s="36">
        <v>45748.459027777775</v>
      </c>
      <c r="D1057" s="22" t="s">
        <v>33</v>
      </c>
      <c r="E1057" s="22" t="s">
        <v>69</v>
      </c>
      <c r="F1057" s="22" t="s">
        <v>43</v>
      </c>
      <c r="G1057" s="22" t="s">
        <v>113</v>
      </c>
      <c r="H1057" s="22" t="s">
        <v>67</v>
      </c>
      <c r="I1057" s="22" t="s">
        <v>147</v>
      </c>
      <c r="J1057" s="23">
        <v>120</v>
      </c>
      <c r="K1057" s="37">
        <v>0</v>
      </c>
      <c r="M1057" s="22">
        <f>IF(OR(ISBLANK(C1057),C1057=""),"",ROUND((C1057-B1057)*24,2))</f>
        <v>181.62</v>
      </c>
      <c r="N1057" s="38" t="str">
        <f>IF(OR(ISBLANK(C1057),C1057="",M1057=""),"In Progress",IF(M1057&lt;=J1057,"Met","Breached"))</f>
        <v>Breached</v>
      </c>
    </row>
    <row r="1058" ht="19" customHeight="1" spans="1:14" x14ac:dyDescent="0.25">
      <c r="A1058" s="19" t="s">
        <v>1172</v>
      </c>
      <c r="B1058" s="33">
        <v>46000.07916666666</v>
      </c>
      <c r="C1058" s="33">
        <v>46001.70625</v>
      </c>
      <c r="D1058" s="19" t="s">
        <v>33</v>
      </c>
      <c r="E1058" s="19" t="s">
        <v>65</v>
      </c>
      <c r="F1058" s="19" t="s">
        <v>43</v>
      </c>
      <c r="G1058" s="19" t="s">
        <v>63</v>
      </c>
      <c r="H1058" s="19" t="s">
        <v>71</v>
      </c>
      <c r="I1058" s="19" t="s">
        <v>117</v>
      </c>
      <c r="J1058" s="20">
        <v>48</v>
      </c>
      <c r="K1058" s="34">
        <v>0</v>
      </c>
      <c r="L1058" s="34">
        <v>3</v>
      </c>
      <c r="M1058" s="19">
        <f>IF(OR(ISBLANK(C1058),C1058=""),"",ROUND((C1058-B1058)*24,2))</f>
        <v>39.05</v>
      </c>
      <c r="N1058" s="35" t="str">
        <f>IF(OR(ISBLANK(C1058),C1058="",M1058=""),"In Progress",IF(M1058&lt;=J1058,"Met","Breached"))</f>
        <v>Met</v>
      </c>
    </row>
    <row r="1059" ht="19" customHeight="1" spans="1:14" x14ac:dyDescent="0.25">
      <c r="A1059" s="22" t="s">
        <v>1173</v>
      </c>
      <c r="B1059" s="36">
        <v>46247.584027777775</v>
      </c>
      <c r="C1059" s="36">
        <v>46251.080555555556</v>
      </c>
      <c r="D1059" s="22" t="s">
        <v>33</v>
      </c>
      <c r="E1059" s="22" t="s">
        <v>69</v>
      </c>
      <c r="F1059" s="22" t="s">
        <v>43</v>
      </c>
      <c r="G1059" s="22" t="s">
        <v>63</v>
      </c>
      <c r="H1059" s="22" t="s">
        <v>63</v>
      </c>
      <c r="I1059" s="22" t="s">
        <v>147</v>
      </c>
      <c r="J1059" s="23">
        <v>120</v>
      </c>
      <c r="K1059" s="37">
        <v>0</v>
      </c>
      <c r="L1059" s="37">
        <v>1</v>
      </c>
      <c r="M1059" s="22">
        <f>IF(OR(ISBLANK(C1059),C1059=""),"",ROUND((C1059-B1059)*24,2))</f>
        <v>83.92</v>
      </c>
      <c r="N1059" s="40" t="str">
        <f>IF(OR(ISBLANK(C1059),C1059="",M1059=""),"In Progress",IF(M1059&lt;=J1059,"Met","Breached"))</f>
        <v>Met</v>
      </c>
    </row>
    <row r="1060" ht="19" customHeight="1" spans="1:14" x14ac:dyDescent="0.25">
      <c r="A1060" s="19" t="s">
        <v>1174</v>
      </c>
      <c r="B1060" s="33">
        <v>46255.80069444445</v>
      </c>
      <c r="C1060" s="33">
        <v>46257.54236111111</v>
      </c>
      <c r="D1060" s="19" t="s">
        <v>33</v>
      </c>
      <c r="E1060" s="19" t="s">
        <v>65</v>
      </c>
      <c r="F1060" s="19" t="s">
        <v>45</v>
      </c>
      <c r="G1060" s="19" t="s">
        <v>126</v>
      </c>
      <c r="H1060" s="19" t="s">
        <v>67</v>
      </c>
      <c r="I1060" s="19" t="s">
        <v>123</v>
      </c>
      <c r="J1060" s="20">
        <v>48</v>
      </c>
      <c r="K1060" s="34">
        <v>0</v>
      </c>
      <c r="L1060" s="34">
        <v>1</v>
      </c>
      <c r="M1060" s="19">
        <f>IF(OR(ISBLANK(C1060),C1060=""),"",ROUND((C1060-B1060)*24,2))</f>
        <v>41.8</v>
      </c>
      <c r="N1060" s="35" t="str">
        <f>IF(OR(ISBLANK(C1060),C1060="",M1060=""),"In Progress",IF(M1060&lt;=J1060,"Met","Breached"))</f>
        <v>Met</v>
      </c>
    </row>
    <row r="1061" ht="19" customHeight="1" spans="1:14" x14ac:dyDescent="0.25">
      <c r="A1061" s="22" t="s">
        <v>1175</v>
      </c>
      <c r="B1061" s="36">
        <v>45859.910416666666</v>
      </c>
      <c r="C1061" s="36">
        <v>45860.57291666667</v>
      </c>
      <c r="D1061" s="22" t="s">
        <v>33</v>
      </c>
      <c r="E1061" s="22" t="s">
        <v>61</v>
      </c>
      <c r="F1061" s="22" t="s">
        <v>45</v>
      </c>
      <c r="G1061" s="22" t="s">
        <v>63</v>
      </c>
      <c r="H1061" s="22" t="s">
        <v>63</v>
      </c>
      <c r="I1061" s="22" t="s">
        <v>147</v>
      </c>
      <c r="J1061" s="23">
        <v>12</v>
      </c>
      <c r="K1061" s="37">
        <v>1</v>
      </c>
      <c r="M1061" s="22">
        <f>IF(OR(ISBLANK(C1061),C1061=""),"",ROUND((C1061-B1061)*24,2))</f>
        <v>15.9</v>
      </c>
      <c r="N1061" s="38" t="str">
        <f>IF(OR(ISBLANK(C1061),C1061="",M1061=""),"In Progress",IF(M1061&lt;=J1061,"Met","Breached"))</f>
        <v>Breached</v>
      </c>
    </row>
    <row r="1062" ht="19" customHeight="1" spans="1:14" x14ac:dyDescent="0.25">
      <c r="A1062" s="19" t="s">
        <v>1176</v>
      </c>
      <c r="B1062" s="33">
        <v>45782.07986111111</v>
      </c>
      <c r="D1062" s="19" t="s">
        <v>42</v>
      </c>
      <c r="E1062" s="19" t="s">
        <v>61</v>
      </c>
      <c r="F1062" s="19" t="s">
        <v>40</v>
      </c>
      <c r="G1062" s="19" t="s">
        <v>126</v>
      </c>
      <c r="H1062" s="19" t="s">
        <v>71</v>
      </c>
      <c r="I1062" s="19" t="s">
        <v>111</v>
      </c>
      <c r="J1062" s="20">
        <v>12</v>
      </c>
      <c r="K1062" s="34">
        <v>0</v>
      </c>
      <c r="M1062" s="19" t="str">
        <f>IF(OR(ISBLANK(C1062),C1062=""),"",ROUND((C1062-B1062)*24,2))</f>
        <v/>
      </c>
      <c r="N1062" s="19" t="str">
        <f>IF(OR(ISBLANK(C1062),C1062="",M1062=""),"In Progress",IF(M1062&lt;=J1062,"Met","Breached"))</f>
        <v>In Progress</v>
      </c>
    </row>
    <row r="1063" ht="19" customHeight="1" spans="1:14" x14ac:dyDescent="0.25">
      <c r="A1063" s="22" t="s">
        <v>1177</v>
      </c>
      <c r="B1063" s="36">
        <v>45996.052777777775</v>
      </c>
      <c r="C1063" s="36">
        <v>45999.419444444444</v>
      </c>
      <c r="D1063" s="22" t="s">
        <v>36</v>
      </c>
      <c r="E1063" s="22" t="s">
        <v>69</v>
      </c>
      <c r="F1063" s="22" t="s">
        <v>34</v>
      </c>
      <c r="G1063" s="22" t="s">
        <v>121</v>
      </c>
      <c r="H1063" s="22" t="s">
        <v>71</v>
      </c>
      <c r="I1063" s="22" t="s">
        <v>114</v>
      </c>
      <c r="J1063" s="23">
        <v>120</v>
      </c>
      <c r="K1063" s="37">
        <v>0</v>
      </c>
      <c r="L1063" s="37">
        <v>5</v>
      </c>
      <c r="M1063" s="22">
        <f>IF(OR(ISBLANK(C1063),C1063=""),"",ROUND((C1063-B1063)*24,2))</f>
        <v>80.8</v>
      </c>
      <c r="N1063" s="40" t="str">
        <f>IF(OR(ISBLANK(C1063),C1063="",M1063=""),"In Progress",IF(M1063&lt;=J1063,"Met","Breached"))</f>
        <v>Met</v>
      </c>
    </row>
    <row r="1064" ht="19" customHeight="1" spans="1:14" x14ac:dyDescent="0.25">
      <c r="A1064" s="19" t="s">
        <v>1178</v>
      </c>
      <c r="B1064" s="33">
        <v>46183.052777777775</v>
      </c>
      <c r="D1064" s="19" t="s">
        <v>42</v>
      </c>
      <c r="E1064" s="19" t="s">
        <v>57</v>
      </c>
      <c r="F1064" s="19" t="s">
        <v>40</v>
      </c>
      <c r="G1064" s="19" t="s">
        <v>121</v>
      </c>
      <c r="H1064" s="19" t="s">
        <v>71</v>
      </c>
      <c r="I1064" s="19" t="s">
        <v>108</v>
      </c>
      <c r="J1064" s="20">
        <v>4</v>
      </c>
      <c r="K1064" s="34">
        <v>0</v>
      </c>
      <c r="M1064" s="19" t="str">
        <f>IF(OR(ISBLANK(C1064),C1064=""),"",ROUND((C1064-B1064)*24,2))</f>
        <v/>
      </c>
      <c r="N1064" s="19" t="str">
        <f>IF(OR(ISBLANK(C1064),C1064="",M1064=""),"In Progress",IF(M1064&lt;=J1064,"Met","Breached"))</f>
        <v>In Progress</v>
      </c>
    </row>
    <row r="1065" ht="19" customHeight="1" spans="1:14" x14ac:dyDescent="0.25">
      <c r="A1065" s="22" t="s">
        <v>1179</v>
      </c>
      <c r="B1065" s="36">
        <v>45796.40555555555</v>
      </c>
      <c r="C1065" s="36">
        <v>45805.225</v>
      </c>
      <c r="D1065" s="22" t="s">
        <v>33</v>
      </c>
      <c r="E1065" s="22" t="s">
        <v>69</v>
      </c>
      <c r="F1065" s="22" t="s">
        <v>40</v>
      </c>
      <c r="G1065" s="22" t="s">
        <v>63</v>
      </c>
      <c r="H1065" s="22" t="s">
        <v>59</v>
      </c>
      <c r="I1065" s="22" t="s">
        <v>123</v>
      </c>
      <c r="J1065" s="23">
        <v>120</v>
      </c>
      <c r="K1065" s="37">
        <v>0</v>
      </c>
      <c r="L1065" s="37">
        <v>4</v>
      </c>
      <c r="M1065" s="22">
        <f>IF(OR(ISBLANK(C1065),C1065=""),"",ROUND((C1065-B1065)*24,2))</f>
        <v>211.67</v>
      </c>
      <c r="N1065" s="38" t="str">
        <f>IF(OR(ISBLANK(C1065),C1065="",M1065=""),"In Progress",IF(M1065&lt;=J1065,"Met","Breached"))</f>
        <v>Breached</v>
      </c>
    </row>
    <row r="1066" ht="19" customHeight="1" spans="1:14" x14ac:dyDescent="0.25">
      <c r="A1066" s="19" t="s">
        <v>1180</v>
      </c>
      <c r="B1066" s="33">
        <v>46034.06805555556</v>
      </c>
      <c r="C1066" s="33">
        <v>46037.32430555555</v>
      </c>
      <c r="D1066" s="19" t="s">
        <v>36</v>
      </c>
      <c r="E1066" s="19" t="s">
        <v>65</v>
      </c>
      <c r="F1066" s="19" t="s">
        <v>37</v>
      </c>
      <c r="G1066" s="19" t="s">
        <v>110</v>
      </c>
      <c r="H1066" s="19" t="s">
        <v>63</v>
      </c>
      <c r="I1066" s="19" t="s">
        <v>147</v>
      </c>
      <c r="J1066" s="20">
        <v>48</v>
      </c>
      <c r="K1066" s="34">
        <v>1</v>
      </c>
      <c r="L1066" s="34">
        <v>2</v>
      </c>
      <c r="M1066" s="19">
        <f>IF(OR(ISBLANK(C1066),C1066=""),"",ROUND((C1066-B1066)*24,2))</f>
        <v>78.15</v>
      </c>
      <c r="N1066" s="39" t="str">
        <f>IF(OR(ISBLANK(C1066),C1066="",M1066=""),"In Progress",IF(M1066&lt;=J1066,"Met","Breached"))</f>
        <v>Breached</v>
      </c>
    </row>
    <row r="1067" ht="19" customHeight="1" spans="1:14" x14ac:dyDescent="0.25">
      <c r="A1067" s="22" t="s">
        <v>1181</v>
      </c>
      <c r="B1067" s="36">
        <v>46006.995833333334</v>
      </c>
      <c r="C1067" s="36">
        <v>46008.84861111111</v>
      </c>
      <c r="D1067" s="22" t="s">
        <v>33</v>
      </c>
      <c r="E1067" s="22" t="s">
        <v>65</v>
      </c>
      <c r="F1067" s="22" t="s">
        <v>37</v>
      </c>
      <c r="G1067" s="22" t="s">
        <v>121</v>
      </c>
      <c r="H1067" s="22" t="s">
        <v>59</v>
      </c>
      <c r="I1067" s="22" t="s">
        <v>111</v>
      </c>
      <c r="J1067" s="23">
        <v>48</v>
      </c>
      <c r="K1067" s="37">
        <v>0</v>
      </c>
      <c r="M1067" s="22">
        <f>IF(OR(ISBLANK(C1067),C1067=""),"",ROUND((C1067-B1067)*24,2))</f>
        <v>44.47</v>
      </c>
      <c r="N1067" s="40" t="str">
        <f>IF(OR(ISBLANK(C1067),C1067="",M1067=""),"In Progress",IF(M1067&lt;=J1067,"Met","Breached"))</f>
        <v>Met</v>
      </c>
    </row>
    <row r="1068" ht="19" customHeight="1" spans="1:14" x14ac:dyDescent="0.25">
      <c r="A1068" s="19" t="s">
        <v>1182</v>
      </c>
      <c r="B1068" s="33">
        <v>45907.73472222222</v>
      </c>
      <c r="C1068" s="33">
        <v>45908.4</v>
      </c>
      <c r="D1068" s="19" t="s">
        <v>33</v>
      </c>
      <c r="E1068" s="19" t="s">
        <v>65</v>
      </c>
      <c r="F1068" s="19" t="s">
        <v>45</v>
      </c>
      <c r="G1068" s="19" t="s">
        <v>110</v>
      </c>
      <c r="H1068" s="19" t="s">
        <v>63</v>
      </c>
      <c r="I1068" s="19" t="s">
        <v>114</v>
      </c>
      <c r="J1068" s="20">
        <v>48</v>
      </c>
      <c r="K1068" s="34">
        <v>0</v>
      </c>
      <c r="L1068" s="34">
        <v>3</v>
      </c>
      <c r="M1068" s="19">
        <f>IF(OR(ISBLANK(C1068),C1068=""),"",ROUND((C1068-B1068)*24,2))</f>
        <v>15.97</v>
      </c>
      <c r="N1068" s="35" t="str">
        <f>IF(OR(ISBLANK(C1068),C1068="",M1068=""),"In Progress",IF(M1068&lt;=J1068,"Met","Breached"))</f>
        <v>Met</v>
      </c>
    </row>
    <row r="1069" ht="19" customHeight="1" spans="1:14" x14ac:dyDescent="0.25">
      <c r="A1069" s="22" t="s">
        <v>1183</v>
      </c>
      <c r="B1069" s="36">
        <v>46207.76527777778</v>
      </c>
      <c r="C1069" s="36">
        <v>46214.57361111111</v>
      </c>
      <c r="D1069" s="22" t="s">
        <v>33</v>
      </c>
      <c r="E1069" s="22" t="s">
        <v>69</v>
      </c>
      <c r="F1069" s="22" t="s">
        <v>37</v>
      </c>
      <c r="G1069" s="22" t="s">
        <v>63</v>
      </c>
      <c r="H1069" s="22" t="s">
        <v>59</v>
      </c>
      <c r="I1069" s="22" t="s">
        <v>123</v>
      </c>
      <c r="J1069" s="23">
        <v>120</v>
      </c>
      <c r="K1069" s="37">
        <v>0</v>
      </c>
      <c r="L1069" s="37">
        <v>1</v>
      </c>
      <c r="M1069" s="22">
        <f>IF(OR(ISBLANK(C1069),C1069=""),"",ROUND((C1069-B1069)*24,2))</f>
        <v>163.4</v>
      </c>
      <c r="N1069" s="38" t="str">
        <f>IF(OR(ISBLANK(C1069),C1069="",M1069=""),"In Progress",IF(M1069&lt;=J1069,"Met","Breached"))</f>
        <v>Breached</v>
      </c>
    </row>
    <row r="1070" ht="19" customHeight="1" spans="1:14" x14ac:dyDescent="0.25">
      <c r="A1070" s="19" t="s">
        <v>1184</v>
      </c>
      <c r="B1070" s="33">
        <v>45888.919444444444</v>
      </c>
      <c r="C1070" s="33">
        <v>45889.10972222222</v>
      </c>
      <c r="D1070" s="19" t="s">
        <v>33</v>
      </c>
      <c r="E1070" s="19" t="s">
        <v>57</v>
      </c>
      <c r="F1070" s="19" t="s">
        <v>34</v>
      </c>
      <c r="G1070" s="19" t="s">
        <v>110</v>
      </c>
      <c r="H1070" s="19" t="s">
        <v>59</v>
      </c>
      <c r="I1070" s="19" t="s">
        <v>123</v>
      </c>
      <c r="J1070" s="20">
        <v>4</v>
      </c>
      <c r="K1070" s="34">
        <v>0</v>
      </c>
      <c r="L1070" s="34">
        <v>3</v>
      </c>
      <c r="M1070" s="19">
        <f>IF(OR(ISBLANK(C1070),C1070=""),"",ROUND((C1070-B1070)*24,2))</f>
        <v>4.57</v>
      </c>
      <c r="N1070" s="39" t="str">
        <f>IF(OR(ISBLANK(C1070),C1070="",M1070=""),"In Progress",IF(M1070&lt;=J1070,"Met","Breached"))</f>
        <v>Breached</v>
      </c>
    </row>
    <row r="1071" ht="19" customHeight="1" spans="1:14" x14ac:dyDescent="0.25">
      <c r="A1071" s="22" t="s">
        <v>1185</v>
      </c>
      <c r="B1071" s="36">
        <v>45765.330555555556</v>
      </c>
      <c r="C1071" s="36">
        <v>45765.94583333333</v>
      </c>
      <c r="D1071" s="22" t="s">
        <v>33</v>
      </c>
      <c r="E1071" s="22" t="s">
        <v>65</v>
      </c>
      <c r="F1071" s="22" t="s">
        <v>43</v>
      </c>
      <c r="G1071" s="22" t="s">
        <v>126</v>
      </c>
      <c r="H1071" s="22" t="s">
        <v>59</v>
      </c>
      <c r="I1071" s="22" t="s">
        <v>108</v>
      </c>
      <c r="J1071" s="23">
        <v>48</v>
      </c>
      <c r="K1071" s="37">
        <v>0</v>
      </c>
      <c r="M1071" s="22">
        <f>IF(OR(ISBLANK(C1071),C1071=""),"",ROUND((C1071-B1071)*24,2))</f>
        <v>14.77</v>
      </c>
      <c r="N1071" s="40" t="str">
        <f>IF(OR(ISBLANK(C1071),C1071="",M1071=""),"In Progress",IF(M1071&lt;=J1071,"Met","Breached"))</f>
        <v>Met</v>
      </c>
    </row>
    <row r="1072" ht="19" customHeight="1" spans="1:14" x14ac:dyDescent="0.25">
      <c r="A1072" s="19" t="s">
        <v>1186</v>
      </c>
      <c r="B1072" s="33">
        <v>46158.570138888885</v>
      </c>
      <c r="D1072" s="19" t="s">
        <v>39</v>
      </c>
      <c r="E1072" s="19" t="s">
        <v>69</v>
      </c>
      <c r="F1072" s="19" t="s">
        <v>37</v>
      </c>
      <c r="G1072" s="19" t="s">
        <v>116</v>
      </c>
      <c r="H1072" s="19" t="s">
        <v>59</v>
      </c>
      <c r="I1072" s="19" t="s">
        <v>123</v>
      </c>
      <c r="J1072" s="20">
        <v>120</v>
      </c>
      <c r="K1072" s="34">
        <v>0</v>
      </c>
      <c r="M1072" s="19" t="str">
        <f>IF(OR(ISBLANK(C1072),C1072=""),"",ROUND((C1072-B1072)*24,2))</f>
        <v/>
      </c>
      <c r="N1072" s="19" t="str">
        <f>IF(OR(ISBLANK(C1072),C1072="",M1072=""),"In Progress",IF(M1072&lt;=J1072,"Met","Breached"))</f>
        <v>In Progress</v>
      </c>
    </row>
    <row r="1073" ht="19" customHeight="1" spans="1:14" x14ac:dyDescent="0.25">
      <c r="A1073" s="22" t="s">
        <v>1187</v>
      </c>
      <c r="B1073" s="36">
        <v>45975.68472222222</v>
      </c>
      <c r="C1073" s="36">
        <v>45978.23402777778</v>
      </c>
      <c r="D1073" s="22" t="s">
        <v>33</v>
      </c>
      <c r="E1073" s="22" t="s">
        <v>65</v>
      </c>
      <c r="F1073" s="22" t="s">
        <v>45</v>
      </c>
      <c r="G1073" s="22" t="s">
        <v>121</v>
      </c>
      <c r="H1073" s="22" t="s">
        <v>71</v>
      </c>
      <c r="I1073" s="22" t="s">
        <v>111</v>
      </c>
      <c r="J1073" s="23">
        <v>48</v>
      </c>
      <c r="K1073" s="37">
        <v>0</v>
      </c>
      <c r="L1073" s="37">
        <v>5</v>
      </c>
      <c r="M1073" s="22">
        <f>IF(OR(ISBLANK(C1073),C1073=""),"",ROUND((C1073-B1073)*24,2))</f>
        <v>61.18</v>
      </c>
      <c r="N1073" s="38" t="str">
        <f>IF(OR(ISBLANK(C1073),C1073="",M1073=""),"In Progress",IF(M1073&lt;=J1073,"Met","Breached"))</f>
        <v>Breached</v>
      </c>
    </row>
    <row r="1074" ht="19" customHeight="1" spans="1:14" x14ac:dyDescent="0.25">
      <c r="A1074" s="19" t="s">
        <v>1188</v>
      </c>
      <c r="B1074" s="33">
        <v>45763.48888888889</v>
      </c>
      <c r="C1074" s="33">
        <v>45765.95416666666</v>
      </c>
      <c r="D1074" s="19" t="s">
        <v>33</v>
      </c>
      <c r="E1074" s="19" t="s">
        <v>65</v>
      </c>
      <c r="F1074" s="19" t="s">
        <v>45</v>
      </c>
      <c r="G1074" s="19" t="s">
        <v>116</v>
      </c>
      <c r="H1074" s="19" t="s">
        <v>63</v>
      </c>
      <c r="I1074" s="19" t="s">
        <v>117</v>
      </c>
      <c r="J1074" s="20">
        <v>48</v>
      </c>
      <c r="K1074" s="34">
        <v>0</v>
      </c>
      <c r="L1074" s="34">
        <v>2</v>
      </c>
      <c r="M1074" s="19">
        <f>IF(OR(ISBLANK(C1074),C1074=""),"",ROUND((C1074-B1074)*24,2))</f>
        <v>59.17</v>
      </c>
      <c r="N1074" s="39" t="str">
        <f>IF(OR(ISBLANK(C1074),C1074="",M1074=""),"In Progress",IF(M1074&lt;=J1074,"Met","Breached"))</f>
        <v>Breached</v>
      </c>
    </row>
    <row r="1075" ht="19" customHeight="1" spans="1:14" x14ac:dyDescent="0.25">
      <c r="A1075" s="22" t="s">
        <v>1189</v>
      </c>
      <c r="B1075" s="36">
        <v>45927.98055555555</v>
      </c>
      <c r="C1075" s="36">
        <v>45928.75138888889</v>
      </c>
      <c r="D1075" s="22" t="s">
        <v>33</v>
      </c>
      <c r="E1075" s="22" t="s">
        <v>61</v>
      </c>
      <c r="F1075" s="22" t="s">
        <v>45</v>
      </c>
      <c r="G1075" s="22" t="s">
        <v>116</v>
      </c>
      <c r="H1075" s="22" t="s">
        <v>59</v>
      </c>
      <c r="I1075" s="22" t="s">
        <v>147</v>
      </c>
      <c r="J1075" s="23">
        <v>12</v>
      </c>
      <c r="K1075" s="37">
        <v>0</v>
      </c>
      <c r="L1075" s="37">
        <v>3</v>
      </c>
      <c r="M1075" s="22">
        <f>IF(OR(ISBLANK(C1075),C1075=""),"",ROUND((C1075-B1075)*24,2))</f>
        <v>18.5</v>
      </c>
      <c r="N1075" s="38" t="str">
        <f>IF(OR(ISBLANK(C1075),C1075="",M1075=""),"In Progress",IF(M1075&lt;=J1075,"Met","Breached"))</f>
        <v>Breached</v>
      </c>
    </row>
    <row r="1076" ht="19" customHeight="1" spans="1:14" x14ac:dyDescent="0.25">
      <c r="A1076" s="19" t="s">
        <v>1190</v>
      </c>
      <c r="B1076" s="33">
        <v>45687.67916666667</v>
      </c>
      <c r="C1076" s="33">
        <v>45690.384722222225</v>
      </c>
      <c r="D1076" s="19" t="s">
        <v>33</v>
      </c>
      <c r="E1076" s="19" t="s">
        <v>65</v>
      </c>
      <c r="F1076" s="19" t="s">
        <v>34</v>
      </c>
      <c r="G1076" s="19" t="s">
        <v>63</v>
      </c>
      <c r="H1076" s="19" t="s">
        <v>67</v>
      </c>
      <c r="I1076" s="19" t="s">
        <v>111</v>
      </c>
      <c r="J1076" s="20">
        <v>48</v>
      </c>
      <c r="K1076" s="34">
        <v>0</v>
      </c>
      <c r="L1076" s="34">
        <v>2</v>
      </c>
      <c r="M1076" s="19">
        <f>IF(OR(ISBLANK(C1076),C1076=""),"",ROUND((C1076-B1076)*24,2))</f>
        <v>64.93</v>
      </c>
      <c r="N1076" s="39" t="str">
        <f>IF(OR(ISBLANK(C1076),C1076="",M1076=""),"In Progress",IF(M1076&lt;=J1076,"Met","Breached"))</f>
        <v>Breached</v>
      </c>
    </row>
    <row r="1077" ht="19" customHeight="1" spans="1:14" x14ac:dyDescent="0.25">
      <c r="A1077" s="22" t="s">
        <v>1191</v>
      </c>
      <c r="B1077" s="36">
        <v>46233.95486111111</v>
      </c>
      <c r="C1077" s="36">
        <v>46234.60486111111</v>
      </c>
      <c r="D1077" s="22" t="s">
        <v>36</v>
      </c>
      <c r="E1077" s="22" t="s">
        <v>61</v>
      </c>
      <c r="F1077" s="22" t="s">
        <v>37</v>
      </c>
      <c r="G1077" s="22" t="s">
        <v>63</v>
      </c>
      <c r="H1077" s="22" t="s">
        <v>71</v>
      </c>
      <c r="I1077" s="22" t="s">
        <v>123</v>
      </c>
      <c r="J1077" s="23">
        <v>12</v>
      </c>
      <c r="K1077" s="37">
        <v>0</v>
      </c>
      <c r="L1077" s="37">
        <v>1</v>
      </c>
      <c r="M1077" s="22">
        <f>IF(OR(ISBLANK(C1077),C1077=""),"",ROUND((C1077-B1077)*24,2))</f>
        <v>15.6</v>
      </c>
      <c r="N1077" s="38" t="str">
        <f>IF(OR(ISBLANK(C1077),C1077="",M1077=""),"In Progress",IF(M1077&lt;=J1077,"Met","Breached"))</f>
        <v>Breached</v>
      </c>
    </row>
    <row r="1078" ht="19" customHeight="1" spans="1:14" x14ac:dyDescent="0.25">
      <c r="A1078" s="19" t="s">
        <v>1192</v>
      </c>
      <c r="B1078" s="33">
        <v>45770.41875</v>
      </c>
      <c r="D1078" s="19" t="s">
        <v>42</v>
      </c>
      <c r="E1078" s="19" t="s">
        <v>65</v>
      </c>
      <c r="F1078" s="19" t="s">
        <v>40</v>
      </c>
      <c r="G1078" s="19" t="s">
        <v>63</v>
      </c>
      <c r="H1078" s="19" t="s">
        <v>63</v>
      </c>
      <c r="I1078" s="19" t="s">
        <v>114</v>
      </c>
      <c r="J1078" s="20">
        <v>48</v>
      </c>
      <c r="K1078" s="34">
        <v>0</v>
      </c>
      <c r="M1078" s="19" t="str">
        <f>IF(OR(ISBLANK(C1078),C1078=""),"",ROUND((C1078-B1078)*24,2))</f>
        <v/>
      </c>
      <c r="N1078" s="19" t="str">
        <f>IF(OR(ISBLANK(C1078),C1078="",M1078=""),"In Progress",IF(M1078&lt;=J1078,"Met","Breached"))</f>
        <v>In Progress</v>
      </c>
    </row>
    <row r="1079" ht="19" customHeight="1" spans="1:14" x14ac:dyDescent="0.25">
      <c r="A1079" s="22" t="s">
        <v>1193</v>
      </c>
      <c r="B1079" s="36">
        <v>46120.51944444445</v>
      </c>
      <c r="D1079" s="22" t="s">
        <v>39</v>
      </c>
      <c r="E1079" s="22" t="s">
        <v>61</v>
      </c>
      <c r="F1079" s="22" t="s">
        <v>40</v>
      </c>
      <c r="G1079" s="22" t="s">
        <v>110</v>
      </c>
      <c r="H1079" s="22" t="s">
        <v>59</v>
      </c>
      <c r="I1079" s="22" t="s">
        <v>117</v>
      </c>
      <c r="J1079" s="23">
        <v>12</v>
      </c>
      <c r="K1079" s="37">
        <v>0</v>
      </c>
      <c r="M1079" s="22" t="str">
        <f>IF(OR(ISBLANK(C1079),C1079=""),"",ROUND((C1079-B1079)*24,2))</f>
        <v/>
      </c>
      <c r="N1079" s="22" t="str">
        <f>IF(OR(ISBLANK(C1079),C1079="",M1079=""),"In Progress",IF(M1079&lt;=J1079,"Met","Breached"))</f>
        <v>In Progress</v>
      </c>
    </row>
    <row r="1080" ht="19" customHeight="1" spans="1:14" x14ac:dyDescent="0.25">
      <c r="A1080" s="19" t="s">
        <v>1194</v>
      </c>
      <c r="B1080" s="33">
        <v>46149.58541666667</v>
      </c>
      <c r="C1080" s="33">
        <v>46149.867361111115</v>
      </c>
      <c r="D1080" s="19" t="s">
        <v>33</v>
      </c>
      <c r="E1080" s="19" t="s">
        <v>57</v>
      </c>
      <c r="F1080" s="19" t="s">
        <v>43</v>
      </c>
      <c r="G1080" s="19" t="s">
        <v>116</v>
      </c>
      <c r="H1080" s="19" t="s">
        <v>59</v>
      </c>
      <c r="I1080" s="19" t="s">
        <v>114</v>
      </c>
      <c r="J1080" s="20">
        <v>4</v>
      </c>
      <c r="K1080" s="34">
        <v>0</v>
      </c>
      <c r="L1080" s="34">
        <v>4</v>
      </c>
      <c r="M1080" s="19">
        <f>IF(OR(ISBLANK(C1080),C1080=""),"",ROUND((C1080-B1080)*24,2))</f>
        <v>6.77</v>
      </c>
      <c r="N1080" s="39" t="str">
        <f>IF(OR(ISBLANK(C1080),C1080="",M1080=""),"In Progress",IF(M1080&lt;=J1080,"Met","Breached"))</f>
        <v>Breached</v>
      </c>
    </row>
    <row r="1081" ht="19" customHeight="1" spans="1:14" x14ac:dyDescent="0.25">
      <c r="A1081" s="22" t="s">
        <v>1195</v>
      </c>
      <c r="B1081" s="36">
        <v>46049.851388888885</v>
      </c>
      <c r="C1081" s="36">
        <v>46052.29513888889</v>
      </c>
      <c r="D1081" s="22" t="s">
        <v>33</v>
      </c>
      <c r="E1081" s="22" t="s">
        <v>65</v>
      </c>
      <c r="F1081" s="22" t="s">
        <v>37</v>
      </c>
      <c r="G1081" s="22" t="s">
        <v>110</v>
      </c>
      <c r="H1081" s="22" t="s">
        <v>63</v>
      </c>
      <c r="I1081" s="22" t="s">
        <v>114</v>
      </c>
      <c r="J1081" s="23">
        <v>48</v>
      </c>
      <c r="K1081" s="37">
        <v>0</v>
      </c>
      <c r="M1081" s="22">
        <f>IF(OR(ISBLANK(C1081),C1081=""),"",ROUND((C1081-B1081)*24,2))</f>
        <v>58.65</v>
      </c>
      <c r="N1081" s="38" t="str">
        <f>IF(OR(ISBLANK(C1081),C1081="",M1081=""),"In Progress",IF(M1081&lt;=J1081,"Met","Breached"))</f>
        <v>Breached</v>
      </c>
    </row>
    <row r="1082" ht="19" customHeight="1" spans="1:14" x14ac:dyDescent="0.25">
      <c r="A1082" s="19" t="s">
        <v>1196</v>
      </c>
      <c r="B1082" s="33">
        <v>46040.554861111115</v>
      </c>
      <c r="C1082" s="33">
        <v>46041.268055555556</v>
      </c>
      <c r="D1082" s="19" t="s">
        <v>33</v>
      </c>
      <c r="E1082" s="19" t="s">
        <v>65</v>
      </c>
      <c r="F1082" s="19" t="s">
        <v>37</v>
      </c>
      <c r="G1082" s="19" t="s">
        <v>113</v>
      </c>
      <c r="H1082" s="19" t="s">
        <v>59</v>
      </c>
      <c r="I1082" s="19" t="s">
        <v>123</v>
      </c>
      <c r="J1082" s="20">
        <v>48</v>
      </c>
      <c r="K1082" s="34">
        <v>0</v>
      </c>
      <c r="M1082" s="19">
        <f>IF(OR(ISBLANK(C1082),C1082=""),"",ROUND((C1082-B1082)*24,2))</f>
        <v>17.12</v>
      </c>
      <c r="N1082" s="35" t="str">
        <f>IF(OR(ISBLANK(C1082),C1082="",M1082=""),"In Progress",IF(M1082&lt;=J1082,"Met","Breached"))</f>
        <v>Met</v>
      </c>
    </row>
    <row r="1083" ht="19" customHeight="1" spans="1:14" x14ac:dyDescent="0.25">
      <c r="A1083" s="22" t="s">
        <v>1197</v>
      </c>
      <c r="B1083" s="36">
        <v>46252.70347222222</v>
      </c>
      <c r="C1083" s="36">
        <v>46254.43263888889</v>
      </c>
      <c r="D1083" s="22" t="s">
        <v>33</v>
      </c>
      <c r="E1083" s="22" t="s">
        <v>65</v>
      </c>
      <c r="F1083" s="22" t="s">
        <v>34</v>
      </c>
      <c r="G1083" s="22" t="s">
        <v>126</v>
      </c>
      <c r="H1083" s="22" t="s">
        <v>59</v>
      </c>
      <c r="I1083" s="22" t="s">
        <v>111</v>
      </c>
      <c r="J1083" s="23">
        <v>48</v>
      </c>
      <c r="K1083" s="37">
        <v>0</v>
      </c>
      <c r="L1083" s="37">
        <v>1</v>
      </c>
      <c r="M1083" s="22">
        <f>IF(OR(ISBLANK(C1083),C1083=""),"",ROUND((C1083-B1083)*24,2))</f>
        <v>41.5</v>
      </c>
      <c r="N1083" s="40" t="str">
        <f>IF(OR(ISBLANK(C1083),C1083="",M1083=""),"In Progress",IF(M1083&lt;=J1083,"Met","Breached"))</f>
        <v>Met</v>
      </c>
    </row>
    <row r="1084" ht="19" customHeight="1" spans="1:14" x14ac:dyDescent="0.25">
      <c r="A1084" s="19" t="s">
        <v>1198</v>
      </c>
      <c r="B1084" s="33">
        <v>45836.84513888889</v>
      </c>
      <c r="C1084" s="33">
        <v>45837.42152777778</v>
      </c>
      <c r="D1084" s="19" t="s">
        <v>33</v>
      </c>
      <c r="E1084" s="19" t="s">
        <v>61</v>
      </c>
      <c r="F1084" s="19" t="s">
        <v>37</v>
      </c>
      <c r="G1084" s="19" t="s">
        <v>116</v>
      </c>
      <c r="H1084" s="19" t="s">
        <v>63</v>
      </c>
      <c r="I1084" s="19" t="s">
        <v>117</v>
      </c>
      <c r="J1084" s="20">
        <v>12</v>
      </c>
      <c r="K1084" s="34">
        <v>0</v>
      </c>
      <c r="L1084" s="34">
        <v>1</v>
      </c>
      <c r="M1084" s="19">
        <f>IF(OR(ISBLANK(C1084),C1084=""),"",ROUND((C1084-B1084)*24,2))</f>
        <v>13.83</v>
      </c>
      <c r="N1084" s="39" t="str">
        <f>IF(OR(ISBLANK(C1084),C1084="",M1084=""),"In Progress",IF(M1084&lt;=J1084,"Met","Breached"))</f>
        <v>Breached</v>
      </c>
    </row>
    <row r="1085" ht="19" customHeight="1" spans="1:14" x14ac:dyDescent="0.25">
      <c r="A1085" s="22" t="s">
        <v>1199</v>
      </c>
      <c r="B1085" s="36">
        <v>45675.09861111111</v>
      </c>
      <c r="D1085" s="22" t="s">
        <v>42</v>
      </c>
      <c r="E1085" s="22" t="s">
        <v>69</v>
      </c>
      <c r="F1085" s="22" t="s">
        <v>34</v>
      </c>
      <c r="G1085" s="22" t="s">
        <v>110</v>
      </c>
      <c r="H1085" s="22" t="s">
        <v>71</v>
      </c>
      <c r="I1085" s="22" t="s">
        <v>147</v>
      </c>
      <c r="J1085" s="23">
        <v>120</v>
      </c>
      <c r="K1085" s="37">
        <v>0</v>
      </c>
      <c r="M1085" s="22" t="str">
        <f>IF(OR(ISBLANK(C1085),C1085=""),"",ROUND((C1085-B1085)*24,2))</f>
        <v/>
      </c>
      <c r="N1085" s="22" t="str">
        <f>IF(OR(ISBLANK(C1085),C1085="",M1085=""),"In Progress",IF(M1085&lt;=J1085,"Met","Breached"))</f>
        <v>In Progress</v>
      </c>
    </row>
    <row r="1086" ht="19" customHeight="1" spans="1:14" x14ac:dyDescent="0.25">
      <c r="A1086" s="19" t="s">
        <v>1200</v>
      </c>
      <c r="B1086" s="33">
        <v>46153.972916666666</v>
      </c>
      <c r="D1086" s="19" t="s">
        <v>42</v>
      </c>
      <c r="E1086" s="19" t="s">
        <v>57</v>
      </c>
      <c r="F1086" s="19" t="s">
        <v>34</v>
      </c>
      <c r="G1086" s="19" t="s">
        <v>113</v>
      </c>
      <c r="H1086" s="19" t="s">
        <v>59</v>
      </c>
      <c r="I1086" s="19" t="s">
        <v>147</v>
      </c>
      <c r="J1086" s="20">
        <v>4</v>
      </c>
      <c r="K1086" s="34">
        <v>0</v>
      </c>
      <c r="M1086" s="19" t="str">
        <f>IF(OR(ISBLANK(C1086),C1086=""),"",ROUND((C1086-B1086)*24,2))</f>
        <v/>
      </c>
      <c r="N1086" s="19" t="str">
        <f>IF(OR(ISBLANK(C1086),C1086="",M1086=""),"In Progress",IF(M1086&lt;=J1086,"Met","Breached"))</f>
        <v>In Progress</v>
      </c>
    </row>
    <row r="1087" ht="19" customHeight="1" spans="1:14" x14ac:dyDescent="0.25">
      <c r="A1087" s="22" t="s">
        <v>1201</v>
      </c>
      <c r="B1087" s="36">
        <v>46030.31736111111</v>
      </c>
      <c r="D1087" s="22" t="s">
        <v>42</v>
      </c>
      <c r="E1087" s="22" t="s">
        <v>61</v>
      </c>
      <c r="F1087" s="22" t="s">
        <v>34</v>
      </c>
      <c r="G1087" s="22" t="s">
        <v>121</v>
      </c>
      <c r="H1087" s="22" t="s">
        <v>59</v>
      </c>
      <c r="I1087" s="22" t="s">
        <v>123</v>
      </c>
      <c r="J1087" s="23">
        <v>12</v>
      </c>
      <c r="K1087" s="37">
        <v>0</v>
      </c>
      <c r="M1087" s="22" t="str">
        <f>IF(OR(ISBLANK(C1087),C1087=""),"",ROUND((C1087-B1087)*24,2))</f>
        <v/>
      </c>
      <c r="N1087" s="22" t="str">
        <f>IF(OR(ISBLANK(C1087),C1087="",M1087=""),"In Progress",IF(M1087&lt;=J1087,"Met","Breached"))</f>
        <v>In Progress</v>
      </c>
    </row>
    <row r="1088" ht="19" customHeight="1" spans="1:14" x14ac:dyDescent="0.25">
      <c r="A1088" s="19" t="s">
        <v>1202</v>
      </c>
      <c r="B1088" s="33">
        <v>46020.70833333333</v>
      </c>
      <c r="C1088" s="33">
        <v>46025.80208333333</v>
      </c>
      <c r="D1088" s="19" t="s">
        <v>33</v>
      </c>
      <c r="E1088" s="19" t="s">
        <v>69</v>
      </c>
      <c r="F1088" s="19" t="s">
        <v>40</v>
      </c>
      <c r="G1088" s="19" t="s">
        <v>126</v>
      </c>
      <c r="H1088" s="19" t="s">
        <v>63</v>
      </c>
      <c r="I1088" s="19" t="s">
        <v>111</v>
      </c>
      <c r="J1088" s="20">
        <v>120</v>
      </c>
      <c r="K1088" s="34">
        <v>0</v>
      </c>
      <c r="L1088" s="34">
        <v>3</v>
      </c>
      <c r="M1088" s="19">
        <f>IF(OR(ISBLANK(C1088),C1088=""),"",ROUND((C1088-B1088)*24,2))</f>
        <v>122.25</v>
      </c>
      <c r="N1088" s="39" t="str">
        <f>IF(OR(ISBLANK(C1088),C1088="",M1088=""),"In Progress",IF(M1088&lt;=J1088,"Met","Breached"))</f>
        <v>Breached</v>
      </c>
    </row>
    <row r="1089" ht="19" customHeight="1" spans="1:14" x14ac:dyDescent="0.25">
      <c r="A1089" s="22" t="s">
        <v>1203</v>
      </c>
      <c r="B1089" s="36">
        <v>46238.06458333333</v>
      </c>
      <c r="C1089" s="36">
        <v>46239.231944444444</v>
      </c>
      <c r="D1089" s="22" t="s">
        <v>33</v>
      </c>
      <c r="E1089" s="22" t="s">
        <v>65</v>
      </c>
      <c r="F1089" s="22" t="s">
        <v>34</v>
      </c>
      <c r="G1089" s="22" t="s">
        <v>121</v>
      </c>
      <c r="H1089" s="22" t="s">
        <v>59</v>
      </c>
      <c r="I1089" s="22" t="s">
        <v>111</v>
      </c>
      <c r="J1089" s="23">
        <v>48</v>
      </c>
      <c r="K1089" s="37">
        <v>0</v>
      </c>
      <c r="L1089" s="37">
        <v>4</v>
      </c>
      <c r="M1089" s="22">
        <f>IF(OR(ISBLANK(C1089),C1089=""),"",ROUND((C1089-B1089)*24,2))</f>
        <v>28.02</v>
      </c>
      <c r="N1089" s="40" t="str">
        <f>IF(OR(ISBLANK(C1089),C1089="",M1089=""),"In Progress",IF(M1089&lt;=J1089,"Met","Breached"))</f>
        <v>Met</v>
      </c>
    </row>
    <row r="1090" ht="19" customHeight="1" spans="1:14" x14ac:dyDescent="0.25">
      <c r="A1090" s="19" t="s">
        <v>1204</v>
      </c>
      <c r="B1090" s="33">
        <v>46134.78611111111</v>
      </c>
      <c r="C1090" s="33">
        <v>46140.99444444444</v>
      </c>
      <c r="D1090" s="19" t="s">
        <v>36</v>
      </c>
      <c r="E1090" s="19" t="s">
        <v>69</v>
      </c>
      <c r="F1090" s="19" t="s">
        <v>45</v>
      </c>
      <c r="G1090" s="19" t="s">
        <v>116</v>
      </c>
      <c r="H1090" s="19" t="s">
        <v>71</v>
      </c>
      <c r="I1090" s="19" t="s">
        <v>117</v>
      </c>
      <c r="J1090" s="20">
        <v>120</v>
      </c>
      <c r="K1090" s="34">
        <v>0</v>
      </c>
      <c r="L1090" s="34">
        <v>4</v>
      </c>
      <c r="M1090" s="19">
        <f>IF(OR(ISBLANK(C1090),C1090=""),"",ROUND((C1090-B1090)*24,2))</f>
        <v>149</v>
      </c>
      <c r="N1090" s="39" t="str">
        <f>IF(OR(ISBLANK(C1090),C1090="",M1090=""),"In Progress",IF(M1090&lt;=J1090,"Met","Breached"))</f>
        <v>Breached</v>
      </c>
    </row>
    <row r="1091" ht="19" customHeight="1" spans="1:14" x14ac:dyDescent="0.25">
      <c r="A1091" s="22" t="s">
        <v>1205</v>
      </c>
      <c r="B1091" s="36">
        <v>46004.20208333334</v>
      </c>
      <c r="C1091" s="36">
        <v>46004.48888888889</v>
      </c>
      <c r="D1091" s="22" t="s">
        <v>33</v>
      </c>
      <c r="E1091" s="22" t="s">
        <v>57</v>
      </c>
      <c r="F1091" s="22" t="s">
        <v>37</v>
      </c>
      <c r="G1091" s="22" t="s">
        <v>63</v>
      </c>
      <c r="H1091" s="22" t="s">
        <v>59</v>
      </c>
      <c r="I1091" s="22" t="s">
        <v>108</v>
      </c>
      <c r="J1091" s="23">
        <v>4</v>
      </c>
      <c r="K1091" s="37">
        <v>0</v>
      </c>
      <c r="L1091" s="37">
        <v>4</v>
      </c>
      <c r="M1091" s="22">
        <f>IF(OR(ISBLANK(C1091),C1091=""),"",ROUND((C1091-B1091)*24,2))</f>
        <v>6.88</v>
      </c>
      <c r="N1091" s="38" t="str">
        <f>IF(OR(ISBLANK(C1091),C1091="",M1091=""),"In Progress",IF(M1091&lt;=J1091,"Met","Breached"))</f>
        <v>Breached</v>
      </c>
    </row>
    <row r="1092" ht="19" customHeight="1" spans="1:14" x14ac:dyDescent="0.25">
      <c r="A1092" s="19" t="s">
        <v>1206</v>
      </c>
      <c r="B1092" s="33">
        <v>45800.09305555555</v>
      </c>
      <c r="D1092" s="19" t="s">
        <v>39</v>
      </c>
      <c r="E1092" s="19" t="s">
        <v>65</v>
      </c>
      <c r="F1092" s="19" t="s">
        <v>45</v>
      </c>
      <c r="G1092" s="19" t="s">
        <v>113</v>
      </c>
      <c r="H1092" s="19" t="s">
        <v>59</v>
      </c>
      <c r="I1092" s="19" t="s">
        <v>147</v>
      </c>
      <c r="J1092" s="20">
        <v>48</v>
      </c>
      <c r="K1092" s="34">
        <v>0</v>
      </c>
      <c r="M1092" s="19" t="str">
        <f>IF(OR(ISBLANK(C1092),C1092=""),"",ROUND((C1092-B1092)*24,2))</f>
        <v/>
      </c>
      <c r="N1092" s="19" t="str">
        <f>IF(OR(ISBLANK(C1092),C1092="",M1092=""),"In Progress",IF(M1092&lt;=J1092,"Met","Breached"))</f>
        <v>In Progress</v>
      </c>
    </row>
    <row r="1093" ht="19" customHeight="1" spans="1:14" x14ac:dyDescent="0.25">
      <c r="A1093" s="22" t="s">
        <v>1207</v>
      </c>
      <c r="B1093" s="36">
        <v>46248.77083333333</v>
      </c>
      <c r="C1093" s="36">
        <v>46251.075</v>
      </c>
      <c r="D1093" s="22" t="s">
        <v>33</v>
      </c>
      <c r="E1093" s="22" t="s">
        <v>65</v>
      </c>
      <c r="F1093" s="22" t="s">
        <v>34</v>
      </c>
      <c r="G1093" s="22" t="s">
        <v>121</v>
      </c>
      <c r="H1093" s="22" t="s">
        <v>59</v>
      </c>
      <c r="I1093" s="22" t="s">
        <v>123</v>
      </c>
      <c r="J1093" s="23">
        <v>48</v>
      </c>
      <c r="K1093" s="37">
        <v>0</v>
      </c>
      <c r="L1093" s="37">
        <v>3</v>
      </c>
      <c r="M1093" s="22">
        <f>IF(OR(ISBLANK(C1093),C1093=""),"",ROUND((C1093-B1093)*24,2))</f>
        <v>55.3</v>
      </c>
      <c r="N1093" s="38" t="str">
        <f>IF(OR(ISBLANK(C1093),C1093="",M1093=""),"In Progress",IF(M1093&lt;=J1093,"Met","Breached"))</f>
        <v>Breached</v>
      </c>
    </row>
    <row r="1094" ht="19" customHeight="1" spans="1:14" x14ac:dyDescent="0.25">
      <c r="A1094" s="19" t="s">
        <v>1208</v>
      </c>
      <c r="B1094" s="33">
        <v>45867.23125</v>
      </c>
      <c r="D1094" s="19" t="s">
        <v>39</v>
      </c>
      <c r="E1094" s="19" t="s">
        <v>69</v>
      </c>
      <c r="F1094" s="19" t="s">
        <v>34</v>
      </c>
      <c r="G1094" s="19" t="s">
        <v>63</v>
      </c>
      <c r="H1094" s="19" t="s">
        <v>59</v>
      </c>
      <c r="I1094" s="19" t="s">
        <v>108</v>
      </c>
      <c r="J1094" s="20">
        <v>120</v>
      </c>
      <c r="K1094" s="34">
        <v>0</v>
      </c>
      <c r="M1094" s="19" t="str">
        <f>IF(OR(ISBLANK(C1094),C1094=""),"",ROUND((C1094-B1094)*24,2))</f>
        <v/>
      </c>
      <c r="N1094" s="19" t="str">
        <f>IF(OR(ISBLANK(C1094),C1094="",M1094=""),"In Progress",IF(M1094&lt;=J1094,"Met","Breached"))</f>
        <v>In Progress</v>
      </c>
    </row>
    <row r="1095" ht="19" customHeight="1" spans="1:14" x14ac:dyDescent="0.25">
      <c r="A1095" s="22" t="s">
        <v>1209</v>
      </c>
      <c r="B1095" s="36">
        <v>45967.36319444445</v>
      </c>
      <c r="C1095" s="36">
        <v>45969.01944444445</v>
      </c>
      <c r="D1095" s="22" t="s">
        <v>33</v>
      </c>
      <c r="E1095" s="22" t="s">
        <v>65</v>
      </c>
      <c r="F1095" s="22" t="s">
        <v>34</v>
      </c>
      <c r="G1095" s="22" t="s">
        <v>113</v>
      </c>
      <c r="H1095" s="22" t="s">
        <v>59</v>
      </c>
      <c r="I1095" s="22" t="s">
        <v>108</v>
      </c>
      <c r="J1095" s="23">
        <v>48</v>
      </c>
      <c r="K1095" s="37">
        <v>0</v>
      </c>
      <c r="L1095" s="37">
        <v>2</v>
      </c>
      <c r="M1095" s="22">
        <f>IF(OR(ISBLANK(C1095),C1095=""),"",ROUND((C1095-B1095)*24,2))</f>
        <v>39.75</v>
      </c>
      <c r="N1095" s="40" t="str">
        <f>IF(OR(ISBLANK(C1095),C1095="",M1095=""),"In Progress",IF(M1095&lt;=J1095,"Met","Breached"))</f>
        <v>Met</v>
      </c>
    </row>
    <row r="1096" ht="19" customHeight="1" spans="1:14" x14ac:dyDescent="0.25">
      <c r="A1096" s="19" t="s">
        <v>1210</v>
      </c>
      <c r="B1096" s="33">
        <v>45962.175</v>
      </c>
      <c r="C1096" s="33">
        <v>45963.773611111115</v>
      </c>
      <c r="D1096" s="19" t="s">
        <v>36</v>
      </c>
      <c r="E1096" s="19" t="s">
        <v>65</v>
      </c>
      <c r="F1096" s="19" t="s">
        <v>34</v>
      </c>
      <c r="G1096" s="19" t="s">
        <v>116</v>
      </c>
      <c r="H1096" s="19" t="s">
        <v>59</v>
      </c>
      <c r="I1096" s="19" t="s">
        <v>147</v>
      </c>
      <c r="J1096" s="20">
        <v>48</v>
      </c>
      <c r="K1096" s="34">
        <v>0</v>
      </c>
      <c r="L1096" s="34">
        <v>3</v>
      </c>
      <c r="M1096" s="19">
        <f>IF(OR(ISBLANK(C1096),C1096=""),"",ROUND((C1096-B1096)*24,2))</f>
        <v>38.37</v>
      </c>
      <c r="N1096" s="35" t="str">
        <f>IF(OR(ISBLANK(C1096),C1096="",M1096=""),"In Progress",IF(M1096&lt;=J1096,"Met","Breached"))</f>
        <v>Met</v>
      </c>
    </row>
    <row r="1097" ht="19" customHeight="1" spans="1:14" x14ac:dyDescent="0.25">
      <c r="A1097" s="22" t="s">
        <v>1211</v>
      </c>
      <c r="B1097" s="36">
        <v>46187.021527777775</v>
      </c>
      <c r="C1097" s="36">
        <v>46187.413194444445</v>
      </c>
      <c r="D1097" s="22" t="s">
        <v>33</v>
      </c>
      <c r="E1097" s="22" t="s">
        <v>61</v>
      </c>
      <c r="F1097" s="22" t="s">
        <v>40</v>
      </c>
      <c r="G1097" s="22" t="s">
        <v>126</v>
      </c>
      <c r="H1097" s="22" t="s">
        <v>63</v>
      </c>
      <c r="I1097" s="22" t="s">
        <v>111</v>
      </c>
      <c r="J1097" s="23">
        <v>12</v>
      </c>
      <c r="K1097" s="37">
        <v>0</v>
      </c>
      <c r="M1097" s="22">
        <f>IF(OR(ISBLANK(C1097),C1097=""),"",ROUND((C1097-B1097)*24,2))</f>
        <v>9.4</v>
      </c>
      <c r="N1097" s="40" t="str">
        <f>IF(OR(ISBLANK(C1097),C1097="",M1097=""),"In Progress",IF(M1097&lt;=J1097,"Met","Breached"))</f>
        <v>Met</v>
      </c>
    </row>
    <row r="1098" ht="19" customHeight="1" spans="1:14" x14ac:dyDescent="0.25">
      <c r="A1098" s="19" t="s">
        <v>1212</v>
      </c>
      <c r="B1098" s="33">
        <v>46026.08194444445</v>
      </c>
      <c r="C1098" s="33">
        <v>46027.299305555556</v>
      </c>
      <c r="D1098" s="19" t="s">
        <v>36</v>
      </c>
      <c r="E1098" s="19" t="s">
        <v>65</v>
      </c>
      <c r="F1098" s="19" t="s">
        <v>34</v>
      </c>
      <c r="G1098" s="19" t="s">
        <v>121</v>
      </c>
      <c r="H1098" s="19" t="s">
        <v>59</v>
      </c>
      <c r="I1098" s="19" t="s">
        <v>147</v>
      </c>
      <c r="J1098" s="20">
        <v>48</v>
      </c>
      <c r="K1098" s="34">
        <v>0</v>
      </c>
      <c r="L1098" s="34">
        <v>3</v>
      </c>
      <c r="M1098" s="19">
        <f>IF(OR(ISBLANK(C1098),C1098=""),"",ROUND((C1098-B1098)*24,2))</f>
        <v>29.22</v>
      </c>
      <c r="N1098" s="35" t="str">
        <f>IF(OR(ISBLANK(C1098),C1098="",M1098=""),"In Progress",IF(M1098&lt;=J1098,"Met","Breached"))</f>
        <v>Met</v>
      </c>
    </row>
    <row r="1099" ht="19" customHeight="1" spans="1:14" x14ac:dyDescent="0.25">
      <c r="A1099" s="22" t="s">
        <v>1213</v>
      </c>
      <c r="B1099" s="36">
        <v>45660.55694444444</v>
      </c>
      <c r="C1099" s="36">
        <v>45664.100694444445</v>
      </c>
      <c r="D1099" s="22" t="s">
        <v>36</v>
      </c>
      <c r="E1099" s="22" t="s">
        <v>65</v>
      </c>
      <c r="F1099" s="22" t="s">
        <v>40</v>
      </c>
      <c r="G1099" s="22" t="s">
        <v>113</v>
      </c>
      <c r="H1099" s="22" t="s">
        <v>59</v>
      </c>
      <c r="I1099" s="22" t="s">
        <v>114</v>
      </c>
      <c r="J1099" s="23">
        <v>48</v>
      </c>
      <c r="K1099" s="37">
        <v>0</v>
      </c>
      <c r="M1099" s="22">
        <f>IF(OR(ISBLANK(C1099),C1099=""),"",ROUND((C1099-B1099)*24,2))</f>
        <v>85.05</v>
      </c>
      <c r="N1099" s="38" t="str">
        <f>IF(OR(ISBLANK(C1099),C1099="",M1099=""),"In Progress",IF(M1099&lt;=J1099,"Met","Breached"))</f>
        <v>Breached</v>
      </c>
    </row>
    <row r="1100" ht="19" customHeight="1" spans="1:14" x14ac:dyDescent="0.25">
      <c r="A1100" s="19" t="s">
        <v>1214</v>
      </c>
      <c r="B1100" s="33">
        <v>46100.49097222222</v>
      </c>
      <c r="C1100" s="33">
        <v>46100.76388888889</v>
      </c>
      <c r="D1100" s="19" t="s">
        <v>33</v>
      </c>
      <c r="E1100" s="19" t="s">
        <v>57</v>
      </c>
      <c r="F1100" s="19" t="s">
        <v>43</v>
      </c>
      <c r="G1100" s="19" t="s">
        <v>116</v>
      </c>
      <c r="H1100" s="19" t="s">
        <v>71</v>
      </c>
      <c r="I1100" s="19" t="s">
        <v>108</v>
      </c>
      <c r="J1100" s="20">
        <v>4</v>
      </c>
      <c r="K1100" s="34">
        <v>0</v>
      </c>
      <c r="L1100" s="34">
        <v>4</v>
      </c>
      <c r="M1100" s="19">
        <f>IF(OR(ISBLANK(C1100),C1100=""),"",ROUND((C1100-B1100)*24,2))</f>
        <v>6.55</v>
      </c>
      <c r="N1100" s="39" t="str">
        <f>IF(OR(ISBLANK(C1100),C1100="",M1100=""),"In Progress",IF(M1100&lt;=J1100,"Met","Breached"))</f>
        <v>Breached</v>
      </c>
    </row>
    <row r="1101" ht="19" customHeight="1" spans="1:14" x14ac:dyDescent="0.25">
      <c r="A1101" s="22" t="s">
        <v>1215</v>
      </c>
      <c r="B1101" s="36">
        <v>45981.111805555556</v>
      </c>
      <c r="C1101" s="36">
        <v>45982.63958333334</v>
      </c>
      <c r="D1101" s="22" t="s">
        <v>36</v>
      </c>
      <c r="E1101" s="22" t="s">
        <v>65</v>
      </c>
      <c r="F1101" s="22" t="s">
        <v>37</v>
      </c>
      <c r="G1101" s="22" t="s">
        <v>121</v>
      </c>
      <c r="H1101" s="22" t="s">
        <v>71</v>
      </c>
      <c r="I1101" s="22" t="s">
        <v>147</v>
      </c>
      <c r="J1101" s="23">
        <v>48</v>
      </c>
      <c r="K1101" s="37">
        <v>0</v>
      </c>
      <c r="L1101" s="37">
        <v>4</v>
      </c>
      <c r="M1101" s="22">
        <f>IF(OR(ISBLANK(C1101),C1101=""),"",ROUND((C1101-B1101)*24,2))</f>
        <v>36.67</v>
      </c>
      <c r="N1101" s="40" t="str">
        <f>IF(OR(ISBLANK(C1101),C1101="",M1101=""),"In Progress",IF(M1101&lt;=J1101,"Met","Breached"))</f>
        <v>Met</v>
      </c>
    </row>
    <row r="1102" ht="19" customHeight="1" spans="1:14" x14ac:dyDescent="0.25">
      <c r="A1102" s="19" t="s">
        <v>1216</v>
      </c>
      <c r="B1102" s="33">
        <v>45720.76666666666</v>
      </c>
      <c r="C1102" s="33">
        <v>45721.39444444445</v>
      </c>
      <c r="D1102" s="19" t="s">
        <v>33</v>
      </c>
      <c r="E1102" s="19" t="s">
        <v>65</v>
      </c>
      <c r="F1102" s="19" t="s">
        <v>37</v>
      </c>
      <c r="G1102" s="19" t="s">
        <v>121</v>
      </c>
      <c r="H1102" s="19" t="s">
        <v>63</v>
      </c>
      <c r="I1102" s="19" t="s">
        <v>108</v>
      </c>
      <c r="J1102" s="20">
        <v>48</v>
      </c>
      <c r="K1102" s="34">
        <v>0</v>
      </c>
      <c r="M1102" s="19">
        <f>IF(OR(ISBLANK(C1102),C1102=""),"",ROUND((C1102-B1102)*24,2))</f>
        <v>15.07</v>
      </c>
      <c r="N1102" s="35" t="str">
        <f>IF(OR(ISBLANK(C1102),C1102="",M1102=""),"In Progress",IF(M1102&lt;=J1102,"Met","Breached"))</f>
        <v>Met</v>
      </c>
    </row>
    <row r="1103" ht="19" customHeight="1" spans="1:14" x14ac:dyDescent="0.25">
      <c r="A1103" s="22" t="s">
        <v>1217</v>
      </c>
      <c r="B1103" s="36">
        <v>45971.36944444444</v>
      </c>
      <c r="C1103" s="36">
        <v>45977.36666666667</v>
      </c>
      <c r="D1103" s="22" t="s">
        <v>36</v>
      </c>
      <c r="E1103" s="22" t="s">
        <v>69</v>
      </c>
      <c r="F1103" s="22" t="s">
        <v>45</v>
      </c>
      <c r="G1103" s="22" t="s">
        <v>116</v>
      </c>
      <c r="H1103" s="22" t="s">
        <v>59</v>
      </c>
      <c r="I1103" s="22" t="s">
        <v>147</v>
      </c>
      <c r="J1103" s="23">
        <v>120</v>
      </c>
      <c r="K1103" s="37">
        <v>0</v>
      </c>
      <c r="L1103" s="37">
        <v>3</v>
      </c>
      <c r="M1103" s="22">
        <f>IF(OR(ISBLANK(C1103),C1103=""),"",ROUND((C1103-B1103)*24,2))</f>
        <v>143.93</v>
      </c>
      <c r="N1103" s="38" t="str">
        <f>IF(OR(ISBLANK(C1103),C1103="",M1103=""),"In Progress",IF(M1103&lt;=J1103,"Met","Breached"))</f>
        <v>Breached</v>
      </c>
    </row>
    <row r="1104" ht="19" customHeight="1" spans="1:14" x14ac:dyDescent="0.25">
      <c r="A1104" s="19" t="s">
        <v>1218</v>
      </c>
      <c r="B1104" s="33">
        <v>45893.85833333334</v>
      </c>
      <c r="C1104" s="33">
        <v>45894.53055555555</v>
      </c>
      <c r="D1104" s="19" t="s">
        <v>33</v>
      </c>
      <c r="E1104" s="19" t="s">
        <v>61</v>
      </c>
      <c r="F1104" s="19" t="s">
        <v>37</v>
      </c>
      <c r="G1104" s="19" t="s">
        <v>110</v>
      </c>
      <c r="H1104" s="19" t="s">
        <v>59</v>
      </c>
      <c r="I1104" s="19" t="s">
        <v>117</v>
      </c>
      <c r="J1104" s="20">
        <v>12</v>
      </c>
      <c r="K1104" s="34">
        <v>0</v>
      </c>
      <c r="L1104" s="34">
        <v>5</v>
      </c>
      <c r="M1104" s="19">
        <f>IF(OR(ISBLANK(C1104),C1104=""),"",ROUND((C1104-B1104)*24,2))</f>
        <v>16.13</v>
      </c>
      <c r="N1104" s="39" t="str">
        <f>IF(OR(ISBLANK(C1104),C1104="",M1104=""),"In Progress",IF(M1104&lt;=J1104,"Met","Breached"))</f>
        <v>Breached</v>
      </c>
    </row>
    <row r="1105" ht="19" customHeight="1" spans="1:14" x14ac:dyDescent="0.25">
      <c r="A1105" s="22" t="s">
        <v>1219</v>
      </c>
      <c r="B1105" s="36">
        <v>46028.24166666667</v>
      </c>
      <c r="C1105" s="36">
        <v>46028.73402777778</v>
      </c>
      <c r="D1105" s="22" t="s">
        <v>33</v>
      </c>
      <c r="E1105" s="22" t="s">
        <v>61</v>
      </c>
      <c r="F1105" s="22" t="s">
        <v>40</v>
      </c>
      <c r="G1105" s="22" t="s">
        <v>110</v>
      </c>
      <c r="H1105" s="22" t="s">
        <v>59</v>
      </c>
      <c r="I1105" s="22" t="s">
        <v>111</v>
      </c>
      <c r="J1105" s="23">
        <v>12</v>
      </c>
      <c r="K1105" s="37">
        <v>0</v>
      </c>
      <c r="L1105" s="37">
        <v>4</v>
      </c>
      <c r="M1105" s="22">
        <f>IF(OR(ISBLANK(C1105),C1105=""),"",ROUND((C1105-B1105)*24,2))</f>
        <v>11.82</v>
      </c>
      <c r="N1105" s="40" t="str">
        <f>IF(OR(ISBLANK(C1105),C1105="",M1105=""),"In Progress",IF(M1105&lt;=J1105,"Met","Breached"))</f>
        <v>Met</v>
      </c>
    </row>
    <row r="1106" ht="19" customHeight="1" spans="1:14" x14ac:dyDescent="0.25">
      <c r="A1106" s="19" t="s">
        <v>1220</v>
      </c>
      <c r="B1106" s="33">
        <v>46114.754166666666</v>
      </c>
      <c r="C1106" s="33">
        <v>46117.518055555556</v>
      </c>
      <c r="D1106" s="19" t="s">
        <v>33</v>
      </c>
      <c r="E1106" s="19" t="s">
        <v>65</v>
      </c>
      <c r="F1106" s="19" t="s">
        <v>34</v>
      </c>
      <c r="G1106" s="19" t="s">
        <v>113</v>
      </c>
      <c r="H1106" s="19" t="s">
        <v>59</v>
      </c>
      <c r="I1106" s="19" t="s">
        <v>111</v>
      </c>
      <c r="J1106" s="20">
        <v>48</v>
      </c>
      <c r="K1106" s="34">
        <v>0</v>
      </c>
      <c r="L1106" s="34">
        <v>3</v>
      </c>
      <c r="M1106" s="19">
        <f>IF(OR(ISBLANK(C1106),C1106=""),"",ROUND((C1106-B1106)*24,2))</f>
        <v>66.33</v>
      </c>
      <c r="N1106" s="39" t="str">
        <f>IF(OR(ISBLANK(C1106),C1106="",M1106=""),"In Progress",IF(M1106&lt;=J1106,"Met","Breached"))</f>
        <v>Breached</v>
      </c>
    </row>
    <row r="1107" ht="19" customHeight="1" spans="1:14" x14ac:dyDescent="0.25">
      <c r="A1107" s="22" t="s">
        <v>1221</v>
      </c>
      <c r="B1107" s="36">
        <v>45947.69027777778</v>
      </c>
      <c r="C1107" s="36">
        <v>45950.81111111111</v>
      </c>
      <c r="D1107" s="22" t="s">
        <v>36</v>
      </c>
      <c r="E1107" s="22" t="s">
        <v>69</v>
      </c>
      <c r="F1107" s="22" t="s">
        <v>43</v>
      </c>
      <c r="G1107" s="22" t="s">
        <v>63</v>
      </c>
      <c r="H1107" s="22" t="s">
        <v>63</v>
      </c>
      <c r="I1107" s="22" t="s">
        <v>108</v>
      </c>
      <c r="J1107" s="23">
        <v>120</v>
      </c>
      <c r="K1107" s="37">
        <v>0</v>
      </c>
      <c r="M1107" s="22">
        <f>IF(OR(ISBLANK(C1107),C1107=""),"",ROUND((C1107-B1107)*24,2))</f>
        <v>74.9</v>
      </c>
      <c r="N1107" s="40" t="str">
        <f>IF(OR(ISBLANK(C1107),C1107="",M1107=""),"In Progress",IF(M1107&lt;=J1107,"Met","Breached"))</f>
        <v>Met</v>
      </c>
    </row>
    <row r="1108" ht="19" customHeight="1" spans="1:14" x14ac:dyDescent="0.25">
      <c r="A1108" s="19" t="s">
        <v>1222</v>
      </c>
      <c r="B1108" s="33">
        <v>46193.04652777778</v>
      </c>
      <c r="C1108" s="33">
        <v>46193.41805555555</v>
      </c>
      <c r="D1108" s="19" t="s">
        <v>33</v>
      </c>
      <c r="E1108" s="19" t="s">
        <v>61</v>
      </c>
      <c r="F1108" s="19" t="s">
        <v>45</v>
      </c>
      <c r="G1108" s="19" t="s">
        <v>126</v>
      </c>
      <c r="H1108" s="19" t="s">
        <v>59</v>
      </c>
      <c r="I1108" s="19" t="s">
        <v>114</v>
      </c>
      <c r="J1108" s="20">
        <v>12</v>
      </c>
      <c r="K1108" s="34">
        <v>0</v>
      </c>
      <c r="L1108" s="34">
        <v>3</v>
      </c>
      <c r="M1108" s="19">
        <f>IF(OR(ISBLANK(C1108),C1108=""),"",ROUND((C1108-B1108)*24,2))</f>
        <v>8.92</v>
      </c>
      <c r="N1108" s="35" t="str">
        <f>IF(OR(ISBLANK(C1108),C1108="",M1108=""),"In Progress",IF(M1108&lt;=J1108,"Met","Breached"))</f>
        <v>Met</v>
      </c>
    </row>
    <row r="1109" ht="19" customHeight="1" spans="1:14" x14ac:dyDescent="0.25">
      <c r="A1109" s="22" t="s">
        <v>1223</v>
      </c>
      <c r="B1109" s="36">
        <v>45769.09583333333</v>
      </c>
      <c r="C1109" s="36">
        <v>45769.35416666667</v>
      </c>
      <c r="D1109" s="22" t="s">
        <v>33</v>
      </c>
      <c r="E1109" s="22" t="s">
        <v>57</v>
      </c>
      <c r="F1109" s="22" t="s">
        <v>45</v>
      </c>
      <c r="G1109" s="22" t="s">
        <v>116</v>
      </c>
      <c r="H1109" s="22" t="s">
        <v>63</v>
      </c>
      <c r="I1109" s="22" t="s">
        <v>114</v>
      </c>
      <c r="J1109" s="23">
        <v>4</v>
      </c>
      <c r="K1109" s="37">
        <v>0</v>
      </c>
      <c r="L1109" s="37">
        <v>5</v>
      </c>
      <c r="M1109" s="22">
        <f>IF(OR(ISBLANK(C1109),C1109=""),"",ROUND((C1109-B1109)*24,2))</f>
        <v>6.2</v>
      </c>
      <c r="N1109" s="38" t="str">
        <f>IF(OR(ISBLANK(C1109),C1109="",M1109=""),"In Progress",IF(M1109&lt;=J1109,"Met","Breached"))</f>
        <v>Breached</v>
      </c>
    </row>
    <row r="1110" ht="19" customHeight="1" spans="1:14" x14ac:dyDescent="0.25">
      <c r="A1110" s="19" t="s">
        <v>1224</v>
      </c>
      <c r="B1110" s="33">
        <v>46263.225694444445</v>
      </c>
      <c r="C1110" s="33">
        <v>46265.268055555556</v>
      </c>
      <c r="D1110" s="19" t="s">
        <v>36</v>
      </c>
      <c r="E1110" s="19" t="s">
        <v>65</v>
      </c>
      <c r="F1110" s="19" t="s">
        <v>45</v>
      </c>
      <c r="G1110" s="19" t="s">
        <v>110</v>
      </c>
      <c r="H1110" s="19" t="s">
        <v>63</v>
      </c>
      <c r="I1110" s="19" t="s">
        <v>117</v>
      </c>
      <c r="J1110" s="20">
        <v>48</v>
      </c>
      <c r="K1110" s="34">
        <v>0</v>
      </c>
      <c r="L1110" s="34">
        <v>4</v>
      </c>
      <c r="M1110" s="19">
        <f>IF(OR(ISBLANK(C1110),C1110=""),"",ROUND((C1110-B1110)*24,2))</f>
        <v>49.02</v>
      </c>
      <c r="N1110" s="39" t="str">
        <f>IF(OR(ISBLANK(C1110),C1110="",M1110=""),"In Progress",IF(M1110&lt;=J1110,"Met","Breached"))</f>
        <v>Breached</v>
      </c>
    </row>
    <row r="1111" ht="19" customHeight="1" spans="1:14" x14ac:dyDescent="0.25">
      <c r="A1111" s="22" t="s">
        <v>1225</v>
      </c>
      <c r="B1111" s="36">
        <v>45682.26180555555</v>
      </c>
      <c r="C1111" s="36">
        <v>45682.49930555555</v>
      </c>
      <c r="D1111" s="22" t="s">
        <v>33</v>
      </c>
      <c r="E1111" s="22" t="s">
        <v>61</v>
      </c>
      <c r="F1111" s="22" t="s">
        <v>40</v>
      </c>
      <c r="G1111" s="22" t="s">
        <v>121</v>
      </c>
      <c r="H1111" s="22" t="s">
        <v>63</v>
      </c>
      <c r="I1111" s="22" t="s">
        <v>123</v>
      </c>
      <c r="J1111" s="23">
        <v>12</v>
      </c>
      <c r="K1111" s="37">
        <v>0</v>
      </c>
      <c r="L1111" s="37">
        <v>1</v>
      </c>
      <c r="M1111" s="22">
        <f>IF(OR(ISBLANK(C1111),C1111=""),"",ROUND((C1111-B1111)*24,2))</f>
        <v>5.7</v>
      </c>
      <c r="N1111" s="40" t="str">
        <f>IF(OR(ISBLANK(C1111),C1111="",M1111=""),"In Progress",IF(M1111&lt;=J1111,"Met","Breached"))</f>
        <v>Met</v>
      </c>
    </row>
    <row r="1112" ht="19" customHeight="1" spans="1:14" x14ac:dyDescent="0.25">
      <c r="A1112" s="19" t="s">
        <v>1226</v>
      </c>
      <c r="B1112" s="33">
        <v>46246.61319444445</v>
      </c>
      <c r="D1112" s="19" t="s">
        <v>42</v>
      </c>
      <c r="E1112" s="19" t="s">
        <v>65</v>
      </c>
      <c r="F1112" s="19" t="s">
        <v>45</v>
      </c>
      <c r="G1112" s="19" t="s">
        <v>110</v>
      </c>
      <c r="H1112" s="19" t="s">
        <v>71</v>
      </c>
      <c r="I1112" s="19" t="s">
        <v>147</v>
      </c>
      <c r="J1112" s="20">
        <v>48</v>
      </c>
      <c r="K1112" s="34">
        <v>0</v>
      </c>
      <c r="M1112" s="19" t="str">
        <f>IF(OR(ISBLANK(C1112),C1112=""),"",ROUND((C1112-B1112)*24,2))</f>
        <v/>
      </c>
      <c r="N1112" s="19" t="str">
        <f>IF(OR(ISBLANK(C1112),C1112="",M1112=""),"In Progress",IF(M1112&lt;=J1112,"Met","Breached"))</f>
        <v>In Progress</v>
      </c>
    </row>
    <row r="1113" ht="19" customHeight="1" spans="1:14" x14ac:dyDescent="0.25">
      <c r="A1113" s="22" t="s">
        <v>1227</v>
      </c>
      <c r="B1113" s="36">
        <v>45704.04166666667</v>
      </c>
      <c r="C1113" s="36">
        <v>45705.913194444445</v>
      </c>
      <c r="D1113" s="22" t="s">
        <v>33</v>
      </c>
      <c r="E1113" s="22" t="s">
        <v>65</v>
      </c>
      <c r="F1113" s="22" t="s">
        <v>43</v>
      </c>
      <c r="G1113" s="22" t="s">
        <v>116</v>
      </c>
      <c r="H1113" s="22" t="s">
        <v>67</v>
      </c>
      <c r="I1113" s="22" t="s">
        <v>147</v>
      </c>
      <c r="J1113" s="23">
        <v>48</v>
      </c>
      <c r="K1113" s="37">
        <v>0</v>
      </c>
      <c r="L1113" s="37">
        <v>3</v>
      </c>
      <c r="M1113" s="22">
        <f>IF(OR(ISBLANK(C1113),C1113=""),"",ROUND((C1113-B1113)*24,2))</f>
        <v>44.92</v>
      </c>
      <c r="N1113" s="40" t="str">
        <f>IF(OR(ISBLANK(C1113),C1113="",M1113=""),"In Progress",IF(M1113&lt;=J1113,"Met","Breached"))</f>
        <v>Met</v>
      </c>
    </row>
    <row r="1114" ht="19" customHeight="1" spans="1:14" x14ac:dyDescent="0.25">
      <c r="A1114" s="19" t="s">
        <v>1228</v>
      </c>
      <c r="B1114" s="33">
        <v>46188.35902777778</v>
      </c>
      <c r="C1114" s="33">
        <v>46189.30208333333</v>
      </c>
      <c r="D1114" s="19" t="s">
        <v>33</v>
      </c>
      <c r="E1114" s="19" t="s">
        <v>65</v>
      </c>
      <c r="F1114" s="19" t="s">
        <v>40</v>
      </c>
      <c r="G1114" s="19" t="s">
        <v>121</v>
      </c>
      <c r="H1114" s="19" t="s">
        <v>59</v>
      </c>
      <c r="I1114" s="19" t="s">
        <v>147</v>
      </c>
      <c r="J1114" s="20">
        <v>48</v>
      </c>
      <c r="K1114" s="34">
        <v>0</v>
      </c>
      <c r="L1114" s="34">
        <v>1</v>
      </c>
      <c r="M1114" s="19">
        <f>IF(OR(ISBLANK(C1114),C1114=""),"",ROUND((C1114-B1114)*24,2))</f>
        <v>22.63</v>
      </c>
      <c r="N1114" s="35" t="str">
        <f>IF(OR(ISBLANK(C1114),C1114="",M1114=""),"In Progress",IF(M1114&lt;=J1114,"Met","Breached"))</f>
        <v>Met</v>
      </c>
    </row>
    <row r="1115" ht="19" customHeight="1" spans="1:14" x14ac:dyDescent="0.25">
      <c r="A1115" s="22" t="s">
        <v>1229</v>
      </c>
      <c r="B1115" s="36">
        <v>45728.40277777778</v>
      </c>
      <c r="C1115" s="36">
        <v>45729.05416666667</v>
      </c>
      <c r="D1115" s="22" t="s">
        <v>33</v>
      </c>
      <c r="E1115" s="22" t="s">
        <v>61</v>
      </c>
      <c r="F1115" s="22" t="s">
        <v>34</v>
      </c>
      <c r="G1115" s="22" t="s">
        <v>110</v>
      </c>
      <c r="H1115" s="22" t="s">
        <v>71</v>
      </c>
      <c r="I1115" s="22" t="s">
        <v>147</v>
      </c>
      <c r="J1115" s="23">
        <v>12</v>
      </c>
      <c r="K1115" s="37">
        <v>0</v>
      </c>
      <c r="M1115" s="22">
        <f>IF(OR(ISBLANK(C1115),C1115=""),"",ROUND((C1115-B1115)*24,2))</f>
        <v>15.63</v>
      </c>
      <c r="N1115" s="38" t="str">
        <f>IF(OR(ISBLANK(C1115),C1115="",M1115=""),"In Progress",IF(M1115&lt;=J1115,"Met","Breached"))</f>
        <v>Breached</v>
      </c>
    </row>
    <row r="1116" ht="19" customHeight="1" spans="1:14" x14ac:dyDescent="0.25">
      <c r="A1116" s="19" t="s">
        <v>1230</v>
      </c>
      <c r="B1116" s="33">
        <v>45959.68958333333</v>
      </c>
      <c r="C1116" s="33">
        <v>45960.33263888889</v>
      </c>
      <c r="D1116" s="19" t="s">
        <v>33</v>
      </c>
      <c r="E1116" s="19" t="s">
        <v>61</v>
      </c>
      <c r="F1116" s="19" t="s">
        <v>34</v>
      </c>
      <c r="G1116" s="19" t="s">
        <v>113</v>
      </c>
      <c r="H1116" s="19" t="s">
        <v>59</v>
      </c>
      <c r="I1116" s="19" t="s">
        <v>108</v>
      </c>
      <c r="J1116" s="20">
        <v>12</v>
      </c>
      <c r="K1116" s="34">
        <v>0</v>
      </c>
      <c r="M1116" s="19">
        <f>IF(OR(ISBLANK(C1116),C1116=""),"",ROUND((C1116-B1116)*24,2))</f>
        <v>15.43</v>
      </c>
      <c r="N1116" s="39" t="str">
        <f>IF(OR(ISBLANK(C1116),C1116="",M1116=""),"In Progress",IF(M1116&lt;=J1116,"Met","Breached"))</f>
        <v>Breached</v>
      </c>
    </row>
    <row r="1117" ht="19" customHeight="1" spans="1:14" x14ac:dyDescent="0.25">
      <c r="A1117" s="22" t="s">
        <v>1231</v>
      </c>
      <c r="B1117" s="36">
        <v>45846.200694444444</v>
      </c>
      <c r="C1117" s="36">
        <v>45847.32986111111</v>
      </c>
      <c r="D1117" s="22" t="s">
        <v>36</v>
      </c>
      <c r="E1117" s="22" t="s">
        <v>65</v>
      </c>
      <c r="F1117" s="22" t="s">
        <v>43</v>
      </c>
      <c r="G1117" s="22" t="s">
        <v>121</v>
      </c>
      <c r="H1117" s="22" t="s">
        <v>59</v>
      </c>
      <c r="I1117" s="22" t="s">
        <v>108</v>
      </c>
      <c r="J1117" s="23">
        <v>48</v>
      </c>
      <c r="K1117" s="37">
        <v>0</v>
      </c>
      <c r="L1117" s="37">
        <v>1</v>
      </c>
      <c r="M1117" s="22">
        <f>IF(OR(ISBLANK(C1117),C1117=""),"",ROUND((C1117-B1117)*24,2))</f>
        <v>27.1</v>
      </c>
      <c r="N1117" s="40" t="str">
        <f>IF(OR(ISBLANK(C1117),C1117="",M1117=""),"In Progress",IF(M1117&lt;=J1117,"Met","Breached"))</f>
        <v>Met</v>
      </c>
    </row>
    <row r="1118" ht="19" customHeight="1" spans="1:14" x14ac:dyDescent="0.25">
      <c r="A1118" s="19" t="s">
        <v>1232</v>
      </c>
      <c r="B1118" s="33">
        <v>46069.634722222225</v>
      </c>
      <c r="C1118" s="33">
        <v>46077.450694444444</v>
      </c>
      <c r="D1118" s="19" t="s">
        <v>36</v>
      </c>
      <c r="E1118" s="19" t="s">
        <v>69</v>
      </c>
      <c r="F1118" s="19" t="s">
        <v>40</v>
      </c>
      <c r="G1118" s="19" t="s">
        <v>116</v>
      </c>
      <c r="H1118" s="19" t="s">
        <v>59</v>
      </c>
      <c r="I1118" s="19" t="s">
        <v>114</v>
      </c>
      <c r="J1118" s="20">
        <v>120</v>
      </c>
      <c r="K1118" s="34">
        <v>1</v>
      </c>
      <c r="M1118" s="19">
        <f>IF(OR(ISBLANK(C1118),C1118=""),"",ROUND((C1118-B1118)*24,2))</f>
        <v>187.58</v>
      </c>
      <c r="N1118" s="39" t="str">
        <f>IF(OR(ISBLANK(C1118),C1118="",M1118=""),"In Progress",IF(M1118&lt;=J1118,"Met","Breached"))</f>
        <v>Breached</v>
      </c>
    </row>
    <row r="1119" ht="19" customHeight="1" spans="1:14" x14ac:dyDescent="0.25">
      <c r="A1119" s="22" t="s">
        <v>1233</v>
      </c>
      <c r="B1119" s="36">
        <v>45710.086805555555</v>
      </c>
      <c r="D1119" s="22" t="s">
        <v>39</v>
      </c>
      <c r="E1119" s="22" t="s">
        <v>69</v>
      </c>
      <c r="F1119" s="22" t="s">
        <v>40</v>
      </c>
      <c r="G1119" s="22" t="s">
        <v>63</v>
      </c>
      <c r="H1119" s="22" t="s">
        <v>59</v>
      </c>
      <c r="I1119" s="22" t="s">
        <v>108</v>
      </c>
      <c r="J1119" s="23">
        <v>120</v>
      </c>
      <c r="K1119" s="37">
        <v>0</v>
      </c>
      <c r="M1119" s="22" t="str">
        <f>IF(OR(ISBLANK(C1119),C1119=""),"",ROUND((C1119-B1119)*24,2))</f>
        <v/>
      </c>
      <c r="N1119" s="22" t="str">
        <f>IF(OR(ISBLANK(C1119),C1119="",M1119=""),"In Progress",IF(M1119&lt;=J1119,"Met","Breached"))</f>
        <v>In Progress</v>
      </c>
    </row>
    <row r="1120" ht="19" customHeight="1" spans="1:14" x14ac:dyDescent="0.25">
      <c r="A1120" s="19" t="s">
        <v>1234</v>
      </c>
      <c r="B1120" s="33">
        <v>45863.45138888889</v>
      </c>
      <c r="D1120" s="19" t="s">
        <v>42</v>
      </c>
      <c r="E1120" s="19" t="s">
        <v>57</v>
      </c>
      <c r="F1120" s="19" t="s">
        <v>43</v>
      </c>
      <c r="G1120" s="19" t="s">
        <v>121</v>
      </c>
      <c r="H1120" s="19" t="s">
        <v>71</v>
      </c>
      <c r="I1120" s="19" t="s">
        <v>114</v>
      </c>
      <c r="J1120" s="20">
        <v>4</v>
      </c>
      <c r="K1120" s="34">
        <v>0</v>
      </c>
      <c r="M1120" s="19" t="str">
        <f>IF(OR(ISBLANK(C1120),C1120=""),"",ROUND((C1120-B1120)*24,2))</f>
        <v/>
      </c>
      <c r="N1120" s="19" t="str">
        <f>IF(OR(ISBLANK(C1120),C1120="",M1120=""),"In Progress",IF(M1120&lt;=J1120,"Met","Breached"))</f>
        <v>In Progress</v>
      </c>
    </row>
    <row r="1121" ht="19" customHeight="1" spans="1:14" x14ac:dyDescent="0.25">
      <c r="A1121" s="22" t="s">
        <v>1235</v>
      </c>
      <c r="B1121" s="36">
        <v>45937.40694444445</v>
      </c>
      <c r="C1121" s="36">
        <v>45938.48402777778</v>
      </c>
      <c r="D1121" s="22" t="s">
        <v>33</v>
      </c>
      <c r="E1121" s="22" t="s">
        <v>65</v>
      </c>
      <c r="F1121" s="22" t="s">
        <v>43</v>
      </c>
      <c r="G1121" s="22" t="s">
        <v>121</v>
      </c>
      <c r="H1121" s="22" t="s">
        <v>59</v>
      </c>
      <c r="I1121" s="22" t="s">
        <v>114</v>
      </c>
      <c r="J1121" s="23">
        <v>48</v>
      </c>
      <c r="K1121" s="37">
        <v>0</v>
      </c>
      <c r="L1121" s="37">
        <v>3</v>
      </c>
      <c r="M1121" s="22">
        <f>IF(OR(ISBLANK(C1121),C1121=""),"",ROUND((C1121-B1121)*24,2))</f>
        <v>25.85</v>
      </c>
      <c r="N1121" s="40" t="str">
        <f>IF(OR(ISBLANK(C1121),C1121="",M1121=""),"In Progress",IF(M1121&lt;=J1121,"Met","Breached"))</f>
        <v>Met</v>
      </c>
    </row>
    <row r="1122" ht="19" customHeight="1" spans="1:14" x14ac:dyDescent="0.25">
      <c r="A1122" s="19" t="s">
        <v>1236</v>
      </c>
      <c r="B1122" s="33">
        <v>45762.17013888889</v>
      </c>
      <c r="C1122" s="33">
        <v>45763.05972222222</v>
      </c>
      <c r="D1122" s="19" t="s">
        <v>33</v>
      </c>
      <c r="E1122" s="19" t="s">
        <v>61</v>
      </c>
      <c r="F1122" s="19" t="s">
        <v>45</v>
      </c>
      <c r="G1122" s="19" t="s">
        <v>113</v>
      </c>
      <c r="H1122" s="19" t="s">
        <v>59</v>
      </c>
      <c r="I1122" s="19" t="s">
        <v>108</v>
      </c>
      <c r="J1122" s="20">
        <v>12</v>
      </c>
      <c r="K1122" s="34">
        <v>0</v>
      </c>
      <c r="L1122" s="34">
        <v>5</v>
      </c>
      <c r="M1122" s="19">
        <f>IF(OR(ISBLANK(C1122),C1122=""),"",ROUND((C1122-B1122)*24,2))</f>
        <v>21.35</v>
      </c>
      <c r="N1122" s="39" t="str">
        <f>IF(OR(ISBLANK(C1122),C1122="",M1122=""),"In Progress",IF(M1122&lt;=J1122,"Met","Breached"))</f>
        <v>Breached</v>
      </c>
    </row>
    <row r="1123" ht="19" customHeight="1" spans="1:14" x14ac:dyDescent="0.25">
      <c r="A1123" s="22" t="s">
        <v>1237</v>
      </c>
      <c r="B1123" s="36">
        <v>46174.146527777775</v>
      </c>
      <c r="C1123" s="36">
        <v>46174.82361111111</v>
      </c>
      <c r="D1123" s="22" t="s">
        <v>36</v>
      </c>
      <c r="E1123" s="22" t="s">
        <v>61</v>
      </c>
      <c r="F1123" s="22" t="s">
        <v>40</v>
      </c>
      <c r="G1123" s="22" t="s">
        <v>110</v>
      </c>
      <c r="H1123" s="22" t="s">
        <v>71</v>
      </c>
      <c r="I1123" s="22" t="s">
        <v>123</v>
      </c>
      <c r="J1123" s="23">
        <v>12</v>
      </c>
      <c r="K1123" s="37">
        <v>0</v>
      </c>
      <c r="L1123" s="37">
        <v>4</v>
      </c>
      <c r="M1123" s="22">
        <f>IF(OR(ISBLANK(C1123),C1123=""),"",ROUND((C1123-B1123)*24,2))</f>
        <v>16.25</v>
      </c>
      <c r="N1123" s="38" t="str">
        <f>IF(OR(ISBLANK(C1123),C1123="",M1123=""),"In Progress",IF(M1123&lt;=J1123,"Met","Breached"))</f>
        <v>Breached</v>
      </c>
    </row>
    <row r="1124" ht="19" customHeight="1" spans="1:14" x14ac:dyDescent="0.25">
      <c r="A1124" s="19" t="s">
        <v>1238</v>
      </c>
      <c r="B1124" s="33">
        <v>45959.18125</v>
      </c>
      <c r="C1124" s="33">
        <v>45968.15277777778</v>
      </c>
      <c r="D1124" s="19" t="s">
        <v>33</v>
      </c>
      <c r="E1124" s="19" t="s">
        <v>69</v>
      </c>
      <c r="F1124" s="19" t="s">
        <v>43</v>
      </c>
      <c r="G1124" s="19" t="s">
        <v>116</v>
      </c>
      <c r="H1124" s="19" t="s">
        <v>67</v>
      </c>
      <c r="I1124" s="19" t="s">
        <v>114</v>
      </c>
      <c r="J1124" s="20">
        <v>120</v>
      </c>
      <c r="K1124" s="34">
        <v>0</v>
      </c>
      <c r="L1124" s="34">
        <v>3</v>
      </c>
      <c r="M1124" s="19">
        <f>IF(OR(ISBLANK(C1124),C1124=""),"",ROUND((C1124-B1124)*24,2))</f>
        <v>215.32</v>
      </c>
      <c r="N1124" s="39" t="str">
        <f>IF(OR(ISBLANK(C1124),C1124="",M1124=""),"In Progress",IF(M1124&lt;=J1124,"Met","Breached"))</f>
        <v>Breached</v>
      </c>
    </row>
    <row r="1125" ht="19" customHeight="1" spans="1:14" x14ac:dyDescent="0.25">
      <c r="A1125" s="22" t="s">
        <v>1239</v>
      </c>
      <c r="B1125" s="36">
        <v>45734.98611111111</v>
      </c>
      <c r="D1125" s="22" t="s">
        <v>39</v>
      </c>
      <c r="E1125" s="22" t="s">
        <v>65</v>
      </c>
      <c r="F1125" s="22" t="s">
        <v>43</v>
      </c>
      <c r="G1125" s="22" t="s">
        <v>113</v>
      </c>
      <c r="H1125" s="22" t="s">
        <v>59</v>
      </c>
      <c r="I1125" s="22" t="s">
        <v>111</v>
      </c>
      <c r="J1125" s="23">
        <v>48</v>
      </c>
      <c r="K1125" s="37">
        <v>0</v>
      </c>
      <c r="M1125" s="22" t="str">
        <f>IF(OR(ISBLANK(C1125),C1125=""),"",ROUND((C1125-B1125)*24,2))</f>
        <v/>
      </c>
      <c r="N1125" s="22" t="str">
        <f>IF(OR(ISBLANK(C1125),C1125="",M1125=""),"In Progress",IF(M1125&lt;=J1125,"Met","Breached"))</f>
        <v>In Progress</v>
      </c>
    </row>
    <row r="1126" ht="19" customHeight="1" spans="1:14" x14ac:dyDescent="0.25">
      <c r="A1126" s="19" t="s">
        <v>1240</v>
      </c>
      <c r="B1126" s="33">
        <v>46069.93263888889</v>
      </c>
      <c r="C1126" s="33">
        <v>46070.961111111115</v>
      </c>
      <c r="D1126" s="19" t="s">
        <v>33</v>
      </c>
      <c r="E1126" s="19" t="s">
        <v>65</v>
      </c>
      <c r="F1126" s="19" t="s">
        <v>45</v>
      </c>
      <c r="G1126" s="19" t="s">
        <v>121</v>
      </c>
      <c r="H1126" s="19" t="s">
        <v>59</v>
      </c>
      <c r="I1126" s="19" t="s">
        <v>147</v>
      </c>
      <c r="J1126" s="20">
        <v>48</v>
      </c>
      <c r="K1126" s="34">
        <v>0</v>
      </c>
      <c r="L1126" s="34">
        <v>5</v>
      </c>
      <c r="M1126" s="19">
        <f>IF(OR(ISBLANK(C1126),C1126=""),"",ROUND((C1126-B1126)*24,2))</f>
        <v>24.68</v>
      </c>
      <c r="N1126" s="35" t="str">
        <f>IF(OR(ISBLANK(C1126),C1126="",M1126=""),"In Progress",IF(M1126&lt;=J1126,"Met","Breached"))</f>
        <v>Met</v>
      </c>
    </row>
    <row r="1127" ht="19" customHeight="1" spans="1:14" x14ac:dyDescent="0.25">
      <c r="A1127" s="22" t="s">
        <v>1241</v>
      </c>
      <c r="B1127" s="36">
        <v>45748.58472222222</v>
      </c>
      <c r="D1127" s="22" t="s">
        <v>42</v>
      </c>
      <c r="E1127" s="22" t="s">
        <v>65</v>
      </c>
      <c r="F1127" s="22" t="s">
        <v>34</v>
      </c>
      <c r="G1127" s="22" t="s">
        <v>126</v>
      </c>
      <c r="H1127" s="22" t="s">
        <v>59</v>
      </c>
      <c r="I1127" s="22" t="s">
        <v>123</v>
      </c>
      <c r="J1127" s="23">
        <v>48</v>
      </c>
      <c r="K1127" s="37">
        <v>0</v>
      </c>
      <c r="M1127" s="22" t="str">
        <f>IF(OR(ISBLANK(C1127),C1127=""),"",ROUND((C1127-B1127)*24,2))</f>
        <v/>
      </c>
      <c r="N1127" s="22" t="str">
        <f>IF(OR(ISBLANK(C1127),C1127="",M1127=""),"In Progress",IF(M1127&lt;=J1127,"Met","Breached"))</f>
        <v>In Progress</v>
      </c>
    </row>
    <row r="1128" ht="19" customHeight="1" spans="1:14" x14ac:dyDescent="0.25">
      <c r="A1128" s="19" t="s">
        <v>1242</v>
      </c>
      <c r="B1128" s="33">
        <v>46276.025</v>
      </c>
      <c r="D1128" s="19" t="s">
        <v>42</v>
      </c>
      <c r="E1128" s="19" t="s">
        <v>65</v>
      </c>
      <c r="F1128" s="19" t="s">
        <v>34</v>
      </c>
      <c r="G1128" s="19" t="s">
        <v>110</v>
      </c>
      <c r="H1128" s="19" t="s">
        <v>67</v>
      </c>
      <c r="I1128" s="19" t="s">
        <v>108</v>
      </c>
      <c r="J1128" s="20">
        <v>48</v>
      </c>
      <c r="K1128" s="34">
        <v>0</v>
      </c>
      <c r="M1128" s="19" t="str">
        <f>IF(OR(ISBLANK(C1128),C1128=""),"",ROUND((C1128-B1128)*24,2))</f>
        <v/>
      </c>
      <c r="N1128" s="19" t="str">
        <f>IF(OR(ISBLANK(C1128),C1128="",M1128=""),"In Progress",IF(M1128&lt;=J1128,"Met","Breached"))</f>
        <v>In Progress</v>
      </c>
    </row>
    <row r="1129" ht="19" customHeight="1" spans="1:14" x14ac:dyDescent="0.25">
      <c r="A1129" s="22" t="s">
        <v>1243</v>
      </c>
      <c r="B1129" s="36">
        <v>45740.46736111111</v>
      </c>
      <c r="C1129" s="36">
        <v>45741.263194444444</v>
      </c>
      <c r="D1129" s="22" t="s">
        <v>33</v>
      </c>
      <c r="E1129" s="22" t="s">
        <v>61</v>
      </c>
      <c r="F1129" s="22" t="s">
        <v>43</v>
      </c>
      <c r="G1129" s="22" t="s">
        <v>116</v>
      </c>
      <c r="H1129" s="22" t="s">
        <v>59</v>
      </c>
      <c r="I1129" s="22" t="s">
        <v>147</v>
      </c>
      <c r="J1129" s="23">
        <v>12</v>
      </c>
      <c r="K1129" s="37">
        <v>0</v>
      </c>
      <c r="M1129" s="22">
        <f>IF(OR(ISBLANK(C1129),C1129=""),"",ROUND((C1129-B1129)*24,2))</f>
        <v>19.1</v>
      </c>
      <c r="N1129" s="38" t="str">
        <f>IF(OR(ISBLANK(C1129),C1129="",M1129=""),"In Progress",IF(M1129&lt;=J1129,"Met","Breached"))</f>
        <v>Breached</v>
      </c>
    </row>
    <row r="1130" ht="19" customHeight="1" spans="1:14" x14ac:dyDescent="0.25">
      <c r="A1130" s="19" t="s">
        <v>1244</v>
      </c>
      <c r="B1130" s="33">
        <v>45996.28194444445</v>
      </c>
      <c r="C1130" s="33">
        <v>45997.81527777778</v>
      </c>
      <c r="D1130" s="19" t="s">
        <v>36</v>
      </c>
      <c r="E1130" s="19" t="s">
        <v>65</v>
      </c>
      <c r="F1130" s="19" t="s">
        <v>45</v>
      </c>
      <c r="G1130" s="19" t="s">
        <v>126</v>
      </c>
      <c r="H1130" s="19" t="s">
        <v>71</v>
      </c>
      <c r="I1130" s="19" t="s">
        <v>108</v>
      </c>
      <c r="J1130" s="20">
        <v>48</v>
      </c>
      <c r="K1130" s="34">
        <v>0</v>
      </c>
      <c r="L1130" s="34">
        <v>3</v>
      </c>
      <c r="M1130" s="19">
        <f>IF(OR(ISBLANK(C1130),C1130=""),"",ROUND((C1130-B1130)*24,2))</f>
        <v>36.8</v>
      </c>
      <c r="N1130" s="35" t="str">
        <f>IF(OR(ISBLANK(C1130),C1130="",M1130=""),"In Progress",IF(M1130&lt;=J1130,"Met","Breached"))</f>
        <v>Met</v>
      </c>
    </row>
    <row r="1131" ht="19" customHeight="1" spans="1:14" x14ac:dyDescent="0.25">
      <c r="A1131" s="22" t="s">
        <v>1245</v>
      </c>
      <c r="B1131" s="36">
        <v>46007.28125</v>
      </c>
      <c r="C1131" s="36">
        <v>46008.23541666666</v>
      </c>
      <c r="D1131" s="22" t="s">
        <v>36</v>
      </c>
      <c r="E1131" s="22" t="s">
        <v>65</v>
      </c>
      <c r="F1131" s="22" t="s">
        <v>40</v>
      </c>
      <c r="G1131" s="22" t="s">
        <v>126</v>
      </c>
      <c r="H1131" s="22" t="s">
        <v>59</v>
      </c>
      <c r="I1131" s="22" t="s">
        <v>108</v>
      </c>
      <c r="J1131" s="23">
        <v>48</v>
      </c>
      <c r="K1131" s="37">
        <v>0</v>
      </c>
      <c r="M1131" s="22">
        <f>IF(OR(ISBLANK(C1131),C1131=""),"",ROUND((C1131-B1131)*24,2))</f>
        <v>22.9</v>
      </c>
      <c r="N1131" s="40" t="str">
        <f>IF(OR(ISBLANK(C1131),C1131="",M1131=""),"In Progress",IF(M1131&lt;=J1131,"Met","Breached"))</f>
        <v>Met</v>
      </c>
    </row>
    <row r="1132" ht="19" customHeight="1" spans="1:14" x14ac:dyDescent="0.25">
      <c r="A1132" s="19" t="s">
        <v>1246</v>
      </c>
      <c r="B1132" s="33">
        <v>45885.73472222222</v>
      </c>
      <c r="C1132" s="33">
        <v>45886.31597222222</v>
      </c>
      <c r="D1132" s="19" t="s">
        <v>36</v>
      </c>
      <c r="E1132" s="19" t="s">
        <v>61</v>
      </c>
      <c r="F1132" s="19" t="s">
        <v>34</v>
      </c>
      <c r="G1132" s="19" t="s">
        <v>113</v>
      </c>
      <c r="H1132" s="19" t="s">
        <v>71</v>
      </c>
      <c r="I1132" s="19" t="s">
        <v>111</v>
      </c>
      <c r="J1132" s="20">
        <v>12</v>
      </c>
      <c r="K1132" s="34">
        <v>0</v>
      </c>
      <c r="L1132" s="34">
        <v>3</v>
      </c>
      <c r="M1132" s="19">
        <f>IF(OR(ISBLANK(C1132),C1132=""),"",ROUND((C1132-B1132)*24,2))</f>
        <v>13.95</v>
      </c>
      <c r="N1132" s="39" t="str">
        <f>IF(OR(ISBLANK(C1132),C1132="",M1132=""),"In Progress",IF(M1132&lt;=J1132,"Met","Breached"))</f>
        <v>Breached</v>
      </c>
    </row>
    <row r="1133" ht="19" customHeight="1" spans="1:14" x14ac:dyDescent="0.25">
      <c r="A1133" s="22" t="s">
        <v>1247</v>
      </c>
      <c r="B1133" s="36">
        <v>46159.54583333334</v>
      </c>
      <c r="C1133" s="36">
        <v>46168.0375</v>
      </c>
      <c r="D1133" s="22" t="s">
        <v>33</v>
      </c>
      <c r="E1133" s="22" t="s">
        <v>69</v>
      </c>
      <c r="F1133" s="22" t="s">
        <v>40</v>
      </c>
      <c r="G1133" s="22" t="s">
        <v>116</v>
      </c>
      <c r="H1133" s="22" t="s">
        <v>59</v>
      </c>
      <c r="I1133" s="22" t="s">
        <v>108</v>
      </c>
      <c r="J1133" s="23">
        <v>120</v>
      </c>
      <c r="K1133" s="37">
        <v>0</v>
      </c>
      <c r="L1133" s="37">
        <v>5</v>
      </c>
      <c r="M1133" s="22">
        <f>IF(OR(ISBLANK(C1133),C1133=""),"",ROUND((C1133-B1133)*24,2))</f>
        <v>203.8</v>
      </c>
      <c r="N1133" s="38" t="str">
        <f>IF(OR(ISBLANK(C1133),C1133="",M1133=""),"In Progress",IF(M1133&lt;=J1133,"Met","Breached"))</f>
        <v>Breached</v>
      </c>
    </row>
    <row r="1134" ht="19" customHeight="1" spans="1:14" x14ac:dyDescent="0.25">
      <c r="A1134" s="19" t="s">
        <v>1248</v>
      </c>
      <c r="B1134" s="33">
        <v>46064.12847222222</v>
      </c>
      <c r="C1134" s="33">
        <v>46065.347916666666</v>
      </c>
      <c r="D1134" s="19" t="s">
        <v>36</v>
      </c>
      <c r="E1134" s="19" t="s">
        <v>65</v>
      </c>
      <c r="F1134" s="19" t="s">
        <v>40</v>
      </c>
      <c r="G1134" s="19" t="s">
        <v>110</v>
      </c>
      <c r="H1134" s="19" t="s">
        <v>59</v>
      </c>
      <c r="I1134" s="19" t="s">
        <v>123</v>
      </c>
      <c r="J1134" s="20">
        <v>48</v>
      </c>
      <c r="K1134" s="34">
        <v>0</v>
      </c>
      <c r="L1134" s="34">
        <v>5</v>
      </c>
      <c r="M1134" s="19">
        <f>IF(OR(ISBLANK(C1134),C1134=""),"",ROUND((C1134-B1134)*24,2))</f>
        <v>29.27</v>
      </c>
      <c r="N1134" s="35" t="str">
        <f>IF(OR(ISBLANK(C1134),C1134="",M1134=""),"In Progress",IF(M1134&lt;=J1134,"Met","Breached"))</f>
        <v>Met</v>
      </c>
    </row>
    <row r="1135" ht="19" customHeight="1" spans="1:14" x14ac:dyDescent="0.25">
      <c r="A1135" s="22" t="s">
        <v>1249</v>
      </c>
      <c r="B1135" s="36">
        <v>46141.07152777778</v>
      </c>
      <c r="D1135" s="22" t="s">
        <v>39</v>
      </c>
      <c r="E1135" s="22" t="s">
        <v>65</v>
      </c>
      <c r="F1135" s="22" t="s">
        <v>45</v>
      </c>
      <c r="G1135" s="22" t="s">
        <v>121</v>
      </c>
      <c r="H1135" s="22" t="s">
        <v>71</v>
      </c>
      <c r="I1135" s="22" t="s">
        <v>123</v>
      </c>
      <c r="J1135" s="23">
        <v>48</v>
      </c>
      <c r="K1135" s="37">
        <v>0</v>
      </c>
      <c r="M1135" s="22" t="str">
        <f>IF(OR(ISBLANK(C1135),C1135=""),"",ROUND((C1135-B1135)*24,2))</f>
        <v/>
      </c>
      <c r="N1135" s="22" t="str">
        <f>IF(OR(ISBLANK(C1135),C1135="",M1135=""),"In Progress",IF(M1135&lt;=J1135,"Met","Breached"))</f>
        <v>In Progress</v>
      </c>
    </row>
    <row r="1136" ht="19" customHeight="1" spans="1:14" x14ac:dyDescent="0.25">
      <c r="A1136" s="19" t="s">
        <v>1250</v>
      </c>
      <c r="B1136" s="33">
        <v>46096.575</v>
      </c>
      <c r="C1136" s="33">
        <v>46100.13125</v>
      </c>
      <c r="D1136" s="19" t="s">
        <v>36</v>
      </c>
      <c r="E1136" s="19" t="s">
        <v>65</v>
      </c>
      <c r="F1136" s="19" t="s">
        <v>45</v>
      </c>
      <c r="G1136" s="19" t="s">
        <v>121</v>
      </c>
      <c r="H1136" s="19" t="s">
        <v>59</v>
      </c>
      <c r="I1136" s="19" t="s">
        <v>108</v>
      </c>
      <c r="J1136" s="20">
        <v>48</v>
      </c>
      <c r="K1136" s="34">
        <v>0</v>
      </c>
      <c r="M1136" s="19">
        <f>IF(OR(ISBLANK(C1136),C1136=""),"",ROUND((C1136-B1136)*24,2))</f>
        <v>85.35</v>
      </c>
      <c r="N1136" s="39" t="str">
        <f>IF(OR(ISBLANK(C1136),C1136="",M1136=""),"In Progress",IF(M1136&lt;=J1136,"Met","Breached"))</f>
        <v>Breached</v>
      </c>
    </row>
    <row r="1137" ht="19" customHeight="1" spans="1:14" x14ac:dyDescent="0.25">
      <c r="A1137" s="22" t="s">
        <v>1251</v>
      </c>
      <c r="B1137" s="36">
        <v>46270.59305555555</v>
      </c>
      <c r="C1137" s="36">
        <v>46273.447222222225</v>
      </c>
      <c r="D1137" s="22" t="s">
        <v>33</v>
      </c>
      <c r="E1137" s="22" t="s">
        <v>65</v>
      </c>
      <c r="F1137" s="22" t="s">
        <v>45</v>
      </c>
      <c r="G1137" s="22" t="s">
        <v>113</v>
      </c>
      <c r="H1137" s="22" t="s">
        <v>59</v>
      </c>
      <c r="I1137" s="22" t="s">
        <v>114</v>
      </c>
      <c r="J1137" s="23">
        <v>48</v>
      </c>
      <c r="K1137" s="37">
        <v>0</v>
      </c>
      <c r="L1137" s="37">
        <v>4</v>
      </c>
      <c r="M1137" s="22">
        <f>IF(OR(ISBLANK(C1137),C1137=""),"",ROUND((C1137-B1137)*24,2))</f>
        <v>68.5</v>
      </c>
      <c r="N1137" s="38" t="str">
        <f>IF(OR(ISBLANK(C1137),C1137="",M1137=""),"In Progress",IF(M1137&lt;=J1137,"Met","Breached"))</f>
        <v>Breached</v>
      </c>
    </row>
    <row r="1138" ht="19" customHeight="1" spans="1:14" x14ac:dyDescent="0.25">
      <c r="A1138" s="19" t="s">
        <v>1252</v>
      </c>
      <c r="B1138" s="33">
        <v>45770.41805555555</v>
      </c>
      <c r="C1138" s="33">
        <v>45776.49444444444</v>
      </c>
      <c r="D1138" s="19" t="s">
        <v>36</v>
      </c>
      <c r="E1138" s="19" t="s">
        <v>69</v>
      </c>
      <c r="F1138" s="19" t="s">
        <v>45</v>
      </c>
      <c r="G1138" s="19" t="s">
        <v>121</v>
      </c>
      <c r="H1138" s="19" t="s">
        <v>67</v>
      </c>
      <c r="I1138" s="19" t="s">
        <v>147</v>
      </c>
      <c r="J1138" s="20">
        <v>120</v>
      </c>
      <c r="K1138" s="34">
        <v>0</v>
      </c>
      <c r="M1138" s="19">
        <f>IF(OR(ISBLANK(C1138),C1138=""),"",ROUND((C1138-B1138)*24,2))</f>
        <v>145.83</v>
      </c>
      <c r="N1138" s="39" t="str">
        <f>IF(OR(ISBLANK(C1138),C1138="",M1138=""),"In Progress",IF(M1138&lt;=J1138,"Met","Breached"))</f>
        <v>Breached</v>
      </c>
    </row>
    <row r="1139" ht="19" customHeight="1" spans="1:14" x14ac:dyDescent="0.25">
      <c r="A1139" s="22" t="s">
        <v>1253</v>
      </c>
      <c r="B1139" s="36">
        <v>45791.34861111111</v>
      </c>
      <c r="C1139" s="36">
        <v>45800.007638888885</v>
      </c>
      <c r="D1139" s="22" t="s">
        <v>36</v>
      </c>
      <c r="E1139" s="22" t="s">
        <v>69</v>
      </c>
      <c r="F1139" s="22" t="s">
        <v>45</v>
      </c>
      <c r="G1139" s="22" t="s">
        <v>113</v>
      </c>
      <c r="H1139" s="22" t="s">
        <v>63</v>
      </c>
      <c r="I1139" s="22" t="s">
        <v>111</v>
      </c>
      <c r="J1139" s="23">
        <v>120</v>
      </c>
      <c r="K1139" s="37">
        <v>0</v>
      </c>
      <c r="L1139" s="37">
        <v>3</v>
      </c>
      <c r="M1139" s="22">
        <f>IF(OR(ISBLANK(C1139),C1139=""),"",ROUND((C1139-B1139)*24,2))</f>
        <v>207.82</v>
      </c>
      <c r="N1139" s="38" t="str">
        <f>IF(OR(ISBLANK(C1139),C1139="",M1139=""),"In Progress",IF(M1139&lt;=J1139,"Met","Breached"))</f>
        <v>Breached</v>
      </c>
    </row>
    <row r="1140" ht="19" customHeight="1" spans="1:14" x14ac:dyDescent="0.25">
      <c r="A1140" s="19" t="s">
        <v>1254</v>
      </c>
      <c r="B1140" s="33">
        <v>46091.08263888889</v>
      </c>
      <c r="C1140" s="33">
        <v>46092.21875</v>
      </c>
      <c r="D1140" s="19" t="s">
        <v>33</v>
      </c>
      <c r="E1140" s="19" t="s">
        <v>65</v>
      </c>
      <c r="F1140" s="19" t="s">
        <v>37</v>
      </c>
      <c r="G1140" s="19" t="s">
        <v>121</v>
      </c>
      <c r="H1140" s="19" t="s">
        <v>59</v>
      </c>
      <c r="I1140" s="19" t="s">
        <v>123</v>
      </c>
      <c r="J1140" s="20">
        <v>48</v>
      </c>
      <c r="K1140" s="34">
        <v>0</v>
      </c>
      <c r="L1140" s="34">
        <v>5</v>
      </c>
      <c r="M1140" s="19">
        <f>IF(OR(ISBLANK(C1140),C1140=""),"",ROUND((C1140-B1140)*24,2))</f>
        <v>27.27</v>
      </c>
      <c r="N1140" s="35" t="str">
        <f>IF(OR(ISBLANK(C1140),C1140="",M1140=""),"In Progress",IF(M1140&lt;=J1140,"Met","Breached"))</f>
        <v>Met</v>
      </c>
    </row>
    <row r="1141" ht="19" customHeight="1" spans="1:14" x14ac:dyDescent="0.25">
      <c r="A1141" s="22" t="s">
        <v>1255</v>
      </c>
      <c r="B1141" s="36">
        <v>46237.53263888889</v>
      </c>
      <c r="D1141" s="22" t="s">
        <v>39</v>
      </c>
      <c r="E1141" s="22" t="s">
        <v>65</v>
      </c>
      <c r="F1141" s="22" t="s">
        <v>34</v>
      </c>
      <c r="G1141" s="22" t="s">
        <v>126</v>
      </c>
      <c r="H1141" s="22" t="s">
        <v>71</v>
      </c>
      <c r="I1141" s="22" t="s">
        <v>147</v>
      </c>
      <c r="J1141" s="23">
        <v>48</v>
      </c>
      <c r="K1141" s="37">
        <v>0</v>
      </c>
      <c r="M1141" s="22" t="str">
        <f>IF(OR(ISBLANK(C1141),C1141=""),"",ROUND((C1141-B1141)*24,2))</f>
        <v/>
      </c>
      <c r="N1141" s="22" t="str">
        <f>IF(OR(ISBLANK(C1141),C1141="",M1141=""),"In Progress",IF(M1141&lt;=J1141,"Met","Breached"))</f>
        <v>In Progress</v>
      </c>
    </row>
    <row r="1142" ht="19" customHeight="1" spans="1:14" x14ac:dyDescent="0.25">
      <c r="A1142" s="19" t="s">
        <v>1256</v>
      </c>
      <c r="B1142" s="33">
        <v>46135.63680555555</v>
      </c>
      <c r="C1142" s="33">
        <v>46137.256944444445</v>
      </c>
      <c r="D1142" s="19" t="s">
        <v>33</v>
      </c>
      <c r="E1142" s="19" t="s">
        <v>65</v>
      </c>
      <c r="F1142" s="19" t="s">
        <v>43</v>
      </c>
      <c r="G1142" s="19" t="s">
        <v>113</v>
      </c>
      <c r="H1142" s="19" t="s">
        <v>71</v>
      </c>
      <c r="I1142" s="19" t="s">
        <v>111</v>
      </c>
      <c r="J1142" s="20">
        <v>48</v>
      </c>
      <c r="K1142" s="34">
        <v>0</v>
      </c>
      <c r="L1142" s="34">
        <v>2</v>
      </c>
      <c r="M1142" s="19">
        <f>IF(OR(ISBLANK(C1142),C1142=""),"",ROUND((C1142-B1142)*24,2))</f>
        <v>38.88</v>
      </c>
      <c r="N1142" s="35" t="str">
        <f>IF(OR(ISBLANK(C1142),C1142="",M1142=""),"In Progress",IF(M1142&lt;=J1142,"Met","Breached"))</f>
        <v>Met</v>
      </c>
    </row>
    <row r="1143" ht="19" customHeight="1" spans="1:14" x14ac:dyDescent="0.25">
      <c r="A1143" s="22" t="s">
        <v>1257</v>
      </c>
      <c r="B1143" s="36">
        <v>45906.075694444444</v>
      </c>
      <c r="C1143" s="36">
        <v>45906.93611111111</v>
      </c>
      <c r="D1143" s="22" t="s">
        <v>33</v>
      </c>
      <c r="E1143" s="22" t="s">
        <v>61</v>
      </c>
      <c r="F1143" s="22" t="s">
        <v>37</v>
      </c>
      <c r="G1143" s="22" t="s">
        <v>126</v>
      </c>
      <c r="H1143" s="22" t="s">
        <v>63</v>
      </c>
      <c r="I1143" s="22" t="s">
        <v>117</v>
      </c>
      <c r="J1143" s="23">
        <v>12</v>
      </c>
      <c r="K1143" s="37">
        <v>0</v>
      </c>
      <c r="L1143" s="37">
        <v>3</v>
      </c>
      <c r="M1143" s="22">
        <f>IF(OR(ISBLANK(C1143),C1143=""),"",ROUND((C1143-B1143)*24,2))</f>
        <v>20.65</v>
      </c>
      <c r="N1143" s="38" t="str">
        <f>IF(OR(ISBLANK(C1143),C1143="",M1143=""),"In Progress",IF(M1143&lt;=J1143,"Met","Breached"))</f>
        <v>Breached</v>
      </c>
    </row>
    <row r="1144" ht="19" customHeight="1" spans="1:14" x14ac:dyDescent="0.25">
      <c r="A1144" s="19" t="s">
        <v>1258</v>
      </c>
      <c r="B1144" s="33">
        <v>45840.28333333333</v>
      </c>
      <c r="C1144" s="33">
        <v>45843.125</v>
      </c>
      <c r="D1144" s="19" t="s">
        <v>36</v>
      </c>
      <c r="E1144" s="19" t="s">
        <v>65</v>
      </c>
      <c r="F1144" s="19" t="s">
        <v>43</v>
      </c>
      <c r="G1144" s="19" t="s">
        <v>121</v>
      </c>
      <c r="H1144" s="19" t="s">
        <v>59</v>
      </c>
      <c r="I1144" s="19" t="s">
        <v>108</v>
      </c>
      <c r="J1144" s="20">
        <v>48</v>
      </c>
      <c r="K1144" s="34">
        <v>0</v>
      </c>
      <c r="M1144" s="19">
        <f>IF(OR(ISBLANK(C1144),C1144=""),"",ROUND((C1144-B1144)*24,2))</f>
        <v>68.2</v>
      </c>
      <c r="N1144" s="39" t="str">
        <f>IF(OR(ISBLANK(C1144),C1144="",M1144=""),"In Progress",IF(M1144&lt;=J1144,"Met","Breached"))</f>
        <v>Breached</v>
      </c>
    </row>
    <row r="1145" ht="19" customHeight="1" spans="1:14" x14ac:dyDescent="0.25">
      <c r="A1145" s="22" t="s">
        <v>1259</v>
      </c>
      <c r="B1145" s="36">
        <v>46211.39166666666</v>
      </c>
      <c r="C1145" s="36">
        <v>46214.62291666667</v>
      </c>
      <c r="D1145" s="22" t="s">
        <v>33</v>
      </c>
      <c r="E1145" s="22" t="s">
        <v>65</v>
      </c>
      <c r="F1145" s="22" t="s">
        <v>45</v>
      </c>
      <c r="G1145" s="22" t="s">
        <v>110</v>
      </c>
      <c r="H1145" s="22" t="s">
        <v>67</v>
      </c>
      <c r="I1145" s="22" t="s">
        <v>114</v>
      </c>
      <c r="J1145" s="23">
        <v>48</v>
      </c>
      <c r="K1145" s="37">
        <v>0</v>
      </c>
      <c r="L1145" s="37">
        <v>1</v>
      </c>
      <c r="M1145" s="22">
        <f>IF(OR(ISBLANK(C1145),C1145=""),"",ROUND((C1145-B1145)*24,2))</f>
        <v>77.55</v>
      </c>
      <c r="N1145" s="38" t="str">
        <f>IF(OR(ISBLANK(C1145),C1145="",M1145=""),"In Progress",IF(M1145&lt;=J1145,"Met","Breached"))</f>
        <v>Breached</v>
      </c>
    </row>
    <row r="1146" ht="19" customHeight="1" spans="1:14" x14ac:dyDescent="0.25">
      <c r="A1146" s="19" t="s">
        <v>1260</v>
      </c>
      <c r="B1146" s="33">
        <v>45930.29583333334</v>
      </c>
      <c r="C1146" s="33">
        <v>45930.97083333333</v>
      </c>
      <c r="D1146" s="19" t="s">
        <v>33</v>
      </c>
      <c r="E1146" s="19" t="s">
        <v>65</v>
      </c>
      <c r="F1146" s="19" t="s">
        <v>40</v>
      </c>
      <c r="G1146" s="19" t="s">
        <v>113</v>
      </c>
      <c r="H1146" s="19" t="s">
        <v>67</v>
      </c>
      <c r="I1146" s="19" t="s">
        <v>123</v>
      </c>
      <c r="J1146" s="20">
        <v>48</v>
      </c>
      <c r="K1146" s="34">
        <v>0</v>
      </c>
      <c r="L1146" s="34">
        <v>3</v>
      </c>
      <c r="M1146" s="19">
        <f>IF(OR(ISBLANK(C1146),C1146=""),"",ROUND((C1146-B1146)*24,2))</f>
        <v>16.2</v>
      </c>
      <c r="N1146" s="35" t="str">
        <f>IF(OR(ISBLANK(C1146),C1146="",M1146=""),"In Progress",IF(M1146&lt;=J1146,"Met","Breached"))</f>
        <v>Met</v>
      </c>
    </row>
    <row r="1147" ht="19" customHeight="1" spans="1:14" x14ac:dyDescent="0.25">
      <c r="A1147" s="22" t="s">
        <v>1261</v>
      </c>
      <c r="B1147" s="36">
        <v>45789.16736111111</v>
      </c>
      <c r="D1147" s="22" t="s">
        <v>39</v>
      </c>
      <c r="E1147" s="22" t="s">
        <v>65</v>
      </c>
      <c r="F1147" s="22" t="s">
        <v>37</v>
      </c>
      <c r="G1147" s="22" t="s">
        <v>121</v>
      </c>
      <c r="H1147" s="22" t="s">
        <v>63</v>
      </c>
      <c r="I1147" s="22" t="s">
        <v>108</v>
      </c>
      <c r="J1147" s="23">
        <v>48</v>
      </c>
      <c r="K1147" s="37">
        <v>0</v>
      </c>
      <c r="M1147" s="22" t="str">
        <f>IF(OR(ISBLANK(C1147),C1147=""),"",ROUND((C1147-B1147)*24,2))</f>
        <v/>
      </c>
      <c r="N1147" s="22" t="str">
        <f>IF(OR(ISBLANK(C1147),C1147="",M1147=""),"In Progress",IF(M1147&lt;=J1147,"Met","Breached"))</f>
        <v>In Progress</v>
      </c>
    </row>
    <row r="1148" ht="19" customHeight="1" spans="1:14" x14ac:dyDescent="0.25">
      <c r="A1148" s="19" t="s">
        <v>1262</v>
      </c>
      <c r="B1148" s="33">
        <v>46177.13888888889</v>
      </c>
      <c r="C1148" s="33">
        <v>46177.44652777778</v>
      </c>
      <c r="D1148" s="19" t="s">
        <v>36</v>
      </c>
      <c r="E1148" s="19" t="s">
        <v>61</v>
      </c>
      <c r="F1148" s="19" t="s">
        <v>34</v>
      </c>
      <c r="G1148" s="19" t="s">
        <v>110</v>
      </c>
      <c r="H1148" s="19" t="s">
        <v>59</v>
      </c>
      <c r="I1148" s="19" t="s">
        <v>117</v>
      </c>
      <c r="J1148" s="20">
        <v>12</v>
      </c>
      <c r="K1148" s="34">
        <v>0</v>
      </c>
      <c r="L1148" s="34">
        <v>3</v>
      </c>
      <c r="M1148" s="19">
        <f>IF(OR(ISBLANK(C1148),C1148=""),"",ROUND((C1148-B1148)*24,2))</f>
        <v>7.38</v>
      </c>
      <c r="N1148" s="35" t="str">
        <f>IF(OR(ISBLANK(C1148),C1148="",M1148=""),"In Progress",IF(M1148&lt;=J1148,"Met","Breached"))</f>
        <v>Met</v>
      </c>
    </row>
    <row r="1149" ht="19" customHeight="1" spans="1:14" x14ac:dyDescent="0.25">
      <c r="A1149" s="22" t="s">
        <v>1263</v>
      </c>
      <c r="B1149" s="36">
        <v>46165.77222222222</v>
      </c>
      <c r="D1149" s="22" t="s">
        <v>42</v>
      </c>
      <c r="E1149" s="22" t="s">
        <v>57</v>
      </c>
      <c r="F1149" s="22" t="s">
        <v>34</v>
      </c>
      <c r="G1149" s="22" t="s">
        <v>121</v>
      </c>
      <c r="H1149" s="22" t="s">
        <v>63</v>
      </c>
      <c r="I1149" s="22" t="s">
        <v>108</v>
      </c>
      <c r="J1149" s="23">
        <v>4</v>
      </c>
      <c r="K1149" s="37">
        <v>0</v>
      </c>
      <c r="M1149" s="22" t="str">
        <f>IF(OR(ISBLANK(C1149),C1149=""),"",ROUND((C1149-B1149)*24,2))</f>
        <v/>
      </c>
      <c r="N1149" s="22" t="str">
        <f>IF(OR(ISBLANK(C1149),C1149="",M1149=""),"In Progress",IF(M1149&lt;=J1149,"Met","Breached"))</f>
        <v>In Progress</v>
      </c>
    </row>
    <row r="1150" ht="19" customHeight="1" spans="1:14" x14ac:dyDescent="0.25">
      <c r="A1150" s="19" t="s">
        <v>1264</v>
      </c>
      <c r="B1150" s="33">
        <v>46031.82291666667</v>
      </c>
      <c r="C1150" s="33">
        <v>46040.152083333334</v>
      </c>
      <c r="D1150" s="19" t="s">
        <v>33</v>
      </c>
      <c r="E1150" s="19" t="s">
        <v>69</v>
      </c>
      <c r="F1150" s="19" t="s">
        <v>34</v>
      </c>
      <c r="G1150" s="19" t="s">
        <v>121</v>
      </c>
      <c r="H1150" s="19" t="s">
        <v>63</v>
      </c>
      <c r="I1150" s="19" t="s">
        <v>147</v>
      </c>
      <c r="J1150" s="20">
        <v>120</v>
      </c>
      <c r="K1150" s="34">
        <v>0</v>
      </c>
      <c r="L1150" s="34">
        <v>3</v>
      </c>
      <c r="M1150" s="19">
        <f>IF(OR(ISBLANK(C1150),C1150=""),"",ROUND((C1150-B1150)*24,2))</f>
        <v>199.9</v>
      </c>
      <c r="N1150" s="39" t="str">
        <f>IF(OR(ISBLANK(C1150),C1150="",M1150=""),"In Progress",IF(M1150&lt;=J1150,"Met","Breached"))</f>
        <v>Breached</v>
      </c>
    </row>
    <row r="1151" ht="19" customHeight="1" spans="1:14" x14ac:dyDescent="0.25">
      <c r="A1151" s="22" t="s">
        <v>1265</v>
      </c>
      <c r="B1151" s="36">
        <v>45896.35</v>
      </c>
      <c r="C1151" s="36">
        <v>45899.1875</v>
      </c>
      <c r="D1151" s="22" t="s">
        <v>36</v>
      </c>
      <c r="E1151" s="22" t="s">
        <v>69</v>
      </c>
      <c r="F1151" s="22" t="s">
        <v>40</v>
      </c>
      <c r="G1151" s="22" t="s">
        <v>110</v>
      </c>
      <c r="H1151" s="22" t="s">
        <v>71</v>
      </c>
      <c r="I1151" s="22" t="s">
        <v>147</v>
      </c>
      <c r="J1151" s="23">
        <v>120</v>
      </c>
      <c r="K1151" s="37">
        <v>0</v>
      </c>
      <c r="L1151" s="37">
        <v>2</v>
      </c>
      <c r="M1151" s="22">
        <f>IF(OR(ISBLANK(C1151),C1151=""),"",ROUND((C1151-B1151)*24,2))</f>
        <v>68.1</v>
      </c>
      <c r="N1151" s="40" t="str">
        <f>IF(OR(ISBLANK(C1151),C1151="",M1151=""),"In Progress",IF(M1151&lt;=J1151,"Met","Breached"))</f>
        <v>Met</v>
      </c>
    </row>
    <row r="1152" ht="19" customHeight="1" spans="1:14" x14ac:dyDescent="0.25">
      <c r="A1152" s="19" t="s">
        <v>1266</v>
      </c>
      <c r="B1152" s="33">
        <v>45792.538888888885</v>
      </c>
      <c r="C1152" s="33">
        <v>45797.972916666666</v>
      </c>
      <c r="D1152" s="19" t="s">
        <v>33</v>
      </c>
      <c r="E1152" s="19" t="s">
        <v>69</v>
      </c>
      <c r="F1152" s="19" t="s">
        <v>37</v>
      </c>
      <c r="G1152" s="19" t="s">
        <v>63</v>
      </c>
      <c r="H1152" s="19" t="s">
        <v>63</v>
      </c>
      <c r="I1152" s="19" t="s">
        <v>123</v>
      </c>
      <c r="J1152" s="20">
        <v>120</v>
      </c>
      <c r="K1152" s="34">
        <v>0</v>
      </c>
      <c r="L1152" s="34">
        <v>3</v>
      </c>
      <c r="M1152" s="19">
        <f>IF(OR(ISBLANK(C1152),C1152=""),"",ROUND((C1152-B1152)*24,2))</f>
        <v>130.42</v>
      </c>
      <c r="N1152" s="39" t="str">
        <f>IF(OR(ISBLANK(C1152),C1152="",M1152=""),"In Progress",IF(M1152&lt;=J1152,"Met","Breached"))</f>
        <v>Breached</v>
      </c>
    </row>
    <row r="1153" ht="19" customHeight="1" spans="1:14" x14ac:dyDescent="0.25">
      <c r="A1153" s="22" t="s">
        <v>1267</v>
      </c>
      <c r="B1153" s="36">
        <v>45750.257638888885</v>
      </c>
      <c r="C1153" s="36">
        <v>45751.194444444445</v>
      </c>
      <c r="D1153" s="22" t="s">
        <v>33</v>
      </c>
      <c r="E1153" s="22" t="s">
        <v>65</v>
      </c>
      <c r="F1153" s="22" t="s">
        <v>37</v>
      </c>
      <c r="G1153" s="22" t="s">
        <v>126</v>
      </c>
      <c r="H1153" s="22" t="s">
        <v>59</v>
      </c>
      <c r="I1153" s="22" t="s">
        <v>114</v>
      </c>
      <c r="J1153" s="23">
        <v>48</v>
      </c>
      <c r="K1153" s="37">
        <v>0</v>
      </c>
      <c r="M1153" s="22">
        <f>IF(OR(ISBLANK(C1153),C1153=""),"",ROUND((C1153-B1153)*24,2))</f>
        <v>22.48</v>
      </c>
      <c r="N1153" s="40" t="str">
        <f>IF(OR(ISBLANK(C1153),C1153="",M1153=""),"In Progress",IF(M1153&lt;=J1153,"Met","Breached"))</f>
        <v>Met</v>
      </c>
    </row>
    <row r="1154" ht="19" customHeight="1" spans="1:14" x14ac:dyDescent="0.25">
      <c r="A1154" s="19" t="s">
        <v>1268</v>
      </c>
      <c r="B1154" s="33">
        <v>45746.72986111111</v>
      </c>
      <c r="D1154" s="19" t="s">
        <v>42</v>
      </c>
      <c r="E1154" s="19" t="s">
        <v>61</v>
      </c>
      <c r="F1154" s="19" t="s">
        <v>37</v>
      </c>
      <c r="G1154" s="19" t="s">
        <v>110</v>
      </c>
      <c r="H1154" s="19" t="s">
        <v>59</v>
      </c>
      <c r="I1154" s="19" t="s">
        <v>123</v>
      </c>
      <c r="J1154" s="20">
        <v>12</v>
      </c>
      <c r="K1154" s="34">
        <v>0</v>
      </c>
      <c r="M1154" s="19" t="str">
        <f>IF(OR(ISBLANK(C1154),C1154=""),"",ROUND((C1154-B1154)*24,2))</f>
        <v/>
      </c>
      <c r="N1154" s="19" t="str">
        <f>IF(OR(ISBLANK(C1154),C1154="",M1154=""),"In Progress",IF(M1154&lt;=J1154,"Met","Breached"))</f>
        <v>In Progress</v>
      </c>
    </row>
    <row r="1155" ht="19" customHeight="1" spans="1:14" x14ac:dyDescent="0.25">
      <c r="A1155" s="22" t="s">
        <v>1269</v>
      </c>
      <c r="B1155" s="36">
        <v>45667.339583333334</v>
      </c>
      <c r="C1155" s="36">
        <v>45669.615277777775</v>
      </c>
      <c r="D1155" s="22" t="s">
        <v>33</v>
      </c>
      <c r="E1155" s="22" t="s">
        <v>69</v>
      </c>
      <c r="F1155" s="22" t="s">
        <v>43</v>
      </c>
      <c r="G1155" s="22" t="s">
        <v>113</v>
      </c>
      <c r="H1155" s="22" t="s">
        <v>59</v>
      </c>
      <c r="I1155" s="22" t="s">
        <v>117</v>
      </c>
      <c r="J1155" s="23">
        <v>120</v>
      </c>
      <c r="K1155" s="37">
        <v>0</v>
      </c>
      <c r="L1155" s="37">
        <v>3</v>
      </c>
      <c r="M1155" s="22">
        <f>IF(OR(ISBLANK(C1155),C1155=""),"",ROUND((C1155-B1155)*24,2))</f>
        <v>54.62</v>
      </c>
      <c r="N1155" s="40" t="str">
        <f>IF(OR(ISBLANK(C1155),C1155="",M1155=""),"In Progress",IF(M1155&lt;=J1155,"Met","Breached"))</f>
        <v>Met</v>
      </c>
    </row>
    <row r="1156" ht="19" customHeight="1" spans="1:14" x14ac:dyDescent="0.25">
      <c r="A1156" s="19" t="s">
        <v>1270</v>
      </c>
      <c r="B1156" s="33">
        <v>46046.242361111115</v>
      </c>
      <c r="D1156" s="19" t="s">
        <v>39</v>
      </c>
      <c r="E1156" s="19" t="s">
        <v>57</v>
      </c>
      <c r="F1156" s="19" t="s">
        <v>40</v>
      </c>
      <c r="G1156" s="19" t="s">
        <v>121</v>
      </c>
      <c r="H1156" s="19" t="s">
        <v>59</v>
      </c>
      <c r="I1156" s="19" t="s">
        <v>108</v>
      </c>
      <c r="J1156" s="20">
        <v>4</v>
      </c>
      <c r="K1156" s="34">
        <v>0</v>
      </c>
      <c r="M1156" s="19" t="str">
        <f>IF(OR(ISBLANK(C1156),C1156=""),"",ROUND((C1156-B1156)*24,2))</f>
        <v/>
      </c>
      <c r="N1156" s="19" t="str">
        <f>IF(OR(ISBLANK(C1156),C1156="",M1156=""),"In Progress",IF(M1156&lt;=J1156,"Met","Breached"))</f>
        <v>In Progress</v>
      </c>
    </row>
    <row r="1157" ht="19" customHeight="1" spans="1:14" x14ac:dyDescent="0.25">
      <c r="A1157" s="22" t="s">
        <v>1271</v>
      </c>
      <c r="B1157" s="36">
        <v>46198.367361111115</v>
      </c>
      <c r="C1157" s="36">
        <v>46199.075694444444</v>
      </c>
      <c r="D1157" s="22" t="s">
        <v>33</v>
      </c>
      <c r="E1157" s="22" t="s">
        <v>65</v>
      </c>
      <c r="F1157" s="22" t="s">
        <v>43</v>
      </c>
      <c r="G1157" s="22" t="s">
        <v>110</v>
      </c>
      <c r="H1157" s="22" t="s">
        <v>59</v>
      </c>
      <c r="I1157" s="22" t="s">
        <v>123</v>
      </c>
      <c r="J1157" s="23">
        <v>48</v>
      </c>
      <c r="K1157" s="37">
        <v>0</v>
      </c>
      <c r="M1157" s="22">
        <f>IF(OR(ISBLANK(C1157),C1157=""),"",ROUND((C1157-B1157)*24,2))</f>
        <v>17</v>
      </c>
      <c r="N1157" s="40" t="str">
        <f>IF(OR(ISBLANK(C1157),C1157="",M1157=""),"In Progress",IF(M1157&lt;=J1157,"Met","Breached"))</f>
        <v>Met</v>
      </c>
    </row>
    <row r="1158" ht="19" customHeight="1" spans="1:14" x14ac:dyDescent="0.25">
      <c r="A1158" s="19" t="s">
        <v>1272</v>
      </c>
      <c r="B1158" s="33">
        <v>45701.09444444445</v>
      </c>
      <c r="C1158" s="33">
        <v>45702.76111111111</v>
      </c>
      <c r="D1158" s="19" t="s">
        <v>33</v>
      </c>
      <c r="E1158" s="19" t="s">
        <v>65</v>
      </c>
      <c r="F1158" s="19" t="s">
        <v>43</v>
      </c>
      <c r="G1158" s="19" t="s">
        <v>121</v>
      </c>
      <c r="H1158" s="19" t="s">
        <v>63</v>
      </c>
      <c r="I1158" s="19" t="s">
        <v>117</v>
      </c>
      <c r="J1158" s="20">
        <v>48</v>
      </c>
      <c r="K1158" s="34">
        <v>0</v>
      </c>
      <c r="L1158" s="34">
        <v>5</v>
      </c>
      <c r="M1158" s="19">
        <f>IF(OR(ISBLANK(C1158),C1158=""),"",ROUND((C1158-B1158)*24,2))</f>
        <v>40</v>
      </c>
      <c r="N1158" s="35" t="str">
        <f>IF(OR(ISBLANK(C1158),C1158="",M1158=""),"In Progress",IF(M1158&lt;=J1158,"Met","Breached"))</f>
        <v>Met</v>
      </c>
    </row>
    <row r="1159" ht="19" customHeight="1" spans="1:14" x14ac:dyDescent="0.25">
      <c r="A1159" s="22" t="s">
        <v>1273</v>
      </c>
      <c r="B1159" s="36">
        <v>45737.0625</v>
      </c>
      <c r="D1159" s="22" t="s">
        <v>42</v>
      </c>
      <c r="E1159" s="22" t="s">
        <v>65</v>
      </c>
      <c r="F1159" s="22" t="s">
        <v>34</v>
      </c>
      <c r="G1159" s="22" t="s">
        <v>110</v>
      </c>
      <c r="H1159" s="22" t="s">
        <v>67</v>
      </c>
      <c r="I1159" s="22" t="s">
        <v>108</v>
      </c>
      <c r="J1159" s="23">
        <v>48</v>
      </c>
      <c r="K1159" s="37">
        <v>0</v>
      </c>
      <c r="M1159" s="22" t="str">
        <f>IF(OR(ISBLANK(C1159),C1159=""),"",ROUND((C1159-B1159)*24,2))</f>
        <v/>
      </c>
      <c r="N1159" s="22" t="str">
        <f>IF(OR(ISBLANK(C1159),C1159="",M1159=""),"In Progress",IF(M1159&lt;=J1159,"Met","Breached"))</f>
        <v>In Progress</v>
      </c>
    </row>
    <row r="1160" ht="19" customHeight="1" spans="1:14" x14ac:dyDescent="0.25">
      <c r="A1160" s="19" t="s">
        <v>1274</v>
      </c>
      <c r="B1160" s="33">
        <v>46090.40277777778</v>
      </c>
      <c r="C1160" s="33">
        <v>46098.88125</v>
      </c>
      <c r="D1160" s="19" t="s">
        <v>36</v>
      </c>
      <c r="E1160" s="19" t="s">
        <v>69</v>
      </c>
      <c r="F1160" s="19" t="s">
        <v>37</v>
      </c>
      <c r="G1160" s="19" t="s">
        <v>63</v>
      </c>
      <c r="H1160" s="19" t="s">
        <v>67</v>
      </c>
      <c r="I1160" s="19" t="s">
        <v>108</v>
      </c>
      <c r="J1160" s="20">
        <v>120</v>
      </c>
      <c r="K1160" s="34">
        <v>0</v>
      </c>
      <c r="L1160" s="34">
        <v>4</v>
      </c>
      <c r="M1160" s="19">
        <f>IF(OR(ISBLANK(C1160),C1160=""),"",ROUND((C1160-B1160)*24,2))</f>
        <v>203.48</v>
      </c>
      <c r="N1160" s="39" t="str">
        <f>IF(OR(ISBLANK(C1160),C1160="",M1160=""),"In Progress",IF(M1160&lt;=J1160,"Met","Breached"))</f>
        <v>Breached</v>
      </c>
    </row>
    <row r="1161" ht="19" customHeight="1" spans="1:14" x14ac:dyDescent="0.25">
      <c r="A1161" s="22" t="s">
        <v>1275</v>
      </c>
      <c r="B1161" s="36">
        <v>46063.802777777775</v>
      </c>
      <c r="C1161" s="36">
        <v>46064.09652777778</v>
      </c>
      <c r="D1161" s="22" t="s">
        <v>33</v>
      </c>
      <c r="E1161" s="22" t="s">
        <v>61</v>
      </c>
      <c r="F1161" s="22" t="s">
        <v>43</v>
      </c>
      <c r="G1161" s="22" t="s">
        <v>126</v>
      </c>
      <c r="H1161" s="22" t="s">
        <v>59</v>
      </c>
      <c r="I1161" s="22" t="s">
        <v>114</v>
      </c>
      <c r="J1161" s="23">
        <v>12</v>
      </c>
      <c r="K1161" s="37">
        <v>0</v>
      </c>
      <c r="L1161" s="37">
        <v>5</v>
      </c>
      <c r="M1161" s="22">
        <f>IF(OR(ISBLANK(C1161),C1161=""),"",ROUND((C1161-B1161)*24,2))</f>
        <v>7.05</v>
      </c>
      <c r="N1161" s="40" t="str">
        <f>IF(OR(ISBLANK(C1161),C1161="",M1161=""),"In Progress",IF(M1161&lt;=J1161,"Met","Breached"))</f>
        <v>Met</v>
      </c>
    </row>
    <row r="1162" ht="19" customHeight="1" spans="1:14" x14ac:dyDescent="0.25">
      <c r="A1162" s="19" t="s">
        <v>1276</v>
      </c>
      <c r="B1162" s="33">
        <v>45897.28333333333</v>
      </c>
      <c r="C1162" s="33">
        <v>45898.62638888889</v>
      </c>
      <c r="D1162" s="19" t="s">
        <v>33</v>
      </c>
      <c r="E1162" s="19" t="s">
        <v>65</v>
      </c>
      <c r="F1162" s="19" t="s">
        <v>34</v>
      </c>
      <c r="G1162" s="19" t="s">
        <v>110</v>
      </c>
      <c r="H1162" s="19" t="s">
        <v>59</v>
      </c>
      <c r="I1162" s="19" t="s">
        <v>114</v>
      </c>
      <c r="J1162" s="20">
        <v>48</v>
      </c>
      <c r="K1162" s="34">
        <v>1</v>
      </c>
      <c r="L1162" s="34">
        <v>4</v>
      </c>
      <c r="M1162" s="19">
        <f>IF(OR(ISBLANK(C1162),C1162=""),"",ROUND((C1162-B1162)*24,2))</f>
        <v>32.23</v>
      </c>
      <c r="N1162" s="35" t="str">
        <f>IF(OR(ISBLANK(C1162),C1162="",M1162=""),"In Progress",IF(M1162&lt;=J1162,"Met","Breached"))</f>
        <v>Met</v>
      </c>
    </row>
    <row r="1163" ht="19" customHeight="1" spans="1:14" x14ac:dyDescent="0.25">
      <c r="A1163" s="22" t="s">
        <v>1277</v>
      </c>
      <c r="B1163" s="36">
        <v>46052.65902777778</v>
      </c>
      <c r="C1163" s="36">
        <v>46052.773611111115</v>
      </c>
      <c r="D1163" s="22" t="s">
        <v>36</v>
      </c>
      <c r="E1163" s="22" t="s">
        <v>57</v>
      </c>
      <c r="F1163" s="22" t="s">
        <v>40</v>
      </c>
      <c r="G1163" s="22" t="s">
        <v>121</v>
      </c>
      <c r="H1163" s="22" t="s">
        <v>59</v>
      </c>
      <c r="I1163" s="22" t="s">
        <v>114</v>
      </c>
      <c r="J1163" s="23">
        <v>4</v>
      </c>
      <c r="K1163" s="37">
        <v>1</v>
      </c>
      <c r="L1163" s="37">
        <v>1</v>
      </c>
      <c r="M1163" s="22">
        <f>IF(OR(ISBLANK(C1163),C1163=""),"",ROUND((C1163-B1163)*24,2))</f>
        <v>2.75</v>
      </c>
      <c r="N1163" s="40" t="str">
        <f>IF(OR(ISBLANK(C1163),C1163="",M1163=""),"In Progress",IF(M1163&lt;=J1163,"Met","Breached"))</f>
        <v>Met</v>
      </c>
    </row>
    <row r="1164" ht="19" customHeight="1" spans="1:14" x14ac:dyDescent="0.25">
      <c r="A1164" s="19" t="s">
        <v>1278</v>
      </c>
      <c r="B1164" s="33">
        <v>45922.58194444445</v>
      </c>
      <c r="C1164" s="33">
        <v>45923.03194444445</v>
      </c>
      <c r="D1164" s="19" t="s">
        <v>33</v>
      </c>
      <c r="E1164" s="19" t="s">
        <v>61</v>
      </c>
      <c r="F1164" s="19" t="s">
        <v>37</v>
      </c>
      <c r="G1164" s="19" t="s">
        <v>126</v>
      </c>
      <c r="H1164" s="19" t="s">
        <v>59</v>
      </c>
      <c r="I1164" s="19" t="s">
        <v>114</v>
      </c>
      <c r="J1164" s="20">
        <v>12</v>
      </c>
      <c r="K1164" s="34">
        <v>0</v>
      </c>
      <c r="L1164" s="34">
        <v>4</v>
      </c>
      <c r="M1164" s="19">
        <f>IF(OR(ISBLANK(C1164),C1164=""),"",ROUND((C1164-B1164)*24,2))</f>
        <v>10.8</v>
      </c>
      <c r="N1164" s="35" t="str">
        <f>IF(OR(ISBLANK(C1164),C1164="",M1164=""),"In Progress",IF(M1164&lt;=J1164,"Met","Breached"))</f>
        <v>Met</v>
      </c>
    </row>
    <row r="1165" ht="19" customHeight="1" spans="1:14" x14ac:dyDescent="0.25">
      <c r="A1165" s="22" t="s">
        <v>1279</v>
      </c>
      <c r="B1165" s="36">
        <v>45717.32291666667</v>
      </c>
      <c r="D1165" s="22" t="s">
        <v>39</v>
      </c>
      <c r="E1165" s="22" t="s">
        <v>57</v>
      </c>
      <c r="F1165" s="22" t="s">
        <v>40</v>
      </c>
      <c r="G1165" s="22" t="s">
        <v>121</v>
      </c>
      <c r="H1165" s="22" t="s">
        <v>59</v>
      </c>
      <c r="I1165" s="22" t="s">
        <v>111</v>
      </c>
      <c r="J1165" s="23">
        <v>4</v>
      </c>
      <c r="K1165" s="37">
        <v>0</v>
      </c>
      <c r="M1165" s="22" t="str">
        <f>IF(OR(ISBLANK(C1165),C1165=""),"",ROUND((C1165-B1165)*24,2))</f>
        <v/>
      </c>
      <c r="N1165" s="22" t="str">
        <f>IF(OR(ISBLANK(C1165),C1165="",M1165=""),"In Progress",IF(M1165&lt;=J1165,"Met","Breached"))</f>
        <v>In Progress</v>
      </c>
    </row>
    <row r="1166" ht="19" customHeight="1" spans="1:14" x14ac:dyDescent="0.25">
      <c r="A1166" s="19" t="s">
        <v>1280</v>
      </c>
      <c r="B1166" s="33">
        <v>45667.94861111111</v>
      </c>
      <c r="C1166" s="33">
        <v>45670.19375</v>
      </c>
      <c r="D1166" s="19" t="s">
        <v>33</v>
      </c>
      <c r="E1166" s="19" t="s">
        <v>69</v>
      </c>
      <c r="F1166" s="19" t="s">
        <v>34</v>
      </c>
      <c r="G1166" s="19" t="s">
        <v>63</v>
      </c>
      <c r="H1166" s="19" t="s">
        <v>59</v>
      </c>
      <c r="I1166" s="19" t="s">
        <v>123</v>
      </c>
      <c r="J1166" s="20">
        <v>120</v>
      </c>
      <c r="K1166" s="34">
        <v>0</v>
      </c>
      <c r="L1166" s="34">
        <v>3</v>
      </c>
      <c r="M1166" s="19">
        <f>IF(OR(ISBLANK(C1166),C1166=""),"",ROUND((C1166-B1166)*24,2))</f>
        <v>53.88</v>
      </c>
      <c r="N1166" s="35" t="str">
        <f>IF(OR(ISBLANK(C1166),C1166="",M1166=""),"In Progress",IF(M1166&lt;=J1166,"Met","Breached"))</f>
        <v>Met</v>
      </c>
    </row>
    <row r="1167" ht="19" customHeight="1" spans="1:14" x14ac:dyDescent="0.25">
      <c r="A1167" s="22" t="s">
        <v>1281</v>
      </c>
      <c r="B1167" s="36">
        <v>45819.50902777778</v>
      </c>
      <c r="D1167" s="22" t="s">
        <v>42</v>
      </c>
      <c r="E1167" s="22" t="s">
        <v>65</v>
      </c>
      <c r="F1167" s="22" t="s">
        <v>34</v>
      </c>
      <c r="G1167" s="22" t="s">
        <v>113</v>
      </c>
      <c r="H1167" s="22" t="s">
        <v>71</v>
      </c>
      <c r="I1167" s="22" t="s">
        <v>114</v>
      </c>
      <c r="J1167" s="23">
        <v>48</v>
      </c>
      <c r="K1167" s="37">
        <v>0</v>
      </c>
      <c r="M1167" s="22" t="str">
        <f>IF(OR(ISBLANK(C1167),C1167=""),"",ROUND((C1167-B1167)*24,2))</f>
        <v/>
      </c>
      <c r="N1167" s="22" t="str">
        <f>IF(OR(ISBLANK(C1167),C1167="",M1167=""),"In Progress",IF(M1167&lt;=J1167,"Met","Breached"))</f>
        <v>In Progress</v>
      </c>
    </row>
    <row r="1168" ht="19" customHeight="1" spans="1:14" x14ac:dyDescent="0.25">
      <c r="A1168" s="19" t="s">
        <v>1282</v>
      </c>
      <c r="B1168" s="33">
        <v>46285.47777777778</v>
      </c>
      <c r="C1168" s="33">
        <v>46294.399305555555</v>
      </c>
      <c r="D1168" s="19" t="s">
        <v>33</v>
      </c>
      <c r="E1168" s="19" t="s">
        <v>69</v>
      </c>
      <c r="F1168" s="19" t="s">
        <v>34</v>
      </c>
      <c r="G1168" s="19" t="s">
        <v>116</v>
      </c>
      <c r="H1168" s="19" t="s">
        <v>59</v>
      </c>
      <c r="I1168" s="19" t="s">
        <v>123</v>
      </c>
      <c r="J1168" s="20">
        <v>120</v>
      </c>
      <c r="K1168" s="34">
        <v>0</v>
      </c>
      <c r="L1168" s="34">
        <v>2</v>
      </c>
      <c r="M1168" s="19">
        <f>IF(OR(ISBLANK(C1168),C1168=""),"",ROUND((C1168-B1168)*24,2))</f>
        <v>214.12</v>
      </c>
      <c r="N1168" s="39" t="str">
        <f>IF(OR(ISBLANK(C1168),C1168="",M1168=""),"In Progress",IF(M1168&lt;=J1168,"Met","Breached"))</f>
        <v>Breached</v>
      </c>
    </row>
    <row r="1169" ht="19" customHeight="1" spans="1:14" x14ac:dyDescent="0.25">
      <c r="A1169" s="22" t="s">
        <v>1283</v>
      </c>
      <c r="B1169" s="36">
        <v>45811.88402777778</v>
      </c>
      <c r="C1169" s="36">
        <v>45814.51597222222</v>
      </c>
      <c r="D1169" s="22" t="s">
        <v>33</v>
      </c>
      <c r="E1169" s="22" t="s">
        <v>65</v>
      </c>
      <c r="F1169" s="22" t="s">
        <v>37</v>
      </c>
      <c r="G1169" s="22" t="s">
        <v>113</v>
      </c>
      <c r="H1169" s="22" t="s">
        <v>59</v>
      </c>
      <c r="I1169" s="22" t="s">
        <v>111</v>
      </c>
      <c r="J1169" s="23">
        <v>48</v>
      </c>
      <c r="K1169" s="37">
        <v>0</v>
      </c>
      <c r="L1169" s="37">
        <v>5</v>
      </c>
      <c r="M1169" s="22">
        <f>IF(OR(ISBLANK(C1169),C1169=""),"",ROUND((C1169-B1169)*24,2))</f>
        <v>63.17</v>
      </c>
      <c r="N1169" s="38" t="str">
        <f>IF(OR(ISBLANK(C1169),C1169="",M1169=""),"In Progress",IF(M1169&lt;=J1169,"Met","Breached"))</f>
        <v>Breached</v>
      </c>
    </row>
    <row r="1170" ht="19" customHeight="1" spans="1:14" x14ac:dyDescent="0.25">
      <c r="A1170" s="19" t="s">
        <v>1284</v>
      </c>
      <c r="B1170" s="33">
        <v>46221.85486111111</v>
      </c>
      <c r="C1170" s="33">
        <v>46224.42361111111</v>
      </c>
      <c r="D1170" s="19" t="s">
        <v>36</v>
      </c>
      <c r="E1170" s="19" t="s">
        <v>65</v>
      </c>
      <c r="F1170" s="19" t="s">
        <v>45</v>
      </c>
      <c r="G1170" s="19" t="s">
        <v>113</v>
      </c>
      <c r="H1170" s="19" t="s">
        <v>59</v>
      </c>
      <c r="I1170" s="19" t="s">
        <v>147</v>
      </c>
      <c r="J1170" s="20">
        <v>48</v>
      </c>
      <c r="K1170" s="34">
        <v>0</v>
      </c>
      <c r="L1170" s="34">
        <v>1</v>
      </c>
      <c r="M1170" s="19">
        <f>IF(OR(ISBLANK(C1170),C1170=""),"",ROUND((C1170-B1170)*24,2))</f>
        <v>61.65</v>
      </c>
      <c r="N1170" s="39" t="str">
        <f>IF(OR(ISBLANK(C1170),C1170="",M1170=""),"In Progress",IF(M1170&lt;=J1170,"Met","Breached"))</f>
        <v>Breached</v>
      </c>
    </row>
    <row r="1171" ht="19" customHeight="1" spans="1:14" x14ac:dyDescent="0.25">
      <c r="A1171" s="22" t="s">
        <v>1285</v>
      </c>
      <c r="B1171" s="36">
        <v>46137.12013888889</v>
      </c>
      <c r="C1171" s="36">
        <v>46143.62708333333</v>
      </c>
      <c r="D1171" s="22" t="s">
        <v>33</v>
      </c>
      <c r="E1171" s="22" t="s">
        <v>69</v>
      </c>
      <c r="F1171" s="22" t="s">
        <v>45</v>
      </c>
      <c r="G1171" s="22" t="s">
        <v>126</v>
      </c>
      <c r="H1171" s="22" t="s">
        <v>71</v>
      </c>
      <c r="I1171" s="22" t="s">
        <v>108</v>
      </c>
      <c r="J1171" s="23">
        <v>120</v>
      </c>
      <c r="K1171" s="37">
        <v>0</v>
      </c>
      <c r="L1171" s="37">
        <v>2</v>
      </c>
      <c r="M1171" s="22">
        <f>IF(OR(ISBLANK(C1171),C1171=""),"",ROUND((C1171-B1171)*24,2))</f>
        <v>156.17</v>
      </c>
      <c r="N1171" s="38" t="str">
        <f>IF(OR(ISBLANK(C1171),C1171="",M1171=""),"In Progress",IF(M1171&lt;=J1171,"Met","Breached"))</f>
        <v>Breached</v>
      </c>
    </row>
    <row r="1172" ht="19" customHeight="1" spans="1:14" x14ac:dyDescent="0.25">
      <c r="A1172" s="19" t="s">
        <v>1286</v>
      </c>
      <c r="B1172" s="33">
        <v>46004.20416666666</v>
      </c>
      <c r="D1172" s="19" t="s">
        <v>42</v>
      </c>
      <c r="E1172" s="19" t="s">
        <v>69</v>
      </c>
      <c r="F1172" s="19" t="s">
        <v>43</v>
      </c>
      <c r="G1172" s="19" t="s">
        <v>121</v>
      </c>
      <c r="H1172" s="19" t="s">
        <v>59</v>
      </c>
      <c r="I1172" s="19" t="s">
        <v>147</v>
      </c>
      <c r="J1172" s="20">
        <v>120</v>
      </c>
      <c r="K1172" s="34">
        <v>0</v>
      </c>
      <c r="M1172" s="19" t="str">
        <f>IF(OR(ISBLANK(C1172),C1172=""),"",ROUND((C1172-B1172)*24,2))</f>
        <v/>
      </c>
      <c r="N1172" s="19" t="str">
        <f>IF(OR(ISBLANK(C1172),C1172="",M1172=""),"In Progress",IF(M1172&lt;=J1172,"Met","Breached"))</f>
        <v>In Progress</v>
      </c>
    </row>
    <row r="1173" ht="19" customHeight="1" spans="1:14" x14ac:dyDescent="0.25">
      <c r="A1173" s="22" t="s">
        <v>1287</v>
      </c>
      <c r="B1173" s="36">
        <v>46228.775</v>
      </c>
      <c r="C1173" s="36">
        <v>46229.00138888889</v>
      </c>
      <c r="D1173" s="22" t="s">
        <v>33</v>
      </c>
      <c r="E1173" s="22" t="s">
        <v>57</v>
      </c>
      <c r="F1173" s="22" t="s">
        <v>40</v>
      </c>
      <c r="G1173" s="22" t="s">
        <v>116</v>
      </c>
      <c r="H1173" s="22" t="s">
        <v>63</v>
      </c>
      <c r="I1173" s="22" t="s">
        <v>111</v>
      </c>
      <c r="J1173" s="23">
        <v>4</v>
      </c>
      <c r="K1173" s="37">
        <v>0</v>
      </c>
      <c r="M1173" s="22">
        <f>IF(OR(ISBLANK(C1173),C1173=""),"",ROUND((C1173-B1173)*24,2))</f>
        <v>5.43</v>
      </c>
      <c r="N1173" s="38" t="str">
        <f>IF(OR(ISBLANK(C1173),C1173="",M1173=""),"In Progress",IF(M1173&lt;=J1173,"Met","Breached"))</f>
        <v>Breached</v>
      </c>
    </row>
    <row r="1174" ht="19" customHeight="1" spans="1:14" x14ac:dyDescent="0.25">
      <c r="A1174" s="19" t="s">
        <v>1288</v>
      </c>
      <c r="B1174" s="33">
        <v>46124.78263888889</v>
      </c>
      <c r="C1174" s="33">
        <v>46125.65347222222</v>
      </c>
      <c r="D1174" s="19" t="s">
        <v>33</v>
      </c>
      <c r="E1174" s="19" t="s">
        <v>65</v>
      </c>
      <c r="F1174" s="19" t="s">
        <v>40</v>
      </c>
      <c r="G1174" s="19" t="s">
        <v>116</v>
      </c>
      <c r="H1174" s="19" t="s">
        <v>59</v>
      </c>
      <c r="I1174" s="19" t="s">
        <v>108</v>
      </c>
      <c r="J1174" s="20">
        <v>48</v>
      </c>
      <c r="K1174" s="34">
        <v>0</v>
      </c>
      <c r="L1174" s="34">
        <v>2</v>
      </c>
      <c r="M1174" s="19">
        <f>IF(OR(ISBLANK(C1174),C1174=""),"",ROUND((C1174-B1174)*24,2))</f>
        <v>20.9</v>
      </c>
      <c r="N1174" s="35" t="str">
        <f>IF(OR(ISBLANK(C1174),C1174="",M1174=""),"In Progress",IF(M1174&lt;=J1174,"Met","Breached"))</f>
        <v>Met</v>
      </c>
    </row>
    <row r="1175" ht="19" customHeight="1" spans="1:14" x14ac:dyDescent="0.25">
      <c r="A1175" s="22" t="s">
        <v>1289</v>
      </c>
      <c r="B1175" s="36">
        <v>45918.37986111111</v>
      </c>
      <c r="C1175" s="36">
        <v>45921.85972222222</v>
      </c>
      <c r="D1175" s="22" t="s">
        <v>33</v>
      </c>
      <c r="E1175" s="22" t="s">
        <v>65</v>
      </c>
      <c r="F1175" s="22" t="s">
        <v>45</v>
      </c>
      <c r="G1175" s="22" t="s">
        <v>121</v>
      </c>
      <c r="H1175" s="22" t="s">
        <v>63</v>
      </c>
      <c r="I1175" s="22" t="s">
        <v>108</v>
      </c>
      <c r="J1175" s="23">
        <v>48</v>
      </c>
      <c r="K1175" s="37">
        <v>0</v>
      </c>
      <c r="L1175" s="37">
        <v>1</v>
      </c>
      <c r="M1175" s="22">
        <f>IF(OR(ISBLANK(C1175),C1175=""),"",ROUND((C1175-B1175)*24,2))</f>
        <v>83.52</v>
      </c>
      <c r="N1175" s="38" t="str">
        <f>IF(OR(ISBLANK(C1175),C1175="",M1175=""),"In Progress",IF(M1175&lt;=J1175,"Met","Breached"))</f>
        <v>Breached</v>
      </c>
    </row>
    <row r="1176" ht="19" customHeight="1" spans="1:14" x14ac:dyDescent="0.25">
      <c r="A1176" s="19" t="s">
        <v>1290</v>
      </c>
      <c r="B1176" s="33">
        <v>45734.589583333334</v>
      </c>
      <c r="C1176" s="33">
        <v>45735.388194444444</v>
      </c>
      <c r="D1176" s="19" t="s">
        <v>36</v>
      </c>
      <c r="E1176" s="19" t="s">
        <v>61</v>
      </c>
      <c r="F1176" s="19" t="s">
        <v>34</v>
      </c>
      <c r="G1176" s="19" t="s">
        <v>126</v>
      </c>
      <c r="H1176" s="19" t="s">
        <v>59</v>
      </c>
      <c r="I1176" s="19" t="s">
        <v>117</v>
      </c>
      <c r="J1176" s="20">
        <v>12</v>
      </c>
      <c r="K1176" s="34">
        <v>0</v>
      </c>
      <c r="L1176" s="34">
        <v>2</v>
      </c>
      <c r="M1176" s="19">
        <f>IF(OR(ISBLANK(C1176),C1176=""),"",ROUND((C1176-B1176)*24,2))</f>
        <v>19.17</v>
      </c>
      <c r="N1176" s="39" t="str">
        <f>IF(OR(ISBLANK(C1176),C1176="",M1176=""),"In Progress",IF(M1176&lt;=J1176,"Met","Breached"))</f>
        <v>Breached</v>
      </c>
    </row>
    <row r="1177" ht="19" customHeight="1" spans="1:14" x14ac:dyDescent="0.25">
      <c r="A1177" s="22" t="s">
        <v>1291</v>
      </c>
      <c r="B1177" s="36">
        <v>46160.90277777778</v>
      </c>
      <c r="C1177" s="36">
        <v>46164.07361111111</v>
      </c>
      <c r="D1177" s="22" t="s">
        <v>33</v>
      </c>
      <c r="E1177" s="22" t="s">
        <v>65</v>
      </c>
      <c r="F1177" s="22" t="s">
        <v>37</v>
      </c>
      <c r="G1177" s="22" t="s">
        <v>126</v>
      </c>
      <c r="H1177" s="22" t="s">
        <v>67</v>
      </c>
      <c r="I1177" s="22" t="s">
        <v>117</v>
      </c>
      <c r="J1177" s="23">
        <v>48</v>
      </c>
      <c r="K1177" s="37">
        <v>0</v>
      </c>
      <c r="L1177" s="37">
        <v>2</v>
      </c>
      <c r="M1177" s="22">
        <f>IF(OR(ISBLANK(C1177),C1177=""),"",ROUND((C1177-B1177)*24,2))</f>
        <v>76.1</v>
      </c>
      <c r="N1177" s="38" t="str">
        <f>IF(OR(ISBLANK(C1177),C1177="",M1177=""),"In Progress",IF(M1177&lt;=J1177,"Met","Breached"))</f>
        <v>Breached</v>
      </c>
    </row>
    <row r="1178" ht="19" customHeight="1" spans="1:14" x14ac:dyDescent="0.25">
      <c r="A1178" s="19" t="s">
        <v>1292</v>
      </c>
      <c r="B1178" s="33">
        <v>45719.72361111111</v>
      </c>
      <c r="D1178" s="19" t="s">
        <v>42</v>
      </c>
      <c r="E1178" s="19" t="s">
        <v>69</v>
      </c>
      <c r="F1178" s="19" t="s">
        <v>45</v>
      </c>
      <c r="G1178" s="19" t="s">
        <v>116</v>
      </c>
      <c r="H1178" s="19" t="s">
        <v>59</v>
      </c>
      <c r="I1178" s="19" t="s">
        <v>114</v>
      </c>
      <c r="J1178" s="20">
        <v>120</v>
      </c>
      <c r="K1178" s="34">
        <v>0</v>
      </c>
      <c r="M1178" s="19" t="str">
        <f>IF(OR(ISBLANK(C1178),C1178=""),"",ROUND((C1178-B1178)*24,2))</f>
        <v/>
      </c>
      <c r="N1178" s="19" t="str">
        <f>IF(OR(ISBLANK(C1178),C1178="",M1178=""),"In Progress",IF(M1178&lt;=J1178,"Met","Breached"))</f>
        <v>In Progress</v>
      </c>
    </row>
    <row r="1179" ht="19" customHeight="1" spans="1:14" x14ac:dyDescent="0.25">
      <c r="A1179" s="22" t="s">
        <v>1293</v>
      </c>
      <c r="B1179" s="36">
        <v>45729.56319444445</v>
      </c>
      <c r="C1179" s="36">
        <v>45737.05</v>
      </c>
      <c r="D1179" s="22" t="s">
        <v>33</v>
      </c>
      <c r="E1179" s="22" t="s">
        <v>69</v>
      </c>
      <c r="F1179" s="22" t="s">
        <v>40</v>
      </c>
      <c r="G1179" s="22" t="s">
        <v>113</v>
      </c>
      <c r="H1179" s="22" t="s">
        <v>67</v>
      </c>
      <c r="I1179" s="22" t="s">
        <v>117</v>
      </c>
      <c r="J1179" s="23">
        <v>120</v>
      </c>
      <c r="K1179" s="37">
        <v>0</v>
      </c>
      <c r="L1179" s="37">
        <v>3</v>
      </c>
      <c r="M1179" s="22">
        <f>IF(OR(ISBLANK(C1179),C1179=""),"",ROUND((C1179-B1179)*24,2))</f>
        <v>179.68</v>
      </c>
      <c r="N1179" s="38" t="str">
        <f>IF(OR(ISBLANK(C1179),C1179="",M1179=""),"In Progress",IF(M1179&lt;=J1179,"Met","Breached"))</f>
        <v>Breached</v>
      </c>
    </row>
    <row r="1180" ht="19" customHeight="1" spans="1:14" x14ac:dyDescent="0.25">
      <c r="A1180" s="19" t="s">
        <v>1294</v>
      </c>
      <c r="B1180" s="33">
        <v>46033.65902777778</v>
      </c>
      <c r="C1180" s="33">
        <v>46034.44097222222</v>
      </c>
      <c r="D1180" s="19" t="s">
        <v>36</v>
      </c>
      <c r="E1180" s="19" t="s">
        <v>61</v>
      </c>
      <c r="F1180" s="19" t="s">
        <v>37</v>
      </c>
      <c r="G1180" s="19" t="s">
        <v>116</v>
      </c>
      <c r="H1180" s="19" t="s">
        <v>63</v>
      </c>
      <c r="I1180" s="19" t="s">
        <v>114</v>
      </c>
      <c r="J1180" s="20">
        <v>12</v>
      </c>
      <c r="K1180" s="34">
        <v>0</v>
      </c>
      <c r="M1180" s="19">
        <f>IF(OR(ISBLANK(C1180),C1180=""),"",ROUND((C1180-B1180)*24,2))</f>
        <v>18.77</v>
      </c>
      <c r="N1180" s="39" t="str">
        <f>IF(OR(ISBLANK(C1180),C1180="",M1180=""),"In Progress",IF(M1180&lt;=J1180,"Met","Breached"))</f>
        <v>Breached</v>
      </c>
    </row>
    <row r="1181" ht="19" customHeight="1" spans="1:14" x14ac:dyDescent="0.25">
      <c r="A1181" s="22" t="s">
        <v>1295</v>
      </c>
      <c r="B1181" s="36">
        <v>45943.77916666667</v>
      </c>
      <c r="C1181" s="36">
        <v>45948.94027777778</v>
      </c>
      <c r="D1181" s="22" t="s">
        <v>36</v>
      </c>
      <c r="E1181" s="22" t="s">
        <v>69</v>
      </c>
      <c r="F1181" s="22" t="s">
        <v>34</v>
      </c>
      <c r="G1181" s="22" t="s">
        <v>63</v>
      </c>
      <c r="H1181" s="22" t="s">
        <v>59</v>
      </c>
      <c r="I1181" s="22" t="s">
        <v>123</v>
      </c>
      <c r="J1181" s="23">
        <v>120</v>
      </c>
      <c r="K1181" s="37">
        <v>0</v>
      </c>
      <c r="M1181" s="22">
        <f>IF(OR(ISBLANK(C1181),C1181=""),"",ROUND((C1181-B1181)*24,2))</f>
        <v>123.87</v>
      </c>
      <c r="N1181" s="38" t="str">
        <f>IF(OR(ISBLANK(C1181),C1181="",M1181=""),"In Progress",IF(M1181&lt;=J1181,"Met","Breached"))</f>
        <v>Breached</v>
      </c>
    </row>
    <row r="1182" ht="19" customHeight="1" spans="1:14" x14ac:dyDescent="0.25">
      <c r="A1182" s="19" t="s">
        <v>1296</v>
      </c>
      <c r="B1182" s="33">
        <v>45774.72430555556</v>
      </c>
      <c r="C1182" s="33">
        <v>45774.98125</v>
      </c>
      <c r="D1182" s="19" t="s">
        <v>36</v>
      </c>
      <c r="E1182" s="19" t="s">
        <v>61</v>
      </c>
      <c r="F1182" s="19" t="s">
        <v>40</v>
      </c>
      <c r="G1182" s="19" t="s">
        <v>116</v>
      </c>
      <c r="H1182" s="19" t="s">
        <v>59</v>
      </c>
      <c r="I1182" s="19" t="s">
        <v>117</v>
      </c>
      <c r="J1182" s="20">
        <v>12</v>
      </c>
      <c r="K1182" s="34">
        <v>0</v>
      </c>
      <c r="M1182" s="19">
        <f>IF(OR(ISBLANK(C1182),C1182=""),"",ROUND((C1182-B1182)*24,2))</f>
        <v>6.17</v>
      </c>
      <c r="N1182" s="35" t="str">
        <f>IF(OR(ISBLANK(C1182),C1182="",M1182=""),"In Progress",IF(M1182&lt;=J1182,"Met","Breached"))</f>
        <v>Met</v>
      </c>
    </row>
    <row r="1183" ht="19" customHeight="1" spans="1:14" x14ac:dyDescent="0.25">
      <c r="A1183" s="22" t="s">
        <v>1297</v>
      </c>
      <c r="B1183" s="36">
        <v>46102.46666666667</v>
      </c>
      <c r="C1183" s="36">
        <v>46104.163194444445</v>
      </c>
      <c r="D1183" s="22" t="s">
        <v>33</v>
      </c>
      <c r="E1183" s="22" t="s">
        <v>65</v>
      </c>
      <c r="F1183" s="22" t="s">
        <v>37</v>
      </c>
      <c r="G1183" s="22" t="s">
        <v>110</v>
      </c>
      <c r="H1183" s="22" t="s">
        <v>59</v>
      </c>
      <c r="I1183" s="22" t="s">
        <v>147</v>
      </c>
      <c r="J1183" s="23">
        <v>48</v>
      </c>
      <c r="K1183" s="37">
        <v>0</v>
      </c>
      <c r="M1183" s="22">
        <f>IF(OR(ISBLANK(C1183),C1183=""),"",ROUND((C1183-B1183)*24,2))</f>
        <v>40.72</v>
      </c>
      <c r="N1183" s="40" t="str">
        <f>IF(OR(ISBLANK(C1183),C1183="",M1183=""),"In Progress",IF(M1183&lt;=J1183,"Met","Breached"))</f>
        <v>Met</v>
      </c>
    </row>
    <row r="1184" ht="19" customHeight="1" spans="1:14" x14ac:dyDescent="0.25">
      <c r="A1184" s="19" t="s">
        <v>1298</v>
      </c>
      <c r="B1184" s="33">
        <v>45905.02847222222</v>
      </c>
      <c r="C1184" s="33">
        <v>45906.06597222222</v>
      </c>
      <c r="D1184" s="19" t="s">
        <v>33</v>
      </c>
      <c r="E1184" s="19" t="s">
        <v>65</v>
      </c>
      <c r="F1184" s="19" t="s">
        <v>45</v>
      </c>
      <c r="G1184" s="19" t="s">
        <v>63</v>
      </c>
      <c r="H1184" s="19" t="s">
        <v>59</v>
      </c>
      <c r="I1184" s="19" t="s">
        <v>108</v>
      </c>
      <c r="J1184" s="20">
        <v>48</v>
      </c>
      <c r="K1184" s="34">
        <v>0</v>
      </c>
      <c r="L1184" s="34">
        <v>4</v>
      </c>
      <c r="M1184" s="19">
        <f>IF(OR(ISBLANK(C1184),C1184=""),"",ROUND((C1184-B1184)*24,2))</f>
        <v>24.9</v>
      </c>
      <c r="N1184" s="35" t="str">
        <f>IF(OR(ISBLANK(C1184),C1184="",M1184=""),"In Progress",IF(M1184&lt;=J1184,"Met","Breached"))</f>
        <v>Met</v>
      </c>
    </row>
    <row r="1185" ht="19" customHeight="1" spans="1:14" x14ac:dyDescent="0.25">
      <c r="A1185" s="22" t="s">
        <v>1299</v>
      </c>
      <c r="B1185" s="36">
        <v>46037.32916666666</v>
      </c>
      <c r="C1185" s="36">
        <v>46045.99861111111</v>
      </c>
      <c r="D1185" s="22" t="s">
        <v>33</v>
      </c>
      <c r="E1185" s="22" t="s">
        <v>69</v>
      </c>
      <c r="F1185" s="22" t="s">
        <v>45</v>
      </c>
      <c r="G1185" s="22" t="s">
        <v>116</v>
      </c>
      <c r="H1185" s="22" t="s">
        <v>59</v>
      </c>
      <c r="I1185" s="22" t="s">
        <v>108</v>
      </c>
      <c r="J1185" s="23">
        <v>120</v>
      </c>
      <c r="K1185" s="37">
        <v>1</v>
      </c>
      <c r="M1185" s="22">
        <f>IF(OR(ISBLANK(C1185),C1185=""),"",ROUND((C1185-B1185)*24,2))</f>
        <v>208.07</v>
      </c>
      <c r="N1185" s="38" t="str">
        <f>IF(OR(ISBLANK(C1185),C1185="",M1185=""),"In Progress",IF(M1185&lt;=J1185,"Met","Breached"))</f>
        <v>Breached</v>
      </c>
    </row>
    <row r="1186" ht="19" customHeight="1" spans="1:14" x14ac:dyDescent="0.25">
      <c r="A1186" s="19" t="s">
        <v>1300</v>
      </c>
      <c r="B1186" s="33">
        <v>45770.34583333333</v>
      </c>
      <c r="C1186" s="33">
        <v>45771.01458333334</v>
      </c>
      <c r="D1186" s="19" t="s">
        <v>33</v>
      </c>
      <c r="E1186" s="19" t="s">
        <v>61</v>
      </c>
      <c r="F1186" s="19" t="s">
        <v>40</v>
      </c>
      <c r="G1186" s="19" t="s">
        <v>110</v>
      </c>
      <c r="H1186" s="19" t="s">
        <v>71</v>
      </c>
      <c r="I1186" s="19" t="s">
        <v>147</v>
      </c>
      <c r="J1186" s="20">
        <v>12</v>
      </c>
      <c r="K1186" s="34">
        <v>0</v>
      </c>
      <c r="L1186" s="34">
        <v>1</v>
      </c>
      <c r="M1186" s="19">
        <f>IF(OR(ISBLANK(C1186),C1186=""),"",ROUND((C1186-B1186)*24,2))</f>
        <v>16.05</v>
      </c>
      <c r="N1186" s="39" t="str">
        <f>IF(OR(ISBLANK(C1186),C1186="",M1186=""),"In Progress",IF(M1186&lt;=J1186,"Met","Breached"))</f>
        <v>Breached</v>
      </c>
    </row>
    <row r="1187" ht="19" customHeight="1" spans="1:14" x14ac:dyDescent="0.25">
      <c r="A1187" s="22" t="s">
        <v>1301</v>
      </c>
      <c r="B1187" s="36">
        <v>45874.06458333333</v>
      </c>
      <c r="D1187" s="22" t="s">
        <v>42</v>
      </c>
      <c r="E1187" s="22" t="s">
        <v>57</v>
      </c>
      <c r="F1187" s="22" t="s">
        <v>40</v>
      </c>
      <c r="G1187" s="22" t="s">
        <v>110</v>
      </c>
      <c r="H1187" s="22" t="s">
        <v>59</v>
      </c>
      <c r="I1187" s="22" t="s">
        <v>123</v>
      </c>
      <c r="J1187" s="23">
        <v>4</v>
      </c>
      <c r="K1187" s="37">
        <v>0</v>
      </c>
      <c r="M1187" s="22" t="str">
        <f>IF(OR(ISBLANK(C1187),C1187=""),"",ROUND((C1187-B1187)*24,2))</f>
        <v/>
      </c>
      <c r="N1187" s="22" t="str">
        <f>IF(OR(ISBLANK(C1187),C1187="",M1187=""),"In Progress",IF(M1187&lt;=J1187,"Met","Breached"))</f>
        <v>In Progress</v>
      </c>
    </row>
    <row r="1188" ht="19" customHeight="1" spans="1:14" x14ac:dyDescent="0.25">
      <c r="A1188" s="19" t="s">
        <v>1302</v>
      </c>
      <c r="B1188" s="33">
        <v>45838.32083333333</v>
      </c>
      <c r="C1188" s="33">
        <v>45841.35833333334</v>
      </c>
      <c r="D1188" s="19" t="s">
        <v>36</v>
      </c>
      <c r="E1188" s="19" t="s">
        <v>65</v>
      </c>
      <c r="F1188" s="19" t="s">
        <v>45</v>
      </c>
      <c r="G1188" s="19" t="s">
        <v>110</v>
      </c>
      <c r="H1188" s="19" t="s">
        <v>67</v>
      </c>
      <c r="I1188" s="19" t="s">
        <v>123</v>
      </c>
      <c r="J1188" s="20">
        <v>48</v>
      </c>
      <c r="K1188" s="34">
        <v>0</v>
      </c>
      <c r="L1188" s="34">
        <v>3</v>
      </c>
      <c r="M1188" s="19">
        <f>IF(OR(ISBLANK(C1188),C1188=""),"",ROUND((C1188-B1188)*24,2))</f>
        <v>72.9</v>
      </c>
      <c r="N1188" s="39" t="str">
        <f>IF(OR(ISBLANK(C1188),C1188="",M1188=""),"In Progress",IF(M1188&lt;=J1188,"Met","Breached"))</f>
        <v>Breached</v>
      </c>
    </row>
    <row r="1189" ht="19" customHeight="1" spans="1:14" x14ac:dyDescent="0.25">
      <c r="A1189" s="22" t="s">
        <v>1303</v>
      </c>
      <c r="B1189" s="36">
        <v>45776.47152777778</v>
      </c>
      <c r="C1189" s="36">
        <v>45782.83541666667</v>
      </c>
      <c r="D1189" s="22" t="s">
        <v>33</v>
      </c>
      <c r="E1189" s="22" t="s">
        <v>69</v>
      </c>
      <c r="F1189" s="22" t="s">
        <v>34</v>
      </c>
      <c r="G1189" s="22" t="s">
        <v>116</v>
      </c>
      <c r="H1189" s="22" t="s">
        <v>71</v>
      </c>
      <c r="I1189" s="22" t="s">
        <v>108</v>
      </c>
      <c r="J1189" s="23">
        <v>120</v>
      </c>
      <c r="K1189" s="37">
        <v>0</v>
      </c>
      <c r="M1189" s="22">
        <f>IF(OR(ISBLANK(C1189),C1189=""),"",ROUND((C1189-B1189)*24,2))</f>
        <v>152.73</v>
      </c>
      <c r="N1189" s="38" t="str">
        <f>IF(OR(ISBLANK(C1189),C1189="",M1189=""),"In Progress",IF(M1189&lt;=J1189,"Met","Breached"))</f>
        <v>Breached</v>
      </c>
    </row>
    <row r="1190" ht="19" customHeight="1" spans="1:14" x14ac:dyDescent="0.25">
      <c r="A1190" s="19" t="s">
        <v>1304</v>
      </c>
      <c r="B1190" s="33">
        <v>46031.39166666666</v>
      </c>
      <c r="C1190" s="33">
        <v>46031.63333333333</v>
      </c>
      <c r="D1190" s="19" t="s">
        <v>33</v>
      </c>
      <c r="E1190" s="19" t="s">
        <v>61</v>
      </c>
      <c r="F1190" s="19" t="s">
        <v>43</v>
      </c>
      <c r="G1190" s="19" t="s">
        <v>110</v>
      </c>
      <c r="H1190" s="19" t="s">
        <v>67</v>
      </c>
      <c r="I1190" s="19" t="s">
        <v>108</v>
      </c>
      <c r="J1190" s="20">
        <v>12</v>
      </c>
      <c r="K1190" s="34">
        <v>0</v>
      </c>
      <c r="M1190" s="19">
        <f>IF(OR(ISBLANK(C1190),C1190=""),"",ROUND((C1190-B1190)*24,2))</f>
        <v>5.8</v>
      </c>
      <c r="N1190" s="35" t="str">
        <f>IF(OR(ISBLANK(C1190),C1190="",M1190=""),"In Progress",IF(M1190&lt;=J1190,"Met","Breached"))</f>
        <v>Met</v>
      </c>
    </row>
    <row r="1191" ht="19" customHeight="1" spans="1:14" x14ac:dyDescent="0.25">
      <c r="A1191" s="22" t="s">
        <v>1305</v>
      </c>
      <c r="B1191" s="36">
        <v>45868.95972222222</v>
      </c>
      <c r="C1191" s="36">
        <v>45871.638194444444</v>
      </c>
      <c r="D1191" s="22" t="s">
        <v>36</v>
      </c>
      <c r="E1191" s="22" t="s">
        <v>65</v>
      </c>
      <c r="F1191" s="22" t="s">
        <v>34</v>
      </c>
      <c r="G1191" s="22" t="s">
        <v>121</v>
      </c>
      <c r="H1191" s="22" t="s">
        <v>63</v>
      </c>
      <c r="I1191" s="22" t="s">
        <v>108</v>
      </c>
      <c r="J1191" s="23">
        <v>48</v>
      </c>
      <c r="K1191" s="37">
        <v>0</v>
      </c>
      <c r="M1191" s="22">
        <f>IF(OR(ISBLANK(C1191),C1191=""),"",ROUND((C1191-B1191)*24,2))</f>
        <v>64.28</v>
      </c>
      <c r="N1191" s="38" t="str">
        <f>IF(OR(ISBLANK(C1191),C1191="",M1191=""),"In Progress",IF(M1191&lt;=J1191,"Met","Breached"))</f>
        <v>Breached</v>
      </c>
    </row>
    <row r="1192" ht="19" customHeight="1" spans="1:14" x14ac:dyDescent="0.25">
      <c r="A1192" s="19" t="s">
        <v>1306</v>
      </c>
      <c r="B1192" s="33">
        <v>45928.34305555555</v>
      </c>
      <c r="C1192" s="33">
        <v>45928.56388888889</v>
      </c>
      <c r="D1192" s="19" t="s">
        <v>33</v>
      </c>
      <c r="E1192" s="19" t="s">
        <v>57</v>
      </c>
      <c r="F1192" s="19" t="s">
        <v>45</v>
      </c>
      <c r="G1192" s="19" t="s">
        <v>126</v>
      </c>
      <c r="H1192" s="19" t="s">
        <v>63</v>
      </c>
      <c r="I1192" s="19" t="s">
        <v>117</v>
      </c>
      <c r="J1192" s="20">
        <v>4</v>
      </c>
      <c r="K1192" s="34">
        <v>0</v>
      </c>
      <c r="L1192" s="34">
        <v>5</v>
      </c>
      <c r="M1192" s="19">
        <f>IF(OR(ISBLANK(C1192),C1192=""),"",ROUND((C1192-B1192)*24,2))</f>
        <v>5.3</v>
      </c>
      <c r="N1192" s="39" t="str">
        <f>IF(OR(ISBLANK(C1192),C1192="",M1192=""),"In Progress",IF(M1192&lt;=J1192,"Met","Breached"))</f>
        <v>Breached</v>
      </c>
    </row>
    <row r="1193" ht="19" customHeight="1" spans="1:14" x14ac:dyDescent="0.25">
      <c r="A1193" s="22" t="s">
        <v>1307</v>
      </c>
      <c r="B1193" s="36">
        <v>45915.85277777778</v>
      </c>
      <c r="C1193" s="36">
        <v>45919.20138888889</v>
      </c>
      <c r="D1193" s="22" t="s">
        <v>33</v>
      </c>
      <c r="E1193" s="22" t="s">
        <v>65</v>
      </c>
      <c r="F1193" s="22" t="s">
        <v>43</v>
      </c>
      <c r="G1193" s="22" t="s">
        <v>63</v>
      </c>
      <c r="H1193" s="22" t="s">
        <v>63</v>
      </c>
      <c r="I1193" s="22" t="s">
        <v>111</v>
      </c>
      <c r="J1193" s="23">
        <v>48</v>
      </c>
      <c r="K1193" s="37">
        <v>1</v>
      </c>
      <c r="M1193" s="22">
        <f>IF(OR(ISBLANK(C1193),C1193=""),"",ROUND((C1193-B1193)*24,2))</f>
        <v>80.37</v>
      </c>
      <c r="N1193" s="38" t="str">
        <f>IF(OR(ISBLANK(C1193),C1193="",M1193=""),"In Progress",IF(M1193&lt;=J1193,"Met","Breached"))</f>
        <v>Breached</v>
      </c>
    </row>
    <row r="1194" ht="19" customHeight="1" spans="1:14" x14ac:dyDescent="0.25">
      <c r="A1194" s="19" t="s">
        <v>1308</v>
      </c>
      <c r="B1194" s="33">
        <v>46149.129166666666</v>
      </c>
      <c r="C1194" s="33">
        <v>46149.82152777778</v>
      </c>
      <c r="D1194" s="19" t="s">
        <v>33</v>
      </c>
      <c r="E1194" s="19" t="s">
        <v>65</v>
      </c>
      <c r="F1194" s="19" t="s">
        <v>37</v>
      </c>
      <c r="G1194" s="19" t="s">
        <v>116</v>
      </c>
      <c r="H1194" s="19" t="s">
        <v>63</v>
      </c>
      <c r="I1194" s="19" t="s">
        <v>108</v>
      </c>
      <c r="J1194" s="20">
        <v>48</v>
      </c>
      <c r="K1194" s="34">
        <v>0</v>
      </c>
      <c r="L1194" s="34">
        <v>5</v>
      </c>
      <c r="M1194" s="19">
        <f>IF(OR(ISBLANK(C1194),C1194=""),"",ROUND((C1194-B1194)*24,2))</f>
        <v>16.62</v>
      </c>
      <c r="N1194" s="35" t="str">
        <f>IF(OR(ISBLANK(C1194),C1194="",M1194=""),"In Progress",IF(M1194&lt;=J1194,"Met","Breached"))</f>
        <v>Met</v>
      </c>
    </row>
    <row r="1195" ht="19" customHeight="1" spans="1:14" x14ac:dyDescent="0.25">
      <c r="A1195" s="22" t="s">
        <v>1309</v>
      </c>
      <c r="B1195" s="36">
        <v>45940.42361111111</v>
      </c>
      <c r="C1195" s="36">
        <v>45942.334027777775</v>
      </c>
      <c r="D1195" s="22" t="s">
        <v>33</v>
      </c>
      <c r="E1195" s="22" t="s">
        <v>65</v>
      </c>
      <c r="F1195" s="22" t="s">
        <v>43</v>
      </c>
      <c r="G1195" s="22" t="s">
        <v>113</v>
      </c>
      <c r="H1195" s="22" t="s">
        <v>67</v>
      </c>
      <c r="I1195" s="22" t="s">
        <v>123</v>
      </c>
      <c r="J1195" s="23">
        <v>48</v>
      </c>
      <c r="K1195" s="37">
        <v>0</v>
      </c>
      <c r="M1195" s="22">
        <f>IF(OR(ISBLANK(C1195),C1195=""),"",ROUND((C1195-B1195)*24,2))</f>
        <v>45.85</v>
      </c>
      <c r="N1195" s="40" t="str">
        <f>IF(OR(ISBLANK(C1195),C1195="",M1195=""),"In Progress",IF(M1195&lt;=J1195,"Met","Breached"))</f>
        <v>Met</v>
      </c>
    </row>
    <row r="1196" ht="19" customHeight="1" spans="1:14" x14ac:dyDescent="0.25">
      <c r="A1196" s="19" t="s">
        <v>1310</v>
      </c>
      <c r="B1196" s="33">
        <v>46064.268055555556</v>
      </c>
      <c r="C1196" s="33">
        <v>46066.861805555556</v>
      </c>
      <c r="D1196" s="19" t="s">
        <v>33</v>
      </c>
      <c r="E1196" s="19" t="s">
        <v>65</v>
      </c>
      <c r="F1196" s="19" t="s">
        <v>45</v>
      </c>
      <c r="G1196" s="19" t="s">
        <v>63</v>
      </c>
      <c r="H1196" s="19" t="s">
        <v>63</v>
      </c>
      <c r="I1196" s="19" t="s">
        <v>108</v>
      </c>
      <c r="J1196" s="20">
        <v>48</v>
      </c>
      <c r="K1196" s="34">
        <v>0</v>
      </c>
      <c r="L1196" s="34">
        <v>3</v>
      </c>
      <c r="M1196" s="19">
        <f>IF(OR(ISBLANK(C1196),C1196=""),"",ROUND((C1196-B1196)*24,2))</f>
        <v>62.25</v>
      </c>
      <c r="N1196" s="39" t="str">
        <f>IF(OR(ISBLANK(C1196),C1196="",M1196=""),"In Progress",IF(M1196&lt;=J1196,"Met","Breached"))</f>
        <v>Breached</v>
      </c>
    </row>
    <row r="1197" ht="19" customHeight="1" spans="1:14" x14ac:dyDescent="0.25">
      <c r="A1197" s="22" t="s">
        <v>1311</v>
      </c>
      <c r="B1197" s="36">
        <v>46265.22916666667</v>
      </c>
      <c r="C1197" s="36">
        <v>46265.558333333334</v>
      </c>
      <c r="D1197" s="22" t="s">
        <v>36</v>
      </c>
      <c r="E1197" s="22" t="s">
        <v>61</v>
      </c>
      <c r="F1197" s="22" t="s">
        <v>43</v>
      </c>
      <c r="G1197" s="22" t="s">
        <v>113</v>
      </c>
      <c r="H1197" s="22" t="s">
        <v>67</v>
      </c>
      <c r="I1197" s="22" t="s">
        <v>114</v>
      </c>
      <c r="J1197" s="23">
        <v>12</v>
      </c>
      <c r="K1197" s="37">
        <v>0</v>
      </c>
      <c r="L1197" s="37">
        <v>2</v>
      </c>
      <c r="M1197" s="22">
        <f>IF(OR(ISBLANK(C1197),C1197=""),"",ROUND((C1197-B1197)*24,2))</f>
        <v>7.9</v>
      </c>
      <c r="N1197" s="40" t="str">
        <f>IF(OR(ISBLANK(C1197),C1197="",M1197=""),"In Progress",IF(M1197&lt;=J1197,"Met","Breached"))</f>
        <v>Met</v>
      </c>
    </row>
    <row r="1198" ht="19" customHeight="1" spans="1:14" x14ac:dyDescent="0.25">
      <c r="A1198" s="19" t="s">
        <v>1312</v>
      </c>
      <c r="B1198" s="33">
        <v>46129.55763888889</v>
      </c>
      <c r="D1198" s="19" t="s">
        <v>39</v>
      </c>
      <c r="E1198" s="19" t="s">
        <v>69</v>
      </c>
      <c r="F1198" s="19" t="s">
        <v>34</v>
      </c>
      <c r="G1198" s="19" t="s">
        <v>126</v>
      </c>
      <c r="H1198" s="19" t="s">
        <v>59</v>
      </c>
      <c r="I1198" s="19" t="s">
        <v>147</v>
      </c>
      <c r="J1198" s="20">
        <v>120</v>
      </c>
      <c r="K1198" s="34">
        <v>0</v>
      </c>
      <c r="M1198" s="19" t="str">
        <f>IF(OR(ISBLANK(C1198),C1198=""),"",ROUND((C1198-B1198)*24,2))</f>
        <v/>
      </c>
      <c r="N1198" s="19" t="str">
        <f>IF(OR(ISBLANK(C1198),C1198="",M1198=""),"In Progress",IF(M1198&lt;=J1198,"Met","Breached"))</f>
        <v>In Progress</v>
      </c>
    </row>
    <row r="1199" ht="19" customHeight="1" spans="1:14" x14ac:dyDescent="0.25">
      <c r="A1199" s="22" t="s">
        <v>1313</v>
      </c>
      <c r="B1199" s="36">
        <v>46203.95763888889</v>
      </c>
      <c r="C1199" s="36">
        <v>46205.19236111111</v>
      </c>
      <c r="D1199" s="22" t="s">
        <v>36</v>
      </c>
      <c r="E1199" s="22" t="s">
        <v>65</v>
      </c>
      <c r="F1199" s="22" t="s">
        <v>45</v>
      </c>
      <c r="G1199" s="22" t="s">
        <v>121</v>
      </c>
      <c r="H1199" s="22" t="s">
        <v>63</v>
      </c>
      <c r="I1199" s="22" t="s">
        <v>111</v>
      </c>
      <c r="J1199" s="23">
        <v>48</v>
      </c>
      <c r="K1199" s="37">
        <v>0</v>
      </c>
      <c r="L1199" s="37">
        <v>5</v>
      </c>
      <c r="M1199" s="22">
        <f>IF(OR(ISBLANK(C1199),C1199=""),"",ROUND((C1199-B1199)*24,2))</f>
        <v>29.63</v>
      </c>
      <c r="N1199" s="40" t="str">
        <f>IF(OR(ISBLANK(C1199),C1199="",M1199=""),"In Progress",IF(M1199&lt;=J1199,"Met","Breached"))</f>
        <v>Met</v>
      </c>
    </row>
    <row r="1200" ht="19" customHeight="1" spans="1:14" x14ac:dyDescent="0.25">
      <c r="A1200" s="19" t="s">
        <v>1314</v>
      </c>
      <c r="B1200" s="33">
        <v>45750.39513888889</v>
      </c>
      <c r="C1200" s="33">
        <v>45753.75</v>
      </c>
      <c r="D1200" s="19" t="s">
        <v>33</v>
      </c>
      <c r="E1200" s="19" t="s">
        <v>65</v>
      </c>
      <c r="F1200" s="19" t="s">
        <v>34</v>
      </c>
      <c r="G1200" s="19" t="s">
        <v>110</v>
      </c>
      <c r="H1200" s="19" t="s">
        <v>71</v>
      </c>
      <c r="I1200" s="19" t="s">
        <v>147</v>
      </c>
      <c r="J1200" s="20">
        <v>48</v>
      </c>
      <c r="K1200" s="34">
        <v>1</v>
      </c>
      <c r="L1200" s="34">
        <v>2</v>
      </c>
      <c r="M1200" s="19">
        <f>IF(OR(ISBLANK(C1200),C1200=""),"",ROUND((C1200-B1200)*24,2))</f>
        <v>80.52</v>
      </c>
      <c r="N1200" s="39" t="str">
        <f>IF(OR(ISBLANK(C1200),C1200="",M1200=""),"In Progress",IF(M1200&lt;=J1200,"Met","Breached"))</f>
        <v>Breached</v>
      </c>
    </row>
    <row r="1201" ht="19" customHeight="1" spans="1:14" x14ac:dyDescent="0.25">
      <c r="A1201" s="22" t="s">
        <v>1315</v>
      </c>
      <c r="B1201" s="36">
        <v>45794.73958333333</v>
      </c>
      <c r="C1201" s="36">
        <v>45796.825694444444</v>
      </c>
      <c r="D1201" s="22" t="s">
        <v>33</v>
      </c>
      <c r="E1201" s="22" t="s">
        <v>65</v>
      </c>
      <c r="F1201" s="22" t="s">
        <v>34</v>
      </c>
      <c r="G1201" s="22" t="s">
        <v>126</v>
      </c>
      <c r="H1201" s="22" t="s">
        <v>71</v>
      </c>
      <c r="I1201" s="22" t="s">
        <v>147</v>
      </c>
      <c r="J1201" s="23">
        <v>48</v>
      </c>
      <c r="K1201" s="37">
        <v>0</v>
      </c>
      <c r="L1201" s="37">
        <v>5</v>
      </c>
      <c r="M1201" s="22">
        <f>IF(OR(ISBLANK(C1201),C1201=""),"",ROUND((C1201-B1201)*24,2))</f>
        <v>50.07</v>
      </c>
      <c r="N1201" s="38" t="str">
        <f>IF(OR(ISBLANK(C1201),C1201="",M1201=""),"In Progress",IF(M1201&lt;=J1201,"Met","Breached"))</f>
        <v>Breached</v>
      </c>
    </row>
    <row r="1202" ht="19" customHeight="1" spans="1:14" x14ac:dyDescent="0.25">
      <c r="A1202" s="19" t="s">
        <v>1316</v>
      </c>
      <c r="B1202" s="33">
        <v>46091.17569444445</v>
      </c>
      <c r="C1202" s="33">
        <v>46094.23263888889</v>
      </c>
      <c r="D1202" s="19" t="s">
        <v>36</v>
      </c>
      <c r="E1202" s="19" t="s">
        <v>65</v>
      </c>
      <c r="F1202" s="19" t="s">
        <v>34</v>
      </c>
      <c r="G1202" s="19" t="s">
        <v>63</v>
      </c>
      <c r="H1202" s="19" t="s">
        <v>67</v>
      </c>
      <c r="I1202" s="19" t="s">
        <v>123</v>
      </c>
      <c r="J1202" s="20">
        <v>48</v>
      </c>
      <c r="K1202" s="34">
        <v>0</v>
      </c>
      <c r="L1202" s="34">
        <v>1</v>
      </c>
      <c r="M1202" s="19">
        <f>IF(OR(ISBLANK(C1202),C1202=""),"",ROUND((C1202-B1202)*24,2))</f>
        <v>73.37</v>
      </c>
      <c r="N1202" s="39" t="str">
        <f>IF(OR(ISBLANK(C1202),C1202="",M1202=""),"In Progress",IF(M1202&lt;=J1202,"Met","Breached"))</f>
        <v>Breached</v>
      </c>
    </row>
    <row r="1203" ht="19" customHeight="1" spans="1:14" x14ac:dyDescent="0.25">
      <c r="A1203" s="22" t="s">
        <v>1317</v>
      </c>
      <c r="B1203" s="36">
        <v>45979.92916666667</v>
      </c>
      <c r="D1203" s="22" t="s">
        <v>42</v>
      </c>
      <c r="E1203" s="22" t="s">
        <v>65</v>
      </c>
      <c r="F1203" s="22" t="s">
        <v>37</v>
      </c>
      <c r="G1203" s="22" t="s">
        <v>113</v>
      </c>
      <c r="H1203" s="22" t="s">
        <v>71</v>
      </c>
      <c r="I1203" s="22" t="s">
        <v>108</v>
      </c>
      <c r="J1203" s="23">
        <v>48</v>
      </c>
      <c r="K1203" s="37">
        <v>0</v>
      </c>
      <c r="M1203" s="22" t="str">
        <f>IF(OR(ISBLANK(C1203),C1203=""),"",ROUND((C1203-B1203)*24,2))</f>
        <v/>
      </c>
      <c r="N1203" s="22" t="str">
        <f>IF(OR(ISBLANK(C1203),C1203="",M1203=""),"In Progress",IF(M1203&lt;=J1203,"Met","Breached"))</f>
        <v>In Progress</v>
      </c>
    </row>
    <row r="1204" ht="19" customHeight="1" spans="1:14" x14ac:dyDescent="0.25">
      <c r="A1204" s="19" t="s">
        <v>1318</v>
      </c>
      <c r="B1204" s="33">
        <v>45791.290972222225</v>
      </c>
      <c r="D1204" s="19" t="s">
        <v>42</v>
      </c>
      <c r="E1204" s="19" t="s">
        <v>61</v>
      </c>
      <c r="F1204" s="19" t="s">
        <v>37</v>
      </c>
      <c r="G1204" s="19" t="s">
        <v>116</v>
      </c>
      <c r="H1204" s="19" t="s">
        <v>71</v>
      </c>
      <c r="I1204" s="19" t="s">
        <v>111</v>
      </c>
      <c r="J1204" s="20">
        <v>12</v>
      </c>
      <c r="K1204" s="34">
        <v>0</v>
      </c>
      <c r="M1204" s="19" t="str">
        <f>IF(OR(ISBLANK(C1204),C1204=""),"",ROUND((C1204-B1204)*24,2))</f>
        <v/>
      </c>
      <c r="N1204" s="19" t="str">
        <f>IF(OR(ISBLANK(C1204),C1204="",M1204=""),"In Progress",IF(M1204&lt;=J1204,"Met","Breached"))</f>
        <v>In Progress</v>
      </c>
    </row>
    <row r="1205" ht="19" customHeight="1" spans="1:14" x14ac:dyDescent="0.25">
      <c r="A1205" s="22" t="s">
        <v>1319</v>
      </c>
      <c r="B1205" s="36">
        <v>46069.21041666667</v>
      </c>
      <c r="C1205" s="36">
        <v>46069.540972222225</v>
      </c>
      <c r="D1205" s="22" t="s">
        <v>33</v>
      </c>
      <c r="E1205" s="22" t="s">
        <v>61</v>
      </c>
      <c r="F1205" s="22" t="s">
        <v>40</v>
      </c>
      <c r="G1205" s="22" t="s">
        <v>126</v>
      </c>
      <c r="H1205" s="22" t="s">
        <v>59</v>
      </c>
      <c r="I1205" s="22" t="s">
        <v>111</v>
      </c>
      <c r="J1205" s="23">
        <v>12</v>
      </c>
      <c r="K1205" s="37">
        <v>0</v>
      </c>
      <c r="L1205" s="37">
        <v>4</v>
      </c>
      <c r="M1205" s="22">
        <f>IF(OR(ISBLANK(C1205),C1205=""),"",ROUND((C1205-B1205)*24,2))</f>
        <v>7.93</v>
      </c>
      <c r="N1205" s="40" t="str">
        <f>IF(OR(ISBLANK(C1205),C1205="",M1205=""),"In Progress",IF(M1205&lt;=J1205,"Met","Breached"))</f>
        <v>Met</v>
      </c>
    </row>
    <row r="1206" ht="19" customHeight="1" spans="1:14" x14ac:dyDescent="0.25">
      <c r="A1206" s="19" t="s">
        <v>1320</v>
      </c>
      <c r="B1206" s="33">
        <v>46096.290972222225</v>
      </c>
      <c r="C1206" s="33">
        <v>46098.32708333334</v>
      </c>
      <c r="D1206" s="19" t="s">
        <v>33</v>
      </c>
      <c r="E1206" s="19" t="s">
        <v>65</v>
      </c>
      <c r="F1206" s="19" t="s">
        <v>43</v>
      </c>
      <c r="G1206" s="19" t="s">
        <v>121</v>
      </c>
      <c r="H1206" s="19" t="s">
        <v>59</v>
      </c>
      <c r="I1206" s="19" t="s">
        <v>114</v>
      </c>
      <c r="J1206" s="20">
        <v>48</v>
      </c>
      <c r="K1206" s="34">
        <v>0</v>
      </c>
      <c r="L1206" s="34">
        <v>1</v>
      </c>
      <c r="M1206" s="19">
        <f>IF(OR(ISBLANK(C1206),C1206=""),"",ROUND((C1206-B1206)*24,2))</f>
        <v>48.87</v>
      </c>
      <c r="N1206" s="39" t="str">
        <f>IF(OR(ISBLANK(C1206),C1206="",M1206=""),"In Progress",IF(M1206&lt;=J1206,"Met","Breached"))</f>
        <v>Breached</v>
      </c>
    </row>
    <row r="1207" ht="19" customHeight="1" spans="1:14" x14ac:dyDescent="0.25">
      <c r="A1207" s="22" t="s">
        <v>1321</v>
      </c>
      <c r="B1207" s="36">
        <v>46159.773611111115</v>
      </c>
      <c r="D1207" s="22" t="s">
        <v>39</v>
      </c>
      <c r="E1207" s="22" t="s">
        <v>65</v>
      </c>
      <c r="F1207" s="22" t="s">
        <v>43</v>
      </c>
      <c r="G1207" s="22" t="s">
        <v>126</v>
      </c>
      <c r="H1207" s="22" t="s">
        <v>59</v>
      </c>
      <c r="I1207" s="22" t="s">
        <v>114</v>
      </c>
      <c r="J1207" s="23">
        <v>48</v>
      </c>
      <c r="K1207" s="37">
        <v>0</v>
      </c>
      <c r="M1207" s="22" t="str">
        <f>IF(OR(ISBLANK(C1207),C1207=""),"",ROUND((C1207-B1207)*24,2))</f>
        <v/>
      </c>
      <c r="N1207" s="22" t="str">
        <f>IF(OR(ISBLANK(C1207),C1207="",M1207=""),"In Progress",IF(M1207&lt;=J1207,"Met","Breached"))</f>
        <v>In Progress</v>
      </c>
    </row>
    <row r="1208" ht="19" customHeight="1" spans="1:14" x14ac:dyDescent="0.25">
      <c r="A1208" s="19" t="s">
        <v>1322</v>
      </c>
      <c r="B1208" s="33">
        <v>45880.46597222222</v>
      </c>
      <c r="C1208" s="33">
        <v>45881.35625</v>
      </c>
      <c r="D1208" s="19" t="s">
        <v>33</v>
      </c>
      <c r="E1208" s="19" t="s">
        <v>65</v>
      </c>
      <c r="F1208" s="19" t="s">
        <v>45</v>
      </c>
      <c r="G1208" s="19" t="s">
        <v>110</v>
      </c>
      <c r="H1208" s="19" t="s">
        <v>59</v>
      </c>
      <c r="I1208" s="19" t="s">
        <v>114</v>
      </c>
      <c r="J1208" s="20">
        <v>48</v>
      </c>
      <c r="K1208" s="34">
        <v>0</v>
      </c>
      <c r="L1208" s="34">
        <v>4</v>
      </c>
      <c r="M1208" s="19">
        <f>IF(OR(ISBLANK(C1208),C1208=""),"",ROUND((C1208-B1208)*24,2))</f>
        <v>21.37</v>
      </c>
      <c r="N1208" s="35" t="str">
        <f>IF(OR(ISBLANK(C1208),C1208="",M1208=""),"In Progress",IF(M1208&lt;=J1208,"Met","Breached"))</f>
        <v>Met</v>
      </c>
    </row>
    <row r="1209" ht="19" customHeight="1" spans="1:14" x14ac:dyDescent="0.25">
      <c r="A1209" s="22" t="s">
        <v>1323</v>
      </c>
      <c r="B1209" s="36">
        <v>45699.007638888885</v>
      </c>
      <c r="C1209" s="36">
        <v>45701.95277777778</v>
      </c>
      <c r="D1209" s="22" t="s">
        <v>33</v>
      </c>
      <c r="E1209" s="22" t="s">
        <v>65</v>
      </c>
      <c r="F1209" s="22" t="s">
        <v>37</v>
      </c>
      <c r="G1209" s="22" t="s">
        <v>121</v>
      </c>
      <c r="H1209" s="22" t="s">
        <v>59</v>
      </c>
      <c r="I1209" s="22" t="s">
        <v>114</v>
      </c>
      <c r="J1209" s="23">
        <v>48</v>
      </c>
      <c r="K1209" s="37">
        <v>0</v>
      </c>
      <c r="M1209" s="22">
        <f>IF(OR(ISBLANK(C1209),C1209=""),"",ROUND((C1209-B1209)*24,2))</f>
        <v>70.68</v>
      </c>
      <c r="N1209" s="38" t="str">
        <f>IF(OR(ISBLANK(C1209),C1209="",M1209=""),"In Progress",IF(M1209&lt;=J1209,"Met","Breached"))</f>
        <v>Breached</v>
      </c>
    </row>
    <row r="1210" ht="19" customHeight="1" spans="1:14" x14ac:dyDescent="0.25">
      <c r="A1210" s="19" t="s">
        <v>1324</v>
      </c>
      <c r="B1210" s="33">
        <v>46068.24652777778</v>
      </c>
      <c r="C1210" s="33">
        <v>46071.45277777778</v>
      </c>
      <c r="D1210" s="19" t="s">
        <v>33</v>
      </c>
      <c r="E1210" s="19" t="s">
        <v>65</v>
      </c>
      <c r="F1210" s="19" t="s">
        <v>40</v>
      </c>
      <c r="G1210" s="19" t="s">
        <v>121</v>
      </c>
      <c r="H1210" s="19" t="s">
        <v>67</v>
      </c>
      <c r="I1210" s="19" t="s">
        <v>117</v>
      </c>
      <c r="J1210" s="20">
        <v>48</v>
      </c>
      <c r="K1210" s="34">
        <v>0</v>
      </c>
      <c r="L1210" s="34">
        <v>1</v>
      </c>
      <c r="M1210" s="19">
        <f>IF(OR(ISBLANK(C1210),C1210=""),"",ROUND((C1210-B1210)*24,2))</f>
        <v>76.95</v>
      </c>
      <c r="N1210" s="39" t="str">
        <f>IF(OR(ISBLANK(C1210),C1210="",M1210=""),"In Progress",IF(M1210&lt;=J1210,"Met","Breached"))</f>
        <v>Breached</v>
      </c>
    </row>
    <row r="1211" ht="19" customHeight="1" spans="1:14" x14ac:dyDescent="0.25">
      <c r="A1211" s="22" t="s">
        <v>1325</v>
      </c>
      <c r="B1211" s="36">
        <v>45716.12430555555</v>
      </c>
      <c r="D1211" s="22" t="s">
        <v>39</v>
      </c>
      <c r="E1211" s="22" t="s">
        <v>61</v>
      </c>
      <c r="F1211" s="22" t="s">
        <v>40</v>
      </c>
      <c r="G1211" s="22" t="s">
        <v>110</v>
      </c>
      <c r="H1211" s="22" t="s">
        <v>71</v>
      </c>
      <c r="I1211" s="22" t="s">
        <v>108</v>
      </c>
      <c r="J1211" s="23">
        <v>12</v>
      </c>
      <c r="K1211" s="37">
        <v>0</v>
      </c>
      <c r="M1211" s="22" t="str">
        <f>IF(OR(ISBLANK(C1211),C1211=""),"",ROUND((C1211-B1211)*24,2))</f>
        <v/>
      </c>
      <c r="N1211" s="22" t="str">
        <f>IF(OR(ISBLANK(C1211),C1211="",M1211=""),"In Progress",IF(M1211&lt;=J1211,"Met","Breached"))</f>
        <v>In Progress</v>
      </c>
    </row>
    <row r="1212" ht="19" customHeight="1" spans="1:14" x14ac:dyDescent="0.25">
      <c r="A1212" s="19" t="s">
        <v>1326</v>
      </c>
      <c r="B1212" s="33">
        <v>45730.67222222222</v>
      </c>
      <c r="C1212" s="33">
        <v>45733.28680555556</v>
      </c>
      <c r="D1212" s="19" t="s">
        <v>33</v>
      </c>
      <c r="E1212" s="19" t="s">
        <v>69</v>
      </c>
      <c r="F1212" s="19" t="s">
        <v>40</v>
      </c>
      <c r="G1212" s="19" t="s">
        <v>116</v>
      </c>
      <c r="H1212" s="19" t="s">
        <v>67</v>
      </c>
      <c r="I1212" s="19" t="s">
        <v>123</v>
      </c>
      <c r="J1212" s="20">
        <v>120</v>
      </c>
      <c r="K1212" s="34">
        <v>0</v>
      </c>
      <c r="M1212" s="19">
        <f>IF(OR(ISBLANK(C1212),C1212=""),"",ROUND((C1212-B1212)*24,2))</f>
        <v>62.75</v>
      </c>
      <c r="N1212" s="35" t="str">
        <f>IF(OR(ISBLANK(C1212),C1212="",M1212=""),"In Progress",IF(M1212&lt;=J1212,"Met","Breached"))</f>
        <v>Met</v>
      </c>
    </row>
    <row r="1213" ht="19" customHeight="1" spans="1:14" x14ac:dyDescent="0.25">
      <c r="A1213" s="22" t="s">
        <v>1327</v>
      </c>
      <c r="B1213" s="36">
        <v>45981.32916666666</v>
      </c>
      <c r="C1213" s="36">
        <v>45984.91666666667</v>
      </c>
      <c r="D1213" s="22" t="s">
        <v>33</v>
      </c>
      <c r="E1213" s="22" t="s">
        <v>65</v>
      </c>
      <c r="F1213" s="22" t="s">
        <v>45</v>
      </c>
      <c r="G1213" s="22" t="s">
        <v>121</v>
      </c>
      <c r="H1213" s="22" t="s">
        <v>59</v>
      </c>
      <c r="I1213" s="22" t="s">
        <v>123</v>
      </c>
      <c r="J1213" s="23">
        <v>48</v>
      </c>
      <c r="K1213" s="37">
        <v>0</v>
      </c>
      <c r="M1213" s="22">
        <f>IF(OR(ISBLANK(C1213),C1213=""),"",ROUND((C1213-B1213)*24,2))</f>
        <v>86.1</v>
      </c>
      <c r="N1213" s="38" t="str">
        <f>IF(OR(ISBLANK(C1213),C1213="",M1213=""),"In Progress",IF(M1213&lt;=J1213,"Met","Breached"))</f>
        <v>Breached</v>
      </c>
    </row>
    <row r="1214" ht="19" customHeight="1" spans="1:14" x14ac:dyDescent="0.25">
      <c r="A1214" s="19" t="s">
        <v>1328</v>
      </c>
      <c r="B1214" s="33">
        <v>46277.51597222222</v>
      </c>
      <c r="D1214" s="19" t="s">
        <v>39</v>
      </c>
      <c r="E1214" s="19" t="s">
        <v>65</v>
      </c>
      <c r="F1214" s="19" t="s">
        <v>43</v>
      </c>
      <c r="G1214" s="19" t="s">
        <v>63</v>
      </c>
      <c r="H1214" s="19" t="s">
        <v>59</v>
      </c>
      <c r="I1214" s="19" t="s">
        <v>117</v>
      </c>
      <c r="J1214" s="20">
        <v>48</v>
      </c>
      <c r="K1214" s="34">
        <v>0</v>
      </c>
      <c r="M1214" s="19" t="str">
        <f>IF(OR(ISBLANK(C1214),C1214=""),"",ROUND((C1214-B1214)*24,2))</f>
        <v/>
      </c>
      <c r="N1214" s="19" t="str">
        <f>IF(OR(ISBLANK(C1214),C1214="",M1214=""),"In Progress",IF(M1214&lt;=J1214,"Met","Breached"))</f>
        <v>In Progress</v>
      </c>
    </row>
    <row r="1215" ht="19" customHeight="1" spans="1:14" x14ac:dyDescent="0.25">
      <c r="A1215" s="22" t="s">
        <v>1329</v>
      </c>
      <c r="B1215" s="36">
        <v>46271.87361111111</v>
      </c>
      <c r="C1215" s="36">
        <v>46272.319444444445</v>
      </c>
      <c r="D1215" s="22" t="s">
        <v>36</v>
      </c>
      <c r="E1215" s="22" t="s">
        <v>61</v>
      </c>
      <c r="F1215" s="22" t="s">
        <v>43</v>
      </c>
      <c r="G1215" s="22" t="s">
        <v>113</v>
      </c>
      <c r="H1215" s="22" t="s">
        <v>71</v>
      </c>
      <c r="I1215" s="22" t="s">
        <v>111</v>
      </c>
      <c r="J1215" s="23">
        <v>12</v>
      </c>
      <c r="K1215" s="37">
        <v>0</v>
      </c>
      <c r="L1215" s="37">
        <v>4</v>
      </c>
      <c r="M1215" s="22">
        <f>IF(OR(ISBLANK(C1215),C1215=""),"",ROUND((C1215-B1215)*24,2))</f>
        <v>10.7</v>
      </c>
      <c r="N1215" s="40" t="str">
        <f>IF(OR(ISBLANK(C1215),C1215="",M1215=""),"In Progress",IF(M1215&lt;=J1215,"Met","Breached"))</f>
        <v>Met</v>
      </c>
    </row>
    <row r="1216" ht="19" customHeight="1" spans="1:14" x14ac:dyDescent="0.25">
      <c r="A1216" s="19" t="s">
        <v>1330</v>
      </c>
      <c r="B1216" s="33">
        <v>45982.200694444444</v>
      </c>
      <c r="D1216" s="19" t="s">
        <v>39</v>
      </c>
      <c r="E1216" s="19" t="s">
        <v>69</v>
      </c>
      <c r="F1216" s="19" t="s">
        <v>37</v>
      </c>
      <c r="G1216" s="19" t="s">
        <v>121</v>
      </c>
      <c r="H1216" s="19" t="s">
        <v>59</v>
      </c>
      <c r="I1216" s="19" t="s">
        <v>123</v>
      </c>
      <c r="J1216" s="20">
        <v>120</v>
      </c>
      <c r="K1216" s="34">
        <v>0</v>
      </c>
      <c r="M1216" s="19" t="str">
        <f>IF(OR(ISBLANK(C1216),C1216=""),"",ROUND((C1216-B1216)*24,2))</f>
        <v/>
      </c>
      <c r="N1216" s="19" t="str">
        <f>IF(OR(ISBLANK(C1216),C1216="",M1216=""),"In Progress",IF(M1216&lt;=J1216,"Met","Breached"))</f>
        <v>In Progress</v>
      </c>
    </row>
    <row r="1217" ht="19" customHeight="1" spans="1:14" x14ac:dyDescent="0.25">
      <c r="A1217" s="22" t="s">
        <v>1331</v>
      </c>
      <c r="B1217" s="36">
        <v>46170.226388888885</v>
      </c>
      <c r="C1217" s="36">
        <v>46177.93541666667</v>
      </c>
      <c r="D1217" s="22" t="s">
        <v>33</v>
      </c>
      <c r="E1217" s="22" t="s">
        <v>69</v>
      </c>
      <c r="F1217" s="22" t="s">
        <v>43</v>
      </c>
      <c r="G1217" s="22" t="s">
        <v>121</v>
      </c>
      <c r="H1217" s="22" t="s">
        <v>63</v>
      </c>
      <c r="I1217" s="22" t="s">
        <v>108</v>
      </c>
      <c r="J1217" s="23">
        <v>120</v>
      </c>
      <c r="K1217" s="37">
        <v>0</v>
      </c>
      <c r="M1217" s="22">
        <f>IF(OR(ISBLANK(C1217),C1217=""),"",ROUND((C1217-B1217)*24,2))</f>
        <v>185.02</v>
      </c>
      <c r="N1217" s="38" t="str">
        <f>IF(OR(ISBLANK(C1217),C1217="",M1217=""),"In Progress",IF(M1217&lt;=J1217,"Met","Breached"))</f>
        <v>Breached</v>
      </c>
    </row>
    <row r="1218" ht="19" customHeight="1" spans="1:14" x14ac:dyDescent="0.25">
      <c r="A1218" s="19" t="s">
        <v>1332</v>
      </c>
      <c r="B1218" s="33">
        <v>45688.04861111111</v>
      </c>
      <c r="C1218" s="33">
        <v>45689.11944444444</v>
      </c>
      <c r="D1218" s="19" t="s">
        <v>33</v>
      </c>
      <c r="E1218" s="19" t="s">
        <v>65</v>
      </c>
      <c r="F1218" s="19" t="s">
        <v>37</v>
      </c>
      <c r="G1218" s="19" t="s">
        <v>121</v>
      </c>
      <c r="H1218" s="19" t="s">
        <v>63</v>
      </c>
      <c r="I1218" s="19" t="s">
        <v>147</v>
      </c>
      <c r="J1218" s="20">
        <v>48</v>
      </c>
      <c r="K1218" s="34">
        <v>0</v>
      </c>
      <c r="L1218" s="34">
        <v>1</v>
      </c>
      <c r="M1218" s="19">
        <f>IF(OR(ISBLANK(C1218),C1218=""),"",ROUND((C1218-B1218)*24,2))</f>
        <v>25.7</v>
      </c>
      <c r="N1218" s="35" t="str">
        <f>IF(OR(ISBLANK(C1218),C1218="",M1218=""),"In Progress",IF(M1218&lt;=J1218,"Met","Breached"))</f>
        <v>Met</v>
      </c>
    </row>
    <row r="1219" ht="19" customHeight="1" spans="1:14" x14ac:dyDescent="0.25">
      <c r="A1219" s="22" t="s">
        <v>1333</v>
      </c>
      <c r="B1219" s="36">
        <v>46115.274305555555</v>
      </c>
      <c r="C1219" s="36">
        <v>46116.211805555555</v>
      </c>
      <c r="D1219" s="22" t="s">
        <v>36</v>
      </c>
      <c r="E1219" s="22" t="s">
        <v>65</v>
      </c>
      <c r="F1219" s="22" t="s">
        <v>34</v>
      </c>
      <c r="G1219" s="22" t="s">
        <v>116</v>
      </c>
      <c r="H1219" s="22" t="s">
        <v>59</v>
      </c>
      <c r="I1219" s="22" t="s">
        <v>111</v>
      </c>
      <c r="J1219" s="23">
        <v>48</v>
      </c>
      <c r="K1219" s="37">
        <v>0</v>
      </c>
      <c r="L1219" s="37">
        <v>3</v>
      </c>
      <c r="M1219" s="22">
        <f>IF(OR(ISBLANK(C1219),C1219=""),"",ROUND((C1219-B1219)*24,2))</f>
        <v>22.5</v>
      </c>
      <c r="N1219" s="40" t="str">
        <f>IF(OR(ISBLANK(C1219),C1219="",M1219=""),"In Progress",IF(M1219&lt;=J1219,"Met","Breached"))</f>
        <v>Met</v>
      </c>
    </row>
    <row r="1220" ht="19" customHeight="1" spans="1:14" x14ac:dyDescent="0.25">
      <c r="A1220" s="19" t="s">
        <v>1334</v>
      </c>
      <c r="B1220" s="33">
        <v>46223.51388888889</v>
      </c>
      <c r="D1220" s="19" t="s">
        <v>39</v>
      </c>
      <c r="E1220" s="19" t="s">
        <v>69</v>
      </c>
      <c r="F1220" s="19" t="s">
        <v>40</v>
      </c>
      <c r="G1220" s="19" t="s">
        <v>113</v>
      </c>
      <c r="H1220" s="19" t="s">
        <v>59</v>
      </c>
      <c r="I1220" s="19" t="s">
        <v>114</v>
      </c>
      <c r="J1220" s="20">
        <v>120</v>
      </c>
      <c r="K1220" s="34">
        <v>0</v>
      </c>
      <c r="M1220" s="19" t="str">
        <f>IF(OR(ISBLANK(C1220),C1220=""),"",ROUND((C1220-B1220)*24,2))</f>
        <v/>
      </c>
      <c r="N1220" s="19" t="str">
        <f>IF(OR(ISBLANK(C1220),C1220="",M1220=""),"In Progress",IF(M1220&lt;=J1220,"Met","Breached"))</f>
        <v>In Progress</v>
      </c>
    </row>
    <row r="1221" ht="19" customHeight="1" spans="1:14" x14ac:dyDescent="0.25">
      <c r="A1221" s="22" t="s">
        <v>1335</v>
      </c>
      <c r="B1221" s="36">
        <v>45890.91736111111</v>
      </c>
      <c r="D1221" s="22" t="s">
        <v>42</v>
      </c>
      <c r="E1221" s="22" t="s">
        <v>65</v>
      </c>
      <c r="F1221" s="22" t="s">
        <v>40</v>
      </c>
      <c r="G1221" s="22" t="s">
        <v>121</v>
      </c>
      <c r="H1221" s="22" t="s">
        <v>67</v>
      </c>
      <c r="I1221" s="22" t="s">
        <v>123</v>
      </c>
      <c r="J1221" s="23">
        <v>48</v>
      </c>
      <c r="K1221" s="37">
        <v>0</v>
      </c>
      <c r="M1221" s="22" t="str">
        <f>IF(OR(ISBLANK(C1221),C1221=""),"",ROUND((C1221-B1221)*24,2))</f>
        <v/>
      </c>
      <c r="N1221" s="22" t="str">
        <f>IF(OR(ISBLANK(C1221),C1221="",M1221=""),"In Progress",IF(M1221&lt;=J1221,"Met","Breached"))</f>
        <v>In Progress</v>
      </c>
    </row>
    <row r="1222" ht="19" customHeight="1" spans="1:14" x14ac:dyDescent="0.25">
      <c r="A1222" s="19" t="s">
        <v>1336</v>
      </c>
      <c r="B1222" s="33">
        <v>46052.8875</v>
      </c>
      <c r="C1222" s="33">
        <v>46055.64027777778</v>
      </c>
      <c r="D1222" s="19" t="s">
        <v>33</v>
      </c>
      <c r="E1222" s="19" t="s">
        <v>65</v>
      </c>
      <c r="F1222" s="19" t="s">
        <v>43</v>
      </c>
      <c r="G1222" s="19" t="s">
        <v>63</v>
      </c>
      <c r="H1222" s="19" t="s">
        <v>59</v>
      </c>
      <c r="I1222" s="19" t="s">
        <v>117</v>
      </c>
      <c r="J1222" s="20">
        <v>48</v>
      </c>
      <c r="K1222" s="34">
        <v>0</v>
      </c>
      <c r="M1222" s="19">
        <f>IF(OR(ISBLANK(C1222),C1222=""),"",ROUND((C1222-B1222)*24,2))</f>
        <v>66.07</v>
      </c>
      <c r="N1222" s="39" t="str">
        <f>IF(OR(ISBLANK(C1222),C1222="",M1222=""),"In Progress",IF(M1222&lt;=J1222,"Met","Breached"))</f>
        <v>Breached</v>
      </c>
    </row>
    <row r="1223" ht="19" customHeight="1" spans="1:14" x14ac:dyDescent="0.25">
      <c r="A1223" s="22" t="s">
        <v>1337</v>
      </c>
      <c r="B1223" s="36">
        <v>45723.066666666666</v>
      </c>
      <c r="C1223" s="36">
        <v>45725.72083333333</v>
      </c>
      <c r="D1223" s="22" t="s">
        <v>33</v>
      </c>
      <c r="E1223" s="22" t="s">
        <v>65</v>
      </c>
      <c r="F1223" s="22" t="s">
        <v>45</v>
      </c>
      <c r="G1223" s="22" t="s">
        <v>116</v>
      </c>
      <c r="H1223" s="22" t="s">
        <v>59</v>
      </c>
      <c r="I1223" s="22" t="s">
        <v>111</v>
      </c>
      <c r="J1223" s="23">
        <v>48</v>
      </c>
      <c r="K1223" s="37">
        <v>0</v>
      </c>
      <c r="L1223" s="37">
        <v>1</v>
      </c>
      <c r="M1223" s="22">
        <f>IF(OR(ISBLANK(C1223),C1223=""),"",ROUND((C1223-B1223)*24,2))</f>
        <v>63.7</v>
      </c>
      <c r="N1223" s="38" t="str">
        <f>IF(OR(ISBLANK(C1223),C1223="",M1223=""),"In Progress",IF(M1223&lt;=J1223,"Met","Breached"))</f>
        <v>Breached</v>
      </c>
    </row>
    <row r="1224" ht="19" customHeight="1" spans="1:14" x14ac:dyDescent="0.25">
      <c r="A1224" s="19" t="s">
        <v>1338</v>
      </c>
      <c r="B1224" s="33">
        <v>46232.88333333333</v>
      </c>
      <c r="C1224" s="33">
        <v>46238.731944444444</v>
      </c>
      <c r="D1224" s="19" t="s">
        <v>33</v>
      </c>
      <c r="E1224" s="19" t="s">
        <v>69</v>
      </c>
      <c r="F1224" s="19" t="s">
        <v>45</v>
      </c>
      <c r="G1224" s="19" t="s">
        <v>116</v>
      </c>
      <c r="H1224" s="19" t="s">
        <v>59</v>
      </c>
      <c r="I1224" s="19" t="s">
        <v>111</v>
      </c>
      <c r="J1224" s="20">
        <v>120</v>
      </c>
      <c r="K1224" s="34">
        <v>0</v>
      </c>
      <c r="L1224" s="34">
        <v>1</v>
      </c>
      <c r="M1224" s="19">
        <f>IF(OR(ISBLANK(C1224),C1224=""),"",ROUND((C1224-B1224)*24,2))</f>
        <v>140.37</v>
      </c>
      <c r="N1224" s="39" t="str">
        <f>IF(OR(ISBLANK(C1224),C1224="",M1224=""),"In Progress",IF(M1224&lt;=J1224,"Met","Breached"))</f>
        <v>Breached</v>
      </c>
    </row>
    <row r="1225" ht="19" customHeight="1" spans="1:14" x14ac:dyDescent="0.25">
      <c r="A1225" s="22" t="s">
        <v>1339</v>
      </c>
      <c r="B1225" s="36">
        <v>45907.45763888889</v>
      </c>
      <c r="C1225" s="36">
        <v>45909.17291666666</v>
      </c>
      <c r="D1225" s="22" t="s">
        <v>36</v>
      </c>
      <c r="E1225" s="22" t="s">
        <v>65</v>
      </c>
      <c r="F1225" s="22" t="s">
        <v>45</v>
      </c>
      <c r="G1225" s="22" t="s">
        <v>113</v>
      </c>
      <c r="H1225" s="22" t="s">
        <v>59</v>
      </c>
      <c r="I1225" s="22" t="s">
        <v>123</v>
      </c>
      <c r="J1225" s="23">
        <v>48</v>
      </c>
      <c r="K1225" s="37">
        <v>0</v>
      </c>
      <c r="M1225" s="22">
        <f>IF(OR(ISBLANK(C1225),C1225=""),"",ROUND((C1225-B1225)*24,2))</f>
        <v>41.17</v>
      </c>
      <c r="N1225" s="40" t="str">
        <f>IF(OR(ISBLANK(C1225),C1225="",M1225=""),"In Progress",IF(M1225&lt;=J1225,"Met","Breached"))</f>
        <v>Met</v>
      </c>
    </row>
    <row r="1226" ht="19" customHeight="1" spans="1:14" x14ac:dyDescent="0.25">
      <c r="A1226" s="19" t="s">
        <v>1340</v>
      </c>
      <c r="B1226" s="33">
        <v>46186.51944444445</v>
      </c>
      <c r="C1226" s="33">
        <v>46188.981944444444</v>
      </c>
      <c r="D1226" s="19" t="s">
        <v>36</v>
      </c>
      <c r="E1226" s="19" t="s">
        <v>65</v>
      </c>
      <c r="F1226" s="19" t="s">
        <v>37</v>
      </c>
      <c r="G1226" s="19" t="s">
        <v>110</v>
      </c>
      <c r="H1226" s="19" t="s">
        <v>63</v>
      </c>
      <c r="I1226" s="19" t="s">
        <v>111</v>
      </c>
      <c r="J1226" s="20">
        <v>48</v>
      </c>
      <c r="K1226" s="34">
        <v>0</v>
      </c>
      <c r="M1226" s="19">
        <f>IF(OR(ISBLANK(C1226),C1226=""),"",ROUND((C1226-B1226)*24,2))</f>
        <v>59.1</v>
      </c>
      <c r="N1226" s="39" t="str">
        <f>IF(OR(ISBLANK(C1226),C1226="",M1226=""),"In Progress",IF(M1226&lt;=J1226,"Met","Breached"))</f>
        <v>Breached</v>
      </c>
    </row>
    <row r="1227" ht="19" customHeight="1" spans="1:14" x14ac:dyDescent="0.25">
      <c r="A1227" s="22" t="s">
        <v>1341</v>
      </c>
      <c r="B1227" s="36">
        <v>46212.2875</v>
      </c>
      <c r="C1227" s="36">
        <v>46215.83194444445</v>
      </c>
      <c r="D1227" s="22" t="s">
        <v>36</v>
      </c>
      <c r="E1227" s="22" t="s">
        <v>69</v>
      </c>
      <c r="F1227" s="22" t="s">
        <v>45</v>
      </c>
      <c r="G1227" s="22" t="s">
        <v>63</v>
      </c>
      <c r="H1227" s="22" t="s">
        <v>67</v>
      </c>
      <c r="I1227" s="22" t="s">
        <v>117</v>
      </c>
      <c r="J1227" s="23">
        <v>120</v>
      </c>
      <c r="K1227" s="37">
        <v>0</v>
      </c>
      <c r="M1227" s="22">
        <f>IF(OR(ISBLANK(C1227),C1227=""),"",ROUND((C1227-B1227)*24,2))</f>
        <v>85.07</v>
      </c>
      <c r="N1227" s="40" t="str">
        <f>IF(OR(ISBLANK(C1227),C1227="",M1227=""),"In Progress",IF(M1227&lt;=J1227,"Met","Breached"))</f>
        <v>Met</v>
      </c>
    </row>
    <row r="1228" ht="19" customHeight="1" spans="1:14" x14ac:dyDescent="0.25">
      <c r="A1228" s="19" t="s">
        <v>1342</v>
      </c>
      <c r="B1228" s="33">
        <v>45700.902083333334</v>
      </c>
      <c r="C1228" s="33">
        <v>45703.08541666667</v>
      </c>
      <c r="D1228" s="19" t="s">
        <v>36</v>
      </c>
      <c r="E1228" s="19" t="s">
        <v>65</v>
      </c>
      <c r="F1228" s="19" t="s">
        <v>40</v>
      </c>
      <c r="G1228" s="19" t="s">
        <v>110</v>
      </c>
      <c r="H1228" s="19" t="s">
        <v>71</v>
      </c>
      <c r="I1228" s="19" t="s">
        <v>117</v>
      </c>
      <c r="J1228" s="20">
        <v>48</v>
      </c>
      <c r="K1228" s="34">
        <v>0</v>
      </c>
      <c r="L1228" s="34">
        <v>1</v>
      </c>
      <c r="M1228" s="19">
        <f>IF(OR(ISBLANK(C1228),C1228=""),"",ROUND((C1228-B1228)*24,2))</f>
        <v>52.4</v>
      </c>
      <c r="N1228" s="39" t="str">
        <f>IF(OR(ISBLANK(C1228),C1228="",M1228=""),"In Progress",IF(M1228&lt;=J1228,"Met","Breached"))</f>
        <v>Breached</v>
      </c>
    </row>
    <row r="1229" ht="19" customHeight="1" spans="1:14" x14ac:dyDescent="0.25">
      <c r="A1229" s="22" t="s">
        <v>1343</v>
      </c>
      <c r="B1229" s="36">
        <v>46146.74513888889</v>
      </c>
      <c r="C1229" s="36">
        <v>46149.88055555556</v>
      </c>
      <c r="D1229" s="22" t="s">
        <v>33</v>
      </c>
      <c r="E1229" s="22" t="s">
        <v>65</v>
      </c>
      <c r="F1229" s="22" t="s">
        <v>45</v>
      </c>
      <c r="G1229" s="22" t="s">
        <v>126</v>
      </c>
      <c r="H1229" s="22" t="s">
        <v>63</v>
      </c>
      <c r="I1229" s="22" t="s">
        <v>123</v>
      </c>
      <c r="J1229" s="23">
        <v>48</v>
      </c>
      <c r="K1229" s="37">
        <v>0</v>
      </c>
      <c r="L1229" s="37">
        <v>4</v>
      </c>
      <c r="M1229" s="22">
        <f>IF(OR(ISBLANK(C1229),C1229=""),"",ROUND((C1229-B1229)*24,2))</f>
        <v>75.25</v>
      </c>
      <c r="N1229" s="38" t="str">
        <f>IF(OR(ISBLANK(C1229),C1229="",M1229=""),"In Progress",IF(M1229&lt;=J1229,"Met","Breached"))</f>
        <v>Breached</v>
      </c>
    </row>
    <row r="1230" ht="19" customHeight="1" spans="1:14" x14ac:dyDescent="0.25">
      <c r="A1230" s="19" t="s">
        <v>1344</v>
      </c>
      <c r="B1230" s="33">
        <v>45884.15277777778</v>
      </c>
      <c r="C1230" s="33">
        <v>45887.10277777778</v>
      </c>
      <c r="D1230" s="19" t="s">
        <v>33</v>
      </c>
      <c r="E1230" s="19" t="s">
        <v>65</v>
      </c>
      <c r="F1230" s="19" t="s">
        <v>40</v>
      </c>
      <c r="G1230" s="19" t="s">
        <v>126</v>
      </c>
      <c r="H1230" s="19" t="s">
        <v>59</v>
      </c>
      <c r="I1230" s="19" t="s">
        <v>114</v>
      </c>
      <c r="J1230" s="20">
        <v>48</v>
      </c>
      <c r="K1230" s="34">
        <v>0</v>
      </c>
      <c r="L1230" s="34">
        <v>4</v>
      </c>
      <c r="M1230" s="19">
        <f>IF(OR(ISBLANK(C1230),C1230=""),"",ROUND((C1230-B1230)*24,2))</f>
        <v>70.8</v>
      </c>
      <c r="N1230" s="39" t="str">
        <f>IF(OR(ISBLANK(C1230),C1230="",M1230=""),"In Progress",IF(M1230&lt;=J1230,"Met","Breached"))</f>
        <v>Breached</v>
      </c>
    </row>
    <row r="1231" ht="19" customHeight="1" spans="1:14" x14ac:dyDescent="0.25">
      <c r="A1231" s="22" t="s">
        <v>1345</v>
      </c>
      <c r="B1231" s="36">
        <v>46256.47430555556</v>
      </c>
      <c r="C1231" s="36">
        <v>46257.58125</v>
      </c>
      <c r="D1231" s="22" t="s">
        <v>36</v>
      </c>
      <c r="E1231" s="22" t="s">
        <v>65</v>
      </c>
      <c r="F1231" s="22" t="s">
        <v>34</v>
      </c>
      <c r="G1231" s="22" t="s">
        <v>121</v>
      </c>
      <c r="H1231" s="22" t="s">
        <v>59</v>
      </c>
      <c r="I1231" s="22" t="s">
        <v>108</v>
      </c>
      <c r="J1231" s="23">
        <v>48</v>
      </c>
      <c r="K1231" s="37">
        <v>1</v>
      </c>
      <c r="L1231" s="37">
        <v>5</v>
      </c>
      <c r="M1231" s="22">
        <f>IF(OR(ISBLANK(C1231),C1231=""),"",ROUND((C1231-B1231)*24,2))</f>
        <v>26.57</v>
      </c>
      <c r="N1231" s="40" t="str">
        <f>IF(OR(ISBLANK(C1231),C1231="",M1231=""),"In Progress",IF(M1231&lt;=J1231,"Met","Breached"))</f>
        <v>Met</v>
      </c>
    </row>
    <row r="1232" ht="19" customHeight="1" spans="1:14" x14ac:dyDescent="0.25">
      <c r="A1232" s="19" t="s">
        <v>1346</v>
      </c>
      <c r="B1232" s="33">
        <v>46161.986805555556</v>
      </c>
      <c r="D1232" s="19" t="s">
        <v>42</v>
      </c>
      <c r="E1232" s="19" t="s">
        <v>65</v>
      </c>
      <c r="F1232" s="19" t="s">
        <v>45</v>
      </c>
      <c r="G1232" s="19" t="s">
        <v>63</v>
      </c>
      <c r="H1232" s="19" t="s">
        <v>59</v>
      </c>
      <c r="I1232" s="19" t="s">
        <v>108</v>
      </c>
      <c r="J1232" s="20">
        <v>48</v>
      </c>
      <c r="K1232" s="34">
        <v>0</v>
      </c>
      <c r="M1232" s="19" t="str">
        <f>IF(OR(ISBLANK(C1232),C1232=""),"",ROUND((C1232-B1232)*24,2))</f>
        <v/>
      </c>
      <c r="N1232" s="19" t="str">
        <f>IF(OR(ISBLANK(C1232),C1232="",M1232=""),"In Progress",IF(M1232&lt;=J1232,"Met","Breached"))</f>
        <v>In Progress</v>
      </c>
    </row>
    <row r="1233" ht="19" customHeight="1" spans="1:14" x14ac:dyDescent="0.25">
      <c r="A1233" s="22" t="s">
        <v>1347</v>
      </c>
      <c r="B1233" s="36">
        <v>46187.36319444445</v>
      </c>
      <c r="C1233" s="36">
        <v>46195.63402777778</v>
      </c>
      <c r="D1233" s="22" t="s">
        <v>33</v>
      </c>
      <c r="E1233" s="22" t="s">
        <v>69</v>
      </c>
      <c r="F1233" s="22" t="s">
        <v>34</v>
      </c>
      <c r="G1233" s="22" t="s">
        <v>113</v>
      </c>
      <c r="H1233" s="22" t="s">
        <v>59</v>
      </c>
      <c r="I1233" s="22" t="s">
        <v>114</v>
      </c>
      <c r="J1233" s="23">
        <v>120</v>
      </c>
      <c r="K1233" s="37">
        <v>0</v>
      </c>
      <c r="M1233" s="22">
        <f>IF(OR(ISBLANK(C1233),C1233=""),"",ROUND((C1233-B1233)*24,2))</f>
        <v>198.5</v>
      </c>
      <c r="N1233" s="38" t="str">
        <f>IF(OR(ISBLANK(C1233),C1233="",M1233=""),"In Progress",IF(M1233&lt;=J1233,"Met","Breached"))</f>
        <v>Breached</v>
      </c>
    </row>
    <row r="1234" ht="19" customHeight="1" spans="1:14" x14ac:dyDescent="0.25">
      <c r="A1234" s="19" t="s">
        <v>1348</v>
      </c>
      <c r="B1234" s="33">
        <v>45970.21388888889</v>
      </c>
      <c r="C1234" s="33">
        <v>45972.09722222222</v>
      </c>
      <c r="D1234" s="19" t="s">
        <v>33</v>
      </c>
      <c r="E1234" s="19" t="s">
        <v>65</v>
      </c>
      <c r="F1234" s="19" t="s">
        <v>37</v>
      </c>
      <c r="G1234" s="19" t="s">
        <v>63</v>
      </c>
      <c r="H1234" s="19" t="s">
        <v>59</v>
      </c>
      <c r="I1234" s="19" t="s">
        <v>147</v>
      </c>
      <c r="J1234" s="20">
        <v>48</v>
      </c>
      <c r="K1234" s="34">
        <v>0</v>
      </c>
      <c r="L1234" s="34">
        <v>5</v>
      </c>
      <c r="M1234" s="19">
        <f>IF(OR(ISBLANK(C1234),C1234=""),"",ROUND((C1234-B1234)*24,2))</f>
        <v>45.2</v>
      </c>
      <c r="N1234" s="35" t="str">
        <f>IF(OR(ISBLANK(C1234),C1234="",M1234=""),"In Progress",IF(M1234&lt;=J1234,"Met","Breached"))</f>
        <v>Met</v>
      </c>
    </row>
    <row r="1235" ht="19" customHeight="1" spans="1:14" x14ac:dyDescent="0.25">
      <c r="A1235" s="22" t="s">
        <v>1349</v>
      </c>
      <c r="B1235" s="36">
        <v>45713.83125</v>
      </c>
      <c r="C1235" s="36">
        <v>45715.754166666666</v>
      </c>
      <c r="D1235" s="22" t="s">
        <v>33</v>
      </c>
      <c r="E1235" s="22" t="s">
        <v>65</v>
      </c>
      <c r="F1235" s="22" t="s">
        <v>37</v>
      </c>
      <c r="G1235" s="22" t="s">
        <v>126</v>
      </c>
      <c r="H1235" s="22" t="s">
        <v>63</v>
      </c>
      <c r="I1235" s="22" t="s">
        <v>108</v>
      </c>
      <c r="J1235" s="23">
        <v>48</v>
      </c>
      <c r="K1235" s="37">
        <v>0</v>
      </c>
      <c r="L1235" s="37">
        <v>1</v>
      </c>
      <c r="M1235" s="22">
        <f>IF(OR(ISBLANK(C1235),C1235=""),"",ROUND((C1235-B1235)*24,2))</f>
        <v>46.15</v>
      </c>
      <c r="N1235" s="40" t="str">
        <f>IF(OR(ISBLANK(C1235),C1235="",M1235=""),"In Progress",IF(M1235&lt;=J1235,"Met","Breached"))</f>
        <v>Met</v>
      </c>
    </row>
    <row r="1236" ht="19" customHeight="1" spans="1:14" x14ac:dyDescent="0.25">
      <c r="A1236" s="19" t="s">
        <v>1350</v>
      </c>
      <c r="B1236" s="33">
        <v>46046.101388888885</v>
      </c>
      <c r="D1236" s="19" t="s">
        <v>39</v>
      </c>
      <c r="E1236" s="19" t="s">
        <v>61</v>
      </c>
      <c r="F1236" s="19" t="s">
        <v>37</v>
      </c>
      <c r="G1236" s="19" t="s">
        <v>113</v>
      </c>
      <c r="H1236" s="19" t="s">
        <v>63</v>
      </c>
      <c r="I1236" s="19" t="s">
        <v>111</v>
      </c>
      <c r="J1236" s="20">
        <v>12</v>
      </c>
      <c r="K1236" s="34">
        <v>0</v>
      </c>
      <c r="M1236" s="19" t="str">
        <f>IF(OR(ISBLANK(C1236),C1236=""),"",ROUND((C1236-B1236)*24,2))</f>
        <v/>
      </c>
      <c r="N1236" s="19" t="str">
        <f>IF(OR(ISBLANK(C1236),C1236="",M1236=""),"In Progress",IF(M1236&lt;=J1236,"Met","Breached"))</f>
        <v>In Progress</v>
      </c>
    </row>
    <row r="1237" ht="19" customHeight="1" spans="1:14" x14ac:dyDescent="0.25">
      <c r="A1237" s="22" t="s">
        <v>1351</v>
      </c>
      <c r="B1237" s="36">
        <v>45910.93125</v>
      </c>
      <c r="C1237" s="36">
        <v>45914.495833333334</v>
      </c>
      <c r="D1237" s="22" t="s">
        <v>33</v>
      </c>
      <c r="E1237" s="22" t="s">
        <v>65</v>
      </c>
      <c r="F1237" s="22" t="s">
        <v>37</v>
      </c>
      <c r="G1237" s="22" t="s">
        <v>126</v>
      </c>
      <c r="H1237" s="22" t="s">
        <v>59</v>
      </c>
      <c r="I1237" s="22" t="s">
        <v>123</v>
      </c>
      <c r="J1237" s="23">
        <v>48</v>
      </c>
      <c r="K1237" s="37">
        <v>0</v>
      </c>
      <c r="M1237" s="22">
        <f>IF(OR(ISBLANK(C1237),C1237=""),"",ROUND((C1237-B1237)*24,2))</f>
        <v>85.55</v>
      </c>
      <c r="N1237" s="38" t="str">
        <f>IF(OR(ISBLANK(C1237),C1237="",M1237=""),"In Progress",IF(M1237&lt;=J1237,"Met","Breached"))</f>
        <v>Breached</v>
      </c>
    </row>
    <row r="1238" ht="19" customHeight="1" spans="1:14" x14ac:dyDescent="0.25">
      <c r="A1238" s="19" t="s">
        <v>1352</v>
      </c>
      <c r="B1238" s="33">
        <v>45993.540972222225</v>
      </c>
      <c r="C1238" s="33">
        <v>45996.163888888885</v>
      </c>
      <c r="D1238" s="19" t="s">
        <v>33</v>
      </c>
      <c r="E1238" s="19" t="s">
        <v>65</v>
      </c>
      <c r="F1238" s="19" t="s">
        <v>43</v>
      </c>
      <c r="G1238" s="19" t="s">
        <v>126</v>
      </c>
      <c r="H1238" s="19" t="s">
        <v>63</v>
      </c>
      <c r="I1238" s="19" t="s">
        <v>108</v>
      </c>
      <c r="J1238" s="20">
        <v>48</v>
      </c>
      <c r="K1238" s="34">
        <v>0</v>
      </c>
      <c r="L1238" s="34">
        <v>3</v>
      </c>
      <c r="M1238" s="19">
        <f>IF(OR(ISBLANK(C1238),C1238=""),"",ROUND((C1238-B1238)*24,2))</f>
        <v>62.95</v>
      </c>
      <c r="N1238" s="39" t="str">
        <f>IF(OR(ISBLANK(C1238),C1238="",M1238=""),"In Progress",IF(M1238&lt;=J1238,"Met","Breached"))</f>
        <v>Breached</v>
      </c>
    </row>
    <row r="1239" ht="19" customHeight="1" spans="1:14" x14ac:dyDescent="0.25">
      <c r="A1239" s="22" t="s">
        <v>1353</v>
      </c>
      <c r="B1239" s="36">
        <v>46260.67152777778</v>
      </c>
      <c r="D1239" s="22" t="s">
        <v>39</v>
      </c>
      <c r="E1239" s="22" t="s">
        <v>65</v>
      </c>
      <c r="F1239" s="22" t="s">
        <v>45</v>
      </c>
      <c r="G1239" s="22" t="s">
        <v>126</v>
      </c>
      <c r="H1239" s="22" t="s">
        <v>59</v>
      </c>
      <c r="I1239" s="22" t="s">
        <v>117</v>
      </c>
      <c r="J1239" s="23">
        <v>48</v>
      </c>
      <c r="K1239" s="37">
        <v>0</v>
      </c>
      <c r="M1239" s="22" t="str">
        <f>IF(OR(ISBLANK(C1239),C1239=""),"",ROUND((C1239-B1239)*24,2))</f>
        <v/>
      </c>
      <c r="N1239" s="22" t="str">
        <f>IF(OR(ISBLANK(C1239),C1239="",M1239=""),"In Progress",IF(M1239&lt;=J1239,"Met","Breached"))</f>
        <v>In Progress</v>
      </c>
    </row>
    <row r="1240" ht="19" customHeight="1" spans="1:14" x14ac:dyDescent="0.25">
      <c r="A1240" s="19" t="s">
        <v>1354</v>
      </c>
      <c r="B1240" s="33">
        <v>45740.89027777778</v>
      </c>
      <c r="C1240" s="33">
        <v>45748.486805555556</v>
      </c>
      <c r="D1240" s="19" t="s">
        <v>33</v>
      </c>
      <c r="E1240" s="19" t="s">
        <v>69</v>
      </c>
      <c r="F1240" s="19" t="s">
        <v>45</v>
      </c>
      <c r="G1240" s="19" t="s">
        <v>110</v>
      </c>
      <c r="H1240" s="19" t="s">
        <v>63</v>
      </c>
      <c r="I1240" s="19" t="s">
        <v>108</v>
      </c>
      <c r="J1240" s="20">
        <v>120</v>
      </c>
      <c r="K1240" s="34">
        <v>0</v>
      </c>
      <c r="M1240" s="19">
        <f>IF(OR(ISBLANK(C1240),C1240=""),"",ROUND((C1240-B1240)*24,2))</f>
        <v>182.32</v>
      </c>
      <c r="N1240" s="39" t="str">
        <f>IF(OR(ISBLANK(C1240),C1240="",M1240=""),"In Progress",IF(M1240&lt;=J1240,"Met","Breached"))</f>
        <v>Breached</v>
      </c>
    </row>
    <row r="1241" ht="19" customHeight="1" spans="1:14" x14ac:dyDescent="0.25">
      <c r="A1241" s="22" t="s">
        <v>1355</v>
      </c>
      <c r="B1241" s="36">
        <v>46151.11111111111</v>
      </c>
      <c r="C1241" s="36">
        <v>46151.74930555555</v>
      </c>
      <c r="D1241" s="22" t="s">
        <v>36</v>
      </c>
      <c r="E1241" s="22" t="s">
        <v>61</v>
      </c>
      <c r="F1241" s="22" t="s">
        <v>37</v>
      </c>
      <c r="G1241" s="22" t="s">
        <v>126</v>
      </c>
      <c r="H1241" s="22" t="s">
        <v>63</v>
      </c>
      <c r="I1241" s="22" t="s">
        <v>108</v>
      </c>
      <c r="J1241" s="23">
        <v>12</v>
      </c>
      <c r="K1241" s="37">
        <v>0</v>
      </c>
      <c r="L1241" s="37">
        <v>4</v>
      </c>
      <c r="M1241" s="22">
        <f>IF(OR(ISBLANK(C1241),C1241=""),"",ROUND((C1241-B1241)*24,2))</f>
        <v>15.32</v>
      </c>
      <c r="N1241" s="38" t="str">
        <f>IF(OR(ISBLANK(C1241),C1241="",M1241=""),"In Progress",IF(M1241&lt;=J1241,"Met","Breached"))</f>
        <v>Breached</v>
      </c>
    </row>
    <row r="1242" ht="19" customHeight="1" spans="1:14" x14ac:dyDescent="0.25">
      <c r="A1242" s="19" t="s">
        <v>1356</v>
      </c>
      <c r="B1242" s="33">
        <v>46275.36458333333</v>
      </c>
      <c r="D1242" s="19" t="s">
        <v>39</v>
      </c>
      <c r="E1242" s="19" t="s">
        <v>61</v>
      </c>
      <c r="F1242" s="19" t="s">
        <v>43</v>
      </c>
      <c r="G1242" s="19" t="s">
        <v>116</v>
      </c>
      <c r="H1242" s="19" t="s">
        <v>63</v>
      </c>
      <c r="I1242" s="19" t="s">
        <v>108</v>
      </c>
      <c r="J1242" s="20">
        <v>12</v>
      </c>
      <c r="K1242" s="34">
        <v>0</v>
      </c>
      <c r="M1242" s="19" t="str">
        <f>IF(OR(ISBLANK(C1242),C1242=""),"",ROUND((C1242-B1242)*24,2))</f>
        <v/>
      </c>
      <c r="N1242" s="19" t="str">
        <f>IF(OR(ISBLANK(C1242),C1242="",M1242=""),"In Progress",IF(M1242&lt;=J1242,"Met","Breached"))</f>
        <v>In Progress</v>
      </c>
    </row>
    <row r="1243" ht="19" customHeight="1" spans="1:14" x14ac:dyDescent="0.25">
      <c r="A1243" s="22" t="s">
        <v>1357</v>
      </c>
      <c r="B1243" s="36">
        <v>45870.478472222225</v>
      </c>
      <c r="D1243" s="22" t="s">
        <v>39</v>
      </c>
      <c r="E1243" s="22" t="s">
        <v>69</v>
      </c>
      <c r="F1243" s="22" t="s">
        <v>37</v>
      </c>
      <c r="G1243" s="22" t="s">
        <v>110</v>
      </c>
      <c r="H1243" s="22" t="s">
        <v>59</v>
      </c>
      <c r="I1243" s="22" t="s">
        <v>123</v>
      </c>
      <c r="J1243" s="23">
        <v>120</v>
      </c>
      <c r="K1243" s="37">
        <v>0</v>
      </c>
      <c r="M1243" s="22" t="str">
        <f>IF(OR(ISBLANK(C1243),C1243=""),"",ROUND((C1243-B1243)*24,2))</f>
        <v/>
      </c>
      <c r="N1243" s="22" t="str">
        <f>IF(OR(ISBLANK(C1243),C1243="",M1243=""),"In Progress",IF(M1243&lt;=J1243,"Met","Breached"))</f>
        <v>In Progress</v>
      </c>
    </row>
    <row r="1244" ht="19" customHeight="1" spans="1:14" x14ac:dyDescent="0.25">
      <c r="A1244" s="19" t="s">
        <v>1358</v>
      </c>
      <c r="B1244" s="33">
        <v>45711.39236111111</v>
      </c>
      <c r="D1244" s="19" t="s">
        <v>39</v>
      </c>
      <c r="E1244" s="19" t="s">
        <v>69</v>
      </c>
      <c r="F1244" s="19" t="s">
        <v>37</v>
      </c>
      <c r="G1244" s="19" t="s">
        <v>126</v>
      </c>
      <c r="H1244" s="19" t="s">
        <v>63</v>
      </c>
      <c r="I1244" s="19" t="s">
        <v>147</v>
      </c>
      <c r="J1244" s="20">
        <v>120</v>
      </c>
      <c r="K1244" s="34">
        <v>0</v>
      </c>
      <c r="M1244" s="19" t="str">
        <f>IF(OR(ISBLANK(C1244),C1244=""),"",ROUND((C1244-B1244)*24,2))</f>
        <v/>
      </c>
      <c r="N1244" s="19" t="str">
        <f>IF(OR(ISBLANK(C1244),C1244="",M1244=""),"In Progress",IF(M1244&lt;=J1244,"Met","Breached"))</f>
        <v>In Progress</v>
      </c>
    </row>
    <row r="1245" ht="19" customHeight="1" spans="1:14" x14ac:dyDescent="0.25">
      <c r="A1245" s="22" t="s">
        <v>1359</v>
      </c>
      <c r="B1245" s="36">
        <v>45782.66180555556</v>
      </c>
      <c r="C1245" s="36">
        <v>45785.638194444444</v>
      </c>
      <c r="D1245" s="22" t="s">
        <v>36</v>
      </c>
      <c r="E1245" s="22" t="s">
        <v>65</v>
      </c>
      <c r="F1245" s="22" t="s">
        <v>45</v>
      </c>
      <c r="G1245" s="22" t="s">
        <v>121</v>
      </c>
      <c r="H1245" s="22" t="s">
        <v>63</v>
      </c>
      <c r="I1245" s="22" t="s">
        <v>117</v>
      </c>
      <c r="J1245" s="23">
        <v>48</v>
      </c>
      <c r="K1245" s="37">
        <v>0</v>
      </c>
      <c r="L1245" s="37">
        <v>1</v>
      </c>
      <c r="M1245" s="22">
        <f>IF(OR(ISBLANK(C1245),C1245=""),"",ROUND((C1245-B1245)*24,2))</f>
        <v>71.43</v>
      </c>
      <c r="N1245" s="38" t="str">
        <f>IF(OR(ISBLANK(C1245),C1245="",M1245=""),"In Progress",IF(M1245&lt;=J1245,"Met","Breached"))</f>
        <v>Breached</v>
      </c>
    </row>
    <row r="1246" ht="19" customHeight="1" spans="1:14" x14ac:dyDescent="0.25">
      <c r="A1246" s="19" t="s">
        <v>1360</v>
      </c>
      <c r="B1246" s="33">
        <v>46122.586805555555</v>
      </c>
      <c r="C1246" s="33">
        <v>46122.81458333333</v>
      </c>
      <c r="D1246" s="19" t="s">
        <v>33</v>
      </c>
      <c r="E1246" s="19" t="s">
        <v>57</v>
      </c>
      <c r="F1246" s="19" t="s">
        <v>43</v>
      </c>
      <c r="G1246" s="19" t="s">
        <v>126</v>
      </c>
      <c r="H1246" s="19" t="s">
        <v>59</v>
      </c>
      <c r="I1246" s="19" t="s">
        <v>108</v>
      </c>
      <c r="J1246" s="20">
        <v>4</v>
      </c>
      <c r="K1246" s="34">
        <v>0</v>
      </c>
      <c r="L1246" s="34">
        <v>5</v>
      </c>
      <c r="M1246" s="19">
        <f>IF(OR(ISBLANK(C1246),C1246=""),"",ROUND((C1246-B1246)*24,2))</f>
        <v>5.47</v>
      </c>
      <c r="N1246" s="39" t="str">
        <f>IF(OR(ISBLANK(C1246),C1246="",M1246=""),"In Progress",IF(M1246&lt;=J1246,"Met","Breached"))</f>
        <v>Breached</v>
      </c>
    </row>
    <row r="1247" ht="19" customHeight="1" spans="1:14" x14ac:dyDescent="0.25">
      <c r="A1247" s="22" t="s">
        <v>1361</v>
      </c>
      <c r="B1247" s="36">
        <v>45968.933333333334</v>
      </c>
      <c r="C1247" s="36">
        <v>45970.4875</v>
      </c>
      <c r="D1247" s="22" t="s">
        <v>33</v>
      </c>
      <c r="E1247" s="22" t="s">
        <v>65</v>
      </c>
      <c r="F1247" s="22" t="s">
        <v>34</v>
      </c>
      <c r="G1247" s="22" t="s">
        <v>126</v>
      </c>
      <c r="H1247" s="22" t="s">
        <v>71</v>
      </c>
      <c r="I1247" s="22" t="s">
        <v>147</v>
      </c>
      <c r="J1247" s="23">
        <v>48</v>
      </c>
      <c r="K1247" s="37">
        <v>0</v>
      </c>
      <c r="M1247" s="22">
        <f>IF(OR(ISBLANK(C1247),C1247=""),"",ROUND((C1247-B1247)*24,2))</f>
        <v>37.3</v>
      </c>
      <c r="N1247" s="40" t="str">
        <f>IF(OR(ISBLANK(C1247),C1247="",M1247=""),"In Progress",IF(M1247&lt;=J1247,"Met","Breached"))</f>
        <v>Met</v>
      </c>
    </row>
    <row r="1248" ht="19" customHeight="1" spans="1:14" x14ac:dyDescent="0.25">
      <c r="A1248" s="19" t="s">
        <v>1362</v>
      </c>
      <c r="B1248" s="33">
        <v>45743.334027777775</v>
      </c>
      <c r="C1248" s="33">
        <v>45743.601388888885</v>
      </c>
      <c r="D1248" s="19" t="s">
        <v>33</v>
      </c>
      <c r="E1248" s="19" t="s">
        <v>61</v>
      </c>
      <c r="F1248" s="19" t="s">
        <v>34</v>
      </c>
      <c r="G1248" s="19" t="s">
        <v>116</v>
      </c>
      <c r="H1248" s="19" t="s">
        <v>59</v>
      </c>
      <c r="I1248" s="19" t="s">
        <v>117</v>
      </c>
      <c r="J1248" s="20">
        <v>12</v>
      </c>
      <c r="K1248" s="34">
        <v>0</v>
      </c>
      <c r="M1248" s="19">
        <f>IF(OR(ISBLANK(C1248),C1248=""),"",ROUND((C1248-B1248)*24,2))</f>
        <v>6.42</v>
      </c>
      <c r="N1248" s="35" t="str">
        <f>IF(OR(ISBLANK(C1248),C1248="",M1248=""),"In Progress",IF(M1248&lt;=J1248,"Met","Breached"))</f>
        <v>Met</v>
      </c>
    </row>
    <row r="1249" ht="19" customHeight="1" spans="1:14" x14ac:dyDescent="0.25">
      <c r="A1249" s="22" t="s">
        <v>1363</v>
      </c>
      <c r="B1249" s="36">
        <v>46017.146527777775</v>
      </c>
      <c r="C1249" s="36">
        <v>46017.33333333333</v>
      </c>
      <c r="D1249" s="22" t="s">
        <v>33</v>
      </c>
      <c r="E1249" s="22" t="s">
        <v>57</v>
      </c>
      <c r="F1249" s="22" t="s">
        <v>37</v>
      </c>
      <c r="G1249" s="22" t="s">
        <v>110</v>
      </c>
      <c r="H1249" s="22" t="s">
        <v>59</v>
      </c>
      <c r="I1249" s="22" t="s">
        <v>147</v>
      </c>
      <c r="J1249" s="23">
        <v>4</v>
      </c>
      <c r="K1249" s="37">
        <v>0</v>
      </c>
      <c r="L1249" s="37">
        <v>3</v>
      </c>
      <c r="M1249" s="22">
        <f>IF(OR(ISBLANK(C1249),C1249=""),"",ROUND((C1249-B1249)*24,2))</f>
        <v>4.48</v>
      </c>
      <c r="N1249" s="38" t="str">
        <f>IF(OR(ISBLANK(C1249),C1249="",M1249=""),"In Progress",IF(M1249&lt;=J1249,"Met","Breached"))</f>
        <v>Breached</v>
      </c>
    </row>
    <row r="1250" ht="19" customHeight="1" spans="1:14" x14ac:dyDescent="0.25">
      <c r="A1250" s="19" t="s">
        <v>1364</v>
      </c>
      <c r="B1250" s="33">
        <v>46237.981944444444</v>
      </c>
      <c r="C1250" s="33">
        <v>46241.22152777778</v>
      </c>
      <c r="D1250" s="19" t="s">
        <v>36</v>
      </c>
      <c r="E1250" s="19" t="s">
        <v>65</v>
      </c>
      <c r="F1250" s="19" t="s">
        <v>43</v>
      </c>
      <c r="G1250" s="19" t="s">
        <v>110</v>
      </c>
      <c r="H1250" s="19" t="s">
        <v>71</v>
      </c>
      <c r="I1250" s="19" t="s">
        <v>108</v>
      </c>
      <c r="J1250" s="20">
        <v>48</v>
      </c>
      <c r="K1250" s="34">
        <v>0</v>
      </c>
      <c r="M1250" s="19">
        <f>IF(OR(ISBLANK(C1250),C1250=""),"",ROUND((C1250-B1250)*24,2))</f>
        <v>77.75</v>
      </c>
      <c r="N1250" s="39" t="str">
        <f>IF(OR(ISBLANK(C1250),C1250="",M1250=""),"In Progress",IF(M1250&lt;=J1250,"Met","Breached"))</f>
        <v>Breached</v>
      </c>
    </row>
    <row r="1251" ht="19" customHeight="1" spans="1:14" x14ac:dyDescent="0.25">
      <c r="A1251" s="22" t="s">
        <v>1365</v>
      </c>
      <c r="B1251" s="36">
        <v>45671.48819444445</v>
      </c>
      <c r="C1251" s="36">
        <v>45672.62152777778</v>
      </c>
      <c r="D1251" s="22" t="s">
        <v>33</v>
      </c>
      <c r="E1251" s="22" t="s">
        <v>65</v>
      </c>
      <c r="F1251" s="22" t="s">
        <v>34</v>
      </c>
      <c r="G1251" s="22" t="s">
        <v>110</v>
      </c>
      <c r="H1251" s="22" t="s">
        <v>67</v>
      </c>
      <c r="I1251" s="22" t="s">
        <v>114</v>
      </c>
      <c r="J1251" s="23">
        <v>48</v>
      </c>
      <c r="K1251" s="37">
        <v>0</v>
      </c>
      <c r="M1251" s="22">
        <f>IF(OR(ISBLANK(C1251),C1251=""),"",ROUND((C1251-B1251)*24,2))</f>
        <v>27.2</v>
      </c>
      <c r="N1251" s="40" t="str">
        <f>IF(OR(ISBLANK(C1251),C1251="",M1251=""),"In Progress",IF(M1251&lt;=J1251,"Met","Breached"))</f>
        <v>Met</v>
      </c>
    </row>
    <row r="1252" ht="19" customHeight="1" spans="1:14" x14ac:dyDescent="0.25">
      <c r="A1252" s="19" t="s">
        <v>1366</v>
      </c>
      <c r="B1252" s="33">
        <v>45811.30138888889</v>
      </c>
      <c r="C1252" s="33">
        <v>45812.62777777778</v>
      </c>
      <c r="D1252" s="19" t="s">
        <v>33</v>
      </c>
      <c r="E1252" s="19" t="s">
        <v>65</v>
      </c>
      <c r="F1252" s="19" t="s">
        <v>45</v>
      </c>
      <c r="G1252" s="19" t="s">
        <v>113</v>
      </c>
      <c r="H1252" s="19" t="s">
        <v>67</v>
      </c>
      <c r="I1252" s="19" t="s">
        <v>123</v>
      </c>
      <c r="J1252" s="20">
        <v>48</v>
      </c>
      <c r="K1252" s="34">
        <v>0</v>
      </c>
      <c r="L1252" s="34">
        <v>5</v>
      </c>
      <c r="M1252" s="19">
        <f>IF(OR(ISBLANK(C1252),C1252=""),"",ROUND((C1252-B1252)*24,2))</f>
        <v>31.83</v>
      </c>
      <c r="N1252" s="35" t="str">
        <f>IF(OR(ISBLANK(C1252),C1252="",M1252=""),"In Progress",IF(M1252&lt;=J1252,"Met","Breached"))</f>
        <v>Met</v>
      </c>
    </row>
    <row r="1253" ht="19" customHeight="1" spans="1:14" x14ac:dyDescent="0.25">
      <c r="A1253" s="22" t="s">
        <v>1367</v>
      </c>
      <c r="B1253" s="36">
        <v>45919.53611111111</v>
      </c>
      <c r="C1253" s="36">
        <v>45927.30763888889</v>
      </c>
      <c r="D1253" s="22" t="s">
        <v>36</v>
      </c>
      <c r="E1253" s="22" t="s">
        <v>69</v>
      </c>
      <c r="F1253" s="22" t="s">
        <v>45</v>
      </c>
      <c r="G1253" s="22" t="s">
        <v>113</v>
      </c>
      <c r="H1253" s="22" t="s">
        <v>59</v>
      </c>
      <c r="I1253" s="22" t="s">
        <v>123</v>
      </c>
      <c r="J1253" s="23">
        <v>120</v>
      </c>
      <c r="K1253" s="37">
        <v>0</v>
      </c>
      <c r="L1253" s="37">
        <v>1</v>
      </c>
      <c r="M1253" s="22">
        <f>IF(OR(ISBLANK(C1253),C1253=""),"",ROUND((C1253-B1253)*24,2))</f>
        <v>186.52</v>
      </c>
      <c r="N1253" s="38" t="str">
        <f>IF(OR(ISBLANK(C1253),C1253="",M1253=""),"In Progress",IF(M1253&lt;=J1253,"Met","Breached"))</f>
        <v>Breached</v>
      </c>
    </row>
    <row r="1254" ht="19" customHeight="1" spans="1:14" x14ac:dyDescent="0.25">
      <c r="A1254" s="19" t="s">
        <v>1368</v>
      </c>
      <c r="B1254" s="33">
        <v>46270.84583333333</v>
      </c>
      <c r="C1254" s="33">
        <v>46272.68194444444</v>
      </c>
      <c r="D1254" s="19" t="s">
        <v>36</v>
      </c>
      <c r="E1254" s="19" t="s">
        <v>65</v>
      </c>
      <c r="F1254" s="19" t="s">
        <v>43</v>
      </c>
      <c r="G1254" s="19" t="s">
        <v>63</v>
      </c>
      <c r="H1254" s="19" t="s">
        <v>67</v>
      </c>
      <c r="I1254" s="19" t="s">
        <v>147</v>
      </c>
      <c r="J1254" s="20">
        <v>48</v>
      </c>
      <c r="K1254" s="34">
        <v>0</v>
      </c>
      <c r="L1254" s="34">
        <v>2</v>
      </c>
      <c r="M1254" s="19">
        <f>IF(OR(ISBLANK(C1254),C1254=""),"",ROUND((C1254-B1254)*24,2))</f>
        <v>44.07</v>
      </c>
      <c r="N1254" s="35" t="str">
        <f>IF(OR(ISBLANK(C1254),C1254="",M1254=""),"In Progress",IF(M1254&lt;=J1254,"Met","Breached"))</f>
        <v>Met</v>
      </c>
    </row>
    <row r="1255" ht="19" customHeight="1" spans="1:14" x14ac:dyDescent="0.25">
      <c r="A1255" s="22" t="s">
        <v>1369</v>
      </c>
      <c r="B1255" s="36">
        <v>46047.89097222222</v>
      </c>
      <c r="D1255" s="22" t="s">
        <v>39</v>
      </c>
      <c r="E1255" s="22" t="s">
        <v>69</v>
      </c>
      <c r="F1255" s="22" t="s">
        <v>43</v>
      </c>
      <c r="G1255" s="22" t="s">
        <v>63</v>
      </c>
      <c r="H1255" s="22" t="s">
        <v>71</v>
      </c>
      <c r="I1255" s="22" t="s">
        <v>111</v>
      </c>
      <c r="J1255" s="23">
        <v>120</v>
      </c>
      <c r="K1255" s="37">
        <v>0</v>
      </c>
      <c r="M1255" s="22" t="str">
        <f>IF(OR(ISBLANK(C1255),C1255=""),"",ROUND((C1255-B1255)*24,2))</f>
        <v/>
      </c>
      <c r="N1255" s="22" t="str">
        <f>IF(OR(ISBLANK(C1255),C1255="",M1255=""),"In Progress",IF(M1255&lt;=J1255,"Met","Breached"))</f>
        <v>In Progress</v>
      </c>
    </row>
    <row r="1256" ht="19" customHeight="1" spans="1:14" x14ac:dyDescent="0.25">
      <c r="A1256" s="19" t="s">
        <v>1370</v>
      </c>
      <c r="B1256" s="33">
        <v>45679.87222222222</v>
      </c>
      <c r="C1256" s="33">
        <v>45680.13125</v>
      </c>
      <c r="D1256" s="19" t="s">
        <v>33</v>
      </c>
      <c r="E1256" s="19" t="s">
        <v>57</v>
      </c>
      <c r="F1256" s="19" t="s">
        <v>37</v>
      </c>
      <c r="G1256" s="19" t="s">
        <v>121</v>
      </c>
      <c r="H1256" s="19" t="s">
        <v>67</v>
      </c>
      <c r="I1256" s="19" t="s">
        <v>111</v>
      </c>
      <c r="J1256" s="20">
        <v>4</v>
      </c>
      <c r="K1256" s="34">
        <v>0</v>
      </c>
      <c r="L1256" s="34">
        <v>5</v>
      </c>
      <c r="M1256" s="19">
        <f>IF(OR(ISBLANK(C1256),C1256=""),"",ROUND((C1256-B1256)*24,2))</f>
        <v>6.22</v>
      </c>
      <c r="N1256" s="39" t="str">
        <f>IF(OR(ISBLANK(C1256),C1256="",M1256=""),"In Progress",IF(M1256&lt;=J1256,"Met","Breached"))</f>
        <v>Breached</v>
      </c>
    </row>
    <row r="1257" ht="19" customHeight="1" spans="1:14" x14ac:dyDescent="0.25">
      <c r="A1257" s="22" t="s">
        <v>1371</v>
      </c>
      <c r="B1257" s="36">
        <v>46004.35555555555</v>
      </c>
      <c r="C1257" s="36">
        <v>46005.85625</v>
      </c>
      <c r="D1257" s="22" t="s">
        <v>33</v>
      </c>
      <c r="E1257" s="22" t="s">
        <v>69</v>
      </c>
      <c r="F1257" s="22" t="s">
        <v>43</v>
      </c>
      <c r="G1257" s="22" t="s">
        <v>113</v>
      </c>
      <c r="H1257" s="22" t="s">
        <v>63</v>
      </c>
      <c r="I1257" s="22" t="s">
        <v>108</v>
      </c>
      <c r="J1257" s="23">
        <v>120</v>
      </c>
      <c r="K1257" s="37">
        <v>0</v>
      </c>
      <c r="L1257" s="37">
        <v>5</v>
      </c>
      <c r="M1257" s="22">
        <f>IF(OR(ISBLANK(C1257),C1257=""),"",ROUND((C1257-B1257)*24,2))</f>
        <v>36.02</v>
      </c>
      <c r="N1257" s="40" t="str">
        <f>IF(OR(ISBLANK(C1257),C1257="",M1257=""),"In Progress",IF(M1257&lt;=J1257,"Met","Breached"))</f>
        <v>Met</v>
      </c>
    </row>
    <row r="1258" ht="19" customHeight="1" spans="1:14" x14ac:dyDescent="0.25">
      <c r="A1258" s="19" t="s">
        <v>1372</v>
      </c>
      <c r="B1258" s="33">
        <v>45982.42013888889</v>
      </c>
      <c r="C1258" s="33">
        <v>45985.97708333333</v>
      </c>
      <c r="D1258" s="19" t="s">
        <v>36</v>
      </c>
      <c r="E1258" s="19" t="s">
        <v>69</v>
      </c>
      <c r="F1258" s="19" t="s">
        <v>37</v>
      </c>
      <c r="G1258" s="19" t="s">
        <v>63</v>
      </c>
      <c r="H1258" s="19" t="s">
        <v>71</v>
      </c>
      <c r="I1258" s="19" t="s">
        <v>114</v>
      </c>
      <c r="J1258" s="20">
        <v>120</v>
      </c>
      <c r="K1258" s="34">
        <v>0</v>
      </c>
      <c r="L1258" s="34">
        <v>1</v>
      </c>
      <c r="M1258" s="19">
        <f>IF(OR(ISBLANK(C1258),C1258=""),"",ROUND((C1258-B1258)*24,2))</f>
        <v>85.37</v>
      </c>
      <c r="N1258" s="35" t="str">
        <f>IF(OR(ISBLANK(C1258),C1258="",M1258=""),"In Progress",IF(M1258&lt;=J1258,"Met","Breached"))</f>
        <v>Met</v>
      </c>
    </row>
    <row r="1259" ht="19" customHeight="1" spans="1:14" x14ac:dyDescent="0.25">
      <c r="A1259" s="22" t="s">
        <v>1373</v>
      </c>
      <c r="B1259" s="36">
        <v>46034.725694444445</v>
      </c>
      <c r="C1259" s="36">
        <v>46038.31736111111</v>
      </c>
      <c r="D1259" s="22" t="s">
        <v>36</v>
      </c>
      <c r="E1259" s="22" t="s">
        <v>65</v>
      </c>
      <c r="F1259" s="22" t="s">
        <v>40</v>
      </c>
      <c r="G1259" s="22" t="s">
        <v>63</v>
      </c>
      <c r="H1259" s="22" t="s">
        <v>59</v>
      </c>
      <c r="I1259" s="22" t="s">
        <v>147</v>
      </c>
      <c r="J1259" s="23">
        <v>48</v>
      </c>
      <c r="K1259" s="37">
        <v>0</v>
      </c>
      <c r="L1259" s="37">
        <v>4</v>
      </c>
      <c r="M1259" s="22">
        <f>IF(OR(ISBLANK(C1259),C1259=""),"",ROUND((C1259-B1259)*24,2))</f>
        <v>86.2</v>
      </c>
      <c r="N1259" s="38" t="str">
        <f>IF(OR(ISBLANK(C1259),C1259="",M1259=""),"In Progress",IF(M1259&lt;=J1259,"Met","Breached"))</f>
        <v>Breached</v>
      </c>
    </row>
    <row r="1260" ht="19" customHeight="1" spans="1:14" x14ac:dyDescent="0.25">
      <c r="A1260" s="19" t="s">
        <v>1374</v>
      </c>
      <c r="B1260" s="33">
        <v>45950.134722222225</v>
      </c>
      <c r="C1260" s="33">
        <v>45953.39513888889</v>
      </c>
      <c r="D1260" s="19" t="s">
        <v>33</v>
      </c>
      <c r="E1260" s="19" t="s">
        <v>65</v>
      </c>
      <c r="F1260" s="19" t="s">
        <v>45</v>
      </c>
      <c r="G1260" s="19" t="s">
        <v>126</v>
      </c>
      <c r="H1260" s="19" t="s">
        <v>59</v>
      </c>
      <c r="I1260" s="19" t="s">
        <v>147</v>
      </c>
      <c r="J1260" s="20">
        <v>48</v>
      </c>
      <c r="K1260" s="34">
        <v>0</v>
      </c>
      <c r="L1260" s="34">
        <v>1</v>
      </c>
      <c r="M1260" s="19">
        <f>IF(OR(ISBLANK(C1260),C1260=""),"",ROUND((C1260-B1260)*24,2))</f>
        <v>78.25</v>
      </c>
      <c r="N1260" s="39" t="str">
        <f>IF(OR(ISBLANK(C1260),C1260="",M1260=""),"In Progress",IF(M1260&lt;=J1260,"Met","Breached"))</f>
        <v>Breached</v>
      </c>
    </row>
    <row r="1261" ht="19" customHeight="1" spans="1:14" x14ac:dyDescent="0.25">
      <c r="A1261" s="22" t="s">
        <v>1375</v>
      </c>
      <c r="B1261" s="36">
        <v>46185.68125</v>
      </c>
      <c r="C1261" s="36">
        <v>46186.50555555556</v>
      </c>
      <c r="D1261" s="22" t="s">
        <v>33</v>
      </c>
      <c r="E1261" s="22" t="s">
        <v>65</v>
      </c>
      <c r="F1261" s="22" t="s">
        <v>43</v>
      </c>
      <c r="G1261" s="22" t="s">
        <v>63</v>
      </c>
      <c r="H1261" s="22" t="s">
        <v>63</v>
      </c>
      <c r="I1261" s="22" t="s">
        <v>117</v>
      </c>
      <c r="J1261" s="23">
        <v>48</v>
      </c>
      <c r="K1261" s="37">
        <v>0</v>
      </c>
      <c r="L1261" s="37">
        <v>4</v>
      </c>
      <c r="M1261" s="22">
        <f>IF(OR(ISBLANK(C1261),C1261=""),"",ROUND((C1261-B1261)*24,2))</f>
        <v>19.78</v>
      </c>
      <c r="N1261" s="40" t="str">
        <f>IF(OR(ISBLANK(C1261),C1261="",M1261=""),"In Progress",IF(M1261&lt;=J1261,"Met","Breached"))</f>
        <v>Met</v>
      </c>
    </row>
    <row r="1262" ht="19" customHeight="1" spans="1:14" x14ac:dyDescent="0.25">
      <c r="A1262" s="19" t="s">
        <v>1376</v>
      </c>
      <c r="B1262" s="33">
        <v>46101.552777777775</v>
      </c>
      <c r="D1262" s="19" t="s">
        <v>42</v>
      </c>
      <c r="E1262" s="19" t="s">
        <v>65</v>
      </c>
      <c r="F1262" s="19" t="s">
        <v>43</v>
      </c>
      <c r="G1262" s="19" t="s">
        <v>116</v>
      </c>
      <c r="H1262" s="19" t="s">
        <v>59</v>
      </c>
      <c r="I1262" s="19" t="s">
        <v>111</v>
      </c>
      <c r="J1262" s="20">
        <v>48</v>
      </c>
      <c r="K1262" s="34">
        <v>0</v>
      </c>
      <c r="M1262" s="19" t="str">
        <f>IF(OR(ISBLANK(C1262),C1262=""),"",ROUND((C1262-B1262)*24,2))</f>
        <v/>
      </c>
      <c r="N1262" s="19" t="str">
        <f>IF(OR(ISBLANK(C1262),C1262="",M1262=""),"In Progress",IF(M1262&lt;=J1262,"Met","Breached"))</f>
        <v>In Progress</v>
      </c>
    </row>
    <row r="1263" ht="19" customHeight="1" spans="1:14" x14ac:dyDescent="0.25">
      <c r="A1263" s="22" t="s">
        <v>1377</v>
      </c>
      <c r="B1263" s="36">
        <v>45923.09097222222</v>
      </c>
      <c r="C1263" s="36">
        <v>45924.597916666666</v>
      </c>
      <c r="D1263" s="22" t="s">
        <v>36</v>
      </c>
      <c r="E1263" s="22" t="s">
        <v>65</v>
      </c>
      <c r="F1263" s="22" t="s">
        <v>43</v>
      </c>
      <c r="G1263" s="22" t="s">
        <v>126</v>
      </c>
      <c r="H1263" s="22" t="s">
        <v>63</v>
      </c>
      <c r="I1263" s="22" t="s">
        <v>114</v>
      </c>
      <c r="J1263" s="23">
        <v>48</v>
      </c>
      <c r="K1263" s="37">
        <v>0</v>
      </c>
      <c r="M1263" s="22">
        <f>IF(OR(ISBLANK(C1263),C1263=""),"",ROUND((C1263-B1263)*24,2))</f>
        <v>36.17</v>
      </c>
      <c r="N1263" s="40" t="str">
        <f>IF(OR(ISBLANK(C1263),C1263="",M1263=""),"In Progress",IF(M1263&lt;=J1263,"Met","Breached"))</f>
        <v>Met</v>
      </c>
    </row>
    <row r="1264" ht="19" customHeight="1" spans="1:14" x14ac:dyDescent="0.25">
      <c r="A1264" s="19" t="s">
        <v>1378</v>
      </c>
      <c r="B1264" s="33">
        <v>45803.54375</v>
      </c>
      <c r="C1264" s="33">
        <v>45803.70208333334</v>
      </c>
      <c r="D1264" s="19" t="s">
        <v>33</v>
      </c>
      <c r="E1264" s="19" t="s">
        <v>61</v>
      </c>
      <c r="F1264" s="19" t="s">
        <v>45</v>
      </c>
      <c r="G1264" s="19" t="s">
        <v>126</v>
      </c>
      <c r="H1264" s="19" t="s">
        <v>67</v>
      </c>
      <c r="I1264" s="19" t="s">
        <v>108</v>
      </c>
      <c r="J1264" s="20">
        <v>12</v>
      </c>
      <c r="K1264" s="34">
        <v>0</v>
      </c>
      <c r="M1264" s="19">
        <f>IF(OR(ISBLANK(C1264),C1264=""),"",ROUND((C1264-B1264)*24,2))</f>
        <v>3.8</v>
      </c>
      <c r="N1264" s="35" t="str">
        <f>IF(OR(ISBLANK(C1264),C1264="",M1264=""),"In Progress",IF(M1264&lt;=J1264,"Met","Breached"))</f>
        <v>Met</v>
      </c>
    </row>
    <row r="1265" ht="19" customHeight="1" spans="1:14" x14ac:dyDescent="0.25">
      <c r="A1265" s="22" t="s">
        <v>1379</v>
      </c>
      <c r="B1265" s="36">
        <v>46261.03263888889</v>
      </c>
      <c r="C1265" s="36">
        <v>46263.27638888889</v>
      </c>
      <c r="D1265" s="22" t="s">
        <v>33</v>
      </c>
      <c r="E1265" s="22" t="s">
        <v>65</v>
      </c>
      <c r="F1265" s="22" t="s">
        <v>34</v>
      </c>
      <c r="G1265" s="22" t="s">
        <v>63</v>
      </c>
      <c r="H1265" s="22" t="s">
        <v>67</v>
      </c>
      <c r="I1265" s="22" t="s">
        <v>114</v>
      </c>
      <c r="J1265" s="23">
        <v>48</v>
      </c>
      <c r="K1265" s="37">
        <v>0</v>
      </c>
      <c r="L1265" s="37">
        <v>4</v>
      </c>
      <c r="M1265" s="22">
        <f>IF(OR(ISBLANK(C1265),C1265=""),"",ROUND((C1265-B1265)*24,2))</f>
        <v>53.85</v>
      </c>
      <c r="N1265" s="38" t="str">
        <f>IF(OR(ISBLANK(C1265),C1265="",M1265=""),"In Progress",IF(M1265&lt;=J1265,"Met","Breached"))</f>
        <v>Breached</v>
      </c>
    </row>
    <row r="1266" ht="19" customHeight="1" spans="1:14" x14ac:dyDescent="0.25">
      <c r="A1266" s="19" t="s">
        <v>1380</v>
      </c>
      <c r="B1266" s="33">
        <v>45846.05694444444</v>
      </c>
      <c r="C1266" s="33">
        <v>45846.94861111111</v>
      </c>
      <c r="D1266" s="19" t="s">
        <v>36</v>
      </c>
      <c r="E1266" s="19" t="s">
        <v>61</v>
      </c>
      <c r="F1266" s="19" t="s">
        <v>43</v>
      </c>
      <c r="G1266" s="19" t="s">
        <v>116</v>
      </c>
      <c r="H1266" s="19" t="s">
        <v>63</v>
      </c>
      <c r="I1266" s="19" t="s">
        <v>114</v>
      </c>
      <c r="J1266" s="20">
        <v>12</v>
      </c>
      <c r="K1266" s="34">
        <v>0</v>
      </c>
      <c r="L1266" s="34">
        <v>3</v>
      </c>
      <c r="M1266" s="19">
        <f>IF(OR(ISBLANK(C1266),C1266=""),"",ROUND((C1266-B1266)*24,2))</f>
        <v>21.4</v>
      </c>
      <c r="N1266" s="39" t="str">
        <f>IF(OR(ISBLANK(C1266),C1266="",M1266=""),"In Progress",IF(M1266&lt;=J1266,"Met","Breached"))</f>
        <v>Breached</v>
      </c>
    </row>
    <row r="1267" ht="19" customHeight="1" spans="1:14" x14ac:dyDescent="0.25">
      <c r="A1267" s="22" t="s">
        <v>1381</v>
      </c>
      <c r="B1267" s="36">
        <v>46245.53402777778</v>
      </c>
      <c r="C1267" s="36">
        <v>46248.990277777775</v>
      </c>
      <c r="D1267" s="22" t="s">
        <v>36</v>
      </c>
      <c r="E1267" s="22" t="s">
        <v>65</v>
      </c>
      <c r="F1267" s="22" t="s">
        <v>45</v>
      </c>
      <c r="G1267" s="22" t="s">
        <v>121</v>
      </c>
      <c r="H1267" s="22" t="s">
        <v>59</v>
      </c>
      <c r="I1267" s="22" t="s">
        <v>114</v>
      </c>
      <c r="J1267" s="23">
        <v>48</v>
      </c>
      <c r="K1267" s="37">
        <v>0</v>
      </c>
      <c r="L1267" s="37">
        <v>3</v>
      </c>
      <c r="M1267" s="22">
        <f>IF(OR(ISBLANK(C1267),C1267=""),"",ROUND((C1267-B1267)*24,2))</f>
        <v>82.95</v>
      </c>
      <c r="N1267" s="38" t="str">
        <f>IF(OR(ISBLANK(C1267),C1267="",M1267=""),"In Progress",IF(M1267&lt;=J1267,"Met","Breached"))</f>
        <v>Breached</v>
      </c>
    </row>
    <row r="1268" ht="19" customHeight="1" spans="1:14" x14ac:dyDescent="0.25">
      <c r="A1268" s="19" t="s">
        <v>1382</v>
      </c>
      <c r="B1268" s="33">
        <v>45968.97777777778</v>
      </c>
      <c r="C1268" s="33">
        <v>45969.14236111111</v>
      </c>
      <c r="D1268" s="19" t="s">
        <v>33</v>
      </c>
      <c r="E1268" s="19" t="s">
        <v>57</v>
      </c>
      <c r="F1268" s="19" t="s">
        <v>37</v>
      </c>
      <c r="G1268" s="19" t="s">
        <v>63</v>
      </c>
      <c r="H1268" s="19" t="s">
        <v>67</v>
      </c>
      <c r="I1268" s="19" t="s">
        <v>123</v>
      </c>
      <c r="J1268" s="20">
        <v>4</v>
      </c>
      <c r="K1268" s="34">
        <v>0</v>
      </c>
      <c r="M1268" s="19">
        <f>IF(OR(ISBLANK(C1268),C1268=""),"",ROUND((C1268-B1268)*24,2))</f>
        <v>3.95</v>
      </c>
      <c r="N1268" s="35" t="str">
        <f>IF(OR(ISBLANK(C1268),C1268="",M1268=""),"In Progress",IF(M1268&lt;=J1268,"Met","Breached"))</f>
        <v>Met</v>
      </c>
    </row>
    <row r="1269" ht="19" customHeight="1" spans="1:14" x14ac:dyDescent="0.25">
      <c r="A1269" s="22" t="s">
        <v>1383</v>
      </c>
      <c r="B1269" s="36">
        <v>45853.27013888889</v>
      </c>
      <c r="C1269" s="36">
        <v>45856.67291666666</v>
      </c>
      <c r="D1269" s="22" t="s">
        <v>36</v>
      </c>
      <c r="E1269" s="22" t="s">
        <v>65</v>
      </c>
      <c r="F1269" s="22" t="s">
        <v>34</v>
      </c>
      <c r="G1269" s="22" t="s">
        <v>63</v>
      </c>
      <c r="H1269" s="22" t="s">
        <v>59</v>
      </c>
      <c r="I1269" s="22" t="s">
        <v>108</v>
      </c>
      <c r="J1269" s="23">
        <v>48</v>
      </c>
      <c r="K1269" s="37">
        <v>0</v>
      </c>
      <c r="L1269" s="37">
        <v>4</v>
      </c>
      <c r="M1269" s="22">
        <f>IF(OR(ISBLANK(C1269),C1269=""),"",ROUND((C1269-B1269)*24,2))</f>
        <v>81.67</v>
      </c>
      <c r="N1269" s="38" t="str">
        <f>IF(OR(ISBLANK(C1269),C1269="",M1269=""),"In Progress",IF(M1269&lt;=J1269,"Met","Breached"))</f>
        <v>Breached</v>
      </c>
    </row>
    <row r="1270" ht="19" customHeight="1" spans="1:14" x14ac:dyDescent="0.25">
      <c r="A1270" s="19" t="s">
        <v>1384</v>
      </c>
      <c r="B1270" s="33">
        <v>45717.48958333333</v>
      </c>
      <c r="D1270" s="19" t="s">
        <v>39</v>
      </c>
      <c r="E1270" s="19" t="s">
        <v>65</v>
      </c>
      <c r="F1270" s="19" t="s">
        <v>34</v>
      </c>
      <c r="G1270" s="19" t="s">
        <v>116</v>
      </c>
      <c r="H1270" s="19" t="s">
        <v>71</v>
      </c>
      <c r="I1270" s="19" t="s">
        <v>123</v>
      </c>
      <c r="J1270" s="20">
        <v>48</v>
      </c>
      <c r="K1270" s="34">
        <v>0</v>
      </c>
      <c r="M1270" s="19" t="str">
        <f>IF(OR(ISBLANK(C1270),C1270=""),"",ROUND((C1270-B1270)*24,2))</f>
        <v/>
      </c>
      <c r="N1270" s="19" t="str">
        <f>IF(OR(ISBLANK(C1270),C1270="",M1270=""),"In Progress",IF(M1270&lt;=J1270,"Met","Breached"))</f>
        <v>In Progress</v>
      </c>
    </row>
    <row r="1271" ht="19" customHeight="1" spans="1:14" x14ac:dyDescent="0.25">
      <c r="A1271" s="22" t="s">
        <v>1385</v>
      </c>
      <c r="B1271" s="36">
        <v>46099.24791666667</v>
      </c>
      <c r="D1271" s="22" t="s">
        <v>39</v>
      </c>
      <c r="E1271" s="22" t="s">
        <v>61</v>
      </c>
      <c r="F1271" s="22" t="s">
        <v>43</v>
      </c>
      <c r="G1271" s="22" t="s">
        <v>121</v>
      </c>
      <c r="H1271" s="22" t="s">
        <v>59</v>
      </c>
      <c r="I1271" s="22" t="s">
        <v>114</v>
      </c>
      <c r="J1271" s="23">
        <v>12</v>
      </c>
      <c r="K1271" s="37">
        <v>0</v>
      </c>
      <c r="M1271" s="22" t="str">
        <f>IF(OR(ISBLANK(C1271),C1271=""),"",ROUND((C1271-B1271)*24,2))</f>
        <v/>
      </c>
      <c r="N1271" s="22" t="str">
        <f>IF(OR(ISBLANK(C1271),C1271="",M1271=""),"In Progress",IF(M1271&lt;=J1271,"Met","Breached"))</f>
        <v>In Progress</v>
      </c>
    </row>
    <row r="1272" ht="19" customHeight="1" spans="1:14" x14ac:dyDescent="0.25">
      <c r="A1272" s="19" t="s">
        <v>1386</v>
      </c>
      <c r="B1272" s="33">
        <v>46227.59236111111</v>
      </c>
      <c r="C1272" s="33">
        <v>46229.3</v>
      </c>
      <c r="D1272" s="19" t="s">
        <v>33</v>
      </c>
      <c r="E1272" s="19" t="s">
        <v>69</v>
      </c>
      <c r="F1272" s="19" t="s">
        <v>45</v>
      </c>
      <c r="G1272" s="19" t="s">
        <v>116</v>
      </c>
      <c r="H1272" s="19" t="s">
        <v>59</v>
      </c>
      <c r="I1272" s="19" t="s">
        <v>123</v>
      </c>
      <c r="J1272" s="20">
        <v>120</v>
      </c>
      <c r="K1272" s="34">
        <v>0</v>
      </c>
      <c r="M1272" s="19">
        <f>IF(OR(ISBLANK(C1272),C1272=""),"",ROUND((C1272-B1272)*24,2))</f>
        <v>40.98</v>
      </c>
      <c r="N1272" s="35" t="str">
        <f>IF(OR(ISBLANK(C1272),C1272="",M1272=""),"In Progress",IF(M1272&lt;=J1272,"Met","Breached"))</f>
        <v>Met</v>
      </c>
    </row>
    <row r="1273" ht="19" customHeight="1" spans="1:14" x14ac:dyDescent="0.25">
      <c r="A1273" s="22" t="s">
        <v>1387</v>
      </c>
      <c r="B1273" s="36">
        <v>45837.129166666666</v>
      </c>
      <c r="D1273" s="22" t="s">
        <v>42</v>
      </c>
      <c r="E1273" s="22" t="s">
        <v>61</v>
      </c>
      <c r="F1273" s="22" t="s">
        <v>34</v>
      </c>
      <c r="G1273" s="22" t="s">
        <v>116</v>
      </c>
      <c r="H1273" s="22" t="s">
        <v>63</v>
      </c>
      <c r="I1273" s="22" t="s">
        <v>117</v>
      </c>
      <c r="J1273" s="23">
        <v>12</v>
      </c>
      <c r="K1273" s="37">
        <v>0</v>
      </c>
      <c r="M1273" s="22" t="str">
        <f>IF(OR(ISBLANK(C1273),C1273=""),"",ROUND((C1273-B1273)*24,2))</f>
        <v/>
      </c>
      <c r="N1273" s="22" t="str">
        <f>IF(OR(ISBLANK(C1273),C1273="",M1273=""),"In Progress",IF(M1273&lt;=J1273,"Met","Breached"))</f>
        <v>In Progress</v>
      </c>
    </row>
    <row r="1274" ht="19" customHeight="1" spans="1:14" x14ac:dyDescent="0.25">
      <c r="A1274" s="19" t="s">
        <v>1388</v>
      </c>
      <c r="B1274" s="33">
        <v>45715.80902777778</v>
      </c>
      <c r="C1274" s="33">
        <v>45724.73888888889</v>
      </c>
      <c r="D1274" s="19" t="s">
        <v>33</v>
      </c>
      <c r="E1274" s="19" t="s">
        <v>69</v>
      </c>
      <c r="F1274" s="19" t="s">
        <v>43</v>
      </c>
      <c r="G1274" s="19" t="s">
        <v>110</v>
      </c>
      <c r="H1274" s="19" t="s">
        <v>59</v>
      </c>
      <c r="I1274" s="19" t="s">
        <v>147</v>
      </c>
      <c r="J1274" s="20">
        <v>120</v>
      </c>
      <c r="K1274" s="34">
        <v>0</v>
      </c>
      <c r="L1274" s="34">
        <v>2</v>
      </c>
      <c r="M1274" s="19">
        <f>IF(OR(ISBLANK(C1274),C1274=""),"",ROUND((C1274-B1274)*24,2))</f>
        <v>214.32</v>
      </c>
      <c r="N1274" s="39" t="str">
        <f>IF(OR(ISBLANK(C1274),C1274="",M1274=""),"In Progress",IF(M1274&lt;=J1274,"Met","Breached"))</f>
        <v>Breached</v>
      </c>
    </row>
    <row r="1275" ht="19" customHeight="1" spans="1:14" x14ac:dyDescent="0.25">
      <c r="A1275" s="22" t="s">
        <v>1389</v>
      </c>
      <c r="B1275" s="36">
        <v>46084.02569444444</v>
      </c>
      <c r="C1275" s="36">
        <v>46092.03402777778</v>
      </c>
      <c r="D1275" s="22" t="s">
        <v>36</v>
      </c>
      <c r="E1275" s="22" t="s">
        <v>69</v>
      </c>
      <c r="F1275" s="22" t="s">
        <v>45</v>
      </c>
      <c r="G1275" s="22" t="s">
        <v>110</v>
      </c>
      <c r="H1275" s="22" t="s">
        <v>59</v>
      </c>
      <c r="I1275" s="22" t="s">
        <v>147</v>
      </c>
      <c r="J1275" s="23">
        <v>120</v>
      </c>
      <c r="K1275" s="37">
        <v>0</v>
      </c>
      <c r="M1275" s="22">
        <f>IF(OR(ISBLANK(C1275),C1275=""),"",ROUND((C1275-B1275)*24,2))</f>
        <v>192.2</v>
      </c>
      <c r="N1275" s="38" t="str">
        <f>IF(OR(ISBLANK(C1275),C1275="",M1275=""),"In Progress",IF(M1275&lt;=J1275,"Met","Breached"))</f>
        <v>Breached</v>
      </c>
    </row>
    <row r="1276" ht="19" customHeight="1" spans="1:14" x14ac:dyDescent="0.25">
      <c r="A1276" s="19" t="s">
        <v>1390</v>
      </c>
      <c r="B1276" s="33">
        <v>46135.69305555556</v>
      </c>
      <c r="D1276" s="19" t="s">
        <v>39</v>
      </c>
      <c r="E1276" s="19" t="s">
        <v>61</v>
      </c>
      <c r="F1276" s="19" t="s">
        <v>34</v>
      </c>
      <c r="G1276" s="19" t="s">
        <v>110</v>
      </c>
      <c r="H1276" s="19" t="s">
        <v>63</v>
      </c>
      <c r="I1276" s="19" t="s">
        <v>123</v>
      </c>
      <c r="J1276" s="20">
        <v>12</v>
      </c>
      <c r="K1276" s="34">
        <v>0</v>
      </c>
      <c r="M1276" s="19" t="str">
        <f>IF(OR(ISBLANK(C1276),C1276=""),"",ROUND((C1276-B1276)*24,2))</f>
        <v/>
      </c>
      <c r="N1276" s="19" t="str">
        <f>IF(OR(ISBLANK(C1276),C1276="",M1276=""),"In Progress",IF(M1276&lt;=J1276,"Met","Breached"))</f>
        <v>In Progress</v>
      </c>
    </row>
    <row r="1277" ht="19" customHeight="1" spans="1:14" x14ac:dyDescent="0.25">
      <c r="A1277" s="22" t="s">
        <v>1391</v>
      </c>
      <c r="B1277" s="36">
        <v>45659.597916666666</v>
      </c>
      <c r="C1277" s="36">
        <v>45661.04166666667</v>
      </c>
      <c r="D1277" s="22" t="s">
        <v>33</v>
      </c>
      <c r="E1277" s="22" t="s">
        <v>65</v>
      </c>
      <c r="F1277" s="22" t="s">
        <v>45</v>
      </c>
      <c r="G1277" s="22" t="s">
        <v>116</v>
      </c>
      <c r="H1277" s="22" t="s">
        <v>71</v>
      </c>
      <c r="I1277" s="22" t="s">
        <v>108</v>
      </c>
      <c r="J1277" s="23">
        <v>48</v>
      </c>
      <c r="K1277" s="37">
        <v>0</v>
      </c>
      <c r="L1277" s="37">
        <v>4</v>
      </c>
      <c r="M1277" s="22">
        <f>IF(OR(ISBLANK(C1277),C1277=""),"",ROUND((C1277-B1277)*24,2))</f>
        <v>34.65</v>
      </c>
      <c r="N1277" s="40" t="str">
        <f>IF(OR(ISBLANK(C1277),C1277="",M1277=""),"In Progress",IF(M1277&lt;=J1277,"Met","Breached"))</f>
        <v>Met</v>
      </c>
    </row>
    <row r="1278" ht="19" customHeight="1" spans="1:14" x14ac:dyDescent="0.25">
      <c r="A1278" s="19" t="s">
        <v>1392</v>
      </c>
      <c r="B1278" s="33">
        <v>45932.58819444444</v>
      </c>
      <c r="C1278" s="33">
        <v>45933.94027777778</v>
      </c>
      <c r="D1278" s="19" t="s">
        <v>33</v>
      </c>
      <c r="E1278" s="19" t="s">
        <v>65</v>
      </c>
      <c r="F1278" s="19" t="s">
        <v>34</v>
      </c>
      <c r="G1278" s="19" t="s">
        <v>63</v>
      </c>
      <c r="H1278" s="19" t="s">
        <v>59</v>
      </c>
      <c r="I1278" s="19" t="s">
        <v>123</v>
      </c>
      <c r="J1278" s="20">
        <v>48</v>
      </c>
      <c r="K1278" s="34">
        <v>0</v>
      </c>
      <c r="M1278" s="19">
        <f>IF(OR(ISBLANK(C1278),C1278=""),"",ROUND((C1278-B1278)*24,2))</f>
        <v>32.45</v>
      </c>
      <c r="N1278" s="35" t="str">
        <f>IF(OR(ISBLANK(C1278),C1278="",M1278=""),"In Progress",IF(M1278&lt;=J1278,"Met","Breached"))</f>
        <v>Met</v>
      </c>
    </row>
    <row r="1279" ht="19" customHeight="1" spans="1:14" x14ac:dyDescent="0.25">
      <c r="A1279" s="22" t="s">
        <v>1393</v>
      </c>
      <c r="B1279" s="36">
        <v>45971.63402777778</v>
      </c>
      <c r="D1279" s="22" t="s">
        <v>39</v>
      </c>
      <c r="E1279" s="22" t="s">
        <v>65</v>
      </c>
      <c r="F1279" s="22" t="s">
        <v>34</v>
      </c>
      <c r="G1279" s="22" t="s">
        <v>63</v>
      </c>
      <c r="H1279" s="22" t="s">
        <v>59</v>
      </c>
      <c r="I1279" s="22" t="s">
        <v>147</v>
      </c>
      <c r="J1279" s="23">
        <v>48</v>
      </c>
      <c r="K1279" s="37">
        <v>0</v>
      </c>
      <c r="M1279" s="22" t="str">
        <f>IF(OR(ISBLANK(C1279),C1279=""),"",ROUND((C1279-B1279)*24,2))</f>
        <v/>
      </c>
      <c r="N1279" s="22" t="str">
        <f>IF(OR(ISBLANK(C1279),C1279="",M1279=""),"In Progress",IF(M1279&lt;=J1279,"Met","Breached"))</f>
        <v>In Progress</v>
      </c>
    </row>
    <row r="1280" ht="19" customHeight="1" spans="1:14" x14ac:dyDescent="0.25">
      <c r="A1280" s="19" t="s">
        <v>1394</v>
      </c>
      <c r="B1280" s="33">
        <v>45996.45416666666</v>
      </c>
      <c r="C1280" s="33">
        <v>45998.62152777778</v>
      </c>
      <c r="D1280" s="19" t="s">
        <v>33</v>
      </c>
      <c r="E1280" s="19" t="s">
        <v>65</v>
      </c>
      <c r="F1280" s="19" t="s">
        <v>37</v>
      </c>
      <c r="G1280" s="19" t="s">
        <v>116</v>
      </c>
      <c r="H1280" s="19" t="s">
        <v>59</v>
      </c>
      <c r="I1280" s="19" t="s">
        <v>123</v>
      </c>
      <c r="J1280" s="20">
        <v>48</v>
      </c>
      <c r="K1280" s="34">
        <v>0</v>
      </c>
      <c r="L1280" s="34">
        <v>1</v>
      </c>
      <c r="M1280" s="19">
        <f>IF(OR(ISBLANK(C1280),C1280=""),"",ROUND((C1280-B1280)*24,2))</f>
        <v>52.02</v>
      </c>
      <c r="N1280" s="39" t="str">
        <f>IF(OR(ISBLANK(C1280),C1280="",M1280=""),"In Progress",IF(M1280&lt;=J1280,"Met","Breached"))</f>
        <v>Breached</v>
      </c>
    </row>
    <row r="1281" ht="19" customHeight="1" spans="1:14" x14ac:dyDescent="0.25">
      <c r="A1281" s="22" t="s">
        <v>1395</v>
      </c>
      <c r="B1281" s="36">
        <v>45670.580555555556</v>
      </c>
      <c r="C1281" s="36">
        <v>45670.663888888885</v>
      </c>
      <c r="D1281" s="22" t="s">
        <v>33</v>
      </c>
      <c r="E1281" s="22" t="s">
        <v>57</v>
      </c>
      <c r="F1281" s="22" t="s">
        <v>37</v>
      </c>
      <c r="G1281" s="22" t="s">
        <v>110</v>
      </c>
      <c r="H1281" s="22" t="s">
        <v>59</v>
      </c>
      <c r="I1281" s="22" t="s">
        <v>114</v>
      </c>
      <c r="J1281" s="23">
        <v>4</v>
      </c>
      <c r="K1281" s="37">
        <v>0</v>
      </c>
      <c r="M1281" s="22">
        <f>IF(OR(ISBLANK(C1281),C1281=""),"",ROUND((C1281-B1281)*24,2))</f>
        <v>2</v>
      </c>
      <c r="N1281" s="40" t="str">
        <f>IF(OR(ISBLANK(C1281),C1281="",M1281=""),"In Progress",IF(M1281&lt;=J1281,"Met","Breached"))</f>
        <v>Met</v>
      </c>
    </row>
    <row r="1282" ht="19" customHeight="1" spans="1:14" x14ac:dyDescent="0.25">
      <c r="A1282" s="19" t="s">
        <v>1396</v>
      </c>
      <c r="B1282" s="33">
        <v>45668.48958333333</v>
      </c>
      <c r="C1282" s="33">
        <v>45670.98958333333</v>
      </c>
      <c r="D1282" s="19" t="s">
        <v>36</v>
      </c>
      <c r="E1282" s="19" t="s">
        <v>65</v>
      </c>
      <c r="F1282" s="19" t="s">
        <v>37</v>
      </c>
      <c r="G1282" s="19" t="s">
        <v>121</v>
      </c>
      <c r="H1282" s="19" t="s">
        <v>59</v>
      </c>
      <c r="I1282" s="19" t="s">
        <v>147</v>
      </c>
      <c r="J1282" s="20">
        <v>48</v>
      </c>
      <c r="K1282" s="34">
        <v>0</v>
      </c>
      <c r="L1282" s="34">
        <v>5</v>
      </c>
      <c r="M1282" s="19">
        <f>IF(OR(ISBLANK(C1282),C1282=""),"",ROUND((C1282-B1282)*24,2))</f>
        <v>60</v>
      </c>
      <c r="N1282" s="39" t="str">
        <f>IF(OR(ISBLANK(C1282),C1282="",M1282=""),"In Progress",IF(M1282&lt;=J1282,"Met","Breached"))</f>
        <v>Breached</v>
      </c>
    </row>
    <row r="1283" ht="19" customHeight="1" spans="1:14" x14ac:dyDescent="0.25">
      <c r="A1283" s="22" t="s">
        <v>1397</v>
      </c>
      <c r="B1283" s="36">
        <v>45770.13541666667</v>
      </c>
      <c r="C1283" s="36">
        <v>45770.59652777778</v>
      </c>
      <c r="D1283" s="22" t="s">
        <v>33</v>
      </c>
      <c r="E1283" s="22" t="s">
        <v>61</v>
      </c>
      <c r="F1283" s="22" t="s">
        <v>34</v>
      </c>
      <c r="G1283" s="22" t="s">
        <v>116</v>
      </c>
      <c r="H1283" s="22" t="s">
        <v>59</v>
      </c>
      <c r="I1283" s="22" t="s">
        <v>147</v>
      </c>
      <c r="J1283" s="23">
        <v>12</v>
      </c>
      <c r="K1283" s="37">
        <v>0</v>
      </c>
      <c r="L1283" s="37">
        <v>5</v>
      </c>
      <c r="M1283" s="22">
        <f>IF(OR(ISBLANK(C1283),C1283=""),"",ROUND((C1283-B1283)*24,2))</f>
        <v>11.07</v>
      </c>
      <c r="N1283" s="40" t="str">
        <f>IF(OR(ISBLANK(C1283),C1283="",M1283=""),"In Progress",IF(M1283&lt;=J1283,"Met","Breached"))</f>
        <v>Met</v>
      </c>
    </row>
    <row r="1284" ht="19" customHeight="1" spans="1:14" x14ac:dyDescent="0.25">
      <c r="A1284" s="19" t="s">
        <v>1398</v>
      </c>
      <c r="B1284" s="33">
        <v>45897.47222222222</v>
      </c>
      <c r="C1284" s="33">
        <v>45900.96597222222</v>
      </c>
      <c r="D1284" s="19" t="s">
        <v>33</v>
      </c>
      <c r="E1284" s="19" t="s">
        <v>65</v>
      </c>
      <c r="F1284" s="19" t="s">
        <v>45</v>
      </c>
      <c r="G1284" s="19" t="s">
        <v>116</v>
      </c>
      <c r="H1284" s="19" t="s">
        <v>59</v>
      </c>
      <c r="I1284" s="19" t="s">
        <v>114</v>
      </c>
      <c r="J1284" s="20">
        <v>48</v>
      </c>
      <c r="K1284" s="34">
        <v>0</v>
      </c>
      <c r="L1284" s="34">
        <v>3</v>
      </c>
      <c r="M1284" s="19">
        <f>IF(OR(ISBLANK(C1284),C1284=""),"",ROUND((C1284-B1284)*24,2))</f>
        <v>83.85</v>
      </c>
      <c r="N1284" s="39" t="str">
        <f>IF(OR(ISBLANK(C1284),C1284="",M1284=""),"In Progress",IF(M1284&lt;=J1284,"Met","Breached"))</f>
        <v>Breached</v>
      </c>
    </row>
    <row r="1285" ht="19" customHeight="1" spans="1:14" x14ac:dyDescent="0.25">
      <c r="A1285" s="22" t="s">
        <v>1399</v>
      </c>
      <c r="B1285" s="36">
        <v>45949.836111111115</v>
      </c>
      <c r="C1285" s="36">
        <v>45956.63888888889</v>
      </c>
      <c r="D1285" s="22" t="s">
        <v>33</v>
      </c>
      <c r="E1285" s="22" t="s">
        <v>69</v>
      </c>
      <c r="F1285" s="22" t="s">
        <v>34</v>
      </c>
      <c r="G1285" s="22" t="s">
        <v>121</v>
      </c>
      <c r="H1285" s="22" t="s">
        <v>71</v>
      </c>
      <c r="I1285" s="22" t="s">
        <v>111</v>
      </c>
      <c r="J1285" s="23">
        <v>120</v>
      </c>
      <c r="K1285" s="37">
        <v>0</v>
      </c>
      <c r="L1285" s="37">
        <v>2</v>
      </c>
      <c r="M1285" s="22">
        <f>IF(OR(ISBLANK(C1285),C1285=""),"",ROUND((C1285-B1285)*24,2))</f>
        <v>163.27</v>
      </c>
      <c r="N1285" s="38" t="str">
        <f>IF(OR(ISBLANK(C1285),C1285="",M1285=""),"In Progress",IF(M1285&lt;=J1285,"Met","Breached"))</f>
        <v>Breached</v>
      </c>
    </row>
    <row r="1286" ht="19" customHeight="1" spans="1:14" x14ac:dyDescent="0.25">
      <c r="A1286" s="19" t="s">
        <v>1400</v>
      </c>
      <c r="B1286" s="33">
        <v>46226.43819444445</v>
      </c>
      <c r="C1286" s="33">
        <v>46229.66666666667</v>
      </c>
      <c r="D1286" s="19" t="s">
        <v>33</v>
      </c>
      <c r="E1286" s="19" t="s">
        <v>65</v>
      </c>
      <c r="F1286" s="19" t="s">
        <v>37</v>
      </c>
      <c r="G1286" s="19" t="s">
        <v>121</v>
      </c>
      <c r="H1286" s="19" t="s">
        <v>59</v>
      </c>
      <c r="I1286" s="19" t="s">
        <v>111</v>
      </c>
      <c r="J1286" s="20">
        <v>48</v>
      </c>
      <c r="K1286" s="34">
        <v>0</v>
      </c>
      <c r="L1286" s="34">
        <v>5</v>
      </c>
      <c r="M1286" s="19">
        <f>IF(OR(ISBLANK(C1286),C1286=""),"",ROUND((C1286-B1286)*24,2))</f>
        <v>77.48</v>
      </c>
      <c r="N1286" s="39" t="str">
        <f>IF(OR(ISBLANK(C1286),C1286="",M1286=""),"In Progress",IF(M1286&lt;=J1286,"Met","Breached"))</f>
        <v>Breached</v>
      </c>
    </row>
    <row r="1287" ht="19" customHeight="1" spans="1:14" x14ac:dyDescent="0.25">
      <c r="A1287" s="22" t="s">
        <v>1401</v>
      </c>
      <c r="B1287" s="36">
        <v>45937.867361111115</v>
      </c>
      <c r="C1287" s="36">
        <v>45939.086111111115</v>
      </c>
      <c r="D1287" s="22" t="s">
        <v>33</v>
      </c>
      <c r="E1287" s="22" t="s">
        <v>65</v>
      </c>
      <c r="F1287" s="22" t="s">
        <v>40</v>
      </c>
      <c r="G1287" s="22" t="s">
        <v>63</v>
      </c>
      <c r="H1287" s="22" t="s">
        <v>59</v>
      </c>
      <c r="I1287" s="22" t="s">
        <v>123</v>
      </c>
      <c r="J1287" s="23">
        <v>48</v>
      </c>
      <c r="K1287" s="37">
        <v>0</v>
      </c>
      <c r="L1287" s="37">
        <v>5</v>
      </c>
      <c r="M1287" s="22">
        <f>IF(OR(ISBLANK(C1287),C1287=""),"",ROUND((C1287-B1287)*24,2))</f>
        <v>29.25</v>
      </c>
      <c r="N1287" s="40" t="str">
        <f>IF(OR(ISBLANK(C1287),C1287="",M1287=""),"In Progress",IF(M1287&lt;=J1287,"Met","Breached"))</f>
        <v>Met</v>
      </c>
    </row>
    <row r="1288" ht="19" customHeight="1" spans="1:14" x14ac:dyDescent="0.25">
      <c r="A1288" s="19" t="s">
        <v>1402</v>
      </c>
      <c r="B1288" s="33">
        <v>45720.68125</v>
      </c>
      <c r="C1288" s="33">
        <v>45720.964583333334</v>
      </c>
      <c r="D1288" s="19" t="s">
        <v>33</v>
      </c>
      <c r="E1288" s="19" t="s">
        <v>61</v>
      </c>
      <c r="F1288" s="19" t="s">
        <v>40</v>
      </c>
      <c r="G1288" s="19" t="s">
        <v>113</v>
      </c>
      <c r="H1288" s="19" t="s">
        <v>59</v>
      </c>
      <c r="I1288" s="19" t="s">
        <v>147</v>
      </c>
      <c r="J1288" s="20">
        <v>12</v>
      </c>
      <c r="K1288" s="34">
        <v>0</v>
      </c>
      <c r="L1288" s="34">
        <v>4</v>
      </c>
      <c r="M1288" s="19">
        <f>IF(OR(ISBLANK(C1288),C1288=""),"",ROUND((C1288-B1288)*24,2))</f>
        <v>6.8</v>
      </c>
      <c r="N1288" s="35" t="str">
        <f>IF(OR(ISBLANK(C1288),C1288="",M1288=""),"In Progress",IF(M1288&lt;=J1288,"Met","Breached"))</f>
        <v>Met</v>
      </c>
    </row>
    <row r="1289" ht="19" customHeight="1" spans="1:14" x14ac:dyDescent="0.25">
      <c r="A1289" s="22" t="s">
        <v>1403</v>
      </c>
      <c r="B1289" s="36">
        <v>45803.5875</v>
      </c>
      <c r="C1289" s="36">
        <v>45804.273611111115</v>
      </c>
      <c r="D1289" s="22" t="s">
        <v>33</v>
      </c>
      <c r="E1289" s="22" t="s">
        <v>61</v>
      </c>
      <c r="F1289" s="22" t="s">
        <v>37</v>
      </c>
      <c r="G1289" s="22" t="s">
        <v>116</v>
      </c>
      <c r="H1289" s="22" t="s">
        <v>63</v>
      </c>
      <c r="I1289" s="22" t="s">
        <v>147</v>
      </c>
      <c r="J1289" s="23">
        <v>12</v>
      </c>
      <c r="K1289" s="37">
        <v>0</v>
      </c>
      <c r="M1289" s="22">
        <f>IF(OR(ISBLANK(C1289),C1289=""),"",ROUND((C1289-B1289)*24,2))</f>
        <v>16.47</v>
      </c>
      <c r="N1289" s="38" t="str">
        <f>IF(OR(ISBLANK(C1289),C1289="",M1289=""),"In Progress",IF(M1289&lt;=J1289,"Met","Breached"))</f>
        <v>Breached</v>
      </c>
    </row>
    <row r="1290" ht="19" customHeight="1" spans="1:14" x14ac:dyDescent="0.25">
      <c r="A1290" s="19" t="s">
        <v>1404</v>
      </c>
      <c r="B1290" s="33">
        <v>45662.18819444445</v>
      </c>
      <c r="D1290" s="19" t="s">
        <v>39</v>
      </c>
      <c r="E1290" s="19" t="s">
        <v>69</v>
      </c>
      <c r="F1290" s="19" t="s">
        <v>43</v>
      </c>
      <c r="G1290" s="19" t="s">
        <v>116</v>
      </c>
      <c r="H1290" s="19" t="s">
        <v>67</v>
      </c>
      <c r="I1290" s="19" t="s">
        <v>147</v>
      </c>
      <c r="J1290" s="20">
        <v>120</v>
      </c>
      <c r="K1290" s="34">
        <v>0</v>
      </c>
      <c r="M1290" s="19" t="str">
        <f>IF(OR(ISBLANK(C1290),C1290=""),"",ROUND((C1290-B1290)*24,2))</f>
        <v/>
      </c>
      <c r="N1290" s="19" t="str">
        <f>IF(OR(ISBLANK(C1290),C1290="",M1290=""),"In Progress",IF(M1290&lt;=J1290,"Met","Breached"))</f>
        <v>In Progress</v>
      </c>
    </row>
    <row r="1291" ht="19" customHeight="1" spans="1:14" x14ac:dyDescent="0.25">
      <c r="A1291" s="22" t="s">
        <v>1405</v>
      </c>
      <c r="B1291" s="36">
        <v>45684.205555555556</v>
      </c>
      <c r="D1291" s="22" t="s">
        <v>42</v>
      </c>
      <c r="E1291" s="22" t="s">
        <v>65</v>
      </c>
      <c r="F1291" s="22" t="s">
        <v>45</v>
      </c>
      <c r="G1291" s="22" t="s">
        <v>116</v>
      </c>
      <c r="H1291" s="22" t="s">
        <v>71</v>
      </c>
      <c r="I1291" s="22" t="s">
        <v>114</v>
      </c>
      <c r="J1291" s="23">
        <v>48</v>
      </c>
      <c r="K1291" s="37">
        <v>0</v>
      </c>
      <c r="M1291" s="22" t="str">
        <f>IF(OR(ISBLANK(C1291),C1291=""),"",ROUND((C1291-B1291)*24,2))</f>
        <v/>
      </c>
      <c r="N1291" s="22" t="str">
        <f>IF(OR(ISBLANK(C1291),C1291="",M1291=""),"In Progress",IF(M1291&lt;=J1291,"Met","Breached"))</f>
        <v>In Progress</v>
      </c>
    </row>
    <row r="1292" ht="19" customHeight="1" spans="1:14" x14ac:dyDescent="0.25">
      <c r="A1292" s="19" t="s">
        <v>1406</v>
      </c>
      <c r="B1292" s="33">
        <v>45828.58194444445</v>
      </c>
      <c r="D1292" s="19" t="s">
        <v>42</v>
      </c>
      <c r="E1292" s="19" t="s">
        <v>65</v>
      </c>
      <c r="F1292" s="19" t="s">
        <v>45</v>
      </c>
      <c r="G1292" s="19" t="s">
        <v>110</v>
      </c>
      <c r="H1292" s="19" t="s">
        <v>59</v>
      </c>
      <c r="I1292" s="19" t="s">
        <v>111</v>
      </c>
      <c r="J1292" s="20">
        <v>48</v>
      </c>
      <c r="K1292" s="34">
        <v>0</v>
      </c>
      <c r="M1292" s="19" t="str">
        <f>IF(OR(ISBLANK(C1292),C1292=""),"",ROUND((C1292-B1292)*24,2))</f>
        <v/>
      </c>
      <c r="N1292" s="19" t="str">
        <f>IF(OR(ISBLANK(C1292),C1292="",M1292=""),"In Progress",IF(M1292&lt;=J1292,"Met","Breached"))</f>
        <v>In Progress</v>
      </c>
    </row>
    <row r="1293" ht="19" customHeight="1" spans="1:14" x14ac:dyDescent="0.25">
      <c r="A1293" s="22" t="s">
        <v>1407</v>
      </c>
      <c r="B1293" s="36">
        <v>45661.86388888889</v>
      </c>
      <c r="C1293" s="36">
        <v>45664.33819444444</v>
      </c>
      <c r="D1293" s="22" t="s">
        <v>36</v>
      </c>
      <c r="E1293" s="22" t="s">
        <v>65</v>
      </c>
      <c r="F1293" s="22" t="s">
        <v>37</v>
      </c>
      <c r="G1293" s="22" t="s">
        <v>126</v>
      </c>
      <c r="H1293" s="22" t="s">
        <v>59</v>
      </c>
      <c r="I1293" s="22" t="s">
        <v>117</v>
      </c>
      <c r="J1293" s="23">
        <v>48</v>
      </c>
      <c r="K1293" s="37">
        <v>0</v>
      </c>
      <c r="L1293" s="37">
        <v>2</v>
      </c>
      <c r="M1293" s="22">
        <f>IF(OR(ISBLANK(C1293),C1293=""),"",ROUND((C1293-B1293)*24,2))</f>
        <v>59.38</v>
      </c>
      <c r="N1293" s="38" t="str">
        <f>IF(OR(ISBLANK(C1293),C1293="",M1293=""),"In Progress",IF(M1293&lt;=J1293,"Met","Breached"))</f>
        <v>Breached</v>
      </c>
    </row>
    <row r="1294" ht="19" customHeight="1" spans="1:14" x14ac:dyDescent="0.25">
      <c r="A1294" s="19" t="s">
        <v>1408</v>
      </c>
      <c r="B1294" s="33">
        <v>45987.86666666667</v>
      </c>
      <c r="C1294" s="33">
        <v>45988.26041666667</v>
      </c>
      <c r="D1294" s="19" t="s">
        <v>33</v>
      </c>
      <c r="E1294" s="19" t="s">
        <v>61</v>
      </c>
      <c r="F1294" s="19" t="s">
        <v>37</v>
      </c>
      <c r="G1294" s="19" t="s">
        <v>110</v>
      </c>
      <c r="H1294" s="19" t="s">
        <v>59</v>
      </c>
      <c r="I1294" s="19" t="s">
        <v>108</v>
      </c>
      <c r="J1294" s="20">
        <v>12</v>
      </c>
      <c r="K1294" s="34">
        <v>0</v>
      </c>
      <c r="L1294" s="34">
        <v>2</v>
      </c>
      <c r="M1294" s="19">
        <f>IF(OR(ISBLANK(C1294),C1294=""),"",ROUND((C1294-B1294)*24,2))</f>
        <v>9.45</v>
      </c>
      <c r="N1294" s="35" t="str">
        <f>IF(OR(ISBLANK(C1294),C1294="",M1294=""),"In Progress",IF(M1294&lt;=J1294,"Met","Breached"))</f>
        <v>Met</v>
      </c>
    </row>
    <row r="1295" ht="19" customHeight="1" spans="1:14" x14ac:dyDescent="0.25">
      <c r="A1295" s="22" t="s">
        <v>1409</v>
      </c>
      <c r="B1295" s="36">
        <v>45900.60277777778</v>
      </c>
      <c r="C1295" s="36">
        <v>45907.464583333334</v>
      </c>
      <c r="D1295" s="22" t="s">
        <v>33</v>
      </c>
      <c r="E1295" s="22" t="s">
        <v>69</v>
      </c>
      <c r="F1295" s="22" t="s">
        <v>34</v>
      </c>
      <c r="G1295" s="22" t="s">
        <v>113</v>
      </c>
      <c r="H1295" s="22" t="s">
        <v>63</v>
      </c>
      <c r="I1295" s="22" t="s">
        <v>117</v>
      </c>
      <c r="J1295" s="23">
        <v>120</v>
      </c>
      <c r="K1295" s="37">
        <v>0</v>
      </c>
      <c r="L1295" s="37">
        <v>3</v>
      </c>
      <c r="M1295" s="22">
        <f>IF(OR(ISBLANK(C1295),C1295=""),"",ROUND((C1295-B1295)*24,2))</f>
        <v>164.68</v>
      </c>
      <c r="N1295" s="38" t="str">
        <f>IF(OR(ISBLANK(C1295),C1295="",M1295=""),"In Progress",IF(M1295&lt;=J1295,"Met","Breached"))</f>
        <v>Breached</v>
      </c>
    </row>
    <row r="1296" ht="19" customHeight="1" spans="1:14" x14ac:dyDescent="0.25">
      <c r="A1296" s="19" t="s">
        <v>1410</v>
      </c>
      <c r="B1296" s="33">
        <v>46172.774305555555</v>
      </c>
      <c r="C1296" s="33">
        <v>46174.60486111111</v>
      </c>
      <c r="D1296" s="19" t="s">
        <v>33</v>
      </c>
      <c r="E1296" s="19" t="s">
        <v>69</v>
      </c>
      <c r="F1296" s="19" t="s">
        <v>43</v>
      </c>
      <c r="G1296" s="19" t="s">
        <v>113</v>
      </c>
      <c r="H1296" s="19" t="s">
        <v>59</v>
      </c>
      <c r="I1296" s="19" t="s">
        <v>114</v>
      </c>
      <c r="J1296" s="20">
        <v>120</v>
      </c>
      <c r="K1296" s="34">
        <v>0</v>
      </c>
      <c r="L1296" s="34">
        <v>1</v>
      </c>
      <c r="M1296" s="19">
        <f>IF(OR(ISBLANK(C1296),C1296=""),"",ROUND((C1296-B1296)*24,2))</f>
        <v>43.93</v>
      </c>
      <c r="N1296" s="35" t="str">
        <f>IF(OR(ISBLANK(C1296),C1296="",M1296=""),"In Progress",IF(M1296&lt;=J1296,"Met","Breached"))</f>
        <v>Met</v>
      </c>
    </row>
    <row r="1297" ht="19" customHeight="1" spans="1:14" x14ac:dyDescent="0.25">
      <c r="A1297" s="22" t="s">
        <v>1411</v>
      </c>
      <c r="B1297" s="36">
        <v>46269.3875</v>
      </c>
      <c r="D1297" s="22" t="s">
        <v>42</v>
      </c>
      <c r="E1297" s="22" t="s">
        <v>61</v>
      </c>
      <c r="F1297" s="22" t="s">
        <v>43</v>
      </c>
      <c r="G1297" s="22" t="s">
        <v>63</v>
      </c>
      <c r="H1297" s="22" t="s">
        <v>59</v>
      </c>
      <c r="I1297" s="22" t="s">
        <v>111</v>
      </c>
      <c r="J1297" s="23">
        <v>12</v>
      </c>
      <c r="K1297" s="37">
        <v>0</v>
      </c>
      <c r="M1297" s="22" t="str">
        <f>IF(OR(ISBLANK(C1297),C1297=""),"",ROUND((C1297-B1297)*24,2))</f>
        <v/>
      </c>
      <c r="N1297" s="22" t="str">
        <f>IF(OR(ISBLANK(C1297),C1297="",M1297=""),"In Progress",IF(M1297&lt;=J1297,"Met","Breached"))</f>
        <v>In Progress</v>
      </c>
    </row>
    <row r="1298" ht="19" customHeight="1" spans="1:14" x14ac:dyDescent="0.25">
      <c r="A1298" s="19" t="s">
        <v>1412</v>
      </c>
      <c r="B1298" s="33">
        <v>46280.07847222222</v>
      </c>
      <c r="D1298" s="19" t="s">
        <v>39</v>
      </c>
      <c r="E1298" s="19" t="s">
        <v>65</v>
      </c>
      <c r="F1298" s="19" t="s">
        <v>37</v>
      </c>
      <c r="G1298" s="19" t="s">
        <v>113</v>
      </c>
      <c r="H1298" s="19" t="s">
        <v>63</v>
      </c>
      <c r="I1298" s="19" t="s">
        <v>147</v>
      </c>
      <c r="J1298" s="20">
        <v>48</v>
      </c>
      <c r="K1298" s="34">
        <v>0</v>
      </c>
      <c r="M1298" s="19" t="str">
        <f>IF(OR(ISBLANK(C1298),C1298=""),"",ROUND((C1298-B1298)*24,2))</f>
        <v/>
      </c>
      <c r="N1298" s="19" t="str">
        <f>IF(OR(ISBLANK(C1298),C1298="",M1298=""),"In Progress",IF(M1298&lt;=J1298,"Met","Breached"))</f>
        <v>In Progress</v>
      </c>
    </row>
    <row r="1299" ht="19" customHeight="1" spans="1:14" x14ac:dyDescent="0.25">
      <c r="A1299" s="22" t="s">
        <v>1413</v>
      </c>
      <c r="B1299" s="36">
        <v>45984.69861111111</v>
      </c>
      <c r="C1299" s="36">
        <v>45986.683333333334</v>
      </c>
      <c r="D1299" s="22" t="s">
        <v>36</v>
      </c>
      <c r="E1299" s="22" t="s">
        <v>65</v>
      </c>
      <c r="F1299" s="22" t="s">
        <v>40</v>
      </c>
      <c r="G1299" s="22" t="s">
        <v>121</v>
      </c>
      <c r="H1299" s="22" t="s">
        <v>59</v>
      </c>
      <c r="I1299" s="22" t="s">
        <v>114</v>
      </c>
      <c r="J1299" s="23">
        <v>48</v>
      </c>
      <c r="K1299" s="37">
        <v>0</v>
      </c>
      <c r="L1299" s="37">
        <v>2</v>
      </c>
      <c r="M1299" s="22">
        <f>IF(OR(ISBLANK(C1299),C1299=""),"",ROUND((C1299-B1299)*24,2))</f>
        <v>47.63</v>
      </c>
      <c r="N1299" s="40" t="str">
        <f>IF(OR(ISBLANK(C1299),C1299="",M1299=""),"In Progress",IF(M1299&lt;=J1299,"Met","Breached"))</f>
        <v>Met</v>
      </c>
    </row>
    <row r="1300" ht="19" customHeight="1" spans="1:14" x14ac:dyDescent="0.25">
      <c r="A1300" s="19" t="s">
        <v>1414</v>
      </c>
      <c r="B1300" s="33">
        <v>45712.771527777775</v>
      </c>
      <c r="C1300" s="33">
        <v>45713.91111111111</v>
      </c>
      <c r="D1300" s="19" t="s">
        <v>33</v>
      </c>
      <c r="E1300" s="19" t="s">
        <v>65</v>
      </c>
      <c r="F1300" s="19" t="s">
        <v>34</v>
      </c>
      <c r="G1300" s="19" t="s">
        <v>116</v>
      </c>
      <c r="H1300" s="19" t="s">
        <v>63</v>
      </c>
      <c r="I1300" s="19" t="s">
        <v>123</v>
      </c>
      <c r="J1300" s="20">
        <v>48</v>
      </c>
      <c r="K1300" s="34">
        <v>0</v>
      </c>
      <c r="M1300" s="19">
        <f>IF(OR(ISBLANK(C1300),C1300=""),"",ROUND((C1300-B1300)*24,2))</f>
        <v>27.35</v>
      </c>
      <c r="N1300" s="35" t="str">
        <f>IF(OR(ISBLANK(C1300),C1300="",M1300=""),"In Progress",IF(M1300&lt;=J1300,"Met","Breached"))</f>
        <v>Met</v>
      </c>
    </row>
    <row r="1301" ht="19" customHeight="1" spans="1:14" x14ac:dyDescent="0.25">
      <c r="A1301" s="22" t="s">
        <v>1415</v>
      </c>
      <c r="B1301" s="36">
        <v>45892.54791666666</v>
      </c>
      <c r="D1301" s="22" t="s">
        <v>39</v>
      </c>
      <c r="E1301" s="22" t="s">
        <v>65</v>
      </c>
      <c r="F1301" s="22" t="s">
        <v>40</v>
      </c>
      <c r="G1301" s="22" t="s">
        <v>126</v>
      </c>
      <c r="H1301" s="22" t="s">
        <v>67</v>
      </c>
      <c r="I1301" s="22" t="s">
        <v>111</v>
      </c>
      <c r="J1301" s="23">
        <v>48</v>
      </c>
      <c r="K1301" s="37">
        <v>0</v>
      </c>
      <c r="M1301" s="22" t="str">
        <f>IF(OR(ISBLANK(C1301),C1301=""),"",ROUND((C1301-B1301)*24,2))</f>
        <v/>
      </c>
      <c r="N1301" s="22" t="str">
        <f>IF(OR(ISBLANK(C1301),C1301="",M1301=""),"In Progress",IF(M1301&lt;=J1301,"Met","Breached"))</f>
        <v>In Progress</v>
      </c>
    </row>
    <row r="1302" ht="19" customHeight="1" spans="1:14" x14ac:dyDescent="0.25">
      <c r="A1302" s="19" t="s">
        <v>1416</v>
      </c>
      <c r="B1302" s="33">
        <v>45825.7</v>
      </c>
      <c r="C1302" s="33">
        <v>45828.26875</v>
      </c>
      <c r="D1302" s="19" t="s">
        <v>33</v>
      </c>
      <c r="E1302" s="19" t="s">
        <v>65</v>
      </c>
      <c r="F1302" s="19" t="s">
        <v>43</v>
      </c>
      <c r="G1302" s="19" t="s">
        <v>116</v>
      </c>
      <c r="H1302" s="19" t="s">
        <v>59</v>
      </c>
      <c r="I1302" s="19" t="s">
        <v>117</v>
      </c>
      <c r="J1302" s="20">
        <v>48</v>
      </c>
      <c r="K1302" s="34">
        <v>0</v>
      </c>
      <c r="L1302" s="34">
        <v>1</v>
      </c>
      <c r="M1302" s="19">
        <f>IF(OR(ISBLANK(C1302),C1302=""),"",ROUND((C1302-B1302)*24,2))</f>
        <v>61.65</v>
      </c>
      <c r="N1302" s="39" t="str">
        <f>IF(OR(ISBLANK(C1302),C1302="",M1302=""),"In Progress",IF(M1302&lt;=J1302,"Met","Breached"))</f>
        <v>Breached</v>
      </c>
    </row>
    <row r="1303" ht="19" customHeight="1" spans="1:14" x14ac:dyDescent="0.25">
      <c r="A1303" s="22" t="s">
        <v>1417</v>
      </c>
      <c r="B1303" s="36">
        <v>46203.399305555555</v>
      </c>
      <c r="C1303" s="36">
        <v>46209.65347222222</v>
      </c>
      <c r="D1303" s="22" t="s">
        <v>36</v>
      </c>
      <c r="E1303" s="22" t="s">
        <v>69</v>
      </c>
      <c r="F1303" s="22" t="s">
        <v>45</v>
      </c>
      <c r="G1303" s="22" t="s">
        <v>116</v>
      </c>
      <c r="H1303" s="22" t="s">
        <v>59</v>
      </c>
      <c r="I1303" s="22" t="s">
        <v>111</v>
      </c>
      <c r="J1303" s="23">
        <v>120</v>
      </c>
      <c r="K1303" s="37">
        <v>0</v>
      </c>
      <c r="L1303" s="37">
        <v>4</v>
      </c>
      <c r="M1303" s="22">
        <f>IF(OR(ISBLANK(C1303),C1303=""),"",ROUND((C1303-B1303)*24,2))</f>
        <v>150.1</v>
      </c>
      <c r="N1303" s="38" t="str">
        <f>IF(OR(ISBLANK(C1303),C1303="",M1303=""),"In Progress",IF(M1303&lt;=J1303,"Met","Breached"))</f>
        <v>Breached</v>
      </c>
    </row>
    <row r="1304" ht="19" customHeight="1" spans="1:14" x14ac:dyDescent="0.25">
      <c r="A1304" s="19" t="s">
        <v>1418</v>
      </c>
      <c r="B1304" s="33">
        <v>46014.52291666667</v>
      </c>
      <c r="C1304" s="33">
        <v>46014.78194444445</v>
      </c>
      <c r="D1304" s="19" t="s">
        <v>36</v>
      </c>
      <c r="E1304" s="19" t="s">
        <v>57</v>
      </c>
      <c r="F1304" s="19" t="s">
        <v>37</v>
      </c>
      <c r="G1304" s="19" t="s">
        <v>110</v>
      </c>
      <c r="H1304" s="19" t="s">
        <v>71</v>
      </c>
      <c r="I1304" s="19" t="s">
        <v>147</v>
      </c>
      <c r="J1304" s="20">
        <v>4</v>
      </c>
      <c r="K1304" s="34">
        <v>0</v>
      </c>
      <c r="M1304" s="19">
        <f>IF(OR(ISBLANK(C1304),C1304=""),"",ROUND((C1304-B1304)*24,2))</f>
        <v>6.22</v>
      </c>
      <c r="N1304" s="39" t="str">
        <f>IF(OR(ISBLANK(C1304),C1304="",M1304=""),"In Progress",IF(M1304&lt;=J1304,"Met","Breached"))</f>
        <v>Breached</v>
      </c>
    </row>
    <row r="1305" ht="19" customHeight="1" spans="1:14" x14ac:dyDescent="0.25">
      <c r="A1305" s="22" t="s">
        <v>1419</v>
      </c>
      <c r="B1305" s="36">
        <v>45863.944444444445</v>
      </c>
      <c r="C1305" s="36">
        <v>45867.03055555555</v>
      </c>
      <c r="D1305" s="22" t="s">
        <v>36</v>
      </c>
      <c r="E1305" s="22" t="s">
        <v>69</v>
      </c>
      <c r="F1305" s="22" t="s">
        <v>43</v>
      </c>
      <c r="G1305" s="22" t="s">
        <v>116</v>
      </c>
      <c r="H1305" s="22" t="s">
        <v>59</v>
      </c>
      <c r="I1305" s="22" t="s">
        <v>117</v>
      </c>
      <c r="J1305" s="23">
        <v>120</v>
      </c>
      <c r="K1305" s="37">
        <v>1</v>
      </c>
      <c r="L1305" s="37">
        <v>1</v>
      </c>
      <c r="M1305" s="22">
        <f>IF(OR(ISBLANK(C1305),C1305=""),"",ROUND((C1305-B1305)*24,2))</f>
        <v>74.07</v>
      </c>
      <c r="N1305" s="40" t="str">
        <f>IF(OR(ISBLANK(C1305),C1305="",M1305=""),"In Progress",IF(M1305&lt;=J1305,"Met","Breached"))</f>
        <v>Met</v>
      </c>
    </row>
    <row r="1306" ht="19" customHeight="1" spans="1:14" x14ac:dyDescent="0.25">
      <c r="A1306" s="19" t="s">
        <v>1420</v>
      </c>
      <c r="B1306" s="33">
        <v>46170.52291666667</v>
      </c>
      <c r="D1306" s="19" t="s">
        <v>39</v>
      </c>
      <c r="E1306" s="19" t="s">
        <v>65</v>
      </c>
      <c r="F1306" s="19" t="s">
        <v>43</v>
      </c>
      <c r="G1306" s="19" t="s">
        <v>110</v>
      </c>
      <c r="H1306" s="19" t="s">
        <v>59</v>
      </c>
      <c r="I1306" s="19" t="s">
        <v>114</v>
      </c>
      <c r="J1306" s="20">
        <v>48</v>
      </c>
      <c r="K1306" s="34">
        <v>0</v>
      </c>
      <c r="M1306" s="19" t="str">
        <f>IF(OR(ISBLANK(C1306),C1306=""),"",ROUND((C1306-B1306)*24,2))</f>
        <v/>
      </c>
      <c r="N1306" s="19" t="str">
        <f>IF(OR(ISBLANK(C1306),C1306="",M1306=""),"In Progress",IF(M1306&lt;=J1306,"Met","Breached"))</f>
        <v>In Progress</v>
      </c>
    </row>
    <row r="1307" ht="19" customHeight="1" spans="1:14" x14ac:dyDescent="0.25">
      <c r="A1307" s="22" t="s">
        <v>1421</v>
      </c>
      <c r="B1307" s="36">
        <v>46169.05</v>
      </c>
      <c r="C1307" s="36">
        <v>46172.53402777778</v>
      </c>
      <c r="D1307" s="22" t="s">
        <v>33</v>
      </c>
      <c r="E1307" s="22" t="s">
        <v>65</v>
      </c>
      <c r="F1307" s="22" t="s">
        <v>45</v>
      </c>
      <c r="G1307" s="22" t="s">
        <v>116</v>
      </c>
      <c r="H1307" s="22" t="s">
        <v>63</v>
      </c>
      <c r="I1307" s="22" t="s">
        <v>114</v>
      </c>
      <c r="J1307" s="23">
        <v>48</v>
      </c>
      <c r="K1307" s="37">
        <v>1</v>
      </c>
      <c r="L1307" s="37">
        <v>1</v>
      </c>
      <c r="M1307" s="22">
        <f>IF(OR(ISBLANK(C1307),C1307=""),"",ROUND((C1307-B1307)*24,2))</f>
        <v>83.62</v>
      </c>
      <c r="N1307" s="38" t="str">
        <f>IF(OR(ISBLANK(C1307),C1307="",M1307=""),"In Progress",IF(M1307&lt;=J1307,"Met","Breached"))</f>
        <v>Breached</v>
      </c>
    </row>
    <row r="1308" ht="19" customHeight="1" spans="1:14" x14ac:dyDescent="0.25">
      <c r="A1308" s="19" t="s">
        <v>1422</v>
      </c>
      <c r="B1308" s="33">
        <v>46071.56041666667</v>
      </c>
      <c r="C1308" s="33">
        <v>46072.26666666666</v>
      </c>
      <c r="D1308" s="19" t="s">
        <v>36</v>
      </c>
      <c r="E1308" s="19" t="s">
        <v>61</v>
      </c>
      <c r="F1308" s="19" t="s">
        <v>40</v>
      </c>
      <c r="G1308" s="19" t="s">
        <v>113</v>
      </c>
      <c r="H1308" s="19" t="s">
        <v>71</v>
      </c>
      <c r="I1308" s="19" t="s">
        <v>114</v>
      </c>
      <c r="J1308" s="20">
        <v>12</v>
      </c>
      <c r="K1308" s="34">
        <v>0</v>
      </c>
      <c r="L1308" s="34">
        <v>4</v>
      </c>
      <c r="M1308" s="19">
        <f>IF(OR(ISBLANK(C1308),C1308=""),"",ROUND((C1308-B1308)*24,2))</f>
        <v>16.95</v>
      </c>
      <c r="N1308" s="39" t="str">
        <f>IF(OR(ISBLANK(C1308),C1308="",M1308=""),"In Progress",IF(M1308&lt;=J1308,"Met","Breached"))</f>
        <v>Breached</v>
      </c>
    </row>
    <row r="1309" ht="19" customHeight="1" spans="1:14" x14ac:dyDescent="0.25">
      <c r="A1309" s="22" t="s">
        <v>1423</v>
      </c>
      <c r="B1309" s="36">
        <v>45882.256944444445</v>
      </c>
      <c r="C1309" s="36">
        <v>45887.18611111111</v>
      </c>
      <c r="D1309" s="22" t="s">
        <v>36</v>
      </c>
      <c r="E1309" s="22" t="s">
        <v>69</v>
      </c>
      <c r="F1309" s="22" t="s">
        <v>40</v>
      </c>
      <c r="G1309" s="22" t="s">
        <v>113</v>
      </c>
      <c r="H1309" s="22" t="s">
        <v>59</v>
      </c>
      <c r="I1309" s="22" t="s">
        <v>117</v>
      </c>
      <c r="J1309" s="23">
        <v>120</v>
      </c>
      <c r="K1309" s="37">
        <v>0</v>
      </c>
      <c r="L1309" s="37">
        <v>1</v>
      </c>
      <c r="M1309" s="22">
        <f>IF(OR(ISBLANK(C1309),C1309=""),"",ROUND((C1309-B1309)*24,2))</f>
        <v>118.3</v>
      </c>
      <c r="N1309" s="40" t="str">
        <f>IF(OR(ISBLANK(C1309),C1309="",M1309=""),"In Progress",IF(M1309&lt;=J1309,"Met","Breached"))</f>
        <v>Met</v>
      </c>
    </row>
    <row r="1310" ht="19" customHeight="1" spans="1:14" x14ac:dyDescent="0.25">
      <c r="A1310" s="19" t="s">
        <v>1424</v>
      </c>
      <c r="B1310" s="33">
        <v>45765.941666666666</v>
      </c>
      <c r="C1310" s="33">
        <v>45768.927777777775</v>
      </c>
      <c r="D1310" s="19" t="s">
        <v>33</v>
      </c>
      <c r="E1310" s="19" t="s">
        <v>65</v>
      </c>
      <c r="F1310" s="19" t="s">
        <v>34</v>
      </c>
      <c r="G1310" s="19" t="s">
        <v>113</v>
      </c>
      <c r="H1310" s="19" t="s">
        <v>59</v>
      </c>
      <c r="I1310" s="19" t="s">
        <v>123</v>
      </c>
      <c r="J1310" s="20">
        <v>48</v>
      </c>
      <c r="K1310" s="34">
        <v>0</v>
      </c>
      <c r="M1310" s="19">
        <f>IF(OR(ISBLANK(C1310),C1310=""),"",ROUND((C1310-B1310)*24,2))</f>
        <v>71.67</v>
      </c>
      <c r="N1310" s="39" t="str">
        <f>IF(OR(ISBLANK(C1310),C1310="",M1310=""),"In Progress",IF(M1310&lt;=J1310,"Met","Breached"))</f>
        <v>Breached</v>
      </c>
    </row>
    <row r="1311" ht="19" customHeight="1" spans="1:14" x14ac:dyDescent="0.25">
      <c r="A1311" s="22" t="s">
        <v>1425</v>
      </c>
      <c r="B1311" s="36">
        <v>45802.663888888885</v>
      </c>
      <c r="C1311" s="36">
        <v>45802.95972222222</v>
      </c>
      <c r="D1311" s="22" t="s">
        <v>36</v>
      </c>
      <c r="E1311" s="22" t="s">
        <v>57</v>
      </c>
      <c r="F1311" s="22" t="s">
        <v>45</v>
      </c>
      <c r="G1311" s="22" t="s">
        <v>63</v>
      </c>
      <c r="H1311" s="22" t="s">
        <v>59</v>
      </c>
      <c r="I1311" s="22" t="s">
        <v>147</v>
      </c>
      <c r="J1311" s="23">
        <v>4</v>
      </c>
      <c r="K1311" s="37">
        <v>0</v>
      </c>
      <c r="L1311" s="37">
        <v>1</v>
      </c>
      <c r="M1311" s="22">
        <f>IF(OR(ISBLANK(C1311),C1311=""),"",ROUND((C1311-B1311)*24,2))</f>
        <v>7.1</v>
      </c>
      <c r="N1311" s="38" t="str">
        <f>IF(OR(ISBLANK(C1311),C1311="",M1311=""),"In Progress",IF(M1311&lt;=J1311,"Met","Breached"))</f>
        <v>Breached</v>
      </c>
    </row>
    <row r="1312" ht="19" customHeight="1" spans="1:14" x14ac:dyDescent="0.25">
      <c r="A1312" s="19" t="s">
        <v>1426</v>
      </c>
      <c r="B1312" s="33">
        <v>46040.3</v>
      </c>
      <c r="C1312" s="33">
        <v>46040.65902777778</v>
      </c>
      <c r="D1312" s="19" t="s">
        <v>33</v>
      </c>
      <c r="E1312" s="19" t="s">
        <v>61</v>
      </c>
      <c r="F1312" s="19" t="s">
        <v>43</v>
      </c>
      <c r="G1312" s="19" t="s">
        <v>116</v>
      </c>
      <c r="H1312" s="19" t="s">
        <v>59</v>
      </c>
      <c r="I1312" s="19" t="s">
        <v>108</v>
      </c>
      <c r="J1312" s="20">
        <v>12</v>
      </c>
      <c r="K1312" s="34">
        <v>0</v>
      </c>
      <c r="L1312" s="34">
        <v>5</v>
      </c>
      <c r="M1312" s="19">
        <f>IF(OR(ISBLANK(C1312),C1312=""),"",ROUND((C1312-B1312)*24,2))</f>
        <v>8.62</v>
      </c>
      <c r="N1312" s="35" t="str">
        <f>IF(OR(ISBLANK(C1312),C1312="",M1312=""),"In Progress",IF(M1312&lt;=J1312,"Met","Breached"))</f>
        <v>Met</v>
      </c>
    </row>
    <row r="1313" ht="19" customHeight="1" spans="1:14" x14ac:dyDescent="0.25">
      <c r="A1313" s="22" t="s">
        <v>1427</v>
      </c>
      <c r="B1313" s="36">
        <v>45831.05763888889</v>
      </c>
      <c r="C1313" s="36">
        <v>45833.80763888889</v>
      </c>
      <c r="D1313" s="22" t="s">
        <v>33</v>
      </c>
      <c r="E1313" s="22" t="s">
        <v>65</v>
      </c>
      <c r="F1313" s="22" t="s">
        <v>40</v>
      </c>
      <c r="G1313" s="22" t="s">
        <v>116</v>
      </c>
      <c r="H1313" s="22" t="s">
        <v>67</v>
      </c>
      <c r="I1313" s="22" t="s">
        <v>147</v>
      </c>
      <c r="J1313" s="23">
        <v>48</v>
      </c>
      <c r="K1313" s="37">
        <v>0</v>
      </c>
      <c r="L1313" s="37">
        <v>1</v>
      </c>
      <c r="M1313" s="22">
        <f>IF(OR(ISBLANK(C1313),C1313=""),"",ROUND((C1313-B1313)*24,2))</f>
        <v>66</v>
      </c>
      <c r="N1313" s="38" t="str">
        <f>IF(OR(ISBLANK(C1313),C1313="",M1313=""),"In Progress",IF(M1313&lt;=J1313,"Met","Breached"))</f>
        <v>Breached</v>
      </c>
    </row>
    <row r="1314" ht="19" customHeight="1" spans="1:14" x14ac:dyDescent="0.25">
      <c r="A1314" s="19" t="s">
        <v>1428</v>
      </c>
      <c r="B1314" s="33">
        <v>46099.961805555555</v>
      </c>
      <c r="C1314" s="33">
        <v>46100.77013888889</v>
      </c>
      <c r="D1314" s="19" t="s">
        <v>33</v>
      </c>
      <c r="E1314" s="19" t="s">
        <v>61</v>
      </c>
      <c r="F1314" s="19" t="s">
        <v>43</v>
      </c>
      <c r="G1314" s="19" t="s">
        <v>110</v>
      </c>
      <c r="H1314" s="19" t="s">
        <v>63</v>
      </c>
      <c r="I1314" s="19" t="s">
        <v>123</v>
      </c>
      <c r="J1314" s="20">
        <v>12</v>
      </c>
      <c r="K1314" s="34">
        <v>0</v>
      </c>
      <c r="M1314" s="19">
        <f>IF(OR(ISBLANK(C1314),C1314=""),"",ROUND((C1314-B1314)*24,2))</f>
        <v>19.4</v>
      </c>
      <c r="N1314" s="39" t="str">
        <f>IF(OR(ISBLANK(C1314),C1314="",M1314=""),"In Progress",IF(M1314&lt;=J1314,"Met","Breached"))</f>
        <v>Breached</v>
      </c>
    </row>
    <row r="1315" ht="19" customHeight="1" spans="1:14" x14ac:dyDescent="0.25">
      <c r="A1315" s="22" t="s">
        <v>1429</v>
      </c>
      <c r="B1315" s="36">
        <v>45832.646527777775</v>
      </c>
      <c r="C1315" s="36">
        <v>45835.87013888889</v>
      </c>
      <c r="D1315" s="22" t="s">
        <v>36</v>
      </c>
      <c r="E1315" s="22" t="s">
        <v>65</v>
      </c>
      <c r="F1315" s="22" t="s">
        <v>45</v>
      </c>
      <c r="G1315" s="22" t="s">
        <v>113</v>
      </c>
      <c r="H1315" s="22" t="s">
        <v>63</v>
      </c>
      <c r="I1315" s="22" t="s">
        <v>117</v>
      </c>
      <c r="J1315" s="23">
        <v>48</v>
      </c>
      <c r="K1315" s="37">
        <v>0</v>
      </c>
      <c r="L1315" s="37">
        <v>1</v>
      </c>
      <c r="M1315" s="22">
        <f>IF(OR(ISBLANK(C1315),C1315=""),"",ROUND((C1315-B1315)*24,2))</f>
        <v>77.37</v>
      </c>
      <c r="N1315" s="38" t="str">
        <f>IF(OR(ISBLANK(C1315),C1315="",M1315=""),"In Progress",IF(M1315&lt;=J1315,"Met","Breached"))</f>
        <v>Breached</v>
      </c>
    </row>
    <row r="1316" ht="19" customHeight="1" spans="1:14" x14ac:dyDescent="0.25">
      <c r="A1316" s="19" t="s">
        <v>1430</v>
      </c>
      <c r="B1316" s="33">
        <v>45780.898611111115</v>
      </c>
      <c r="C1316" s="33">
        <v>45781.59097222222</v>
      </c>
      <c r="D1316" s="19" t="s">
        <v>33</v>
      </c>
      <c r="E1316" s="19" t="s">
        <v>61</v>
      </c>
      <c r="F1316" s="19" t="s">
        <v>45</v>
      </c>
      <c r="G1316" s="19" t="s">
        <v>110</v>
      </c>
      <c r="H1316" s="19" t="s">
        <v>63</v>
      </c>
      <c r="I1316" s="19" t="s">
        <v>114</v>
      </c>
      <c r="J1316" s="20">
        <v>12</v>
      </c>
      <c r="K1316" s="34">
        <v>0</v>
      </c>
      <c r="L1316" s="34">
        <v>4</v>
      </c>
      <c r="M1316" s="19">
        <f>IF(OR(ISBLANK(C1316),C1316=""),"",ROUND((C1316-B1316)*24,2))</f>
        <v>16.62</v>
      </c>
      <c r="N1316" s="39" t="str">
        <f>IF(OR(ISBLANK(C1316),C1316="",M1316=""),"In Progress",IF(M1316&lt;=J1316,"Met","Breached"))</f>
        <v>Breached</v>
      </c>
    </row>
    <row r="1317" ht="19" customHeight="1" spans="1:14" x14ac:dyDescent="0.25">
      <c r="A1317" s="22" t="s">
        <v>1431</v>
      </c>
      <c r="B1317" s="36">
        <v>45736.77847222222</v>
      </c>
      <c r="C1317" s="36">
        <v>45737.347916666666</v>
      </c>
      <c r="D1317" s="22" t="s">
        <v>33</v>
      </c>
      <c r="E1317" s="22" t="s">
        <v>61</v>
      </c>
      <c r="F1317" s="22" t="s">
        <v>45</v>
      </c>
      <c r="G1317" s="22" t="s">
        <v>110</v>
      </c>
      <c r="H1317" s="22" t="s">
        <v>59</v>
      </c>
      <c r="I1317" s="22" t="s">
        <v>111</v>
      </c>
      <c r="J1317" s="23">
        <v>12</v>
      </c>
      <c r="K1317" s="37">
        <v>1</v>
      </c>
      <c r="L1317" s="37">
        <v>2</v>
      </c>
      <c r="M1317" s="22">
        <f>IF(OR(ISBLANK(C1317),C1317=""),"",ROUND((C1317-B1317)*24,2))</f>
        <v>13.67</v>
      </c>
      <c r="N1317" s="38" t="str">
        <f>IF(OR(ISBLANK(C1317),C1317="",M1317=""),"In Progress",IF(M1317&lt;=J1317,"Met","Breached"))</f>
        <v>Breached</v>
      </c>
    </row>
    <row r="1318" ht="19" customHeight="1" spans="1:14" x14ac:dyDescent="0.25">
      <c r="A1318" s="19" t="s">
        <v>1432</v>
      </c>
      <c r="B1318" s="33">
        <v>46099.58541666667</v>
      </c>
      <c r="C1318" s="33">
        <v>46102.825</v>
      </c>
      <c r="D1318" s="19" t="s">
        <v>33</v>
      </c>
      <c r="E1318" s="19" t="s">
        <v>65</v>
      </c>
      <c r="F1318" s="19" t="s">
        <v>45</v>
      </c>
      <c r="G1318" s="19" t="s">
        <v>116</v>
      </c>
      <c r="H1318" s="19" t="s">
        <v>67</v>
      </c>
      <c r="I1318" s="19" t="s">
        <v>114</v>
      </c>
      <c r="J1318" s="20">
        <v>48</v>
      </c>
      <c r="K1318" s="34">
        <v>0</v>
      </c>
      <c r="L1318" s="34">
        <v>4</v>
      </c>
      <c r="M1318" s="19">
        <f>IF(OR(ISBLANK(C1318),C1318=""),"",ROUND((C1318-B1318)*24,2))</f>
        <v>77.75</v>
      </c>
      <c r="N1318" s="39" t="str">
        <f>IF(OR(ISBLANK(C1318),C1318="",M1318=""),"In Progress",IF(M1318&lt;=J1318,"Met","Breached"))</f>
        <v>Breached</v>
      </c>
    </row>
    <row r="1319" ht="19" customHeight="1" spans="1:14" x14ac:dyDescent="0.25">
      <c r="A1319" s="22" t="s">
        <v>1433</v>
      </c>
      <c r="B1319" s="36">
        <v>45802.68263888889</v>
      </c>
      <c r="D1319" s="22" t="s">
        <v>39</v>
      </c>
      <c r="E1319" s="22" t="s">
        <v>61</v>
      </c>
      <c r="F1319" s="22" t="s">
        <v>45</v>
      </c>
      <c r="G1319" s="22" t="s">
        <v>121</v>
      </c>
      <c r="H1319" s="22" t="s">
        <v>63</v>
      </c>
      <c r="I1319" s="22" t="s">
        <v>114</v>
      </c>
      <c r="J1319" s="23">
        <v>12</v>
      </c>
      <c r="K1319" s="37">
        <v>0</v>
      </c>
      <c r="M1319" s="22" t="str">
        <f>IF(OR(ISBLANK(C1319),C1319=""),"",ROUND((C1319-B1319)*24,2))</f>
        <v/>
      </c>
      <c r="N1319" s="22" t="str">
        <f>IF(OR(ISBLANK(C1319),C1319="",M1319=""),"In Progress",IF(M1319&lt;=J1319,"Met","Breached"))</f>
        <v>In Progress</v>
      </c>
    </row>
    <row r="1320" ht="19" customHeight="1" spans="1:14" x14ac:dyDescent="0.25">
      <c r="A1320" s="19" t="s">
        <v>1434</v>
      </c>
      <c r="B1320" s="33">
        <v>45709.72083333333</v>
      </c>
      <c r="C1320" s="33">
        <v>45709.896527777775</v>
      </c>
      <c r="D1320" s="19" t="s">
        <v>36</v>
      </c>
      <c r="E1320" s="19" t="s">
        <v>57</v>
      </c>
      <c r="F1320" s="19" t="s">
        <v>45</v>
      </c>
      <c r="G1320" s="19" t="s">
        <v>126</v>
      </c>
      <c r="H1320" s="19" t="s">
        <v>71</v>
      </c>
      <c r="I1320" s="19" t="s">
        <v>111</v>
      </c>
      <c r="J1320" s="20">
        <v>4</v>
      </c>
      <c r="K1320" s="34">
        <v>0</v>
      </c>
      <c r="L1320" s="34">
        <v>3</v>
      </c>
      <c r="M1320" s="19">
        <f>IF(OR(ISBLANK(C1320),C1320=""),"",ROUND((C1320-B1320)*24,2))</f>
        <v>4.22</v>
      </c>
      <c r="N1320" s="39" t="str">
        <f>IF(OR(ISBLANK(C1320),C1320="",M1320=""),"In Progress",IF(M1320&lt;=J1320,"Met","Breached"))</f>
        <v>Breached</v>
      </c>
    </row>
    <row r="1321" ht="19" customHeight="1" spans="1:14" x14ac:dyDescent="0.25">
      <c r="A1321" s="22" t="s">
        <v>1435</v>
      </c>
      <c r="B1321" s="36">
        <v>46188.35486111111</v>
      </c>
      <c r="D1321" s="22" t="s">
        <v>42</v>
      </c>
      <c r="E1321" s="22" t="s">
        <v>69</v>
      </c>
      <c r="F1321" s="22" t="s">
        <v>34</v>
      </c>
      <c r="G1321" s="22" t="s">
        <v>116</v>
      </c>
      <c r="H1321" s="22" t="s">
        <v>59</v>
      </c>
      <c r="I1321" s="22" t="s">
        <v>117</v>
      </c>
      <c r="J1321" s="23">
        <v>120</v>
      </c>
      <c r="K1321" s="37">
        <v>0</v>
      </c>
      <c r="M1321" s="22" t="str">
        <f>IF(OR(ISBLANK(C1321),C1321=""),"",ROUND((C1321-B1321)*24,2))</f>
        <v/>
      </c>
      <c r="N1321" s="22" t="str">
        <f>IF(OR(ISBLANK(C1321),C1321="",M1321=""),"In Progress",IF(M1321&lt;=J1321,"Met","Breached"))</f>
        <v>In Progress</v>
      </c>
    </row>
    <row r="1322" ht="19" customHeight="1" spans="1:14" x14ac:dyDescent="0.25">
      <c r="A1322" s="19" t="s">
        <v>1436</v>
      </c>
      <c r="B1322" s="33">
        <v>45775.992361111115</v>
      </c>
      <c r="C1322" s="33">
        <v>45776.71319444444</v>
      </c>
      <c r="D1322" s="19" t="s">
        <v>33</v>
      </c>
      <c r="E1322" s="19" t="s">
        <v>61</v>
      </c>
      <c r="F1322" s="19" t="s">
        <v>45</v>
      </c>
      <c r="G1322" s="19" t="s">
        <v>116</v>
      </c>
      <c r="H1322" s="19" t="s">
        <v>67</v>
      </c>
      <c r="I1322" s="19" t="s">
        <v>117</v>
      </c>
      <c r="J1322" s="20">
        <v>12</v>
      </c>
      <c r="K1322" s="34">
        <v>0</v>
      </c>
      <c r="M1322" s="19">
        <f>IF(OR(ISBLANK(C1322),C1322=""),"",ROUND((C1322-B1322)*24,2))</f>
        <v>17.3</v>
      </c>
      <c r="N1322" s="39" t="str">
        <f>IF(OR(ISBLANK(C1322),C1322="",M1322=""),"In Progress",IF(M1322&lt;=J1322,"Met","Breached"))</f>
        <v>Breached</v>
      </c>
    </row>
    <row r="1323" ht="19" customHeight="1" spans="1:14" x14ac:dyDescent="0.25">
      <c r="A1323" s="22" t="s">
        <v>1437</v>
      </c>
      <c r="B1323" s="36">
        <v>46026.16180555556</v>
      </c>
      <c r="C1323" s="36">
        <v>46028.18819444445</v>
      </c>
      <c r="D1323" s="22" t="s">
        <v>36</v>
      </c>
      <c r="E1323" s="22" t="s">
        <v>65</v>
      </c>
      <c r="F1323" s="22" t="s">
        <v>37</v>
      </c>
      <c r="G1323" s="22" t="s">
        <v>63</v>
      </c>
      <c r="H1323" s="22" t="s">
        <v>63</v>
      </c>
      <c r="I1323" s="22" t="s">
        <v>147</v>
      </c>
      <c r="J1323" s="23">
        <v>48</v>
      </c>
      <c r="K1323" s="37">
        <v>0</v>
      </c>
      <c r="M1323" s="22">
        <f>IF(OR(ISBLANK(C1323),C1323=""),"",ROUND((C1323-B1323)*24,2))</f>
        <v>48.63</v>
      </c>
      <c r="N1323" s="38" t="str">
        <f>IF(OR(ISBLANK(C1323),C1323="",M1323=""),"In Progress",IF(M1323&lt;=J1323,"Met","Breached"))</f>
        <v>Breached</v>
      </c>
    </row>
    <row r="1324" ht="19" customHeight="1" spans="1:14" x14ac:dyDescent="0.25">
      <c r="A1324" s="19" t="s">
        <v>1438</v>
      </c>
      <c r="B1324" s="33">
        <v>46156.99375</v>
      </c>
      <c r="C1324" s="33">
        <v>46158.106944444444</v>
      </c>
      <c r="D1324" s="19" t="s">
        <v>36</v>
      </c>
      <c r="E1324" s="19" t="s">
        <v>65</v>
      </c>
      <c r="F1324" s="19" t="s">
        <v>45</v>
      </c>
      <c r="G1324" s="19" t="s">
        <v>113</v>
      </c>
      <c r="H1324" s="19" t="s">
        <v>63</v>
      </c>
      <c r="I1324" s="19" t="s">
        <v>147</v>
      </c>
      <c r="J1324" s="20">
        <v>48</v>
      </c>
      <c r="K1324" s="34">
        <v>0</v>
      </c>
      <c r="L1324" s="34">
        <v>4</v>
      </c>
      <c r="M1324" s="19">
        <f>IF(OR(ISBLANK(C1324),C1324=""),"",ROUND((C1324-B1324)*24,2))</f>
        <v>26.72</v>
      </c>
      <c r="N1324" s="35" t="str">
        <f>IF(OR(ISBLANK(C1324),C1324="",M1324=""),"In Progress",IF(M1324&lt;=J1324,"Met","Breached"))</f>
        <v>Met</v>
      </c>
    </row>
    <row r="1325" ht="19" customHeight="1" spans="1:14" x14ac:dyDescent="0.25">
      <c r="A1325" s="22" t="s">
        <v>1439</v>
      </c>
      <c r="B1325" s="36">
        <v>45703.03958333333</v>
      </c>
      <c r="C1325" s="36">
        <v>45703.683333333334</v>
      </c>
      <c r="D1325" s="22" t="s">
        <v>33</v>
      </c>
      <c r="E1325" s="22" t="s">
        <v>65</v>
      </c>
      <c r="F1325" s="22" t="s">
        <v>34</v>
      </c>
      <c r="G1325" s="22" t="s">
        <v>126</v>
      </c>
      <c r="H1325" s="22" t="s">
        <v>67</v>
      </c>
      <c r="I1325" s="22" t="s">
        <v>114</v>
      </c>
      <c r="J1325" s="23">
        <v>48</v>
      </c>
      <c r="K1325" s="37">
        <v>0</v>
      </c>
      <c r="L1325" s="37">
        <v>4</v>
      </c>
      <c r="M1325" s="22">
        <f>IF(OR(ISBLANK(C1325),C1325=""),"",ROUND((C1325-B1325)*24,2))</f>
        <v>15.45</v>
      </c>
      <c r="N1325" s="40" t="str">
        <f>IF(OR(ISBLANK(C1325),C1325="",M1325=""),"In Progress",IF(M1325&lt;=J1325,"Met","Breached"))</f>
        <v>Met</v>
      </c>
    </row>
    <row r="1326" ht="19" customHeight="1" spans="1:14" x14ac:dyDescent="0.25">
      <c r="A1326" s="19" t="s">
        <v>1440</v>
      </c>
      <c r="B1326" s="33">
        <v>45900.81736111111</v>
      </c>
      <c r="D1326" s="19" t="s">
        <v>42</v>
      </c>
      <c r="E1326" s="19" t="s">
        <v>65</v>
      </c>
      <c r="F1326" s="19" t="s">
        <v>43</v>
      </c>
      <c r="G1326" s="19" t="s">
        <v>63</v>
      </c>
      <c r="H1326" s="19" t="s">
        <v>67</v>
      </c>
      <c r="I1326" s="19" t="s">
        <v>111</v>
      </c>
      <c r="J1326" s="20">
        <v>48</v>
      </c>
      <c r="K1326" s="34">
        <v>0</v>
      </c>
      <c r="M1326" s="19" t="str">
        <f>IF(OR(ISBLANK(C1326),C1326=""),"",ROUND((C1326-B1326)*24,2))</f>
        <v/>
      </c>
      <c r="N1326" s="19" t="str">
        <f>IF(OR(ISBLANK(C1326),C1326="",M1326=""),"In Progress",IF(M1326&lt;=J1326,"Met","Breached"))</f>
        <v>In Progress</v>
      </c>
    </row>
    <row r="1327" ht="19" customHeight="1" spans="1:14" x14ac:dyDescent="0.25">
      <c r="A1327" s="22" t="s">
        <v>1441</v>
      </c>
      <c r="B1327" s="36">
        <v>45725.99861111111</v>
      </c>
      <c r="C1327" s="36">
        <v>45726.5125</v>
      </c>
      <c r="D1327" s="22" t="s">
        <v>33</v>
      </c>
      <c r="E1327" s="22" t="s">
        <v>61</v>
      </c>
      <c r="F1327" s="22" t="s">
        <v>45</v>
      </c>
      <c r="G1327" s="22" t="s">
        <v>121</v>
      </c>
      <c r="H1327" s="22" t="s">
        <v>63</v>
      </c>
      <c r="I1327" s="22" t="s">
        <v>123</v>
      </c>
      <c r="J1327" s="23">
        <v>12</v>
      </c>
      <c r="K1327" s="37">
        <v>0</v>
      </c>
      <c r="L1327" s="37">
        <v>5</v>
      </c>
      <c r="M1327" s="22">
        <f>IF(OR(ISBLANK(C1327),C1327=""),"",ROUND((C1327-B1327)*24,2))</f>
        <v>12.33</v>
      </c>
      <c r="N1327" s="38" t="str">
        <f>IF(OR(ISBLANK(C1327),C1327="",M1327=""),"In Progress",IF(M1327&lt;=J1327,"Met","Breached"))</f>
        <v>Breached</v>
      </c>
    </row>
    <row r="1328" ht="19" customHeight="1" spans="1:14" x14ac:dyDescent="0.25">
      <c r="A1328" s="19" t="s">
        <v>1442</v>
      </c>
      <c r="B1328" s="33">
        <v>45873.59861111111</v>
      </c>
      <c r="C1328" s="33">
        <v>45874.06180555555</v>
      </c>
      <c r="D1328" s="19" t="s">
        <v>33</v>
      </c>
      <c r="E1328" s="19" t="s">
        <v>61</v>
      </c>
      <c r="F1328" s="19" t="s">
        <v>45</v>
      </c>
      <c r="G1328" s="19" t="s">
        <v>63</v>
      </c>
      <c r="H1328" s="19" t="s">
        <v>59</v>
      </c>
      <c r="I1328" s="19" t="s">
        <v>117</v>
      </c>
      <c r="J1328" s="20">
        <v>12</v>
      </c>
      <c r="K1328" s="34">
        <v>0</v>
      </c>
      <c r="L1328" s="34">
        <v>2</v>
      </c>
      <c r="M1328" s="19">
        <f>IF(OR(ISBLANK(C1328),C1328=""),"",ROUND((C1328-B1328)*24,2))</f>
        <v>11.12</v>
      </c>
      <c r="N1328" s="35" t="str">
        <f>IF(OR(ISBLANK(C1328),C1328="",M1328=""),"In Progress",IF(M1328&lt;=J1328,"Met","Breached"))</f>
        <v>Met</v>
      </c>
    </row>
    <row r="1329" ht="19" customHeight="1" spans="1:14" x14ac:dyDescent="0.25">
      <c r="A1329" s="22" t="s">
        <v>1443</v>
      </c>
      <c r="B1329" s="36">
        <v>45854.847916666666</v>
      </c>
      <c r="C1329" s="36">
        <v>45857.54166666667</v>
      </c>
      <c r="D1329" s="22" t="s">
        <v>33</v>
      </c>
      <c r="E1329" s="22" t="s">
        <v>65</v>
      </c>
      <c r="F1329" s="22" t="s">
        <v>40</v>
      </c>
      <c r="G1329" s="22" t="s">
        <v>110</v>
      </c>
      <c r="H1329" s="22" t="s">
        <v>67</v>
      </c>
      <c r="I1329" s="22" t="s">
        <v>114</v>
      </c>
      <c r="J1329" s="23">
        <v>48</v>
      </c>
      <c r="K1329" s="37">
        <v>0</v>
      </c>
      <c r="L1329" s="37">
        <v>4</v>
      </c>
      <c r="M1329" s="22">
        <f>IF(OR(ISBLANK(C1329),C1329=""),"",ROUND((C1329-B1329)*24,2))</f>
        <v>64.65</v>
      </c>
      <c r="N1329" s="38" t="str">
        <f>IF(OR(ISBLANK(C1329),C1329="",M1329=""),"In Progress",IF(M1329&lt;=J1329,"Met","Breached"))</f>
        <v>Breached</v>
      </c>
    </row>
    <row r="1330" ht="19" customHeight="1" spans="1:14" x14ac:dyDescent="0.25">
      <c r="A1330" s="19" t="s">
        <v>1444</v>
      </c>
      <c r="B1330" s="33">
        <v>45800.43958333333</v>
      </c>
      <c r="C1330" s="33">
        <v>45804.85277777778</v>
      </c>
      <c r="D1330" s="19" t="s">
        <v>36</v>
      </c>
      <c r="E1330" s="19" t="s">
        <v>69</v>
      </c>
      <c r="F1330" s="19" t="s">
        <v>43</v>
      </c>
      <c r="G1330" s="19" t="s">
        <v>63</v>
      </c>
      <c r="H1330" s="19" t="s">
        <v>59</v>
      </c>
      <c r="I1330" s="19" t="s">
        <v>111</v>
      </c>
      <c r="J1330" s="20">
        <v>120</v>
      </c>
      <c r="K1330" s="34">
        <v>0</v>
      </c>
      <c r="L1330" s="34">
        <v>3</v>
      </c>
      <c r="M1330" s="19">
        <f>IF(OR(ISBLANK(C1330),C1330=""),"",ROUND((C1330-B1330)*24,2))</f>
        <v>105.92</v>
      </c>
      <c r="N1330" s="35" t="str">
        <f>IF(OR(ISBLANK(C1330),C1330="",M1330=""),"In Progress",IF(M1330&lt;=J1330,"Met","Breached"))</f>
        <v>Met</v>
      </c>
    </row>
    <row r="1331" ht="19" customHeight="1" spans="1:14" x14ac:dyDescent="0.25">
      <c r="A1331" s="22" t="s">
        <v>1445</v>
      </c>
      <c r="B1331" s="36">
        <v>46162.84513888889</v>
      </c>
      <c r="D1331" s="22" t="s">
        <v>42</v>
      </c>
      <c r="E1331" s="22" t="s">
        <v>69</v>
      </c>
      <c r="F1331" s="22" t="s">
        <v>37</v>
      </c>
      <c r="G1331" s="22" t="s">
        <v>63</v>
      </c>
      <c r="H1331" s="22" t="s">
        <v>71</v>
      </c>
      <c r="I1331" s="22" t="s">
        <v>123</v>
      </c>
      <c r="J1331" s="23">
        <v>120</v>
      </c>
      <c r="K1331" s="37">
        <v>0</v>
      </c>
      <c r="M1331" s="22" t="str">
        <f>IF(OR(ISBLANK(C1331),C1331=""),"",ROUND((C1331-B1331)*24,2))</f>
        <v/>
      </c>
      <c r="N1331" s="22" t="str">
        <f>IF(OR(ISBLANK(C1331),C1331="",M1331=""),"In Progress",IF(M1331&lt;=J1331,"Met","Breached"))</f>
        <v>In Progress</v>
      </c>
    </row>
    <row r="1332" ht="19" customHeight="1" spans="1:14" x14ac:dyDescent="0.25">
      <c r="A1332" s="19" t="s">
        <v>1446</v>
      </c>
      <c r="B1332" s="33">
        <v>45698.1375</v>
      </c>
      <c r="C1332" s="33">
        <v>45701.40486111111</v>
      </c>
      <c r="D1332" s="19" t="s">
        <v>33</v>
      </c>
      <c r="E1332" s="19" t="s">
        <v>69</v>
      </c>
      <c r="F1332" s="19" t="s">
        <v>34</v>
      </c>
      <c r="G1332" s="19" t="s">
        <v>121</v>
      </c>
      <c r="H1332" s="19" t="s">
        <v>59</v>
      </c>
      <c r="I1332" s="19" t="s">
        <v>147</v>
      </c>
      <c r="J1332" s="20">
        <v>120</v>
      </c>
      <c r="K1332" s="34">
        <v>0</v>
      </c>
      <c r="M1332" s="19">
        <f>IF(OR(ISBLANK(C1332),C1332=""),"",ROUND((C1332-B1332)*24,2))</f>
        <v>78.42</v>
      </c>
      <c r="N1332" s="35" t="str">
        <f>IF(OR(ISBLANK(C1332),C1332="",M1332=""),"In Progress",IF(M1332&lt;=J1332,"Met","Breached"))</f>
        <v>Met</v>
      </c>
    </row>
    <row r="1333" ht="19" customHeight="1" spans="1:14" x14ac:dyDescent="0.25">
      <c r="A1333" s="22" t="s">
        <v>1447</v>
      </c>
      <c r="B1333" s="36">
        <v>45792.62569444445</v>
      </c>
      <c r="C1333" s="36">
        <v>45793.05208333333</v>
      </c>
      <c r="D1333" s="22" t="s">
        <v>36</v>
      </c>
      <c r="E1333" s="22" t="s">
        <v>61</v>
      </c>
      <c r="F1333" s="22" t="s">
        <v>43</v>
      </c>
      <c r="G1333" s="22" t="s">
        <v>63</v>
      </c>
      <c r="H1333" s="22" t="s">
        <v>59</v>
      </c>
      <c r="I1333" s="22" t="s">
        <v>114</v>
      </c>
      <c r="J1333" s="23">
        <v>12</v>
      </c>
      <c r="K1333" s="37">
        <v>0</v>
      </c>
      <c r="M1333" s="22">
        <f>IF(OR(ISBLANK(C1333),C1333=""),"",ROUND((C1333-B1333)*24,2))</f>
        <v>10.23</v>
      </c>
      <c r="N1333" s="40" t="str">
        <f>IF(OR(ISBLANK(C1333),C1333="",M1333=""),"In Progress",IF(M1333&lt;=J1333,"Met","Breached"))</f>
        <v>Met</v>
      </c>
    </row>
    <row r="1334" ht="19" customHeight="1" spans="1:14" x14ac:dyDescent="0.25">
      <c r="A1334" s="19" t="s">
        <v>1448</v>
      </c>
      <c r="B1334" s="33">
        <v>45803.80902777778</v>
      </c>
      <c r="C1334" s="33">
        <v>45804.19236111111</v>
      </c>
      <c r="D1334" s="19" t="s">
        <v>33</v>
      </c>
      <c r="E1334" s="19" t="s">
        <v>61</v>
      </c>
      <c r="F1334" s="19" t="s">
        <v>40</v>
      </c>
      <c r="G1334" s="19" t="s">
        <v>63</v>
      </c>
      <c r="H1334" s="19" t="s">
        <v>59</v>
      </c>
      <c r="I1334" s="19" t="s">
        <v>114</v>
      </c>
      <c r="J1334" s="20">
        <v>12</v>
      </c>
      <c r="K1334" s="34">
        <v>0</v>
      </c>
      <c r="L1334" s="34">
        <v>2</v>
      </c>
      <c r="M1334" s="19">
        <f>IF(OR(ISBLANK(C1334),C1334=""),"",ROUND((C1334-B1334)*24,2))</f>
        <v>9.2</v>
      </c>
      <c r="N1334" s="35" t="str">
        <f>IF(OR(ISBLANK(C1334),C1334="",M1334=""),"In Progress",IF(M1334&lt;=J1334,"Met","Breached"))</f>
        <v>Met</v>
      </c>
    </row>
    <row r="1335" ht="19" customHeight="1" spans="1:14" x14ac:dyDescent="0.25">
      <c r="A1335" s="22" t="s">
        <v>1449</v>
      </c>
      <c r="B1335" s="36">
        <v>46100.302777777775</v>
      </c>
      <c r="C1335" s="36">
        <v>46101.57152777778</v>
      </c>
      <c r="D1335" s="22" t="s">
        <v>33</v>
      </c>
      <c r="E1335" s="22" t="s">
        <v>65</v>
      </c>
      <c r="F1335" s="22" t="s">
        <v>40</v>
      </c>
      <c r="G1335" s="22" t="s">
        <v>121</v>
      </c>
      <c r="H1335" s="22" t="s">
        <v>59</v>
      </c>
      <c r="I1335" s="22" t="s">
        <v>111</v>
      </c>
      <c r="J1335" s="23">
        <v>48</v>
      </c>
      <c r="K1335" s="37">
        <v>0</v>
      </c>
      <c r="L1335" s="37">
        <v>2</v>
      </c>
      <c r="M1335" s="22">
        <f>IF(OR(ISBLANK(C1335),C1335=""),"",ROUND((C1335-B1335)*24,2))</f>
        <v>30.45</v>
      </c>
      <c r="N1335" s="40" t="str">
        <f>IF(OR(ISBLANK(C1335),C1335="",M1335=""),"In Progress",IF(M1335&lt;=J1335,"Met","Breached"))</f>
        <v>Met</v>
      </c>
    </row>
    <row r="1336" ht="19" customHeight="1" spans="1:14" x14ac:dyDescent="0.25">
      <c r="A1336" s="19" t="s">
        <v>1450</v>
      </c>
      <c r="B1336" s="33">
        <v>46280.37708333333</v>
      </c>
      <c r="D1336" s="19" t="s">
        <v>39</v>
      </c>
      <c r="E1336" s="19" t="s">
        <v>69</v>
      </c>
      <c r="F1336" s="19" t="s">
        <v>43</v>
      </c>
      <c r="G1336" s="19" t="s">
        <v>63</v>
      </c>
      <c r="H1336" s="19" t="s">
        <v>59</v>
      </c>
      <c r="I1336" s="19" t="s">
        <v>147</v>
      </c>
      <c r="J1336" s="20">
        <v>120</v>
      </c>
      <c r="K1336" s="34">
        <v>0</v>
      </c>
      <c r="M1336" s="19" t="str">
        <f>IF(OR(ISBLANK(C1336),C1336=""),"",ROUND((C1336-B1336)*24,2))</f>
        <v/>
      </c>
      <c r="N1336" s="19" t="str">
        <f>IF(OR(ISBLANK(C1336),C1336="",M1336=""),"In Progress",IF(M1336&lt;=J1336,"Met","Breached"))</f>
        <v>In Progress</v>
      </c>
    </row>
    <row r="1337" ht="19" customHeight="1" spans="1:14" x14ac:dyDescent="0.25">
      <c r="A1337" s="22" t="s">
        <v>1451</v>
      </c>
      <c r="B1337" s="36">
        <v>45733.92708333333</v>
      </c>
      <c r="C1337" s="36">
        <v>45734.225</v>
      </c>
      <c r="D1337" s="22" t="s">
        <v>33</v>
      </c>
      <c r="E1337" s="22" t="s">
        <v>57</v>
      </c>
      <c r="F1337" s="22" t="s">
        <v>45</v>
      </c>
      <c r="G1337" s="22" t="s">
        <v>63</v>
      </c>
      <c r="H1337" s="22" t="s">
        <v>67</v>
      </c>
      <c r="I1337" s="22" t="s">
        <v>147</v>
      </c>
      <c r="J1337" s="23">
        <v>4</v>
      </c>
      <c r="K1337" s="37">
        <v>0</v>
      </c>
      <c r="L1337" s="37">
        <v>1</v>
      </c>
      <c r="M1337" s="22">
        <f>IF(OR(ISBLANK(C1337),C1337=""),"",ROUND((C1337-B1337)*24,2))</f>
        <v>7.15</v>
      </c>
      <c r="N1337" s="38" t="str">
        <f>IF(OR(ISBLANK(C1337),C1337="",M1337=""),"In Progress",IF(M1337&lt;=J1337,"Met","Breached"))</f>
        <v>Breached</v>
      </c>
    </row>
    <row r="1338" ht="19" customHeight="1" spans="1:14" x14ac:dyDescent="0.25">
      <c r="A1338" s="19" t="s">
        <v>1452</v>
      </c>
      <c r="B1338" s="33">
        <v>45718.71041666667</v>
      </c>
      <c r="C1338" s="33">
        <v>45719.48958333333</v>
      </c>
      <c r="D1338" s="19" t="s">
        <v>36</v>
      </c>
      <c r="E1338" s="19" t="s">
        <v>61</v>
      </c>
      <c r="F1338" s="19" t="s">
        <v>40</v>
      </c>
      <c r="G1338" s="19" t="s">
        <v>63</v>
      </c>
      <c r="H1338" s="19" t="s">
        <v>59</v>
      </c>
      <c r="I1338" s="19" t="s">
        <v>111</v>
      </c>
      <c r="J1338" s="20">
        <v>12</v>
      </c>
      <c r="K1338" s="34">
        <v>0</v>
      </c>
      <c r="L1338" s="34">
        <v>5</v>
      </c>
      <c r="M1338" s="19">
        <f>IF(OR(ISBLANK(C1338),C1338=""),"",ROUND((C1338-B1338)*24,2))</f>
        <v>18.7</v>
      </c>
      <c r="N1338" s="39" t="str">
        <f>IF(OR(ISBLANK(C1338),C1338="",M1338=""),"In Progress",IF(M1338&lt;=J1338,"Met","Breached"))</f>
        <v>Breached</v>
      </c>
    </row>
    <row r="1339" ht="19" customHeight="1" spans="1:14" x14ac:dyDescent="0.25">
      <c r="A1339" s="22" t="s">
        <v>1453</v>
      </c>
      <c r="B1339" s="36">
        <v>46256.19097222222</v>
      </c>
      <c r="C1339" s="36">
        <v>46258.15625</v>
      </c>
      <c r="D1339" s="22" t="s">
        <v>33</v>
      </c>
      <c r="E1339" s="22" t="s">
        <v>65</v>
      </c>
      <c r="F1339" s="22" t="s">
        <v>34</v>
      </c>
      <c r="G1339" s="22" t="s">
        <v>113</v>
      </c>
      <c r="H1339" s="22" t="s">
        <v>71</v>
      </c>
      <c r="I1339" s="22" t="s">
        <v>111</v>
      </c>
      <c r="J1339" s="23">
        <v>48</v>
      </c>
      <c r="K1339" s="37">
        <v>0</v>
      </c>
      <c r="L1339" s="37">
        <v>3</v>
      </c>
      <c r="M1339" s="22">
        <f>IF(OR(ISBLANK(C1339),C1339=""),"",ROUND((C1339-B1339)*24,2))</f>
        <v>47.17</v>
      </c>
      <c r="N1339" s="40" t="str">
        <f>IF(OR(ISBLANK(C1339),C1339="",M1339=""),"In Progress",IF(M1339&lt;=J1339,"Met","Breached"))</f>
        <v>Met</v>
      </c>
    </row>
    <row r="1340" ht="19" customHeight="1" spans="1:14" x14ac:dyDescent="0.25">
      <c r="A1340" s="19" t="s">
        <v>1454</v>
      </c>
      <c r="B1340" s="33">
        <v>45744.02916666667</v>
      </c>
      <c r="C1340" s="33">
        <v>45750.29166666667</v>
      </c>
      <c r="D1340" s="19" t="s">
        <v>33</v>
      </c>
      <c r="E1340" s="19" t="s">
        <v>69</v>
      </c>
      <c r="F1340" s="19" t="s">
        <v>40</v>
      </c>
      <c r="G1340" s="19" t="s">
        <v>116</v>
      </c>
      <c r="H1340" s="19" t="s">
        <v>63</v>
      </c>
      <c r="I1340" s="19" t="s">
        <v>114</v>
      </c>
      <c r="J1340" s="20">
        <v>120</v>
      </c>
      <c r="K1340" s="34">
        <v>0</v>
      </c>
      <c r="M1340" s="19">
        <f>IF(OR(ISBLANK(C1340),C1340=""),"",ROUND((C1340-B1340)*24,2))</f>
        <v>150.3</v>
      </c>
      <c r="N1340" s="39" t="str">
        <f>IF(OR(ISBLANK(C1340),C1340="",M1340=""),"In Progress",IF(M1340&lt;=J1340,"Met","Breached"))</f>
        <v>Breached</v>
      </c>
    </row>
    <row r="1341" ht="19" customHeight="1" spans="1:14" x14ac:dyDescent="0.25">
      <c r="A1341" s="22" t="s">
        <v>1455</v>
      </c>
      <c r="B1341" s="36">
        <v>45965.86944444444</v>
      </c>
      <c r="C1341" s="36">
        <v>45973.367361111115</v>
      </c>
      <c r="D1341" s="22" t="s">
        <v>36</v>
      </c>
      <c r="E1341" s="22" t="s">
        <v>69</v>
      </c>
      <c r="F1341" s="22" t="s">
        <v>40</v>
      </c>
      <c r="G1341" s="22" t="s">
        <v>113</v>
      </c>
      <c r="H1341" s="22" t="s">
        <v>71</v>
      </c>
      <c r="I1341" s="22" t="s">
        <v>117</v>
      </c>
      <c r="J1341" s="23">
        <v>120</v>
      </c>
      <c r="K1341" s="37">
        <v>0</v>
      </c>
      <c r="M1341" s="22">
        <f>IF(OR(ISBLANK(C1341),C1341=""),"",ROUND((C1341-B1341)*24,2))</f>
        <v>179.95</v>
      </c>
      <c r="N1341" s="38" t="str">
        <f>IF(OR(ISBLANK(C1341),C1341="",M1341=""),"In Progress",IF(M1341&lt;=J1341,"Met","Breached"))</f>
        <v>Breached</v>
      </c>
    </row>
    <row r="1342" ht="19" customHeight="1" spans="1:14" x14ac:dyDescent="0.25">
      <c r="A1342" s="19" t="s">
        <v>1456</v>
      </c>
      <c r="B1342" s="33">
        <v>46030.353472222225</v>
      </c>
      <c r="C1342" s="33">
        <v>46033.79166666667</v>
      </c>
      <c r="D1342" s="19" t="s">
        <v>36</v>
      </c>
      <c r="E1342" s="19" t="s">
        <v>65</v>
      </c>
      <c r="F1342" s="19" t="s">
        <v>43</v>
      </c>
      <c r="G1342" s="19" t="s">
        <v>126</v>
      </c>
      <c r="H1342" s="19" t="s">
        <v>63</v>
      </c>
      <c r="I1342" s="19" t="s">
        <v>108</v>
      </c>
      <c r="J1342" s="20">
        <v>48</v>
      </c>
      <c r="K1342" s="34">
        <v>0</v>
      </c>
      <c r="L1342" s="34">
        <v>2</v>
      </c>
      <c r="M1342" s="19">
        <f>IF(OR(ISBLANK(C1342),C1342=""),"",ROUND((C1342-B1342)*24,2))</f>
        <v>82.52</v>
      </c>
      <c r="N1342" s="39" t="str">
        <f>IF(OR(ISBLANK(C1342),C1342="",M1342=""),"In Progress",IF(M1342&lt;=J1342,"Met","Breached"))</f>
        <v>Breached</v>
      </c>
    </row>
    <row r="1343" ht="19" customHeight="1" spans="1:14" x14ac:dyDescent="0.25">
      <c r="A1343" s="22" t="s">
        <v>1457</v>
      </c>
      <c r="B1343" s="36">
        <v>45735.722916666666</v>
      </c>
      <c r="D1343" s="22" t="s">
        <v>42</v>
      </c>
      <c r="E1343" s="22" t="s">
        <v>65</v>
      </c>
      <c r="F1343" s="22" t="s">
        <v>45</v>
      </c>
      <c r="G1343" s="22" t="s">
        <v>63</v>
      </c>
      <c r="H1343" s="22" t="s">
        <v>59</v>
      </c>
      <c r="I1343" s="22" t="s">
        <v>117</v>
      </c>
      <c r="J1343" s="23">
        <v>48</v>
      </c>
      <c r="K1343" s="37">
        <v>0</v>
      </c>
      <c r="M1343" s="22" t="str">
        <f>IF(OR(ISBLANK(C1343),C1343=""),"",ROUND((C1343-B1343)*24,2))</f>
        <v/>
      </c>
      <c r="N1343" s="22" t="str">
        <f>IF(OR(ISBLANK(C1343),C1343="",M1343=""),"In Progress",IF(M1343&lt;=J1343,"Met","Breached"))</f>
        <v>In Progress</v>
      </c>
    </row>
    <row r="1344" ht="19" customHeight="1" spans="1:14" x14ac:dyDescent="0.25">
      <c r="A1344" s="19" t="s">
        <v>1458</v>
      </c>
      <c r="B1344" s="33">
        <v>46255.71736111111</v>
      </c>
      <c r="D1344" s="19" t="s">
        <v>39</v>
      </c>
      <c r="E1344" s="19" t="s">
        <v>65</v>
      </c>
      <c r="F1344" s="19" t="s">
        <v>43</v>
      </c>
      <c r="G1344" s="19" t="s">
        <v>126</v>
      </c>
      <c r="H1344" s="19" t="s">
        <v>59</v>
      </c>
      <c r="I1344" s="19" t="s">
        <v>123</v>
      </c>
      <c r="J1344" s="20">
        <v>48</v>
      </c>
      <c r="K1344" s="34">
        <v>0</v>
      </c>
      <c r="M1344" s="19" t="str">
        <f>IF(OR(ISBLANK(C1344),C1344=""),"",ROUND((C1344-B1344)*24,2))</f>
        <v/>
      </c>
      <c r="N1344" s="19" t="str">
        <f>IF(OR(ISBLANK(C1344),C1344="",M1344=""),"In Progress",IF(M1344&lt;=J1344,"Met","Breached"))</f>
        <v>In Progress</v>
      </c>
    </row>
    <row r="1345" ht="19" customHeight="1" spans="1:14" x14ac:dyDescent="0.25">
      <c r="A1345" s="22" t="s">
        <v>1459</v>
      </c>
      <c r="B1345" s="36">
        <v>46151.15763888889</v>
      </c>
      <c r="C1345" s="36">
        <v>46151.25555555556</v>
      </c>
      <c r="D1345" s="22" t="s">
        <v>33</v>
      </c>
      <c r="E1345" s="22" t="s">
        <v>57</v>
      </c>
      <c r="F1345" s="22" t="s">
        <v>40</v>
      </c>
      <c r="G1345" s="22" t="s">
        <v>116</v>
      </c>
      <c r="H1345" s="22" t="s">
        <v>63</v>
      </c>
      <c r="I1345" s="22" t="s">
        <v>108</v>
      </c>
      <c r="J1345" s="23">
        <v>4</v>
      </c>
      <c r="K1345" s="37">
        <v>0</v>
      </c>
      <c r="L1345" s="37">
        <v>5</v>
      </c>
      <c r="M1345" s="22">
        <f>IF(OR(ISBLANK(C1345),C1345=""),"",ROUND((C1345-B1345)*24,2))</f>
        <v>2.35</v>
      </c>
      <c r="N1345" s="40" t="str">
        <f>IF(OR(ISBLANK(C1345),C1345="",M1345=""),"In Progress",IF(M1345&lt;=J1345,"Met","Breached"))</f>
        <v>Met</v>
      </c>
    </row>
    <row r="1346" ht="19" customHeight="1" spans="1:14" x14ac:dyDescent="0.25">
      <c r="A1346" s="19" t="s">
        <v>1460</v>
      </c>
      <c r="B1346" s="33">
        <v>45827.48611111111</v>
      </c>
      <c r="C1346" s="33">
        <v>45832.04513888889</v>
      </c>
      <c r="D1346" s="19" t="s">
        <v>33</v>
      </c>
      <c r="E1346" s="19" t="s">
        <v>69</v>
      </c>
      <c r="F1346" s="19" t="s">
        <v>45</v>
      </c>
      <c r="G1346" s="19" t="s">
        <v>126</v>
      </c>
      <c r="H1346" s="19" t="s">
        <v>59</v>
      </c>
      <c r="I1346" s="19" t="s">
        <v>111</v>
      </c>
      <c r="J1346" s="20">
        <v>120</v>
      </c>
      <c r="K1346" s="34">
        <v>0</v>
      </c>
      <c r="L1346" s="34">
        <v>3</v>
      </c>
      <c r="M1346" s="19">
        <f>IF(OR(ISBLANK(C1346),C1346=""),"",ROUND((C1346-B1346)*24,2))</f>
        <v>109.42</v>
      </c>
      <c r="N1346" s="35" t="str">
        <f>IF(OR(ISBLANK(C1346),C1346="",M1346=""),"In Progress",IF(M1346&lt;=J1346,"Met","Breached"))</f>
        <v>Met</v>
      </c>
    </row>
    <row r="1347" ht="19" customHeight="1" spans="1:14" x14ac:dyDescent="0.25">
      <c r="A1347" s="22" t="s">
        <v>1461</v>
      </c>
      <c r="B1347" s="36">
        <v>45714.089583333334</v>
      </c>
      <c r="C1347" s="36">
        <v>45717.06527777778</v>
      </c>
      <c r="D1347" s="22" t="s">
        <v>33</v>
      </c>
      <c r="E1347" s="22" t="s">
        <v>65</v>
      </c>
      <c r="F1347" s="22" t="s">
        <v>43</v>
      </c>
      <c r="G1347" s="22" t="s">
        <v>116</v>
      </c>
      <c r="H1347" s="22" t="s">
        <v>63</v>
      </c>
      <c r="I1347" s="22" t="s">
        <v>114</v>
      </c>
      <c r="J1347" s="23">
        <v>48</v>
      </c>
      <c r="K1347" s="37">
        <v>0</v>
      </c>
      <c r="L1347" s="37">
        <v>1</v>
      </c>
      <c r="M1347" s="22">
        <f>IF(OR(ISBLANK(C1347),C1347=""),"",ROUND((C1347-B1347)*24,2))</f>
        <v>71.42</v>
      </c>
      <c r="N1347" s="38" t="str">
        <f>IF(OR(ISBLANK(C1347),C1347="",M1347=""),"In Progress",IF(M1347&lt;=J1347,"Met","Breached"))</f>
        <v>Breached</v>
      </c>
    </row>
    <row r="1348" ht="19" customHeight="1" spans="1:14" x14ac:dyDescent="0.25">
      <c r="A1348" s="19" t="s">
        <v>1462</v>
      </c>
      <c r="B1348" s="33">
        <v>46272.56041666667</v>
      </c>
      <c r="D1348" s="19" t="s">
        <v>42</v>
      </c>
      <c r="E1348" s="19" t="s">
        <v>61</v>
      </c>
      <c r="F1348" s="19" t="s">
        <v>34</v>
      </c>
      <c r="G1348" s="19" t="s">
        <v>126</v>
      </c>
      <c r="H1348" s="19" t="s">
        <v>59</v>
      </c>
      <c r="I1348" s="19" t="s">
        <v>111</v>
      </c>
      <c r="J1348" s="20">
        <v>12</v>
      </c>
      <c r="K1348" s="34">
        <v>0</v>
      </c>
      <c r="M1348" s="19" t="str">
        <f>IF(OR(ISBLANK(C1348),C1348=""),"",ROUND((C1348-B1348)*24,2))</f>
        <v/>
      </c>
      <c r="N1348" s="19" t="str">
        <f>IF(OR(ISBLANK(C1348),C1348="",M1348=""),"In Progress",IF(M1348&lt;=J1348,"Met","Breached"))</f>
        <v>In Progress</v>
      </c>
    </row>
    <row r="1349" ht="19" customHeight="1" spans="1:14" x14ac:dyDescent="0.25">
      <c r="A1349" s="22" t="s">
        <v>1463</v>
      </c>
      <c r="B1349" s="36">
        <v>46105.05902777778</v>
      </c>
      <c r="C1349" s="36">
        <v>46105.259722222225</v>
      </c>
      <c r="D1349" s="22" t="s">
        <v>36</v>
      </c>
      <c r="E1349" s="22" t="s">
        <v>61</v>
      </c>
      <c r="F1349" s="22" t="s">
        <v>34</v>
      </c>
      <c r="G1349" s="22" t="s">
        <v>126</v>
      </c>
      <c r="H1349" s="22" t="s">
        <v>59</v>
      </c>
      <c r="I1349" s="22" t="s">
        <v>108</v>
      </c>
      <c r="J1349" s="23">
        <v>12</v>
      </c>
      <c r="K1349" s="37">
        <v>0</v>
      </c>
      <c r="L1349" s="37">
        <v>1</v>
      </c>
      <c r="M1349" s="22">
        <f>IF(OR(ISBLANK(C1349),C1349=""),"",ROUND((C1349-B1349)*24,2))</f>
        <v>4.82</v>
      </c>
      <c r="N1349" s="40" t="str">
        <f>IF(OR(ISBLANK(C1349),C1349="",M1349=""),"In Progress",IF(M1349&lt;=J1349,"Met","Breached"))</f>
        <v>Met</v>
      </c>
    </row>
    <row r="1350" ht="19" customHeight="1" spans="1:14" x14ac:dyDescent="0.25">
      <c r="A1350" s="19" t="s">
        <v>1464</v>
      </c>
      <c r="B1350" s="33">
        <v>45673.52777777778</v>
      </c>
      <c r="C1350" s="33">
        <v>45674.98611111111</v>
      </c>
      <c r="D1350" s="19" t="s">
        <v>33</v>
      </c>
      <c r="E1350" s="19" t="s">
        <v>65</v>
      </c>
      <c r="F1350" s="19" t="s">
        <v>45</v>
      </c>
      <c r="G1350" s="19" t="s">
        <v>126</v>
      </c>
      <c r="H1350" s="19" t="s">
        <v>59</v>
      </c>
      <c r="I1350" s="19" t="s">
        <v>114</v>
      </c>
      <c r="J1350" s="20">
        <v>48</v>
      </c>
      <c r="K1350" s="34">
        <v>0</v>
      </c>
      <c r="M1350" s="19">
        <f>IF(OR(ISBLANK(C1350),C1350=""),"",ROUND((C1350-B1350)*24,2))</f>
        <v>35</v>
      </c>
      <c r="N1350" s="35" t="str">
        <f>IF(OR(ISBLANK(C1350),C1350="",M1350=""),"In Progress",IF(M1350&lt;=J1350,"Met","Breached"))</f>
        <v>Met</v>
      </c>
    </row>
    <row r="1351" ht="19" customHeight="1" spans="1:14" x14ac:dyDescent="0.25">
      <c r="A1351" s="22" t="s">
        <v>1465</v>
      </c>
      <c r="B1351" s="36">
        <v>46010.76458333334</v>
      </c>
      <c r="C1351" s="36">
        <v>46015.68472222222</v>
      </c>
      <c r="D1351" s="22" t="s">
        <v>33</v>
      </c>
      <c r="E1351" s="22" t="s">
        <v>69</v>
      </c>
      <c r="F1351" s="22" t="s">
        <v>45</v>
      </c>
      <c r="G1351" s="22" t="s">
        <v>121</v>
      </c>
      <c r="H1351" s="22" t="s">
        <v>71</v>
      </c>
      <c r="I1351" s="22" t="s">
        <v>147</v>
      </c>
      <c r="J1351" s="23">
        <v>120</v>
      </c>
      <c r="K1351" s="37">
        <v>1</v>
      </c>
      <c r="L1351" s="37">
        <v>3</v>
      </c>
      <c r="M1351" s="22">
        <f>IF(OR(ISBLANK(C1351),C1351=""),"",ROUND((C1351-B1351)*24,2))</f>
        <v>118.08</v>
      </c>
      <c r="N1351" s="40" t="str">
        <f>IF(OR(ISBLANK(C1351),C1351="",M1351=""),"In Progress",IF(M1351&lt;=J1351,"Met","Breached"))</f>
        <v>Met</v>
      </c>
    </row>
    <row r="1352" ht="19" customHeight="1" spans="1:14" x14ac:dyDescent="0.25">
      <c r="A1352" s="19" t="s">
        <v>1466</v>
      </c>
      <c r="B1352" s="33">
        <v>46033.46666666667</v>
      </c>
      <c r="D1352" s="19" t="s">
        <v>42</v>
      </c>
      <c r="E1352" s="19" t="s">
        <v>61</v>
      </c>
      <c r="F1352" s="19" t="s">
        <v>43</v>
      </c>
      <c r="G1352" s="19" t="s">
        <v>63</v>
      </c>
      <c r="H1352" s="19" t="s">
        <v>63</v>
      </c>
      <c r="I1352" s="19" t="s">
        <v>123</v>
      </c>
      <c r="J1352" s="20">
        <v>12</v>
      </c>
      <c r="K1352" s="34">
        <v>0</v>
      </c>
      <c r="M1352" s="19" t="str">
        <f>IF(OR(ISBLANK(C1352),C1352=""),"",ROUND((C1352-B1352)*24,2))</f>
        <v/>
      </c>
      <c r="N1352" s="19" t="str">
        <f>IF(OR(ISBLANK(C1352),C1352="",M1352=""),"In Progress",IF(M1352&lt;=J1352,"Met","Breached"))</f>
        <v>In Progress</v>
      </c>
    </row>
    <row r="1353" ht="19" customHeight="1" spans="1:14" x14ac:dyDescent="0.25">
      <c r="A1353" s="22" t="s">
        <v>1467</v>
      </c>
      <c r="B1353" s="36">
        <v>45769.36041666666</v>
      </c>
      <c r="C1353" s="36">
        <v>45771.52777777778</v>
      </c>
      <c r="D1353" s="22" t="s">
        <v>33</v>
      </c>
      <c r="E1353" s="22" t="s">
        <v>65</v>
      </c>
      <c r="F1353" s="22" t="s">
        <v>37</v>
      </c>
      <c r="G1353" s="22" t="s">
        <v>63</v>
      </c>
      <c r="H1353" s="22" t="s">
        <v>67</v>
      </c>
      <c r="I1353" s="22" t="s">
        <v>117</v>
      </c>
      <c r="J1353" s="23">
        <v>48</v>
      </c>
      <c r="K1353" s="37">
        <v>0</v>
      </c>
      <c r="M1353" s="22">
        <f>IF(OR(ISBLANK(C1353),C1353=""),"",ROUND((C1353-B1353)*24,2))</f>
        <v>52.02</v>
      </c>
      <c r="N1353" s="38" t="str">
        <f>IF(OR(ISBLANK(C1353),C1353="",M1353=""),"In Progress",IF(M1353&lt;=J1353,"Met","Breached"))</f>
        <v>Breached</v>
      </c>
    </row>
    <row r="1354" ht="19" customHeight="1" spans="1:14" x14ac:dyDescent="0.25">
      <c r="A1354" s="19" t="s">
        <v>1468</v>
      </c>
      <c r="B1354" s="33">
        <v>45917.40416666667</v>
      </c>
      <c r="C1354" s="33">
        <v>45918.08541666667</v>
      </c>
      <c r="D1354" s="19" t="s">
        <v>33</v>
      </c>
      <c r="E1354" s="19" t="s">
        <v>61</v>
      </c>
      <c r="F1354" s="19" t="s">
        <v>40</v>
      </c>
      <c r="G1354" s="19" t="s">
        <v>116</v>
      </c>
      <c r="H1354" s="19" t="s">
        <v>71</v>
      </c>
      <c r="I1354" s="19" t="s">
        <v>123</v>
      </c>
      <c r="J1354" s="20">
        <v>12</v>
      </c>
      <c r="K1354" s="34">
        <v>0</v>
      </c>
      <c r="M1354" s="19">
        <f>IF(OR(ISBLANK(C1354),C1354=""),"",ROUND((C1354-B1354)*24,2))</f>
        <v>16.35</v>
      </c>
      <c r="N1354" s="39" t="str">
        <f>IF(OR(ISBLANK(C1354),C1354="",M1354=""),"In Progress",IF(M1354&lt;=J1354,"Met","Breached"))</f>
        <v>Breached</v>
      </c>
    </row>
    <row r="1355" ht="19" customHeight="1" spans="1:14" x14ac:dyDescent="0.25">
      <c r="A1355" s="22" t="s">
        <v>1469</v>
      </c>
      <c r="B1355" s="36">
        <v>45894.04375</v>
      </c>
      <c r="C1355" s="36">
        <v>45894.22986111111</v>
      </c>
      <c r="D1355" s="22" t="s">
        <v>33</v>
      </c>
      <c r="E1355" s="22" t="s">
        <v>61</v>
      </c>
      <c r="F1355" s="22" t="s">
        <v>34</v>
      </c>
      <c r="G1355" s="22" t="s">
        <v>113</v>
      </c>
      <c r="H1355" s="22" t="s">
        <v>63</v>
      </c>
      <c r="I1355" s="22" t="s">
        <v>117</v>
      </c>
      <c r="J1355" s="23">
        <v>12</v>
      </c>
      <c r="K1355" s="37">
        <v>0</v>
      </c>
      <c r="L1355" s="37">
        <v>5</v>
      </c>
      <c r="M1355" s="22">
        <f>IF(OR(ISBLANK(C1355),C1355=""),"",ROUND((C1355-B1355)*24,2))</f>
        <v>4.47</v>
      </c>
      <c r="N1355" s="40" t="str">
        <f>IF(OR(ISBLANK(C1355),C1355="",M1355=""),"In Progress",IF(M1355&lt;=J1355,"Met","Breached"))</f>
        <v>Met</v>
      </c>
    </row>
    <row r="1356" ht="19" customHeight="1" spans="1:14" x14ac:dyDescent="0.25">
      <c r="A1356" s="19" t="s">
        <v>1470</v>
      </c>
      <c r="B1356" s="33">
        <v>45688.28958333333</v>
      </c>
      <c r="D1356" s="19" t="s">
        <v>39</v>
      </c>
      <c r="E1356" s="19" t="s">
        <v>65</v>
      </c>
      <c r="F1356" s="19" t="s">
        <v>43</v>
      </c>
      <c r="G1356" s="19" t="s">
        <v>116</v>
      </c>
      <c r="H1356" s="19" t="s">
        <v>67</v>
      </c>
      <c r="I1356" s="19" t="s">
        <v>123</v>
      </c>
      <c r="J1356" s="20">
        <v>48</v>
      </c>
      <c r="K1356" s="34">
        <v>0</v>
      </c>
      <c r="M1356" s="19" t="str">
        <f>IF(OR(ISBLANK(C1356),C1356=""),"",ROUND((C1356-B1356)*24,2))</f>
        <v/>
      </c>
      <c r="N1356" s="19" t="str">
        <f>IF(OR(ISBLANK(C1356),C1356="",M1356=""),"In Progress",IF(M1356&lt;=J1356,"Met","Breached"))</f>
        <v>In Progress</v>
      </c>
    </row>
    <row r="1357" ht="19" customHeight="1" spans="1:14" x14ac:dyDescent="0.25">
      <c r="A1357" s="22" t="s">
        <v>1471</v>
      </c>
      <c r="B1357" s="36">
        <v>45944.46736111111</v>
      </c>
      <c r="C1357" s="36">
        <v>45944.64444444445</v>
      </c>
      <c r="D1357" s="22" t="s">
        <v>33</v>
      </c>
      <c r="E1357" s="22" t="s">
        <v>57</v>
      </c>
      <c r="F1357" s="22" t="s">
        <v>43</v>
      </c>
      <c r="G1357" s="22" t="s">
        <v>126</v>
      </c>
      <c r="H1357" s="22" t="s">
        <v>63</v>
      </c>
      <c r="I1357" s="22" t="s">
        <v>117</v>
      </c>
      <c r="J1357" s="23">
        <v>4</v>
      </c>
      <c r="K1357" s="37">
        <v>0</v>
      </c>
      <c r="M1357" s="22">
        <f>IF(OR(ISBLANK(C1357),C1357=""),"",ROUND((C1357-B1357)*24,2))</f>
        <v>4.25</v>
      </c>
      <c r="N1357" s="38" t="str">
        <f>IF(OR(ISBLANK(C1357),C1357="",M1357=""),"In Progress",IF(M1357&lt;=J1357,"Met","Breached"))</f>
        <v>Breached</v>
      </c>
    </row>
    <row r="1358" ht="19" customHeight="1" spans="1:14" x14ac:dyDescent="0.25">
      <c r="A1358" s="19" t="s">
        <v>1472</v>
      </c>
      <c r="B1358" s="33">
        <v>45772.589583333334</v>
      </c>
      <c r="C1358" s="33">
        <v>45776.05138888889</v>
      </c>
      <c r="D1358" s="19" t="s">
        <v>33</v>
      </c>
      <c r="E1358" s="19" t="s">
        <v>65</v>
      </c>
      <c r="F1358" s="19" t="s">
        <v>40</v>
      </c>
      <c r="G1358" s="19" t="s">
        <v>63</v>
      </c>
      <c r="H1358" s="19" t="s">
        <v>71</v>
      </c>
      <c r="I1358" s="19" t="s">
        <v>111</v>
      </c>
      <c r="J1358" s="20">
        <v>48</v>
      </c>
      <c r="K1358" s="34">
        <v>0</v>
      </c>
      <c r="M1358" s="19">
        <f>IF(OR(ISBLANK(C1358),C1358=""),"",ROUND((C1358-B1358)*24,2))</f>
        <v>83.08</v>
      </c>
      <c r="N1358" s="39" t="str">
        <f>IF(OR(ISBLANK(C1358),C1358="",M1358=""),"In Progress",IF(M1358&lt;=J1358,"Met","Breached"))</f>
        <v>Breached</v>
      </c>
    </row>
    <row r="1359" ht="19" customHeight="1" spans="1:14" x14ac:dyDescent="0.25">
      <c r="A1359" s="22" t="s">
        <v>1473</v>
      </c>
      <c r="B1359" s="36">
        <v>46006.54305555555</v>
      </c>
      <c r="D1359" s="22" t="s">
        <v>39</v>
      </c>
      <c r="E1359" s="22" t="s">
        <v>65</v>
      </c>
      <c r="F1359" s="22" t="s">
        <v>37</v>
      </c>
      <c r="G1359" s="22" t="s">
        <v>116</v>
      </c>
      <c r="H1359" s="22" t="s">
        <v>59</v>
      </c>
      <c r="I1359" s="22" t="s">
        <v>147</v>
      </c>
      <c r="J1359" s="23">
        <v>48</v>
      </c>
      <c r="K1359" s="37">
        <v>0</v>
      </c>
      <c r="M1359" s="22" t="str">
        <f>IF(OR(ISBLANK(C1359),C1359=""),"",ROUND((C1359-B1359)*24,2))</f>
        <v/>
      </c>
      <c r="N1359" s="22" t="str">
        <f>IF(OR(ISBLANK(C1359),C1359="",M1359=""),"In Progress",IF(M1359&lt;=J1359,"Met","Breached"))</f>
        <v>In Progress</v>
      </c>
    </row>
    <row r="1360" ht="19" customHeight="1" spans="1:14" x14ac:dyDescent="0.25">
      <c r="A1360" s="19" t="s">
        <v>1474</v>
      </c>
      <c r="B1360" s="33">
        <v>45789.01875</v>
      </c>
      <c r="C1360" s="33">
        <v>45792.027083333334</v>
      </c>
      <c r="D1360" s="19" t="s">
        <v>33</v>
      </c>
      <c r="E1360" s="19" t="s">
        <v>65</v>
      </c>
      <c r="F1360" s="19" t="s">
        <v>40</v>
      </c>
      <c r="G1360" s="19" t="s">
        <v>126</v>
      </c>
      <c r="H1360" s="19" t="s">
        <v>59</v>
      </c>
      <c r="I1360" s="19" t="s">
        <v>117</v>
      </c>
      <c r="J1360" s="20">
        <v>48</v>
      </c>
      <c r="K1360" s="34">
        <v>0</v>
      </c>
      <c r="L1360" s="34">
        <v>5</v>
      </c>
      <c r="M1360" s="19">
        <f>IF(OR(ISBLANK(C1360),C1360=""),"",ROUND((C1360-B1360)*24,2))</f>
        <v>72.2</v>
      </c>
      <c r="N1360" s="39" t="str">
        <f>IF(OR(ISBLANK(C1360),C1360="",M1360=""),"In Progress",IF(M1360&lt;=J1360,"Met","Breached"))</f>
        <v>Breached</v>
      </c>
    </row>
    <row r="1361" ht="19" customHeight="1" spans="1:14" x14ac:dyDescent="0.25">
      <c r="A1361" s="22" t="s">
        <v>1475</v>
      </c>
      <c r="B1361" s="36">
        <v>45668.464583333334</v>
      </c>
      <c r="D1361" s="22" t="s">
        <v>39</v>
      </c>
      <c r="E1361" s="22" t="s">
        <v>65</v>
      </c>
      <c r="F1361" s="22" t="s">
        <v>45</v>
      </c>
      <c r="G1361" s="22" t="s">
        <v>116</v>
      </c>
      <c r="H1361" s="22" t="s">
        <v>71</v>
      </c>
      <c r="I1361" s="22" t="s">
        <v>111</v>
      </c>
      <c r="J1361" s="23">
        <v>48</v>
      </c>
      <c r="K1361" s="37">
        <v>0</v>
      </c>
      <c r="M1361" s="22" t="str">
        <f>IF(OR(ISBLANK(C1361),C1361=""),"",ROUND((C1361-B1361)*24,2))</f>
        <v/>
      </c>
      <c r="N1361" s="22" t="str">
        <f>IF(OR(ISBLANK(C1361),C1361="",M1361=""),"In Progress",IF(M1361&lt;=J1361,"Met","Breached"))</f>
        <v>In Progress</v>
      </c>
    </row>
    <row r="1362" ht="19" customHeight="1" spans="1:14" x14ac:dyDescent="0.25">
      <c r="A1362" s="19" t="s">
        <v>1476</v>
      </c>
      <c r="B1362" s="33">
        <v>45853.049305555556</v>
      </c>
      <c r="C1362" s="33">
        <v>45854.257638888885</v>
      </c>
      <c r="D1362" s="19" t="s">
        <v>33</v>
      </c>
      <c r="E1362" s="19" t="s">
        <v>65</v>
      </c>
      <c r="F1362" s="19" t="s">
        <v>34</v>
      </c>
      <c r="G1362" s="19" t="s">
        <v>126</v>
      </c>
      <c r="H1362" s="19" t="s">
        <v>59</v>
      </c>
      <c r="I1362" s="19" t="s">
        <v>117</v>
      </c>
      <c r="J1362" s="20">
        <v>48</v>
      </c>
      <c r="K1362" s="34">
        <v>0</v>
      </c>
      <c r="L1362" s="34">
        <v>3</v>
      </c>
      <c r="M1362" s="19">
        <f>IF(OR(ISBLANK(C1362),C1362=""),"",ROUND((C1362-B1362)*24,2))</f>
        <v>29</v>
      </c>
      <c r="N1362" s="35" t="str">
        <f>IF(OR(ISBLANK(C1362),C1362="",M1362=""),"In Progress",IF(M1362&lt;=J1362,"Met","Breached"))</f>
        <v>Met</v>
      </c>
    </row>
    <row r="1363" ht="19" customHeight="1" spans="1:14" x14ac:dyDescent="0.25">
      <c r="A1363" s="22" t="s">
        <v>1477</v>
      </c>
      <c r="B1363" s="36">
        <v>45677.36875</v>
      </c>
      <c r="C1363" s="36">
        <v>45677.91875</v>
      </c>
      <c r="D1363" s="22" t="s">
        <v>33</v>
      </c>
      <c r="E1363" s="22" t="s">
        <v>61</v>
      </c>
      <c r="F1363" s="22" t="s">
        <v>37</v>
      </c>
      <c r="G1363" s="22" t="s">
        <v>116</v>
      </c>
      <c r="H1363" s="22" t="s">
        <v>63</v>
      </c>
      <c r="I1363" s="22" t="s">
        <v>111</v>
      </c>
      <c r="J1363" s="23">
        <v>12</v>
      </c>
      <c r="K1363" s="37">
        <v>0</v>
      </c>
      <c r="L1363" s="37">
        <v>5</v>
      </c>
      <c r="M1363" s="22">
        <f>IF(OR(ISBLANK(C1363),C1363=""),"",ROUND((C1363-B1363)*24,2))</f>
        <v>13.2</v>
      </c>
      <c r="N1363" s="38" t="str">
        <f>IF(OR(ISBLANK(C1363),C1363="",M1363=""),"In Progress",IF(M1363&lt;=J1363,"Met","Breached"))</f>
        <v>Breached</v>
      </c>
    </row>
    <row r="1364" ht="19" customHeight="1" spans="1:14" x14ac:dyDescent="0.25">
      <c r="A1364" s="19" t="s">
        <v>1478</v>
      </c>
      <c r="B1364" s="33">
        <v>45721.93958333333</v>
      </c>
      <c r="C1364" s="33">
        <v>45722.71944444445</v>
      </c>
      <c r="D1364" s="19" t="s">
        <v>33</v>
      </c>
      <c r="E1364" s="19" t="s">
        <v>61</v>
      </c>
      <c r="F1364" s="19" t="s">
        <v>43</v>
      </c>
      <c r="G1364" s="19" t="s">
        <v>113</v>
      </c>
      <c r="H1364" s="19" t="s">
        <v>67</v>
      </c>
      <c r="I1364" s="19" t="s">
        <v>123</v>
      </c>
      <c r="J1364" s="20">
        <v>12</v>
      </c>
      <c r="K1364" s="34">
        <v>0</v>
      </c>
      <c r="L1364" s="34">
        <v>5</v>
      </c>
      <c r="M1364" s="19">
        <f>IF(OR(ISBLANK(C1364),C1364=""),"",ROUND((C1364-B1364)*24,2))</f>
        <v>18.72</v>
      </c>
      <c r="N1364" s="39" t="str">
        <f>IF(OR(ISBLANK(C1364),C1364="",M1364=""),"In Progress",IF(M1364&lt;=J1364,"Met","Breached"))</f>
        <v>Breached</v>
      </c>
    </row>
    <row r="1365" ht="19" customHeight="1" spans="1:14" x14ac:dyDescent="0.25">
      <c r="A1365" s="22" t="s">
        <v>1479</v>
      </c>
      <c r="B1365" s="36">
        <v>45688.05902777778</v>
      </c>
      <c r="C1365" s="36">
        <v>45695.62569444445</v>
      </c>
      <c r="D1365" s="22" t="s">
        <v>33</v>
      </c>
      <c r="E1365" s="22" t="s">
        <v>69</v>
      </c>
      <c r="F1365" s="22" t="s">
        <v>43</v>
      </c>
      <c r="G1365" s="22" t="s">
        <v>113</v>
      </c>
      <c r="H1365" s="22" t="s">
        <v>59</v>
      </c>
      <c r="I1365" s="22" t="s">
        <v>147</v>
      </c>
      <c r="J1365" s="23">
        <v>120</v>
      </c>
      <c r="K1365" s="37">
        <v>0</v>
      </c>
      <c r="M1365" s="22">
        <f>IF(OR(ISBLANK(C1365),C1365=""),"",ROUND((C1365-B1365)*24,2))</f>
        <v>181.6</v>
      </c>
      <c r="N1365" s="38" t="str">
        <f>IF(OR(ISBLANK(C1365),C1365="",M1365=""),"In Progress",IF(M1365&lt;=J1365,"Met","Breached"))</f>
        <v>Breached</v>
      </c>
    </row>
    <row r="1366" ht="19" customHeight="1" spans="1:14" x14ac:dyDescent="0.25">
      <c r="A1366" s="19" t="s">
        <v>1480</v>
      </c>
      <c r="B1366" s="33">
        <v>45690.83263888889</v>
      </c>
      <c r="C1366" s="33">
        <v>45694.31388888889</v>
      </c>
      <c r="D1366" s="19" t="s">
        <v>33</v>
      </c>
      <c r="E1366" s="19" t="s">
        <v>65</v>
      </c>
      <c r="F1366" s="19" t="s">
        <v>43</v>
      </c>
      <c r="G1366" s="19" t="s">
        <v>126</v>
      </c>
      <c r="H1366" s="19" t="s">
        <v>59</v>
      </c>
      <c r="I1366" s="19" t="s">
        <v>123</v>
      </c>
      <c r="J1366" s="20">
        <v>48</v>
      </c>
      <c r="K1366" s="34">
        <v>0</v>
      </c>
      <c r="M1366" s="19">
        <f>IF(OR(ISBLANK(C1366),C1366=""),"",ROUND((C1366-B1366)*24,2))</f>
        <v>83.55</v>
      </c>
      <c r="N1366" s="39" t="str">
        <f>IF(OR(ISBLANK(C1366),C1366="",M1366=""),"In Progress",IF(M1366&lt;=J1366,"Met","Breached"))</f>
        <v>Breached</v>
      </c>
    </row>
    <row r="1367" ht="19" customHeight="1" spans="1:14" x14ac:dyDescent="0.25">
      <c r="A1367" s="22" t="s">
        <v>1481</v>
      </c>
      <c r="B1367" s="36">
        <v>45867.29166666667</v>
      </c>
      <c r="C1367" s="36">
        <v>45868.950694444444</v>
      </c>
      <c r="D1367" s="22" t="s">
        <v>33</v>
      </c>
      <c r="E1367" s="22" t="s">
        <v>65</v>
      </c>
      <c r="F1367" s="22" t="s">
        <v>37</v>
      </c>
      <c r="G1367" s="22" t="s">
        <v>63</v>
      </c>
      <c r="H1367" s="22" t="s">
        <v>63</v>
      </c>
      <c r="I1367" s="22" t="s">
        <v>123</v>
      </c>
      <c r="J1367" s="23">
        <v>48</v>
      </c>
      <c r="K1367" s="37">
        <v>0</v>
      </c>
      <c r="M1367" s="22">
        <f>IF(OR(ISBLANK(C1367),C1367=""),"",ROUND((C1367-B1367)*24,2))</f>
        <v>39.82</v>
      </c>
      <c r="N1367" s="40" t="str">
        <f>IF(OR(ISBLANK(C1367),C1367="",M1367=""),"In Progress",IF(M1367&lt;=J1367,"Met","Breached"))</f>
        <v>Met</v>
      </c>
    </row>
    <row r="1368" ht="19" customHeight="1" spans="1:14" x14ac:dyDescent="0.25">
      <c r="A1368" s="19" t="s">
        <v>1482</v>
      </c>
      <c r="B1368" s="33">
        <v>46017.48263888889</v>
      </c>
      <c r="C1368" s="33">
        <v>46018.04027777778</v>
      </c>
      <c r="D1368" s="19" t="s">
        <v>33</v>
      </c>
      <c r="E1368" s="19" t="s">
        <v>61</v>
      </c>
      <c r="F1368" s="19" t="s">
        <v>43</v>
      </c>
      <c r="G1368" s="19" t="s">
        <v>121</v>
      </c>
      <c r="H1368" s="19" t="s">
        <v>63</v>
      </c>
      <c r="I1368" s="19" t="s">
        <v>147</v>
      </c>
      <c r="J1368" s="20">
        <v>12</v>
      </c>
      <c r="K1368" s="34">
        <v>0</v>
      </c>
      <c r="L1368" s="34">
        <v>3</v>
      </c>
      <c r="M1368" s="19">
        <f>IF(OR(ISBLANK(C1368),C1368=""),"",ROUND((C1368-B1368)*24,2))</f>
        <v>13.38</v>
      </c>
      <c r="N1368" s="39" t="str">
        <f>IF(OR(ISBLANK(C1368),C1368="",M1368=""),"In Progress",IF(M1368&lt;=J1368,"Met","Breached"))</f>
        <v>Breached</v>
      </c>
    </row>
    <row r="1369" ht="19" customHeight="1" spans="1:14" x14ac:dyDescent="0.25">
      <c r="A1369" s="22" t="s">
        <v>1483</v>
      </c>
      <c r="B1369" s="36">
        <v>45801.95972222222</v>
      </c>
      <c r="D1369" s="22" t="s">
        <v>42</v>
      </c>
      <c r="E1369" s="22" t="s">
        <v>69</v>
      </c>
      <c r="F1369" s="22" t="s">
        <v>40</v>
      </c>
      <c r="G1369" s="22" t="s">
        <v>113</v>
      </c>
      <c r="H1369" s="22" t="s">
        <v>71</v>
      </c>
      <c r="I1369" s="22" t="s">
        <v>117</v>
      </c>
      <c r="J1369" s="23">
        <v>120</v>
      </c>
      <c r="K1369" s="37">
        <v>0</v>
      </c>
      <c r="M1369" s="22" t="str">
        <f>IF(OR(ISBLANK(C1369),C1369=""),"",ROUND((C1369-B1369)*24,2))</f>
        <v/>
      </c>
      <c r="N1369" s="22" t="str">
        <f>IF(OR(ISBLANK(C1369),C1369="",M1369=""),"In Progress",IF(M1369&lt;=J1369,"Met","Breached"))</f>
        <v>In Progress</v>
      </c>
    </row>
    <row r="1370" ht="19" customHeight="1" spans="1:14" x14ac:dyDescent="0.25">
      <c r="A1370" s="19" t="s">
        <v>1484</v>
      </c>
      <c r="B1370" s="33">
        <v>46253.524305555555</v>
      </c>
      <c r="D1370" s="19" t="s">
        <v>39</v>
      </c>
      <c r="E1370" s="19" t="s">
        <v>65</v>
      </c>
      <c r="F1370" s="19" t="s">
        <v>34</v>
      </c>
      <c r="G1370" s="19" t="s">
        <v>126</v>
      </c>
      <c r="H1370" s="19" t="s">
        <v>63</v>
      </c>
      <c r="I1370" s="19" t="s">
        <v>147</v>
      </c>
      <c r="J1370" s="20">
        <v>48</v>
      </c>
      <c r="K1370" s="34">
        <v>0</v>
      </c>
      <c r="M1370" s="19" t="str">
        <f>IF(OR(ISBLANK(C1370),C1370=""),"",ROUND((C1370-B1370)*24,2))</f>
        <v/>
      </c>
      <c r="N1370" s="19" t="str">
        <f>IF(OR(ISBLANK(C1370),C1370="",M1370=""),"In Progress",IF(M1370&lt;=J1370,"Met","Breached"))</f>
        <v>In Progress</v>
      </c>
    </row>
    <row r="1371" ht="19" customHeight="1" spans="1:14" x14ac:dyDescent="0.25">
      <c r="A1371" s="22" t="s">
        <v>1485</v>
      </c>
      <c r="B1371" s="36">
        <v>46245.54236111111</v>
      </c>
      <c r="C1371" s="36">
        <v>46245.9625</v>
      </c>
      <c r="D1371" s="22" t="s">
        <v>33</v>
      </c>
      <c r="E1371" s="22" t="s">
        <v>61</v>
      </c>
      <c r="F1371" s="22" t="s">
        <v>40</v>
      </c>
      <c r="G1371" s="22" t="s">
        <v>121</v>
      </c>
      <c r="H1371" s="22" t="s">
        <v>67</v>
      </c>
      <c r="I1371" s="22" t="s">
        <v>111</v>
      </c>
      <c r="J1371" s="23">
        <v>12</v>
      </c>
      <c r="K1371" s="37">
        <v>0</v>
      </c>
      <c r="L1371" s="37">
        <v>4</v>
      </c>
      <c r="M1371" s="22">
        <f>IF(OR(ISBLANK(C1371),C1371=""),"",ROUND((C1371-B1371)*24,2))</f>
        <v>10.08</v>
      </c>
      <c r="N1371" s="40" t="str">
        <f>IF(OR(ISBLANK(C1371),C1371="",M1371=""),"In Progress",IF(M1371&lt;=J1371,"Met","Breached"))</f>
        <v>Met</v>
      </c>
    </row>
    <row r="1372" ht="19" customHeight="1" spans="1:14" x14ac:dyDescent="0.25">
      <c r="A1372" s="19" t="s">
        <v>1486</v>
      </c>
      <c r="B1372" s="33">
        <v>45929.382638888885</v>
      </c>
      <c r="C1372" s="33">
        <v>45932.32708333334</v>
      </c>
      <c r="D1372" s="19" t="s">
        <v>36</v>
      </c>
      <c r="E1372" s="19" t="s">
        <v>65</v>
      </c>
      <c r="F1372" s="19" t="s">
        <v>37</v>
      </c>
      <c r="G1372" s="19" t="s">
        <v>63</v>
      </c>
      <c r="H1372" s="19" t="s">
        <v>71</v>
      </c>
      <c r="I1372" s="19" t="s">
        <v>147</v>
      </c>
      <c r="J1372" s="20">
        <v>48</v>
      </c>
      <c r="K1372" s="34">
        <v>0</v>
      </c>
      <c r="L1372" s="34">
        <v>2</v>
      </c>
      <c r="M1372" s="19">
        <f>IF(OR(ISBLANK(C1372),C1372=""),"",ROUND((C1372-B1372)*24,2))</f>
        <v>70.67</v>
      </c>
      <c r="N1372" s="39" t="str">
        <f>IF(OR(ISBLANK(C1372),C1372="",M1372=""),"In Progress",IF(M1372&lt;=J1372,"Met","Breached"))</f>
        <v>Breached</v>
      </c>
    </row>
    <row r="1373" ht="19" customHeight="1" spans="1:14" x14ac:dyDescent="0.25">
      <c r="A1373" s="22" t="s">
        <v>1487</v>
      </c>
      <c r="B1373" s="36">
        <v>45680.67569444445</v>
      </c>
      <c r="C1373" s="36">
        <v>45682.6875</v>
      </c>
      <c r="D1373" s="22" t="s">
        <v>36</v>
      </c>
      <c r="E1373" s="22" t="s">
        <v>65</v>
      </c>
      <c r="F1373" s="22" t="s">
        <v>34</v>
      </c>
      <c r="G1373" s="22" t="s">
        <v>113</v>
      </c>
      <c r="H1373" s="22" t="s">
        <v>71</v>
      </c>
      <c r="I1373" s="22" t="s">
        <v>147</v>
      </c>
      <c r="J1373" s="23">
        <v>48</v>
      </c>
      <c r="K1373" s="37">
        <v>0</v>
      </c>
      <c r="M1373" s="22">
        <f>IF(OR(ISBLANK(C1373),C1373=""),"",ROUND((C1373-B1373)*24,2))</f>
        <v>48.28</v>
      </c>
      <c r="N1373" s="38" t="str">
        <f>IF(OR(ISBLANK(C1373),C1373="",M1373=""),"In Progress",IF(M1373&lt;=J1373,"Met","Breached"))</f>
        <v>Breached</v>
      </c>
    </row>
    <row r="1374" ht="19" customHeight="1" spans="1:14" x14ac:dyDescent="0.25">
      <c r="A1374" s="19" t="s">
        <v>1488</v>
      </c>
      <c r="B1374" s="33">
        <v>45864.75555555556</v>
      </c>
      <c r="D1374" s="19" t="s">
        <v>39</v>
      </c>
      <c r="E1374" s="19" t="s">
        <v>65</v>
      </c>
      <c r="F1374" s="19" t="s">
        <v>37</v>
      </c>
      <c r="G1374" s="19" t="s">
        <v>116</v>
      </c>
      <c r="H1374" s="19" t="s">
        <v>59</v>
      </c>
      <c r="I1374" s="19" t="s">
        <v>114</v>
      </c>
      <c r="J1374" s="20">
        <v>48</v>
      </c>
      <c r="K1374" s="34">
        <v>0</v>
      </c>
      <c r="M1374" s="19" t="str">
        <f>IF(OR(ISBLANK(C1374),C1374=""),"",ROUND((C1374-B1374)*24,2))</f>
        <v/>
      </c>
      <c r="N1374" s="19" t="str">
        <f>IF(OR(ISBLANK(C1374),C1374="",M1374=""),"In Progress",IF(M1374&lt;=J1374,"Met","Breached"))</f>
        <v>In Progress</v>
      </c>
    </row>
    <row r="1375" ht="19" customHeight="1" spans="1:14" x14ac:dyDescent="0.25">
      <c r="A1375" s="22" t="s">
        <v>1489</v>
      </c>
      <c r="B1375" s="36">
        <v>45969.56458333333</v>
      </c>
      <c r="C1375" s="36">
        <v>45969.882638888885</v>
      </c>
      <c r="D1375" s="22" t="s">
        <v>33</v>
      </c>
      <c r="E1375" s="22" t="s">
        <v>61</v>
      </c>
      <c r="F1375" s="22" t="s">
        <v>45</v>
      </c>
      <c r="G1375" s="22" t="s">
        <v>116</v>
      </c>
      <c r="H1375" s="22" t="s">
        <v>59</v>
      </c>
      <c r="I1375" s="22" t="s">
        <v>114</v>
      </c>
      <c r="J1375" s="23">
        <v>12</v>
      </c>
      <c r="K1375" s="37">
        <v>1</v>
      </c>
      <c r="L1375" s="37">
        <v>3</v>
      </c>
      <c r="M1375" s="22">
        <f>IF(OR(ISBLANK(C1375),C1375=""),"",ROUND((C1375-B1375)*24,2))</f>
        <v>7.63</v>
      </c>
      <c r="N1375" s="40" t="str">
        <f>IF(OR(ISBLANK(C1375),C1375="",M1375=""),"In Progress",IF(M1375&lt;=J1375,"Met","Breached"))</f>
        <v>Met</v>
      </c>
    </row>
    <row r="1376" ht="19" customHeight="1" spans="1:14" x14ac:dyDescent="0.25">
      <c r="A1376" s="19" t="s">
        <v>1490</v>
      </c>
      <c r="B1376" s="33">
        <v>46006.71805555555</v>
      </c>
      <c r="C1376" s="33">
        <v>46006.8</v>
      </c>
      <c r="D1376" s="19" t="s">
        <v>36</v>
      </c>
      <c r="E1376" s="19" t="s">
        <v>57</v>
      </c>
      <c r="F1376" s="19" t="s">
        <v>34</v>
      </c>
      <c r="G1376" s="19" t="s">
        <v>126</v>
      </c>
      <c r="H1376" s="19" t="s">
        <v>59</v>
      </c>
      <c r="I1376" s="19" t="s">
        <v>117</v>
      </c>
      <c r="J1376" s="20">
        <v>4</v>
      </c>
      <c r="K1376" s="34">
        <v>0</v>
      </c>
      <c r="M1376" s="19">
        <f>IF(OR(ISBLANK(C1376),C1376=""),"",ROUND((C1376-B1376)*24,2))</f>
        <v>1.97</v>
      </c>
      <c r="N1376" s="35" t="str">
        <f>IF(OR(ISBLANK(C1376),C1376="",M1376=""),"In Progress",IF(M1376&lt;=J1376,"Met","Breached"))</f>
        <v>Met</v>
      </c>
    </row>
    <row r="1377" ht="19" customHeight="1" spans="1:14" x14ac:dyDescent="0.25">
      <c r="A1377" s="22" t="s">
        <v>1491</v>
      </c>
      <c r="B1377" s="36">
        <v>46202.13125</v>
      </c>
      <c r="C1377" s="36">
        <v>46205.60208333333</v>
      </c>
      <c r="D1377" s="22" t="s">
        <v>33</v>
      </c>
      <c r="E1377" s="22" t="s">
        <v>65</v>
      </c>
      <c r="F1377" s="22" t="s">
        <v>37</v>
      </c>
      <c r="G1377" s="22" t="s">
        <v>113</v>
      </c>
      <c r="H1377" s="22" t="s">
        <v>71</v>
      </c>
      <c r="I1377" s="22" t="s">
        <v>111</v>
      </c>
      <c r="J1377" s="23">
        <v>48</v>
      </c>
      <c r="K1377" s="37">
        <v>0</v>
      </c>
      <c r="L1377" s="37">
        <v>2</v>
      </c>
      <c r="M1377" s="22">
        <f>IF(OR(ISBLANK(C1377),C1377=""),"",ROUND((C1377-B1377)*24,2))</f>
        <v>83.3</v>
      </c>
      <c r="N1377" s="38" t="str">
        <f>IF(OR(ISBLANK(C1377),C1377="",M1377=""),"In Progress",IF(M1377&lt;=J1377,"Met","Breached"))</f>
        <v>Breached</v>
      </c>
    </row>
    <row r="1378" ht="19" customHeight="1" spans="1:14" x14ac:dyDescent="0.25">
      <c r="A1378" s="19" t="s">
        <v>1492</v>
      </c>
      <c r="B1378" s="33">
        <v>45829.69097222222</v>
      </c>
      <c r="C1378" s="33">
        <v>45829.84583333333</v>
      </c>
      <c r="D1378" s="19" t="s">
        <v>33</v>
      </c>
      <c r="E1378" s="19" t="s">
        <v>57</v>
      </c>
      <c r="F1378" s="19" t="s">
        <v>34</v>
      </c>
      <c r="G1378" s="19" t="s">
        <v>63</v>
      </c>
      <c r="H1378" s="19" t="s">
        <v>71</v>
      </c>
      <c r="I1378" s="19" t="s">
        <v>147</v>
      </c>
      <c r="J1378" s="20">
        <v>4</v>
      </c>
      <c r="K1378" s="34">
        <v>0</v>
      </c>
      <c r="L1378" s="34">
        <v>4</v>
      </c>
      <c r="M1378" s="19">
        <f>IF(OR(ISBLANK(C1378),C1378=""),"",ROUND((C1378-B1378)*24,2))</f>
        <v>3.72</v>
      </c>
      <c r="N1378" s="35" t="str">
        <f>IF(OR(ISBLANK(C1378),C1378="",M1378=""),"In Progress",IF(M1378&lt;=J1378,"Met","Breached"))</f>
        <v>Met</v>
      </c>
    </row>
    <row r="1379" ht="19" customHeight="1" spans="1:14" x14ac:dyDescent="0.25">
      <c r="A1379" s="22" t="s">
        <v>1493</v>
      </c>
      <c r="B1379" s="36">
        <v>46157.379166666666</v>
      </c>
      <c r="C1379" s="36">
        <v>46158.646527777775</v>
      </c>
      <c r="D1379" s="22" t="s">
        <v>33</v>
      </c>
      <c r="E1379" s="22" t="s">
        <v>65</v>
      </c>
      <c r="F1379" s="22" t="s">
        <v>34</v>
      </c>
      <c r="G1379" s="22" t="s">
        <v>116</v>
      </c>
      <c r="H1379" s="22" t="s">
        <v>67</v>
      </c>
      <c r="I1379" s="22" t="s">
        <v>123</v>
      </c>
      <c r="J1379" s="23">
        <v>48</v>
      </c>
      <c r="K1379" s="37">
        <v>0</v>
      </c>
      <c r="L1379" s="37">
        <v>5</v>
      </c>
      <c r="M1379" s="22">
        <f>IF(OR(ISBLANK(C1379),C1379=""),"",ROUND((C1379-B1379)*24,2))</f>
        <v>30.42</v>
      </c>
      <c r="N1379" s="40" t="str">
        <f>IF(OR(ISBLANK(C1379),C1379="",M1379=""),"In Progress",IF(M1379&lt;=J1379,"Met","Breached"))</f>
        <v>Met</v>
      </c>
    </row>
    <row r="1380" ht="19" customHeight="1" spans="1:14" x14ac:dyDescent="0.25">
      <c r="A1380" s="19" t="s">
        <v>1494</v>
      </c>
      <c r="B1380" s="33">
        <v>45999.09444444445</v>
      </c>
      <c r="D1380" s="19" t="s">
        <v>39</v>
      </c>
      <c r="E1380" s="19" t="s">
        <v>57</v>
      </c>
      <c r="F1380" s="19" t="s">
        <v>43</v>
      </c>
      <c r="G1380" s="19" t="s">
        <v>126</v>
      </c>
      <c r="H1380" s="19" t="s">
        <v>59</v>
      </c>
      <c r="I1380" s="19" t="s">
        <v>108</v>
      </c>
      <c r="J1380" s="20">
        <v>4</v>
      </c>
      <c r="K1380" s="34">
        <v>0</v>
      </c>
      <c r="M1380" s="19" t="str">
        <f>IF(OR(ISBLANK(C1380),C1380=""),"",ROUND((C1380-B1380)*24,2))</f>
        <v/>
      </c>
      <c r="N1380" s="19" t="str">
        <f>IF(OR(ISBLANK(C1380),C1380="",M1380=""),"In Progress",IF(M1380&lt;=J1380,"Met","Breached"))</f>
        <v>In Progress</v>
      </c>
    </row>
    <row r="1381" ht="19" customHeight="1" spans="1:14" x14ac:dyDescent="0.25">
      <c r="A1381" s="22" t="s">
        <v>1495</v>
      </c>
      <c r="B1381" s="36">
        <v>45666.77083333333</v>
      </c>
      <c r="C1381" s="36">
        <v>45668.78194444445</v>
      </c>
      <c r="D1381" s="22" t="s">
        <v>33</v>
      </c>
      <c r="E1381" s="22" t="s">
        <v>65</v>
      </c>
      <c r="F1381" s="22" t="s">
        <v>43</v>
      </c>
      <c r="G1381" s="22" t="s">
        <v>113</v>
      </c>
      <c r="H1381" s="22" t="s">
        <v>67</v>
      </c>
      <c r="I1381" s="22" t="s">
        <v>108</v>
      </c>
      <c r="J1381" s="23">
        <v>48</v>
      </c>
      <c r="K1381" s="37">
        <v>0</v>
      </c>
      <c r="L1381" s="37">
        <v>2</v>
      </c>
      <c r="M1381" s="22">
        <f>IF(OR(ISBLANK(C1381),C1381=""),"",ROUND((C1381-B1381)*24,2))</f>
        <v>48.27</v>
      </c>
      <c r="N1381" s="38" t="str">
        <f>IF(OR(ISBLANK(C1381),C1381="",M1381=""),"In Progress",IF(M1381&lt;=J1381,"Met","Breached"))</f>
        <v>Breached</v>
      </c>
    </row>
    <row r="1382" ht="19" customHeight="1" spans="1:14" x14ac:dyDescent="0.25">
      <c r="A1382" s="19" t="s">
        <v>1496</v>
      </c>
      <c r="B1382" s="33">
        <v>46028.19097222222</v>
      </c>
      <c r="C1382" s="33">
        <v>46030.445138888885</v>
      </c>
      <c r="D1382" s="19" t="s">
        <v>33</v>
      </c>
      <c r="E1382" s="19" t="s">
        <v>65</v>
      </c>
      <c r="F1382" s="19" t="s">
        <v>45</v>
      </c>
      <c r="G1382" s="19" t="s">
        <v>63</v>
      </c>
      <c r="H1382" s="19" t="s">
        <v>59</v>
      </c>
      <c r="I1382" s="19" t="s">
        <v>147</v>
      </c>
      <c r="J1382" s="20">
        <v>48</v>
      </c>
      <c r="K1382" s="34">
        <v>0</v>
      </c>
      <c r="L1382" s="34">
        <v>3</v>
      </c>
      <c r="M1382" s="19">
        <f>IF(OR(ISBLANK(C1382),C1382=""),"",ROUND((C1382-B1382)*24,2))</f>
        <v>54.1</v>
      </c>
      <c r="N1382" s="39" t="str">
        <f>IF(OR(ISBLANK(C1382),C1382="",M1382=""),"In Progress",IF(M1382&lt;=J1382,"Met","Breached"))</f>
        <v>Breached</v>
      </c>
    </row>
    <row r="1383" ht="19" customHeight="1" spans="1:14" x14ac:dyDescent="0.25">
      <c r="A1383" s="22" t="s">
        <v>1497</v>
      </c>
      <c r="B1383" s="36">
        <v>45927.87847222222</v>
      </c>
      <c r="D1383" s="22" t="s">
        <v>39</v>
      </c>
      <c r="E1383" s="22" t="s">
        <v>65</v>
      </c>
      <c r="F1383" s="22" t="s">
        <v>37</v>
      </c>
      <c r="G1383" s="22" t="s">
        <v>116</v>
      </c>
      <c r="H1383" s="22" t="s">
        <v>59</v>
      </c>
      <c r="I1383" s="22" t="s">
        <v>123</v>
      </c>
      <c r="J1383" s="23">
        <v>48</v>
      </c>
      <c r="K1383" s="37">
        <v>0</v>
      </c>
      <c r="M1383" s="22" t="str">
        <f>IF(OR(ISBLANK(C1383),C1383=""),"",ROUND((C1383-B1383)*24,2))</f>
        <v/>
      </c>
      <c r="N1383" s="22" t="str">
        <f>IF(OR(ISBLANK(C1383),C1383="",M1383=""),"In Progress",IF(M1383&lt;=J1383,"Met","Breached"))</f>
        <v>In Progress</v>
      </c>
    </row>
    <row r="1384" ht="19" customHeight="1" spans="1:14" x14ac:dyDescent="0.25">
      <c r="A1384" s="19" t="s">
        <v>1498</v>
      </c>
      <c r="B1384" s="33">
        <v>46085.09930555556</v>
      </c>
      <c r="C1384" s="33">
        <v>46088.99513888889</v>
      </c>
      <c r="D1384" s="19" t="s">
        <v>36</v>
      </c>
      <c r="E1384" s="19" t="s">
        <v>69</v>
      </c>
      <c r="F1384" s="19" t="s">
        <v>34</v>
      </c>
      <c r="G1384" s="19" t="s">
        <v>113</v>
      </c>
      <c r="H1384" s="19" t="s">
        <v>63</v>
      </c>
      <c r="I1384" s="19" t="s">
        <v>111</v>
      </c>
      <c r="J1384" s="20">
        <v>120</v>
      </c>
      <c r="K1384" s="34">
        <v>0</v>
      </c>
      <c r="M1384" s="19">
        <f>IF(OR(ISBLANK(C1384),C1384=""),"",ROUND((C1384-B1384)*24,2))</f>
        <v>93.5</v>
      </c>
      <c r="N1384" s="35" t="str">
        <f>IF(OR(ISBLANK(C1384),C1384="",M1384=""),"In Progress",IF(M1384&lt;=J1384,"Met","Breached"))</f>
        <v>Met</v>
      </c>
    </row>
    <row r="1385" ht="19" customHeight="1" spans="1:14" x14ac:dyDescent="0.25">
      <c r="A1385" s="22" t="s">
        <v>1499</v>
      </c>
      <c r="B1385" s="36">
        <v>45847.13333333333</v>
      </c>
      <c r="C1385" s="36">
        <v>45847.20833333333</v>
      </c>
      <c r="D1385" s="22" t="s">
        <v>33</v>
      </c>
      <c r="E1385" s="22" t="s">
        <v>57</v>
      </c>
      <c r="F1385" s="22" t="s">
        <v>37</v>
      </c>
      <c r="G1385" s="22" t="s">
        <v>110</v>
      </c>
      <c r="H1385" s="22" t="s">
        <v>67</v>
      </c>
      <c r="I1385" s="22" t="s">
        <v>147</v>
      </c>
      <c r="J1385" s="23">
        <v>4</v>
      </c>
      <c r="K1385" s="37">
        <v>0</v>
      </c>
      <c r="L1385" s="37">
        <v>1</v>
      </c>
      <c r="M1385" s="22">
        <f>IF(OR(ISBLANK(C1385),C1385=""),"",ROUND((C1385-B1385)*24,2))</f>
        <v>1.8</v>
      </c>
      <c r="N1385" s="40" t="str">
        <f>IF(OR(ISBLANK(C1385),C1385="",M1385=""),"In Progress",IF(M1385&lt;=J1385,"Met","Breached"))</f>
        <v>Met</v>
      </c>
    </row>
    <row r="1386" ht="19" customHeight="1" spans="1:14" x14ac:dyDescent="0.25">
      <c r="A1386" s="19" t="s">
        <v>1500</v>
      </c>
      <c r="B1386" s="33">
        <v>46004.65486111111</v>
      </c>
      <c r="C1386" s="33">
        <v>46010.41180555556</v>
      </c>
      <c r="D1386" s="19" t="s">
        <v>33</v>
      </c>
      <c r="E1386" s="19" t="s">
        <v>69</v>
      </c>
      <c r="F1386" s="19" t="s">
        <v>43</v>
      </c>
      <c r="G1386" s="19" t="s">
        <v>121</v>
      </c>
      <c r="H1386" s="19" t="s">
        <v>71</v>
      </c>
      <c r="I1386" s="19" t="s">
        <v>108</v>
      </c>
      <c r="J1386" s="20">
        <v>120</v>
      </c>
      <c r="K1386" s="34">
        <v>0</v>
      </c>
      <c r="M1386" s="19">
        <f>IF(OR(ISBLANK(C1386),C1386=""),"",ROUND((C1386-B1386)*24,2))</f>
        <v>138.17</v>
      </c>
      <c r="N1386" s="39" t="str">
        <f>IF(OR(ISBLANK(C1386),C1386="",M1386=""),"In Progress",IF(M1386&lt;=J1386,"Met","Breached"))</f>
        <v>Breached</v>
      </c>
    </row>
    <row r="1387" ht="19" customHeight="1" spans="1:14" x14ac:dyDescent="0.25">
      <c r="A1387" s="22" t="s">
        <v>1501</v>
      </c>
      <c r="B1387" s="36">
        <v>46162.56805555556</v>
      </c>
      <c r="C1387" s="36">
        <v>46166.10902777778</v>
      </c>
      <c r="D1387" s="22" t="s">
        <v>36</v>
      </c>
      <c r="E1387" s="22" t="s">
        <v>65</v>
      </c>
      <c r="F1387" s="22" t="s">
        <v>40</v>
      </c>
      <c r="G1387" s="22" t="s">
        <v>110</v>
      </c>
      <c r="H1387" s="22" t="s">
        <v>67</v>
      </c>
      <c r="I1387" s="22" t="s">
        <v>123</v>
      </c>
      <c r="J1387" s="23">
        <v>48</v>
      </c>
      <c r="K1387" s="37">
        <v>0</v>
      </c>
      <c r="L1387" s="37">
        <v>3</v>
      </c>
      <c r="M1387" s="22">
        <f>IF(OR(ISBLANK(C1387),C1387=""),"",ROUND((C1387-B1387)*24,2))</f>
        <v>84.98</v>
      </c>
      <c r="N1387" s="38" t="str">
        <f>IF(OR(ISBLANK(C1387),C1387="",M1387=""),"In Progress",IF(M1387&lt;=J1387,"Met","Breached"))</f>
        <v>Breached</v>
      </c>
    </row>
    <row r="1388" ht="19" customHeight="1" spans="1:14" x14ac:dyDescent="0.25">
      <c r="A1388" s="19" t="s">
        <v>1502</v>
      </c>
      <c r="B1388" s="33">
        <v>46205.615277777775</v>
      </c>
      <c r="D1388" s="19" t="s">
        <v>42</v>
      </c>
      <c r="E1388" s="19" t="s">
        <v>61</v>
      </c>
      <c r="F1388" s="19" t="s">
        <v>45</v>
      </c>
      <c r="G1388" s="19" t="s">
        <v>126</v>
      </c>
      <c r="H1388" s="19" t="s">
        <v>59</v>
      </c>
      <c r="I1388" s="19" t="s">
        <v>111</v>
      </c>
      <c r="J1388" s="20">
        <v>12</v>
      </c>
      <c r="K1388" s="34">
        <v>0</v>
      </c>
      <c r="M1388" s="19" t="str">
        <f>IF(OR(ISBLANK(C1388),C1388=""),"",ROUND((C1388-B1388)*24,2))</f>
        <v/>
      </c>
      <c r="N1388" s="19" t="str">
        <f>IF(OR(ISBLANK(C1388),C1388="",M1388=""),"In Progress",IF(M1388&lt;=J1388,"Met","Breached"))</f>
        <v>In Progress</v>
      </c>
    </row>
    <row r="1389" ht="19" customHeight="1" spans="1:14" x14ac:dyDescent="0.25">
      <c r="A1389" s="22" t="s">
        <v>1503</v>
      </c>
      <c r="B1389" s="36">
        <v>45726.41527777778</v>
      </c>
      <c r="C1389" s="36">
        <v>45726.86041666666</v>
      </c>
      <c r="D1389" s="22" t="s">
        <v>33</v>
      </c>
      <c r="E1389" s="22" t="s">
        <v>61</v>
      </c>
      <c r="F1389" s="22" t="s">
        <v>34</v>
      </c>
      <c r="G1389" s="22" t="s">
        <v>126</v>
      </c>
      <c r="H1389" s="22" t="s">
        <v>63</v>
      </c>
      <c r="I1389" s="22" t="s">
        <v>111</v>
      </c>
      <c r="J1389" s="23">
        <v>12</v>
      </c>
      <c r="K1389" s="37">
        <v>0</v>
      </c>
      <c r="M1389" s="22">
        <f>IF(OR(ISBLANK(C1389),C1389=""),"",ROUND((C1389-B1389)*24,2))</f>
        <v>10.68</v>
      </c>
      <c r="N1389" s="40" t="str">
        <f>IF(OR(ISBLANK(C1389),C1389="",M1389=""),"In Progress",IF(M1389&lt;=J1389,"Met","Breached"))</f>
        <v>Met</v>
      </c>
    </row>
    <row r="1390" ht="19" customHeight="1" spans="1:14" x14ac:dyDescent="0.25">
      <c r="A1390" s="19" t="s">
        <v>1504</v>
      </c>
      <c r="B1390" s="33">
        <v>45969.56875</v>
      </c>
      <c r="C1390" s="33">
        <v>45976.53055555555</v>
      </c>
      <c r="D1390" s="19" t="s">
        <v>36</v>
      </c>
      <c r="E1390" s="19" t="s">
        <v>69</v>
      </c>
      <c r="F1390" s="19" t="s">
        <v>37</v>
      </c>
      <c r="G1390" s="19" t="s">
        <v>63</v>
      </c>
      <c r="H1390" s="19" t="s">
        <v>59</v>
      </c>
      <c r="I1390" s="19" t="s">
        <v>123</v>
      </c>
      <c r="J1390" s="20">
        <v>120</v>
      </c>
      <c r="K1390" s="34">
        <v>0</v>
      </c>
      <c r="L1390" s="34">
        <v>4</v>
      </c>
      <c r="M1390" s="19">
        <f>IF(OR(ISBLANK(C1390),C1390=""),"",ROUND((C1390-B1390)*24,2))</f>
        <v>167.08</v>
      </c>
      <c r="N1390" s="39" t="str">
        <f>IF(OR(ISBLANK(C1390),C1390="",M1390=""),"In Progress",IF(M1390&lt;=J1390,"Met","Breached"))</f>
        <v>Breached</v>
      </c>
    </row>
    <row r="1391" ht="19" customHeight="1" spans="1:14" x14ac:dyDescent="0.25">
      <c r="A1391" s="22" t="s">
        <v>1505</v>
      </c>
      <c r="B1391" s="36">
        <v>46136.89097222222</v>
      </c>
      <c r="C1391" s="36">
        <v>46139.57361111111</v>
      </c>
      <c r="D1391" s="22" t="s">
        <v>33</v>
      </c>
      <c r="E1391" s="22" t="s">
        <v>65</v>
      </c>
      <c r="F1391" s="22" t="s">
        <v>40</v>
      </c>
      <c r="G1391" s="22" t="s">
        <v>113</v>
      </c>
      <c r="H1391" s="22" t="s">
        <v>59</v>
      </c>
      <c r="I1391" s="22" t="s">
        <v>111</v>
      </c>
      <c r="J1391" s="23">
        <v>48</v>
      </c>
      <c r="K1391" s="37">
        <v>0</v>
      </c>
      <c r="M1391" s="22">
        <f>IF(OR(ISBLANK(C1391),C1391=""),"",ROUND((C1391-B1391)*24,2))</f>
        <v>64.38</v>
      </c>
      <c r="N1391" s="38" t="str">
        <f>IF(OR(ISBLANK(C1391),C1391="",M1391=""),"In Progress",IF(M1391&lt;=J1391,"Met","Breached"))</f>
        <v>Breached</v>
      </c>
    </row>
    <row r="1392" ht="19" customHeight="1" spans="1:14" x14ac:dyDescent="0.25">
      <c r="A1392" s="19" t="s">
        <v>1506</v>
      </c>
      <c r="B1392" s="33">
        <v>46016.90486111111</v>
      </c>
      <c r="C1392" s="33">
        <v>46017.15277777778</v>
      </c>
      <c r="D1392" s="19" t="s">
        <v>33</v>
      </c>
      <c r="E1392" s="19" t="s">
        <v>61</v>
      </c>
      <c r="F1392" s="19" t="s">
        <v>45</v>
      </c>
      <c r="G1392" s="19" t="s">
        <v>63</v>
      </c>
      <c r="H1392" s="19" t="s">
        <v>63</v>
      </c>
      <c r="I1392" s="19" t="s">
        <v>117</v>
      </c>
      <c r="J1392" s="20">
        <v>12</v>
      </c>
      <c r="K1392" s="34">
        <v>0</v>
      </c>
      <c r="L1392" s="34">
        <v>4</v>
      </c>
      <c r="M1392" s="19">
        <f>IF(OR(ISBLANK(C1392),C1392=""),"",ROUND((C1392-B1392)*24,2))</f>
        <v>5.95</v>
      </c>
      <c r="N1392" s="35" t="str">
        <f>IF(OR(ISBLANK(C1392),C1392="",M1392=""),"In Progress",IF(M1392&lt;=J1392,"Met","Breached"))</f>
        <v>Met</v>
      </c>
    </row>
    <row r="1393" ht="19" customHeight="1" spans="1:14" x14ac:dyDescent="0.25">
      <c r="A1393" s="22" t="s">
        <v>1507</v>
      </c>
      <c r="B1393" s="36">
        <v>45833.90833333333</v>
      </c>
      <c r="D1393" s="22" t="s">
        <v>42</v>
      </c>
      <c r="E1393" s="22" t="s">
        <v>69</v>
      </c>
      <c r="F1393" s="22" t="s">
        <v>45</v>
      </c>
      <c r="G1393" s="22" t="s">
        <v>113</v>
      </c>
      <c r="H1393" s="22" t="s">
        <v>71</v>
      </c>
      <c r="I1393" s="22" t="s">
        <v>114</v>
      </c>
      <c r="J1393" s="23">
        <v>120</v>
      </c>
      <c r="K1393" s="37">
        <v>0</v>
      </c>
      <c r="M1393" s="22" t="str">
        <f>IF(OR(ISBLANK(C1393),C1393=""),"",ROUND((C1393-B1393)*24,2))</f>
        <v/>
      </c>
      <c r="N1393" s="22" t="str">
        <f>IF(OR(ISBLANK(C1393),C1393="",M1393=""),"In Progress",IF(M1393&lt;=J1393,"Met","Breached"))</f>
        <v>In Progress</v>
      </c>
    </row>
    <row r="1394" ht="19" customHeight="1" spans="1:14" x14ac:dyDescent="0.25">
      <c r="A1394" s="19" t="s">
        <v>1508</v>
      </c>
      <c r="B1394" s="33">
        <v>45734.47083333333</v>
      </c>
      <c r="D1394" s="19" t="s">
        <v>42</v>
      </c>
      <c r="E1394" s="19" t="s">
        <v>65</v>
      </c>
      <c r="F1394" s="19" t="s">
        <v>37</v>
      </c>
      <c r="G1394" s="19" t="s">
        <v>116</v>
      </c>
      <c r="H1394" s="19" t="s">
        <v>67</v>
      </c>
      <c r="I1394" s="19" t="s">
        <v>147</v>
      </c>
      <c r="J1394" s="20">
        <v>48</v>
      </c>
      <c r="K1394" s="34">
        <v>0</v>
      </c>
      <c r="M1394" s="19" t="str">
        <f>IF(OR(ISBLANK(C1394),C1394=""),"",ROUND((C1394-B1394)*24,2))</f>
        <v/>
      </c>
      <c r="N1394" s="19" t="str">
        <f>IF(OR(ISBLANK(C1394),C1394="",M1394=""),"In Progress",IF(M1394&lt;=J1394,"Met","Breached"))</f>
        <v>In Progress</v>
      </c>
    </row>
    <row r="1395" ht="19" customHeight="1" spans="1:14" x14ac:dyDescent="0.25">
      <c r="A1395" s="22" t="s">
        <v>1509</v>
      </c>
      <c r="B1395" s="36">
        <v>45755.04166666667</v>
      </c>
      <c r="D1395" s="22" t="s">
        <v>39</v>
      </c>
      <c r="E1395" s="22" t="s">
        <v>69</v>
      </c>
      <c r="F1395" s="22" t="s">
        <v>43</v>
      </c>
      <c r="G1395" s="22" t="s">
        <v>113</v>
      </c>
      <c r="H1395" s="22" t="s">
        <v>59</v>
      </c>
      <c r="I1395" s="22" t="s">
        <v>114</v>
      </c>
      <c r="J1395" s="23">
        <v>120</v>
      </c>
      <c r="K1395" s="37">
        <v>0</v>
      </c>
      <c r="M1395" s="22" t="str">
        <f>IF(OR(ISBLANK(C1395),C1395=""),"",ROUND((C1395-B1395)*24,2))</f>
        <v/>
      </c>
      <c r="N1395" s="22" t="str">
        <f>IF(OR(ISBLANK(C1395),C1395="",M1395=""),"In Progress",IF(M1395&lt;=J1395,"Met","Breached"))</f>
        <v>In Progress</v>
      </c>
    </row>
    <row r="1396" ht="19" customHeight="1" spans="1:14" x14ac:dyDescent="0.25">
      <c r="A1396" s="19" t="s">
        <v>1510</v>
      </c>
      <c r="B1396" s="33">
        <v>45717.785416666666</v>
      </c>
      <c r="C1396" s="33">
        <v>45718.66527777778</v>
      </c>
      <c r="D1396" s="19" t="s">
        <v>36</v>
      </c>
      <c r="E1396" s="19" t="s">
        <v>65</v>
      </c>
      <c r="F1396" s="19" t="s">
        <v>37</v>
      </c>
      <c r="G1396" s="19" t="s">
        <v>121</v>
      </c>
      <c r="H1396" s="19" t="s">
        <v>59</v>
      </c>
      <c r="I1396" s="19" t="s">
        <v>111</v>
      </c>
      <c r="J1396" s="20">
        <v>48</v>
      </c>
      <c r="K1396" s="34">
        <v>0</v>
      </c>
      <c r="L1396" s="34">
        <v>4</v>
      </c>
      <c r="M1396" s="19">
        <f>IF(OR(ISBLANK(C1396),C1396=""),"",ROUND((C1396-B1396)*24,2))</f>
        <v>21.12</v>
      </c>
      <c r="N1396" s="35" t="str">
        <f>IF(OR(ISBLANK(C1396),C1396="",M1396=""),"In Progress",IF(M1396&lt;=J1396,"Met","Breached"))</f>
        <v>Met</v>
      </c>
    </row>
    <row r="1397" ht="19" customHeight="1" spans="1:14" x14ac:dyDescent="0.25">
      <c r="A1397" s="22" t="s">
        <v>1511</v>
      </c>
      <c r="B1397" s="36">
        <v>45779.777083333334</v>
      </c>
      <c r="C1397" s="36">
        <v>45781.73125</v>
      </c>
      <c r="D1397" s="22" t="s">
        <v>36</v>
      </c>
      <c r="E1397" s="22" t="s">
        <v>65</v>
      </c>
      <c r="F1397" s="22" t="s">
        <v>40</v>
      </c>
      <c r="G1397" s="22" t="s">
        <v>116</v>
      </c>
      <c r="H1397" s="22" t="s">
        <v>59</v>
      </c>
      <c r="I1397" s="22" t="s">
        <v>111</v>
      </c>
      <c r="J1397" s="23">
        <v>48</v>
      </c>
      <c r="K1397" s="37">
        <v>0</v>
      </c>
      <c r="L1397" s="37">
        <v>5</v>
      </c>
      <c r="M1397" s="22">
        <f>IF(OR(ISBLANK(C1397),C1397=""),"",ROUND((C1397-B1397)*24,2))</f>
        <v>46.9</v>
      </c>
      <c r="N1397" s="40" t="str">
        <f>IF(OR(ISBLANK(C1397),C1397="",M1397=""),"In Progress",IF(M1397&lt;=J1397,"Met","Breached"))</f>
        <v>Met</v>
      </c>
    </row>
    <row r="1398" ht="19" customHeight="1" spans="1:14" x14ac:dyDescent="0.25">
      <c r="A1398" s="19" t="s">
        <v>1512</v>
      </c>
      <c r="B1398" s="33">
        <v>45900.71666666667</v>
      </c>
      <c r="C1398" s="33">
        <v>45901.15694444445</v>
      </c>
      <c r="D1398" s="19" t="s">
        <v>33</v>
      </c>
      <c r="E1398" s="19" t="s">
        <v>61</v>
      </c>
      <c r="F1398" s="19" t="s">
        <v>40</v>
      </c>
      <c r="G1398" s="19" t="s">
        <v>110</v>
      </c>
      <c r="H1398" s="19" t="s">
        <v>67</v>
      </c>
      <c r="I1398" s="19" t="s">
        <v>111</v>
      </c>
      <c r="J1398" s="20">
        <v>12</v>
      </c>
      <c r="K1398" s="34">
        <v>0</v>
      </c>
      <c r="L1398" s="34">
        <v>3</v>
      </c>
      <c r="M1398" s="19">
        <f>IF(OR(ISBLANK(C1398),C1398=""),"",ROUND((C1398-B1398)*24,2))</f>
        <v>10.57</v>
      </c>
      <c r="N1398" s="35" t="str">
        <f>IF(OR(ISBLANK(C1398),C1398="",M1398=""),"In Progress",IF(M1398&lt;=J1398,"Met","Breached"))</f>
        <v>Met</v>
      </c>
    </row>
    <row r="1399" ht="19" customHeight="1" spans="1:14" x14ac:dyDescent="0.25">
      <c r="A1399" s="22" t="s">
        <v>1513</v>
      </c>
      <c r="B1399" s="36">
        <v>46008.58333333333</v>
      </c>
      <c r="D1399" s="22" t="s">
        <v>42</v>
      </c>
      <c r="E1399" s="22" t="s">
        <v>65</v>
      </c>
      <c r="F1399" s="22" t="s">
        <v>45</v>
      </c>
      <c r="G1399" s="22" t="s">
        <v>110</v>
      </c>
      <c r="H1399" s="22" t="s">
        <v>67</v>
      </c>
      <c r="I1399" s="22" t="s">
        <v>114</v>
      </c>
      <c r="J1399" s="23">
        <v>48</v>
      </c>
      <c r="K1399" s="37">
        <v>0</v>
      </c>
      <c r="M1399" s="22" t="str">
        <f>IF(OR(ISBLANK(C1399),C1399=""),"",ROUND((C1399-B1399)*24,2))</f>
        <v/>
      </c>
      <c r="N1399" s="22" t="str">
        <f>IF(OR(ISBLANK(C1399),C1399="",M1399=""),"In Progress",IF(M1399&lt;=J1399,"Met","Breached"))</f>
        <v>In Progress</v>
      </c>
    </row>
    <row r="1400" ht="19" customHeight="1" spans="1:14" x14ac:dyDescent="0.25">
      <c r="A1400" s="19" t="s">
        <v>1514</v>
      </c>
      <c r="B1400" s="33">
        <v>46264.23541666666</v>
      </c>
      <c r="C1400" s="33">
        <v>46264.40833333333</v>
      </c>
      <c r="D1400" s="19" t="s">
        <v>33</v>
      </c>
      <c r="E1400" s="19" t="s">
        <v>57</v>
      </c>
      <c r="F1400" s="19" t="s">
        <v>45</v>
      </c>
      <c r="G1400" s="19" t="s">
        <v>126</v>
      </c>
      <c r="H1400" s="19" t="s">
        <v>59</v>
      </c>
      <c r="I1400" s="19" t="s">
        <v>111</v>
      </c>
      <c r="J1400" s="20">
        <v>4</v>
      </c>
      <c r="K1400" s="34">
        <v>0</v>
      </c>
      <c r="M1400" s="19">
        <f>IF(OR(ISBLANK(C1400),C1400=""),"",ROUND((C1400-B1400)*24,2))</f>
        <v>4.15</v>
      </c>
      <c r="N1400" s="39" t="str">
        <f>IF(OR(ISBLANK(C1400),C1400="",M1400=""),"In Progress",IF(M1400&lt;=J1400,"Met","Breached"))</f>
        <v>Breached</v>
      </c>
    </row>
    <row r="1401" ht="19" customHeight="1" spans="1:14" x14ac:dyDescent="0.25">
      <c r="A1401" s="22" t="s">
        <v>1515</v>
      </c>
      <c r="B1401" s="36">
        <v>45787.697222222225</v>
      </c>
      <c r="D1401" s="22" t="s">
        <v>39</v>
      </c>
      <c r="E1401" s="22" t="s">
        <v>61</v>
      </c>
      <c r="F1401" s="22" t="s">
        <v>37</v>
      </c>
      <c r="G1401" s="22" t="s">
        <v>116</v>
      </c>
      <c r="H1401" s="22" t="s">
        <v>67</v>
      </c>
      <c r="I1401" s="22" t="s">
        <v>108</v>
      </c>
      <c r="J1401" s="23">
        <v>12</v>
      </c>
      <c r="K1401" s="37">
        <v>0</v>
      </c>
      <c r="M1401" s="22" t="str">
        <f>IF(OR(ISBLANK(C1401),C1401=""),"",ROUND((C1401-B1401)*24,2))</f>
        <v/>
      </c>
      <c r="N1401" s="22" t="str">
        <f>IF(OR(ISBLANK(C1401),C1401="",M1401=""),"In Progress",IF(M1401&lt;=J1401,"Met","Breached"))</f>
        <v>In Progress</v>
      </c>
    </row>
    <row r="1402" ht="19" customHeight="1" spans="1:14" x14ac:dyDescent="0.25">
      <c r="A1402" s="19" t="s">
        <v>1516</v>
      </c>
      <c r="B1402" s="33">
        <v>46287.24166666667</v>
      </c>
      <c r="C1402" s="33">
        <v>46287.600694444445</v>
      </c>
      <c r="D1402" s="19" t="s">
        <v>36</v>
      </c>
      <c r="E1402" s="19" t="s">
        <v>61</v>
      </c>
      <c r="F1402" s="19" t="s">
        <v>34</v>
      </c>
      <c r="G1402" s="19" t="s">
        <v>116</v>
      </c>
      <c r="H1402" s="19" t="s">
        <v>71</v>
      </c>
      <c r="I1402" s="19" t="s">
        <v>108</v>
      </c>
      <c r="J1402" s="20">
        <v>12</v>
      </c>
      <c r="K1402" s="34">
        <v>0</v>
      </c>
      <c r="M1402" s="19">
        <f>IF(OR(ISBLANK(C1402),C1402=""),"",ROUND((C1402-B1402)*24,2))</f>
        <v>8.62</v>
      </c>
      <c r="N1402" s="35" t="str">
        <f>IF(OR(ISBLANK(C1402),C1402="",M1402=""),"In Progress",IF(M1402&lt;=J1402,"Met","Breached"))</f>
        <v>Met</v>
      </c>
    </row>
    <row r="1403" ht="19" customHeight="1" spans="1:14" x14ac:dyDescent="0.25">
      <c r="A1403" s="22" t="s">
        <v>1517</v>
      </c>
      <c r="B1403" s="36">
        <v>45790.40694444445</v>
      </c>
      <c r="C1403" s="36">
        <v>45790.67847222222</v>
      </c>
      <c r="D1403" s="22" t="s">
        <v>33</v>
      </c>
      <c r="E1403" s="22" t="s">
        <v>61</v>
      </c>
      <c r="F1403" s="22" t="s">
        <v>34</v>
      </c>
      <c r="G1403" s="22" t="s">
        <v>110</v>
      </c>
      <c r="H1403" s="22" t="s">
        <v>63</v>
      </c>
      <c r="I1403" s="22" t="s">
        <v>123</v>
      </c>
      <c r="J1403" s="23">
        <v>12</v>
      </c>
      <c r="K1403" s="37">
        <v>0</v>
      </c>
      <c r="L1403" s="37">
        <v>3</v>
      </c>
      <c r="M1403" s="22">
        <f>IF(OR(ISBLANK(C1403),C1403=""),"",ROUND((C1403-B1403)*24,2))</f>
        <v>6.52</v>
      </c>
      <c r="N1403" s="40" t="str">
        <f>IF(OR(ISBLANK(C1403),C1403="",M1403=""),"In Progress",IF(M1403&lt;=J1403,"Met","Breached"))</f>
        <v>Met</v>
      </c>
    </row>
    <row r="1404" ht="19" customHeight="1" spans="1:14" x14ac:dyDescent="0.25">
      <c r="A1404" s="19" t="s">
        <v>1518</v>
      </c>
      <c r="B1404" s="33">
        <v>45665.20833333333</v>
      </c>
      <c r="C1404" s="33">
        <v>45667.19097222222</v>
      </c>
      <c r="D1404" s="19" t="s">
        <v>36</v>
      </c>
      <c r="E1404" s="19" t="s">
        <v>65</v>
      </c>
      <c r="F1404" s="19" t="s">
        <v>37</v>
      </c>
      <c r="G1404" s="19" t="s">
        <v>113</v>
      </c>
      <c r="H1404" s="19" t="s">
        <v>59</v>
      </c>
      <c r="I1404" s="19" t="s">
        <v>123</v>
      </c>
      <c r="J1404" s="20">
        <v>48</v>
      </c>
      <c r="K1404" s="34">
        <v>0</v>
      </c>
      <c r="L1404" s="34">
        <v>5</v>
      </c>
      <c r="M1404" s="19">
        <f>IF(OR(ISBLANK(C1404),C1404=""),"",ROUND((C1404-B1404)*24,2))</f>
        <v>47.58</v>
      </c>
      <c r="N1404" s="35" t="str">
        <f>IF(OR(ISBLANK(C1404),C1404="",M1404=""),"In Progress",IF(M1404&lt;=J1404,"Met","Breached"))</f>
        <v>Met</v>
      </c>
    </row>
    <row r="1405" ht="19" customHeight="1" spans="1:14" x14ac:dyDescent="0.25">
      <c r="A1405" s="22" t="s">
        <v>1519</v>
      </c>
      <c r="B1405" s="36">
        <v>46149.26111111111</v>
      </c>
      <c r="C1405" s="36">
        <v>46152.37777777778</v>
      </c>
      <c r="D1405" s="22" t="s">
        <v>36</v>
      </c>
      <c r="E1405" s="22" t="s">
        <v>65</v>
      </c>
      <c r="F1405" s="22" t="s">
        <v>40</v>
      </c>
      <c r="G1405" s="22" t="s">
        <v>110</v>
      </c>
      <c r="H1405" s="22" t="s">
        <v>63</v>
      </c>
      <c r="I1405" s="22" t="s">
        <v>108</v>
      </c>
      <c r="J1405" s="23">
        <v>48</v>
      </c>
      <c r="K1405" s="37">
        <v>0</v>
      </c>
      <c r="M1405" s="22">
        <f>IF(OR(ISBLANK(C1405),C1405=""),"",ROUND((C1405-B1405)*24,2))</f>
        <v>74.8</v>
      </c>
      <c r="N1405" s="38" t="str">
        <f>IF(OR(ISBLANK(C1405),C1405="",M1405=""),"In Progress",IF(M1405&lt;=J1405,"Met","Breached"))</f>
        <v>Breached</v>
      </c>
    </row>
    <row r="1406" ht="19" customHeight="1" spans="1:14" x14ac:dyDescent="0.25">
      <c r="A1406" s="19" t="s">
        <v>1520</v>
      </c>
      <c r="B1406" s="33">
        <v>45678.49513888889</v>
      </c>
      <c r="C1406" s="33">
        <v>45685.98541666666</v>
      </c>
      <c r="D1406" s="19" t="s">
        <v>33</v>
      </c>
      <c r="E1406" s="19" t="s">
        <v>69</v>
      </c>
      <c r="F1406" s="19" t="s">
        <v>37</v>
      </c>
      <c r="G1406" s="19" t="s">
        <v>110</v>
      </c>
      <c r="H1406" s="19" t="s">
        <v>59</v>
      </c>
      <c r="I1406" s="19" t="s">
        <v>117</v>
      </c>
      <c r="J1406" s="20">
        <v>120</v>
      </c>
      <c r="K1406" s="34">
        <v>0</v>
      </c>
      <c r="L1406" s="34">
        <v>3</v>
      </c>
      <c r="M1406" s="19">
        <f>IF(OR(ISBLANK(C1406),C1406=""),"",ROUND((C1406-B1406)*24,2))</f>
        <v>179.77</v>
      </c>
      <c r="N1406" s="39" t="str">
        <f>IF(OR(ISBLANK(C1406),C1406="",M1406=""),"In Progress",IF(M1406&lt;=J1406,"Met","Breached"))</f>
        <v>Breached</v>
      </c>
    </row>
    <row r="1407" ht="19" customHeight="1" spans="1:14" x14ac:dyDescent="0.25">
      <c r="A1407" s="22" t="s">
        <v>1521</v>
      </c>
      <c r="B1407" s="36">
        <v>46271.05138888889</v>
      </c>
      <c r="C1407" s="36">
        <v>46271.78611111111</v>
      </c>
      <c r="D1407" s="22" t="s">
        <v>33</v>
      </c>
      <c r="E1407" s="22" t="s">
        <v>65</v>
      </c>
      <c r="F1407" s="22" t="s">
        <v>40</v>
      </c>
      <c r="G1407" s="22" t="s">
        <v>110</v>
      </c>
      <c r="H1407" s="22" t="s">
        <v>67</v>
      </c>
      <c r="I1407" s="22" t="s">
        <v>111</v>
      </c>
      <c r="J1407" s="23">
        <v>48</v>
      </c>
      <c r="K1407" s="37">
        <v>0</v>
      </c>
      <c r="L1407" s="37">
        <v>3</v>
      </c>
      <c r="M1407" s="22">
        <f>IF(OR(ISBLANK(C1407),C1407=""),"",ROUND((C1407-B1407)*24,2))</f>
        <v>17.63</v>
      </c>
      <c r="N1407" s="40" t="str">
        <f>IF(OR(ISBLANK(C1407),C1407="",M1407=""),"In Progress",IF(M1407&lt;=J1407,"Met","Breached"))</f>
        <v>Met</v>
      </c>
    </row>
    <row r="1408" ht="19" customHeight="1" spans="1:14" x14ac:dyDescent="0.25">
      <c r="A1408" s="19" t="s">
        <v>1522</v>
      </c>
      <c r="B1408" s="33">
        <v>46285.53680555556</v>
      </c>
      <c r="C1408" s="33">
        <v>46288.59166666667</v>
      </c>
      <c r="D1408" s="19" t="s">
        <v>36</v>
      </c>
      <c r="E1408" s="19" t="s">
        <v>65</v>
      </c>
      <c r="F1408" s="19" t="s">
        <v>43</v>
      </c>
      <c r="G1408" s="19" t="s">
        <v>116</v>
      </c>
      <c r="H1408" s="19" t="s">
        <v>59</v>
      </c>
      <c r="I1408" s="19" t="s">
        <v>123</v>
      </c>
      <c r="J1408" s="20">
        <v>48</v>
      </c>
      <c r="K1408" s="34">
        <v>1</v>
      </c>
      <c r="L1408" s="34">
        <v>5</v>
      </c>
      <c r="M1408" s="19">
        <f>IF(OR(ISBLANK(C1408),C1408=""),"",ROUND((C1408-B1408)*24,2))</f>
        <v>73.32</v>
      </c>
      <c r="N1408" s="39" t="str">
        <f>IF(OR(ISBLANK(C1408),C1408="",M1408=""),"In Progress",IF(M1408&lt;=J1408,"Met","Breached"))</f>
        <v>Breached</v>
      </c>
    </row>
    <row r="1409" ht="19" customHeight="1" spans="1:14" x14ac:dyDescent="0.25">
      <c r="A1409" s="22" t="s">
        <v>1523</v>
      </c>
      <c r="B1409" s="36">
        <v>45835.30972222222</v>
      </c>
      <c r="C1409" s="36">
        <v>45838.19375</v>
      </c>
      <c r="D1409" s="22" t="s">
        <v>33</v>
      </c>
      <c r="E1409" s="22" t="s">
        <v>65</v>
      </c>
      <c r="F1409" s="22" t="s">
        <v>37</v>
      </c>
      <c r="G1409" s="22" t="s">
        <v>110</v>
      </c>
      <c r="H1409" s="22" t="s">
        <v>59</v>
      </c>
      <c r="I1409" s="22" t="s">
        <v>147</v>
      </c>
      <c r="J1409" s="23">
        <v>48</v>
      </c>
      <c r="K1409" s="37">
        <v>0</v>
      </c>
      <c r="L1409" s="37">
        <v>5</v>
      </c>
      <c r="M1409" s="22">
        <f>IF(OR(ISBLANK(C1409),C1409=""),"",ROUND((C1409-B1409)*24,2))</f>
        <v>69.22</v>
      </c>
      <c r="N1409" s="38" t="str">
        <f>IF(OR(ISBLANK(C1409),C1409="",M1409=""),"In Progress",IF(M1409&lt;=J1409,"Met","Breached"))</f>
        <v>Breached</v>
      </c>
    </row>
    <row r="1410" ht="19" customHeight="1" spans="1:14" x14ac:dyDescent="0.25">
      <c r="A1410" s="19" t="s">
        <v>1524</v>
      </c>
      <c r="B1410" s="33">
        <v>46030.01180555555</v>
      </c>
      <c r="C1410" s="33">
        <v>46033.47013888889</v>
      </c>
      <c r="D1410" s="19" t="s">
        <v>33</v>
      </c>
      <c r="E1410" s="19" t="s">
        <v>65</v>
      </c>
      <c r="F1410" s="19" t="s">
        <v>34</v>
      </c>
      <c r="G1410" s="19" t="s">
        <v>126</v>
      </c>
      <c r="H1410" s="19" t="s">
        <v>59</v>
      </c>
      <c r="I1410" s="19" t="s">
        <v>147</v>
      </c>
      <c r="J1410" s="20">
        <v>48</v>
      </c>
      <c r="K1410" s="34">
        <v>0</v>
      </c>
      <c r="L1410" s="34">
        <v>3</v>
      </c>
      <c r="M1410" s="19">
        <f>IF(OR(ISBLANK(C1410),C1410=""),"",ROUND((C1410-B1410)*24,2))</f>
        <v>83</v>
      </c>
      <c r="N1410" s="39" t="str">
        <f>IF(OR(ISBLANK(C1410),C1410="",M1410=""),"In Progress",IF(M1410&lt;=J1410,"Met","Breached"))</f>
        <v>Breached</v>
      </c>
    </row>
    <row r="1411" ht="19" customHeight="1" spans="1:14" x14ac:dyDescent="0.25">
      <c r="A1411" s="22" t="s">
        <v>1525</v>
      </c>
      <c r="B1411" s="36">
        <v>45889.53194444445</v>
      </c>
      <c r="C1411" s="36">
        <v>45889.74166666667</v>
      </c>
      <c r="D1411" s="22" t="s">
        <v>36</v>
      </c>
      <c r="E1411" s="22" t="s">
        <v>61</v>
      </c>
      <c r="F1411" s="22" t="s">
        <v>45</v>
      </c>
      <c r="G1411" s="22" t="s">
        <v>63</v>
      </c>
      <c r="H1411" s="22" t="s">
        <v>71</v>
      </c>
      <c r="I1411" s="22" t="s">
        <v>147</v>
      </c>
      <c r="J1411" s="23">
        <v>12</v>
      </c>
      <c r="K1411" s="37">
        <v>0</v>
      </c>
      <c r="M1411" s="22">
        <f>IF(OR(ISBLANK(C1411),C1411=""),"",ROUND((C1411-B1411)*24,2))</f>
        <v>5.03</v>
      </c>
      <c r="N1411" s="40" t="str">
        <f>IF(OR(ISBLANK(C1411),C1411="",M1411=""),"In Progress",IF(M1411&lt;=J1411,"Met","Breached"))</f>
        <v>Met</v>
      </c>
    </row>
    <row r="1412" ht="19" customHeight="1" spans="1:14" x14ac:dyDescent="0.25">
      <c r="A1412" s="19" t="s">
        <v>1526</v>
      </c>
      <c r="B1412" s="33">
        <v>46066.48055555555</v>
      </c>
      <c r="C1412" s="33">
        <v>46067.40555555555</v>
      </c>
      <c r="D1412" s="19" t="s">
        <v>36</v>
      </c>
      <c r="E1412" s="19" t="s">
        <v>65</v>
      </c>
      <c r="F1412" s="19" t="s">
        <v>40</v>
      </c>
      <c r="G1412" s="19" t="s">
        <v>63</v>
      </c>
      <c r="H1412" s="19" t="s">
        <v>59</v>
      </c>
      <c r="I1412" s="19" t="s">
        <v>108</v>
      </c>
      <c r="J1412" s="20">
        <v>48</v>
      </c>
      <c r="K1412" s="34">
        <v>0</v>
      </c>
      <c r="L1412" s="34">
        <v>1</v>
      </c>
      <c r="M1412" s="19">
        <f>IF(OR(ISBLANK(C1412),C1412=""),"",ROUND((C1412-B1412)*24,2))</f>
        <v>22.2</v>
      </c>
      <c r="N1412" s="35" t="str">
        <f>IF(OR(ISBLANK(C1412),C1412="",M1412=""),"In Progress",IF(M1412&lt;=J1412,"Met","Breached"))</f>
        <v>Met</v>
      </c>
    </row>
    <row r="1413" ht="19" customHeight="1" spans="1:14" x14ac:dyDescent="0.25">
      <c r="A1413" s="22" t="s">
        <v>1527</v>
      </c>
      <c r="B1413" s="36">
        <v>46137.799305555556</v>
      </c>
      <c r="C1413" s="36">
        <v>46139.76111111111</v>
      </c>
      <c r="D1413" s="22" t="s">
        <v>36</v>
      </c>
      <c r="E1413" s="22" t="s">
        <v>69</v>
      </c>
      <c r="F1413" s="22" t="s">
        <v>34</v>
      </c>
      <c r="G1413" s="22" t="s">
        <v>121</v>
      </c>
      <c r="H1413" s="22" t="s">
        <v>59</v>
      </c>
      <c r="I1413" s="22" t="s">
        <v>111</v>
      </c>
      <c r="J1413" s="23">
        <v>120</v>
      </c>
      <c r="K1413" s="37">
        <v>0</v>
      </c>
      <c r="M1413" s="22">
        <f>IF(OR(ISBLANK(C1413),C1413=""),"",ROUND((C1413-B1413)*24,2))</f>
        <v>47.08</v>
      </c>
      <c r="N1413" s="40" t="str">
        <f>IF(OR(ISBLANK(C1413),C1413="",M1413=""),"In Progress",IF(M1413&lt;=J1413,"Met","Breached"))</f>
        <v>Met</v>
      </c>
    </row>
    <row r="1414" ht="19" customHeight="1" spans="1:14" x14ac:dyDescent="0.25">
      <c r="A1414" s="19" t="s">
        <v>1528</v>
      </c>
      <c r="B1414" s="33">
        <v>45882.28680555556</v>
      </c>
      <c r="C1414" s="33">
        <v>45885.00625</v>
      </c>
      <c r="D1414" s="19" t="s">
        <v>33</v>
      </c>
      <c r="E1414" s="19" t="s">
        <v>65</v>
      </c>
      <c r="F1414" s="19" t="s">
        <v>34</v>
      </c>
      <c r="G1414" s="19" t="s">
        <v>116</v>
      </c>
      <c r="H1414" s="19" t="s">
        <v>59</v>
      </c>
      <c r="I1414" s="19" t="s">
        <v>108</v>
      </c>
      <c r="J1414" s="20">
        <v>48</v>
      </c>
      <c r="K1414" s="34">
        <v>0</v>
      </c>
      <c r="M1414" s="19">
        <f>IF(OR(ISBLANK(C1414),C1414=""),"",ROUND((C1414-B1414)*24,2))</f>
        <v>65.27</v>
      </c>
      <c r="N1414" s="39" t="str">
        <f>IF(OR(ISBLANK(C1414),C1414="",M1414=""),"In Progress",IF(M1414&lt;=J1414,"Met","Breached"))</f>
        <v>Breached</v>
      </c>
    </row>
    <row r="1415" ht="19" customHeight="1" spans="1:14" x14ac:dyDescent="0.25">
      <c r="A1415" s="22" t="s">
        <v>1529</v>
      </c>
      <c r="B1415" s="36">
        <v>46113.72222222222</v>
      </c>
      <c r="C1415" s="36">
        <v>46114.22013888889</v>
      </c>
      <c r="D1415" s="22" t="s">
        <v>33</v>
      </c>
      <c r="E1415" s="22" t="s">
        <v>61</v>
      </c>
      <c r="F1415" s="22" t="s">
        <v>43</v>
      </c>
      <c r="G1415" s="22" t="s">
        <v>113</v>
      </c>
      <c r="H1415" s="22" t="s">
        <v>63</v>
      </c>
      <c r="I1415" s="22" t="s">
        <v>117</v>
      </c>
      <c r="J1415" s="23">
        <v>12</v>
      </c>
      <c r="K1415" s="37">
        <v>0</v>
      </c>
      <c r="L1415" s="37">
        <v>5</v>
      </c>
      <c r="M1415" s="22">
        <f>IF(OR(ISBLANK(C1415),C1415=""),"",ROUND((C1415-B1415)*24,2))</f>
        <v>11.95</v>
      </c>
      <c r="N1415" s="40" t="str">
        <f>IF(OR(ISBLANK(C1415),C1415="",M1415=""),"In Progress",IF(M1415&lt;=J1415,"Met","Breached"))</f>
        <v>Met</v>
      </c>
    </row>
    <row r="1416" ht="19" customHeight="1" spans="1:14" x14ac:dyDescent="0.25">
      <c r="A1416" s="19" t="s">
        <v>1530</v>
      </c>
      <c r="B1416" s="33">
        <v>46003.87291666667</v>
      </c>
      <c r="C1416" s="33">
        <v>46006.78055555555</v>
      </c>
      <c r="D1416" s="19" t="s">
        <v>33</v>
      </c>
      <c r="E1416" s="19" t="s">
        <v>69</v>
      </c>
      <c r="F1416" s="19" t="s">
        <v>34</v>
      </c>
      <c r="G1416" s="19" t="s">
        <v>126</v>
      </c>
      <c r="H1416" s="19" t="s">
        <v>63</v>
      </c>
      <c r="I1416" s="19" t="s">
        <v>114</v>
      </c>
      <c r="J1416" s="20">
        <v>120</v>
      </c>
      <c r="K1416" s="34">
        <v>0</v>
      </c>
      <c r="M1416" s="19">
        <f>IF(OR(ISBLANK(C1416),C1416=""),"",ROUND((C1416-B1416)*24,2))</f>
        <v>69.78</v>
      </c>
      <c r="N1416" s="35" t="str">
        <f>IF(OR(ISBLANK(C1416),C1416="",M1416=""),"In Progress",IF(M1416&lt;=J1416,"Met","Breached"))</f>
        <v>Met</v>
      </c>
    </row>
    <row r="1417" ht="19" customHeight="1" spans="1:14" x14ac:dyDescent="0.25">
      <c r="A1417" s="22" t="s">
        <v>1531</v>
      </c>
      <c r="B1417" s="36">
        <v>45785.240277777775</v>
      </c>
      <c r="C1417" s="36">
        <v>45788.21527777778</v>
      </c>
      <c r="D1417" s="22" t="s">
        <v>33</v>
      </c>
      <c r="E1417" s="22" t="s">
        <v>69</v>
      </c>
      <c r="F1417" s="22" t="s">
        <v>43</v>
      </c>
      <c r="G1417" s="22" t="s">
        <v>126</v>
      </c>
      <c r="H1417" s="22" t="s">
        <v>59</v>
      </c>
      <c r="I1417" s="22" t="s">
        <v>108</v>
      </c>
      <c r="J1417" s="23">
        <v>120</v>
      </c>
      <c r="K1417" s="37">
        <v>0</v>
      </c>
      <c r="M1417" s="22">
        <f>IF(OR(ISBLANK(C1417),C1417=""),"",ROUND((C1417-B1417)*24,2))</f>
        <v>71.4</v>
      </c>
      <c r="N1417" s="40" t="str">
        <f>IF(OR(ISBLANK(C1417),C1417="",M1417=""),"In Progress",IF(M1417&lt;=J1417,"Met","Breached"))</f>
        <v>Met</v>
      </c>
    </row>
    <row r="1418" ht="19" customHeight="1" spans="1:14" x14ac:dyDescent="0.25">
      <c r="A1418" s="19" t="s">
        <v>1532</v>
      </c>
      <c r="B1418" s="33">
        <v>45809.802777777775</v>
      </c>
      <c r="C1418" s="33">
        <v>45813.34513888889</v>
      </c>
      <c r="D1418" s="19" t="s">
        <v>33</v>
      </c>
      <c r="E1418" s="19" t="s">
        <v>65</v>
      </c>
      <c r="F1418" s="19" t="s">
        <v>40</v>
      </c>
      <c r="G1418" s="19" t="s">
        <v>63</v>
      </c>
      <c r="H1418" s="19" t="s">
        <v>63</v>
      </c>
      <c r="I1418" s="19" t="s">
        <v>147</v>
      </c>
      <c r="J1418" s="20">
        <v>48</v>
      </c>
      <c r="K1418" s="34">
        <v>0</v>
      </c>
      <c r="L1418" s="34">
        <v>2</v>
      </c>
      <c r="M1418" s="19">
        <f>IF(OR(ISBLANK(C1418),C1418=""),"",ROUND((C1418-B1418)*24,2))</f>
        <v>85.02</v>
      </c>
      <c r="N1418" s="39" t="str">
        <f>IF(OR(ISBLANK(C1418),C1418="",M1418=""),"In Progress",IF(M1418&lt;=J1418,"Met","Breached"))</f>
        <v>Breached</v>
      </c>
    </row>
    <row r="1419" ht="19" customHeight="1" spans="1:14" x14ac:dyDescent="0.25">
      <c r="A1419" s="22" t="s">
        <v>1533</v>
      </c>
      <c r="B1419" s="36">
        <v>45721.49444444444</v>
      </c>
      <c r="D1419" s="22" t="s">
        <v>42</v>
      </c>
      <c r="E1419" s="22" t="s">
        <v>61</v>
      </c>
      <c r="F1419" s="22" t="s">
        <v>45</v>
      </c>
      <c r="G1419" s="22" t="s">
        <v>121</v>
      </c>
      <c r="H1419" s="22" t="s">
        <v>67</v>
      </c>
      <c r="I1419" s="22" t="s">
        <v>117</v>
      </c>
      <c r="J1419" s="23">
        <v>12</v>
      </c>
      <c r="K1419" s="37">
        <v>0</v>
      </c>
      <c r="M1419" s="22" t="str">
        <f>IF(OR(ISBLANK(C1419),C1419=""),"",ROUND((C1419-B1419)*24,2))</f>
        <v/>
      </c>
      <c r="N1419" s="22" t="str">
        <f>IF(OR(ISBLANK(C1419),C1419="",M1419=""),"In Progress",IF(M1419&lt;=J1419,"Met","Breached"))</f>
        <v>In Progress</v>
      </c>
    </row>
    <row r="1420" ht="19" customHeight="1" spans="1:14" x14ac:dyDescent="0.25">
      <c r="A1420" s="19" t="s">
        <v>1534</v>
      </c>
      <c r="B1420" s="33">
        <v>46270.80138888889</v>
      </c>
      <c r="C1420" s="33">
        <v>46270.85763888889</v>
      </c>
      <c r="D1420" s="19" t="s">
        <v>36</v>
      </c>
      <c r="E1420" s="19" t="s">
        <v>57</v>
      </c>
      <c r="F1420" s="19" t="s">
        <v>40</v>
      </c>
      <c r="G1420" s="19" t="s">
        <v>121</v>
      </c>
      <c r="H1420" s="19" t="s">
        <v>59</v>
      </c>
      <c r="I1420" s="19" t="s">
        <v>147</v>
      </c>
      <c r="J1420" s="20">
        <v>4</v>
      </c>
      <c r="K1420" s="34">
        <v>0</v>
      </c>
      <c r="L1420" s="34">
        <v>2</v>
      </c>
      <c r="M1420" s="19">
        <f>IF(OR(ISBLANK(C1420),C1420=""),"",ROUND((C1420-B1420)*24,2))</f>
        <v>1.35</v>
      </c>
      <c r="N1420" s="35" t="str">
        <f>IF(OR(ISBLANK(C1420),C1420="",M1420=""),"In Progress",IF(M1420&lt;=J1420,"Met","Breached"))</f>
        <v>Met</v>
      </c>
    </row>
    <row r="1421" ht="19" customHeight="1" spans="1:14" x14ac:dyDescent="0.25">
      <c r="A1421" s="22" t="s">
        <v>1535</v>
      </c>
      <c r="B1421" s="36">
        <v>46230.15694444445</v>
      </c>
      <c r="C1421" s="36">
        <v>46230.42013888889</v>
      </c>
      <c r="D1421" s="22" t="s">
        <v>33</v>
      </c>
      <c r="E1421" s="22" t="s">
        <v>61</v>
      </c>
      <c r="F1421" s="22" t="s">
        <v>40</v>
      </c>
      <c r="G1421" s="22" t="s">
        <v>113</v>
      </c>
      <c r="H1421" s="22" t="s">
        <v>71</v>
      </c>
      <c r="I1421" s="22" t="s">
        <v>123</v>
      </c>
      <c r="J1421" s="23">
        <v>12</v>
      </c>
      <c r="K1421" s="37">
        <v>0</v>
      </c>
      <c r="M1421" s="22">
        <f>IF(OR(ISBLANK(C1421),C1421=""),"",ROUND((C1421-B1421)*24,2))</f>
        <v>6.32</v>
      </c>
      <c r="N1421" s="40" t="str">
        <f>IF(OR(ISBLANK(C1421),C1421="",M1421=""),"In Progress",IF(M1421&lt;=J1421,"Met","Breached"))</f>
        <v>Met</v>
      </c>
    </row>
    <row r="1422" ht="19" customHeight="1" spans="1:14" x14ac:dyDescent="0.25">
      <c r="A1422" s="19" t="s">
        <v>1536</v>
      </c>
      <c r="B1422" s="33">
        <v>46249.35416666667</v>
      </c>
      <c r="C1422" s="33">
        <v>46250.19791666667</v>
      </c>
      <c r="D1422" s="19" t="s">
        <v>33</v>
      </c>
      <c r="E1422" s="19" t="s">
        <v>65</v>
      </c>
      <c r="F1422" s="19" t="s">
        <v>37</v>
      </c>
      <c r="G1422" s="19" t="s">
        <v>121</v>
      </c>
      <c r="H1422" s="19" t="s">
        <v>71</v>
      </c>
      <c r="I1422" s="19" t="s">
        <v>117</v>
      </c>
      <c r="J1422" s="20">
        <v>48</v>
      </c>
      <c r="K1422" s="34">
        <v>0</v>
      </c>
      <c r="M1422" s="19">
        <f>IF(OR(ISBLANK(C1422),C1422=""),"",ROUND((C1422-B1422)*24,2))</f>
        <v>20.25</v>
      </c>
      <c r="N1422" s="35" t="str">
        <f>IF(OR(ISBLANK(C1422),C1422="",M1422=""),"In Progress",IF(M1422&lt;=J1422,"Met","Breached"))</f>
        <v>Met</v>
      </c>
    </row>
    <row r="1423" ht="19" customHeight="1" spans="1:14" x14ac:dyDescent="0.25">
      <c r="A1423" s="22" t="s">
        <v>1537</v>
      </c>
      <c r="B1423" s="36">
        <v>46069.95416666666</v>
      </c>
      <c r="C1423" s="36">
        <v>46073.413194444445</v>
      </c>
      <c r="D1423" s="22" t="s">
        <v>36</v>
      </c>
      <c r="E1423" s="22" t="s">
        <v>69</v>
      </c>
      <c r="F1423" s="22" t="s">
        <v>37</v>
      </c>
      <c r="G1423" s="22" t="s">
        <v>63</v>
      </c>
      <c r="H1423" s="22" t="s">
        <v>67</v>
      </c>
      <c r="I1423" s="22" t="s">
        <v>117</v>
      </c>
      <c r="J1423" s="23">
        <v>120</v>
      </c>
      <c r="K1423" s="37">
        <v>0</v>
      </c>
      <c r="L1423" s="37">
        <v>4</v>
      </c>
      <c r="M1423" s="22">
        <f>IF(OR(ISBLANK(C1423),C1423=""),"",ROUND((C1423-B1423)*24,2))</f>
        <v>83.02</v>
      </c>
      <c r="N1423" s="40" t="str">
        <f>IF(OR(ISBLANK(C1423),C1423="",M1423=""),"In Progress",IF(M1423&lt;=J1423,"Met","Breached"))</f>
        <v>Met</v>
      </c>
    </row>
    <row r="1424" ht="19" customHeight="1" spans="1:14" x14ac:dyDescent="0.25">
      <c r="A1424" s="19" t="s">
        <v>1538</v>
      </c>
      <c r="B1424" s="33">
        <v>46065.4125</v>
      </c>
      <c r="C1424" s="33">
        <v>46068.86319444445</v>
      </c>
      <c r="D1424" s="19" t="s">
        <v>33</v>
      </c>
      <c r="E1424" s="19" t="s">
        <v>65</v>
      </c>
      <c r="F1424" s="19" t="s">
        <v>37</v>
      </c>
      <c r="G1424" s="19" t="s">
        <v>63</v>
      </c>
      <c r="H1424" s="19" t="s">
        <v>59</v>
      </c>
      <c r="I1424" s="19" t="s">
        <v>111</v>
      </c>
      <c r="J1424" s="20">
        <v>48</v>
      </c>
      <c r="K1424" s="34">
        <v>0</v>
      </c>
      <c r="M1424" s="19">
        <f>IF(OR(ISBLANK(C1424),C1424=""),"",ROUND((C1424-B1424)*24,2))</f>
        <v>82.82</v>
      </c>
      <c r="N1424" s="39" t="str">
        <f>IF(OR(ISBLANK(C1424),C1424="",M1424=""),"In Progress",IF(M1424&lt;=J1424,"Met","Breached"))</f>
        <v>Breached</v>
      </c>
    </row>
    <row r="1425" ht="19" customHeight="1" spans="1:14" x14ac:dyDescent="0.25">
      <c r="A1425" s="22" t="s">
        <v>1539</v>
      </c>
      <c r="B1425" s="36">
        <v>45851.26111111111</v>
      </c>
      <c r="D1425" s="22" t="s">
        <v>39</v>
      </c>
      <c r="E1425" s="22" t="s">
        <v>65</v>
      </c>
      <c r="F1425" s="22" t="s">
        <v>34</v>
      </c>
      <c r="G1425" s="22" t="s">
        <v>116</v>
      </c>
      <c r="H1425" s="22" t="s">
        <v>67</v>
      </c>
      <c r="I1425" s="22" t="s">
        <v>147</v>
      </c>
      <c r="J1425" s="23">
        <v>48</v>
      </c>
      <c r="K1425" s="37">
        <v>0</v>
      </c>
      <c r="M1425" s="22" t="str">
        <f>IF(OR(ISBLANK(C1425),C1425=""),"",ROUND((C1425-B1425)*24,2))</f>
        <v/>
      </c>
      <c r="N1425" s="22" t="str">
        <f>IF(OR(ISBLANK(C1425),C1425="",M1425=""),"In Progress",IF(M1425&lt;=J1425,"Met","Breached"))</f>
        <v>In Progress</v>
      </c>
    </row>
    <row r="1426" ht="19" customHeight="1" spans="1:14" x14ac:dyDescent="0.25">
      <c r="A1426" s="19" t="s">
        <v>1540</v>
      </c>
      <c r="B1426" s="33">
        <v>46219.89166666666</v>
      </c>
      <c r="D1426" s="19" t="s">
        <v>42</v>
      </c>
      <c r="E1426" s="19" t="s">
        <v>61</v>
      </c>
      <c r="F1426" s="19" t="s">
        <v>40</v>
      </c>
      <c r="G1426" s="19" t="s">
        <v>113</v>
      </c>
      <c r="H1426" s="19" t="s">
        <v>67</v>
      </c>
      <c r="I1426" s="19" t="s">
        <v>117</v>
      </c>
      <c r="J1426" s="20">
        <v>12</v>
      </c>
      <c r="K1426" s="34">
        <v>0</v>
      </c>
      <c r="M1426" s="19" t="str">
        <f>IF(OR(ISBLANK(C1426),C1426=""),"",ROUND((C1426-B1426)*24,2))</f>
        <v/>
      </c>
      <c r="N1426" s="19" t="str">
        <f>IF(OR(ISBLANK(C1426),C1426="",M1426=""),"In Progress",IF(M1426&lt;=J1426,"Met","Breached"))</f>
        <v>In Progress</v>
      </c>
    </row>
    <row r="1427" ht="19" customHeight="1" spans="1:14" x14ac:dyDescent="0.25">
      <c r="A1427" s="22" t="s">
        <v>1541</v>
      </c>
      <c r="B1427" s="36">
        <v>45874.86319444445</v>
      </c>
      <c r="D1427" s="22" t="s">
        <v>39</v>
      </c>
      <c r="E1427" s="22" t="s">
        <v>65</v>
      </c>
      <c r="F1427" s="22" t="s">
        <v>37</v>
      </c>
      <c r="G1427" s="22" t="s">
        <v>63</v>
      </c>
      <c r="H1427" s="22" t="s">
        <v>59</v>
      </c>
      <c r="I1427" s="22" t="s">
        <v>111</v>
      </c>
      <c r="J1427" s="23">
        <v>48</v>
      </c>
      <c r="K1427" s="37">
        <v>0</v>
      </c>
      <c r="M1427" s="22" t="str">
        <f>IF(OR(ISBLANK(C1427),C1427=""),"",ROUND((C1427-B1427)*24,2))</f>
        <v/>
      </c>
      <c r="N1427" s="22" t="str">
        <f>IF(OR(ISBLANK(C1427),C1427="",M1427=""),"In Progress",IF(M1427&lt;=J1427,"Met","Breached"))</f>
        <v>In Progress</v>
      </c>
    </row>
    <row r="1428" ht="19" customHeight="1" spans="1:14" x14ac:dyDescent="0.25">
      <c r="A1428" s="19" t="s">
        <v>1542</v>
      </c>
      <c r="B1428" s="33">
        <v>45892.89097222222</v>
      </c>
      <c r="C1428" s="33">
        <v>45893.57361111111</v>
      </c>
      <c r="D1428" s="19" t="s">
        <v>33</v>
      </c>
      <c r="E1428" s="19" t="s">
        <v>65</v>
      </c>
      <c r="F1428" s="19" t="s">
        <v>37</v>
      </c>
      <c r="G1428" s="19" t="s">
        <v>110</v>
      </c>
      <c r="H1428" s="19" t="s">
        <v>67</v>
      </c>
      <c r="I1428" s="19" t="s">
        <v>117</v>
      </c>
      <c r="J1428" s="20">
        <v>48</v>
      </c>
      <c r="K1428" s="34">
        <v>0</v>
      </c>
      <c r="L1428" s="34">
        <v>4</v>
      </c>
      <c r="M1428" s="19">
        <f>IF(OR(ISBLANK(C1428),C1428=""),"",ROUND((C1428-B1428)*24,2))</f>
        <v>16.38</v>
      </c>
      <c r="N1428" s="35" t="str">
        <f>IF(OR(ISBLANK(C1428),C1428="",M1428=""),"In Progress",IF(M1428&lt;=J1428,"Met","Breached"))</f>
        <v>Met</v>
      </c>
    </row>
    <row r="1429" ht="19" customHeight="1" spans="1:14" x14ac:dyDescent="0.25">
      <c r="A1429" s="22" t="s">
        <v>1543</v>
      </c>
      <c r="B1429" s="36">
        <v>45872.69583333333</v>
      </c>
      <c r="C1429" s="36">
        <v>45873.40486111111</v>
      </c>
      <c r="D1429" s="22" t="s">
        <v>33</v>
      </c>
      <c r="E1429" s="22" t="s">
        <v>61</v>
      </c>
      <c r="F1429" s="22" t="s">
        <v>34</v>
      </c>
      <c r="G1429" s="22" t="s">
        <v>121</v>
      </c>
      <c r="H1429" s="22" t="s">
        <v>71</v>
      </c>
      <c r="I1429" s="22" t="s">
        <v>147</v>
      </c>
      <c r="J1429" s="23">
        <v>12</v>
      </c>
      <c r="K1429" s="37">
        <v>1</v>
      </c>
      <c r="M1429" s="22">
        <f>IF(OR(ISBLANK(C1429),C1429=""),"",ROUND((C1429-B1429)*24,2))</f>
        <v>17.02</v>
      </c>
      <c r="N1429" s="38" t="str">
        <f>IF(OR(ISBLANK(C1429),C1429="",M1429=""),"In Progress",IF(M1429&lt;=J1429,"Met","Breached"))</f>
        <v>Breached</v>
      </c>
    </row>
    <row r="1430" ht="19" customHeight="1" spans="1:14" x14ac:dyDescent="0.25">
      <c r="A1430" s="19" t="s">
        <v>1544</v>
      </c>
      <c r="B1430" s="33">
        <v>46012.59305555555</v>
      </c>
      <c r="C1430" s="33">
        <v>46019.32986111111</v>
      </c>
      <c r="D1430" s="19" t="s">
        <v>36</v>
      </c>
      <c r="E1430" s="19" t="s">
        <v>69</v>
      </c>
      <c r="F1430" s="19" t="s">
        <v>43</v>
      </c>
      <c r="G1430" s="19" t="s">
        <v>63</v>
      </c>
      <c r="H1430" s="19" t="s">
        <v>59</v>
      </c>
      <c r="I1430" s="19" t="s">
        <v>123</v>
      </c>
      <c r="J1430" s="20">
        <v>120</v>
      </c>
      <c r="K1430" s="34">
        <v>0</v>
      </c>
      <c r="L1430" s="34">
        <v>5</v>
      </c>
      <c r="M1430" s="19">
        <f>IF(OR(ISBLANK(C1430),C1430=""),"",ROUND((C1430-B1430)*24,2))</f>
        <v>161.68</v>
      </c>
      <c r="N1430" s="39" t="str">
        <f>IF(OR(ISBLANK(C1430),C1430="",M1430=""),"In Progress",IF(M1430&lt;=J1430,"Met","Breached"))</f>
        <v>Breached</v>
      </c>
    </row>
    <row r="1431" ht="19" customHeight="1" spans="1:14" x14ac:dyDescent="0.25">
      <c r="A1431" s="22" t="s">
        <v>1545</v>
      </c>
      <c r="B1431" s="36">
        <v>45854.57152777778</v>
      </c>
      <c r="C1431" s="36">
        <v>45858.90972222222</v>
      </c>
      <c r="D1431" s="22" t="s">
        <v>33</v>
      </c>
      <c r="E1431" s="22" t="s">
        <v>69</v>
      </c>
      <c r="F1431" s="22" t="s">
        <v>40</v>
      </c>
      <c r="G1431" s="22" t="s">
        <v>116</v>
      </c>
      <c r="H1431" s="22" t="s">
        <v>71</v>
      </c>
      <c r="I1431" s="22" t="s">
        <v>114</v>
      </c>
      <c r="J1431" s="23">
        <v>120</v>
      </c>
      <c r="K1431" s="37">
        <v>0</v>
      </c>
      <c r="L1431" s="37">
        <v>4</v>
      </c>
      <c r="M1431" s="22">
        <f>IF(OR(ISBLANK(C1431),C1431=""),"",ROUND((C1431-B1431)*24,2))</f>
        <v>104.12</v>
      </c>
      <c r="N1431" s="40" t="str">
        <f>IF(OR(ISBLANK(C1431),C1431="",M1431=""),"In Progress",IF(M1431&lt;=J1431,"Met","Breached"))</f>
        <v>Met</v>
      </c>
    </row>
    <row r="1432" ht="19" customHeight="1" spans="1:14" x14ac:dyDescent="0.25">
      <c r="A1432" s="19" t="s">
        <v>1546</v>
      </c>
      <c r="B1432" s="33">
        <v>45968.3</v>
      </c>
      <c r="C1432" s="33">
        <v>45975.85555555555</v>
      </c>
      <c r="D1432" s="19" t="s">
        <v>33</v>
      </c>
      <c r="E1432" s="19" t="s">
        <v>69</v>
      </c>
      <c r="F1432" s="19" t="s">
        <v>37</v>
      </c>
      <c r="G1432" s="19" t="s">
        <v>121</v>
      </c>
      <c r="H1432" s="19" t="s">
        <v>59</v>
      </c>
      <c r="I1432" s="19" t="s">
        <v>108</v>
      </c>
      <c r="J1432" s="20">
        <v>120</v>
      </c>
      <c r="K1432" s="34">
        <v>0</v>
      </c>
      <c r="L1432" s="34">
        <v>4</v>
      </c>
      <c r="M1432" s="19">
        <f>IF(OR(ISBLANK(C1432),C1432=""),"",ROUND((C1432-B1432)*24,2))</f>
        <v>181.33</v>
      </c>
      <c r="N1432" s="39" t="str">
        <f>IF(OR(ISBLANK(C1432),C1432="",M1432=""),"In Progress",IF(M1432&lt;=J1432,"Met","Breached"))</f>
        <v>Breached</v>
      </c>
    </row>
    <row r="1433" ht="19" customHeight="1" spans="1:14" x14ac:dyDescent="0.25">
      <c r="A1433" s="22" t="s">
        <v>1547</v>
      </c>
      <c r="B1433" s="36">
        <v>46011.10833333334</v>
      </c>
      <c r="D1433" s="22" t="s">
        <v>42</v>
      </c>
      <c r="E1433" s="22" t="s">
        <v>61</v>
      </c>
      <c r="F1433" s="22" t="s">
        <v>45</v>
      </c>
      <c r="G1433" s="22" t="s">
        <v>113</v>
      </c>
      <c r="H1433" s="22" t="s">
        <v>63</v>
      </c>
      <c r="I1433" s="22" t="s">
        <v>117</v>
      </c>
      <c r="J1433" s="23">
        <v>12</v>
      </c>
      <c r="K1433" s="37">
        <v>0</v>
      </c>
      <c r="M1433" s="22" t="str">
        <f>IF(OR(ISBLANK(C1433),C1433=""),"",ROUND((C1433-B1433)*24,2))</f>
        <v/>
      </c>
      <c r="N1433" s="22" t="str">
        <f>IF(OR(ISBLANK(C1433),C1433="",M1433=""),"In Progress",IF(M1433&lt;=J1433,"Met","Breached"))</f>
        <v>In Progress</v>
      </c>
    </row>
    <row r="1434" ht="19" customHeight="1" spans="1:14" x14ac:dyDescent="0.25">
      <c r="A1434" s="19" t="s">
        <v>1548</v>
      </c>
      <c r="B1434" s="33">
        <v>45690.94791666667</v>
      </c>
      <c r="C1434" s="33">
        <v>45691.089583333334</v>
      </c>
      <c r="D1434" s="19" t="s">
        <v>36</v>
      </c>
      <c r="E1434" s="19" t="s">
        <v>57</v>
      </c>
      <c r="F1434" s="19" t="s">
        <v>34</v>
      </c>
      <c r="G1434" s="19" t="s">
        <v>63</v>
      </c>
      <c r="H1434" s="19" t="s">
        <v>59</v>
      </c>
      <c r="I1434" s="19" t="s">
        <v>108</v>
      </c>
      <c r="J1434" s="20">
        <v>4</v>
      </c>
      <c r="K1434" s="34">
        <v>0</v>
      </c>
      <c r="M1434" s="19">
        <f>IF(OR(ISBLANK(C1434),C1434=""),"",ROUND((C1434-B1434)*24,2))</f>
        <v>3.4</v>
      </c>
      <c r="N1434" s="35" t="str">
        <f>IF(OR(ISBLANK(C1434),C1434="",M1434=""),"In Progress",IF(M1434&lt;=J1434,"Met","Breached"))</f>
        <v>Met</v>
      </c>
    </row>
    <row r="1435" ht="19" customHeight="1" spans="1:14" x14ac:dyDescent="0.25">
      <c r="A1435" s="22" t="s">
        <v>1549</v>
      </c>
      <c r="B1435" s="36">
        <v>45751.275</v>
      </c>
      <c r="C1435" s="36">
        <v>45756.77777777778</v>
      </c>
      <c r="D1435" s="22" t="s">
        <v>33</v>
      </c>
      <c r="E1435" s="22" t="s">
        <v>69</v>
      </c>
      <c r="F1435" s="22" t="s">
        <v>45</v>
      </c>
      <c r="G1435" s="22" t="s">
        <v>113</v>
      </c>
      <c r="H1435" s="22" t="s">
        <v>71</v>
      </c>
      <c r="I1435" s="22" t="s">
        <v>123</v>
      </c>
      <c r="J1435" s="23">
        <v>120</v>
      </c>
      <c r="K1435" s="37">
        <v>0</v>
      </c>
      <c r="L1435" s="37">
        <v>5</v>
      </c>
      <c r="M1435" s="22">
        <f>IF(OR(ISBLANK(C1435),C1435=""),"",ROUND((C1435-B1435)*24,2))</f>
        <v>132.07</v>
      </c>
      <c r="N1435" s="38" t="str">
        <f>IF(OR(ISBLANK(C1435),C1435="",M1435=""),"In Progress",IF(M1435&lt;=J1435,"Met","Breached"))</f>
        <v>Breached</v>
      </c>
    </row>
    <row r="1436" ht="19" customHeight="1" spans="1:14" x14ac:dyDescent="0.25">
      <c r="A1436" s="19" t="s">
        <v>1550</v>
      </c>
      <c r="B1436" s="33">
        <v>46258.88055555556</v>
      </c>
      <c r="C1436" s="33">
        <v>46260.52916666667</v>
      </c>
      <c r="D1436" s="19" t="s">
        <v>33</v>
      </c>
      <c r="E1436" s="19" t="s">
        <v>65</v>
      </c>
      <c r="F1436" s="19" t="s">
        <v>37</v>
      </c>
      <c r="G1436" s="19" t="s">
        <v>116</v>
      </c>
      <c r="H1436" s="19" t="s">
        <v>63</v>
      </c>
      <c r="I1436" s="19" t="s">
        <v>111</v>
      </c>
      <c r="J1436" s="20">
        <v>48</v>
      </c>
      <c r="K1436" s="34">
        <v>0</v>
      </c>
      <c r="M1436" s="19">
        <f>IF(OR(ISBLANK(C1436),C1436=""),"",ROUND((C1436-B1436)*24,2))</f>
        <v>39.57</v>
      </c>
      <c r="N1436" s="35" t="str">
        <f>IF(OR(ISBLANK(C1436),C1436="",M1436=""),"In Progress",IF(M1436&lt;=J1436,"Met","Breached"))</f>
        <v>Met</v>
      </c>
    </row>
    <row r="1437" ht="19" customHeight="1" spans="1:14" x14ac:dyDescent="0.25">
      <c r="A1437" s="22" t="s">
        <v>1551</v>
      </c>
      <c r="B1437" s="36">
        <v>46253.01111111111</v>
      </c>
      <c r="C1437" s="36">
        <v>46254.70347222222</v>
      </c>
      <c r="D1437" s="22" t="s">
        <v>33</v>
      </c>
      <c r="E1437" s="22" t="s">
        <v>65</v>
      </c>
      <c r="F1437" s="22" t="s">
        <v>34</v>
      </c>
      <c r="G1437" s="22" t="s">
        <v>126</v>
      </c>
      <c r="H1437" s="22" t="s">
        <v>59</v>
      </c>
      <c r="I1437" s="22" t="s">
        <v>117</v>
      </c>
      <c r="J1437" s="23">
        <v>48</v>
      </c>
      <c r="K1437" s="37">
        <v>1</v>
      </c>
      <c r="L1437" s="37">
        <v>1</v>
      </c>
      <c r="M1437" s="22">
        <f>IF(OR(ISBLANK(C1437),C1437=""),"",ROUND((C1437-B1437)*24,2))</f>
        <v>40.62</v>
      </c>
      <c r="N1437" s="40" t="str">
        <f>IF(OR(ISBLANK(C1437),C1437="",M1437=""),"In Progress",IF(M1437&lt;=J1437,"Met","Breached"))</f>
        <v>Met</v>
      </c>
    </row>
    <row r="1438" ht="19" customHeight="1" spans="1:14" x14ac:dyDescent="0.25">
      <c r="A1438" s="19" t="s">
        <v>1552</v>
      </c>
      <c r="B1438" s="33">
        <v>46214.33333333333</v>
      </c>
      <c r="C1438" s="33">
        <v>46217.225</v>
      </c>
      <c r="D1438" s="19" t="s">
        <v>33</v>
      </c>
      <c r="E1438" s="19" t="s">
        <v>69</v>
      </c>
      <c r="F1438" s="19" t="s">
        <v>37</v>
      </c>
      <c r="G1438" s="19" t="s">
        <v>113</v>
      </c>
      <c r="H1438" s="19" t="s">
        <v>67</v>
      </c>
      <c r="I1438" s="19" t="s">
        <v>117</v>
      </c>
      <c r="J1438" s="20">
        <v>120</v>
      </c>
      <c r="K1438" s="34">
        <v>0</v>
      </c>
      <c r="M1438" s="19">
        <f>IF(OR(ISBLANK(C1438),C1438=""),"",ROUND((C1438-B1438)*24,2))</f>
        <v>69.4</v>
      </c>
      <c r="N1438" s="35" t="str">
        <f>IF(OR(ISBLANK(C1438),C1438="",M1438=""),"In Progress",IF(M1438&lt;=J1438,"Met","Breached"))</f>
        <v>Met</v>
      </c>
    </row>
    <row r="1439" ht="19" customHeight="1" spans="1:14" x14ac:dyDescent="0.25">
      <c r="A1439" s="22" t="s">
        <v>1553</v>
      </c>
      <c r="B1439" s="36">
        <v>46236.80138888889</v>
      </c>
      <c r="C1439" s="36">
        <v>46239.55</v>
      </c>
      <c r="D1439" s="22" t="s">
        <v>33</v>
      </c>
      <c r="E1439" s="22" t="s">
        <v>65</v>
      </c>
      <c r="F1439" s="22" t="s">
        <v>43</v>
      </c>
      <c r="G1439" s="22" t="s">
        <v>121</v>
      </c>
      <c r="H1439" s="22" t="s">
        <v>59</v>
      </c>
      <c r="I1439" s="22" t="s">
        <v>111</v>
      </c>
      <c r="J1439" s="23">
        <v>48</v>
      </c>
      <c r="K1439" s="37">
        <v>0</v>
      </c>
      <c r="L1439" s="37">
        <v>2</v>
      </c>
      <c r="M1439" s="22">
        <f>IF(OR(ISBLANK(C1439),C1439=""),"",ROUND((C1439-B1439)*24,2))</f>
        <v>65.97</v>
      </c>
      <c r="N1439" s="38" t="str">
        <f>IF(OR(ISBLANK(C1439),C1439="",M1439=""),"In Progress",IF(M1439&lt;=J1439,"Met","Breached"))</f>
        <v>Breached</v>
      </c>
    </row>
    <row r="1440" ht="19" customHeight="1" spans="1:14" x14ac:dyDescent="0.25">
      <c r="A1440" s="19" t="s">
        <v>1554</v>
      </c>
      <c r="B1440" s="33">
        <v>45679.61944444444</v>
      </c>
      <c r="D1440" s="19" t="s">
        <v>39</v>
      </c>
      <c r="E1440" s="19" t="s">
        <v>69</v>
      </c>
      <c r="F1440" s="19" t="s">
        <v>40</v>
      </c>
      <c r="G1440" s="19" t="s">
        <v>113</v>
      </c>
      <c r="H1440" s="19" t="s">
        <v>59</v>
      </c>
      <c r="I1440" s="19" t="s">
        <v>117</v>
      </c>
      <c r="J1440" s="20">
        <v>120</v>
      </c>
      <c r="K1440" s="34">
        <v>0</v>
      </c>
      <c r="M1440" s="19" t="str">
        <f>IF(OR(ISBLANK(C1440),C1440=""),"",ROUND((C1440-B1440)*24,2))</f>
        <v/>
      </c>
      <c r="N1440" s="19" t="str">
        <f>IF(OR(ISBLANK(C1440),C1440="",M1440=""),"In Progress",IF(M1440&lt;=J1440,"Met","Breached"))</f>
        <v>In Progress</v>
      </c>
    </row>
    <row r="1441" ht="19" customHeight="1" spans="1:14" x14ac:dyDescent="0.25">
      <c r="A1441" s="22" t="s">
        <v>1555</v>
      </c>
      <c r="B1441" s="36">
        <v>45989.790972222225</v>
      </c>
      <c r="C1441" s="36">
        <v>45990.44583333333</v>
      </c>
      <c r="D1441" s="22" t="s">
        <v>36</v>
      </c>
      <c r="E1441" s="22" t="s">
        <v>61</v>
      </c>
      <c r="F1441" s="22" t="s">
        <v>34</v>
      </c>
      <c r="G1441" s="22" t="s">
        <v>116</v>
      </c>
      <c r="H1441" s="22" t="s">
        <v>59</v>
      </c>
      <c r="I1441" s="22" t="s">
        <v>108</v>
      </c>
      <c r="J1441" s="23">
        <v>12</v>
      </c>
      <c r="K1441" s="37">
        <v>0</v>
      </c>
      <c r="L1441" s="37">
        <v>2</v>
      </c>
      <c r="M1441" s="22">
        <f>IF(OR(ISBLANK(C1441),C1441=""),"",ROUND((C1441-B1441)*24,2))</f>
        <v>15.72</v>
      </c>
      <c r="N1441" s="38" t="str">
        <f>IF(OR(ISBLANK(C1441),C1441="",M1441=""),"In Progress",IF(M1441&lt;=J1441,"Met","Breached"))</f>
        <v>Breached</v>
      </c>
    </row>
    <row r="1442" ht="19" customHeight="1" spans="1:14" x14ac:dyDescent="0.25">
      <c r="A1442" s="19" t="s">
        <v>1556</v>
      </c>
      <c r="B1442" s="33">
        <v>46134.025</v>
      </c>
      <c r="D1442" s="19" t="s">
        <v>42</v>
      </c>
      <c r="E1442" s="19" t="s">
        <v>61</v>
      </c>
      <c r="F1442" s="19" t="s">
        <v>40</v>
      </c>
      <c r="G1442" s="19" t="s">
        <v>113</v>
      </c>
      <c r="H1442" s="19" t="s">
        <v>59</v>
      </c>
      <c r="I1442" s="19" t="s">
        <v>108</v>
      </c>
      <c r="J1442" s="20">
        <v>12</v>
      </c>
      <c r="K1442" s="34">
        <v>0</v>
      </c>
      <c r="M1442" s="19" t="str">
        <f>IF(OR(ISBLANK(C1442),C1442=""),"",ROUND((C1442-B1442)*24,2))</f>
        <v/>
      </c>
      <c r="N1442" s="19" t="str">
        <f>IF(OR(ISBLANK(C1442),C1442="",M1442=""),"In Progress",IF(M1442&lt;=J1442,"Met","Breached"))</f>
        <v>In Progress</v>
      </c>
    </row>
    <row r="1443" ht="19" customHeight="1" spans="1:14" x14ac:dyDescent="0.25">
      <c r="A1443" s="22" t="s">
        <v>1557</v>
      </c>
      <c r="B1443" s="36">
        <v>46148.64513888889</v>
      </c>
      <c r="D1443" s="22" t="s">
        <v>39</v>
      </c>
      <c r="E1443" s="22" t="s">
        <v>61</v>
      </c>
      <c r="F1443" s="22" t="s">
        <v>37</v>
      </c>
      <c r="G1443" s="22" t="s">
        <v>63</v>
      </c>
      <c r="H1443" s="22" t="s">
        <v>63</v>
      </c>
      <c r="I1443" s="22" t="s">
        <v>114</v>
      </c>
      <c r="J1443" s="23">
        <v>12</v>
      </c>
      <c r="K1443" s="37">
        <v>0</v>
      </c>
      <c r="M1443" s="22" t="str">
        <f>IF(OR(ISBLANK(C1443),C1443=""),"",ROUND((C1443-B1443)*24,2))</f>
        <v/>
      </c>
      <c r="N1443" s="22" t="str">
        <f>IF(OR(ISBLANK(C1443),C1443="",M1443=""),"In Progress",IF(M1443&lt;=J1443,"Met","Breached"))</f>
        <v>In Progress</v>
      </c>
    </row>
    <row r="1444" ht="19" customHeight="1" spans="1:14" x14ac:dyDescent="0.25">
      <c r="A1444" s="19" t="s">
        <v>1558</v>
      </c>
      <c r="B1444" s="33">
        <v>45982.058333333334</v>
      </c>
      <c r="C1444" s="33">
        <v>45985.35486111111</v>
      </c>
      <c r="D1444" s="19" t="s">
        <v>33</v>
      </c>
      <c r="E1444" s="19" t="s">
        <v>65</v>
      </c>
      <c r="F1444" s="19" t="s">
        <v>37</v>
      </c>
      <c r="G1444" s="19" t="s">
        <v>116</v>
      </c>
      <c r="H1444" s="19" t="s">
        <v>59</v>
      </c>
      <c r="I1444" s="19" t="s">
        <v>147</v>
      </c>
      <c r="J1444" s="20">
        <v>48</v>
      </c>
      <c r="K1444" s="34">
        <v>0</v>
      </c>
      <c r="L1444" s="34">
        <v>4</v>
      </c>
      <c r="M1444" s="19">
        <f>IF(OR(ISBLANK(C1444),C1444=""),"",ROUND((C1444-B1444)*24,2))</f>
        <v>79.12</v>
      </c>
      <c r="N1444" s="39" t="str">
        <f>IF(OR(ISBLANK(C1444),C1444="",M1444=""),"In Progress",IF(M1444&lt;=J1444,"Met","Breached"))</f>
        <v>Breached</v>
      </c>
    </row>
    <row r="1445" ht="19" customHeight="1" spans="1:14" x14ac:dyDescent="0.25">
      <c r="A1445" s="22" t="s">
        <v>1559</v>
      </c>
      <c r="B1445" s="36">
        <v>46281.054861111115</v>
      </c>
      <c r="D1445" s="22" t="s">
        <v>42</v>
      </c>
      <c r="E1445" s="22" t="s">
        <v>69</v>
      </c>
      <c r="F1445" s="22" t="s">
        <v>37</v>
      </c>
      <c r="G1445" s="22" t="s">
        <v>113</v>
      </c>
      <c r="H1445" s="22" t="s">
        <v>71</v>
      </c>
      <c r="I1445" s="22" t="s">
        <v>108</v>
      </c>
      <c r="J1445" s="23">
        <v>120</v>
      </c>
      <c r="K1445" s="37">
        <v>0</v>
      </c>
      <c r="M1445" s="22" t="str">
        <f>IF(OR(ISBLANK(C1445),C1445=""),"",ROUND((C1445-B1445)*24,2))</f>
        <v/>
      </c>
      <c r="N1445" s="22" t="str">
        <f>IF(OR(ISBLANK(C1445),C1445="",M1445=""),"In Progress",IF(M1445&lt;=J1445,"Met","Breached"))</f>
        <v>In Progress</v>
      </c>
    </row>
    <row r="1446" ht="19" customHeight="1" spans="1:14" x14ac:dyDescent="0.25">
      <c r="A1446" s="19" t="s">
        <v>1560</v>
      </c>
      <c r="B1446" s="33">
        <v>46155.72986111111</v>
      </c>
      <c r="C1446" s="33">
        <v>46156.90347222222</v>
      </c>
      <c r="D1446" s="19" t="s">
        <v>36</v>
      </c>
      <c r="E1446" s="19" t="s">
        <v>65</v>
      </c>
      <c r="F1446" s="19" t="s">
        <v>43</v>
      </c>
      <c r="G1446" s="19" t="s">
        <v>110</v>
      </c>
      <c r="H1446" s="19" t="s">
        <v>59</v>
      </c>
      <c r="I1446" s="19" t="s">
        <v>108</v>
      </c>
      <c r="J1446" s="20">
        <v>48</v>
      </c>
      <c r="K1446" s="34">
        <v>0</v>
      </c>
      <c r="M1446" s="19">
        <f>IF(OR(ISBLANK(C1446),C1446=""),"",ROUND((C1446-B1446)*24,2))</f>
        <v>28.17</v>
      </c>
      <c r="N1446" s="35" t="str">
        <f>IF(OR(ISBLANK(C1446),C1446="",M1446=""),"In Progress",IF(M1446&lt;=J1446,"Met","Breached"))</f>
        <v>Met</v>
      </c>
    </row>
    <row r="1447" ht="19" customHeight="1" spans="1:14" x14ac:dyDescent="0.25">
      <c r="A1447" s="22" t="s">
        <v>1561</v>
      </c>
      <c r="B1447" s="36">
        <v>46084.40277777778</v>
      </c>
      <c r="C1447" s="36">
        <v>46088.06180555555</v>
      </c>
      <c r="D1447" s="22" t="s">
        <v>36</v>
      </c>
      <c r="E1447" s="22" t="s">
        <v>69</v>
      </c>
      <c r="F1447" s="22" t="s">
        <v>37</v>
      </c>
      <c r="G1447" s="22" t="s">
        <v>121</v>
      </c>
      <c r="H1447" s="22" t="s">
        <v>59</v>
      </c>
      <c r="I1447" s="22" t="s">
        <v>108</v>
      </c>
      <c r="J1447" s="23">
        <v>120</v>
      </c>
      <c r="K1447" s="37">
        <v>0</v>
      </c>
      <c r="M1447" s="22">
        <f>IF(OR(ISBLANK(C1447),C1447=""),"",ROUND((C1447-B1447)*24,2))</f>
        <v>87.82</v>
      </c>
      <c r="N1447" s="40" t="str">
        <f>IF(OR(ISBLANK(C1447),C1447="",M1447=""),"In Progress",IF(M1447&lt;=J1447,"Met","Breached"))</f>
        <v>Met</v>
      </c>
    </row>
    <row r="1448" ht="19" customHeight="1" spans="1:14" x14ac:dyDescent="0.25">
      <c r="A1448" s="19" t="s">
        <v>1562</v>
      </c>
      <c r="B1448" s="33">
        <v>45666.43888888889</v>
      </c>
      <c r="C1448" s="33">
        <v>45666.62152777778</v>
      </c>
      <c r="D1448" s="19" t="s">
        <v>33</v>
      </c>
      <c r="E1448" s="19" t="s">
        <v>61</v>
      </c>
      <c r="F1448" s="19" t="s">
        <v>34</v>
      </c>
      <c r="G1448" s="19" t="s">
        <v>110</v>
      </c>
      <c r="H1448" s="19" t="s">
        <v>59</v>
      </c>
      <c r="I1448" s="19" t="s">
        <v>117</v>
      </c>
      <c r="J1448" s="20">
        <v>12</v>
      </c>
      <c r="K1448" s="34">
        <v>0</v>
      </c>
      <c r="L1448" s="34">
        <v>1</v>
      </c>
      <c r="M1448" s="19">
        <f>IF(OR(ISBLANK(C1448),C1448=""),"",ROUND((C1448-B1448)*24,2))</f>
        <v>4.38</v>
      </c>
      <c r="N1448" s="35" t="str">
        <f>IF(OR(ISBLANK(C1448),C1448="",M1448=""),"In Progress",IF(M1448&lt;=J1448,"Met","Breached"))</f>
        <v>Met</v>
      </c>
    </row>
    <row r="1449" ht="19" customHeight="1" spans="1:14" x14ac:dyDescent="0.25">
      <c r="A1449" s="22" t="s">
        <v>1563</v>
      </c>
      <c r="B1449" s="36">
        <v>46224.72013888889</v>
      </c>
      <c r="C1449" s="36">
        <v>46227.70138888889</v>
      </c>
      <c r="D1449" s="22" t="s">
        <v>33</v>
      </c>
      <c r="E1449" s="22" t="s">
        <v>65</v>
      </c>
      <c r="F1449" s="22" t="s">
        <v>45</v>
      </c>
      <c r="G1449" s="22" t="s">
        <v>63</v>
      </c>
      <c r="H1449" s="22" t="s">
        <v>63</v>
      </c>
      <c r="I1449" s="22" t="s">
        <v>147</v>
      </c>
      <c r="J1449" s="23">
        <v>48</v>
      </c>
      <c r="K1449" s="37">
        <v>0</v>
      </c>
      <c r="M1449" s="22">
        <f>IF(OR(ISBLANK(C1449),C1449=""),"",ROUND((C1449-B1449)*24,2))</f>
        <v>71.55</v>
      </c>
      <c r="N1449" s="38" t="str">
        <f>IF(OR(ISBLANK(C1449),C1449="",M1449=""),"In Progress",IF(M1449&lt;=J1449,"Met","Breached"))</f>
        <v>Breached</v>
      </c>
    </row>
    <row r="1450" ht="19" customHeight="1" spans="1:14" x14ac:dyDescent="0.25">
      <c r="A1450" s="19" t="s">
        <v>1564</v>
      </c>
      <c r="B1450" s="33">
        <v>46180.32847222222</v>
      </c>
      <c r="C1450" s="33">
        <v>46181.01041666667</v>
      </c>
      <c r="D1450" s="19" t="s">
        <v>33</v>
      </c>
      <c r="E1450" s="19" t="s">
        <v>65</v>
      </c>
      <c r="F1450" s="19" t="s">
        <v>37</v>
      </c>
      <c r="G1450" s="19" t="s">
        <v>63</v>
      </c>
      <c r="H1450" s="19" t="s">
        <v>59</v>
      </c>
      <c r="I1450" s="19" t="s">
        <v>111</v>
      </c>
      <c r="J1450" s="20">
        <v>48</v>
      </c>
      <c r="K1450" s="34">
        <v>0</v>
      </c>
      <c r="L1450" s="34">
        <v>3</v>
      </c>
      <c r="M1450" s="19">
        <f>IF(OR(ISBLANK(C1450),C1450=""),"",ROUND((C1450-B1450)*24,2))</f>
        <v>16.37</v>
      </c>
      <c r="N1450" s="35" t="str">
        <f>IF(OR(ISBLANK(C1450),C1450="",M1450=""),"In Progress",IF(M1450&lt;=J1450,"Met","Breached"))</f>
        <v>Met</v>
      </c>
    </row>
    <row r="1451" ht="19" customHeight="1" spans="1:14" x14ac:dyDescent="0.25">
      <c r="A1451" s="22" t="s">
        <v>1565</v>
      </c>
      <c r="B1451" s="36">
        <v>45971.61388888889</v>
      </c>
      <c r="C1451" s="36">
        <v>45971.88055555556</v>
      </c>
      <c r="D1451" s="22" t="s">
        <v>36</v>
      </c>
      <c r="E1451" s="22" t="s">
        <v>57</v>
      </c>
      <c r="F1451" s="22" t="s">
        <v>45</v>
      </c>
      <c r="G1451" s="22" t="s">
        <v>110</v>
      </c>
      <c r="H1451" s="22" t="s">
        <v>71</v>
      </c>
      <c r="I1451" s="22" t="s">
        <v>147</v>
      </c>
      <c r="J1451" s="23">
        <v>4</v>
      </c>
      <c r="K1451" s="37">
        <v>0</v>
      </c>
      <c r="M1451" s="22">
        <f>IF(OR(ISBLANK(C1451),C1451=""),"",ROUND((C1451-B1451)*24,2))</f>
        <v>6.4</v>
      </c>
      <c r="N1451" s="38" t="str">
        <f>IF(OR(ISBLANK(C1451),C1451="",M1451=""),"In Progress",IF(M1451&lt;=J1451,"Met","Breached"))</f>
        <v>Breached</v>
      </c>
    </row>
    <row r="1452" ht="19" customHeight="1" spans="1:14" x14ac:dyDescent="0.25">
      <c r="A1452" s="19" t="s">
        <v>1566</v>
      </c>
      <c r="B1452" s="33">
        <v>46283.88333333333</v>
      </c>
      <c r="D1452" s="19" t="s">
        <v>39</v>
      </c>
      <c r="E1452" s="19" t="s">
        <v>65</v>
      </c>
      <c r="F1452" s="19" t="s">
        <v>43</v>
      </c>
      <c r="G1452" s="19" t="s">
        <v>63</v>
      </c>
      <c r="H1452" s="19" t="s">
        <v>71</v>
      </c>
      <c r="I1452" s="19" t="s">
        <v>108</v>
      </c>
      <c r="J1452" s="20">
        <v>48</v>
      </c>
      <c r="K1452" s="34">
        <v>0</v>
      </c>
      <c r="M1452" s="19" t="str">
        <f>IF(OR(ISBLANK(C1452),C1452=""),"",ROUND((C1452-B1452)*24,2))</f>
        <v/>
      </c>
      <c r="N1452" s="19" t="str">
        <f>IF(OR(ISBLANK(C1452),C1452="",M1452=""),"In Progress",IF(M1452&lt;=J1452,"Met","Breached"))</f>
        <v>In Progress</v>
      </c>
    </row>
    <row r="1453" ht="19" customHeight="1" spans="1:14" x14ac:dyDescent="0.25">
      <c r="A1453" s="22" t="s">
        <v>1567</v>
      </c>
      <c r="B1453" s="36">
        <v>45972.80763888889</v>
      </c>
      <c r="D1453" s="22" t="s">
        <v>42</v>
      </c>
      <c r="E1453" s="22" t="s">
        <v>65</v>
      </c>
      <c r="F1453" s="22" t="s">
        <v>43</v>
      </c>
      <c r="G1453" s="22" t="s">
        <v>116</v>
      </c>
      <c r="H1453" s="22" t="s">
        <v>59</v>
      </c>
      <c r="I1453" s="22" t="s">
        <v>114</v>
      </c>
      <c r="J1453" s="23">
        <v>48</v>
      </c>
      <c r="K1453" s="37">
        <v>0</v>
      </c>
      <c r="M1453" s="22" t="str">
        <f>IF(OR(ISBLANK(C1453),C1453=""),"",ROUND((C1453-B1453)*24,2))</f>
        <v/>
      </c>
      <c r="N1453" s="22" t="str">
        <f>IF(OR(ISBLANK(C1453),C1453="",M1453=""),"In Progress",IF(M1453&lt;=J1453,"Met","Breached"))</f>
        <v>In Progress</v>
      </c>
    </row>
    <row r="1454" ht="19" customHeight="1" spans="1:14" x14ac:dyDescent="0.25">
      <c r="A1454" s="19" t="s">
        <v>1568</v>
      </c>
      <c r="B1454" s="33">
        <v>46273.43958333333</v>
      </c>
      <c r="D1454" s="19" t="s">
        <v>39</v>
      </c>
      <c r="E1454" s="19" t="s">
        <v>65</v>
      </c>
      <c r="F1454" s="19" t="s">
        <v>43</v>
      </c>
      <c r="G1454" s="19" t="s">
        <v>110</v>
      </c>
      <c r="H1454" s="19" t="s">
        <v>71</v>
      </c>
      <c r="I1454" s="19" t="s">
        <v>117</v>
      </c>
      <c r="J1454" s="20">
        <v>48</v>
      </c>
      <c r="K1454" s="34">
        <v>0</v>
      </c>
      <c r="M1454" s="19" t="str">
        <f>IF(OR(ISBLANK(C1454),C1454=""),"",ROUND((C1454-B1454)*24,2))</f>
        <v/>
      </c>
      <c r="N1454" s="19" t="str">
        <f>IF(OR(ISBLANK(C1454),C1454="",M1454=""),"In Progress",IF(M1454&lt;=J1454,"Met","Breached"))</f>
        <v>In Progress</v>
      </c>
    </row>
    <row r="1455" ht="19" customHeight="1" spans="1:14" x14ac:dyDescent="0.25">
      <c r="A1455" s="22" t="s">
        <v>1569</v>
      </c>
      <c r="B1455" s="36">
        <v>46037.73263888889</v>
      </c>
      <c r="C1455" s="36">
        <v>46040.65</v>
      </c>
      <c r="D1455" s="22" t="s">
        <v>33</v>
      </c>
      <c r="E1455" s="22" t="s">
        <v>65</v>
      </c>
      <c r="F1455" s="22" t="s">
        <v>37</v>
      </c>
      <c r="G1455" s="22" t="s">
        <v>121</v>
      </c>
      <c r="H1455" s="22" t="s">
        <v>71</v>
      </c>
      <c r="I1455" s="22" t="s">
        <v>111</v>
      </c>
      <c r="J1455" s="23">
        <v>48</v>
      </c>
      <c r="K1455" s="37">
        <v>0</v>
      </c>
      <c r="L1455" s="37">
        <v>2</v>
      </c>
      <c r="M1455" s="22">
        <f>IF(OR(ISBLANK(C1455),C1455=""),"",ROUND((C1455-B1455)*24,2))</f>
        <v>70.02</v>
      </c>
      <c r="N1455" s="38" t="str">
        <f>IF(OR(ISBLANK(C1455),C1455="",M1455=""),"In Progress",IF(M1455&lt;=J1455,"Met","Breached"))</f>
        <v>Breached</v>
      </c>
    </row>
    <row r="1456" ht="19" customHeight="1" spans="1:14" x14ac:dyDescent="0.25">
      <c r="A1456" s="19" t="s">
        <v>1570</v>
      </c>
      <c r="B1456" s="33">
        <v>46236.27638888889</v>
      </c>
      <c r="D1456" s="19" t="s">
        <v>42</v>
      </c>
      <c r="E1456" s="19" t="s">
        <v>57</v>
      </c>
      <c r="F1456" s="19" t="s">
        <v>43</v>
      </c>
      <c r="G1456" s="19" t="s">
        <v>113</v>
      </c>
      <c r="H1456" s="19" t="s">
        <v>63</v>
      </c>
      <c r="I1456" s="19" t="s">
        <v>123</v>
      </c>
      <c r="J1456" s="20">
        <v>4</v>
      </c>
      <c r="K1456" s="34">
        <v>0</v>
      </c>
      <c r="M1456" s="19" t="str">
        <f>IF(OR(ISBLANK(C1456),C1456=""),"",ROUND((C1456-B1456)*24,2))</f>
        <v/>
      </c>
      <c r="N1456" s="19" t="str">
        <f>IF(OR(ISBLANK(C1456),C1456="",M1456=""),"In Progress",IF(M1456&lt;=J1456,"Met","Breached"))</f>
        <v>In Progress</v>
      </c>
    </row>
    <row r="1457" ht="19" customHeight="1" spans="1:14" x14ac:dyDescent="0.25">
      <c r="A1457" s="22" t="s">
        <v>1571</v>
      </c>
      <c r="B1457" s="36">
        <v>45958.53263888889</v>
      </c>
      <c r="C1457" s="36">
        <v>45959.040972222225</v>
      </c>
      <c r="D1457" s="22" t="s">
        <v>36</v>
      </c>
      <c r="E1457" s="22" t="s">
        <v>61</v>
      </c>
      <c r="F1457" s="22" t="s">
        <v>45</v>
      </c>
      <c r="G1457" s="22" t="s">
        <v>121</v>
      </c>
      <c r="H1457" s="22" t="s">
        <v>63</v>
      </c>
      <c r="I1457" s="22" t="s">
        <v>147</v>
      </c>
      <c r="J1457" s="23">
        <v>12</v>
      </c>
      <c r="K1457" s="37">
        <v>0</v>
      </c>
      <c r="M1457" s="22">
        <f>IF(OR(ISBLANK(C1457),C1457=""),"",ROUND((C1457-B1457)*24,2))</f>
        <v>12.2</v>
      </c>
      <c r="N1457" s="38" t="str">
        <f>IF(OR(ISBLANK(C1457),C1457="",M1457=""),"In Progress",IF(M1457&lt;=J1457,"Met","Breached"))</f>
        <v>Breached</v>
      </c>
    </row>
    <row r="1458" ht="19" customHeight="1" spans="1:14" x14ac:dyDescent="0.25">
      <c r="A1458" s="19" t="s">
        <v>1572</v>
      </c>
      <c r="B1458" s="33">
        <v>46089.8625</v>
      </c>
      <c r="D1458" s="19" t="s">
        <v>42</v>
      </c>
      <c r="E1458" s="19" t="s">
        <v>69</v>
      </c>
      <c r="F1458" s="19" t="s">
        <v>37</v>
      </c>
      <c r="G1458" s="19" t="s">
        <v>113</v>
      </c>
      <c r="H1458" s="19" t="s">
        <v>59</v>
      </c>
      <c r="I1458" s="19" t="s">
        <v>111</v>
      </c>
      <c r="J1458" s="20">
        <v>120</v>
      </c>
      <c r="K1458" s="34">
        <v>0</v>
      </c>
      <c r="M1458" s="19" t="str">
        <f>IF(OR(ISBLANK(C1458),C1458=""),"",ROUND((C1458-B1458)*24,2))</f>
        <v/>
      </c>
      <c r="N1458" s="19" t="str">
        <f>IF(OR(ISBLANK(C1458),C1458="",M1458=""),"In Progress",IF(M1458&lt;=J1458,"Met","Breached"))</f>
        <v>In Progress</v>
      </c>
    </row>
    <row r="1459" ht="19" customHeight="1" spans="1:14" x14ac:dyDescent="0.25">
      <c r="A1459" s="22" t="s">
        <v>1573</v>
      </c>
      <c r="B1459" s="36">
        <v>45677.48541666666</v>
      </c>
      <c r="C1459" s="36">
        <v>45677.87291666667</v>
      </c>
      <c r="D1459" s="22" t="s">
        <v>33</v>
      </c>
      <c r="E1459" s="22" t="s">
        <v>61</v>
      </c>
      <c r="F1459" s="22" t="s">
        <v>43</v>
      </c>
      <c r="G1459" s="22" t="s">
        <v>63</v>
      </c>
      <c r="H1459" s="22" t="s">
        <v>59</v>
      </c>
      <c r="I1459" s="22" t="s">
        <v>117</v>
      </c>
      <c r="J1459" s="23">
        <v>12</v>
      </c>
      <c r="K1459" s="37">
        <v>0</v>
      </c>
      <c r="L1459" s="37">
        <v>4</v>
      </c>
      <c r="M1459" s="22">
        <f>IF(OR(ISBLANK(C1459),C1459=""),"",ROUND((C1459-B1459)*24,2))</f>
        <v>9.3</v>
      </c>
      <c r="N1459" s="40" t="str">
        <f>IF(OR(ISBLANK(C1459),C1459="",M1459=""),"In Progress",IF(M1459&lt;=J1459,"Met","Breached"))</f>
        <v>Met</v>
      </c>
    </row>
    <row r="1460" ht="19" customHeight="1" spans="1:14" x14ac:dyDescent="0.25">
      <c r="A1460" s="19" t="s">
        <v>1574</v>
      </c>
      <c r="B1460" s="33">
        <v>45719.14166666666</v>
      </c>
      <c r="C1460" s="33">
        <v>45719.5625</v>
      </c>
      <c r="D1460" s="19" t="s">
        <v>36</v>
      </c>
      <c r="E1460" s="19" t="s">
        <v>61</v>
      </c>
      <c r="F1460" s="19" t="s">
        <v>37</v>
      </c>
      <c r="G1460" s="19" t="s">
        <v>63</v>
      </c>
      <c r="H1460" s="19" t="s">
        <v>67</v>
      </c>
      <c r="I1460" s="19" t="s">
        <v>123</v>
      </c>
      <c r="J1460" s="20">
        <v>12</v>
      </c>
      <c r="K1460" s="34">
        <v>0</v>
      </c>
      <c r="M1460" s="19">
        <f>IF(OR(ISBLANK(C1460),C1460=""),"",ROUND((C1460-B1460)*24,2))</f>
        <v>10.1</v>
      </c>
      <c r="N1460" s="35" t="str">
        <f>IF(OR(ISBLANK(C1460),C1460="",M1460=""),"In Progress",IF(M1460&lt;=J1460,"Met","Breached"))</f>
        <v>Met</v>
      </c>
    </row>
    <row r="1461" ht="19" customHeight="1" spans="1:14" x14ac:dyDescent="0.25">
      <c r="A1461" s="22" t="s">
        <v>1575</v>
      </c>
      <c r="B1461" s="36">
        <v>45912.48263888889</v>
      </c>
      <c r="C1461" s="36">
        <v>45916.02083333333</v>
      </c>
      <c r="D1461" s="22" t="s">
        <v>33</v>
      </c>
      <c r="E1461" s="22" t="s">
        <v>65</v>
      </c>
      <c r="F1461" s="22" t="s">
        <v>45</v>
      </c>
      <c r="G1461" s="22" t="s">
        <v>116</v>
      </c>
      <c r="H1461" s="22" t="s">
        <v>63</v>
      </c>
      <c r="I1461" s="22" t="s">
        <v>117</v>
      </c>
      <c r="J1461" s="23">
        <v>48</v>
      </c>
      <c r="K1461" s="37">
        <v>0</v>
      </c>
      <c r="L1461" s="37">
        <v>4</v>
      </c>
      <c r="M1461" s="22">
        <f>IF(OR(ISBLANK(C1461),C1461=""),"",ROUND((C1461-B1461)*24,2))</f>
        <v>84.92</v>
      </c>
      <c r="N1461" s="38" t="str">
        <f>IF(OR(ISBLANK(C1461),C1461="",M1461=""),"In Progress",IF(M1461&lt;=J1461,"Met","Breached"))</f>
        <v>Breached</v>
      </c>
    </row>
    <row r="1462" ht="19" customHeight="1" spans="1:14" x14ac:dyDescent="0.25">
      <c r="A1462" s="19" t="s">
        <v>1576</v>
      </c>
      <c r="B1462" s="33">
        <v>45739.73958333333</v>
      </c>
      <c r="D1462" s="19" t="s">
        <v>39</v>
      </c>
      <c r="E1462" s="19" t="s">
        <v>65</v>
      </c>
      <c r="F1462" s="19" t="s">
        <v>45</v>
      </c>
      <c r="G1462" s="19" t="s">
        <v>110</v>
      </c>
      <c r="H1462" s="19" t="s">
        <v>59</v>
      </c>
      <c r="I1462" s="19" t="s">
        <v>123</v>
      </c>
      <c r="J1462" s="20">
        <v>48</v>
      </c>
      <c r="K1462" s="34">
        <v>0</v>
      </c>
      <c r="M1462" s="19" t="str">
        <f>IF(OR(ISBLANK(C1462),C1462=""),"",ROUND((C1462-B1462)*24,2))</f>
        <v/>
      </c>
      <c r="N1462" s="19" t="str">
        <f>IF(OR(ISBLANK(C1462),C1462="",M1462=""),"In Progress",IF(M1462&lt;=J1462,"Met","Breached"))</f>
        <v>In Progress</v>
      </c>
    </row>
    <row r="1463" ht="19" customHeight="1" spans="1:14" x14ac:dyDescent="0.25">
      <c r="A1463" s="22" t="s">
        <v>1577</v>
      </c>
      <c r="B1463" s="36">
        <v>46011.7375</v>
      </c>
      <c r="C1463" s="36">
        <v>46013.53402777778</v>
      </c>
      <c r="D1463" s="22" t="s">
        <v>33</v>
      </c>
      <c r="E1463" s="22" t="s">
        <v>69</v>
      </c>
      <c r="F1463" s="22" t="s">
        <v>34</v>
      </c>
      <c r="G1463" s="22" t="s">
        <v>63</v>
      </c>
      <c r="H1463" s="22" t="s">
        <v>63</v>
      </c>
      <c r="I1463" s="22" t="s">
        <v>147</v>
      </c>
      <c r="J1463" s="23">
        <v>120</v>
      </c>
      <c r="K1463" s="37">
        <v>0</v>
      </c>
      <c r="L1463" s="37">
        <v>3</v>
      </c>
      <c r="M1463" s="22">
        <f>IF(OR(ISBLANK(C1463),C1463=""),"",ROUND((C1463-B1463)*24,2))</f>
        <v>43.12</v>
      </c>
      <c r="N1463" s="40" t="str">
        <f>IF(OR(ISBLANK(C1463),C1463="",M1463=""),"In Progress",IF(M1463&lt;=J1463,"Met","Breached"))</f>
        <v>Met</v>
      </c>
    </row>
    <row r="1464" ht="19" customHeight="1" spans="1:14" x14ac:dyDescent="0.25">
      <c r="A1464" s="19" t="s">
        <v>1578</v>
      </c>
      <c r="B1464" s="33">
        <v>45924.71527777778</v>
      </c>
      <c r="D1464" s="19" t="s">
        <v>39</v>
      </c>
      <c r="E1464" s="19" t="s">
        <v>65</v>
      </c>
      <c r="F1464" s="19" t="s">
        <v>45</v>
      </c>
      <c r="G1464" s="19" t="s">
        <v>121</v>
      </c>
      <c r="H1464" s="19" t="s">
        <v>59</v>
      </c>
      <c r="I1464" s="19" t="s">
        <v>123</v>
      </c>
      <c r="J1464" s="20">
        <v>48</v>
      </c>
      <c r="K1464" s="34">
        <v>0</v>
      </c>
      <c r="M1464" s="19" t="str">
        <f>IF(OR(ISBLANK(C1464),C1464=""),"",ROUND((C1464-B1464)*24,2))</f>
        <v/>
      </c>
      <c r="N1464" s="19" t="str">
        <f>IF(OR(ISBLANK(C1464),C1464="",M1464=""),"In Progress",IF(M1464&lt;=J1464,"Met","Breached"))</f>
        <v>In Progress</v>
      </c>
    </row>
    <row r="1465" ht="19" customHeight="1" spans="1:14" x14ac:dyDescent="0.25">
      <c r="A1465" s="22" t="s">
        <v>1579</v>
      </c>
      <c r="B1465" s="36">
        <v>46017.57916666666</v>
      </c>
      <c r="C1465" s="36">
        <v>46018.476388888885</v>
      </c>
      <c r="D1465" s="22" t="s">
        <v>36</v>
      </c>
      <c r="E1465" s="22" t="s">
        <v>61</v>
      </c>
      <c r="F1465" s="22" t="s">
        <v>43</v>
      </c>
      <c r="G1465" s="22" t="s">
        <v>121</v>
      </c>
      <c r="H1465" s="22" t="s">
        <v>71</v>
      </c>
      <c r="I1465" s="22" t="s">
        <v>147</v>
      </c>
      <c r="J1465" s="23">
        <v>12</v>
      </c>
      <c r="K1465" s="37">
        <v>0</v>
      </c>
      <c r="L1465" s="37">
        <v>5</v>
      </c>
      <c r="M1465" s="22">
        <f>IF(OR(ISBLANK(C1465),C1465=""),"",ROUND((C1465-B1465)*24,2))</f>
        <v>21.53</v>
      </c>
      <c r="N1465" s="38" t="str">
        <f>IF(OR(ISBLANK(C1465),C1465="",M1465=""),"In Progress",IF(M1465&lt;=J1465,"Met","Breached"))</f>
        <v>Breached</v>
      </c>
    </row>
    <row r="1466" ht="19" customHeight="1" spans="1:14" x14ac:dyDescent="0.25">
      <c r="A1466" s="19" t="s">
        <v>1580</v>
      </c>
      <c r="B1466" s="33">
        <v>46232.35208333333</v>
      </c>
      <c r="C1466" s="33">
        <v>46239.77777777778</v>
      </c>
      <c r="D1466" s="19" t="s">
        <v>33</v>
      </c>
      <c r="E1466" s="19" t="s">
        <v>69</v>
      </c>
      <c r="F1466" s="19" t="s">
        <v>34</v>
      </c>
      <c r="G1466" s="19" t="s">
        <v>126</v>
      </c>
      <c r="H1466" s="19" t="s">
        <v>59</v>
      </c>
      <c r="I1466" s="19" t="s">
        <v>123</v>
      </c>
      <c r="J1466" s="20">
        <v>120</v>
      </c>
      <c r="K1466" s="34">
        <v>0</v>
      </c>
      <c r="L1466" s="34">
        <v>1</v>
      </c>
      <c r="M1466" s="19">
        <f>IF(OR(ISBLANK(C1466),C1466=""),"",ROUND((C1466-B1466)*24,2))</f>
        <v>178.22</v>
      </c>
      <c r="N1466" s="39" t="str">
        <f>IF(OR(ISBLANK(C1466),C1466="",M1466=""),"In Progress",IF(M1466&lt;=J1466,"Met","Breached"))</f>
        <v>Breached</v>
      </c>
    </row>
    <row r="1467" ht="19" customHeight="1" spans="1:14" x14ac:dyDescent="0.25">
      <c r="A1467" s="22" t="s">
        <v>1581</v>
      </c>
      <c r="B1467" s="36">
        <v>45957.01736111111</v>
      </c>
      <c r="D1467" s="22" t="s">
        <v>39</v>
      </c>
      <c r="E1467" s="22" t="s">
        <v>61</v>
      </c>
      <c r="F1467" s="22" t="s">
        <v>43</v>
      </c>
      <c r="G1467" s="22" t="s">
        <v>126</v>
      </c>
      <c r="H1467" s="22" t="s">
        <v>63</v>
      </c>
      <c r="I1467" s="22" t="s">
        <v>114</v>
      </c>
      <c r="J1467" s="23">
        <v>12</v>
      </c>
      <c r="K1467" s="37">
        <v>0</v>
      </c>
      <c r="M1467" s="22" t="str">
        <f>IF(OR(ISBLANK(C1467),C1467=""),"",ROUND((C1467-B1467)*24,2))</f>
        <v/>
      </c>
      <c r="N1467" s="22" t="str">
        <f>IF(OR(ISBLANK(C1467),C1467="",M1467=""),"In Progress",IF(M1467&lt;=J1467,"Met","Breached"))</f>
        <v>In Progress</v>
      </c>
    </row>
    <row r="1468" ht="19" customHeight="1" spans="1:14" x14ac:dyDescent="0.25">
      <c r="A1468" s="19" t="s">
        <v>1582</v>
      </c>
      <c r="B1468" s="33">
        <v>46221.040972222225</v>
      </c>
      <c r="C1468" s="33">
        <v>46221.64791666667</v>
      </c>
      <c r="D1468" s="19" t="s">
        <v>33</v>
      </c>
      <c r="E1468" s="19" t="s">
        <v>61</v>
      </c>
      <c r="F1468" s="19" t="s">
        <v>34</v>
      </c>
      <c r="G1468" s="19" t="s">
        <v>113</v>
      </c>
      <c r="H1468" s="19" t="s">
        <v>59</v>
      </c>
      <c r="I1468" s="19" t="s">
        <v>114</v>
      </c>
      <c r="J1468" s="20">
        <v>12</v>
      </c>
      <c r="K1468" s="34">
        <v>0</v>
      </c>
      <c r="L1468" s="34">
        <v>3</v>
      </c>
      <c r="M1468" s="19">
        <f>IF(OR(ISBLANK(C1468),C1468=""),"",ROUND((C1468-B1468)*24,2))</f>
        <v>14.57</v>
      </c>
      <c r="N1468" s="39" t="str">
        <f>IF(OR(ISBLANK(C1468),C1468="",M1468=""),"In Progress",IF(M1468&lt;=J1468,"Met","Breached"))</f>
        <v>Breached</v>
      </c>
    </row>
    <row r="1469" ht="19" customHeight="1" spans="1:14" x14ac:dyDescent="0.25">
      <c r="A1469" s="22" t="s">
        <v>1583</v>
      </c>
      <c r="B1469" s="36">
        <v>45829.71805555555</v>
      </c>
      <c r="C1469" s="36">
        <v>45833.472916666666</v>
      </c>
      <c r="D1469" s="22" t="s">
        <v>33</v>
      </c>
      <c r="E1469" s="22" t="s">
        <v>69</v>
      </c>
      <c r="F1469" s="22" t="s">
        <v>45</v>
      </c>
      <c r="G1469" s="22" t="s">
        <v>63</v>
      </c>
      <c r="H1469" s="22" t="s">
        <v>71</v>
      </c>
      <c r="I1469" s="22" t="s">
        <v>111</v>
      </c>
      <c r="J1469" s="23">
        <v>120</v>
      </c>
      <c r="K1469" s="37">
        <v>0</v>
      </c>
      <c r="L1469" s="37">
        <v>1</v>
      </c>
      <c r="M1469" s="22">
        <f>IF(OR(ISBLANK(C1469),C1469=""),"",ROUND((C1469-B1469)*24,2))</f>
        <v>90.12</v>
      </c>
      <c r="N1469" s="40" t="str">
        <f>IF(OR(ISBLANK(C1469),C1469="",M1469=""),"In Progress",IF(M1469&lt;=J1469,"Met","Breached"))</f>
        <v>Met</v>
      </c>
    </row>
    <row r="1470" ht="19" customHeight="1" spans="1:14" x14ac:dyDescent="0.25">
      <c r="A1470" s="19" t="s">
        <v>1584</v>
      </c>
      <c r="B1470" s="33">
        <v>46054.00208333333</v>
      </c>
      <c r="C1470" s="33">
        <v>46054.07708333334</v>
      </c>
      <c r="D1470" s="19" t="s">
        <v>33</v>
      </c>
      <c r="E1470" s="19" t="s">
        <v>57</v>
      </c>
      <c r="F1470" s="19" t="s">
        <v>37</v>
      </c>
      <c r="G1470" s="19" t="s">
        <v>121</v>
      </c>
      <c r="H1470" s="19" t="s">
        <v>67</v>
      </c>
      <c r="I1470" s="19" t="s">
        <v>117</v>
      </c>
      <c r="J1470" s="20">
        <v>4</v>
      </c>
      <c r="K1470" s="34">
        <v>0</v>
      </c>
      <c r="L1470" s="34">
        <v>3</v>
      </c>
      <c r="M1470" s="19">
        <f>IF(OR(ISBLANK(C1470),C1470=""),"",ROUND((C1470-B1470)*24,2))</f>
        <v>1.8</v>
      </c>
      <c r="N1470" s="35" t="str">
        <f>IF(OR(ISBLANK(C1470),C1470="",M1470=""),"In Progress",IF(M1470&lt;=J1470,"Met","Breached"))</f>
        <v>Met</v>
      </c>
    </row>
    <row r="1471" ht="19" customHeight="1" spans="1:14" x14ac:dyDescent="0.25">
      <c r="A1471" s="22" t="s">
        <v>1585</v>
      </c>
      <c r="B1471" s="36">
        <v>45902.16527777778</v>
      </c>
      <c r="C1471" s="36">
        <v>45902.856944444444</v>
      </c>
      <c r="D1471" s="22" t="s">
        <v>36</v>
      </c>
      <c r="E1471" s="22" t="s">
        <v>65</v>
      </c>
      <c r="F1471" s="22" t="s">
        <v>43</v>
      </c>
      <c r="G1471" s="22" t="s">
        <v>113</v>
      </c>
      <c r="H1471" s="22" t="s">
        <v>59</v>
      </c>
      <c r="I1471" s="22" t="s">
        <v>114</v>
      </c>
      <c r="J1471" s="23">
        <v>48</v>
      </c>
      <c r="K1471" s="37">
        <v>0</v>
      </c>
      <c r="L1471" s="37">
        <v>4</v>
      </c>
      <c r="M1471" s="22">
        <f>IF(OR(ISBLANK(C1471),C1471=""),"",ROUND((C1471-B1471)*24,2))</f>
        <v>16.6</v>
      </c>
      <c r="N1471" s="40" t="str">
        <f>IF(OR(ISBLANK(C1471),C1471="",M1471=""),"In Progress",IF(M1471&lt;=J1471,"Met","Breached"))</f>
        <v>Met</v>
      </c>
    </row>
    <row r="1472" ht="19" customHeight="1" spans="1:14" x14ac:dyDescent="0.25">
      <c r="A1472" s="19" t="s">
        <v>1586</v>
      </c>
      <c r="B1472" s="33">
        <v>46281.84375</v>
      </c>
      <c r="C1472" s="33">
        <v>46283.231944444444</v>
      </c>
      <c r="D1472" s="19" t="s">
        <v>36</v>
      </c>
      <c r="E1472" s="19" t="s">
        <v>65</v>
      </c>
      <c r="F1472" s="19" t="s">
        <v>34</v>
      </c>
      <c r="G1472" s="19" t="s">
        <v>126</v>
      </c>
      <c r="H1472" s="19" t="s">
        <v>63</v>
      </c>
      <c r="I1472" s="19" t="s">
        <v>123</v>
      </c>
      <c r="J1472" s="20">
        <v>48</v>
      </c>
      <c r="K1472" s="34">
        <v>0</v>
      </c>
      <c r="L1472" s="34">
        <v>2</v>
      </c>
      <c r="M1472" s="19">
        <f>IF(OR(ISBLANK(C1472),C1472=""),"",ROUND((C1472-B1472)*24,2))</f>
        <v>33.32</v>
      </c>
      <c r="N1472" s="35" t="str">
        <f>IF(OR(ISBLANK(C1472),C1472="",M1472=""),"In Progress",IF(M1472&lt;=J1472,"Met","Breached"))</f>
        <v>Met</v>
      </c>
    </row>
    <row r="1473" ht="19" customHeight="1" spans="1:14" x14ac:dyDescent="0.25">
      <c r="A1473" s="22" t="s">
        <v>1587</v>
      </c>
      <c r="B1473" s="36">
        <v>45697.33472222222</v>
      </c>
      <c r="C1473" s="36">
        <v>45700.45625</v>
      </c>
      <c r="D1473" s="22" t="s">
        <v>36</v>
      </c>
      <c r="E1473" s="22" t="s">
        <v>65</v>
      </c>
      <c r="F1473" s="22" t="s">
        <v>37</v>
      </c>
      <c r="G1473" s="22" t="s">
        <v>126</v>
      </c>
      <c r="H1473" s="22" t="s">
        <v>59</v>
      </c>
      <c r="I1473" s="22" t="s">
        <v>147</v>
      </c>
      <c r="J1473" s="23">
        <v>48</v>
      </c>
      <c r="K1473" s="37">
        <v>0</v>
      </c>
      <c r="M1473" s="22">
        <f>IF(OR(ISBLANK(C1473),C1473=""),"",ROUND((C1473-B1473)*24,2))</f>
        <v>74.92</v>
      </c>
      <c r="N1473" s="38" t="str">
        <f>IF(OR(ISBLANK(C1473),C1473="",M1473=""),"In Progress",IF(M1473&lt;=J1473,"Met","Breached"))</f>
        <v>Breached</v>
      </c>
    </row>
    <row r="1474" ht="19" customHeight="1" spans="1:14" x14ac:dyDescent="0.25">
      <c r="A1474" s="19" t="s">
        <v>1588</v>
      </c>
      <c r="B1474" s="33">
        <v>46052.972916666666</v>
      </c>
      <c r="C1474" s="33">
        <v>46054.8</v>
      </c>
      <c r="D1474" s="19" t="s">
        <v>36</v>
      </c>
      <c r="E1474" s="19" t="s">
        <v>65</v>
      </c>
      <c r="F1474" s="19" t="s">
        <v>34</v>
      </c>
      <c r="G1474" s="19" t="s">
        <v>110</v>
      </c>
      <c r="H1474" s="19" t="s">
        <v>59</v>
      </c>
      <c r="I1474" s="19" t="s">
        <v>123</v>
      </c>
      <c r="J1474" s="20">
        <v>48</v>
      </c>
      <c r="K1474" s="34">
        <v>0</v>
      </c>
      <c r="M1474" s="19">
        <f>IF(OR(ISBLANK(C1474),C1474=""),"",ROUND((C1474-B1474)*24,2))</f>
        <v>43.85</v>
      </c>
      <c r="N1474" s="35" t="str">
        <f>IF(OR(ISBLANK(C1474),C1474="",M1474=""),"In Progress",IF(M1474&lt;=J1474,"Met","Breached"))</f>
        <v>Met</v>
      </c>
    </row>
    <row r="1475" ht="19" customHeight="1" spans="1:14" x14ac:dyDescent="0.25">
      <c r="A1475" s="22" t="s">
        <v>1589</v>
      </c>
      <c r="B1475" s="36">
        <v>46219.17708333333</v>
      </c>
      <c r="D1475" s="22" t="s">
        <v>42</v>
      </c>
      <c r="E1475" s="22" t="s">
        <v>65</v>
      </c>
      <c r="F1475" s="22" t="s">
        <v>40</v>
      </c>
      <c r="G1475" s="22" t="s">
        <v>110</v>
      </c>
      <c r="H1475" s="22" t="s">
        <v>59</v>
      </c>
      <c r="I1475" s="22" t="s">
        <v>147</v>
      </c>
      <c r="J1475" s="23">
        <v>48</v>
      </c>
      <c r="K1475" s="37">
        <v>0</v>
      </c>
      <c r="M1475" s="22" t="str">
        <f>IF(OR(ISBLANK(C1475),C1475=""),"",ROUND((C1475-B1475)*24,2))</f>
        <v/>
      </c>
      <c r="N1475" s="22" t="str">
        <f>IF(OR(ISBLANK(C1475),C1475="",M1475=""),"In Progress",IF(M1475&lt;=J1475,"Met","Breached"))</f>
        <v>In Progress</v>
      </c>
    </row>
    <row r="1476" ht="19" customHeight="1" spans="1:14" x14ac:dyDescent="0.25">
      <c r="A1476" s="19" t="s">
        <v>1590</v>
      </c>
      <c r="B1476" s="33">
        <v>46163.87708333333</v>
      </c>
      <c r="C1476" s="33">
        <v>46172.49444444444</v>
      </c>
      <c r="D1476" s="19" t="s">
        <v>36</v>
      </c>
      <c r="E1476" s="19" t="s">
        <v>69</v>
      </c>
      <c r="F1476" s="19" t="s">
        <v>40</v>
      </c>
      <c r="G1476" s="19" t="s">
        <v>63</v>
      </c>
      <c r="H1476" s="19" t="s">
        <v>59</v>
      </c>
      <c r="I1476" s="19" t="s">
        <v>117</v>
      </c>
      <c r="J1476" s="20">
        <v>120</v>
      </c>
      <c r="K1476" s="34">
        <v>0</v>
      </c>
      <c r="L1476" s="34">
        <v>5</v>
      </c>
      <c r="M1476" s="19">
        <f>IF(OR(ISBLANK(C1476),C1476=""),"",ROUND((C1476-B1476)*24,2))</f>
        <v>206.82</v>
      </c>
      <c r="N1476" s="39" t="str">
        <f>IF(OR(ISBLANK(C1476),C1476="",M1476=""),"In Progress",IF(M1476&lt;=J1476,"Met","Breached"))</f>
        <v>Breached</v>
      </c>
    </row>
    <row r="1477" ht="19" customHeight="1" spans="1:14" x14ac:dyDescent="0.25">
      <c r="A1477" s="22" t="s">
        <v>1591</v>
      </c>
      <c r="B1477" s="36">
        <v>45940.42916666667</v>
      </c>
      <c r="D1477" s="22" t="s">
        <v>39</v>
      </c>
      <c r="E1477" s="22" t="s">
        <v>61</v>
      </c>
      <c r="F1477" s="22" t="s">
        <v>34</v>
      </c>
      <c r="G1477" s="22" t="s">
        <v>63</v>
      </c>
      <c r="H1477" s="22" t="s">
        <v>59</v>
      </c>
      <c r="I1477" s="22" t="s">
        <v>108</v>
      </c>
      <c r="J1477" s="23">
        <v>12</v>
      </c>
      <c r="K1477" s="37">
        <v>0</v>
      </c>
      <c r="M1477" s="22" t="str">
        <f>IF(OR(ISBLANK(C1477),C1477=""),"",ROUND((C1477-B1477)*24,2))</f>
        <v/>
      </c>
      <c r="N1477" s="22" t="str">
        <f>IF(OR(ISBLANK(C1477),C1477="",M1477=""),"In Progress",IF(M1477&lt;=J1477,"Met","Breached"))</f>
        <v>In Progress</v>
      </c>
    </row>
    <row r="1478" ht="19" customHeight="1" spans="1:14" x14ac:dyDescent="0.25">
      <c r="A1478" s="19" t="s">
        <v>1592</v>
      </c>
      <c r="B1478" s="33">
        <v>45669.898611111115</v>
      </c>
      <c r="C1478" s="33">
        <v>45670.56111111111</v>
      </c>
      <c r="D1478" s="19" t="s">
        <v>33</v>
      </c>
      <c r="E1478" s="19" t="s">
        <v>61</v>
      </c>
      <c r="F1478" s="19" t="s">
        <v>43</v>
      </c>
      <c r="G1478" s="19" t="s">
        <v>110</v>
      </c>
      <c r="H1478" s="19" t="s">
        <v>59</v>
      </c>
      <c r="I1478" s="19" t="s">
        <v>114</v>
      </c>
      <c r="J1478" s="20">
        <v>12</v>
      </c>
      <c r="K1478" s="34">
        <v>0</v>
      </c>
      <c r="L1478" s="34">
        <v>2</v>
      </c>
      <c r="M1478" s="19">
        <f>IF(OR(ISBLANK(C1478),C1478=""),"",ROUND((C1478-B1478)*24,2))</f>
        <v>15.9</v>
      </c>
      <c r="N1478" s="39" t="str">
        <f>IF(OR(ISBLANK(C1478),C1478="",M1478=""),"In Progress",IF(M1478&lt;=J1478,"Met","Breached"))</f>
        <v>Breached</v>
      </c>
    </row>
    <row r="1479" ht="19" customHeight="1" spans="1:14" x14ac:dyDescent="0.25">
      <c r="A1479" s="22" t="s">
        <v>1593</v>
      </c>
      <c r="B1479" s="36">
        <v>46114.17847222222</v>
      </c>
      <c r="D1479" s="22" t="s">
        <v>39</v>
      </c>
      <c r="E1479" s="22" t="s">
        <v>65</v>
      </c>
      <c r="F1479" s="22" t="s">
        <v>45</v>
      </c>
      <c r="G1479" s="22" t="s">
        <v>121</v>
      </c>
      <c r="H1479" s="22" t="s">
        <v>59</v>
      </c>
      <c r="I1479" s="22" t="s">
        <v>114</v>
      </c>
      <c r="J1479" s="23">
        <v>48</v>
      </c>
      <c r="K1479" s="37">
        <v>0</v>
      </c>
      <c r="M1479" s="22" t="str">
        <f>IF(OR(ISBLANK(C1479),C1479=""),"",ROUND((C1479-B1479)*24,2))</f>
        <v/>
      </c>
      <c r="N1479" s="22" t="str">
        <f>IF(OR(ISBLANK(C1479),C1479="",M1479=""),"In Progress",IF(M1479&lt;=J1479,"Met","Breached"))</f>
        <v>In Progress</v>
      </c>
    </row>
    <row r="1480" ht="19" customHeight="1" spans="1:14" x14ac:dyDescent="0.25">
      <c r="A1480" s="19" t="s">
        <v>1594</v>
      </c>
      <c r="B1480" s="33">
        <v>45700.82847222222</v>
      </c>
      <c r="D1480" s="19" t="s">
        <v>39</v>
      </c>
      <c r="E1480" s="19" t="s">
        <v>61</v>
      </c>
      <c r="F1480" s="19" t="s">
        <v>45</v>
      </c>
      <c r="G1480" s="19" t="s">
        <v>113</v>
      </c>
      <c r="H1480" s="19" t="s">
        <v>59</v>
      </c>
      <c r="I1480" s="19" t="s">
        <v>114</v>
      </c>
      <c r="J1480" s="20">
        <v>12</v>
      </c>
      <c r="K1480" s="34">
        <v>0</v>
      </c>
      <c r="M1480" s="19" t="str">
        <f>IF(OR(ISBLANK(C1480),C1480=""),"",ROUND((C1480-B1480)*24,2))</f>
        <v/>
      </c>
      <c r="N1480" s="19" t="str">
        <f>IF(OR(ISBLANK(C1480),C1480="",M1480=""),"In Progress",IF(M1480&lt;=J1480,"Met","Breached"))</f>
        <v>In Progress</v>
      </c>
    </row>
    <row r="1481" ht="19" customHeight="1" spans="1:14" x14ac:dyDescent="0.25">
      <c r="A1481" s="22" t="s">
        <v>1595</v>
      </c>
      <c r="B1481" s="36">
        <v>46075.07430555555</v>
      </c>
      <c r="C1481" s="36">
        <v>46076.73541666666</v>
      </c>
      <c r="D1481" s="22" t="s">
        <v>33</v>
      </c>
      <c r="E1481" s="22" t="s">
        <v>65</v>
      </c>
      <c r="F1481" s="22" t="s">
        <v>37</v>
      </c>
      <c r="G1481" s="22" t="s">
        <v>63</v>
      </c>
      <c r="H1481" s="22" t="s">
        <v>63</v>
      </c>
      <c r="I1481" s="22" t="s">
        <v>108</v>
      </c>
      <c r="J1481" s="23">
        <v>48</v>
      </c>
      <c r="K1481" s="37">
        <v>0</v>
      </c>
      <c r="L1481" s="37">
        <v>1</v>
      </c>
      <c r="M1481" s="22">
        <f>IF(OR(ISBLANK(C1481),C1481=""),"",ROUND((C1481-B1481)*24,2))</f>
        <v>39.87</v>
      </c>
      <c r="N1481" s="40" t="str">
        <f>IF(OR(ISBLANK(C1481),C1481="",M1481=""),"In Progress",IF(M1481&lt;=J1481,"Met","Breached"))</f>
        <v>Met</v>
      </c>
    </row>
    <row r="1482" ht="19" customHeight="1" spans="1:14" x14ac:dyDescent="0.25">
      <c r="A1482" s="19" t="s">
        <v>1596</v>
      </c>
      <c r="B1482" s="33">
        <v>45896.59027777778</v>
      </c>
      <c r="C1482" s="33">
        <v>45896.77916666667</v>
      </c>
      <c r="D1482" s="19" t="s">
        <v>33</v>
      </c>
      <c r="E1482" s="19" t="s">
        <v>57</v>
      </c>
      <c r="F1482" s="19" t="s">
        <v>40</v>
      </c>
      <c r="G1482" s="19" t="s">
        <v>113</v>
      </c>
      <c r="H1482" s="19" t="s">
        <v>59</v>
      </c>
      <c r="I1482" s="19" t="s">
        <v>108</v>
      </c>
      <c r="J1482" s="20">
        <v>4</v>
      </c>
      <c r="K1482" s="34">
        <v>0</v>
      </c>
      <c r="L1482" s="34">
        <v>5</v>
      </c>
      <c r="M1482" s="19">
        <f>IF(OR(ISBLANK(C1482),C1482=""),"",ROUND((C1482-B1482)*24,2))</f>
        <v>4.53</v>
      </c>
      <c r="N1482" s="39" t="str">
        <f>IF(OR(ISBLANK(C1482),C1482="",M1482=""),"In Progress",IF(M1482&lt;=J1482,"Met","Breached"))</f>
        <v>Breached</v>
      </c>
    </row>
    <row r="1483" ht="19" customHeight="1" spans="1:14" x14ac:dyDescent="0.25">
      <c r="A1483" s="22" t="s">
        <v>1597</v>
      </c>
      <c r="B1483" s="36">
        <v>45917.77847222222</v>
      </c>
      <c r="C1483" s="36">
        <v>45918.30972222222</v>
      </c>
      <c r="D1483" s="22" t="s">
        <v>36</v>
      </c>
      <c r="E1483" s="22" t="s">
        <v>61</v>
      </c>
      <c r="F1483" s="22" t="s">
        <v>37</v>
      </c>
      <c r="G1483" s="22" t="s">
        <v>116</v>
      </c>
      <c r="H1483" s="22" t="s">
        <v>63</v>
      </c>
      <c r="I1483" s="22" t="s">
        <v>123</v>
      </c>
      <c r="J1483" s="23">
        <v>12</v>
      </c>
      <c r="K1483" s="37">
        <v>0</v>
      </c>
      <c r="L1483" s="37">
        <v>4</v>
      </c>
      <c r="M1483" s="22">
        <f>IF(OR(ISBLANK(C1483),C1483=""),"",ROUND((C1483-B1483)*24,2))</f>
        <v>12.75</v>
      </c>
      <c r="N1483" s="38" t="str">
        <f>IF(OR(ISBLANK(C1483),C1483="",M1483=""),"In Progress",IF(M1483&lt;=J1483,"Met","Breached"))</f>
        <v>Breached</v>
      </c>
    </row>
    <row r="1484" ht="19" customHeight="1" spans="1:14" x14ac:dyDescent="0.25">
      <c r="A1484" s="19" t="s">
        <v>1598</v>
      </c>
      <c r="B1484" s="33">
        <v>46190.18819444445</v>
      </c>
      <c r="D1484" s="19" t="s">
        <v>39</v>
      </c>
      <c r="E1484" s="19" t="s">
        <v>65</v>
      </c>
      <c r="F1484" s="19" t="s">
        <v>45</v>
      </c>
      <c r="G1484" s="19" t="s">
        <v>110</v>
      </c>
      <c r="H1484" s="19" t="s">
        <v>59</v>
      </c>
      <c r="I1484" s="19" t="s">
        <v>147</v>
      </c>
      <c r="J1484" s="20">
        <v>48</v>
      </c>
      <c r="K1484" s="34">
        <v>0</v>
      </c>
      <c r="M1484" s="19" t="str">
        <f>IF(OR(ISBLANK(C1484),C1484=""),"",ROUND((C1484-B1484)*24,2))</f>
        <v/>
      </c>
      <c r="N1484" s="19" t="str">
        <f>IF(OR(ISBLANK(C1484),C1484="",M1484=""),"In Progress",IF(M1484&lt;=J1484,"Met","Breached"))</f>
        <v>In Progress</v>
      </c>
    </row>
    <row r="1485" ht="19" customHeight="1" spans="1:14" x14ac:dyDescent="0.25">
      <c r="A1485" s="22" t="s">
        <v>1599</v>
      </c>
      <c r="B1485" s="36">
        <v>45917.17847222222</v>
      </c>
      <c r="D1485" s="22" t="s">
        <v>42</v>
      </c>
      <c r="E1485" s="22" t="s">
        <v>69</v>
      </c>
      <c r="F1485" s="22" t="s">
        <v>45</v>
      </c>
      <c r="G1485" s="22" t="s">
        <v>116</v>
      </c>
      <c r="H1485" s="22" t="s">
        <v>63</v>
      </c>
      <c r="I1485" s="22" t="s">
        <v>117</v>
      </c>
      <c r="J1485" s="23">
        <v>120</v>
      </c>
      <c r="K1485" s="37">
        <v>0</v>
      </c>
      <c r="M1485" s="22" t="str">
        <f>IF(OR(ISBLANK(C1485),C1485=""),"",ROUND((C1485-B1485)*24,2))</f>
        <v/>
      </c>
      <c r="N1485" s="22" t="str">
        <f>IF(OR(ISBLANK(C1485),C1485="",M1485=""),"In Progress",IF(M1485&lt;=J1485,"Met","Breached"))</f>
        <v>In Progress</v>
      </c>
    </row>
    <row r="1486" ht="19" customHeight="1" spans="1:14" x14ac:dyDescent="0.25">
      <c r="A1486" s="19" t="s">
        <v>1600</v>
      </c>
      <c r="B1486" s="33">
        <v>46039.731944444444</v>
      </c>
      <c r="C1486" s="33">
        <v>46042.80416666667</v>
      </c>
      <c r="D1486" s="19" t="s">
        <v>36</v>
      </c>
      <c r="E1486" s="19" t="s">
        <v>69</v>
      </c>
      <c r="F1486" s="19" t="s">
        <v>40</v>
      </c>
      <c r="G1486" s="19" t="s">
        <v>63</v>
      </c>
      <c r="H1486" s="19" t="s">
        <v>67</v>
      </c>
      <c r="I1486" s="19" t="s">
        <v>114</v>
      </c>
      <c r="J1486" s="20">
        <v>120</v>
      </c>
      <c r="K1486" s="34">
        <v>0</v>
      </c>
      <c r="L1486" s="34">
        <v>1</v>
      </c>
      <c r="M1486" s="19">
        <f>IF(OR(ISBLANK(C1486),C1486=""),"",ROUND((C1486-B1486)*24,2))</f>
        <v>73.73</v>
      </c>
      <c r="N1486" s="35" t="str">
        <f>IF(OR(ISBLANK(C1486),C1486="",M1486=""),"In Progress",IF(M1486&lt;=J1486,"Met","Breached"))</f>
        <v>Met</v>
      </c>
    </row>
    <row r="1487" ht="19" customHeight="1" spans="1:14" x14ac:dyDescent="0.25">
      <c r="A1487" s="22" t="s">
        <v>1601</v>
      </c>
      <c r="B1487" s="36">
        <v>45677.54791666666</v>
      </c>
      <c r="C1487" s="36">
        <v>45679.49930555555</v>
      </c>
      <c r="D1487" s="22" t="s">
        <v>33</v>
      </c>
      <c r="E1487" s="22" t="s">
        <v>65</v>
      </c>
      <c r="F1487" s="22" t="s">
        <v>40</v>
      </c>
      <c r="G1487" s="22" t="s">
        <v>110</v>
      </c>
      <c r="H1487" s="22" t="s">
        <v>59</v>
      </c>
      <c r="I1487" s="22" t="s">
        <v>108</v>
      </c>
      <c r="J1487" s="23">
        <v>48</v>
      </c>
      <c r="K1487" s="37">
        <v>1</v>
      </c>
      <c r="M1487" s="22">
        <f>IF(OR(ISBLANK(C1487),C1487=""),"",ROUND((C1487-B1487)*24,2))</f>
        <v>46.83</v>
      </c>
      <c r="N1487" s="40" t="str">
        <f>IF(OR(ISBLANK(C1487),C1487="",M1487=""),"In Progress",IF(M1487&lt;=J1487,"Met","Breached"))</f>
        <v>Met</v>
      </c>
    </row>
    <row r="1488" ht="19" customHeight="1" spans="1:14" x14ac:dyDescent="0.25">
      <c r="A1488" s="19" t="s">
        <v>1602</v>
      </c>
      <c r="B1488" s="33">
        <v>46226.319444444445</v>
      </c>
      <c r="C1488" s="33">
        <v>46226.91736111111</v>
      </c>
      <c r="D1488" s="19" t="s">
        <v>33</v>
      </c>
      <c r="E1488" s="19" t="s">
        <v>61</v>
      </c>
      <c r="F1488" s="19" t="s">
        <v>34</v>
      </c>
      <c r="G1488" s="19" t="s">
        <v>63</v>
      </c>
      <c r="H1488" s="19" t="s">
        <v>59</v>
      </c>
      <c r="I1488" s="19" t="s">
        <v>108</v>
      </c>
      <c r="J1488" s="20">
        <v>12</v>
      </c>
      <c r="K1488" s="34">
        <v>0</v>
      </c>
      <c r="L1488" s="34">
        <v>2</v>
      </c>
      <c r="M1488" s="19">
        <f>IF(OR(ISBLANK(C1488),C1488=""),"",ROUND((C1488-B1488)*24,2))</f>
        <v>14.35</v>
      </c>
      <c r="N1488" s="39" t="str">
        <f>IF(OR(ISBLANK(C1488),C1488="",M1488=""),"In Progress",IF(M1488&lt;=J1488,"Met","Breached"))</f>
        <v>Breached</v>
      </c>
    </row>
    <row r="1489" ht="19" customHeight="1" spans="1:14" x14ac:dyDescent="0.25">
      <c r="A1489" s="22" t="s">
        <v>1603</v>
      </c>
      <c r="B1489" s="36">
        <v>45979.14375</v>
      </c>
      <c r="C1489" s="36">
        <v>45980.02569444444</v>
      </c>
      <c r="D1489" s="22" t="s">
        <v>33</v>
      </c>
      <c r="E1489" s="22" t="s">
        <v>61</v>
      </c>
      <c r="F1489" s="22" t="s">
        <v>43</v>
      </c>
      <c r="G1489" s="22" t="s">
        <v>63</v>
      </c>
      <c r="H1489" s="22" t="s">
        <v>59</v>
      </c>
      <c r="I1489" s="22" t="s">
        <v>117</v>
      </c>
      <c r="J1489" s="23">
        <v>12</v>
      </c>
      <c r="K1489" s="37">
        <v>0</v>
      </c>
      <c r="L1489" s="37">
        <v>5</v>
      </c>
      <c r="M1489" s="22">
        <f>IF(OR(ISBLANK(C1489),C1489=""),"",ROUND((C1489-B1489)*24,2))</f>
        <v>21.17</v>
      </c>
      <c r="N1489" s="38" t="str">
        <f>IF(OR(ISBLANK(C1489),C1489="",M1489=""),"In Progress",IF(M1489&lt;=J1489,"Met","Breached"))</f>
        <v>Breached</v>
      </c>
    </row>
    <row r="1490" ht="19" customHeight="1" spans="1:14" x14ac:dyDescent="0.25">
      <c r="A1490" s="19" t="s">
        <v>1604</v>
      </c>
      <c r="B1490" s="33">
        <v>45927.021527777775</v>
      </c>
      <c r="D1490" s="19" t="s">
        <v>39</v>
      </c>
      <c r="E1490" s="19" t="s">
        <v>57</v>
      </c>
      <c r="F1490" s="19" t="s">
        <v>43</v>
      </c>
      <c r="G1490" s="19" t="s">
        <v>116</v>
      </c>
      <c r="H1490" s="19" t="s">
        <v>59</v>
      </c>
      <c r="I1490" s="19" t="s">
        <v>117</v>
      </c>
      <c r="J1490" s="20">
        <v>4</v>
      </c>
      <c r="K1490" s="34">
        <v>0</v>
      </c>
      <c r="M1490" s="19" t="str">
        <f>IF(OR(ISBLANK(C1490),C1490=""),"",ROUND((C1490-B1490)*24,2))</f>
        <v/>
      </c>
      <c r="N1490" s="19" t="str">
        <f>IF(OR(ISBLANK(C1490),C1490="",M1490=""),"In Progress",IF(M1490&lt;=J1490,"Met","Breached"))</f>
        <v>In Progress</v>
      </c>
    </row>
    <row r="1491" ht="19" customHeight="1" spans="1:14" x14ac:dyDescent="0.25">
      <c r="A1491" s="22" t="s">
        <v>1605</v>
      </c>
      <c r="B1491" s="36">
        <v>46086.06875</v>
      </c>
      <c r="C1491" s="36">
        <v>46087.47986111111</v>
      </c>
      <c r="D1491" s="22" t="s">
        <v>36</v>
      </c>
      <c r="E1491" s="22" t="s">
        <v>65</v>
      </c>
      <c r="F1491" s="22" t="s">
        <v>37</v>
      </c>
      <c r="G1491" s="22" t="s">
        <v>121</v>
      </c>
      <c r="H1491" s="22" t="s">
        <v>63</v>
      </c>
      <c r="I1491" s="22" t="s">
        <v>123</v>
      </c>
      <c r="J1491" s="23">
        <v>48</v>
      </c>
      <c r="K1491" s="37">
        <v>0</v>
      </c>
      <c r="M1491" s="22">
        <f>IF(OR(ISBLANK(C1491),C1491=""),"",ROUND((C1491-B1491)*24,2))</f>
        <v>33.87</v>
      </c>
      <c r="N1491" s="40" t="str">
        <f>IF(OR(ISBLANK(C1491),C1491="",M1491=""),"In Progress",IF(M1491&lt;=J1491,"Met","Breached"))</f>
        <v>Met</v>
      </c>
    </row>
    <row r="1492" ht="19" customHeight="1" spans="1:14" x14ac:dyDescent="0.25">
      <c r="A1492" s="19" t="s">
        <v>1606</v>
      </c>
      <c r="B1492" s="33">
        <v>46171.15555555555</v>
      </c>
      <c r="C1492" s="33">
        <v>46173.04861111111</v>
      </c>
      <c r="D1492" s="19" t="s">
        <v>36</v>
      </c>
      <c r="E1492" s="19" t="s">
        <v>65</v>
      </c>
      <c r="F1492" s="19" t="s">
        <v>34</v>
      </c>
      <c r="G1492" s="19" t="s">
        <v>116</v>
      </c>
      <c r="H1492" s="19" t="s">
        <v>63</v>
      </c>
      <c r="I1492" s="19" t="s">
        <v>147</v>
      </c>
      <c r="J1492" s="20">
        <v>48</v>
      </c>
      <c r="K1492" s="34">
        <v>0</v>
      </c>
      <c r="L1492" s="34">
        <v>1</v>
      </c>
      <c r="M1492" s="19">
        <f>IF(OR(ISBLANK(C1492),C1492=""),"",ROUND((C1492-B1492)*24,2))</f>
        <v>45.43</v>
      </c>
      <c r="N1492" s="35" t="str">
        <f>IF(OR(ISBLANK(C1492),C1492="",M1492=""),"In Progress",IF(M1492&lt;=J1492,"Met","Breached"))</f>
        <v>Met</v>
      </c>
    </row>
    <row r="1493" ht="19" customHeight="1" spans="1:14" x14ac:dyDescent="0.25">
      <c r="A1493" s="22" t="s">
        <v>1607</v>
      </c>
      <c r="B1493" s="36">
        <v>46267.52777777778</v>
      </c>
      <c r="C1493" s="36">
        <v>46276.48819444445</v>
      </c>
      <c r="D1493" s="22" t="s">
        <v>33</v>
      </c>
      <c r="E1493" s="22" t="s">
        <v>69</v>
      </c>
      <c r="F1493" s="22" t="s">
        <v>37</v>
      </c>
      <c r="G1493" s="22" t="s">
        <v>126</v>
      </c>
      <c r="H1493" s="22" t="s">
        <v>59</v>
      </c>
      <c r="I1493" s="22" t="s">
        <v>147</v>
      </c>
      <c r="J1493" s="23">
        <v>120</v>
      </c>
      <c r="K1493" s="37">
        <v>0</v>
      </c>
      <c r="L1493" s="37">
        <v>1</v>
      </c>
      <c r="M1493" s="22">
        <f>IF(OR(ISBLANK(C1493),C1493=""),"",ROUND((C1493-B1493)*24,2))</f>
        <v>215.05</v>
      </c>
      <c r="N1493" s="38" t="str">
        <f>IF(OR(ISBLANK(C1493),C1493="",M1493=""),"In Progress",IF(M1493&lt;=J1493,"Met","Breached"))</f>
        <v>Breached</v>
      </c>
    </row>
    <row r="1494" ht="19" customHeight="1" spans="1:14" x14ac:dyDescent="0.25">
      <c r="A1494" s="19" t="s">
        <v>1608</v>
      </c>
      <c r="B1494" s="33">
        <v>45993.17569444445</v>
      </c>
      <c r="C1494" s="33">
        <v>45995.97777777778</v>
      </c>
      <c r="D1494" s="19" t="s">
        <v>33</v>
      </c>
      <c r="E1494" s="19" t="s">
        <v>65</v>
      </c>
      <c r="F1494" s="19" t="s">
        <v>43</v>
      </c>
      <c r="G1494" s="19" t="s">
        <v>113</v>
      </c>
      <c r="H1494" s="19" t="s">
        <v>71</v>
      </c>
      <c r="I1494" s="19" t="s">
        <v>117</v>
      </c>
      <c r="J1494" s="20">
        <v>48</v>
      </c>
      <c r="K1494" s="34">
        <v>0</v>
      </c>
      <c r="M1494" s="19">
        <f>IF(OR(ISBLANK(C1494),C1494=""),"",ROUND((C1494-B1494)*24,2))</f>
        <v>67.25</v>
      </c>
      <c r="N1494" s="39" t="str">
        <f>IF(OR(ISBLANK(C1494),C1494="",M1494=""),"In Progress",IF(M1494&lt;=J1494,"Met","Breached"))</f>
        <v>Breached</v>
      </c>
    </row>
    <row r="1495" ht="19" customHeight="1" spans="1:14" x14ac:dyDescent="0.25">
      <c r="A1495" s="22" t="s">
        <v>1609</v>
      </c>
      <c r="B1495" s="36">
        <v>45971.81111111111</v>
      </c>
      <c r="C1495" s="36">
        <v>45972.288194444445</v>
      </c>
      <c r="D1495" s="22" t="s">
        <v>33</v>
      </c>
      <c r="E1495" s="22" t="s">
        <v>61</v>
      </c>
      <c r="F1495" s="22" t="s">
        <v>37</v>
      </c>
      <c r="G1495" s="22" t="s">
        <v>63</v>
      </c>
      <c r="H1495" s="22" t="s">
        <v>71</v>
      </c>
      <c r="I1495" s="22" t="s">
        <v>114</v>
      </c>
      <c r="J1495" s="23">
        <v>12</v>
      </c>
      <c r="K1495" s="37">
        <v>0</v>
      </c>
      <c r="L1495" s="37">
        <v>5</v>
      </c>
      <c r="M1495" s="22">
        <f>IF(OR(ISBLANK(C1495),C1495=""),"",ROUND((C1495-B1495)*24,2))</f>
        <v>11.45</v>
      </c>
      <c r="N1495" s="40" t="str">
        <f>IF(OR(ISBLANK(C1495),C1495="",M1495=""),"In Progress",IF(M1495&lt;=J1495,"Met","Breached"))</f>
        <v>Met</v>
      </c>
    </row>
    <row r="1496" ht="19" customHeight="1" spans="1:14" x14ac:dyDescent="0.25">
      <c r="A1496" s="19" t="s">
        <v>1610</v>
      </c>
      <c r="B1496" s="33">
        <v>45680.05138888889</v>
      </c>
      <c r="C1496" s="33">
        <v>45686.589583333334</v>
      </c>
      <c r="D1496" s="19" t="s">
        <v>33</v>
      </c>
      <c r="E1496" s="19" t="s">
        <v>69</v>
      </c>
      <c r="F1496" s="19" t="s">
        <v>45</v>
      </c>
      <c r="G1496" s="19" t="s">
        <v>63</v>
      </c>
      <c r="H1496" s="19" t="s">
        <v>59</v>
      </c>
      <c r="I1496" s="19" t="s">
        <v>114</v>
      </c>
      <c r="J1496" s="20">
        <v>120</v>
      </c>
      <c r="K1496" s="34">
        <v>0</v>
      </c>
      <c r="L1496" s="34">
        <v>2</v>
      </c>
      <c r="M1496" s="19">
        <f>IF(OR(ISBLANK(C1496),C1496=""),"",ROUND((C1496-B1496)*24,2))</f>
        <v>156.92</v>
      </c>
      <c r="N1496" s="39" t="str">
        <f>IF(OR(ISBLANK(C1496),C1496="",M1496=""),"In Progress",IF(M1496&lt;=J1496,"Met","Breached"))</f>
        <v>Breached</v>
      </c>
    </row>
    <row r="1497" ht="19" customHeight="1" spans="1:14" x14ac:dyDescent="0.25">
      <c r="A1497" s="22" t="s">
        <v>1611</v>
      </c>
      <c r="B1497" s="36">
        <v>45670.43263888889</v>
      </c>
      <c r="D1497" s="22" t="s">
        <v>39</v>
      </c>
      <c r="E1497" s="22" t="s">
        <v>65</v>
      </c>
      <c r="F1497" s="22" t="s">
        <v>43</v>
      </c>
      <c r="G1497" s="22" t="s">
        <v>113</v>
      </c>
      <c r="H1497" s="22" t="s">
        <v>59</v>
      </c>
      <c r="I1497" s="22" t="s">
        <v>117</v>
      </c>
      <c r="J1497" s="23">
        <v>48</v>
      </c>
      <c r="K1497" s="37">
        <v>0</v>
      </c>
      <c r="M1497" s="22" t="str">
        <f>IF(OR(ISBLANK(C1497),C1497=""),"",ROUND((C1497-B1497)*24,2))</f>
        <v/>
      </c>
      <c r="N1497" s="22" t="str">
        <f>IF(OR(ISBLANK(C1497),C1497="",M1497=""),"In Progress",IF(M1497&lt;=J1497,"Met","Breached"))</f>
        <v>In Progress</v>
      </c>
    </row>
    <row r="1498" ht="19" customHeight="1" spans="1:14" x14ac:dyDescent="0.25">
      <c r="A1498" s="19" t="s">
        <v>1612</v>
      </c>
      <c r="B1498" s="33">
        <v>45903.47986111111</v>
      </c>
      <c r="C1498" s="33">
        <v>45904.736805555556</v>
      </c>
      <c r="D1498" s="19" t="s">
        <v>33</v>
      </c>
      <c r="E1498" s="19" t="s">
        <v>65</v>
      </c>
      <c r="F1498" s="19" t="s">
        <v>40</v>
      </c>
      <c r="G1498" s="19" t="s">
        <v>63</v>
      </c>
      <c r="H1498" s="19" t="s">
        <v>71</v>
      </c>
      <c r="I1498" s="19" t="s">
        <v>123</v>
      </c>
      <c r="J1498" s="20">
        <v>48</v>
      </c>
      <c r="K1498" s="34">
        <v>0</v>
      </c>
      <c r="L1498" s="34">
        <v>4</v>
      </c>
      <c r="M1498" s="19">
        <f>IF(OR(ISBLANK(C1498),C1498=""),"",ROUND((C1498-B1498)*24,2))</f>
        <v>30.17</v>
      </c>
      <c r="N1498" s="35" t="str">
        <f>IF(OR(ISBLANK(C1498),C1498="",M1498=""),"In Progress",IF(M1498&lt;=J1498,"Met","Breached"))</f>
        <v>Met</v>
      </c>
    </row>
    <row r="1499" ht="19" customHeight="1" spans="1:14" x14ac:dyDescent="0.25">
      <c r="A1499" s="22" t="s">
        <v>1613</v>
      </c>
      <c r="B1499" s="36">
        <v>45812.04583333334</v>
      </c>
      <c r="C1499" s="36">
        <v>45812.87986111111</v>
      </c>
      <c r="D1499" s="22" t="s">
        <v>33</v>
      </c>
      <c r="E1499" s="22" t="s">
        <v>65</v>
      </c>
      <c r="F1499" s="22" t="s">
        <v>45</v>
      </c>
      <c r="G1499" s="22" t="s">
        <v>121</v>
      </c>
      <c r="H1499" s="22" t="s">
        <v>63</v>
      </c>
      <c r="I1499" s="22" t="s">
        <v>111</v>
      </c>
      <c r="J1499" s="23">
        <v>48</v>
      </c>
      <c r="K1499" s="37">
        <v>0</v>
      </c>
      <c r="L1499" s="37">
        <v>2</v>
      </c>
      <c r="M1499" s="22">
        <f>IF(OR(ISBLANK(C1499),C1499=""),"",ROUND((C1499-B1499)*24,2))</f>
        <v>20.02</v>
      </c>
      <c r="N1499" s="40" t="str">
        <f>IF(OR(ISBLANK(C1499),C1499="",M1499=""),"In Progress",IF(M1499&lt;=J1499,"Met","Breached"))</f>
        <v>Met</v>
      </c>
    </row>
    <row r="1500" ht="19" customHeight="1" spans="1:14" x14ac:dyDescent="0.25">
      <c r="A1500" s="19" t="s">
        <v>1614</v>
      </c>
      <c r="B1500" s="33">
        <v>45813.56111111111</v>
      </c>
      <c r="C1500" s="33">
        <v>45813.731944444444</v>
      </c>
      <c r="D1500" s="19" t="s">
        <v>33</v>
      </c>
      <c r="E1500" s="19" t="s">
        <v>61</v>
      </c>
      <c r="F1500" s="19" t="s">
        <v>40</v>
      </c>
      <c r="G1500" s="19" t="s">
        <v>63</v>
      </c>
      <c r="H1500" s="19" t="s">
        <v>71</v>
      </c>
      <c r="I1500" s="19" t="s">
        <v>147</v>
      </c>
      <c r="J1500" s="20">
        <v>12</v>
      </c>
      <c r="K1500" s="34">
        <v>1</v>
      </c>
      <c r="L1500" s="34">
        <v>5</v>
      </c>
      <c r="M1500" s="19">
        <f>IF(OR(ISBLANK(C1500),C1500=""),"",ROUND((C1500-B1500)*24,2))</f>
        <v>4.1</v>
      </c>
      <c r="N1500" s="35" t="str">
        <f>IF(OR(ISBLANK(C1500),C1500="",M1500=""),"In Progress",IF(M1500&lt;=J1500,"Met","Breached"))</f>
        <v>Met</v>
      </c>
    </row>
    <row r="1501" ht="19" customHeight="1" spans="1:14" x14ac:dyDescent="0.25">
      <c r="A1501" s="22" t="s">
        <v>1615</v>
      </c>
      <c r="B1501" s="36">
        <v>46120.525</v>
      </c>
      <c r="D1501" s="22" t="s">
        <v>39</v>
      </c>
      <c r="E1501" s="22" t="s">
        <v>65</v>
      </c>
      <c r="F1501" s="22" t="s">
        <v>43</v>
      </c>
      <c r="G1501" s="22" t="s">
        <v>113</v>
      </c>
      <c r="H1501" s="22" t="s">
        <v>59</v>
      </c>
      <c r="I1501" s="22" t="s">
        <v>147</v>
      </c>
      <c r="J1501" s="23">
        <v>48</v>
      </c>
      <c r="K1501" s="37">
        <v>0</v>
      </c>
      <c r="M1501" s="22" t="str">
        <f>IF(OR(ISBLANK(C1501),C1501=""),"",ROUND((C1501-B1501)*24,2))</f>
        <v/>
      </c>
      <c r="N1501" s="22" t="str">
        <f>IF(OR(ISBLANK(C1501),C1501="",M1501=""),"In Progress",IF(M1501&lt;=J1501,"Met","Breached"))</f>
        <v>In Progress</v>
      </c>
    </row>
    <row r="1502" ht="19" customHeight="1" spans="1:14" x14ac:dyDescent="0.25">
      <c r="A1502" s="19" t="s">
        <v>1616</v>
      </c>
      <c r="B1502" s="33">
        <v>46278.191666666666</v>
      </c>
      <c r="D1502" s="19" t="s">
        <v>39</v>
      </c>
      <c r="E1502" s="19" t="s">
        <v>69</v>
      </c>
      <c r="F1502" s="19" t="s">
        <v>34</v>
      </c>
      <c r="G1502" s="19" t="s">
        <v>113</v>
      </c>
      <c r="H1502" s="19" t="s">
        <v>71</v>
      </c>
      <c r="I1502" s="19" t="s">
        <v>117</v>
      </c>
      <c r="J1502" s="20">
        <v>120</v>
      </c>
      <c r="K1502" s="34">
        <v>0</v>
      </c>
      <c r="M1502" s="19" t="str">
        <f>IF(OR(ISBLANK(C1502),C1502=""),"",ROUND((C1502-B1502)*24,2))</f>
        <v/>
      </c>
      <c r="N1502" s="19" t="str">
        <f>IF(OR(ISBLANK(C1502),C1502="",M1502=""),"In Progress",IF(M1502&lt;=J1502,"Met","Breached"))</f>
        <v>In Progress</v>
      </c>
    </row>
    <row r="1503" ht="19" customHeight="1" spans="1:14" x14ac:dyDescent="0.25">
      <c r="A1503" s="22" t="s">
        <v>1617</v>
      </c>
      <c r="B1503" s="36">
        <v>45849.919444444444</v>
      </c>
      <c r="C1503" s="36">
        <v>45850.15625</v>
      </c>
      <c r="D1503" s="22" t="s">
        <v>33</v>
      </c>
      <c r="E1503" s="22" t="s">
        <v>57</v>
      </c>
      <c r="F1503" s="22" t="s">
        <v>45</v>
      </c>
      <c r="G1503" s="22" t="s">
        <v>116</v>
      </c>
      <c r="H1503" s="22" t="s">
        <v>59</v>
      </c>
      <c r="I1503" s="22" t="s">
        <v>117</v>
      </c>
      <c r="J1503" s="23">
        <v>4</v>
      </c>
      <c r="K1503" s="37">
        <v>0</v>
      </c>
      <c r="L1503" s="37">
        <v>1</v>
      </c>
      <c r="M1503" s="22">
        <f>IF(OR(ISBLANK(C1503),C1503=""),"",ROUND((C1503-B1503)*24,2))</f>
        <v>5.68</v>
      </c>
      <c r="N1503" s="38" t="str">
        <f>IF(OR(ISBLANK(C1503),C1503="",M1503=""),"In Progress",IF(M1503&lt;=J1503,"Met","Breached"))</f>
        <v>Breached</v>
      </c>
    </row>
    <row r="1504" ht="19" customHeight="1" spans="1:14" x14ac:dyDescent="0.25">
      <c r="A1504" s="19" t="s">
        <v>1618</v>
      </c>
      <c r="B1504" s="33">
        <v>46026.65555555555</v>
      </c>
      <c r="C1504" s="33">
        <v>46029.06597222222</v>
      </c>
      <c r="D1504" s="19" t="s">
        <v>36</v>
      </c>
      <c r="E1504" s="19" t="s">
        <v>69</v>
      </c>
      <c r="F1504" s="19" t="s">
        <v>43</v>
      </c>
      <c r="G1504" s="19" t="s">
        <v>121</v>
      </c>
      <c r="H1504" s="19" t="s">
        <v>63</v>
      </c>
      <c r="I1504" s="19" t="s">
        <v>114</v>
      </c>
      <c r="J1504" s="20">
        <v>120</v>
      </c>
      <c r="K1504" s="34">
        <v>0</v>
      </c>
      <c r="L1504" s="34">
        <v>4</v>
      </c>
      <c r="M1504" s="19">
        <f>IF(OR(ISBLANK(C1504),C1504=""),"",ROUND((C1504-B1504)*24,2))</f>
        <v>57.85</v>
      </c>
      <c r="N1504" s="35" t="str">
        <f>IF(OR(ISBLANK(C1504),C1504="",M1504=""),"In Progress",IF(M1504&lt;=J1504,"Met","Breached"))</f>
        <v>Met</v>
      </c>
    </row>
    <row r="1505" ht="19" customHeight="1" spans="1:14" x14ac:dyDescent="0.25">
      <c r="A1505" s="22" t="s">
        <v>1619</v>
      </c>
      <c r="B1505" s="36">
        <v>45750.40486111111</v>
      </c>
      <c r="D1505" s="22" t="s">
        <v>39</v>
      </c>
      <c r="E1505" s="22" t="s">
        <v>69</v>
      </c>
      <c r="F1505" s="22" t="s">
        <v>43</v>
      </c>
      <c r="G1505" s="22" t="s">
        <v>63</v>
      </c>
      <c r="H1505" s="22" t="s">
        <v>67</v>
      </c>
      <c r="I1505" s="22" t="s">
        <v>114</v>
      </c>
      <c r="J1505" s="23">
        <v>120</v>
      </c>
      <c r="K1505" s="37">
        <v>0</v>
      </c>
      <c r="M1505" s="22" t="str">
        <f>IF(OR(ISBLANK(C1505),C1505=""),"",ROUND((C1505-B1505)*24,2))</f>
        <v/>
      </c>
      <c r="N1505" s="22" t="str">
        <f>IF(OR(ISBLANK(C1505),C1505="",M1505=""),"In Progress",IF(M1505&lt;=J1505,"Met","Breached"))</f>
        <v>In Progress</v>
      </c>
    </row>
    <row r="1506" ht="19" customHeight="1" spans="1:14" x14ac:dyDescent="0.25">
      <c r="A1506" s="19" t="s">
        <v>1620</v>
      </c>
      <c r="B1506" s="33">
        <v>46210.34930555556</v>
      </c>
      <c r="C1506" s="33">
        <v>46211.47916666667</v>
      </c>
      <c r="D1506" s="19" t="s">
        <v>33</v>
      </c>
      <c r="E1506" s="19" t="s">
        <v>65</v>
      </c>
      <c r="F1506" s="19" t="s">
        <v>43</v>
      </c>
      <c r="G1506" s="19" t="s">
        <v>63</v>
      </c>
      <c r="H1506" s="19" t="s">
        <v>67</v>
      </c>
      <c r="I1506" s="19" t="s">
        <v>114</v>
      </c>
      <c r="J1506" s="20">
        <v>48</v>
      </c>
      <c r="K1506" s="34">
        <v>0</v>
      </c>
      <c r="L1506" s="34">
        <v>2</v>
      </c>
      <c r="M1506" s="19">
        <f>IF(OR(ISBLANK(C1506),C1506=""),"",ROUND((C1506-B1506)*24,2))</f>
        <v>27.12</v>
      </c>
      <c r="N1506" s="35" t="str">
        <f>IF(OR(ISBLANK(C1506),C1506="",M1506=""),"In Progress",IF(M1506&lt;=J1506,"Met","Breached"))</f>
        <v>Met</v>
      </c>
    </row>
    <row r="1507" ht="19" customHeight="1" spans="1:14" x14ac:dyDescent="0.25">
      <c r="A1507" s="22" t="s">
        <v>1621</v>
      </c>
      <c r="B1507" s="36">
        <v>45844.39791666667</v>
      </c>
      <c r="C1507" s="36">
        <v>45849.552777777775</v>
      </c>
      <c r="D1507" s="22" t="s">
        <v>36</v>
      </c>
      <c r="E1507" s="22" t="s">
        <v>69</v>
      </c>
      <c r="F1507" s="22" t="s">
        <v>45</v>
      </c>
      <c r="G1507" s="22" t="s">
        <v>113</v>
      </c>
      <c r="H1507" s="22" t="s">
        <v>63</v>
      </c>
      <c r="I1507" s="22" t="s">
        <v>111</v>
      </c>
      <c r="J1507" s="23">
        <v>120</v>
      </c>
      <c r="K1507" s="37">
        <v>0</v>
      </c>
      <c r="L1507" s="37">
        <v>4</v>
      </c>
      <c r="M1507" s="22">
        <f>IF(OR(ISBLANK(C1507),C1507=""),"",ROUND((C1507-B1507)*24,2))</f>
        <v>123.72</v>
      </c>
      <c r="N1507" s="38" t="str">
        <f>IF(OR(ISBLANK(C1507),C1507="",M1507=""),"In Progress",IF(M1507&lt;=J1507,"Met","Breached"))</f>
        <v>Breached</v>
      </c>
    </row>
    <row r="1508" ht="19" customHeight="1" spans="1:14" x14ac:dyDescent="0.25">
      <c r="A1508" s="19" t="s">
        <v>1622</v>
      </c>
      <c r="B1508" s="33">
        <v>45682.30416666667</v>
      </c>
      <c r="C1508" s="33">
        <v>45685.46805555555</v>
      </c>
      <c r="D1508" s="19" t="s">
        <v>33</v>
      </c>
      <c r="E1508" s="19" t="s">
        <v>65</v>
      </c>
      <c r="F1508" s="19" t="s">
        <v>40</v>
      </c>
      <c r="G1508" s="19" t="s">
        <v>116</v>
      </c>
      <c r="H1508" s="19" t="s">
        <v>63</v>
      </c>
      <c r="I1508" s="19" t="s">
        <v>117</v>
      </c>
      <c r="J1508" s="20">
        <v>48</v>
      </c>
      <c r="K1508" s="34">
        <v>0</v>
      </c>
      <c r="L1508" s="34">
        <v>3</v>
      </c>
      <c r="M1508" s="19">
        <f>IF(OR(ISBLANK(C1508),C1508=""),"",ROUND((C1508-B1508)*24,2))</f>
        <v>75.93</v>
      </c>
      <c r="N1508" s="39" t="str">
        <f>IF(OR(ISBLANK(C1508),C1508="",M1508=""),"In Progress",IF(M1508&lt;=J1508,"Met","Breached"))</f>
        <v>Breached</v>
      </c>
    </row>
    <row r="1509" ht="19" customHeight="1" spans="1:14" x14ac:dyDescent="0.25">
      <c r="A1509" s="22" t="s">
        <v>1623</v>
      </c>
      <c r="B1509" s="36">
        <v>45928.675</v>
      </c>
      <c r="C1509" s="36">
        <v>45931.302777777775</v>
      </c>
      <c r="D1509" s="22" t="s">
        <v>33</v>
      </c>
      <c r="E1509" s="22" t="s">
        <v>65</v>
      </c>
      <c r="F1509" s="22" t="s">
        <v>37</v>
      </c>
      <c r="G1509" s="22" t="s">
        <v>116</v>
      </c>
      <c r="H1509" s="22" t="s">
        <v>63</v>
      </c>
      <c r="I1509" s="22" t="s">
        <v>114</v>
      </c>
      <c r="J1509" s="23">
        <v>48</v>
      </c>
      <c r="K1509" s="37">
        <v>0</v>
      </c>
      <c r="M1509" s="22">
        <f>IF(OR(ISBLANK(C1509),C1509=""),"",ROUND((C1509-B1509)*24,2))</f>
        <v>63.07</v>
      </c>
      <c r="N1509" s="38" t="str">
        <f>IF(OR(ISBLANK(C1509),C1509="",M1509=""),"In Progress",IF(M1509&lt;=J1509,"Met","Breached"))</f>
        <v>Breached</v>
      </c>
    </row>
    <row r="1510" ht="19" customHeight="1" spans="1:14" x14ac:dyDescent="0.25">
      <c r="A1510" s="19" t="s">
        <v>1624</v>
      </c>
      <c r="B1510" s="33">
        <v>46180.75069444445</v>
      </c>
      <c r="C1510" s="33">
        <v>46182.27013888889</v>
      </c>
      <c r="D1510" s="19" t="s">
        <v>36</v>
      </c>
      <c r="E1510" s="19" t="s">
        <v>65</v>
      </c>
      <c r="F1510" s="19" t="s">
        <v>43</v>
      </c>
      <c r="G1510" s="19" t="s">
        <v>126</v>
      </c>
      <c r="H1510" s="19" t="s">
        <v>63</v>
      </c>
      <c r="I1510" s="19" t="s">
        <v>114</v>
      </c>
      <c r="J1510" s="20">
        <v>48</v>
      </c>
      <c r="K1510" s="34">
        <v>0</v>
      </c>
      <c r="M1510" s="19">
        <f>IF(OR(ISBLANK(C1510),C1510=""),"",ROUND((C1510-B1510)*24,2))</f>
        <v>36.47</v>
      </c>
      <c r="N1510" s="35" t="str">
        <f>IF(OR(ISBLANK(C1510),C1510="",M1510=""),"In Progress",IF(M1510&lt;=J1510,"Met","Breached"))</f>
        <v>Met</v>
      </c>
    </row>
    <row r="1511" ht="19" customHeight="1" spans="1:14" x14ac:dyDescent="0.25">
      <c r="A1511" s="22" t="s">
        <v>1625</v>
      </c>
      <c r="B1511" s="36">
        <v>45935.771527777775</v>
      </c>
      <c r="C1511" s="36">
        <v>45935.95694444445</v>
      </c>
      <c r="D1511" s="22" t="s">
        <v>33</v>
      </c>
      <c r="E1511" s="22" t="s">
        <v>57</v>
      </c>
      <c r="F1511" s="22" t="s">
        <v>45</v>
      </c>
      <c r="G1511" s="22" t="s">
        <v>110</v>
      </c>
      <c r="H1511" s="22" t="s">
        <v>67</v>
      </c>
      <c r="I1511" s="22" t="s">
        <v>117</v>
      </c>
      <c r="J1511" s="23">
        <v>4</v>
      </c>
      <c r="K1511" s="37">
        <v>0</v>
      </c>
      <c r="M1511" s="22">
        <f>IF(OR(ISBLANK(C1511),C1511=""),"",ROUND((C1511-B1511)*24,2))</f>
        <v>4.45</v>
      </c>
      <c r="N1511" s="38" t="str">
        <f>IF(OR(ISBLANK(C1511),C1511="",M1511=""),"In Progress",IF(M1511&lt;=J1511,"Met","Breached"))</f>
        <v>Breached</v>
      </c>
    </row>
    <row r="1512" ht="19" customHeight="1" spans="1:14" x14ac:dyDescent="0.25">
      <c r="A1512" s="19" t="s">
        <v>1626</v>
      </c>
      <c r="B1512" s="33">
        <v>45767.7125</v>
      </c>
      <c r="C1512" s="33">
        <v>45770.47083333333</v>
      </c>
      <c r="D1512" s="19" t="s">
        <v>33</v>
      </c>
      <c r="E1512" s="19" t="s">
        <v>65</v>
      </c>
      <c r="F1512" s="19" t="s">
        <v>43</v>
      </c>
      <c r="G1512" s="19" t="s">
        <v>121</v>
      </c>
      <c r="H1512" s="19" t="s">
        <v>59</v>
      </c>
      <c r="I1512" s="19" t="s">
        <v>114</v>
      </c>
      <c r="J1512" s="20">
        <v>48</v>
      </c>
      <c r="K1512" s="34">
        <v>0</v>
      </c>
      <c r="L1512" s="34">
        <v>1</v>
      </c>
      <c r="M1512" s="19">
        <f>IF(OR(ISBLANK(C1512),C1512=""),"",ROUND((C1512-B1512)*24,2))</f>
        <v>66.2</v>
      </c>
      <c r="N1512" s="39" t="str">
        <f>IF(OR(ISBLANK(C1512),C1512="",M1512=""),"In Progress",IF(M1512&lt;=J1512,"Met","Breached"))</f>
        <v>Breached</v>
      </c>
    </row>
    <row r="1513" ht="19" customHeight="1" spans="1:14" x14ac:dyDescent="0.25">
      <c r="A1513" s="22" t="s">
        <v>1627</v>
      </c>
      <c r="B1513" s="36">
        <v>45695.35555555555</v>
      </c>
      <c r="C1513" s="36">
        <v>45695.57152777778</v>
      </c>
      <c r="D1513" s="22" t="s">
        <v>33</v>
      </c>
      <c r="E1513" s="22" t="s">
        <v>57</v>
      </c>
      <c r="F1513" s="22" t="s">
        <v>43</v>
      </c>
      <c r="G1513" s="22" t="s">
        <v>110</v>
      </c>
      <c r="H1513" s="22" t="s">
        <v>63</v>
      </c>
      <c r="I1513" s="22" t="s">
        <v>111</v>
      </c>
      <c r="J1513" s="23">
        <v>4</v>
      </c>
      <c r="K1513" s="37">
        <v>0</v>
      </c>
      <c r="M1513" s="22">
        <f>IF(OR(ISBLANK(C1513),C1513=""),"",ROUND((C1513-B1513)*24,2))</f>
        <v>5.18</v>
      </c>
      <c r="N1513" s="38" t="str">
        <f>IF(OR(ISBLANK(C1513),C1513="",M1513=""),"In Progress",IF(M1513&lt;=J1513,"Met","Breached"))</f>
        <v>Breached</v>
      </c>
    </row>
    <row r="1514" ht="19" customHeight="1" spans="1:14" x14ac:dyDescent="0.25">
      <c r="A1514" s="19" t="s">
        <v>1628</v>
      </c>
      <c r="B1514" s="33">
        <v>45886.61041666666</v>
      </c>
      <c r="D1514" s="19" t="s">
        <v>39</v>
      </c>
      <c r="E1514" s="19" t="s">
        <v>65</v>
      </c>
      <c r="F1514" s="19" t="s">
        <v>45</v>
      </c>
      <c r="G1514" s="19" t="s">
        <v>110</v>
      </c>
      <c r="H1514" s="19" t="s">
        <v>59</v>
      </c>
      <c r="I1514" s="19" t="s">
        <v>123</v>
      </c>
      <c r="J1514" s="20">
        <v>48</v>
      </c>
      <c r="K1514" s="34">
        <v>0</v>
      </c>
      <c r="M1514" s="19" t="str">
        <f>IF(OR(ISBLANK(C1514),C1514=""),"",ROUND((C1514-B1514)*24,2))</f>
        <v/>
      </c>
      <c r="N1514" s="19" t="str">
        <f>IF(OR(ISBLANK(C1514),C1514="",M1514=""),"In Progress",IF(M1514&lt;=J1514,"Met","Breached"))</f>
        <v>In Progress</v>
      </c>
    </row>
    <row r="1515" ht="19" customHeight="1" spans="1:14" x14ac:dyDescent="0.25">
      <c r="A1515" s="22" t="s">
        <v>1629</v>
      </c>
      <c r="B1515" s="36">
        <v>45680.48333333334</v>
      </c>
      <c r="C1515" s="36">
        <v>45683.49791666667</v>
      </c>
      <c r="D1515" s="22" t="s">
        <v>33</v>
      </c>
      <c r="E1515" s="22" t="s">
        <v>65</v>
      </c>
      <c r="F1515" s="22" t="s">
        <v>34</v>
      </c>
      <c r="G1515" s="22" t="s">
        <v>121</v>
      </c>
      <c r="H1515" s="22" t="s">
        <v>63</v>
      </c>
      <c r="I1515" s="22" t="s">
        <v>111</v>
      </c>
      <c r="J1515" s="23">
        <v>48</v>
      </c>
      <c r="K1515" s="37">
        <v>0</v>
      </c>
      <c r="L1515" s="37">
        <v>5</v>
      </c>
      <c r="M1515" s="22">
        <f>IF(OR(ISBLANK(C1515),C1515=""),"",ROUND((C1515-B1515)*24,2))</f>
        <v>72.35</v>
      </c>
      <c r="N1515" s="38" t="str">
        <f>IF(OR(ISBLANK(C1515),C1515="",M1515=""),"In Progress",IF(M1515&lt;=J1515,"Met","Breached"))</f>
        <v>Breached</v>
      </c>
    </row>
    <row r="1516" ht="19" customHeight="1" spans="1:14" x14ac:dyDescent="0.25">
      <c r="A1516" s="19" t="s">
        <v>1630</v>
      </c>
      <c r="B1516" s="33">
        <v>45953.59652777778</v>
      </c>
      <c r="C1516" s="33">
        <v>45953.882638888885</v>
      </c>
      <c r="D1516" s="19" t="s">
        <v>36</v>
      </c>
      <c r="E1516" s="19" t="s">
        <v>61</v>
      </c>
      <c r="F1516" s="19" t="s">
        <v>43</v>
      </c>
      <c r="G1516" s="19" t="s">
        <v>63</v>
      </c>
      <c r="H1516" s="19" t="s">
        <v>59</v>
      </c>
      <c r="I1516" s="19" t="s">
        <v>117</v>
      </c>
      <c r="J1516" s="20">
        <v>12</v>
      </c>
      <c r="K1516" s="34">
        <v>0</v>
      </c>
      <c r="L1516" s="34">
        <v>4</v>
      </c>
      <c r="M1516" s="19">
        <f>IF(OR(ISBLANK(C1516),C1516=""),"",ROUND((C1516-B1516)*24,2))</f>
        <v>6.87</v>
      </c>
      <c r="N1516" s="35" t="str">
        <f>IF(OR(ISBLANK(C1516),C1516="",M1516=""),"In Progress",IF(M1516&lt;=J1516,"Met","Breached"))</f>
        <v>Met</v>
      </c>
    </row>
    <row r="1517" ht="19" customHeight="1" spans="1:14" x14ac:dyDescent="0.25">
      <c r="A1517" s="22" t="s">
        <v>1631</v>
      </c>
      <c r="B1517" s="36">
        <v>45784.075694444444</v>
      </c>
      <c r="C1517" s="36">
        <v>45784.57361111111</v>
      </c>
      <c r="D1517" s="22" t="s">
        <v>33</v>
      </c>
      <c r="E1517" s="22" t="s">
        <v>61</v>
      </c>
      <c r="F1517" s="22" t="s">
        <v>40</v>
      </c>
      <c r="G1517" s="22" t="s">
        <v>121</v>
      </c>
      <c r="H1517" s="22" t="s">
        <v>59</v>
      </c>
      <c r="I1517" s="22" t="s">
        <v>111</v>
      </c>
      <c r="J1517" s="23">
        <v>12</v>
      </c>
      <c r="K1517" s="37">
        <v>0</v>
      </c>
      <c r="L1517" s="37">
        <v>4</v>
      </c>
      <c r="M1517" s="22">
        <f>IF(OR(ISBLANK(C1517),C1517=""),"",ROUND((C1517-B1517)*24,2))</f>
        <v>11.95</v>
      </c>
      <c r="N1517" s="40" t="str">
        <f>IF(OR(ISBLANK(C1517),C1517="",M1517=""),"In Progress",IF(M1517&lt;=J1517,"Met","Breached"))</f>
        <v>Met</v>
      </c>
    </row>
    <row r="1518" ht="19" customHeight="1" spans="1:14" x14ac:dyDescent="0.25">
      <c r="A1518" s="19" t="s">
        <v>1632</v>
      </c>
      <c r="B1518" s="33">
        <v>46238.95347222222</v>
      </c>
      <c r="C1518" s="33">
        <v>46240.4125</v>
      </c>
      <c r="D1518" s="19" t="s">
        <v>33</v>
      </c>
      <c r="E1518" s="19" t="s">
        <v>65</v>
      </c>
      <c r="F1518" s="19" t="s">
        <v>40</v>
      </c>
      <c r="G1518" s="19" t="s">
        <v>116</v>
      </c>
      <c r="H1518" s="19" t="s">
        <v>67</v>
      </c>
      <c r="I1518" s="19" t="s">
        <v>147</v>
      </c>
      <c r="J1518" s="20">
        <v>48</v>
      </c>
      <c r="K1518" s="34">
        <v>0</v>
      </c>
      <c r="L1518" s="34">
        <v>3</v>
      </c>
      <c r="M1518" s="19">
        <f>IF(OR(ISBLANK(C1518),C1518=""),"",ROUND((C1518-B1518)*24,2))</f>
        <v>35.02</v>
      </c>
      <c r="N1518" s="35" t="str">
        <f>IF(OR(ISBLANK(C1518),C1518="",M1518=""),"In Progress",IF(M1518&lt;=J1518,"Met","Breached"))</f>
        <v>Met</v>
      </c>
    </row>
    <row r="1519" ht="19" customHeight="1" spans="1:14" x14ac:dyDescent="0.25">
      <c r="A1519" s="22" t="s">
        <v>1633</v>
      </c>
      <c r="B1519" s="36">
        <v>45792.44652777778</v>
      </c>
      <c r="C1519" s="36">
        <v>45794.59236111111</v>
      </c>
      <c r="D1519" s="22" t="s">
        <v>33</v>
      </c>
      <c r="E1519" s="22" t="s">
        <v>65</v>
      </c>
      <c r="F1519" s="22" t="s">
        <v>40</v>
      </c>
      <c r="G1519" s="22" t="s">
        <v>116</v>
      </c>
      <c r="H1519" s="22" t="s">
        <v>59</v>
      </c>
      <c r="I1519" s="22" t="s">
        <v>108</v>
      </c>
      <c r="J1519" s="23">
        <v>48</v>
      </c>
      <c r="K1519" s="37">
        <v>0</v>
      </c>
      <c r="L1519" s="37">
        <v>1</v>
      </c>
      <c r="M1519" s="22">
        <f>IF(OR(ISBLANK(C1519),C1519=""),"",ROUND((C1519-B1519)*24,2))</f>
        <v>51.5</v>
      </c>
      <c r="N1519" s="38" t="str">
        <f>IF(OR(ISBLANK(C1519),C1519="",M1519=""),"In Progress",IF(M1519&lt;=J1519,"Met","Breached"))</f>
        <v>Breached</v>
      </c>
    </row>
    <row r="1520" ht="19" customHeight="1" spans="1:14" x14ac:dyDescent="0.25">
      <c r="A1520" s="19" t="s">
        <v>1634</v>
      </c>
      <c r="B1520" s="33">
        <v>46178.45347222222</v>
      </c>
      <c r="D1520" s="19" t="s">
        <v>39</v>
      </c>
      <c r="E1520" s="19" t="s">
        <v>57</v>
      </c>
      <c r="F1520" s="19" t="s">
        <v>37</v>
      </c>
      <c r="G1520" s="19" t="s">
        <v>110</v>
      </c>
      <c r="H1520" s="19" t="s">
        <v>59</v>
      </c>
      <c r="I1520" s="19" t="s">
        <v>111</v>
      </c>
      <c r="J1520" s="20">
        <v>4</v>
      </c>
      <c r="K1520" s="34">
        <v>0</v>
      </c>
      <c r="M1520" s="19" t="str">
        <f>IF(OR(ISBLANK(C1520),C1520=""),"",ROUND((C1520-B1520)*24,2))</f>
        <v/>
      </c>
      <c r="N1520" s="19" t="str">
        <f>IF(OR(ISBLANK(C1520),C1520="",M1520=""),"In Progress",IF(M1520&lt;=J1520,"Met","Breached"))</f>
        <v>In Progress</v>
      </c>
    </row>
    <row r="1521" ht="19" customHeight="1" spans="1:14" x14ac:dyDescent="0.25">
      <c r="A1521" s="22" t="s">
        <v>1635</v>
      </c>
      <c r="B1521" s="36">
        <v>46282.615277777775</v>
      </c>
      <c r="D1521" s="22" t="s">
        <v>42</v>
      </c>
      <c r="E1521" s="22" t="s">
        <v>57</v>
      </c>
      <c r="F1521" s="22" t="s">
        <v>40</v>
      </c>
      <c r="G1521" s="22" t="s">
        <v>63</v>
      </c>
      <c r="H1521" s="22" t="s">
        <v>71</v>
      </c>
      <c r="I1521" s="22" t="s">
        <v>117</v>
      </c>
      <c r="J1521" s="23">
        <v>4</v>
      </c>
      <c r="K1521" s="37">
        <v>0</v>
      </c>
      <c r="M1521" s="22" t="str">
        <f>IF(OR(ISBLANK(C1521),C1521=""),"",ROUND((C1521-B1521)*24,2))</f>
        <v/>
      </c>
      <c r="N1521" s="22" t="str">
        <f>IF(OR(ISBLANK(C1521),C1521="",M1521=""),"In Progress",IF(M1521&lt;=J1521,"Met","Breached"))</f>
        <v>In Progress</v>
      </c>
    </row>
    <row r="1522" ht="19" customHeight="1" spans="1:14" x14ac:dyDescent="0.25">
      <c r="A1522" s="19" t="s">
        <v>1636</v>
      </c>
      <c r="B1522" s="33">
        <v>45989.38680555555</v>
      </c>
      <c r="C1522" s="33">
        <v>45991.445138888885</v>
      </c>
      <c r="D1522" s="19" t="s">
        <v>33</v>
      </c>
      <c r="E1522" s="19" t="s">
        <v>65</v>
      </c>
      <c r="F1522" s="19" t="s">
        <v>37</v>
      </c>
      <c r="G1522" s="19" t="s">
        <v>110</v>
      </c>
      <c r="H1522" s="19" t="s">
        <v>63</v>
      </c>
      <c r="I1522" s="19" t="s">
        <v>108</v>
      </c>
      <c r="J1522" s="20">
        <v>48</v>
      </c>
      <c r="K1522" s="34">
        <v>0</v>
      </c>
      <c r="M1522" s="19">
        <f>IF(OR(ISBLANK(C1522),C1522=""),"",ROUND((C1522-B1522)*24,2))</f>
        <v>49.4</v>
      </c>
      <c r="N1522" s="39" t="str">
        <f>IF(OR(ISBLANK(C1522),C1522="",M1522=""),"In Progress",IF(M1522&lt;=J1522,"Met","Breached"))</f>
        <v>Breached</v>
      </c>
    </row>
    <row r="1523" ht="19" customHeight="1" spans="1:14" x14ac:dyDescent="0.25">
      <c r="A1523" s="22" t="s">
        <v>1637</v>
      </c>
      <c r="B1523" s="36">
        <v>45714.106944444444</v>
      </c>
      <c r="C1523" s="36">
        <v>45716.24930555555</v>
      </c>
      <c r="D1523" s="22" t="s">
        <v>33</v>
      </c>
      <c r="E1523" s="22" t="s">
        <v>65</v>
      </c>
      <c r="F1523" s="22" t="s">
        <v>40</v>
      </c>
      <c r="G1523" s="22" t="s">
        <v>110</v>
      </c>
      <c r="H1523" s="22" t="s">
        <v>59</v>
      </c>
      <c r="I1523" s="22" t="s">
        <v>123</v>
      </c>
      <c r="J1523" s="23">
        <v>48</v>
      </c>
      <c r="K1523" s="37">
        <v>0</v>
      </c>
      <c r="L1523" s="37">
        <v>3</v>
      </c>
      <c r="M1523" s="22">
        <f>IF(OR(ISBLANK(C1523),C1523=""),"",ROUND((C1523-B1523)*24,2))</f>
        <v>51.42</v>
      </c>
      <c r="N1523" s="38" t="str">
        <f>IF(OR(ISBLANK(C1523),C1523="",M1523=""),"In Progress",IF(M1523&lt;=J1523,"Met","Breached"))</f>
        <v>Breached</v>
      </c>
    </row>
    <row r="1524" ht="19" customHeight="1" spans="1:14" x14ac:dyDescent="0.25">
      <c r="A1524" s="19" t="s">
        <v>1638</v>
      </c>
      <c r="B1524" s="33">
        <v>45700.41458333333</v>
      </c>
      <c r="C1524" s="33">
        <v>45700.61458333333</v>
      </c>
      <c r="D1524" s="19" t="s">
        <v>33</v>
      </c>
      <c r="E1524" s="19" t="s">
        <v>57</v>
      </c>
      <c r="F1524" s="19" t="s">
        <v>37</v>
      </c>
      <c r="G1524" s="19" t="s">
        <v>113</v>
      </c>
      <c r="H1524" s="19" t="s">
        <v>59</v>
      </c>
      <c r="I1524" s="19" t="s">
        <v>111</v>
      </c>
      <c r="J1524" s="20">
        <v>4</v>
      </c>
      <c r="K1524" s="34">
        <v>0</v>
      </c>
      <c r="L1524" s="34">
        <v>3</v>
      </c>
      <c r="M1524" s="19">
        <f>IF(OR(ISBLANK(C1524),C1524=""),"",ROUND((C1524-B1524)*24,2))</f>
        <v>4.8</v>
      </c>
      <c r="N1524" s="39" t="str">
        <f>IF(OR(ISBLANK(C1524),C1524="",M1524=""),"In Progress",IF(M1524&lt;=J1524,"Met","Breached"))</f>
        <v>Breached</v>
      </c>
    </row>
    <row r="1525" ht="19" customHeight="1" spans="1:14" x14ac:dyDescent="0.25">
      <c r="A1525" s="22" t="s">
        <v>1639</v>
      </c>
      <c r="B1525" s="36">
        <v>46086.58819444444</v>
      </c>
      <c r="C1525" s="36">
        <v>46094.70972222222</v>
      </c>
      <c r="D1525" s="22" t="s">
        <v>33</v>
      </c>
      <c r="E1525" s="22" t="s">
        <v>69</v>
      </c>
      <c r="F1525" s="22" t="s">
        <v>43</v>
      </c>
      <c r="G1525" s="22" t="s">
        <v>110</v>
      </c>
      <c r="H1525" s="22" t="s">
        <v>63</v>
      </c>
      <c r="I1525" s="22" t="s">
        <v>111</v>
      </c>
      <c r="J1525" s="23">
        <v>120</v>
      </c>
      <c r="K1525" s="37">
        <v>0</v>
      </c>
      <c r="L1525" s="37">
        <v>5</v>
      </c>
      <c r="M1525" s="22">
        <f>IF(OR(ISBLANK(C1525),C1525=""),"",ROUND((C1525-B1525)*24,2))</f>
        <v>194.92</v>
      </c>
      <c r="N1525" s="38" t="str">
        <f>IF(OR(ISBLANK(C1525),C1525="",M1525=""),"In Progress",IF(M1525&lt;=J1525,"Met","Breached"))</f>
        <v>Breached</v>
      </c>
    </row>
    <row r="1526" ht="19" customHeight="1" spans="1:14" x14ac:dyDescent="0.25">
      <c r="A1526" s="19" t="s">
        <v>1640</v>
      </c>
      <c r="B1526" s="33">
        <v>45848.945138888885</v>
      </c>
      <c r="C1526" s="33">
        <v>45851.504166666666</v>
      </c>
      <c r="D1526" s="19" t="s">
        <v>36</v>
      </c>
      <c r="E1526" s="19" t="s">
        <v>65</v>
      </c>
      <c r="F1526" s="19" t="s">
        <v>43</v>
      </c>
      <c r="G1526" s="19" t="s">
        <v>113</v>
      </c>
      <c r="H1526" s="19" t="s">
        <v>63</v>
      </c>
      <c r="I1526" s="19" t="s">
        <v>123</v>
      </c>
      <c r="J1526" s="20">
        <v>48</v>
      </c>
      <c r="K1526" s="34">
        <v>0</v>
      </c>
      <c r="L1526" s="34">
        <v>4</v>
      </c>
      <c r="M1526" s="19">
        <f>IF(OR(ISBLANK(C1526),C1526=""),"",ROUND((C1526-B1526)*24,2))</f>
        <v>61.42</v>
      </c>
      <c r="N1526" s="39" t="str">
        <f>IF(OR(ISBLANK(C1526),C1526="",M1526=""),"In Progress",IF(M1526&lt;=J1526,"Met","Breached"))</f>
        <v>Breached</v>
      </c>
    </row>
    <row r="1527" ht="19" customHeight="1" spans="1:14" x14ac:dyDescent="0.25">
      <c r="A1527" s="22" t="s">
        <v>1641</v>
      </c>
      <c r="B1527" s="36">
        <v>46017.955555555556</v>
      </c>
      <c r="C1527" s="36">
        <v>46019.836805555555</v>
      </c>
      <c r="D1527" s="22" t="s">
        <v>36</v>
      </c>
      <c r="E1527" s="22" t="s">
        <v>65</v>
      </c>
      <c r="F1527" s="22" t="s">
        <v>45</v>
      </c>
      <c r="G1527" s="22" t="s">
        <v>121</v>
      </c>
      <c r="H1527" s="22" t="s">
        <v>71</v>
      </c>
      <c r="I1527" s="22" t="s">
        <v>123</v>
      </c>
      <c r="J1527" s="23">
        <v>48</v>
      </c>
      <c r="K1527" s="37">
        <v>0</v>
      </c>
      <c r="L1527" s="37">
        <v>4</v>
      </c>
      <c r="M1527" s="22">
        <f>IF(OR(ISBLANK(C1527),C1527=""),"",ROUND((C1527-B1527)*24,2))</f>
        <v>45.15</v>
      </c>
      <c r="N1527" s="40" t="str">
        <f>IF(OR(ISBLANK(C1527),C1527="",M1527=""),"In Progress",IF(M1527&lt;=J1527,"Met","Breached"))</f>
        <v>Met</v>
      </c>
    </row>
    <row r="1528" ht="19" customHeight="1" spans="1:14" x14ac:dyDescent="0.25">
      <c r="A1528" s="19" t="s">
        <v>1642</v>
      </c>
      <c r="B1528" s="33">
        <v>45786.92291666666</v>
      </c>
      <c r="D1528" s="19" t="s">
        <v>42</v>
      </c>
      <c r="E1528" s="19" t="s">
        <v>65</v>
      </c>
      <c r="F1528" s="19" t="s">
        <v>37</v>
      </c>
      <c r="G1528" s="19" t="s">
        <v>116</v>
      </c>
      <c r="H1528" s="19" t="s">
        <v>63</v>
      </c>
      <c r="I1528" s="19" t="s">
        <v>147</v>
      </c>
      <c r="J1528" s="20">
        <v>48</v>
      </c>
      <c r="K1528" s="34">
        <v>0</v>
      </c>
      <c r="M1528" s="19" t="str">
        <f>IF(OR(ISBLANK(C1528),C1528=""),"",ROUND((C1528-B1528)*24,2))</f>
        <v/>
      </c>
      <c r="N1528" s="19" t="str">
        <f>IF(OR(ISBLANK(C1528),C1528="",M1528=""),"In Progress",IF(M1528&lt;=J1528,"Met","Breached"))</f>
        <v>In Progress</v>
      </c>
    </row>
    <row r="1529" ht="19" customHeight="1" spans="1:14" x14ac:dyDescent="0.25">
      <c r="A1529" s="22" t="s">
        <v>1643</v>
      </c>
      <c r="B1529" s="36">
        <v>45750.69236111111</v>
      </c>
      <c r="C1529" s="36">
        <v>45751.117361111115</v>
      </c>
      <c r="D1529" s="22" t="s">
        <v>33</v>
      </c>
      <c r="E1529" s="22" t="s">
        <v>61</v>
      </c>
      <c r="F1529" s="22" t="s">
        <v>40</v>
      </c>
      <c r="G1529" s="22" t="s">
        <v>63</v>
      </c>
      <c r="H1529" s="22" t="s">
        <v>59</v>
      </c>
      <c r="I1529" s="22" t="s">
        <v>108</v>
      </c>
      <c r="J1529" s="23">
        <v>12</v>
      </c>
      <c r="K1529" s="37">
        <v>0</v>
      </c>
      <c r="L1529" s="37">
        <v>5</v>
      </c>
      <c r="M1529" s="22">
        <f>IF(OR(ISBLANK(C1529),C1529=""),"",ROUND((C1529-B1529)*24,2))</f>
        <v>10.2</v>
      </c>
      <c r="N1529" s="40" t="str">
        <f>IF(OR(ISBLANK(C1529),C1529="",M1529=""),"In Progress",IF(M1529&lt;=J1529,"Met","Breached"))</f>
        <v>Met</v>
      </c>
    </row>
    <row r="1530" ht="19" customHeight="1" spans="1:14" x14ac:dyDescent="0.25">
      <c r="A1530" s="19" t="s">
        <v>1644</v>
      </c>
      <c r="B1530" s="33">
        <v>45716.04513888889</v>
      </c>
      <c r="C1530" s="33">
        <v>45718.631944444445</v>
      </c>
      <c r="D1530" s="19" t="s">
        <v>33</v>
      </c>
      <c r="E1530" s="19" t="s">
        <v>69</v>
      </c>
      <c r="F1530" s="19" t="s">
        <v>45</v>
      </c>
      <c r="G1530" s="19" t="s">
        <v>110</v>
      </c>
      <c r="H1530" s="19" t="s">
        <v>63</v>
      </c>
      <c r="I1530" s="19" t="s">
        <v>111</v>
      </c>
      <c r="J1530" s="20">
        <v>120</v>
      </c>
      <c r="K1530" s="34">
        <v>0</v>
      </c>
      <c r="M1530" s="19">
        <f>IF(OR(ISBLANK(C1530),C1530=""),"",ROUND((C1530-B1530)*24,2))</f>
        <v>62.08</v>
      </c>
      <c r="N1530" s="35" t="str">
        <f>IF(OR(ISBLANK(C1530),C1530="",M1530=""),"In Progress",IF(M1530&lt;=J1530,"Met","Breached"))</f>
        <v>Met</v>
      </c>
    </row>
    <row r="1531" ht="19" customHeight="1" spans="1:14" x14ac:dyDescent="0.25">
      <c r="A1531" s="22" t="s">
        <v>1645</v>
      </c>
      <c r="B1531" s="36">
        <v>45913.05208333333</v>
      </c>
      <c r="D1531" s="22" t="s">
        <v>39</v>
      </c>
      <c r="E1531" s="22" t="s">
        <v>69</v>
      </c>
      <c r="F1531" s="22" t="s">
        <v>40</v>
      </c>
      <c r="G1531" s="22" t="s">
        <v>63</v>
      </c>
      <c r="H1531" s="22" t="s">
        <v>63</v>
      </c>
      <c r="I1531" s="22" t="s">
        <v>117</v>
      </c>
      <c r="J1531" s="23">
        <v>120</v>
      </c>
      <c r="K1531" s="37">
        <v>0</v>
      </c>
      <c r="M1531" s="22" t="str">
        <f>IF(OR(ISBLANK(C1531),C1531=""),"",ROUND((C1531-B1531)*24,2))</f>
        <v/>
      </c>
      <c r="N1531" s="22" t="str">
        <f>IF(OR(ISBLANK(C1531),C1531="",M1531=""),"In Progress",IF(M1531&lt;=J1531,"Met","Breached"))</f>
        <v>In Progress</v>
      </c>
    </row>
    <row r="1532" ht="19" customHeight="1" spans="1:14" x14ac:dyDescent="0.25">
      <c r="A1532" s="19" t="s">
        <v>1646</v>
      </c>
      <c r="B1532" s="33">
        <v>45693.5125</v>
      </c>
      <c r="C1532" s="33">
        <v>45702.40069444444</v>
      </c>
      <c r="D1532" s="19" t="s">
        <v>33</v>
      </c>
      <c r="E1532" s="19" t="s">
        <v>69</v>
      </c>
      <c r="F1532" s="19" t="s">
        <v>45</v>
      </c>
      <c r="G1532" s="19" t="s">
        <v>116</v>
      </c>
      <c r="H1532" s="19" t="s">
        <v>59</v>
      </c>
      <c r="I1532" s="19" t="s">
        <v>108</v>
      </c>
      <c r="J1532" s="20">
        <v>120</v>
      </c>
      <c r="K1532" s="34">
        <v>1</v>
      </c>
      <c r="M1532" s="19">
        <f>IF(OR(ISBLANK(C1532),C1532=""),"",ROUND((C1532-B1532)*24,2))</f>
        <v>213.32</v>
      </c>
      <c r="N1532" s="39" t="str">
        <f>IF(OR(ISBLANK(C1532),C1532="",M1532=""),"In Progress",IF(M1532&lt;=J1532,"Met","Breached"))</f>
        <v>Breached</v>
      </c>
    </row>
    <row r="1533" ht="19" customHeight="1" spans="1:14" x14ac:dyDescent="0.25">
      <c r="A1533" s="22" t="s">
        <v>1647</v>
      </c>
      <c r="B1533" s="36">
        <v>45972.771527777775</v>
      </c>
      <c r="D1533" s="22" t="s">
        <v>39</v>
      </c>
      <c r="E1533" s="22" t="s">
        <v>57</v>
      </c>
      <c r="F1533" s="22" t="s">
        <v>45</v>
      </c>
      <c r="G1533" s="22" t="s">
        <v>116</v>
      </c>
      <c r="H1533" s="22" t="s">
        <v>59</v>
      </c>
      <c r="I1533" s="22" t="s">
        <v>111</v>
      </c>
      <c r="J1533" s="23">
        <v>4</v>
      </c>
      <c r="K1533" s="37">
        <v>0</v>
      </c>
      <c r="M1533" s="22" t="str">
        <f>IF(OR(ISBLANK(C1533),C1533=""),"",ROUND((C1533-B1533)*24,2))</f>
        <v/>
      </c>
      <c r="N1533" s="22" t="str">
        <f>IF(OR(ISBLANK(C1533),C1533="",M1533=""),"In Progress",IF(M1533&lt;=J1533,"Met","Breached"))</f>
        <v>In Progress</v>
      </c>
    </row>
    <row r="1534" ht="19" customHeight="1" spans="1:14" x14ac:dyDescent="0.25">
      <c r="A1534" s="19" t="s">
        <v>1648</v>
      </c>
      <c r="B1534" s="33">
        <v>45728.66458333333</v>
      </c>
      <c r="C1534" s="33">
        <v>45734.05902777778</v>
      </c>
      <c r="D1534" s="19" t="s">
        <v>36</v>
      </c>
      <c r="E1534" s="19" t="s">
        <v>69</v>
      </c>
      <c r="F1534" s="19" t="s">
        <v>34</v>
      </c>
      <c r="G1534" s="19" t="s">
        <v>121</v>
      </c>
      <c r="H1534" s="19" t="s">
        <v>59</v>
      </c>
      <c r="I1534" s="19" t="s">
        <v>123</v>
      </c>
      <c r="J1534" s="20">
        <v>120</v>
      </c>
      <c r="K1534" s="34">
        <v>0</v>
      </c>
      <c r="L1534" s="34">
        <v>2</v>
      </c>
      <c r="M1534" s="19">
        <f>IF(OR(ISBLANK(C1534),C1534=""),"",ROUND((C1534-B1534)*24,2))</f>
        <v>129.47</v>
      </c>
      <c r="N1534" s="39" t="str">
        <f>IF(OR(ISBLANK(C1534),C1534="",M1534=""),"In Progress",IF(M1534&lt;=J1534,"Met","Breached"))</f>
        <v>Breached</v>
      </c>
    </row>
    <row r="1535" ht="19" customHeight="1" spans="1:14" x14ac:dyDescent="0.25">
      <c r="A1535" s="22" t="s">
        <v>1649</v>
      </c>
      <c r="B1535" s="36">
        <v>46184.35208333333</v>
      </c>
      <c r="D1535" s="22" t="s">
        <v>42</v>
      </c>
      <c r="E1535" s="22" t="s">
        <v>57</v>
      </c>
      <c r="F1535" s="22" t="s">
        <v>34</v>
      </c>
      <c r="G1535" s="22" t="s">
        <v>126</v>
      </c>
      <c r="H1535" s="22" t="s">
        <v>63</v>
      </c>
      <c r="I1535" s="22" t="s">
        <v>108</v>
      </c>
      <c r="J1535" s="23">
        <v>4</v>
      </c>
      <c r="K1535" s="37">
        <v>0</v>
      </c>
      <c r="M1535" s="22" t="str">
        <f>IF(OR(ISBLANK(C1535),C1535=""),"",ROUND((C1535-B1535)*24,2))</f>
        <v/>
      </c>
      <c r="N1535" s="22" t="str">
        <f>IF(OR(ISBLANK(C1535),C1535="",M1535=""),"In Progress",IF(M1535&lt;=J1535,"Met","Breached"))</f>
        <v>In Progress</v>
      </c>
    </row>
    <row r="1536" ht="19" customHeight="1" spans="1:14" x14ac:dyDescent="0.25">
      <c r="A1536" s="19" t="s">
        <v>1650</v>
      </c>
      <c r="B1536" s="33">
        <v>46102.740277777775</v>
      </c>
      <c r="C1536" s="33">
        <v>46103.19861111111</v>
      </c>
      <c r="D1536" s="19" t="s">
        <v>33</v>
      </c>
      <c r="E1536" s="19" t="s">
        <v>61</v>
      </c>
      <c r="F1536" s="19" t="s">
        <v>37</v>
      </c>
      <c r="G1536" s="19" t="s">
        <v>126</v>
      </c>
      <c r="H1536" s="19" t="s">
        <v>71</v>
      </c>
      <c r="I1536" s="19" t="s">
        <v>111</v>
      </c>
      <c r="J1536" s="20">
        <v>12</v>
      </c>
      <c r="K1536" s="34">
        <v>1</v>
      </c>
      <c r="M1536" s="19">
        <f>IF(OR(ISBLANK(C1536),C1536=""),"",ROUND((C1536-B1536)*24,2))</f>
        <v>11</v>
      </c>
      <c r="N1536" s="35" t="str">
        <f>IF(OR(ISBLANK(C1536),C1536="",M1536=""),"In Progress",IF(M1536&lt;=J1536,"Met","Breached"))</f>
        <v>Met</v>
      </c>
    </row>
    <row r="1537" ht="19" customHeight="1" spans="1:14" x14ac:dyDescent="0.25">
      <c r="A1537" s="22" t="s">
        <v>1651</v>
      </c>
      <c r="B1537" s="36">
        <v>45919.11111111111</v>
      </c>
      <c r="D1537" s="22" t="s">
        <v>39</v>
      </c>
      <c r="E1537" s="22" t="s">
        <v>65</v>
      </c>
      <c r="F1537" s="22" t="s">
        <v>45</v>
      </c>
      <c r="G1537" s="22" t="s">
        <v>110</v>
      </c>
      <c r="H1537" s="22" t="s">
        <v>67</v>
      </c>
      <c r="I1537" s="22" t="s">
        <v>117</v>
      </c>
      <c r="J1537" s="23">
        <v>48</v>
      </c>
      <c r="K1537" s="37">
        <v>0</v>
      </c>
      <c r="M1537" s="22" t="str">
        <f>IF(OR(ISBLANK(C1537),C1537=""),"",ROUND((C1537-B1537)*24,2))</f>
        <v/>
      </c>
      <c r="N1537" s="22" t="str">
        <f>IF(OR(ISBLANK(C1537),C1537="",M1537=""),"In Progress",IF(M1537&lt;=J1537,"Met","Breached"))</f>
        <v>In Progress</v>
      </c>
    </row>
    <row r="1538" ht="19" customHeight="1" spans="1:14" x14ac:dyDescent="0.25">
      <c r="A1538" s="19" t="s">
        <v>1652</v>
      </c>
      <c r="B1538" s="33">
        <v>45840.052777777775</v>
      </c>
      <c r="C1538" s="33">
        <v>45843.21805555555</v>
      </c>
      <c r="D1538" s="19" t="s">
        <v>33</v>
      </c>
      <c r="E1538" s="19" t="s">
        <v>65</v>
      </c>
      <c r="F1538" s="19" t="s">
        <v>37</v>
      </c>
      <c r="G1538" s="19" t="s">
        <v>116</v>
      </c>
      <c r="H1538" s="19" t="s">
        <v>63</v>
      </c>
      <c r="I1538" s="19" t="s">
        <v>114</v>
      </c>
      <c r="J1538" s="20">
        <v>48</v>
      </c>
      <c r="K1538" s="34">
        <v>0</v>
      </c>
      <c r="L1538" s="34">
        <v>3</v>
      </c>
      <c r="M1538" s="19">
        <f>IF(OR(ISBLANK(C1538),C1538=""),"",ROUND((C1538-B1538)*24,2))</f>
        <v>75.97</v>
      </c>
      <c r="N1538" s="39" t="str">
        <f>IF(OR(ISBLANK(C1538),C1538="",M1538=""),"In Progress",IF(M1538&lt;=J1538,"Met","Breached"))</f>
        <v>Breached</v>
      </c>
    </row>
    <row r="1539" ht="19" customHeight="1" spans="1:14" x14ac:dyDescent="0.25">
      <c r="A1539" s="22" t="s">
        <v>1653</v>
      </c>
      <c r="B1539" s="36">
        <v>45804.92708333333</v>
      </c>
      <c r="C1539" s="36">
        <v>45810.33333333333</v>
      </c>
      <c r="D1539" s="22" t="s">
        <v>36</v>
      </c>
      <c r="E1539" s="22" t="s">
        <v>69</v>
      </c>
      <c r="F1539" s="22" t="s">
        <v>40</v>
      </c>
      <c r="G1539" s="22" t="s">
        <v>121</v>
      </c>
      <c r="H1539" s="22" t="s">
        <v>63</v>
      </c>
      <c r="I1539" s="22" t="s">
        <v>117</v>
      </c>
      <c r="J1539" s="23">
        <v>120</v>
      </c>
      <c r="K1539" s="37">
        <v>0</v>
      </c>
      <c r="L1539" s="37">
        <v>3</v>
      </c>
      <c r="M1539" s="22">
        <f>IF(OR(ISBLANK(C1539),C1539=""),"",ROUND((C1539-B1539)*24,2))</f>
        <v>129.75</v>
      </c>
      <c r="N1539" s="38" t="str">
        <f>IF(OR(ISBLANK(C1539),C1539="",M1539=""),"In Progress",IF(M1539&lt;=J1539,"Met","Breached"))</f>
        <v>Breached</v>
      </c>
    </row>
    <row r="1540" ht="19" customHeight="1" spans="1:14" x14ac:dyDescent="0.25">
      <c r="A1540" s="19" t="s">
        <v>1654</v>
      </c>
      <c r="B1540" s="33">
        <v>45869.74722222222</v>
      </c>
      <c r="C1540" s="33">
        <v>45870.58194444445</v>
      </c>
      <c r="D1540" s="19" t="s">
        <v>33</v>
      </c>
      <c r="E1540" s="19" t="s">
        <v>65</v>
      </c>
      <c r="F1540" s="19" t="s">
        <v>43</v>
      </c>
      <c r="G1540" s="19" t="s">
        <v>126</v>
      </c>
      <c r="H1540" s="19" t="s">
        <v>63</v>
      </c>
      <c r="I1540" s="19" t="s">
        <v>114</v>
      </c>
      <c r="J1540" s="20">
        <v>48</v>
      </c>
      <c r="K1540" s="34">
        <v>0</v>
      </c>
      <c r="L1540" s="34">
        <v>3</v>
      </c>
      <c r="M1540" s="19">
        <f>IF(OR(ISBLANK(C1540),C1540=""),"",ROUND((C1540-B1540)*24,2))</f>
        <v>20.03</v>
      </c>
      <c r="N1540" s="35" t="str">
        <f>IF(OR(ISBLANK(C1540),C1540="",M1540=""),"In Progress",IF(M1540&lt;=J1540,"Met","Breached"))</f>
        <v>Met</v>
      </c>
    </row>
    <row r="1541" ht="19" customHeight="1" spans="1:14" x14ac:dyDescent="0.25">
      <c r="A1541" s="22" t="s">
        <v>1655</v>
      </c>
      <c r="B1541" s="36">
        <v>46061.96666666667</v>
      </c>
      <c r="C1541" s="36">
        <v>46064.745833333334</v>
      </c>
      <c r="D1541" s="22" t="s">
        <v>33</v>
      </c>
      <c r="E1541" s="22" t="s">
        <v>65</v>
      </c>
      <c r="F1541" s="22" t="s">
        <v>43</v>
      </c>
      <c r="G1541" s="22" t="s">
        <v>116</v>
      </c>
      <c r="H1541" s="22" t="s">
        <v>59</v>
      </c>
      <c r="I1541" s="22" t="s">
        <v>114</v>
      </c>
      <c r="J1541" s="23">
        <v>48</v>
      </c>
      <c r="K1541" s="37">
        <v>0</v>
      </c>
      <c r="M1541" s="22">
        <f>IF(OR(ISBLANK(C1541),C1541=""),"",ROUND((C1541-B1541)*24,2))</f>
        <v>66.7</v>
      </c>
      <c r="N1541" s="38" t="str">
        <f>IF(OR(ISBLANK(C1541),C1541="",M1541=""),"In Progress",IF(M1541&lt;=J1541,"Met","Breached"))</f>
        <v>Breached</v>
      </c>
    </row>
    <row r="1542" ht="19" customHeight="1" spans="1:14" x14ac:dyDescent="0.25">
      <c r="A1542" s="19" t="s">
        <v>1656</v>
      </c>
      <c r="B1542" s="33">
        <v>46151.30138888889</v>
      </c>
      <c r="C1542" s="33">
        <v>46151.82847222222</v>
      </c>
      <c r="D1542" s="19" t="s">
        <v>36</v>
      </c>
      <c r="E1542" s="19" t="s">
        <v>61</v>
      </c>
      <c r="F1542" s="19" t="s">
        <v>45</v>
      </c>
      <c r="G1542" s="19" t="s">
        <v>126</v>
      </c>
      <c r="H1542" s="19" t="s">
        <v>63</v>
      </c>
      <c r="I1542" s="19" t="s">
        <v>108</v>
      </c>
      <c r="J1542" s="20">
        <v>12</v>
      </c>
      <c r="K1542" s="34">
        <v>0</v>
      </c>
      <c r="L1542" s="34">
        <v>4</v>
      </c>
      <c r="M1542" s="19">
        <f>IF(OR(ISBLANK(C1542),C1542=""),"",ROUND((C1542-B1542)*24,2))</f>
        <v>12.65</v>
      </c>
      <c r="N1542" s="39" t="str">
        <f>IF(OR(ISBLANK(C1542),C1542="",M1542=""),"In Progress",IF(M1542&lt;=J1542,"Met","Breached"))</f>
        <v>Breached</v>
      </c>
    </row>
    <row r="1543" ht="19" customHeight="1" spans="1:14" x14ac:dyDescent="0.25">
      <c r="A1543" s="22" t="s">
        <v>1657</v>
      </c>
      <c r="B1543" s="36">
        <v>46180.299305555556</v>
      </c>
      <c r="D1543" s="22" t="s">
        <v>39</v>
      </c>
      <c r="E1543" s="22" t="s">
        <v>61</v>
      </c>
      <c r="F1543" s="22" t="s">
        <v>43</v>
      </c>
      <c r="G1543" s="22" t="s">
        <v>126</v>
      </c>
      <c r="H1543" s="22" t="s">
        <v>59</v>
      </c>
      <c r="I1543" s="22" t="s">
        <v>117</v>
      </c>
      <c r="J1543" s="23">
        <v>12</v>
      </c>
      <c r="K1543" s="37">
        <v>0</v>
      </c>
      <c r="M1543" s="22" t="str">
        <f>IF(OR(ISBLANK(C1543),C1543=""),"",ROUND((C1543-B1543)*24,2))</f>
        <v/>
      </c>
      <c r="N1543" s="22" t="str">
        <f>IF(OR(ISBLANK(C1543),C1543="",M1543=""),"In Progress",IF(M1543&lt;=J1543,"Met","Breached"))</f>
        <v>In Progress</v>
      </c>
    </row>
    <row r="1544" ht="19" customHeight="1" spans="1:14" x14ac:dyDescent="0.25">
      <c r="A1544" s="19" t="s">
        <v>1658</v>
      </c>
      <c r="B1544" s="33">
        <v>45999.92361111111</v>
      </c>
      <c r="C1544" s="33">
        <v>46000.040972222225</v>
      </c>
      <c r="D1544" s="19" t="s">
        <v>36</v>
      </c>
      <c r="E1544" s="19" t="s">
        <v>57</v>
      </c>
      <c r="F1544" s="19" t="s">
        <v>40</v>
      </c>
      <c r="G1544" s="19" t="s">
        <v>116</v>
      </c>
      <c r="H1544" s="19" t="s">
        <v>71</v>
      </c>
      <c r="I1544" s="19" t="s">
        <v>123</v>
      </c>
      <c r="J1544" s="20">
        <v>4</v>
      </c>
      <c r="K1544" s="34">
        <v>0</v>
      </c>
      <c r="M1544" s="19">
        <f>IF(OR(ISBLANK(C1544),C1544=""),"",ROUND((C1544-B1544)*24,2))</f>
        <v>2.82</v>
      </c>
      <c r="N1544" s="35" t="str">
        <f>IF(OR(ISBLANK(C1544),C1544="",M1544=""),"In Progress",IF(M1544&lt;=J1544,"Met","Breached"))</f>
        <v>Met</v>
      </c>
    </row>
    <row r="1545" ht="19" customHeight="1" spans="1:14" x14ac:dyDescent="0.25">
      <c r="A1545" s="22" t="s">
        <v>1659</v>
      </c>
      <c r="B1545" s="36">
        <v>46263.481944444444</v>
      </c>
      <c r="C1545" s="36">
        <v>46271.48402777778</v>
      </c>
      <c r="D1545" s="22" t="s">
        <v>33</v>
      </c>
      <c r="E1545" s="22" t="s">
        <v>69</v>
      </c>
      <c r="F1545" s="22" t="s">
        <v>45</v>
      </c>
      <c r="G1545" s="22" t="s">
        <v>126</v>
      </c>
      <c r="H1545" s="22" t="s">
        <v>59</v>
      </c>
      <c r="I1545" s="22" t="s">
        <v>117</v>
      </c>
      <c r="J1545" s="23">
        <v>120</v>
      </c>
      <c r="K1545" s="37">
        <v>0</v>
      </c>
      <c r="L1545" s="37">
        <v>5</v>
      </c>
      <c r="M1545" s="22">
        <f>IF(OR(ISBLANK(C1545),C1545=""),"",ROUND((C1545-B1545)*24,2))</f>
        <v>192.05</v>
      </c>
      <c r="N1545" s="38" t="str">
        <f>IF(OR(ISBLANK(C1545),C1545="",M1545=""),"In Progress",IF(M1545&lt;=J1545,"Met","Breached"))</f>
        <v>Breached</v>
      </c>
    </row>
    <row r="1546" ht="19" customHeight="1" spans="1:14" x14ac:dyDescent="0.25">
      <c r="A1546" s="19" t="s">
        <v>1660</v>
      </c>
      <c r="B1546" s="33">
        <v>45980.91805555555</v>
      </c>
      <c r="C1546" s="33">
        <v>45981.11041666666</v>
      </c>
      <c r="D1546" s="19" t="s">
        <v>36</v>
      </c>
      <c r="E1546" s="19" t="s">
        <v>61</v>
      </c>
      <c r="F1546" s="19" t="s">
        <v>43</v>
      </c>
      <c r="G1546" s="19" t="s">
        <v>116</v>
      </c>
      <c r="H1546" s="19" t="s">
        <v>59</v>
      </c>
      <c r="I1546" s="19" t="s">
        <v>111</v>
      </c>
      <c r="J1546" s="20">
        <v>12</v>
      </c>
      <c r="K1546" s="34">
        <v>0</v>
      </c>
      <c r="L1546" s="34">
        <v>4</v>
      </c>
      <c r="M1546" s="19">
        <f>IF(OR(ISBLANK(C1546),C1546=""),"",ROUND((C1546-B1546)*24,2))</f>
        <v>4.62</v>
      </c>
      <c r="N1546" s="35" t="str">
        <f>IF(OR(ISBLANK(C1546),C1546="",M1546=""),"In Progress",IF(M1546&lt;=J1546,"Met","Breached"))</f>
        <v>Met</v>
      </c>
    </row>
    <row r="1547" ht="19" customHeight="1" spans="1:14" x14ac:dyDescent="0.25">
      <c r="A1547" s="22" t="s">
        <v>1661</v>
      </c>
      <c r="B1547" s="36">
        <v>45943.06875</v>
      </c>
      <c r="C1547" s="36">
        <v>45943.78194444445</v>
      </c>
      <c r="D1547" s="22" t="s">
        <v>36</v>
      </c>
      <c r="E1547" s="22" t="s">
        <v>65</v>
      </c>
      <c r="F1547" s="22" t="s">
        <v>37</v>
      </c>
      <c r="G1547" s="22" t="s">
        <v>121</v>
      </c>
      <c r="H1547" s="22" t="s">
        <v>67</v>
      </c>
      <c r="I1547" s="22" t="s">
        <v>108</v>
      </c>
      <c r="J1547" s="23">
        <v>48</v>
      </c>
      <c r="K1547" s="37">
        <v>0</v>
      </c>
      <c r="L1547" s="37">
        <v>2</v>
      </c>
      <c r="M1547" s="22">
        <f>IF(OR(ISBLANK(C1547),C1547=""),"",ROUND((C1547-B1547)*24,2))</f>
        <v>17.12</v>
      </c>
      <c r="N1547" s="40" t="str">
        <f>IF(OR(ISBLANK(C1547),C1547="",M1547=""),"In Progress",IF(M1547&lt;=J1547,"Met","Breached"))</f>
        <v>Met</v>
      </c>
    </row>
    <row r="1548" ht="19" customHeight="1" spans="1:14" x14ac:dyDescent="0.25">
      <c r="A1548" s="19" t="s">
        <v>1662</v>
      </c>
      <c r="B1548" s="33">
        <v>45846.04166666667</v>
      </c>
      <c r="D1548" s="19" t="s">
        <v>39</v>
      </c>
      <c r="E1548" s="19" t="s">
        <v>61</v>
      </c>
      <c r="F1548" s="19" t="s">
        <v>43</v>
      </c>
      <c r="G1548" s="19" t="s">
        <v>121</v>
      </c>
      <c r="H1548" s="19" t="s">
        <v>63</v>
      </c>
      <c r="I1548" s="19" t="s">
        <v>117</v>
      </c>
      <c r="J1548" s="20">
        <v>12</v>
      </c>
      <c r="K1548" s="34">
        <v>0</v>
      </c>
      <c r="M1548" s="19" t="str">
        <f>IF(OR(ISBLANK(C1548),C1548=""),"",ROUND((C1548-B1548)*24,2))</f>
        <v/>
      </c>
      <c r="N1548" s="19" t="str">
        <f>IF(OR(ISBLANK(C1548),C1548="",M1548=""),"In Progress",IF(M1548&lt;=J1548,"Met","Breached"))</f>
        <v>In Progress</v>
      </c>
    </row>
    <row r="1549" ht="19" customHeight="1" spans="1:14" x14ac:dyDescent="0.25">
      <c r="A1549" s="22" t="s">
        <v>1663</v>
      </c>
      <c r="B1549" s="36">
        <v>45803.46875</v>
      </c>
      <c r="C1549" s="36">
        <v>45804.066666666666</v>
      </c>
      <c r="D1549" s="22" t="s">
        <v>33</v>
      </c>
      <c r="E1549" s="22" t="s">
        <v>61</v>
      </c>
      <c r="F1549" s="22" t="s">
        <v>34</v>
      </c>
      <c r="G1549" s="22" t="s">
        <v>116</v>
      </c>
      <c r="H1549" s="22" t="s">
        <v>63</v>
      </c>
      <c r="I1549" s="22" t="s">
        <v>111</v>
      </c>
      <c r="J1549" s="23">
        <v>12</v>
      </c>
      <c r="K1549" s="37">
        <v>0</v>
      </c>
      <c r="L1549" s="37">
        <v>4</v>
      </c>
      <c r="M1549" s="22">
        <f>IF(OR(ISBLANK(C1549),C1549=""),"",ROUND((C1549-B1549)*24,2))</f>
        <v>14.35</v>
      </c>
      <c r="N1549" s="38" t="str">
        <f>IF(OR(ISBLANK(C1549),C1549="",M1549=""),"In Progress",IF(M1549&lt;=J1549,"Met","Breached"))</f>
        <v>Breached</v>
      </c>
    </row>
    <row r="1550" ht="19" customHeight="1" spans="1:14" x14ac:dyDescent="0.25">
      <c r="A1550" s="19" t="s">
        <v>1664</v>
      </c>
      <c r="B1550" s="33">
        <v>45782.8</v>
      </c>
      <c r="C1550" s="33">
        <v>45789.80416666667</v>
      </c>
      <c r="D1550" s="19" t="s">
        <v>33</v>
      </c>
      <c r="E1550" s="19" t="s">
        <v>69</v>
      </c>
      <c r="F1550" s="19" t="s">
        <v>40</v>
      </c>
      <c r="G1550" s="19" t="s">
        <v>121</v>
      </c>
      <c r="H1550" s="19" t="s">
        <v>67</v>
      </c>
      <c r="I1550" s="19" t="s">
        <v>111</v>
      </c>
      <c r="J1550" s="20">
        <v>120</v>
      </c>
      <c r="K1550" s="34">
        <v>1</v>
      </c>
      <c r="L1550" s="34">
        <v>2</v>
      </c>
      <c r="M1550" s="19">
        <f>IF(OR(ISBLANK(C1550),C1550=""),"",ROUND((C1550-B1550)*24,2))</f>
        <v>168.1</v>
      </c>
      <c r="N1550" s="39" t="str">
        <f>IF(OR(ISBLANK(C1550),C1550="",M1550=""),"In Progress",IF(M1550&lt;=J1550,"Met","Breached"))</f>
        <v>Breached</v>
      </c>
    </row>
    <row r="1551" ht="19" customHeight="1" spans="1:14" x14ac:dyDescent="0.25">
      <c r="A1551" s="22" t="s">
        <v>1665</v>
      </c>
      <c r="B1551" s="36">
        <v>45767.66180555556</v>
      </c>
      <c r="C1551" s="36">
        <v>45768.044444444444</v>
      </c>
      <c r="D1551" s="22" t="s">
        <v>36</v>
      </c>
      <c r="E1551" s="22" t="s">
        <v>61</v>
      </c>
      <c r="F1551" s="22" t="s">
        <v>34</v>
      </c>
      <c r="G1551" s="22" t="s">
        <v>116</v>
      </c>
      <c r="H1551" s="22" t="s">
        <v>67</v>
      </c>
      <c r="I1551" s="22" t="s">
        <v>123</v>
      </c>
      <c r="J1551" s="23">
        <v>12</v>
      </c>
      <c r="K1551" s="37">
        <v>0</v>
      </c>
      <c r="L1551" s="37">
        <v>3</v>
      </c>
      <c r="M1551" s="22">
        <f>IF(OR(ISBLANK(C1551),C1551=""),"",ROUND((C1551-B1551)*24,2))</f>
        <v>9.18</v>
      </c>
      <c r="N1551" s="40" t="str">
        <f>IF(OR(ISBLANK(C1551),C1551="",M1551=""),"In Progress",IF(M1551&lt;=J1551,"Met","Breached"))</f>
        <v>Met</v>
      </c>
    </row>
    <row r="1552" ht="19" customHeight="1" spans="1:14" x14ac:dyDescent="0.25">
      <c r="A1552" s="19" t="s">
        <v>1666</v>
      </c>
      <c r="B1552" s="33">
        <v>45745.79305555555</v>
      </c>
      <c r="C1552" s="33">
        <v>45746.66527777778</v>
      </c>
      <c r="D1552" s="19" t="s">
        <v>36</v>
      </c>
      <c r="E1552" s="19" t="s">
        <v>61</v>
      </c>
      <c r="F1552" s="19" t="s">
        <v>34</v>
      </c>
      <c r="G1552" s="19" t="s">
        <v>116</v>
      </c>
      <c r="H1552" s="19" t="s">
        <v>59</v>
      </c>
      <c r="I1552" s="19" t="s">
        <v>114</v>
      </c>
      <c r="J1552" s="20">
        <v>12</v>
      </c>
      <c r="K1552" s="34">
        <v>0</v>
      </c>
      <c r="M1552" s="19">
        <f>IF(OR(ISBLANK(C1552),C1552=""),"",ROUND((C1552-B1552)*24,2))</f>
        <v>20.93</v>
      </c>
      <c r="N1552" s="39" t="str">
        <f>IF(OR(ISBLANK(C1552),C1552="",M1552=""),"In Progress",IF(M1552&lt;=J1552,"Met","Breached"))</f>
        <v>Breached</v>
      </c>
    </row>
    <row r="1553" ht="19" customHeight="1" spans="1:14" x14ac:dyDescent="0.25">
      <c r="A1553" s="22" t="s">
        <v>1667</v>
      </c>
      <c r="B1553" s="36">
        <v>45857.00208333333</v>
      </c>
      <c r="C1553" s="36">
        <v>45857.40833333333</v>
      </c>
      <c r="D1553" s="22" t="s">
        <v>36</v>
      </c>
      <c r="E1553" s="22" t="s">
        <v>61</v>
      </c>
      <c r="F1553" s="22" t="s">
        <v>43</v>
      </c>
      <c r="G1553" s="22" t="s">
        <v>126</v>
      </c>
      <c r="H1553" s="22" t="s">
        <v>59</v>
      </c>
      <c r="I1553" s="22" t="s">
        <v>111</v>
      </c>
      <c r="J1553" s="23">
        <v>12</v>
      </c>
      <c r="K1553" s="37">
        <v>1</v>
      </c>
      <c r="L1553" s="37">
        <v>3</v>
      </c>
      <c r="M1553" s="22">
        <f>IF(OR(ISBLANK(C1553),C1553=""),"",ROUND((C1553-B1553)*24,2))</f>
        <v>9.75</v>
      </c>
      <c r="N1553" s="40" t="str">
        <f>IF(OR(ISBLANK(C1553),C1553="",M1553=""),"In Progress",IF(M1553&lt;=J1553,"Met","Breached"))</f>
        <v>Met</v>
      </c>
    </row>
    <row r="1554" ht="19" customHeight="1" spans="1:14" x14ac:dyDescent="0.25">
      <c r="A1554" s="19" t="s">
        <v>1668</v>
      </c>
      <c r="B1554" s="33">
        <v>45662.47083333333</v>
      </c>
      <c r="C1554" s="33">
        <v>45663.615277777775</v>
      </c>
      <c r="D1554" s="19" t="s">
        <v>33</v>
      </c>
      <c r="E1554" s="19" t="s">
        <v>65</v>
      </c>
      <c r="F1554" s="19" t="s">
        <v>40</v>
      </c>
      <c r="G1554" s="19" t="s">
        <v>113</v>
      </c>
      <c r="H1554" s="19" t="s">
        <v>59</v>
      </c>
      <c r="I1554" s="19" t="s">
        <v>147</v>
      </c>
      <c r="J1554" s="20">
        <v>48</v>
      </c>
      <c r="K1554" s="34">
        <v>0</v>
      </c>
      <c r="L1554" s="34">
        <v>2</v>
      </c>
      <c r="M1554" s="19">
        <f>IF(OR(ISBLANK(C1554),C1554=""),"",ROUND((C1554-B1554)*24,2))</f>
        <v>27.47</v>
      </c>
      <c r="N1554" s="35" t="str">
        <f>IF(OR(ISBLANK(C1554),C1554="",M1554=""),"In Progress",IF(M1554&lt;=J1554,"Met","Breached"))</f>
        <v>Met</v>
      </c>
    </row>
    <row r="1555" ht="19" customHeight="1" spans="1:14" x14ac:dyDescent="0.25">
      <c r="A1555" s="22" t="s">
        <v>1669</v>
      </c>
      <c r="B1555" s="36">
        <v>45784.455555555556</v>
      </c>
      <c r="C1555" s="36">
        <v>45786.16666666667</v>
      </c>
      <c r="D1555" s="22" t="s">
        <v>33</v>
      </c>
      <c r="E1555" s="22" t="s">
        <v>65</v>
      </c>
      <c r="F1555" s="22" t="s">
        <v>37</v>
      </c>
      <c r="G1555" s="22" t="s">
        <v>63</v>
      </c>
      <c r="H1555" s="22" t="s">
        <v>63</v>
      </c>
      <c r="I1555" s="22" t="s">
        <v>108</v>
      </c>
      <c r="J1555" s="23">
        <v>48</v>
      </c>
      <c r="K1555" s="37">
        <v>0</v>
      </c>
      <c r="L1555" s="37">
        <v>2</v>
      </c>
      <c r="M1555" s="22">
        <f>IF(OR(ISBLANK(C1555),C1555=""),"",ROUND((C1555-B1555)*24,2))</f>
        <v>41.07</v>
      </c>
      <c r="N1555" s="40" t="str">
        <f>IF(OR(ISBLANK(C1555),C1555="",M1555=""),"In Progress",IF(M1555&lt;=J1555,"Met","Breached"))</f>
        <v>Met</v>
      </c>
    </row>
    <row r="1556" ht="19" customHeight="1" spans="1:14" x14ac:dyDescent="0.25">
      <c r="A1556" s="19" t="s">
        <v>1670</v>
      </c>
      <c r="B1556" s="33">
        <v>45791.754166666666</v>
      </c>
      <c r="C1556" s="33">
        <v>45791.941666666666</v>
      </c>
      <c r="D1556" s="19" t="s">
        <v>36</v>
      </c>
      <c r="E1556" s="19" t="s">
        <v>57</v>
      </c>
      <c r="F1556" s="19" t="s">
        <v>40</v>
      </c>
      <c r="G1556" s="19" t="s">
        <v>126</v>
      </c>
      <c r="H1556" s="19" t="s">
        <v>67</v>
      </c>
      <c r="I1556" s="19" t="s">
        <v>114</v>
      </c>
      <c r="J1556" s="20">
        <v>4</v>
      </c>
      <c r="K1556" s="34">
        <v>0</v>
      </c>
      <c r="L1556" s="34">
        <v>2</v>
      </c>
      <c r="M1556" s="19">
        <f>IF(OR(ISBLANK(C1556),C1556=""),"",ROUND((C1556-B1556)*24,2))</f>
        <v>4.5</v>
      </c>
      <c r="N1556" s="39" t="str">
        <f>IF(OR(ISBLANK(C1556),C1556="",M1556=""),"In Progress",IF(M1556&lt;=J1556,"Met","Breached"))</f>
        <v>Breached</v>
      </c>
    </row>
    <row r="1557" ht="19" customHeight="1" spans="1:14" x14ac:dyDescent="0.25">
      <c r="A1557" s="22" t="s">
        <v>1671</v>
      </c>
      <c r="B1557" s="36">
        <v>45907.36041666666</v>
      </c>
      <c r="D1557" s="22" t="s">
        <v>42</v>
      </c>
      <c r="E1557" s="22" t="s">
        <v>61</v>
      </c>
      <c r="F1557" s="22" t="s">
        <v>45</v>
      </c>
      <c r="G1557" s="22" t="s">
        <v>113</v>
      </c>
      <c r="H1557" s="22" t="s">
        <v>59</v>
      </c>
      <c r="I1557" s="22" t="s">
        <v>147</v>
      </c>
      <c r="J1557" s="23">
        <v>12</v>
      </c>
      <c r="K1557" s="37">
        <v>0</v>
      </c>
      <c r="M1557" s="22" t="str">
        <f>IF(OR(ISBLANK(C1557),C1557=""),"",ROUND((C1557-B1557)*24,2))</f>
        <v/>
      </c>
      <c r="N1557" s="22" t="str">
        <f>IF(OR(ISBLANK(C1557),C1557="",M1557=""),"In Progress",IF(M1557&lt;=J1557,"Met","Breached"))</f>
        <v>In Progress</v>
      </c>
    </row>
    <row r="1558" ht="19" customHeight="1" spans="1:14" x14ac:dyDescent="0.25">
      <c r="A1558" s="19" t="s">
        <v>1672</v>
      </c>
      <c r="B1558" s="33">
        <v>45834.080555555556</v>
      </c>
      <c r="C1558" s="33">
        <v>45840.066666666666</v>
      </c>
      <c r="D1558" s="19" t="s">
        <v>36</v>
      </c>
      <c r="E1558" s="19" t="s">
        <v>69</v>
      </c>
      <c r="F1558" s="19" t="s">
        <v>37</v>
      </c>
      <c r="G1558" s="19" t="s">
        <v>110</v>
      </c>
      <c r="H1558" s="19" t="s">
        <v>59</v>
      </c>
      <c r="I1558" s="19" t="s">
        <v>111</v>
      </c>
      <c r="J1558" s="20">
        <v>120</v>
      </c>
      <c r="K1558" s="34">
        <v>0</v>
      </c>
      <c r="L1558" s="34">
        <v>1</v>
      </c>
      <c r="M1558" s="19">
        <f>IF(OR(ISBLANK(C1558),C1558=""),"",ROUND((C1558-B1558)*24,2))</f>
        <v>143.67</v>
      </c>
      <c r="N1558" s="39" t="str">
        <f>IF(OR(ISBLANK(C1558),C1558="",M1558=""),"In Progress",IF(M1558&lt;=J1558,"Met","Breached"))</f>
        <v>Breached</v>
      </c>
    </row>
    <row r="1559" ht="19" customHeight="1" spans="1:14" x14ac:dyDescent="0.25">
      <c r="A1559" s="22" t="s">
        <v>1673</v>
      </c>
      <c r="B1559" s="36">
        <v>46201.93680555555</v>
      </c>
      <c r="C1559" s="36">
        <v>46208.83333333333</v>
      </c>
      <c r="D1559" s="22" t="s">
        <v>33</v>
      </c>
      <c r="E1559" s="22" t="s">
        <v>69</v>
      </c>
      <c r="F1559" s="22" t="s">
        <v>45</v>
      </c>
      <c r="G1559" s="22" t="s">
        <v>110</v>
      </c>
      <c r="H1559" s="22" t="s">
        <v>63</v>
      </c>
      <c r="I1559" s="22" t="s">
        <v>108</v>
      </c>
      <c r="J1559" s="23">
        <v>120</v>
      </c>
      <c r="K1559" s="37">
        <v>0</v>
      </c>
      <c r="L1559" s="37">
        <v>2</v>
      </c>
      <c r="M1559" s="22">
        <f>IF(OR(ISBLANK(C1559),C1559=""),"",ROUND((C1559-B1559)*24,2))</f>
        <v>165.52</v>
      </c>
      <c r="N1559" s="38" t="str">
        <f>IF(OR(ISBLANK(C1559),C1559="",M1559=""),"In Progress",IF(M1559&lt;=J1559,"Met","Breached"))</f>
        <v>Breached</v>
      </c>
    </row>
    <row r="1560" ht="19" customHeight="1" spans="1:14" x14ac:dyDescent="0.25">
      <c r="A1560" s="19" t="s">
        <v>1674</v>
      </c>
      <c r="B1560" s="33">
        <v>45910.99513888889</v>
      </c>
      <c r="C1560" s="33">
        <v>45911.46805555555</v>
      </c>
      <c r="D1560" s="19" t="s">
        <v>33</v>
      </c>
      <c r="E1560" s="19" t="s">
        <v>61</v>
      </c>
      <c r="F1560" s="19" t="s">
        <v>40</v>
      </c>
      <c r="G1560" s="19" t="s">
        <v>116</v>
      </c>
      <c r="H1560" s="19" t="s">
        <v>71</v>
      </c>
      <c r="I1560" s="19" t="s">
        <v>108</v>
      </c>
      <c r="J1560" s="20">
        <v>12</v>
      </c>
      <c r="K1560" s="34">
        <v>0</v>
      </c>
      <c r="M1560" s="19">
        <f>IF(OR(ISBLANK(C1560),C1560=""),"",ROUND((C1560-B1560)*24,2))</f>
        <v>11.35</v>
      </c>
      <c r="N1560" s="35" t="str">
        <f>IF(OR(ISBLANK(C1560),C1560="",M1560=""),"In Progress",IF(M1560&lt;=J1560,"Met","Breached"))</f>
        <v>Met</v>
      </c>
    </row>
    <row r="1561" ht="19" customHeight="1" spans="1:14" x14ac:dyDescent="0.25">
      <c r="A1561" s="22" t="s">
        <v>1675</v>
      </c>
      <c r="B1561" s="36">
        <v>46063.47430555556</v>
      </c>
      <c r="C1561" s="36">
        <v>46064.31388888889</v>
      </c>
      <c r="D1561" s="22" t="s">
        <v>33</v>
      </c>
      <c r="E1561" s="22" t="s">
        <v>61</v>
      </c>
      <c r="F1561" s="22" t="s">
        <v>40</v>
      </c>
      <c r="G1561" s="22" t="s">
        <v>126</v>
      </c>
      <c r="H1561" s="22" t="s">
        <v>59</v>
      </c>
      <c r="I1561" s="22" t="s">
        <v>114</v>
      </c>
      <c r="J1561" s="23">
        <v>12</v>
      </c>
      <c r="K1561" s="37">
        <v>0</v>
      </c>
      <c r="L1561" s="37">
        <v>3</v>
      </c>
      <c r="M1561" s="22">
        <f>IF(OR(ISBLANK(C1561),C1561=""),"",ROUND((C1561-B1561)*24,2))</f>
        <v>20.15</v>
      </c>
      <c r="N1561" s="38" t="str">
        <f>IF(OR(ISBLANK(C1561),C1561="",M1561=""),"In Progress",IF(M1561&lt;=J1561,"Met","Breached"))</f>
        <v>Breached</v>
      </c>
    </row>
    <row r="1562" ht="19" customHeight="1" spans="1:14" x14ac:dyDescent="0.25">
      <c r="A1562" s="19" t="s">
        <v>1676</v>
      </c>
      <c r="B1562" s="33">
        <v>45849.30625</v>
      </c>
      <c r="C1562" s="33">
        <v>45849.71527777778</v>
      </c>
      <c r="D1562" s="19" t="s">
        <v>33</v>
      </c>
      <c r="E1562" s="19" t="s">
        <v>61</v>
      </c>
      <c r="F1562" s="19" t="s">
        <v>37</v>
      </c>
      <c r="G1562" s="19" t="s">
        <v>116</v>
      </c>
      <c r="H1562" s="19" t="s">
        <v>63</v>
      </c>
      <c r="I1562" s="19" t="s">
        <v>117</v>
      </c>
      <c r="J1562" s="20">
        <v>12</v>
      </c>
      <c r="K1562" s="34">
        <v>0</v>
      </c>
      <c r="L1562" s="34">
        <v>5</v>
      </c>
      <c r="M1562" s="19">
        <f>IF(OR(ISBLANK(C1562),C1562=""),"",ROUND((C1562-B1562)*24,2))</f>
        <v>9.82</v>
      </c>
      <c r="N1562" s="35" t="str">
        <f>IF(OR(ISBLANK(C1562),C1562="",M1562=""),"In Progress",IF(M1562&lt;=J1562,"Met","Breached"))</f>
        <v>Met</v>
      </c>
    </row>
    <row r="1563" ht="19" customHeight="1" spans="1:14" x14ac:dyDescent="0.25">
      <c r="A1563" s="22" t="s">
        <v>1677</v>
      </c>
      <c r="B1563" s="36">
        <v>45903.05763888889</v>
      </c>
      <c r="D1563" s="22" t="s">
        <v>39</v>
      </c>
      <c r="E1563" s="22" t="s">
        <v>69</v>
      </c>
      <c r="F1563" s="22" t="s">
        <v>43</v>
      </c>
      <c r="G1563" s="22" t="s">
        <v>116</v>
      </c>
      <c r="H1563" s="22" t="s">
        <v>67</v>
      </c>
      <c r="I1563" s="22" t="s">
        <v>123</v>
      </c>
      <c r="J1563" s="23">
        <v>120</v>
      </c>
      <c r="K1563" s="37">
        <v>0</v>
      </c>
      <c r="M1563" s="22" t="str">
        <f>IF(OR(ISBLANK(C1563),C1563=""),"",ROUND((C1563-B1563)*24,2))</f>
        <v/>
      </c>
      <c r="N1563" s="22" t="str">
        <f>IF(OR(ISBLANK(C1563),C1563="",M1563=""),"In Progress",IF(M1563&lt;=J1563,"Met","Breached"))</f>
        <v>In Progress</v>
      </c>
    </row>
    <row r="1564" ht="19" customHeight="1" spans="1:14" x14ac:dyDescent="0.25">
      <c r="A1564" s="19" t="s">
        <v>1678</v>
      </c>
      <c r="B1564" s="33">
        <v>46047.257638888885</v>
      </c>
      <c r="C1564" s="33">
        <v>46047.847916666666</v>
      </c>
      <c r="D1564" s="19" t="s">
        <v>33</v>
      </c>
      <c r="E1564" s="19" t="s">
        <v>61</v>
      </c>
      <c r="F1564" s="19" t="s">
        <v>45</v>
      </c>
      <c r="G1564" s="19" t="s">
        <v>113</v>
      </c>
      <c r="H1564" s="19" t="s">
        <v>63</v>
      </c>
      <c r="I1564" s="19" t="s">
        <v>111</v>
      </c>
      <c r="J1564" s="20">
        <v>12</v>
      </c>
      <c r="K1564" s="34">
        <v>0</v>
      </c>
      <c r="L1564" s="34">
        <v>5</v>
      </c>
      <c r="M1564" s="19">
        <f>IF(OR(ISBLANK(C1564),C1564=""),"",ROUND((C1564-B1564)*24,2))</f>
        <v>14.17</v>
      </c>
      <c r="N1564" s="39" t="str">
        <f>IF(OR(ISBLANK(C1564),C1564="",M1564=""),"In Progress",IF(M1564&lt;=J1564,"Met","Breached"))</f>
        <v>Breached</v>
      </c>
    </row>
    <row r="1565" ht="19" customHeight="1" spans="1:14" x14ac:dyDescent="0.25">
      <c r="A1565" s="22" t="s">
        <v>1679</v>
      </c>
      <c r="B1565" s="36">
        <v>46144.36597222222</v>
      </c>
      <c r="C1565" s="36">
        <v>46147.64791666667</v>
      </c>
      <c r="D1565" s="22" t="s">
        <v>36</v>
      </c>
      <c r="E1565" s="22" t="s">
        <v>69</v>
      </c>
      <c r="F1565" s="22" t="s">
        <v>45</v>
      </c>
      <c r="G1565" s="22" t="s">
        <v>113</v>
      </c>
      <c r="H1565" s="22" t="s">
        <v>63</v>
      </c>
      <c r="I1565" s="22" t="s">
        <v>123</v>
      </c>
      <c r="J1565" s="23">
        <v>120</v>
      </c>
      <c r="K1565" s="37">
        <v>0</v>
      </c>
      <c r="M1565" s="22">
        <f>IF(OR(ISBLANK(C1565),C1565=""),"",ROUND((C1565-B1565)*24,2))</f>
        <v>78.77</v>
      </c>
      <c r="N1565" s="40" t="str">
        <f>IF(OR(ISBLANK(C1565),C1565="",M1565=""),"In Progress",IF(M1565&lt;=J1565,"Met","Breached"))</f>
        <v>Met</v>
      </c>
    </row>
    <row r="1566" ht="19" customHeight="1" spans="1:14" x14ac:dyDescent="0.25">
      <c r="A1566" s="19" t="s">
        <v>1680</v>
      </c>
      <c r="B1566" s="33">
        <v>46275.06041666667</v>
      </c>
      <c r="C1566" s="33">
        <v>46277.03611111111</v>
      </c>
      <c r="D1566" s="19" t="s">
        <v>33</v>
      </c>
      <c r="E1566" s="19" t="s">
        <v>65</v>
      </c>
      <c r="F1566" s="19" t="s">
        <v>37</v>
      </c>
      <c r="G1566" s="19" t="s">
        <v>110</v>
      </c>
      <c r="H1566" s="19" t="s">
        <v>59</v>
      </c>
      <c r="I1566" s="19" t="s">
        <v>117</v>
      </c>
      <c r="J1566" s="20">
        <v>48</v>
      </c>
      <c r="K1566" s="34">
        <v>1</v>
      </c>
      <c r="L1566" s="34">
        <v>5</v>
      </c>
      <c r="M1566" s="19">
        <f>IF(OR(ISBLANK(C1566),C1566=""),"",ROUND((C1566-B1566)*24,2))</f>
        <v>47.42</v>
      </c>
      <c r="N1566" s="35" t="str">
        <f>IF(OR(ISBLANK(C1566),C1566="",M1566=""),"In Progress",IF(M1566&lt;=J1566,"Met","Breached"))</f>
        <v>Met</v>
      </c>
    </row>
    <row r="1567" ht="19" customHeight="1" spans="1:14" x14ac:dyDescent="0.25">
      <c r="A1567" s="22" t="s">
        <v>1681</v>
      </c>
      <c r="B1567" s="36">
        <v>46128.82291666667</v>
      </c>
      <c r="D1567" s="22" t="s">
        <v>39</v>
      </c>
      <c r="E1567" s="22" t="s">
        <v>61</v>
      </c>
      <c r="F1567" s="22" t="s">
        <v>45</v>
      </c>
      <c r="G1567" s="22" t="s">
        <v>113</v>
      </c>
      <c r="H1567" s="22" t="s">
        <v>63</v>
      </c>
      <c r="I1567" s="22" t="s">
        <v>108</v>
      </c>
      <c r="J1567" s="23">
        <v>12</v>
      </c>
      <c r="K1567" s="37">
        <v>0</v>
      </c>
      <c r="M1567" s="22" t="str">
        <f>IF(OR(ISBLANK(C1567),C1567=""),"",ROUND((C1567-B1567)*24,2))</f>
        <v/>
      </c>
      <c r="N1567" s="22" t="str">
        <f>IF(OR(ISBLANK(C1567),C1567="",M1567=""),"In Progress",IF(M1567&lt;=J1567,"Met","Breached"))</f>
        <v>In Progress</v>
      </c>
    </row>
    <row r="1568" ht="19" customHeight="1" spans="1:14" x14ac:dyDescent="0.25">
      <c r="A1568" s="19" t="s">
        <v>1682</v>
      </c>
      <c r="B1568" s="33">
        <v>46128.07916666666</v>
      </c>
      <c r="C1568" s="33">
        <v>46128.851388888885</v>
      </c>
      <c r="D1568" s="19" t="s">
        <v>33</v>
      </c>
      <c r="E1568" s="19" t="s">
        <v>61</v>
      </c>
      <c r="F1568" s="19" t="s">
        <v>34</v>
      </c>
      <c r="G1568" s="19" t="s">
        <v>121</v>
      </c>
      <c r="H1568" s="19" t="s">
        <v>59</v>
      </c>
      <c r="I1568" s="19" t="s">
        <v>117</v>
      </c>
      <c r="J1568" s="20">
        <v>12</v>
      </c>
      <c r="K1568" s="34">
        <v>0</v>
      </c>
      <c r="L1568" s="34">
        <v>2</v>
      </c>
      <c r="M1568" s="19">
        <f>IF(OR(ISBLANK(C1568),C1568=""),"",ROUND((C1568-B1568)*24,2))</f>
        <v>18.53</v>
      </c>
      <c r="N1568" s="39" t="str">
        <f>IF(OR(ISBLANK(C1568),C1568="",M1568=""),"In Progress",IF(M1568&lt;=J1568,"Met","Breached"))</f>
        <v>Breached</v>
      </c>
    </row>
    <row r="1569" ht="19" customHeight="1" spans="1:14" x14ac:dyDescent="0.25">
      <c r="A1569" s="22" t="s">
        <v>1683</v>
      </c>
      <c r="B1569" s="36">
        <v>46026.68680555555</v>
      </c>
      <c r="D1569" s="22" t="s">
        <v>42</v>
      </c>
      <c r="E1569" s="22" t="s">
        <v>65</v>
      </c>
      <c r="F1569" s="22" t="s">
        <v>40</v>
      </c>
      <c r="G1569" s="22" t="s">
        <v>110</v>
      </c>
      <c r="H1569" s="22" t="s">
        <v>63</v>
      </c>
      <c r="I1569" s="22" t="s">
        <v>108</v>
      </c>
      <c r="J1569" s="23">
        <v>48</v>
      </c>
      <c r="K1569" s="37">
        <v>0</v>
      </c>
      <c r="M1569" s="22" t="str">
        <f>IF(OR(ISBLANK(C1569),C1569=""),"",ROUND((C1569-B1569)*24,2))</f>
        <v/>
      </c>
      <c r="N1569" s="22" t="str">
        <f>IF(OR(ISBLANK(C1569),C1569="",M1569=""),"In Progress",IF(M1569&lt;=J1569,"Met","Breached"))</f>
        <v>In Progress</v>
      </c>
    </row>
    <row r="1570" ht="19" customHeight="1" spans="1:14" x14ac:dyDescent="0.25">
      <c r="A1570" s="19" t="s">
        <v>1684</v>
      </c>
      <c r="B1570" s="33">
        <v>45683.365277777775</v>
      </c>
      <c r="C1570" s="33">
        <v>45685.24166666667</v>
      </c>
      <c r="D1570" s="19" t="s">
        <v>36</v>
      </c>
      <c r="E1570" s="19" t="s">
        <v>65</v>
      </c>
      <c r="F1570" s="19" t="s">
        <v>40</v>
      </c>
      <c r="G1570" s="19" t="s">
        <v>110</v>
      </c>
      <c r="H1570" s="19" t="s">
        <v>71</v>
      </c>
      <c r="I1570" s="19" t="s">
        <v>117</v>
      </c>
      <c r="J1570" s="20">
        <v>48</v>
      </c>
      <c r="K1570" s="34">
        <v>1</v>
      </c>
      <c r="L1570" s="34">
        <v>3</v>
      </c>
      <c r="M1570" s="19">
        <f>IF(OR(ISBLANK(C1570),C1570=""),"",ROUND((C1570-B1570)*24,2))</f>
        <v>45.03</v>
      </c>
      <c r="N1570" s="35" t="str">
        <f>IF(OR(ISBLANK(C1570),C1570="",M1570=""),"In Progress",IF(M1570&lt;=J1570,"Met","Breached"))</f>
        <v>Met</v>
      </c>
    </row>
    <row r="1571" ht="19" customHeight="1" spans="1:14" x14ac:dyDescent="0.25">
      <c r="A1571" s="22" t="s">
        <v>1685</v>
      </c>
      <c r="B1571" s="36">
        <v>45660.24930555555</v>
      </c>
      <c r="C1571" s="36">
        <v>45662.76458333334</v>
      </c>
      <c r="D1571" s="22" t="s">
        <v>33</v>
      </c>
      <c r="E1571" s="22" t="s">
        <v>65</v>
      </c>
      <c r="F1571" s="22" t="s">
        <v>40</v>
      </c>
      <c r="G1571" s="22" t="s">
        <v>113</v>
      </c>
      <c r="H1571" s="22" t="s">
        <v>63</v>
      </c>
      <c r="I1571" s="22" t="s">
        <v>147</v>
      </c>
      <c r="J1571" s="23">
        <v>48</v>
      </c>
      <c r="K1571" s="37">
        <v>0</v>
      </c>
      <c r="L1571" s="37">
        <v>1</v>
      </c>
      <c r="M1571" s="22">
        <f>IF(OR(ISBLANK(C1571),C1571=""),"",ROUND((C1571-B1571)*24,2))</f>
        <v>60.37</v>
      </c>
      <c r="N1571" s="38" t="str">
        <f>IF(OR(ISBLANK(C1571),C1571="",M1571=""),"In Progress",IF(M1571&lt;=J1571,"Met","Breached"))</f>
        <v>Breached</v>
      </c>
    </row>
    <row r="1572" ht="19" customHeight="1" spans="1:14" x14ac:dyDescent="0.25">
      <c r="A1572" s="19" t="s">
        <v>1686</v>
      </c>
      <c r="B1572" s="33">
        <v>45889.55069444445</v>
      </c>
      <c r="C1572" s="33">
        <v>45893.525</v>
      </c>
      <c r="D1572" s="19" t="s">
        <v>36</v>
      </c>
      <c r="E1572" s="19" t="s">
        <v>69</v>
      </c>
      <c r="F1572" s="19" t="s">
        <v>34</v>
      </c>
      <c r="G1572" s="19" t="s">
        <v>113</v>
      </c>
      <c r="H1572" s="19" t="s">
        <v>63</v>
      </c>
      <c r="I1572" s="19" t="s">
        <v>108</v>
      </c>
      <c r="J1572" s="20">
        <v>120</v>
      </c>
      <c r="K1572" s="34">
        <v>0</v>
      </c>
      <c r="L1572" s="34">
        <v>5</v>
      </c>
      <c r="M1572" s="19">
        <f>IF(OR(ISBLANK(C1572),C1572=""),"",ROUND((C1572-B1572)*24,2))</f>
        <v>95.38</v>
      </c>
      <c r="N1572" s="35" t="str">
        <f>IF(OR(ISBLANK(C1572),C1572="",M1572=""),"In Progress",IF(M1572&lt;=J1572,"Met","Breached"))</f>
        <v>Met</v>
      </c>
    </row>
    <row r="1573" ht="19" customHeight="1" spans="1:14" x14ac:dyDescent="0.25">
      <c r="A1573" s="22" t="s">
        <v>1687</v>
      </c>
      <c r="B1573" s="36">
        <v>46179.148611111115</v>
      </c>
      <c r="C1573" s="36">
        <v>46181.79375</v>
      </c>
      <c r="D1573" s="22" t="s">
        <v>33</v>
      </c>
      <c r="E1573" s="22" t="s">
        <v>65</v>
      </c>
      <c r="F1573" s="22" t="s">
        <v>37</v>
      </c>
      <c r="G1573" s="22" t="s">
        <v>116</v>
      </c>
      <c r="H1573" s="22" t="s">
        <v>71</v>
      </c>
      <c r="I1573" s="22" t="s">
        <v>108</v>
      </c>
      <c r="J1573" s="23">
        <v>48</v>
      </c>
      <c r="K1573" s="37">
        <v>0</v>
      </c>
      <c r="L1573" s="37">
        <v>5</v>
      </c>
      <c r="M1573" s="22">
        <f>IF(OR(ISBLANK(C1573),C1573=""),"",ROUND((C1573-B1573)*24,2))</f>
        <v>63.48</v>
      </c>
      <c r="N1573" s="38" t="str">
        <f>IF(OR(ISBLANK(C1573),C1573="",M1573=""),"In Progress",IF(M1573&lt;=J1573,"Met","Breached"))</f>
        <v>Breached</v>
      </c>
    </row>
    <row r="1574" ht="19" customHeight="1" spans="1:14" x14ac:dyDescent="0.25">
      <c r="A1574" s="19" t="s">
        <v>1688</v>
      </c>
      <c r="B1574" s="33">
        <v>45930.73819444445</v>
      </c>
      <c r="C1574" s="33">
        <v>45939.180555555555</v>
      </c>
      <c r="D1574" s="19" t="s">
        <v>36</v>
      </c>
      <c r="E1574" s="19" t="s">
        <v>69</v>
      </c>
      <c r="F1574" s="19" t="s">
        <v>43</v>
      </c>
      <c r="G1574" s="19" t="s">
        <v>116</v>
      </c>
      <c r="H1574" s="19" t="s">
        <v>59</v>
      </c>
      <c r="I1574" s="19" t="s">
        <v>108</v>
      </c>
      <c r="J1574" s="20">
        <v>120</v>
      </c>
      <c r="K1574" s="34">
        <v>0</v>
      </c>
      <c r="M1574" s="19">
        <f>IF(OR(ISBLANK(C1574),C1574=""),"",ROUND((C1574-B1574)*24,2))</f>
        <v>202.62</v>
      </c>
      <c r="N1574" s="39" t="str">
        <f>IF(OR(ISBLANK(C1574),C1574="",M1574=""),"In Progress",IF(M1574&lt;=J1574,"Met","Breached"))</f>
        <v>Breached</v>
      </c>
    </row>
    <row r="1575" ht="19" customHeight="1" spans="1:14" x14ac:dyDescent="0.25">
      <c r="A1575" s="22" t="s">
        <v>1689</v>
      </c>
      <c r="B1575" s="36">
        <v>46266.41805555555</v>
      </c>
      <c r="D1575" s="22" t="s">
        <v>39</v>
      </c>
      <c r="E1575" s="22" t="s">
        <v>65</v>
      </c>
      <c r="F1575" s="22" t="s">
        <v>43</v>
      </c>
      <c r="G1575" s="22" t="s">
        <v>110</v>
      </c>
      <c r="H1575" s="22" t="s">
        <v>63</v>
      </c>
      <c r="I1575" s="22" t="s">
        <v>114</v>
      </c>
      <c r="J1575" s="23">
        <v>48</v>
      </c>
      <c r="K1575" s="37">
        <v>0</v>
      </c>
      <c r="M1575" s="22" t="str">
        <f>IF(OR(ISBLANK(C1575),C1575=""),"",ROUND((C1575-B1575)*24,2))</f>
        <v/>
      </c>
      <c r="N1575" s="22" t="str">
        <f>IF(OR(ISBLANK(C1575),C1575="",M1575=""),"In Progress",IF(M1575&lt;=J1575,"Met","Breached"))</f>
        <v>In Progress</v>
      </c>
    </row>
    <row r="1576" ht="19" customHeight="1" spans="1:14" x14ac:dyDescent="0.25">
      <c r="A1576" s="19" t="s">
        <v>1690</v>
      </c>
      <c r="B1576" s="33">
        <v>46029.353472222225</v>
      </c>
      <c r="C1576" s="33">
        <v>46032.649305555555</v>
      </c>
      <c r="D1576" s="19" t="s">
        <v>33</v>
      </c>
      <c r="E1576" s="19" t="s">
        <v>65</v>
      </c>
      <c r="F1576" s="19" t="s">
        <v>40</v>
      </c>
      <c r="G1576" s="19" t="s">
        <v>63</v>
      </c>
      <c r="H1576" s="19" t="s">
        <v>59</v>
      </c>
      <c r="I1576" s="19" t="s">
        <v>111</v>
      </c>
      <c r="J1576" s="20">
        <v>48</v>
      </c>
      <c r="K1576" s="34">
        <v>0</v>
      </c>
      <c r="L1576" s="34">
        <v>4</v>
      </c>
      <c r="M1576" s="19">
        <f>IF(OR(ISBLANK(C1576),C1576=""),"",ROUND((C1576-B1576)*24,2))</f>
        <v>79.1</v>
      </c>
      <c r="N1576" s="39" t="str">
        <f>IF(OR(ISBLANK(C1576),C1576="",M1576=""),"In Progress",IF(M1576&lt;=J1576,"Met","Breached"))</f>
        <v>Breached</v>
      </c>
    </row>
    <row r="1577" ht="19" customHeight="1" spans="1:14" x14ac:dyDescent="0.25">
      <c r="A1577" s="22" t="s">
        <v>1691</v>
      </c>
      <c r="B1577" s="36">
        <v>46220.74722222222</v>
      </c>
      <c r="C1577" s="36">
        <v>46228.915972222225</v>
      </c>
      <c r="D1577" s="22" t="s">
        <v>33</v>
      </c>
      <c r="E1577" s="22" t="s">
        <v>69</v>
      </c>
      <c r="F1577" s="22" t="s">
        <v>34</v>
      </c>
      <c r="G1577" s="22" t="s">
        <v>113</v>
      </c>
      <c r="H1577" s="22" t="s">
        <v>63</v>
      </c>
      <c r="I1577" s="22" t="s">
        <v>123</v>
      </c>
      <c r="J1577" s="23">
        <v>120</v>
      </c>
      <c r="K1577" s="37">
        <v>0</v>
      </c>
      <c r="L1577" s="37">
        <v>3</v>
      </c>
      <c r="M1577" s="22">
        <f>IF(OR(ISBLANK(C1577),C1577=""),"",ROUND((C1577-B1577)*24,2))</f>
        <v>196.05</v>
      </c>
      <c r="N1577" s="38" t="str">
        <f>IF(OR(ISBLANK(C1577),C1577="",M1577=""),"In Progress",IF(M1577&lt;=J1577,"Met","Breached"))</f>
        <v>Breached</v>
      </c>
    </row>
    <row r="1578" ht="19" customHeight="1" spans="1:14" x14ac:dyDescent="0.25">
      <c r="A1578" s="19" t="s">
        <v>1692</v>
      </c>
      <c r="B1578" s="33">
        <v>46206.9125</v>
      </c>
      <c r="C1578" s="33">
        <v>46207.367361111115</v>
      </c>
      <c r="D1578" s="19" t="s">
        <v>33</v>
      </c>
      <c r="E1578" s="19" t="s">
        <v>61</v>
      </c>
      <c r="F1578" s="19" t="s">
        <v>37</v>
      </c>
      <c r="G1578" s="19" t="s">
        <v>121</v>
      </c>
      <c r="H1578" s="19" t="s">
        <v>59</v>
      </c>
      <c r="I1578" s="19" t="s">
        <v>111</v>
      </c>
      <c r="J1578" s="20">
        <v>12</v>
      </c>
      <c r="K1578" s="34">
        <v>0</v>
      </c>
      <c r="L1578" s="34">
        <v>4</v>
      </c>
      <c r="M1578" s="19">
        <f>IF(OR(ISBLANK(C1578),C1578=""),"",ROUND((C1578-B1578)*24,2))</f>
        <v>10.92</v>
      </c>
      <c r="N1578" s="35" t="str">
        <f>IF(OR(ISBLANK(C1578),C1578="",M1578=""),"In Progress",IF(M1578&lt;=J1578,"Met","Breached"))</f>
        <v>Met</v>
      </c>
    </row>
    <row r="1579" ht="19" customHeight="1" spans="1:14" x14ac:dyDescent="0.25">
      <c r="A1579" s="22" t="s">
        <v>1693</v>
      </c>
      <c r="B1579" s="36">
        <v>45737.62847222222</v>
      </c>
      <c r="C1579" s="36">
        <v>45742.19097222222</v>
      </c>
      <c r="D1579" s="22" t="s">
        <v>36</v>
      </c>
      <c r="E1579" s="22" t="s">
        <v>69</v>
      </c>
      <c r="F1579" s="22" t="s">
        <v>45</v>
      </c>
      <c r="G1579" s="22" t="s">
        <v>63</v>
      </c>
      <c r="H1579" s="22" t="s">
        <v>71</v>
      </c>
      <c r="I1579" s="22" t="s">
        <v>108</v>
      </c>
      <c r="J1579" s="23">
        <v>120</v>
      </c>
      <c r="K1579" s="37">
        <v>0</v>
      </c>
      <c r="M1579" s="22">
        <f>IF(OR(ISBLANK(C1579),C1579=""),"",ROUND((C1579-B1579)*24,2))</f>
        <v>109.5</v>
      </c>
      <c r="N1579" s="40" t="str">
        <f>IF(OR(ISBLANK(C1579),C1579="",M1579=""),"In Progress",IF(M1579&lt;=J1579,"Met","Breached"))</f>
        <v>Met</v>
      </c>
    </row>
    <row r="1580" ht="19" customHeight="1" spans="1:14" x14ac:dyDescent="0.25">
      <c r="A1580" s="19" t="s">
        <v>1694</v>
      </c>
      <c r="B1580" s="33">
        <v>46279.285416666666</v>
      </c>
      <c r="D1580" s="19" t="s">
        <v>39</v>
      </c>
      <c r="E1580" s="19" t="s">
        <v>65</v>
      </c>
      <c r="F1580" s="19" t="s">
        <v>43</v>
      </c>
      <c r="G1580" s="19" t="s">
        <v>121</v>
      </c>
      <c r="H1580" s="19" t="s">
        <v>71</v>
      </c>
      <c r="I1580" s="19" t="s">
        <v>111</v>
      </c>
      <c r="J1580" s="20">
        <v>48</v>
      </c>
      <c r="K1580" s="34">
        <v>0</v>
      </c>
      <c r="M1580" s="19" t="str">
        <f>IF(OR(ISBLANK(C1580),C1580=""),"",ROUND((C1580-B1580)*24,2))</f>
        <v/>
      </c>
      <c r="N1580" s="19" t="str">
        <f>IF(OR(ISBLANK(C1580),C1580="",M1580=""),"In Progress",IF(M1580&lt;=J1580,"Met","Breached"))</f>
        <v>In Progress</v>
      </c>
    </row>
    <row r="1581" ht="19" customHeight="1" spans="1:14" x14ac:dyDescent="0.25">
      <c r="A1581" s="22" t="s">
        <v>1695</v>
      </c>
      <c r="B1581" s="36">
        <v>45800.570138888885</v>
      </c>
      <c r="C1581" s="36">
        <v>45803.601388888885</v>
      </c>
      <c r="D1581" s="22" t="s">
        <v>33</v>
      </c>
      <c r="E1581" s="22" t="s">
        <v>65</v>
      </c>
      <c r="F1581" s="22" t="s">
        <v>37</v>
      </c>
      <c r="G1581" s="22" t="s">
        <v>110</v>
      </c>
      <c r="H1581" s="22" t="s">
        <v>67</v>
      </c>
      <c r="I1581" s="22" t="s">
        <v>114</v>
      </c>
      <c r="J1581" s="23">
        <v>48</v>
      </c>
      <c r="K1581" s="37">
        <v>1</v>
      </c>
      <c r="M1581" s="22">
        <f>IF(OR(ISBLANK(C1581),C1581=""),"",ROUND((C1581-B1581)*24,2))</f>
        <v>72.75</v>
      </c>
      <c r="N1581" s="38" t="str">
        <f>IF(OR(ISBLANK(C1581),C1581="",M1581=""),"In Progress",IF(M1581&lt;=J1581,"Met","Breached"))</f>
        <v>Breached</v>
      </c>
    </row>
    <row r="1582" ht="19" customHeight="1" spans="1:14" x14ac:dyDescent="0.25">
      <c r="A1582" s="19" t="s">
        <v>1696</v>
      </c>
      <c r="B1582" s="33">
        <v>45862.06736111111</v>
      </c>
      <c r="C1582" s="33">
        <v>45862.28263888889</v>
      </c>
      <c r="D1582" s="19" t="s">
        <v>33</v>
      </c>
      <c r="E1582" s="19" t="s">
        <v>57</v>
      </c>
      <c r="F1582" s="19" t="s">
        <v>43</v>
      </c>
      <c r="G1582" s="19" t="s">
        <v>121</v>
      </c>
      <c r="H1582" s="19" t="s">
        <v>59</v>
      </c>
      <c r="I1582" s="19" t="s">
        <v>108</v>
      </c>
      <c r="J1582" s="20">
        <v>4</v>
      </c>
      <c r="K1582" s="34">
        <v>0</v>
      </c>
      <c r="L1582" s="34">
        <v>5</v>
      </c>
      <c r="M1582" s="19">
        <f>IF(OR(ISBLANK(C1582),C1582=""),"",ROUND((C1582-B1582)*24,2))</f>
        <v>5.17</v>
      </c>
      <c r="N1582" s="39" t="str">
        <f>IF(OR(ISBLANK(C1582),C1582="",M1582=""),"In Progress",IF(M1582&lt;=J1582,"Met","Breached"))</f>
        <v>Breached</v>
      </c>
    </row>
    <row r="1583" ht="19" customHeight="1" spans="1:14" x14ac:dyDescent="0.25">
      <c r="A1583" s="22" t="s">
        <v>1697</v>
      </c>
      <c r="B1583" s="36">
        <v>46134.27916666667</v>
      </c>
      <c r="C1583" s="36">
        <v>46134.57083333333</v>
      </c>
      <c r="D1583" s="22" t="s">
        <v>36</v>
      </c>
      <c r="E1583" s="22" t="s">
        <v>57</v>
      </c>
      <c r="F1583" s="22" t="s">
        <v>34</v>
      </c>
      <c r="G1583" s="22" t="s">
        <v>113</v>
      </c>
      <c r="H1583" s="22" t="s">
        <v>63</v>
      </c>
      <c r="I1583" s="22" t="s">
        <v>117</v>
      </c>
      <c r="J1583" s="23">
        <v>4</v>
      </c>
      <c r="K1583" s="37">
        <v>0</v>
      </c>
      <c r="M1583" s="22">
        <f>IF(OR(ISBLANK(C1583),C1583=""),"",ROUND((C1583-B1583)*24,2))</f>
        <v>7</v>
      </c>
      <c r="N1583" s="38" t="str">
        <f>IF(OR(ISBLANK(C1583),C1583="",M1583=""),"In Progress",IF(M1583&lt;=J1583,"Met","Breached"))</f>
        <v>Breached</v>
      </c>
    </row>
    <row r="1584" ht="19" customHeight="1" spans="1:14" x14ac:dyDescent="0.25">
      <c r="A1584" s="19" t="s">
        <v>1698</v>
      </c>
      <c r="B1584" s="33">
        <v>45695.64097222222</v>
      </c>
      <c r="C1584" s="33">
        <v>45697.85763888889</v>
      </c>
      <c r="D1584" s="19" t="s">
        <v>36</v>
      </c>
      <c r="E1584" s="19" t="s">
        <v>65</v>
      </c>
      <c r="F1584" s="19" t="s">
        <v>37</v>
      </c>
      <c r="G1584" s="19" t="s">
        <v>63</v>
      </c>
      <c r="H1584" s="19" t="s">
        <v>59</v>
      </c>
      <c r="I1584" s="19" t="s">
        <v>147</v>
      </c>
      <c r="J1584" s="20">
        <v>48</v>
      </c>
      <c r="K1584" s="34">
        <v>0</v>
      </c>
      <c r="M1584" s="19">
        <f>IF(OR(ISBLANK(C1584),C1584=""),"",ROUND((C1584-B1584)*24,2))</f>
        <v>53.2</v>
      </c>
      <c r="N1584" s="39" t="str">
        <f>IF(OR(ISBLANK(C1584),C1584="",M1584=""),"In Progress",IF(M1584&lt;=J1584,"Met","Breached"))</f>
        <v>Breached</v>
      </c>
    </row>
    <row r="1585" ht="19" customHeight="1" spans="1:14" x14ac:dyDescent="0.25">
      <c r="A1585" s="22" t="s">
        <v>1699</v>
      </c>
      <c r="B1585" s="36">
        <v>45803.05</v>
      </c>
      <c r="C1585" s="36">
        <v>45804.82083333333</v>
      </c>
      <c r="D1585" s="22" t="s">
        <v>33</v>
      </c>
      <c r="E1585" s="22" t="s">
        <v>65</v>
      </c>
      <c r="F1585" s="22" t="s">
        <v>34</v>
      </c>
      <c r="G1585" s="22" t="s">
        <v>126</v>
      </c>
      <c r="H1585" s="22" t="s">
        <v>59</v>
      </c>
      <c r="I1585" s="22" t="s">
        <v>147</v>
      </c>
      <c r="J1585" s="23">
        <v>48</v>
      </c>
      <c r="K1585" s="37">
        <v>0</v>
      </c>
      <c r="L1585" s="37">
        <v>2</v>
      </c>
      <c r="M1585" s="22">
        <f>IF(OR(ISBLANK(C1585),C1585=""),"",ROUND((C1585-B1585)*24,2))</f>
        <v>42.5</v>
      </c>
      <c r="N1585" s="40" t="str">
        <f>IF(OR(ISBLANK(C1585),C1585="",M1585=""),"In Progress",IF(M1585&lt;=J1585,"Met","Breached"))</f>
        <v>Met</v>
      </c>
    </row>
    <row r="1586" ht="19" customHeight="1" spans="1:14" x14ac:dyDescent="0.25">
      <c r="A1586" s="19" t="s">
        <v>1700</v>
      </c>
      <c r="B1586" s="33">
        <v>45855.893055555556</v>
      </c>
      <c r="D1586" s="19" t="s">
        <v>39</v>
      </c>
      <c r="E1586" s="19" t="s">
        <v>69</v>
      </c>
      <c r="F1586" s="19" t="s">
        <v>45</v>
      </c>
      <c r="G1586" s="19" t="s">
        <v>121</v>
      </c>
      <c r="H1586" s="19" t="s">
        <v>67</v>
      </c>
      <c r="I1586" s="19" t="s">
        <v>147</v>
      </c>
      <c r="J1586" s="20">
        <v>120</v>
      </c>
      <c r="K1586" s="34">
        <v>0</v>
      </c>
      <c r="M1586" s="19" t="str">
        <f>IF(OR(ISBLANK(C1586),C1586=""),"",ROUND((C1586-B1586)*24,2))</f>
        <v/>
      </c>
      <c r="N1586" s="19" t="str">
        <f>IF(OR(ISBLANK(C1586),C1586="",M1586=""),"In Progress",IF(M1586&lt;=J1586,"Met","Breached"))</f>
        <v>In Progress</v>
      </c>
    </row>
    <row r="1587" ht="19" customHeight="1" spans="1:14" x14ac:dyDescent="0.25">
      <c r="A1587" s="22" t="s">
        <v>1701</v>
      </c>
      <c r="B1587" s="36">
        <v>45944.15902777778</v>
      </c>
      <c r="C1587" s="36">
        <v>45944.32847222222</v>
      </c>
      <c r="D1587" s="22" t="s">
        <v>33</v>
      </c>
      <c r="E1587" s="22" t="s">
        <v>61</v>
      </c>
      <c r="F1587" s="22" t="s">
        <v>43</v>
      </c>
      <c r="G1587" s="22" t="s">
        <v>126</v>
      </c>
      <c r="H1587" s="22" t="s">
        <v>63</v>
      </c>
      <c r="I1587" s="22" t="s">
        <v>123</v>
      </c>
      <c r="J1587" s="23">
        <v>12</v>
      </c>
      <c r="K1587" s="37">
        <v>0</v>
      </c>
      <c r="L1587" s="37">
        <v>3</v>
      </c>
      <c r="M1587" s="22">
        <f>IF(OR(ISBLANK(C1587),C1587=""),"",ROUND((C1587-B1587)*24,2))</f>
        <v>4.07</v>
      </c>
      <c r="N1587" s="40" t="str">
        <f>IF(OR(ISBLANK(C1587),C1587="",M1587=""),"In Progress",IF(M1587&lt;=J1587,"Met","Breached"))</f>
        <v>Met</v>
      </c>
    </row>
    <row r="1588" ht="19" customHeight="1" spans="1:14" x14ac:dyDescent="0.25">
      <c r="A1588" s="19" t="s">
        <v>1702</v>
      </c>
      <c r="B1588" s="33">
        <v>46020.20972222222</v>
      </c>
      <c r="C1588" s="33">
        <v>46021.035416666666</v>
      </c>
      <c r="D1588" s="19" t="s">
        <v>33</v>
      </c>
      <c r="E1588" s="19" t="s">
        <v>65</v>
      </c>
      <c r="F1588" s="19" t="s">
        <v>34</v>
      </c>
      <c r="G1588" s="19" t="s">
        <v>63</v>
      </c>
      <c r="H1588" s="19" t="s">
        <v>59</v>
      </c>
      <c r="I1588" s="19" t="s">
        <v>111</v>
      </c>
      <c r="J1588" s="20">
        <v>48</v>
      </c>
      <c r="K1588" s="34">
        <v>0</v>
      </c>
      <c r="L1588" s="34">
        <v>2</v>
      </c>
      <c r="M1588" s="19">
        <f>IF(OR(ISBLANK(C1588),C1588=""),"",ROUND((C1588-B1588)*24,2))</f>
        <v>19.82</v>
      </c>
      <c r="N1588" s="35" t="str">
        <f>IF(OR(ISBLANK(C1588),C1588="",M1588=""),"In Progress",IF(M1588&lt;=J1588,"Met","Breached"))</f>
        <v>Met</v>
      </c>
    </row>
    <row r="1589" ht="19" customHeight="1" spans="1:14" x14ac:dyDescent="0.25">
      <c r="A1589" s="22" t="s">
        <v>1703</v>
      </c>
      <c r="B1589" s="36">
        <v>45679.85625</v>
      </c>
      <c r="C1589" s="36">
        <v>45681.99444444444</v>
      </c>
      <c r="D1589" s="22" t="s">
        <v>33</v>
      </c>
      <c r="E1589" s="22" t="s">
        <v>65</v>
      </c>
      <c r="F1589" s="22" t="s">
        <v>34</v>
      </c>
      <c r="G1589" s="22" t="s">
        <v>63</v>
      </c>
      <c r="H1589" s="22" t="s">
        <v>59</v>
      </c>
      <c r="I1589" s="22" t="s">
        <v>108</v>
      </c>
      <c r="J1589" s="23">
        <v>48</v>
      </c>
      <c r="K1589" s="37">
        <v>0</v>
      </c>
      <c r="L1589" s="37">
        <v>1</v>
      </c>
      <c r="M1589" s="22">
        <f>IF(OR(ISBLANK(C1589),C1589=""),"",ROUND((C1589-B1589)*24,2))</f>
        <v>51.32</v>
      </c>
      <c r="N1589" s="38" t="str">
        <f>IF(OR(ISBLANK(C1589),C1589="",M1589=""),"In Progress",IF(M1589&lt;=J1589,"Met","Breached"))</f>
        <v>Breached</v>
      </c>
    </row>
    <row r="1590" ht="19" customHeight="1" spans="1:14" x14ac:dyDescent="0.25">
      <c r="A1590" s="19" t="s">
        <v>1704</v>
      </c>
      <c r="B1590" s="33">
        <v>45951.28333333333</v>
      </c>
      <c r="C1590" s="33">
        <v>45952.11388888889</v>
      </c>
      <c r="D1590" s="19" t="s">
        <v>36</v>
      </c>
      <c r="E1590" s="19" t="s">
        <v>65</v>
      </c>
      <c r="F1590" s="19" t="s">
        <v>40</v>
      </c>
      <c r="G1590" s="19" t="s">
        <v>126</v>
      </c>
      <c r="H1590" s="19" t="s">
        <v>59</v>
      </c>
      <c r="I1590" s="19" t="s">
        <v>147</v>
      </c>
      <c r="J1590" s="20">
        <v>48</v>
      </c>
      <c r="K1590" s="34">
        <v>0</v>
      </c>
      <c r="L1590" s="34">
        <v>5</v>
      </c>
      <c r="M1590" s="19">
        <f>IF(OR(ISBLANK(C1590),C1590=""),"",ROUND((C1590-B1590)*24,2))</f>
        <v>19.93</v>
      </c>
      <c r="N1590" s="35" t="str">
        <f>IF(OR(ISBLANK(C1590),C1590="",M1590=""),"In Progress",IF(M1590&lt;=J1590,"Met","Breached"))</f>
        <v>Met</v>
      </c>
    </row>
    <row r="1591" ht="19" customHeight="1" spans="1:14" x14ac:dyDescent="0.25">
      <c r="A1591" s="22" t="s">
        <v>1705</v>
      </c>
      <c r="B1591" s="36">
        <v>46233.52986111111</v>
      </c>
      <c r="C1591" s="36">
        <v>46233.950694444444</v>
      </c>
      <c r="D1591" s="22" t="s">
        <v>36</v>
      </c>
      <c r="E1591" s="22" t="s">
        <v>61</v>
      </c>
      <c r="F1591" s="22" t="s">
        <v>45</v>
      </c>
      <c r="G1591" s="22" t="s">
        <v>121</v>
      </c>
      <c r="H1591" s="22" t="s">
        <v>59</v>
      </c>
      <c r="I1591" s="22" t="s">
        <v>123</v>
      </c>
      <c r="J1591" s="23">
        <v>12</v>
      </c>
      <c r="K1591" s="37">
        <v>0</v>
      </c>
      <c r="L1591" s="37">
        <v>3</v>
      </c>
      <c r="M1591" s="22">
        <f>IF(OR(ISBLANK(C1591),C1591=""),"",ROUND((C1591-B1591)*24,2))</f>
        <v>10.1</v>
      </c>
      <c r="N1591" s="40" t="str">
        <f>IF(OR(ISBLANK(C1591),C1591="",M1591=""),"In Progress",IF(M1591&lt;=J1591,"Met","Breached"))</f>
        <v>Met</v>
      </c>
    </row>
    <row r="1592" ht="19" customHeight="1" spans="1:14" x14ac:dyDescent="0.25">
      <c r="A1592" s="19" t="s">
        <v>1706</v>
      </c>
      <c r="B1592" s="33">
        <v>45735.27847222222</v>
      </c>
      <c r="C1592" s="33">
        <v>45735.6</v>
      </c>
      <c r="D1592" s="19" t="s">
        <v>33</v>
      </c>
      <c r="E1592" s="19" t="s">
        <v>61</v>
      </c>
      <c r="F1592" s="19" t="s">
        <v>34</v>
      </c>
      <c r="G1592" s="19" t="s">
        <v>116</v>
      </c>
      <c r="H1592" s="19" t="s">
        <v>63</v>
      </c>
      <c r="I1592" s="19" t="s">
        <v>111</v>
      </c>
      <c r="J1592" s="20">
        <v>12</v>
      </c>
      <c r="K1592" s="34">
        <v>0</v>
      </c>
      <c r="L1592" s="34">
        <v>4</v>
      </c>
      <c r="M1592" s="19">
        <f>IF(OR(ISBLANK(C1592),C1592=""),"",ROUND((C1592-B1592)*24,2))</f>
        <v>7.72</v>
      </c>
      <c r="N1592" s="35" t="str">
        <f>IF(OR(ISBLANK(C1592),C1592="",M1592=""),"In Progress",IF(M1592&lt;=J1592,"Met","Breached"))</f>
        <v>Met</v>
      </c>
    </row>
    <row r="1593" ht="19" customHeight="1" spans="1:14" x14ac:dyDescent="0.25">
      <c r="A1593" s="22" t="s">
        <v>1707</v>
      </c>
      <c r="B1593" s="36">
        <v>46284.853472222225</v>
      </c>
      <c r="C1593" s="36">
        <v>46291.472916666666</v>
      </c>
      <c r="D1593" s="22" t="s">
        <v>33</v>
      </c>
      <c r="E1593" s="22" t="s">
        <v>69</v>
      </c>
      <c r="F1593" s="22" t="s">
        <v>34</v>
      </c>
      <c r="G1593" s="22" t="s">
        <v>113</v>
      </c>
      <c r="H1593" s="22" t="s">
        <v>71</v>
      </c>
      <c r="I1593" s="22" t="s">
        <v>108</v>
      </c>
      <c r="J1593" s="23">
        <v>120</v>
      </c>
      <c r="K1593" s="37">
        <v>0</v>
      </c>
      <c r="L1593" s="37">
        <v>2</v>
      </c>
      <c r="M1593" s="22">
        <f>IF(OR(ISBLANK(C1593),C1593=""),"",ROUND((C1593-B1593)*24,2))</f>
        <v>158.87</v>
      </c>
      <c r="N1593" s="38" t="str">
        <f>IF(OR(ISBLANK(C1593),C1593="",M1593=""),"In Progress",IF(M1593&lt;=J1593,"Met","Breached"))</f>
        <v>Breached</v>
      </c>
    </row>
    <row r="1594" ht="19" customHeight="1" spans="1:14" x14ac:dyDescent="0.25">
      <c r="A1594" s="19" t="s">
        <v>1708</v>
      </c>
      <c r="B1594" s="33">
        <v>45867.09861111111</v>
      </c>
      <c r="C1594" s="33">
        <v>45867.93611111111</v>
      </c>
      <c r="D1594" s="19" t="s">
        <v>36</v>
      </c>
      <c r="E1594" s="19" t="s">
        <v>61</v>
      </c>
      <c r="F1594" s="19" t="s">
        <v>34</v>
      </c>
      <c r="G1594" s="19" t="s">
        <v>113</v>
      </c>
      <c r="H1594" s="19" t="s">
        <v>59</v>
      </c>
      <c r="I1594" s="19" t="s">
        <v>123</v>
      </c>
      <c r="J1594" s="20">
        <v>12</v>
      </c>
      <c r="K1594" s="34">
        <v>0</v>
      </c>
      <c r="L1594" s="34">
        <v>1</v>
      </c>
      <c r="M1594" s="19">
        <f>IF(OR(ISBLANK(C1594),C1594=""),"",ROUND((C1594-B1594)*24,2))</f>
        <v>20.1</v>
      </c>
      <c r="N1594" s="39" t="str">
        <f>IF(OR(ISBLANK(C1594),C1594="",M1594=""),"In Progress",IF(M1594&lt;=J1594,"Met","Breached"))</f>
        <v>Breached</v>
      </c>
    </row>
    <row r="1595" ht="19" customHeight="1" spans="1:14" x14ac:dyDescent="0.25">
      <c r="A1595" s="22" t="s">
        <v>1709</v>
      </c>
      <c r="B1595" s="36">
        <v>45720.43263888889</v>
      </c>
      <c r="C1595" s="36">
        <v>45723.44097222222</v>
      </c>
      <c r="D1595" s="22" t="s">
        <v>36</v>
      </c>
      <c r="E1595" s="22" t="s">
        <v>65</v>
      </c>
      <c r="F1595" s="22" t="s">
        <v>37</v>
      </c>
      <c r="G1595" s="22" t="s">
        <v>63</v>
      </c>
      <c r="H1595" s="22" t="s">
        <v>59</v>
      </c>
      <c r="I1595" s="22" t="s">
        <v>114</v>
      </c>
      <c r="J1595" s="23">
        <v>48</v>
      </c>
      <c r="K1595" s="37">
        <v>0</v>
      </c>
      <c r="M1595" s="22">
        <f>IF(OR(ISBLANK(C1595),C1595=""),"",ROUND((C1595-B1595)*24,2))</f>
        <v>72.2</v>
      </c>
      <c r="N1595" s="38" t="str">
        <f>IF(OR(ISBLANK(C1595),C1595="",M1595=""),"In Progress",IF(M1595&lt;=J1595,"Met","Breached"))</f>
        <v>Breached</v>
      </c>
    </row>
    <row r="1596" ht="19" customHeight="1" spans="1:14" x14ac:dyDescent="0.25">
      <c r="A1596" s="19" t="s">
        <v>1710</v>
      </c>
      <c r="B1596" s="33">
        <v>45677.27291666667</v>
      </c>
      <c r="C1596" s="33">
        <v>45683.52777777778</v>
      </c>
      <c r="D1596" s="19" t="s">
        <v>33</v>
      </c>
      <c r="E1596" s="19" t="s">
        <v>69</v>
      </c>
      <c r="F1596" s="19" t="s">
        <v>40</v>
      </c>
      <c r="G1596" s="19" t="s">
        <v>110</v>
      </c>
      <c r="H1596" s="19" t="s">
        <v>59</v>
      </c>
      <c r="I1596" s="19" t="s">
        <v>114</v>
      </c>
      <c r="J1596" s="20">
        <v>120</v>
      </c>
      <c r="K1596" s="34">
        <v>0</v>
      </c>
      <c r="L1596" s="34">
        <v>2</v>
      </c>
      <c r="M1596" s="19">
        <f>IF(OR(ISBLANK(C1596),C1596=""),"",ROUND((C1596-B1596)*24,2))</f>
        <v>150.12</v>
      </c>
      <c r="N1596" s="39" t="str">
        <f>IF(OR(ISBLANK(C1596),C1596="",M1596=""),"In Progress",IF(M1596&lt;=J1596,"Met","Breached"))</f>
        <v>Breached</v>
      </c>
    </row>
    <row r="1597" ht="19" customHeight="1" spans="1:14" x14ac:dyDescent="0.25">
      <c r="A1597" s="22" t="s">
        <v>1711</v>
      </c>
      <c r="B1597" s="36">
        <v>45751.01666666666</v>
      </c>
      <c r="C1597" s="36">
        <v>45752.97986111111</v>
      </c>
      <c r="D1597" s="22" t="s">
        <v>36</v>
      </c>
      <c r="E1597" s="22" t="s">
        <v>69</v>
      </c>
      <c r="F1597" s="22" t="s">
        <v>43</v>
      </c>
      <c r="G1597" s="22" t="s">
        <v>121</v>
      </c>
      <c r="H1597" s="22" t="s">
        <v>59</v>
      </c>
      <c r="I1597" s="22" t="s">
        <v>147</v>
      </c>
      <c r="J1597" s="23">
        <v>120</v>
      </c>
      <c r="K1597" s="37">
        <v>0</v>
      </c>
      <c r="L1597" s="37">
        <v>1</v>
      </c>
      <c r="M1597" s="22">
        <f>IF(OR(ISBLANK(C1597),C1597=""),"",ROUND((C1597-B1597)*24,2))</f>
        <v>47.12</v>
      </c>
      <c r="N1597" s="40" t="str">
        <f>IF(OR(ISBLANK(C1597),C1597="",M1597=""),"In Progress",IF(M1597&lt;=J1597,"Met","Breached"))</f>
        <v>Met</v>
      </c>
    </row>
    <row r="1598" ht="19" customHeight="1" spans="1:14" x14ac:dyDescent="0.25">
      <c r="A1598" s="19" t="s">
        <v>1712</v>
      </c>
      <c r="B1598" s="33">
        <v>45926.32777777778</v>
      </c>
      <c r="C1598" s="33">
        <v>45930.52569444444</v>
      </c>
      <c r="D1598" s="19" t="s">
        <v>33</v>
      </c>
      <c r="E1598" s="19" t="s">
        <v>69</v>
      </c>
      <c r="F1598" s="19" t="s">
        <v>37</v>
      </c>
      <c r="G1598" s="19" t="s">
        <v>121</v>
      </c>
      <c r="H1598" s="19" t="s">
        <v>59</v>
      </c>
      <c r="I1598" s="19" t="s">
        <v>117</v>
      </c>
      <c r="J1598" s="20">
        <v>120</v>
      </c>
      <c r="K1598" s="34">
        <v>0</v>
      </c>
      <c r="L1598" s="34">
        <v>2</v>
      </c>
      <c r="M1598" s="19">
        <f>IF(OR(ISBLANK(C1598),C1598=""),"",ROUND((C1598-B1598)*24,2))</f>
        <v>100.75</v>
      </c>
      <c r="N1598" s="35" t="str">
        <f>IF(OR(ISBLANK(C1598),C1598="",M1598=""),"In Progress",IF(M1598&lt;=J1598,"Met","Breached"))</f>
        <v>Met</v>
      </c>
    </row>
    <row r="1599" ht="19" customHeight="1" spans="1:14" x14ac:dyDescent="0.25">
      <c r="A1599" s="22" t="s">
        <v>1713</v>
      </c>
      <c r="B1599" s="36">
        <v>45967.12152777778</v>
      </c>
      <c r="C1599" s="36">
        <v>45967.28055555555</v>
      </c>
      <c r="D1599" s="22" t="s">
        <v>36</v>
      </c>
      <c r="E1599" s="22" t="s">
        <v>61</v>
      </c>
      <c r="F1599" s="22" t="s">
        <v>40</v>
      </c>
      <c r="G1599" s="22" t="s">
        <v>110</v>
      </c>
      <c r="H1599" s="22" t="s">
        <v>59</v>
      </c>
      <c r="I1599" s="22" t="s">
        <v>114</v>
      </c>
      <c r="J1599" s="23">
        <v>12</v>
      </c>
      <c r="K1599" s="37">
        <v>0</v>
      </c>
      <c r="L1599" s="37">
        <v>3</v>
      </c>
      <c r="M1599" s="22">
        <f>IF(OR(ISBLANK(C1599),C1599=""),"",ROUND((C1599-B1599)*24,2))</f>
        <v>3.82</v>
      </c>
      <c r="N1599" s="40" t="str">
        <f>IF(OR(ISBLANK(C1599),C1599="",M1599=""),"In Progress",IF(M1599&lt;=J1599,"Met","Breached"))</f>
        <v>Met</v>
      </c>
    </row>
    <row r="1600" ht="19" customHeight="1" spans="1:14" x14ac:dyDescent="0.25">
      <c r="A1600" s="19" t="s">
        <v>1714</v>
      </c>
      <c r="B1600" s="33">
        <v>46134.76111111111</v>
      </c>
      <c r="C1600" s="33">
        <v>46135.69652777778</v>
      </c>
      <c r="D1600" s="19" t="s">
        <v>33</v>
      </c>
      <c r="E1600" s="19" t="s">
        <v>65</v>
      </c>
      <c r="F1600" s="19" t="s">
        <v>34</v>
      </c>
      <c r="G1600" s="19" t="s">
        <v>126</v>
      </c>
      <c r="H1600" s="19" t="s">
        <v>59</v>
      </c>
      <c r="I1600" s="19" t="s">
        <v>117</v>
      </c>
      <c r="J1600" s="20">
        <v>48</v>
      </c>
      <c r="K1600" s="34">
        <v>0</v>
      </c>
      <c r="L1600" s="34">
        <v>1</v>
      </c>
      <c r="M1600" s="19">
        <f>IF(OR(ISBLANK(C1600),C1600=""),"",ROUND((C1600-B1600)*24,2))</f>
        <v>22.45</v>
      </c>
      <c r="N1600" s="35" t="str">
        <f>IF(OR(ISBLANK(C1600),C1600="",M1600=""),"In Progress",IF(M1600&lt;=J1600,"Met","Breached"))</f>
        <v>Met</v>
      </c>
    </row>
    <row r="1601" ht="19" customHeight="1" spans="1:14" x14ac:dyDescent="0.25">
      <c r="A1601" s="22" t="s">
        <v>1715</v>
      </c>
      <c r="B1601" s="36">
        <v>45858.756944444445</v>
      </c>
      <c r="C1601" s="36">
        <v>45860.00347222222</v>
      </c>
      <c r="D1601" s="22" t="s">
        <v>33</v>
      </c>
      <c r="E1601" s="22" t="s">
        <v>65</v>
      </c>
      <c r="F1601" s="22" t="s">
        <v>37</v>
      </c>
      <c r="G1601" s="22" t="s">
        <v>63</v>
      </c>
      <c r="H1601" s="22" t="s">
        <v>71</v>
      </c>
      <c r="I1601" s="22" t="s">
        <v>114</v>
      </c>
      <c r="J1601" s="23">
        <v>48</v>
      </c>
      <c r="K1601" s="37">
        <v>0</v>
      </c>
      <c r="L1601" s="37">
        <v>5</v>
      </c>
      <c r="M1601" s="22">
        <f>IF(OR(ISBLANK(C1601),C1601=""),"",ROUND((C1601-B1601)*24,2))</f>
        <v>29.92</v>
      </c>
      <c r="N1601" s="40" t="str">
        <f>IF(OR(ISBLANK(C1601),C1601="",M1601=""),"In Progress",IF(M1601&lt;=J1601,"Met","Breached"))</f>
        <v>Met</v>
      </c>
    </row>
    <row r="1602" ht="19" customHeight="1" spans="1:14" x14ac:dyDescent="0.25">
      <c r="A1602" s="19" t="s">
        <v>1716</v>
      </c>
      <c r="B1602" s="33">
        <v>45983.94097222222</v>
      </c>
      <c r="C1602" s="33">
        <v>45987.94236111111</v>
      </c>
      <c r="D1602" s="19" t="s">
        <v>33</v>
      </c>
      <c r="E1602" s="19" t="s">
        <v>69</v>
      </c>
      <c r="F1602" s="19" t="s">
        <v>37</v>
      </c>
      <c r="G1602" s="19" t="s">
        <v>63</v>
      </c>
      <c r="H1602" s="19" t="s">
        <v>59</v>
      </c>
      <c r="I1602" s="19" t="s">
        <v>108</v>
      </c>
      <c r="J1602" s="20">
        <v>120</v>
      </c>
      <c r="K1602" s="34">
        <v>0</v>
      </c>
      <c r="L1602" s="34">
        <v>1</v>
      </c>
      <c r="M1602" s="19">
        <f>IF(OR(ISBLANK(C1602),C1602=""),"",ROUND((C1602-B1602)*24,2))</f>
        <v>96.03</v>
      </c>
      <c r="N1602" s="35" t="str">
        <f>IF(OR(ISBLANK(C1602),C1602="",M1602=""),"In Progress",IF(M1602&lt;=J1602,"Met","Breached"))</f>
        <v>Met</v>
      </c>
    </row>
    <row r="1603" ht="19" customHeight="1" spans="1:14" x14ac:dyDescent="0.25">
      <c r="A1603" s="22" t="s">
        <v>1717</v>
      </c>
      <c r="B1603" s="36">
        <v>45724.5125</v>
      </c>
      <c r="C1603" s="36">
        <v>45725.731944444444</v>
      </c>
      <c r="D1603" s="22" t="s">
        <v>33</v>
      </c>
      <c r="E1603" s="22" t="s">
        <v>65</v>
      </c>
      <c r="F1603" s="22" t="s">
        <v>40</v>
      </c>
      <c r="G1603" s="22" t="s">
        <v>63</v>
      </c>
      <c r="H1603" s="22" t="s">
        <v>59</v>
      </c>
      <c r="I1603" s="22" t="s">
        <v>123</v>
      </c>
      <c r="J1603" s="23">
        <v>48</v>
      </c>
      <c r="K1603" s="37">
        <v>0</v>
      </c>
      <c r="L1603" s="37">
        <v>1</v>
      </c>
      <c r="M1603" s="22">
        <f>IF(OR(ISBLANK(C1603),C1603=""),"",ROUND((C1603-B1603)*24,2))</f>
        <v>29.27</v>
      </c>
      <c r="N1603" s="40" t="str">
        <f>IF(OR(ISBLANK(C1603),C1603="",M1603=""),"In Progress",IF(M1603&lt;=J1603,"Met","Breached"))</f>
        <v>Met</v>
      </c>
    </row>
    <row r="1604" ht="19" customHeight="1" spans="1:14" x14ac:dyDescent="0.25">
      <c r="A1604" s="19" t="s">
        <v>1718</v>
      </c>
      <c r="B1604" s="33">
        <v>46128.68263888889</v>
      </c>
      <c r="C1604" s="33">
        <v>46131.72361111111</v>
      </c>
      <c r="D1604" s="19" t="s">
        <v>36</v>
      </c>
      <c r="E1604" s="19" t="s">
        <v>69</v>
      </c>
      <c r="F1604" s="19" t="s">
        <v>40</v>
      </c>
      <c r="G1604" s="19" t="s">
        <v>121</v>
      </c>
      <c r="H1604" s="19" t="s">
        <v>63</v>
      </c>
      <c r="I1604" s="19" t="s">
        <v>114</v>
      </c>
      <c r="J1604" s="20">
        <v>120</v>
      </c>
      <c r="K1604" s="34">
        <v>0</v>
      </c>
      <c r="M1604" s="19">
        <f>IF(OR(ISBLANK(C1604),C1604=""),"",ROUND((C1604-B1604)*24,2))</f>
        <v>72.98</v>
      </c>
      <c r="N1604" s="35" t="str">
        <f>IF(OR(ISBLANK(C1604),C1604="",M1604=""),"In Progress",IF(M1604&lt;=J1604,"Met","Breached"))</f>
        <v>Met</v>
      </c>
    </row>
    <row r="1605" ht="19" customHeight="1" spans="1:14" x14ac:dyDescent="0.25">
      <c r="A1605" s="22" t="s">
        <v>1719</v>
      </c>
      <c r="B1605" s="36">
        <v>45785.25138888889</v>
      </c>
      <c r="D1605" s="22" t="s">
        <v>39</v>
      </c>
      <c r="E1605" s="22" t="s">
        <v>69</v>
      </c>
      <c r="F1605" s="22" t="s">
        <v>45</v>
      </c>
      <c r="G1605" s="22" t="s">
        <v>63</v>
      </c>
      <c r="H1605" s="22" t="s">
        <v>59</v>
      </c>
      <c r="I1605" s="22" t="s">
        <v>108</v>
      </c>
      <c r="J1605" s="23">
        <v>120</v>
      </c>
      <c r="K1605" s="37">
        <v>0</v>
      </c>
      <c r="M1605" s="22" t="str">
        <f>IF(OR(ISBLANK(C1605),C1605=""),"",ROUND((C1605-B1605)*24,2))</f>
        <v/>
      </c>
      <c r="N1605" s="22" t="str">
        <f>IF(OR(ISBLANK(C1605),C1605="",M1605=""),"In Progress",IF(M1605&lt;=J1605,"Met","Breached"))</f>
        <v>In Progress</v>
      </c>
    </row>
    <row r="1606" ht="19" customHeight="1" spans="1:14" x14ac:dyDescent="0.25">
      <c r="A1606" s="19" t="s">
        <v>1720</v>
      </c>
      <c r="B1606" s="33">
        <v>46000.43194444444</v>
      </c>
      <c r="C1606" s="33">
        <v>46001.915972222225</v>
      </c>
      <c r="D1606" s="19" t="s">
        <v>33</v>
      </c>
      <c r="E1606" s="19" t="s">
        <v>65</v>
      </c>
      <c r="F1606" s="19" t="s">
        <v>37</v>
      </c>
      <c r="G1606" s="19" t="s">
        <v>113</v>
      </c>
      <c r="H1606" s="19" t="s">
        <v>71</v>
      </c>
      <c r="I1606" s="19" t="s">
        <v>108</v>
      </c>
      <c r="J1606" s="20">
        <v>48</v>
      </c>
      <c r="K1606" s="34">
        <v>0</v>
      </c>
      <c r="L1606" s="34">
        <v>3</v>
      </c>
      <c r="M1606" s="19">
        <f>IF(OR(ISBLANK(C1606),C1606=""),"",ROUND((C1606-B1606)*24,2))</f>
        <v>35.62</v>
      </c>
      <c r="N1606" s="35" t="str">
        <f>IF(OR(ISBLANK(C1606),C1606="",M1606=""),"In Progress",IF(M1606&lt;=J1606,"Met","Breached"))</f>
        <v>Met</v>
      </c>
    </row>
    <row r="1607" ht="19" customHeight="1" spans="1:14" x14ac:dyDescent="0.25">
      <c r="A1607" s="22" t="s">
        <v>1721</v>
      </c>
      <c r="B1607" s="36">
        <v>46110.2</v>
      </c>
      <c r="C1607" s="36">
        <v>46113.4</v>
      </c>
      <c r="D1607" s="22" t="s">
        <v>33</v>
      </c>
      <c r="E1607" s="22" t="s">
        <v>65</v>
      </c>
      <c r="F1607" s="22" t="s">
        <v>45</v>
      </c>
      <c r="G1607" s="22" t="s">
        <v>121</v>
      </c>
      <c r="H1607" s="22" t="s">
        <v>59</v>
      </c>
      <c r="I1607" s="22" t="s">
        <v>114</v>
      </c>
      <c r="J1607" s="23">
        <v>48</v>
      </c>
      <c r="K1607" s="37">
        <v>1</v>
      </c>
      <c r="L1607" s="37">
        <v>4</v>
      </c>
      <c r="M1607" s="22">
        <f>IF(OR(ISBLANK(C1607),C1607=""),"",ROUND((C1607-B1607)*24,2))</f>
        <v>76.8</v>
      </c>
      <c r="N1607" s="38" t="str">
        <f>IF(OR(ISBLANK(C1607),C1607="",M1607=""),"In Progress",IF(M1607&lt;=J1607,"Met","Breached"))</f>
        <v>Breached</v>
      </c>
    </row>
    <row r="1608" ht="19" customHeight="1" spans="1:14" x14ac:dyDescent="0.25">
      <c r="A1608" s="19" t="s">
        <v>1722</v>
      </c>
      <c r="B1608" s="33">
        <v>45938.271527777775</v>
      </c>
      <c r="D1608" s="19" t="s">
        <v>39</v>
      </c>
      <c r="E1608" s="19" t="s">
        <v>69</v>
      </c>
      <c r="F1608" s="19" t="s">
        <v>45</v>
      </c>
      <c r="G1608" s="19" t="s">
        <v>113</v>
      </c>
      <c r="H1608" s="19" t="s">
        <v>59</v>
      </c>
      <c r="I1608" s="19" t="s">
        <v>147</v>
      </c>
      <c r="J1608" s="20">
        <v>120</v>
      </c>
      <c r="K1608" s="34">
        <v>0</v>
      </c>
      <c r="M1608" s="19" t="str">
        <f>IF(OR(ISBLANK(C1608),C1608=""),"",ROUND((C1608-B1608)*24,2))</f>
        <v/>
      </c>
      <c r="N1608" s="19" t="str">
        <f>IF(OR(ISBLANK(C1608),C1608="",M1608=""),"In Progress",IF(M1608&lt;=J1608,"Met","Breached"))</f>
        <v>In Progress</v>
      </c>
    </row>
    <row r="1609" ht="19" customHeight="1" spans="1:14" x14ac:dyDescent="0.25">
      <c r="A1609" s="22" t="s">
        <v>1723</v>
      </c>
      <c r="B1609" s="36">
        <v>45929.90625</v>
      </c>
      <c r="C1609" s="36">
        <v>45932.82361111111</v>
      </c>
      <c r="D1609" s="22" t="s">
        <v>36</v>
      </c>
      <c r="E1609" s="22" t="s">
        <v>65</v>
      </c>
      <c r="F1609" s="22" t="s">
        <v>37</v>
      </c>
      <c r="G1609" s="22" t="s">
        <v>121</v>
      </c>
      <c r="H1609" s="22" t="s">
        <v>59</v>
      </c>
      <c r="I1609" s="22" t="s">
        <v>123</v>
      </c>
      <c r="J1609" s="23">
        <v>48</v>
      </c>
      <c r="K1609" s="37">
        <v>0</v>
      </c>
      <c r="L1609" s="37">
        <v>3</v>
      </c>
      <c r="M1609" s="22">
        <f>IF(OR(ISBLANK(C1609),C1609=""),"",ROUND((C1609-B1609)*24,2))</f>
        <v>70.02</v>
      </c>
      <c r="N1609" s="38" t="str">
        <f>IF(OR(ISBLANK(C1609),C1609="",M1609=""),"In Progress",IF(M1609&lt;=J1609,"Met","Breached"))</f>
        <v>Breached</v>
      </c>
    </row>
    <row r="1610" ht="19" customHeight="1" spans="1:14" x14ac:dyDescent="0.25">
      <c r="A1610" s="19" t="s">
        <v>1724</v>
      </c>
      <c r="B1610" s="33">
        <v>45664.81388888889</v>
      </c>
      <c r="C1610" s="33">
        <v>45666.66666666667</v>
      </c>
      <c r="D1610" s="19" t="s">
        <v>33</v>
      </c>
      <c r="E1610" s="19" t="s">
        <v>65</v>
      </c>
      <c r="F1610" s="19" t="s">
        <v>43</v>
      </c>
      <c r="G1610" s="19" t="s">
        <v>116</v>
      </c>
      <c r="H1610" s="19" t="s">
        <v>59</v>
      </c>
      <c r="I1610" s="19" t="s">
        <v>108</v>
      </c>
      <c r="J1610" s="20">
        <v>48</v>
      </c>
      <c r="K1610" s="34">
        <v>0</v>
      </c>
      <c r="L1610" s="34">
        <v>3</v>
      </c>
      <c r="M1610" s="19">
        <f>IF(OR(ISBLANK(C1610),C1610=""),"",ROUND((C1610-B1610)*24,2))</f>
        <v>44.47</v>
      </c>
      <c r="N1610" s="35" t="str">
        <f>IF(OR(ISBLANK(C1610),C1610="",M1610=""),"In Progress",IF(M1610&lt;=J1610,"Met","Breached"))</f>
        <v>Met</v>
      </c>
    </row>
    <row r="1611" ht="19" customHeight="1" spans="1:14" x14ac:dyDescent="0.25">
      <c r="A1611" s="22" t="s">
        <v>1725</v>
      </c>
      <c r="B1611" s="36">
        <v>45848.1625</v>
      </c>
      <c r="C1611" s="36">
        <v>45851.55</v>
      </c>
      <c r="D1611" s="22" t="s">
        <v>36</v>
      </c>
      <c r="E1611" s="22" t="s">
        <v>69</v>
      </c>
      <c r="F1611" s="22" t="s">
        <v>40</v>
      </c>
      <c r="G1611" s="22" t="s">
        <v>113</v>
      </c>
      <c r="H1611" s="22" t="s">
        <v>59</v>
      </c>
      <c r="I1611" s="22" t="s">
        <v>117</v>
      </c>
      <c r="J1611" s="23">
        <v>120</v>
      </c>
      <c r="K1611" s="37">
        <v>0</v>
      </c>
      <c r="L1611" s="37">
        <v>2</v>
      </c>
      <c r="M1611" s="22">
        <f>IF(OR(ISBLANK(C1611),C1611=""),"",ROUND((C1611-B1611)*24,2))</f>
        <v>81.3</v>
      </c>
      <c r="N1611" s="40" t="str">
        <f>IF(OR(ISBLANK(C1611),C1611="",M1611=""),"In Progress",IF(M1611&lt;=J1611,"Met","Breached"))</f>
        <v>Met</v>
      </c>
    </row>
    <row r="1612" ht="19" customHeight="1" spans="1:14" x14ac:dyDescent="0.25">
      <c r="A1612" s="19" t="s">
        <v>1726</v>
      </c>
      <c r="B1612" s="33">
        <v>45734.90972222222</v>
      </c>
      <c r="C1612" s="33">
        <v>45736.37152777778</v>
      </c>
      <c r="D1612" s="19" t="s">
        <v>33</v>
      </c>
      <c r="E1612" s="19" t="s">
        <v>65</v>
      </c>
      <c r="F1612" s="19" t="s">
        <v>37</v>
      </c>
      <c r="G1612" s="19" t="s">
        <v>113</v>
      </c>
      <c r="H1612" s="19" t="s">
        <v>59</v>
      </c>
      <c r="I1612" s="19" t="s">
        <v>108</v>
      </c>
      <c r="J1612" s="20">
        <v>48</v>
      </c>
      <c r="K1612" s="34">
        <v>0</v>
      </c>
      <c r="M1612" s="19">
        <f>IF(OR(ISBLANK(C1612),C1612=""),"",ROUND((C1612-B1612)*24,2))</f>
        <v>35.08</v>
      </c>
      <c r="N1612" s="35" t="str">
        <f>IF(OR(ISBLANK(C1612),C1612="",M1612=""),"In Progress",IF(M1612&lt;=J1612,"Met","Breached"))</f>
        <v>Met</v>
      </c>
    </row>
    <row r="1613" ht="19" customHeight="1" spans="1:14" x14ac:dyDescent="0.25">
      <c r="A1613" s="22" t="s">
        <v>1727</v>
      </c>
      <c r="B1613" s="36">
        <v>45791.46875</v>
      </c>
      <c r="C1613" s="36">
        <v>45797.06527777778</v>
      </c>
      <c r="D1613" s="22" t="s">
        <v>33</v>
      </c>
      <c r="E1613" s="22" t="s">
        <v>69</v>
      </c>
      <c r="F1613" s="22" t="s">
        <v>34</v>
      </c>
      <c r="G1613" s="22" t="s">
        <v>126</v>
      </c>
      <c r="H1613" s="22" t="s">
        <v>59</v>
      </c>
      <c r="I1613" s="22" t="s">
        <v>108</v>
      </c>
      <c r="J1613" s="23">
        <v>120</v>
      </c>
      <c r="K1613" s="37">
        <v>0</v>
      </c>
      <c r="L1613" s="37">
        <v>1</v>
      </c>
      <c r="M1613" s="22">
        <f>IF(OR(ISBLANK(C1613),C1613=""),"",ROUND((C1613-B1613)*24,2))</f>
        <v>134.32</v>
      </c>
      <c r="N1613" s="38" t="str">
        <f>IF(OR(ISBLANK(C1613),C1613="",M1613=""),"In Progress",IF(M1613&lt;=J1613,"Met","Breached"))</f>
        <v>Breached</v>
      </c>
    </row>
    <row r="1614" ht="19" customHeight="1" spans="1:14" x14ac:dyDescent="0.25">
      <c r="A1614" s="19" t="s">
        <v>1728</v>
      </c>
      <c r="B1614" s="33">
        <v>46075.50138888889</v>
      </c>
      <c r="C1614" s="33">
        <v>46078.972916666666</v>
      </c>
      <c r="D1614" s="19" t="s">
        <v>33</v>
      </c>
      <c r="E1614" s="19" t="s">
        <v>65</v>
      </c>
      <c r="F1614" s="19" t="s">
        <v>43</v>
      </c>
      <c r="G1614" s="19" t="s">
        <v>113</v>
      </c>
      <c r="H1614" s="19" t="s">
        <v>67</v>
      </c>
      <c r="I1614" s="19" t="s">
        <v>147</v>
      </c>
      <c r="J1614" s="20">
        <v>48</v>
      </c>
      <c r="K1614" s="34">
        <v>0</v>
      </c>
      <c r="L1614" s="34">
        <v>1</v>
      </c>
      <c r="M1614" s="19">
        <f>IF(OR(ISBLANK(C1614),C1614=""),"",ROUND((C1614-B1614)*24,2))</f>
        <v>83.32</v>
      </c>
      <c r="N1614" s="39" t="str">
        <f>IF(OR(ISBLANK(C1614),C1614="",M1614=""),"In Progress",IF(M1614&lt;=J1614,"Met","Breached"))</f>
        <v>Breached</v>
      </c>
    </row>
    <row r="1615" ht="19" customHeight="1" spans="1:14" x14ac:dyDescent="0.25">
      <c r="A1615" s="22" t="s">
        <v>1729</v>
      </c>
      <c r="B1615" s="36">
        <v>46167.59583333333</v>
      </c>
      <c r="C1615" s="36">
        <v>46170.49722222222</v>
      </c>
      <c r="D1615" s="22" t="s">
        <v>33</v>
      </c>
      <c r="E1615" s="22" t="s">
        <v>65</v>
      </c>
      <c r="F1615" s="22" t="s">
        <v>34</v>
      </c>
      <c r="G1615" s="22" t="s">
        <v>63</v>
      </c>
      <c r="H1615" s="22" t="s">
        <v>59</v>
      </c>
      <c r="I1615" s="22" t="s">
        <v>147</v>
      </c>
      <c r="J1615" s="23">
        <v>48</v>
      </c>
      <c r="K1615" s="37">
        <v>0</v>
      </c>
      <c r="L1615" s="37">
        <v>1</v>
      </c>
      <c r="M1615" s="22">
        <f>IF(OR(ISBLANK(C1615),C1615=""),"",ROUND((C1615-B1615)*24,2))</f>
        <v>69.63</v>
      </c>
      <c r="N1615" s="38" t="str">
        <f>IF(OR(ISBLANK(C1615),C1615="",M1615=""),"In Progress",IF(M1615&lt;=J1615,"Met","Breached"))</f>
        <v>Breached</v>
      </c>
    </row>
    <row r="1616" ht="19" customHeight="1" spans="1:14" x14ac:dyDescent="0.25">
      <c r="A1616" s="19" t="s">
        <v>1730</v>
      </c>
      <c r="B1616" s="33">
        <v>46194.89027777778</v>
      </c>
      <c r="D1616" s="19" t="s">
        <v>39</v>
      </c>
      <c r="E1616" s="19" t="s">
        <v>69</v>
      </c>
      <c r="F1616" s="19" t="s">
        <v>34</v>
      </c>
      <c r="G1616" s="19" t="s">
        <v>110</v>
      </c>
      <c r="H1616" s="19" t="s">
        <v>59</v>
      </c>
      <c r="I1616" s="19" t="s">
        <v>147</v>
      </c>
      <c r="J1616" s="20">
        <v>120</v>
      </c>
      <c r="K1616" s="34">
        <v>0</v>
      </c>
      <c r="M1616" s="19" t="str">
        <f>IF(OR(ISBLANK(C1616),C1616=""),"",ROUND((C1616-B1616)*24,2))</f>
        <v/>
      </c>
      <c r="N1616" s="19" t="str">
        <f>IF(OR(ISBLANK(C1616),C1616="",M1616=""),"In Progress",IF(M1616&lt;=J1616,"Met","Breached"))</f>
        <v>In Progress</v>
      </c>
    </row>
    <row r="1617" ht="19" customHeight="1" spans="1:14" x14ac:dyDescent="0.25">
      <c r="A1617" s="22" t="s">
        <v>1731</v>
      </c>
      <c r="B1617" s="36">
        <v>45915.714583333334</v>
      </c>
      <c r="C1617" s="36">
        <v>45916.81736111111</v>
      </c>
      <c r="D1617" s="22" t="s">
        <v>33</v>
      </c>
      <c r="E1617" s="22" t="s">
        <v>65</v>
      </c>
      <c r="F1617" s="22" t="s">
        <v>45</v>
      </c>
      <c r="G1617" s="22" t="s">
        <v>116</v>
      </c>
      <c r="H1617" s="22" t="s">
        <v>59</v>
      </c>
      <c r="I1617" s="22" t="s">
        <v>114</v>
      </c>
      <c r="J1617" s="23">
        <v>48</v>
      </c>
      <c r="K1617" s="37">
        <v>0</v>
      </c>
      <c r="L1617" s="37">
        <v>3</v>
      </c>
      <c r="M1617" s="22">
        <f>IF(OR(ISBLANK(C1617),C1617=""),"",ROUND((C1617-B1617)*24,2))</f>
        <v>26.47</v>
      </c>
      <c r="N1617" s="40" t="str">
        <f>IF(OR(ISBLANK(C1617),C1617="",M1617=""),"In Progress",IF(M1617&lt;=J1617,"Met","Breached"))</f>
        <v>Met</v>
      </c>
    </row>
    <row r="1618" ht="19" customHeight="1" spans="1:14" x14ac:dyDescent="0.25">
      <c r="A1618" s="19" t="s">
        <v>1732</v>
      </c>
      <c r="B1618" s="33">
        <v>46109.70347222222</v>
      </c>
      <c r="C1618" s="33">
        <v>46110.805555555555</v>
      </c>
      <c r="D1618" s="19" t="s">
        <v>33</v>
      </c>
      <c r="E1618" s="19" t="s">
        <v>65</v>
      </c>
      <c r="F1618" s="19" t="s">
        <v>45</v>
      </c>
      <c r="G1618" s="19" t="s">
        <v>63</v>
      </c>
      <c r="H1618" s="19" t="s">
        <v>71</v>
      </c>
      <c r="I1618" s="19" t="s">
        <v>147</v>
      </c>
      <c r="J1618" s="20">
        <v>48</v>
      </c>
      <c r="K1618" s="34">
        <v>0</v>
      </c>
      <c r="L1618" s="34">
        <v>5</v>
      </c>
      <c r="M1618" s="19">
        <f>IF(OR(ISBLANK(C1618),C1618=""),"",ROUND((C1618-B1618)*24,2))</f>
        <v>26.45</v>
      </c>
      <c r="N1618" s="35" t="str">
        <f>IF(OR(ISBLANK(C1618),C1618="",M1618=""),"In Progress",IF(M1618&lt;=J1618,"Met","Breached"))</f>
        <v>Met</v>
      </c>
    </row>
    <row r="1619" ht="19" customHeight="1" spans="1:14" x14ac:dyDescent="0.25">
      <c r="A1619" s="22" t="s">
        <v>1733</v>
      </c>
      <c r="B1619" s="36">
        <v>45957.71736111111</v>
      </c>
      <c r="C1619" s="36">
        <v>45958.02847222222</v>
      </c>
      <c r="D1619" s="22" t="s">
        <v>33</v>
      </c>
      <c r="E1619" s="22" t="s">
        <v>61</v>
      </c>
      <c r="F1619" s="22" t="s">
        <v>40</v>
      </c>
      <c r="G1619" s="22" t="s">
        <v>110</v>
      </c>
      <c r="H1619" s="22" t="s">
        <v>67</v>
      </c>
      <c r="I1619" s="22" t="s">
        <v>111</v>
      </c>
      <c r="J1619" s="23">
        <v>12</v>
      </c>
      <c r="K1619" s="37">
        <v>0</v>
      </c>
      <c r="M1619" s="22">
        <f>IF(OR(ISBLANK(C1619),C1619=""),"",ROUND((C1619-B1619)*24,2))</f>
        <v>7.47</v>
      </c>
      <c r="N1619" s="40" t="str">
        <f>IF(OR(ISBLANK(C1619),C1619="",M1619=""),"In Progress",IF(M1619&lt;=J1619,"Met","Breached"))</f>
        <v>Met</v>
      </c>
    </row>
    <row r="1620" ht="19" customHeight="1" spans="1:14" x14ac:dyDescent="0.25">
      <c r="A1620" s="19" t="s">
        <v>1734</v>
      </c>
      <c r="B1620" s="33">
        <v>46139.78402777778</v>
      </c>
      <c r="D1620" s="19" t="s">
        <v>39</v>
      </c>
      <c r="E1620" s="19" t="s">
        <v>65</v>
      </c>
      <c r="F1620" s="19" t="s">
        <v>40</v>
      </c>
      <c r="G1620" s="19" t="s">
        <v>126</v>
      </c>
      <c r="H1620" s="19" t="s">
        <v>59</v>
      </c>
      <c r="I1620" s="19" t="s">
        <v>117</v>
      </c>
      <c r="J1620" s="20">
        <v>48</v>
      </c>
      <c r="K1620" s="34">
        <v>0</v>
      </c>
      <c r="M1620" s="19" t="str">
        <f>IF(OR(ISBLANK(C1620),C1620=""),"",ROUND((C1620-B1620)*24,2))</f>
        <v/>
      </c>
      <c r="N1620" s="19" t="str">
        <f>IF(OR(ISBLANK(C1620),C1620="",M1620=""),"In Progress",IF(M1620&lt;=J1620,"Met","Breached"))</f>
        <v>In Progress</v>
      </c>
    </row>
    <row r="1621" ht="19" customHeight="1" spans="1:14" x14ac:dyDescent="0.25">
      <c r="A1621" s="22" t="s">
        <v>1735</v>
      </c>
      <c r="B1621" s="36">
        <v>45760.12847222222</v>
      </c>
      <c r="C1621" s="36">
        <v>45763.31180555555</v>
      </c>
      <c r="D1621" s="22" t="s">
        <v>36</v>
      </c>
      <c r="E1621" s="22" t="s">
        <v>65</v>
      </c>
      <c r="F1621" s="22" t="s">
        <v>34</v>
      </c>
      <c r="G1621" s="22" t="s">
        <v>113</v>
      </c>
      <c r="H1621" s="22" t="s">
        <v>67</v>
      </c>
      <c r="I1621" s="22" t="s">
        <v>114</v>
      </c>
      <c r="J1621" s="23">
        <v>48</v>
      </c>
      <c r="K1621" s="37">
        <v>0</v>
      </c>
      <c r="M1621" s="22">
        <f>IF(OR(ISBLANK(C1621),C1621=""),"",ROUND((C1621-B1621)*24,2))</f>
        <v>76.4</v>
      </c>
      <c r="N1621" s="38" t="str">
        <f>IF(OR(ISBLANK(C1621),C1621="",M1621=""),"In Progress",IF(M1621&lt;=J1621,"Met","Breached"))</f>
        <v>Breached</v>
      </c>
    </row>
    <row r="1622" ht="19" customHeight="1" spans="1:14" x14ac:dyDescent="0.25">
      <c r="A1622" s="19" t="s">
        <v>1736</v>
      </c>
      <c r="B1622" s="33">
        <v>45770.853472222225</v>
      </c>
      <c r="C1622" s="33">
        <v>45774.34583333333</v>
      </c>
      <c r="D1622" s="19" t="s">
        <v>36</v>
      </c>
      <c r="E1622" s="19" t="s">
        <v>65</v>
      </c>
      <c r="F1622" s="19" t="s">
        <v>40</v>
      </c>
      <c r="G1622" s="19" t="s">
        <v>121</v>
      </c>
      <c r="H1622" s="19" t="s">
        <v>59</v>
      </c>
      <c r="I1622" s="19" t="s">
        <v>108</v>
      </c>
      <c r="J1622" s="20">
        <v>48</v>
      </c>
      <c r="K1622" s="34">
        <v>0</v>
      </c>
      <c r="L1622" s="34">
        <v>1</v>
      </c>
      <c r="M1622" s="19">
        <f>IF(OR(ISBLANK(C1622),C1622=""),"",ROUND((C1622-B1622)*24,2))</f>
        <v>83.82</v>
      </c>
      <c r="N1622" s="39" t="str">
        <f>IF(OR(ISBLANK(C1622),C1622="",M1622=""),"In Progress",IF(M1622&lt;=J1622,"Met","Breached"))</f>
        <v>Breached</v>
      </c>
    </row>
    <row r="1623" ht="19" customHeight="1" spans="1:14" x14ac:dyDescent="0.25">
      <c r="A1623" s="22" t="s">
        <v>1737</v>
      </c>
      <c r="B1623" s="36">
        <v>45774.691666666666</v>
      </c>
      <c r="C1623" s="36">
        <v>45777.069444444445</v>
      </c>
      <c r="D1623" s="22" t="s">
        <v>33</v>
      </c>
      <c r="E1623" s="22" t="s">
        <v>65</v>
      </c>
      <c r="F1623" s="22" t="s">
        <v>43</v>
      </c>
      <c r="G1623" s="22" t="s">
        <v>116</v>
      </c>
      <c r="H1623" s="22" t="s">
        <v>67</v>
      </c>
      <c r="I1623" s="22" t="s">
        <v>114</v>
      </c>
      <c r="J1623" s="23">
        <v>48</v>
      </c>
      <c r="K1623" s="37">
        <v>0</v>
      </c>
      <c r="M1623" s="22">
        <f>IF(OR(ISBLANK(C1623),C1623=""),"",ROUND((C1623-B1623)*24,2))</f>
        <v>57.07</v>
      </c>
      <c r="N1623" s="38" t="str">
        <f>IF(OR(ISBLANK(C1623),C1623="",M1623=""),"In Progress",IF(M1623&lt;=J1623,"Met","Breached"))</f>
        <v>Breached</v>
      </c>
    </row>
    <row r="1624" ht="19" customHeight="1" spans="1:14" x14ac:dyDescent="0.25">
      <c r="A1624" s="19" t="s">
        <v>1738</v>
      </c>
      <c r="B1624" s="33">
        <v>46098.13958333334</v>
      </c>
      <c r="C1624" s="33">
        <v>46098.85902777778</v>
      </c>
      <c r="D1624" s="19" t="s">
        <v>33</v>
      </c>
      <c r="E1624" s="19" t="s">
        <v>65</v>
      </c>
      <c r="F1624" s="19" t="s">
        <v>37</v>
      </c>
      <c r="G1624" s="19" t="s">
        <v>121</v>
      </c>
      <c r="H1624" s="19" t="s">
        <v>59</v>
      </c>
      <c r="I1624" s="19" t="s">
        <v>123</v>
      </c>
      <c r="J1624" s="20">
        <v>48</v>
      </c>
      <c r="K1624" s="34">
        <v>0</v>
      </c>
      <c r="M1624" s="19">
        <f>IF(OR(ISBLANK(C1624),C1624=""),"",ROUND((C1624-B1624)*24,2))</f>
        <v>17.27</v>
      </c>
      <c r="N1624" s="35" t="str">
        <f>IF(OR(ISBLANK(C1624),C1624="",M1624=""),"In Progress",IF(M1624&lt;=J1624,"Met","Breached"))</f>
        <v>Met</v>
      </c>
    </row>
    <row r="1625" ht="19" customHeight="1" spans="1:14" x14ac:dyDescent="0.25">
      <c r="A1625" s="22" t="s">
        <v>1739</v>
      </c>
      <c r="B1625" s="36">
        <v>45847.24930555555</v>
      </c>
      <c r="C1625" s="36">
        <v>45850.79236111111</v>
      </c>
      <c r="D1625" s="22" t="s">
        <v>33</v>
      </c>
      <c r="E1625" s="22" t="s">
        <v>69</v>
      </c>
      <c r="F1625" s="22" t="s">
        <v>43</v>
      </c>
      <c r="G1625" s="22" t="s">
        <v>126</v>
      </c>
      <c r="H1625" s="22" t="s">
        <v>59</v>
      </c>
      <c r="I1625" s="22" t="s">
        <v>108</v>
      </c>
      <c r="J1625" s="23">
        <v>120</v>
      </c>
      <c r="K1625" s="37">
        <v>0</v>
      </c>
      <c r="L1625" s="37">
        <v>5</v>
      </c>
      <c r="M1625" s="22">
        <f>IF(OR(ISBLANK(C1625),C1625=""),"",ROUND((C1625-B1625)*24,2))</f>
        <v>85.03</v>
      </c>
      <c r="N1625" s="40" t="str">
        <f>IF(OR(ISBLANK(C1625),C1625="",M1625=""),"In Progress",IF(M1625&lt;=J1625,"Met","Breached"))</f>
        <v>Met</v>
      </c>
    </row>
    <row r="1626" ht="19" customHeight="1" spans="1:14" x14ac:dyDescent="0.25">
      <c r="A1626" s="19" t="s">
        <v>1740</v>
      </c>
      <c r="B1626" s="33">
        <v>45808.464583333334</v>
      </c>
      <c r="D1626" s="19" t="s">
        <v>42</v>
      </c>
      <c r="E1626" s="19" t="s">
        <v>65</v>
      </c>
      <c r="F1626" s="19" t="s">
        <v>34</v>
      </c>
      <c r="G1626" s="19" t="s">
        <v>116</v>
      </c>
      <c r="H1626" s="19" t="s">
        <v>71</v>
      </c>
      <c r="I1626" s="19" t="s">
        <v>114</v>
      </c>
      <c r="J1626" s="20">
        <v>48</v>
      </c>
      <c r="K1626" s="34">
        <v>0</v>
      </c>
      <c r="M1626" s="19" t="str">
        <f>IF(OR(ISBLANK(C1626),C1626=""),"",ROUND((C1626-B1626)*24,2))</f>
        <v/>
      </c>
      <c r="N1626" s="19" t="str">
        <f>IF(OR(ISBLANK(C1626),C1626="",M1626=""),"In Progress",IF(M1626&lt;=J1626,"Met","Breached"))</f>
        <v>In Progress</v>
      </c>
    </row>
    <row r="1627" ht="19" customHeight="1" spans="1:14" x14ac:dyDescent="0.25">
      <c r="A1627" s="22" t="s">
        <v>1741</v>
      </c>
      <c r="B1627" s="36">
        <v>45685.62708333333</v>
      </c>
      <c r="D1627" s="22" t="s">
        <v>39</v>
      </c>
      <c r="E1627" s="22" t="s">
        <v>61</v>
      </c>
      <c r="F1627" s="22" t="s">
        <v>40</v>
      </c>
      <c r="G1627" s="22" t="s">
        <v>121</v>
      </c>
      <c r="H1627" s="22" t="s">
        <v>59</v>
      </c>
      <c r="I1627" s="22" t="s">
        <v>108</v>
      </c>
      <c r="J1627" s="23">
        <v>12</v>
      </c>
      <c r="K1627" s="37">
        <v>0</v>
      </c>
      <c r="M1627" s="22" t="str">
        <f>IF(OR(ISBLANK(C1627),C1627=""),"",ROUND((C1627-B1627)*24,2))</f>
        <v/>
      </c>
      <c r="N1627" s="22" t="str">
        <f>IF(OR(ISBLANK(C1627),C1627="",M1627=""),"In Progress",IF(M1627&lt;=J1627,"Met","Breached"))</f>
        <v>In Progress</v>
      </c>
    </row>
    <row r="1628" ht="19" customHeight="1" spans="1:14" x14ac:dyDescent="0.25">
      <c r="A1628" s="19" t="s">
        <v>1742</v>
      </c>
      <c r="B1628" s="33">
        <v>45743.82430555555</v>
      </c>
      <c r="D1628" s="19" t="s">
        <v>42</v>
      </c>
      <c r="E1628" s="19" t="s">
        <v>69</v>
      </c>
      <c r="F1628" s="19" t="s">
        <v>43</v>
      </c>
      <c r="G1628" s="19" t="s">
        <v>126</v>
      </c>
      <c r="H1628" s="19" t="s">
        <v>71</v>
      </c>
      <c r="I1628" s="19" t="s">
        <v>111</v>
      </c>
      <c r="J1628" s="20">
        <v>120</v>
      </c>
      <c r="K1628" s="34">
        <v>0</v>
      </c>
      <c r="M1628" s="19" t="str">
        <f>IF(OR(ISBLANK(C1628),C1628=""),"",ROUND((C1628-B1628)*24,2))</f>
        <v/>
      </c>
      <c r="N1628" s="19" t="str">
        <f>IF(OR(ISBLANK(C1628),C1628="",M1628=""),"In Progress",IF(M1628&lt;=J1628,"Met","Breached"))</f>
        <v>In Progress</v>
      </c>
    </row>
    <row r="1629" ht="19" customHeight="1" spans="1:14" x14ac:dyDescent="0.25">
      <c r="A1629" s="22" t="s">
        <v>1743</v>
      </c>
      <c r="B1629" s="36">
        <v>46007.330555555556</v>
      </c>
      <c r="C1629" s="36">
        <v>46010.37152777778</v>
      </c>
      <c r="D1629" s="22" t="s">
        <v>36</v>
      </c>
      <c r="E1629" s="22" t="s">
        <v>65</v>
      </c>
      <c r="F1629" s="22" t="s">
        <v>37</v>
      </c>
      <c r="G1629" s="22" t="s">
        <v>63</v>
      </c>
      <c r="H1629" s="22" t="s">
        <v>59</v>
      </c>
      <c r="I1629" s="22" t="s">
        <v>111</v>
      </c>
      <c r="J1629" s="23">
        <v>48</v>
      </c>
      <c r="K1629" s="37">
        <v>0</v>
      </c>
      <c r="L1629" s="37">
        <v>4</v>
      </c>
      <c r="M1629" s="22">
        <f>IF(OR(ISBLANK(C1629),C1629=""),"",ROUND((C1629-B1629)*24,2))</f>
        <v>72.98</v>
      </c>
      <c r="N1629" s="38" t="str">
        <f>IF(OR(ISBLANK(C1629),C1629="",M1629=""),"In Progress",IF(M1629&lt;=J1629,"Met","Breached"))</f>
        <v>Breached</v>
      </c>
    </row>
    <row r="1630" ht="19" customHeight="1" spans="1:14" x14ac:dyDescent="0.25">
      <c r="A1630" s="19" t="s">
        <v>1744</v>
      </c>
      <c r="B1630" s="33">
        <v>45855.836805555555</v>
      </c>
      <c r="D1630" s="19" t="s">
        <v>42</v>
      </c>
      <c r="E1630" s="19" t="s">
        <v>65</v>
      </c>
      <c r="F1630" s="19" t="s">
        <v>40</v>
      </c>
      <c r="G1630" s="19" t="s">
        <v>113</v>
      </c>
      <c r="H1630" s="19" t="s">
        <v>59</v>
      </c>
      <c r="I1630" s="19" t="s">
        <v>117</v>
      </c>
      <c r="J1630" s="20">
        <v>48</v>
      </c>
      <c r="K1630" s="34">
        <v>0</v>
      </c>
      <c r="M1630" s="19" t="str">
        <f>IF(OR(ISBLANK(C1630),C1630=""),"",ROUND((C1630-B1630)*24,2))</f>
        <v/>
      </c>
      <c r="N1630" s="19" t="str">
        <f>IF(OR(ISBLANK(C1630),C1630="",M1630=""),"In Progress",IF(M1630&lt;=J1630,"Met","Breached"))</f>
        <v>In Progress</v>
      </c>
    </row>
    <row r="1631" ht="19" customHeight="1" spans="1:14" x14ac:dyDescent="0.25">
      <c r="A1631" s="22" t="s">
        <v>1745</v>
      </c>
      <c r="B1631" s="36">
        <v>46095.14375</v>
      </c>
      <c r="C1631" s="36">
        <v>46097.74791666667</v>
      </c>
      <c r="D1631" s="22" t="s">
        <v>33</v>
      </c>
      <c r="E1631" s="22" t="s">
        <v>69</v>
      </c>
      <c r="F1631" s="22" t="s">
        <v>37</v>
      </c>
      <c r="G1631" s="22" t="s">
        <v>63</v>
      </c>
      <c r="H1631" s="22" t="s">
        <v>67</v>
      </c>
      <c r="I1631" s="22" t="s">
        <v>147</v>
      </c>
      <c r="J1631" s="23">
        <v>120</v>
      </c>
      <c r="K1631" s="37">
        <v>0</v>
      </c>
      <c r="L1631" s="37">
        <v>2</v>
      </c>
      <c r="M1631" s="22">
        <f>IF(OR(ISBLANK(C1631),C1631=""),"",ROUND((C1631-B1631)*24,2))</f>
        <v>62.5</v>
      </c>
      <c r="N1631" s="40" t="str">
        <f>IF(OR(ISBLANK(C1631),C1631="",M1631=""),"In Progress",IF(M1631&lt;=J1631,"Met","Breached"))</f>
        <v>Met</v>
      </c>
    </row>
    <row r="1632" ht="19" customHeight="1" spans="1:14" x14ac:dyDescent="0.25">
      <c r="A1632" s="19" t="s">
        <v>1746</v>
      </c>
      <c r="B1632" s="33">
        <v>45697.38680555555</v>
      </c>
      <c r="D1632" s="19" t="s">
        <v>39</v>
      </c>
      <c r="E1632" s="19" t="s">
        <v>57</v>
      </c>
      <c r="F1632" s="19" t="s">
        <v>37</v>
      </c>
      <c r="G1632" s="19" t="s">
        <v>63</v>
      </c>
      <c r="H1632" s="19" t="s">
        <v>59</v>
      </c>
      <c r="I1632" s="19" t="s">
        <v>114</v>
      </c>
      <c r="J1632" s="20">
        <v>4</v>
      </c>
      <c r="K1632" s="34">
        <v>0</v>
      </c>
      <c r="M1632" s="19" t="str">
        <f>IF(OR(ISBLANK(C1632),C1632=""),"",ROUND((C1632-B1632)*24,2))</f>
        <v/>
      </c>
      <c r="N1632" s="19" t="str">
        <f>IF(OR(ISBLANK(C1632),C1632="",M1632=""),"In Progress",IF(M1632&lt;=J1632,"Met","Breached"))</f>
        <v>In Progress</v>
      </c>
    </row>
    <row r="1633" ht="19" customHeight="1" spans="1:14" x14ac:dyDescent="0.25">
      <c r="A1633" s="22" t="s">
        <v>1747</v>
      </c>
      <c r="B1633" s="36">
        <v>45752.22708333333</v>
      </c>
      <c r="C1633" s="36">
        <v>45754.99930555555</v>
      </c>
      <c r="D1633" s="22" t="s">
        <v>33</v>
      </c>
      <c r="E1633" s="22" t="s">
        <v>65</v>
      </c>
      <c r="F1633" s="22" t="s">
        <v>45</v>
      </c>
      <c r="G1633" s="22" t="s">
        <v>113</v>
      </c>
      <c r="H1633" s="22" t="s">
        <v>63</v>
      </c>
      <c r="I1633" s="22" t="s">
        <v>123</v>
      </c>
      <c r="J1633" s="23">
        <v>48</v>
      </c>
      <c r="K1633" s="37">
        <v>0</v>
      </c>
      <c r="L1633" s="37">
        <v>4</v>
      </c>
      <c r="M1633" s="22">
        <f>IF(OR(ISBLANK(C1633),C1633=""),"",ROUND((C1633-B1633)*24,2))</f>
        <v>66.53</v>
      </c>
      <c r="N1633" s="38" t="str">
        <f>IF(OR(ISBLANK(C1633),C1633="",M1633=""),"In Progress",IF(M1633&lt;=J1633,"Met","Breached"))</f>
        <v>Breached</v>
      </c>
    </row>
    <row r="1634" ht="19" customHeight="1" spans="1:14" x14ac:dyDescent="0.25">
      <c r="A1634" s="19" t="s">
        <v>1748</v>
      </c>
      <c r="B1634" s="33">
        <v>45673.52916666667</v>
      </c>
      <c r="C1634" s="33">
        <v>45679.995833333334</v>
      </c>
      <c r="D1634" s="19" t="s">
        <v>33</v>
      </c>
      <c r="E1634" s="19" t="s">
        <v>69</v>
      </c>
      <c r="F1634" s="19" t="s">
        <v>43</v>
      </c>
      <c r="G1634" s="19" t="s">
        <v>116</v>
      </c>
      <c r="H1634" s="19" t="s">
        <v>63</v>
      </c>
      <c r="I1634" s="19" t="s">
        <v>108</v>
      </c>
      <c r="J1634" s="20">
        <v>120</v>
      </c>
      <c r="K1634" s="34">
        <v>0</v>
      </c>
      <c r="L1634" s="34">
        <v>3</v>
      </c>
      <c r="M1634" s="19">
        <f>IF(OR(ISBLANK(C1634),C1634=""),"",ROUND((C1634-B1634)*24,2))</f>
        <v>155.2</v>
      </c>
      <c r="N1634" s="39" t="str">
        <f>IF(OR(ISBLANK(C1634),C1634="",M1634=""),"In Progress",IF(M1634&lt;=J1634,"Met","Breached"))</f>
        <v>Breached</v>
      </c>
    </row>
    <row r="1635" ht="19" customHeight="1" spans="1:14" x14ac:dyDescent="0.25">
      <c r="A1635" s="22" t="s">
        <v>1749</v>
      </c>
      <c r="B1635" s="36">
        <v>46003.68402777778</v>
      </c>
      <c r="C1635" s="36">
        <v>46009.433333333334</v>
      </c>
      <c r="D1635" s="22" t="s">
        <v>36</v>
      </c>
      <c r="E1635" s="22" t="s">
        <v>69</v>
      </c>
      <c r="F1635" s="22" t="s">
        <v>34</v>
      </c>
      <c r="G1635" s="22" t="s">
        <v>113</v>
      </c>
      <c r="H1635" s="22" t="s">
        <v>67</v>
      </c>
      <c r="I1635" s="22" t="s">
        <v>111</v>
      </c>
      <c r="J1635" s="23">
        <v>120</v>
      </c>
      <c r="K1635" s="37">
        <v>0</v>
      </c>
      <c r="L1635" s="37">
        <v>1</v>
      </c>
      <c r="M1635" s="22">
        <f>IF(OR(ISBLANK(C1635),C1635=""),"",ROUND((C1635-B1635)*24,2))</f>
        <v>137.98</v>
      </c>
      <c r="N1635" s="38" t="str">
        <f>IF(OR(ISBLANK(C1635),C1635="",M1635=""),"In Progress",IF(M1635&lt;=J1635,"Met","Breached"))</f>
        <v>Breached</v>
      </c>
    </row>
    <row r="1636" ht="19" customHeight="1" spans="1:14" x14ac:dyDescent="0.25">
      <c r="A1636" s="19" t="s">
        <v>1750</v>
      </c>
      <c r="B1636" s="33">
        <v>45898.79166666667</v>
      </c>
      <c r="C1636" s="33">
        <v>45906.99444444444</v>
      </c>
      <c r="D1636" s="19" t="s">
        <v>33</v>
      </c>
      <c r="E1636" s="19" t="s">
        <v>69</v>
      </c>
      <c r="F1636" s="19" t="s">
        <v>43</v>
      </c>
      <c r="G1636" s="19" t="s">
        <v>116</v>
      </c>
      <c r="H1636" s="19" t="s">
        <v>59</v>
      </c>
      <c r="I1636" s="19" t="s">
        <v>123</v>
      </c>
      <c r="J1636" s="20">
        <v>120</v>
      </c>
      <c r="K1636" s="34">
        <v>0</v>
      </c>
      <c r="L1636" s="34">
        <v>1</v>
      </c>
      <c r="M1636" s="19">
        <f>IF(OR(ISBLANK(C1636),C1636=""),"",ROUND((C1636-B1636)*24,2))</f>
        <v>196.87</v>
      </c>
      <c r="N1636" s="39" t="str">
        <f>IF(OR(ISBLANK(C1636),C1636="",M1636=""),"In Progress",IF(M1636&lt;=J1636,"Met","Breached"))</f>
        <v>Breached</v>
      </c>
    </row>
    <row r="1637" ht="19" customHeight="1" spans="1:14" x14ac:dyDescent="0.25">
      <c r="A1637" s="22" t="s">
        <v>1751</v>
      </c>
      <c r="B1637" s="36">
        <v>45758.4125</v>
      </c>
      <c r="C1637" s="36">
        <v>45761.10416666667</v>
      </c>
      <c r="D1637" s="22" t="s">
        <v>33</v>
      </c>
      <c r="E1637" s="22" t="s">
        <v>65</v>
      </c>
      <c r="F1637" s="22" t="s">
        <v>34</v>
      </c>
      <c r="G1637" s="22" t="s">
        <v>126</v>
      </c>
      <c r="H1637" s="22" t="s">
        <v>67</v>
      </c>
      <c r="I1637" s="22" t="s">
        <v>123</v>
      </c>
      <c r="J1637" s="23">
        <v>48</v>
      </c>
      <c r="K1637" s="37">
        <v>0</v>
      </c>
      <c r="L1637" s="37">
        <v>2</v>
      </c>
      <c r="M1637" s="22">
        <f>IF(OR(ISBLANK(C1637),C1637=""),"",ROUND((C1637-B1637)*24,2))</f>
        <v>64.6</v>
      </c>
      <c r="N1637" s="38" t="str">
        <f>IF(OR(ISBLANK(C1637),C1637="",M1637=""),"In Progress",IF(M1637&lt;=J1637,"Met","Breached"))</f>
        <v>Breached</v>
      </c>
    </row>
    <row r="1638" ht="19" customHeight="1" spans="1:14" x14ac:dyDescent="0.25">
      <c r="A1638" s="19" t="s">
        <v>1752</v>
      </c>
      <c r="B1638" s="33">
        <v>46171.09027777778</v>
      </c>
      <c r="C1638" s="33">
        <v>46174.430555555555</v>
      </c>
      <c r="D1638" s="19" t="s">
        <v>33</v>
      </c>
      <c r="E1638" s="19" t="s">
        <v>65</v>
      </c>
      <c r="F1638" s="19" t="s">
        <v>37</v>
      </c>
      <c r="G1638" s="19" t="s">
        <v>126</v>
      </c>
      <c r="H1638" s="19" t="s">
        <v>71</v>
      </c>
      <c r="I1638" s="19" t="s">
        <v>111</v>
      </c>
      <c r="J1638" s="20">
        <v>48</v>
      </c>
      <c r="K1638" s="34">
        <v>0</v>
      </c>
      <c r="L1638" s="34">
        <v>1</v>
      </c>
      <c r="M1638" s="19">
        <f>IF(OR(ISBLANK(C1638),C1638=""),"",ROUND((C1638-B1638)*24,2))</f>
        <v>80.17</v>
      </c>
      <c r="N1638" s="39" t="str">
        <f>IF(OR(ISBLANK(C1638),C1638="",M1638=""),"In Progress",IF(M1638&lt;=J1638,"Met","Breached"))</f>
        <v>Breached</v>
      </c>
    </row>
    <row r="1639" ht="19" customHeight="1" spans="1:14" x14ac:dyDescent="0.25">
      <c r="A1639" s="22" t="s">
        <v>1753</v>
      </c>
      <c r="B1639" s="36">
        <v>45842.98541666666</v>
      </c>
      <c r="C1639" s="36">
        <v>45843.15625</v>
      </c>
      <c r="D1639" s="22" t="s">
        <v>36</v>
      </c>
      <c r="E1639" s="22" t="s">
        <v>57</v>
      </c>
      <c r="F1639" s="22" t="s">
        <v>37</v>
      </c>
      <c r="G1639" s="22" t="s">
        <v>116</v>
      </c>
      <c r="H1639" s="22" t="s">
        <v>59</v>
      </c>
      <c r="I1639" s="22" t="s">
        <v>111</v>
      </c>
      <c r="J1639" s="23">
        <v>4</v>
      </c>
      <c r="K1639" s="37">
        <v>0</v>
      </c>
      <c r="L1639" s="37">
        <v>1</v>
      </c>
      <c r="M1639" s="22">
        <f>IF(OR(ISBLANK(C1639),C1639=""),"",ROUND((C1639-B1639)*24,2))</f>
        <v>4.1</v>
      </c>
      <c r="N1639" s="38" t="str">
        <f>IF(OR(ISBLANK(C1639),C1639="",M1639=""),"In Progress",IF(M1639&lt;=J1639,"Met","Breached"))</f>
        <v>Breached</v>
      </c>
    </row>
    <row r="1640" ht="19" customHeight="1" spans="1:14" x14ac:dyDescent="0.25">
      <c r="A1640" s="19" t="s">
        <v>1754</v>
      </c>
      <c r="B1640" s="33">
        <v>45786.94305555556</v>
      </c>
      <c r="C1640" s="33">
        <v>45789.82638888889</v>
      </c>
      <c r="D1640" s="19" t="s">
        <v>33</v>
      </c>
      <c r="E1640" s="19" t="s">
        <v>65</v>
      </c>
      <c r="F1640" s="19" t="s">
        <v>43</v>
      </c>
      <c r="G1640" s="19" t="s">
        <v>126</v>
      </c>
      <c r="H1640" s="19" t="s">
        <v>67</v>
      </c>
      <c r="I1640" s="19" t="s">
        <v>108</v>
      </c>
      <c r="J1640" s="20">
        <v>48</v>
      </c>
      <c r="K1640" s="34">
        <v>0</v>
      </c>
      <c r="M1640" s="19">
        <f>IF(OR(ISBLANK(C1640),C1640=""),"",ROUND((C1640-B1640)*24,2))</f>
        <v>69.2</v>
      </c>
      <c r="N1640" s="39" t="str">
        <f>IF(OR(ISBLANK(C1640),C1640="",M1640=""),"In Progress",IF(M1640&lt;=J1640,"Met","Breached"))</f>
        <v>Breached</v>
      </c>
    </row>
    <row r="1641" ht="19" customHeight="1" spans="1:14" x14ac:dyDescent="0.25">
      <c r="A1641" s="22" t="s">
        <v>1755</v>
      </c>
      <c r="B1641" s="36">
        <v>46076.194444444445</v>
      </c>
      <c r="C1641" s="36">
        <v>46076.99930555555</v>
      </c>
      <c r="D1641" s="22" t="s">
        <v>33</v>
      </c>
      <c r="E1641" s="22" t="s">
        <v>61</v>
      </c>
      <c r="F1641" s="22" t="s">
        <v>40</v>
      </c>
      <c r="G1641" s="22" t="s">
        <v>121</v>
      </c>
      <c r="H1641" s="22" t="s">
        <v>71</v>
      </c>
      <c r="I1641" s="22" t="s">
        <v>114</v>
      </c>
      <c r="J1641" s="23">
        <v>12</v>
      </c>
      <c r="K1641" s="37">
        <v>0</v>
      </c>
      <c r="L1641" s="37">
        <v>5</v>
      </c>
      <c r="M1641" s="22">
        <f>IF(OR(ISBLANK(C1641),C1641=""),"",ROUND((C1641-B1641)*24,2))</f>
        <v>19.32</v>
      </c>
      <c r="N1641" s="38" t="str">
        <f>IF(OR(ISBLANK(C1641),C1641="",M1641=""),"In Progress",IF(M1641&lt;=J1641,"Met","Breached"))</f>
        <v>Breached</v>
      </c>
    </row>
    <row r="1642" ht="19" customHeight="1" spans="1:14" x14ac:dyDescent="0.25">
      <c r="A1642" s="19" t="s">
        <v>1756</v>
      </c>
      <c r="B1642" s="33">
        <v>46203.78194444445</v>
      </c>
      <c r="C1642" s="33">
        <v>46204.37638888889</v>
      </c>
      <c r="D1642" s="19" t="s">
        <v>33</v>
      </c>
      <c r="E1642" s="19" t="s">
        <v>61</v>
      </c>
      <c r="F1642" s="19" t="s">
        <v>40</v>
      </c>
      <c r="G1642" s="19" t="s">
        <v>63</v>
      </c>
      <c r="H1642" s="19" t="s">
        <v>59</v>
      </c>
      <c r="I1642" s="19" t="s">
        <v>117</v>
      </c>
      <c r="J1642" s="20">
        <v>12</v>
      </c>
      <c r="K1642" s="34">
        <v>0</v>
      </c>
      <c r="L1642" s="34">
        <v>1</v>
      </c>
      <c r="M1642" s="19">
        <f>IF(OR(ISBLANK(C1642),C1642=""),"",ROUND((C1642-B1642)*24,2))</f>
        <v>14.27</v>
      </c>
      <c r="N1642" s="39" t="str">
        <f>IF(OR(ISBLANK(C1642),C1642="",M1642=""),"In Progress",IF(M1642&lt;=J1642,"Met","Breached"))</f>
        <v>Breached</v>
      </c>
    </row>
    <row r="1643" ht="19" customHeight="1" spans="1:14" x14ac:dyDescent="0.25">
      <c r="A1643" s="22" t="s">
        <v>1757</v>
      </c>
      <c r="B1643" s="36">
        <v>46280.81041666667</v>
      </c>
      <c r="C1643" s="36">
        <v>46286.89166666666</v>
      </c>
      <c r="D1643" s="22" t="s">
        <v>33</v>
      </c>
      <c r="E1643" s="22" t="s">
        <v>69</v>
      </c>
      <c r="F1643" s="22" t="s">
        <v>34</v>
      </c>
      <c r="G1643" s="22" t="s">
        <v>63</v>
      </c>
      <c r="H1643" s="22" t="s">
        <v>63</v>
      </c>
      <c r="I1643" s="22" t="s">
        <v>117</v>
      </c>
      <c r="J1643" s="23">
        <v>120</v>
      </c>
      <c r="K1643" s="37">
        <v>1</v>
      </c>
      <c r="L1643" s="37">
        <v>3</v>
      </c>
      <c r="M1643" s="22">
        <f>IF(OR(ISBLANK(C1643),C1643=""),"",ROUND((C1643-B1643)*24,2))</f>
        <v>145.95</v>
      </c>
      <c r="N1643" s="38" t="str">
        <f>IF(OR(ISBLANK(C1643),C1643="",M1643=""),"In Progress",IF(M1643&lt;=J1643,"Met","Breached"))</f>
        <v>Breached</v>
      </c>
    </row>
    <row r="1644" ht="19" customHeight="1" spans="1:14" x14ac:dyDescent="0.25">
      <c r="A1644" s="19" t="s">
        <v>1758</v>
      </c>
      <c r="B1644" s="33">
        <v>45911.47013888889</v>
      </c>
      <c r="C1644" s="33">
        <v>45911.89722222222</v>
      </c>
      <c r="D1644" s="19" t="s">
        <v>36</v>
      </c>
      <c r="E1644" s="19" t="s">
        <v>61</v>
      </c>
      <c r="F1644" s="19" t="s">
        <v>43</v>
      </c>
      <c r="G1644" s="19" t="s">
        <v>110</v>
      </c>
      <c r="H1644" s="19" t="s">
        <v>59</v>
      </c>
      <c r="I1644" s="19" t="s">
        <v>111</v>
      </c>
      <c r="J1644" s="20">
        <v>12</v>
      </c>
      <c r="K1644" s="34">
        <v>0</v>
      </c>
      <c r="L1644" s="34">
        <v>3</v>
      </c>
      <c r="M1644" s="19">
        <f>IF(OR(ISBLANK(C1644),C1644=""),"",ROUND((C1644-B1644)*24,2))</f>
        <v>10.25</v>
      </c>
      <c r="N1644" s="35" t="str">
        <f>IF(OR(ISBLANK(C1644),C1644="",M1644=""),"In Progress",IF(M1644&lt;=J1644,"Met","Breached"))</f>
        <v>Met</v>
      </c>
    </row>
    <row r="1645" ht="19" customHeight="1" spans="1:14" x14ac:dyDescent="0.25">
      <c r="A1645" s="22" t="s">
        <v>1759</v>
      </c>
      <c r="B1645" s="36">
        <v>45793.75347222222</v>
      </c>
      <c r="C1645" s="36">
        <v>45801.30208333333</v>
      </c>
      <c r="D1645" s="22" t="s">
        <v>36</v>
      </c>
      <c r="E1645" s="22" t="s">
        <v>69</v>
      </c>
      <c r="F1645" s="22" t="s">
        <v>34</v>
      </c>
      <c r="G1645" s="22" t="s">
        <v>110</v>
      </c>
      <c r="H1645" s="22" t="s">
        <v>63</v>
      </c>
      <c r="I1645" s="22" t="s">
        <v>147</v>
      </c>
      <c r="J1645" s="23">
        <v>120</v>
      </c>
      <c r="K1645" s="37">
        <v>0</v>
      </c>
      <c r="M1645" s="22">
        <f>IF(OR(ISBLANK(C1645),C1645=""),"",ROUND((C1645-B1645)*24,2))</f>
        <v>181.17</v>
      </c>
      <c r="N1645" s="38" t="str">
        <f>IF(OR(ISBLANK(C1645),C1645="",M1645=""),"In Progress",IF(M1645&lt;=J1645,"Met","Breached"))</f>
        <v>Breached</v>
      </c>
    </row>
    <row r="1646" ht="19" customHeight="1" spans="1:14" x14ac:dyDescent="0.25">
      <c r="A1646" s="19" t="s">
        <v>1760</v>
      </c>
      <c r="B1646" s="33">
        <v>45838.59027777778</v>
      </c>
      <c r="C1646" s="33">
        <v>45840.165972222225</v>
      </c>
      <c r="D1646" s="19" t="s">
        <v>33</v>
      </c>
      <c r="E1646" s="19" t="s">
        <v>65</v>
      </c>
      <c r="F1646" s="19" t="s">
        <v>43</v>
      </c>
      <c r="G1646" s="19" t="s">
        <v>126</v>
      </c>
      <c r="H1646" s="19" t="s">
        <v>67</v>
      </c>
      <c r="I1646" s="19" t="s">
        <v>117</v>
      </c>
      <c r="J1646" s="20">
        <v>48</v>
      </c>
      <c r="K1646" s="34">
        <v>0</v>
      </c>
      <c r="L1646" s="34">
        <v>2</v>
      </c>
      <c r="M1646" s="19">
        <f>IF(OR(ISBLANK(C1646),C1646=""),"",ROUND((C1646-B1646)*24,2))</f>
        <v>37.82</v>
      </c>
      <c r="N1646" s="35" t="str">
        <f>IF(OR(ISBLANK(C1646),C1646="",M1646=""),"In Progress",IF(M1646&lt;=J1646,"Met","Breached"))</f>
        <v>Met</v>
      </c>
    </row>
    <row r="1647" ht="19" customHeight="1" spans="1:14" x14ac:dyDescent="0.25">
      <c r="A1647" s="22" t="s">
        <v>1761</v>
      </c>
      <c r="B1647" s="36">
        <v>45812.44583333333</v>
      </c>
      <c r="C1647" s="36">
        <v>45815.99513888889</v>
      </c>
      <c r="D1647" s="22" t="s">
        <v>33</v>
      </c>
      <c r="E1647" s="22" t="s">
        <v>69</v>
      </c>
      <c r="F1647" s="22" t="s">
        <v>43</v>
      </c>
      <c r="G1647" s="22" t="s">
        <v>121</v>
      </c>
      <c r="H1647" s="22" t="s">
        <v>63</v>
      </c>
      <c r="I1647" s="22" t="s">
        <v>123</v>
      </c>
      <c r="J1647" s="23">
        <v>120</v>
      </c>
      <c r="K1647" s="37">
        <v>0</v>
      </c>
      <c r="L1647" s="37">
        <v>1</v>
      </c>
      <c r="M1647" s="22">
        <f>IF(OR(ISBLANK(C1647),C1647=""),"",ROUND((C1647-B1647)*24,2))</f>
        <v>85.18</v>
      </c>
      <c r="N1647" s="40" t="str">
        <f>IF(OR(ISBLANK(C1647),C1647="",M1647=""),"In Progress",IF(M1647&lt;=J1647,"Met","Breached"))</f>
        <v>Met</v>
      </c>
    </row>
    <row r="1648" ht="19" customHeight="1" spans="1:14" x14ac:dyDescent="0.25">
      <c r="A1648" s="19" t="s">
        <v>1762</v>
      </c>
      <c r="B1648" s="33">
        <v>46230.80208333333</v>
      </c>
      <c r="C1648" s="33">
        <v>46231.339583333334</v>
      </c>
      <c r="D1648" s="19" t="s">
        <v>33</v>
      </c>
      <c r="E1648" s="19" t="s">
        <v>61</v>
      </c>
      <c r="F1648" s="19" t="s">
        <v>40</v>
      </c>
      <c r="G1648" s="19" t="s">
        <v>121</v>
      </c>
      <c r="H1648" s="19" t="s">
        <v>59</v>
      </c>
      <c r="I1648" s="19" t="s">
        <v>123</v>
      </c>
      <c r="J1648" s="20">
        <v>12</v>
      </c>
      <c r="K1648" s="34">
        <v>0</v>
      </c>
      <c r="L1648" s="34">
        <v>5</v>
      </c>
      <c r="M1648" s="19">
        <f>IF(OR(ISBLANK(C1648),C1648=""),"",ROUND((C1648-B1648)*24,2))</f>
        <v>12.9</v>
      </c>
      <c r="N1648" s="39" t="str">
        <f>IF(OR(ISBLANK(C1648),C1648="",M1648=""),"In Progress",IF(M1648&lt;=J1648,"Met","Breached"))</f>
        <v>Breached</v>
      </c>
    </row>
    <row r="1649" ht="19" customHeight="1" spans="1:14" x14ac:dyDescent="0.25">
      <c r="A1649" s="22" t="s">
        <v>1763</v>
      </c>
      <c r="B1649" s="36">
        <v>45705.57916666666</v>
      </c>
      <c r="C1649" s="36">
        <v>45708.74444444444</v>
      </c>
      <c r="D1649" s="22" t="s">
        <v>33</v>
      </c>
      <c r="E1649" s="22" t="s">
        <v>65</v>
      </c>
      <c r="F1649" s="22" t="s">
        <v>43</v>
      </c>
      <c r="G1649" s="22" t="s">
        <v>113</v>
      </c>
      <c r="H1649" s="22" t="s">
        <v>59</v>
      </c>
      <c r="I1649" s="22" t="s">
        <v>114</v>
      </c>
      <c r="J1649" s="23">
        <v>48</v>
      </c>
      <c r="K1649" s="37">
        <v>0</v>
      </c>
      <c r="L1649" s="37">
        <v>4</v>
      </c>
      <c r="M1649" s="22">
        <f>IF(OR(ISBLANK(C1649),C1649=""),"",ROUND((C1649-B1649)*24,2))</f>
        <v>75.97</v>
      </c>
      <c r="N1649" s="38" t="str">
        <f>IF(OR(ISBLANK(C1649),C1649="",M1649=""),"In Progress",IF(M1649&lt;=J1649,"Met","Breached"))</f>
        <v>Breached</v>
      </c>
    </row>
    <row r="1650" ht="19" customHeight="1" spans="1:14" x14ac:dyDescent="0.25">
      <c r="A1650" s="19" t="s">
        <v>1764</v>
      </c>
      <c r="B1650" s="33">
        <v>45660.867361111115</v>
      </c>
      <c r="C1650" s="33">
        <v>45661.12777777778</v>
      </c>
      <c r="D1650" s="19" t="s">
        <v>33</v>
      </c>
      <c r="E1650" s="19" t="s">
        <v>61</v>
      </c>
      <c r="F1650" s="19" t="s">
        <v>34</v>
      </c>
      <c r="G1650" s="19" t="s">
        <v>110</v>
      </c>
      <c r="H1650" s="19" t="s">
        <v>63</v>
      </c>
      <c r="I1650" s="19" t="s">
        <v>108</v>
      </c>
      <c r="J1650" s="20">
        <v>12</v>
      </c>
      <c r="K1650" s="34">
        <v>0</v>
      </c>
      <c r="M1650" s="19">
        <f>IF(OR(ISBLANK(C1650),C1650=""),"",ROUND((C1650-B1650)*24,2))</f>
        <v>6.25</v>
      </c>
      <c r="N1650" s="35" t="str">
        <f>IF(OR(ISBLANK(C1650),C1650="",M1650=""),"In Progress",IF(M1650&lt;=J1650,"Met","Breached"))</f>
        <v>Met</v>
      </c>
    </row>
    <row r="1651" ht="19" customHeight="1" spans="1:14" x14ac:dyDescent="0.25">
      <c r="A1651" s="22" t="s">
        <v>1765</v>
      </c>
      <c r="B1651" s="36">
        <v>46231.23958333333</v>
      </c>
      <c r="C1651" s="36">
        <v>46232.06111111111</v>
      </c>
      <c r="D1651" s="22" t="s">
        <v>36</v>
      </c>
      <c r="E1651" s="22" t="s">
        <v>65</v>
      </c>
      <c r="F1651" s="22" t="s">
        <v>37</v>
      </c>
      <c r="G1651" s="22" t="s">
        <v>116</v>
      </c>
      <c r="H1651" s="22" t="s">
        <v>71</v>
      </c>
      <c r="I1651" s="22" t="s">
        <v>108</v>
      </c>
      <c r="J1651" s="23">
        <v>48</v>
      </c>
      <c r="K1651" s="37">
        <v>0</v>
      </c>
      <c r="M1651" s="22">
        <f>IF(OR(ISBLANK(C1651),C1651=""),"",ROUND((C1651-B1651)*24,2))</f>
        <v>19.72</v>
      </c>
      <c r="N1651" s="40" t="str">
        <f>IF(OR(ISBLANK(C1651),C1651="",M1651=""),"In Progress",IF(M1651&lt;=J1651,"Met","Breached"))</f>
        <v>Met</v>
      </c>
    </row>
    <row r="1652" ht="19" customHeight="1" spans="1:14" x14ac:dyDescent="0.25">
      <c r="A1652" s="19" t="s">
        <v>1766</v>
      </c>
      <c r="B1652" s="33">
        <v>45705.95208333334</v>
      </c>
      <c r="C1652" s="33">
        <v>45706.396527777775</v>
      </c>
      <c r="D1652" s="19" t="s">
        <v>33</v>
      </c>
      <c r="E1652" s="19" t="s">
        <v>61</v>
      </c>
      <c r="F1652" s="19" t="s">
        <v>34</v>
      </c>
      <c r="G1652" s="19" t="s">
        <v>126</v>
      </c>
      <c r="H1652" s="19" t="s">
        <v>59</v>
      </c>
      <c r="I1652" s="19" t="s">
        <v>147</v>
      </c>
      <c r="J1652" s="20">
        <v>12</v>
      </c>
      <c r="K1652" s="34">
        <v>0</v>
      </c>
      <c r="M1652" s="19">
        <f>IF(OR(ISBLANK(C1652),C1652=""),"",ROUND((C1652-B1652)*24,2))</f>
        <v>10.67</v>
      </c>
      <c r="N1652" s="35" t="str">
        <f>IF(OR(ISBLANK(C1652),C1652="",M1652=""),"In Progress",IF(M1652&lt;=J1652,"Met","Breached"))</f>
        <v>Met</v>
      </c>
    </row>
    <row r="1653" ht="19" customHeight="1" spans="1:14" x14ac:dyDescent="0.25">
      <c r="A1653" s="22" t="s">
        <v>1767</v>
      </c>
      <c r="B1653" s="36">
        <v>45690.7</v>
      </c>
      <c r="C1653" s="36">
        <v>45691.021527777775</v>
      </c>
      <c r="D1653" s="22" t="s">
        <v>33</v>
      </c>
      <c r="E1653" s="22" t="s">
        <v>61</v>
      </c>
      <c r="F1653" s="22" t="s">
        <v>37</v>
      </c>
      <c r="G1653" s="22" t="s">
        <v>63</v>
      </c>
      <c r="H1653" s="22" t="s">
        <v>59</v>
      </c>
      <c r="I1653" s="22" t="s">
        <v>108</v>
      </c>
      <c r="J1653" s="23">
        <v>12</v>
      </c>
      <c r="K1653" s="37">
        <v>0</v>
      </c>
      <c r="L1653" s="37">
        <v>3</v>
      </c>
      <c r="M1653" s="22">
        <f>IF(OR(ISBLANK(C1653),C1653=""),"",ROUND((C1653-B1653)*24,2))</f>
        <v>7.72</v>
      </c>
      <c r="N1653" s="40" t="str">
        <f>IF(OR(ISBLANK(C1653),C1653="",M1653=""),"In Progress",IF(M1653&lt;=J1653,"Met","Breached"))</f>
        <v>Met</v>
      </c>
    </row>
    <row r="1654" ht="19" customHeight="1" spans="1:14" x14ac:dyDescent="0.25">
      <c r="A1654" s="19" t="s">
        <v>1768</v>
      </c>
      <c r="B1654" s="33">
        <v>46200.79027777778</v>
      </c>
      <c r="D1654" s="19" t="s">
        <v>39</v>
      </c>
      <c r="E1654" s="19" t="s">
        <v>57</v>
      </c>
      <c r="F1654" s="19" t="s">
        <v>43</v>
      </c>
      <c r="G1654" s="19" t="s">
        <v>110</v>
      </c>
      <c r="H1654" s="19" t="s">
        <v>63</v>
      </c>
      <c r="I1654" s="19" t="s">
        <v>123</v>
      </c>
      <c r="J1654" s="20">
        <v>4</v>
      </c>
      <c r="K1654" s="34">
        <v>0</v>
      </c>
      <c r="M1654" s="19" t="str">
        <f>IF(OR(ISBLANK(C1654),C1654=""),"",ROUND((C1654-B1654)*24,2))</f>
        <v/>
      </c>
      <c r="N1654" s="19" t="str">
        <f>IF(OR(ISBLANK(C1654),C1654="",M1654=""),"In Progress",IF(M1654&lt;=J1654,"Met","Breached"))</f>
        <v>In Progress</v>
      </c>
    </row>
    <row r="1655" ht="19" customHeight="1" spans="1:14" x14ac:dyDescent="0.25">
      <c r="A1655" s="22" t="s">
        <v>1769</v>
      </c>
      <c r="B1655" s="36">
        <v>46182.15902777778</v>
      </c>
      <c r="C1655" s="36">
        <v>46183.45486111111</v>
      </c>
      <c r="D1655" s="22" t="s">
        <v>36</v>
      </c>
      <c r="E1655" s="22" t="s">
        <v>65</v>
      </c>
      <c r="F1655" s="22" t="s">
        <v>40</v>
      </c>
      <c r="G1655" s="22" t="s">
        <v>110</v>
      </c>
      <c r="H1655" s="22" t="s">
        <v>59</v>
      </c>
      <c r="I1655" s="22" t="s">
        <v>108</v>
      </c>
      <c r="J1655" s="23">
        <v>48</v>
      </c>
      <c r="K1655" s="37">
        <v>0</v>
      </c>
      <c r="L1655" s="37">
        <v>5</v>
      </c>
      <c r="M1655" s="22">
        <f>IF(OR(ISBLANK(C1655),C1655=""),"",ROUND((C1655-B1655)*24,2))</f>
        <v>31.1</v>
      </c>
      <c r="N1655" s="40" t="str">
        <f>IF(OR(ISBLANK(C1655),C1655="",M1655=""),"In Progress",IF(M1655&lt;=J1655,"Met","Breached"))</f>
        <v>Met</v>
      </c>
    </row>
    <row r="1656" ht="19" customHeight="1" spans="1:14" x14ac:dyDescent="0.25">
      <c r="A1656" s="19" t="s">
        <v>1770</v>
      </c>
      <c r="B1656" s="33">
        <v>45824.64027777778</v>
      </c>
      <c r="C1656" s="33">
        <v>45827.53055555555</v>
      </c>
      <c r="D1656" s="19" t="s">
        <v>33</v>
      </c>
      <c r="E1656" s="19" t="s">
        <v>65</v>
      </c>
      <c r="F1656" s="19" t="s">
        <v>43</v>
      </c>
      <c r="G1656" s="19" t="s">
        <v>116</v>
      </c>
      <c r="H1656" s="19" t="s">
        <v>71</v>
      </c>
      <c r="I1656" s="19" t="s">
        <v>111</v>
      </c>
      <c r="J1656" s="20">
        <v>48</v>
      </c>
      <c r="K1656" s="34">
        <v>0</v>
      </c>
      <c r="L1656" s="34">
        <v>5</v>
      </c>
      <c r="M1656" s="19">
        <f>IF(OR(ISBLANK(C1656),C1656=""),"",ROUND((C1656-B1656)*24,2))</f>
        <v>69.37</v>
      </c>
      <c r="N1656" s="39" t="str">
        <f>IF(OR(ISBLANK(C1656),C1656="",M1656=""),"In Progress",IF(M1656&lt;=J1656,"Met","Breached"))</f>
        <v>Breached</v>
      </c>
    </row>
    <row r="1657" ht="19" customHeight="1" spans="1:14" x14ac:dyDescent="0.25">
      <c r="A1657" s="22" t="s">
        <v>1771</v>
      </c>
      <c r="B1657" s="36">
        <v>46089.57638888889</v>
      </c>
      <c r="C1657" s="36">
        <v>46089.646527777775</v>
      </c>
      <c r="D1657" s="22" t="s">
        <v>33</v>
      </c>
      <c r="E1657" s="22" t="s">
        <v>57</v>
      </c>
      <c r="F1657" s="22" t="s">
        <v>43</v>
      </c>
      <c r="G1657" s="22" t="s">
        <v>126</v>
      </c>
      <c r="H1657" s="22" t="s">
        <v>67</v>
      </c>
      <c r="I1657" s="22" t="s">
        <v>117</v>
      </c>
      <c r="J1657" s="23">
        <v>4</v>
      </c>
      <c r="K1657" s="37">
        <v>0</v>
      </c>
      <c r="L1657" s="37">
        <v>1</v>
      </c>
      <c r="M1657" s="22">
        <f>IF(OR(ISBLANK(C1657),C1657=""),"",ROUND((C1657-B1657)*24,2))</f>
        <v>1.68</v>
      </c>
      <c r="N1657" s="40" t="str">
        <f>IF(OR(ISBLANK(C1657),C1657="",M1657=""),"In Progress",IF(M1657&lt;=J1657,"Met","Breached"))</f>
        <v>Met</v>
      </c>
    </row>
    <row r="1658" ht="19" customHeight="1" spans="1:14" x14ac:dyDescent="0.25">
      <c r="A1658" s="19" t="s">
        <v>1772</v>
      </c>
      <c r="B1658" s="33">
        <v>45906.49097222222</v>
      </c>
      <c r="C1658" s="33">
        <v>45907.00902777778</v>
      </c>
      <c r="D1658" s="19" t="s">
        <v>36</v>
      </c>
      <c r="E1658" s="19" t="s">
        <v>61</v>
      </c>
      <c r="F1658" s="19" t="s">
        <v>40</v>
      </c>
      <c r="G1658" s="19" t="s">
        <v>126</v>
      </c>
      <c r="H1658" s="19" t="s">
        <v>59</v>
      </c>
      <c r="I1658" s="19" t="s">
        <v>108</v>
      </c>
      <c r="J1658" s="20">
        <v>12</v>
      </c>
      <c r="K1658" s="34">
        <v>0</v>
      </c>
      <c r="L1658" s="34">
        <v>4</v>
      </c>
      <c r="M1658" s="19">
        <f>IF(OR(ISBLANK(C1658),C1658=""),"",ROUND((C1658-B1658)*24,2))</f>
        <v>12.43</v>
      </c>
      <c r="N1658" s="39" t="str">
        <f>IF(OR(ISBLANK(C1658),C1658="",M1658=""),"In Progress",IF(M1658&lt;=J1658,"Met","Breached"))</f>
        <v>Breached</v>
      </c>
    </row>
    <row r="1659" ht="19" customHeight="1" spans="1:14" x14ac:dyDescent="0.25">
      <c r="A1659" s="22" t="s">
        <v>1773</v>
      </c>
      <c r="B1659" s="36">
        <v>46040.38888888889</v>
      </c>
      <c r="C1659" s="36">
        <v>46042.524305555555</v>
      </c>
      <c r="D1659" s="22" t="s">
        <v>33</v>
      </c>
      <c r="E1659" s="22" t="s">
        <v>65</v>
      </c>
      <c r="F1659" s="22" t="s">
        <v>37</v>
      </c>
      <c r="G1659" s="22" t="s">
        <v>121</v>
      </c>
      <c r="H1659" s="22" t="s">
        <v>63</v>
      </c>
      <c r="I1659" s="22" t="s">
        <v>123</v>
      </c>
      <c r="J1659" s="23">
        <v>48</v>
      </c>
      <c r="K1659" s="37">
        <v>0</v>
      </c>
      <c r="M1659" s="22">
        <f>IF(OR(ISBLANK(C1659),C1659=""),"",ROUND((C1659-B1659)*24,2))</f>
        <v>51.25</v>
      </c>
      <c r="N1659" s="38" t="str">
        <f>IF(OR(ISBLANK(C1659),C1659="",M1659=""),"In Progress",IF(M1659&lt;=J1659,"Met","Breached"))</f>
        <v>Breached</v>
      </c>
    </row>
    <row r="1660" ht="19" customHeight="1" spans="1:14" x14ac:dyDescent="0.25">
      <c r="A1660" s="19" t="s">
        <v>1774</v>
      </c>
      <c r="B1660" s="33">
        <v>45849.76736111111</v>
      </c>
      <c r="C1660" s="33">
        <v>45856.67916666667</v>
      </c>
      <c r="D1660" s="19" t="s">
        <v>36</v>
      </c>
      <c r="E1660" s="19" t="s">
        <v>69</v>
      </c>
      <c r="F1660" s="19" t="s">
        <v>40</v>
      </c>
      <c r="G1660" s="19" t="s">
        <v>63</v>
      </c>
      <c r="H1660" s="19" t="s">
        <v>63</v>
      </c>
      <c r="I1660" s="19" t="s">
        <v>117</v>
      </c>
      <c r="J1660" s="20">
        <v>120</v>
      </c>
      <c r="K1660" s="34">
        <v>0</v>
      </c>
      <c r="L1660" s="34">
        <v>3</v>
      </c>
      <c r="M1660" s="19">
        <f>IF(OR(ISBLANK(C1660),C1660=""),"",ROUND((C1660-B1660)*24,2))</f>
        <v>165.88</v>
      </c>
      <c r="N1660" s="39" t="str">
        <f>IF(OR(ISBLANK(C1660),C1660="",M1660=""),"In Progress",IF(M1660&lt;=J1660,"Met","Breached"))</f>
        <v>Breached</v>
      </c>
    </row>
    <row r="1661" ht="19" customHeight="1" spans="1:14" x14ac:dyDescent="0.25">
      <c r="A1661" s="22" t="s">
        <v>1775</v>
      </c>
      <c r="B1661" s="36">
        <v>45983.99097222222</v>
      </c>
      <c r="D1661" s="22" t="s">
        <v>39</v>
      </c>
      <c r="E1661" s="22" t="s">
        <v>65</v>
      </c>
      <c r="F1661" s="22" t="s">
        <v>34</v>
      </c>
      <c r="G1661" s="22" t="s">
        <v>126</v>
      </c>
      <c r="H1661" s="22" t="s">
        <v>59</v>
      </c>
      <c r="I1661" s="22" t="s">
        <v>123</v>
      </c>
      <c r="J1661" s="23">
        <v>48</v>
      </c>
      <c r="K1661" s="37">
        <v>0</v>
      </c>
      <c r="M1661" s="22" t="str">
        <f>IF(OR(ISBLANK(C1661),C1661=""),"",ROUND((C1661-B1661)*24,2))</f>
        <v/>
      </c>
      <c r="N1661" s="22" t="str">
        <f>IF(OR(ISBLANK(C1661),C1661="",M1661=""),"In Progress",IF(M1661&lt;=J1661,"Met","Breached"))</f>
        <v>In Progress</v>
      </c>
    </row>
    <row r="1662" ht="19" customHeight="1" spans="1:14" x14ac:dyDescent="0.25">
      <c r="A1662" s="19" t="s">
        <v>1776</v>
      </c>
      <c r="B1662" s="33">
        <v>46063.94583333333</v>
      </c>
      <c r="C1662" s="33">
        <v>46065.65694444445</v>
      </c>
      <c r="D1662" s="19" t="s">
        <v>36</v>
      </c>
      <c r="E1662" s="19" t="s">
        <v>65</v>
      </c>
      <c r="F1662" s="19" t="s">
        <v>40</v>
      </c>
      <c r="G1662" s="19" t="s">
        <v>63</v>
      </c>
      <c r="H1662" s="19" t="s">
        <v>67</v>
      </c>
      <c r="I1662" s="19" t="s">
        <v>111</v>
      </c>
      <c r="J1662" s="20">
        <v>48</v>
      </c>
      <c r="K1662" s="34">
        <v>1</v>
      </c>
      <c r="L1662" s="34">
        <v>1</v>
      </c>
      <c r="M1662" s="19">
        <f>IF(OR(ISBLANK(C1662),C1662=""),"",ROUND((C1662-B1662)*24,2))</f>
        <v>41.07</v>
      </c>
      <c r="N1662" s="35" t="str">
        <f>IF(OR(ISBLANK(C1662),C1662="",M1662=""),"In Progress",IF(M1662&lt;=J1662,"Met","Breached"))</f>
        <v>Met</v>
      </c>
    </row>
    <row r="1663" ht="19" customHeight="1" spans="1:14" x14ac:dyDescent="0.25">
      <c r="A1663" s="22" t="s">
        <v>1777</v>
      </c>
      <c r="B1663" s="36">
        <v>45977.305555555555</v>
      </c>
      <c r="C1663" s="36">
        <v>45977.50625</v>
      </c>
      <c r="D1663" s="22" t="s">
        <v>36</v>
      </c>
      <c r="E1663" s="22" t="s">
        <v>57</v>
      </c>
      <c r="F1663" s="22" t="s">
        <v>34</v>
      </c>
      <c r="G1663" s="22" t="s">
        <v>63</v>
      </c>
      <c r="H1663" s="22" t="s">
        <v>63</v>
      </c>
      <c r="I1663" s="22" t="s">
        <v>111</v>
      </c>
      <c r="J1663" s="23">
        <v>4</v>
      </c>
      <c r="K1663" s="37">
        <v>0</v>
      </c>
      <c r="M1663" s="22">
        <f>IF(OR(ISBLANK(C1663),C1663=""),"",ROUND((C1663-B1663)*24,2))</f>
        <v>4.82</v>
      </c>
      <c r="N1663" s="38" t="str">
        <f>IF(OR(ISBLANK(C1663),C1663="",M1663=""),"In Progress",IF(M1663&lt;=J1663,"Met","Breached"))</f>
        <v>Breached</v>
      </c>
    </row>
    <row r="1664" ht="19" customHeight="1" spans="1:14" x14ac:dyDescent="0.25">
      <c r="A1664" s="19" t="s">
        <v>1778</v>
      </c>
      <c r="B1664" s="33">
        <v>46148.97152777778</v>
      </c>
      <c r="C1664" s="33">
        <v>46152.226388888885</v>
      </c>
      <c r="D1664" s="19" t="s">
        <v>36</v>
      </c>
      <c r="E1664" s="19" t="s">
        <v>69</v>
      </c>
      <c r="F1664" s="19" t="s">
        <v>45</v>
      </c>
      <c r="G1664" s="19" t="s">
        <v>126</v>
      </c>
      <c r="H1664" s="19" t="s">
        <v>59</v>
      </c>
      <c r="I1664" s="19" t="s">
        <v>114</v>
      </c>
      <c r="J1664" s="20">
        <v>120</v>
      </c>
      <c r="K1664" s="34">
        <v>0</v>
      </c>
      <c r="M1664" s="19">
        <f>IF(OR(ISBLANK(C1664),C1664=""),"",ROUND((C1664-B1664)*24,2))</f>
        <v>78.12</v>
      </c>
      <c r="N1664" s="35" t="str">
        <f>IF(OR(ISBLANK(C1664),C1664="",M1664=""),"In Progress",IF(M1664&lt;=J1664,"Met","Breached"))</f>
        <v>Met</v>
      </c>
    </row>
    <row r="1665" ht="19" customHeight="1" spans="1:14" x14ac:dyDescent="0.25">
      <c r="A1665" s="22" t="s">
        <v>1779</v>
      </c>
      <c r="B1665" s="36">
        <v>45696.80902777778</v>
      </c>
      <c r="C1665" s="36">
        <v>45697.677777777775</v>
      </c>
      <c r="D1665" s="22" t="s">
        <v>33</v>
      </c>
      <c r="E1665" s="22" t="s">
        <v>61</v>
      </c>
      <c r="F1665" s="22" t="s">
        <v>40</v>
      </c>
      <c r="G1665" s="22" t="s">
        <v>116</v>
      </c>
      <c r="H1665" s="22" t="s">
        <v>63</v>
      </c>
      <c r="I1665" s="22" t="s">
        <v>111</v>
      </c>
      <c r="J1665" s="23">
        <v>12</v>
      </c>
      <c r="K1665" s="37">
        <v>0</v>
      </c>
      <c r="L1665" s="37">
        <v>3</v>
      </c>
      <c r="M1665" s="22">
        <f>IF(OR(ISBLANK(C1665),C1665=""),"",ROUND((C1665-B1665)*24,2))</f>
        <v>20.85</v>
      </c>
      <c r="N1665" s="38" t="str">
        <f>IF(OR(ISBLANK(C1665),C1665="",M1665=""),"In Progress",IF(M1665&lt;=J1665,"Met","Breached"))</f>
        <v>Breached</v>
      </c>
    </row>
    <row r="1666" ht="19" customHeight="1" spans="1:14" x14ac:dyDescent="0.25">
      <c r="A1666" s="19" t="s">
        <v>1780</v>
      </c>
      <c r="B1666" s="33">
        <v>46197.77569444444</v>
      </c>
      <c r="C1666" s="33">
        <v>46198.615277777775</v>
      </c>
      <c r="D1666" s="19" t="s">
        <v>33</v>
      </c>
      <c r="E1666" s="19" t="s">
        <v>61</v>
      </c>
      <c r="F1666" s="19" t="s">
        <v>34</v>
      </c>
      <c r="G1666" s="19" t="s">
        <v>110</v>
      </c>
      <c r="H1666" s="19" t="s">
        <v>63</v>
      </c>
      <c r="I1666" s="19" t="s">
        <v>147</v>
      </c>
      <c r="J1666" s="20">
        <v>12</v>
      </c>
      <c r="K1666" s="34">
        <v>0</v>
      </c>
      <c r="M1666" s="19">
        <f>IF(OR(ISBLANK(C1666),C1666=""),"",ROUND((C1666-B1666)*24,2))</f>
        <v>20.15</v>
      </c>
      <c r="N1666" s="39" t="str">
        <f>IF(OR(ISBLANK(C1666),C1666="",M1666=""),"In Progress",IF(M1666&lt;=J1666,"Met","Breached"))</f>
        <v>Breached</v>
      </c>
    </row>
    <row r="1667" ht="19" customHeight="1" spans="1:14" x14ac:dyDescent="0.25">
      <c r="A1667" s="22" t="s">
        <v>1781</v>
      </c>
      <c r="B1667" s="36">
        <v>46003.26180555555</v>
      </c>
      <c r="C1667" s="36">
        <v>46004.46944444445</v>
      </c>
      <c r="D1667" s="22" t="s">
        <v>33</v>
      </c>
      <c r="E1667" s="22" t="s">
        <v>65</v>
      </c>
      <c r="F1667" s="22" t="s">
        <v>45</v>
      </c>
      <c r="G1667" s="22" t="s">
        <v>126</v>
      </c>
      <c r="H1667" s="22" t="s">
        <v>59</v>
      </c>
      <c r="I1667" s="22" t="s">
        <v>147</v>
      </c>
      <c r="J1667" s="23">
        <v>48</v>
      </c>
      <c r="K1667" s="37">
        <v>0</v>
      </c>
      <c r="L1667" s="37">
        <v>2</v>
      </c>
      <c r="M1667" s="22">
        <f>IF(OR(ISBLANK(C1667),C1667=""),"",ROUND((C1667-B1667)*24,2))</f>
        <v>28.98</v>
      </c>
      <c r="N1667" s="40" t="str">
        <f>IF(OR(ISBLANK(C1667),C1667="",M1667=""),"In Progress",IF(M1667&lt;=J1667,"Met","Breached"))</f>
        <v>Met</v>
      </c>
    </row>
    <row r="1668" ht="19" customHeight="1" spans="1:14" x14ac:dyDescent="0.25">
      <c r="A1668" s="19" t="s">
        <v>1782</v>
      </c>
      <c r="B1668" s="33">
        <v>46202.09236111111</v>
      </c>
      <c r="C1668" s="33">
        <v>46210.79305555555</v>
      </c>
      <c r="D1668" s="19" t="s">
        <v>33</v>
      </c>
      <c r="E1668" s="19" t="s">
        <v>69</v>
      </c>
      <c r="F1668" s="19" t="s">
        <v>37</v>
      </c>
      <c r="G1668" s="19" t="s">
        <v>126</v>
      </c>
      <c r="H1668" s="19" t="s">
        <v>63</v>
      </c>
      <c r="I1668" s="19" t="s">
        <v>147</v>
      </c>
      <c r="J1668" s="20">
        <v>120</v>
      </c>
      <c r="K1668" s="34">
        <v>0</v>
      </c>
      <c r="L1668" s="34">
        <v>3</v>
      </c>
      <c r="M1668" s="19">
        <f>IF(OR(ISBLANK(C1668),C1668=""),"",ROUND((C1668-B1668)*24,2))</f>
        <v>208.82</v>
      </c>
      <c r="N1668" s="39" t="str">
        <f>IF(OR(ISBLANK(C1668),C1668="",M1668=""),"In Progress",IF(M1668&lt;=J1668,"Met","Breached"))</f>
        <v>Breached</v>
      </c>
    </row>
    <row r="1669" ht="19" customHeight="1" spans="1:14" x14ac:dyDescent="0.25">
      <c r="A1669" s="22" t="s">
        <v>1783</v>
      </c>
      <c r="B1669" s="36">
        <v>45724.649305555555</v>
      </c>
      <c r="C1669" s="36">
        <v>45727.71041666667</v>
      </c>
      <c r="D1669" s="22" t="s">
        <v>33</v>
      </c>
      <c r="E1669" s="22" t="s">
        <v>65</v>
      </c>
      <c r="F1669" s="22" t="s">
        <v>43</v>
      </c>
      <c r="G1669" s="22" t="s">
        <v>113</v>
      </c>
      <c r="H1669" s="22" t="s">
        <v>59</v>
      </c>
      <c r="I1669" s="22" t="s">
        <v>108</v>
      </c>
      <c r="J1669" s="23">
        <v>48</v>
      </c>
      <c r="K1669" s="37">
        <v>0</v>
      </c>
      <c r="L1669" s="37">
        <v>5</v>
      </c>
      <c r="M1669" s="22">
        <f>IF(OR(ISBLANK(C1669),C1669=""),"",ROUND((C1669-B1669)*24,2))</f>
        <v>73.47</v>
      </c>
      <c r="N1669" s="38" t="str">
        <f>IF(OR(ISBLANK(C1669),C1669="",M1669=""),"In Progress",IF(M1669&lt;=J1669,"Met","Breached"))</f>
        <v>Breached</v>
      </c>
    </row>
    <row r="1670" ht="19" customHeight="1" spans="1:14" x14ac:dyDescent="0.25">
      <c r="A1670" s="19" t="s">
        <v>1784</v>
      </c>
      <c r="B1670" s="33">
        <v>45808.64444444445</v>
      </c>
      <c r="D1670" s="19" t="s">
        <v>39</v>
      </c>
      <c r="E1670" s="19" t="s">
        <v>69</v>
      </c>
      <c r="F1670" s="19" t="s">
        <v>40</v>
      </c>
      <c r="G1670" s="19" t="s">
        <v>113</v>
      </c>
      <c r="H1670" s="19" t="s">
        <v>63</v>
      </c>
      <c r="I1670" s="19" t="s">
        <v>114</v>
      </c>
      <c r="J1670" s="20">
        <v>120</v>
      </c>
      <c r="K1670" s="34">
        <v>0</v>
      </c>
      <c r="M1670" s="19" t="str">
        <f>IF(OR(ISBLANK(C1670),C1670=""),"",ROUND((C1670-B1670)*24,2))</f>
        <v/>
      </c>
      <c r="N1670" s="19" t="str">
        <f>IF(OR(ISBLANK(C1670),C1670="",M1670=""),"In Progress",IF(M1670&lt;=J1670,"Met","Breached"))</f>
        <v>In Progress</v>
      </c>
    </row>
    <row r="1671" ht="19" customHeight="1" spans="1:14" x14ac:dyDescent="0.25">
      <c r="A1671" s="22" t="s">
        <v>1785</v>
      </c>
      <c r="B1671" s="36">
        <v>45742.24375</v>
      </c>
      <c r="C1671" s="36">
        <v>45742.75833333333</v>
      </c>
      <c r="D1671" s="22" t="s">
        <v>33</v>
      </c>
      <c r="E1671" s="22" t="s">
        <v>61</v>
      </c>
      <c r="F1671" s="22" t="s">
        <v>37</v>
      </c>
      <c r="G1671" s="22" t="s">
        <v>63</v>
      </c>
      <c r="H1671" s="22" t="s">
        <v>59</v>
      </c>
      <c r="I1671" s="22" t="s">
        <v>123</v>
      </c>
      <c r="J1671" s="23">
        <v>12</v>
      </c>
      <c r="K1671" s="37">
        <v>0</v>
      </c>
      <c r="L1671" s="37">
        <v>1</v>
      </c>
      <c r="M1671" s="22">
        <f>IF(OR(ISBLANK(C1671),C1671=""),"",ROUND((C1671-B1671)*24,2))</f>
        <v>12.35</v>
      </c>
      <c r="N1671" s="38" t="str">
        <f>IF(OR(ISBLANK(C1671),C1671="",M1671=""),"In Progress",IF(M1671&lt;=J1671,"Met","Breached"))</f>
        <v>Breached</v>
      </c>
    </row>
    <row r="1672" ht="19" customHeight="1" spans="1:14" x14ac:dyDescent="0.25">
      <c r="A1672" s="19" t="s">
        <v>1786</v>
      </c>
      <c r="B1672" s="33">
        <v>45754.86111111111</v>
      </c>
      <c r="C1672" s="33">
        <v>45755.15972222222</v>
      </c>
      <c r="D1672" s="19" t="s">
        <v>33</v>
      </c>
      <c r="E1672" s="19" t="s">
        <v>57</v>
      </c>
      <c r="F1672" s="19" t="s">
        <v>37</v>
      </c>
      <c r="G1672" s="19" t="s">
        <v>63</v>
      </c>
      <c r="H1672" s="19" t="s">
        <v>63</v>
      </c>
      <c r="I1672" s="19" t="s">
        <v>123</v>
      </c>
      <c r="J1672" s="20">
        <v>4</v>
      </c>
      <c r="K1672" s="34">
        <v>0</v>
      </c>
      <c r="L1672" s="34">
        <v>5</v>
      </c>
      <c r="M1672" s="19">
        <f>IF(OR(ISBLANK(C1672),C1672=""),"",ROUND((C1672-B1672)*24,2))</f>
        <v>7.17</v>
      </c>
      <c r="N1672" s="39" t="str">
        <f>IF(OR(ISBLANK(C1672),C1672="",M1672=""),"In Progress",IF(M1672&lt;=J1672,"Met","Breached"))</f>
        <v>Breached</v>
      </c>
    </row>
    <row r="1673" ht="19" customHeight="1" spans="1:14" x14ac:dyDescent="0.25">
      <c r="A1673" s="22" t="s">
        <v>1787</v>
      </c>
      <c r="B1673" s="36">
        <v>46096.23819444445</v>
      </c>
      <c r="C1673" s="36">
        <v>46096.54652777778</v>
      </c>
      <c r="D1673" s="22" t="s">
        <v>36</v>
      </c>
      <c r="E1673" s="22" t="s">
        <v>61</v>
      </c>
      <c r="F1673" s="22" t="s">
        <v>37</v>
      </c>
      <c r="G1673" s="22" t="s">
        <v>113</v>
      </c>
      <c r="H1673" s="22" t="s">
        <v>59</v>
      </c>
      <c r="I1673" s="22" t="s">
        <v>123</v>
      </c>
      <c r="J1673" s="23">
        <v>12</v>
      </c>
      <c r="K1673" s="37">
        <v>1</v>
      </c>
      <c r="M1673" s="22">
        <f>IF(OR(ISBLANK(C1673),C1673=""),"",ROUND((C1673-B1673)*24,2))</f>
        <v>7.4</v>
      </c>
      <c r="N1673" s="40" t="str">
        <f>IF(OR(ISBLANK(C1673),C1673="",M1673=""),"In Progress",IF(M1673&lt;=J1673,"Met","Breached"))</f>
        <v>Met</v>
      </c>
    </row>
    <row r="1674" ht="19" customHeight="1" spans="1:14" x14ac:dyDescent="0.25">
      <c r="A1674" s="19" t="s">
        <v>1788</v>
      </c>
      <c r="B1674" s="33">
        <v>45817.58888888889</v>
      </c>
      <c r="C1674" s="33">
        <v>45818.04583333334</v>
      </c>
      <c r="D1674" s="19" t="s">
        <v>33</v>
      </c>
      <c r="E1674" s="19" t="s">
        <v>61</v>
      </c>
      <c r="F1674" s="19" t="s">
        <v>43</v>
      </c>
      <c r="G1674" s="19" t="s">
        <v>126</v>
      </c>
      <c r="H1674" s="19" t="s">
        <v>67</v>
      </c>
      <c r="I1674" s="19" t="s">
        <v>123</v>
      </c>
      <c r="J1674" s="20">
        <v>12</v>
      </c>
      <c r="K1674" s="34">
        <v>0</v>
      </c>
      <c r="L1674" s="34">
        <v>5</v>
      </c>
      <c r="M1674" s="19">
        <f>IF(OR(ISBLANK(C1674),C1674=""),"",ROUND((C1674-B1674)*24,2))</f>
        <v>10.97</v>
      </c>
      <c r="N1674" s="35" t="str">
        <f>IF(OR(ISBLANK(C1674),C1674="",M1674=""),"In Progress",IF(M1674&lt;=J1674,"Met","Breached"))</f>
        <v>Met</v>
      </c>
    </row>
    <row r="1675" ht="19" customHeight="1" spans="1:14" x14ac:dyDescent="0.25">
      <c r="A1675" s="22" t="s">
        <v>1789</v>
      </c>
      <c r="B1675" s="36">
        <v>45951.78472222222</v>
      </c>
      <c r="D1675" s="22" t="s">
        <v>39</v>
      </c>
      <c r="E1675" s="22" t="s">
        <v>65</v>
      </c>
      <c r="F1675" s="22" t="s">
        <v>40</v>
      </c>
      <c r="G1675" s="22" t="s">
        <v>116</v>
      </c>
      <c r="H1675" s="22" t="s">
        <v>59</v>
      </c>
      <c r="I1675" s="22" t="s">
        <v>111</v>
      </c>
      <c r="J1675" s="23">
        <v>48</v>
      </c>
      <c r="K1675" s="37">
        <v>0</v>
      </c>
      <c r="M1675" s="22" t="str">
        <f>IF(OR(ISBLANK(C1675),C1675=""),"",ROUND((C1675-B1675)*24,2))</f>
        <v/>
      </c>
      <c r="N1675" s="22" t="str">
        <f>IF(OR(ISBLANK(C1675),C1675="",M1675=""),"In Progress",IF(M1675&lt;=J1675,"Met","Breached"))</f>
        <v>In Progress</v>
      </c>
    </row>
    <row r="1676" ht="19" customHeight="1" spans="1:14" x14ac:dyDescent="0.25">
      <c r="A1676" s="19" t="s">
        <v>1790</v>
      </c>
      <c r="B1676" s="33">
        <v>45965.40763888889</v>
      </c>
      <c r="C1676" s="33">
        <v>45966.27291666667</v>
      </c>
      <c r="D1676" s="19" t="s">
        <v>33</v>
      </c>
      <c r="E1676" s="19" t="s">
        <v>61</v>
      </c>
      <c r="F1676" s="19" t="s">
        <v>43</v>
      </c>
      <c r="G1676" s="19" t="s">
        <v>113</v>
      </c>
      <c r="H1676" s="19" t="s">
        <v>63</v>
      </c>
      <c r="I1676" s="19" t="s">
        <v>117</v>
      </c>
      <c r="J1676" s="20">
        <v>12</v>
      </c>
      <c r="K1676" s="34">
        <v>0</v>
      </c>
      <c r="L1676" s="34">
        <v>1</v>
      </c>
      <c r="M1676" s="19">
        <f>IF(OR(ISBLANK(C1676),C1676=""),"",ROUND((C1676-B1676)*24,2))</f>
        <v>20.77</v>
      </c>
      <c r="N1676" s="39" t="str">
        <f>IF(OR(ISBLANK(C1676),C1676="",M1676=""),"In Progress",IF(M1676&lt;=J1676,"Met","Breached"))</f>
        <v>Breached</v>
      </c>
    </row>
    <row r="1677" ht="19" customHeight="1" spans="1:14" x14ac:dyDescent="0.25">
      <c r="A1677" s="22" t="s">
        <v>1791</v>
      </c>
      <c r="B1677" s="36">
        <v>45661.275</v>
      </c>
      <c r="C1677" s="36">
        <v>45661.976388888885</v>
      </c>
      <c r="D1677" s="22" t="s">
        <v>33</v>
      </c>
      <c r="E1677" s="22" t="s">
        <v>61</v>
      </c>
      <c r="F1677" s="22" t="s">
        <v>45</v>
      </c>
      <c r="G1677" s="22" t="s">
        <v>63</v>
      </c>
      <c r="H1677" s="22" t="s">
        <v>63</v>
      </c>
      <c r="I1677" s="22" t="s">
        <v>123</v>
      </c>
      <c r="J1677" s="23">
        <v>12</v>
      </c>
      <c r="K1677" s="37">
        <v>0</v>
      </c>
      <c r="L1677" s="37">
        <v>5</v>
      </c>
      <c r="M1677" s="22">
        <f>IF(OR(ISBLANK(C1677),C1677=""),"",ROUND((C1677-B1677)*24,2))</f>
        <v>16.83</v>
      </c>
      <c r="N1677" s="38" t="str">
        <f>IF(OR(ISBLANK(C1677),C1677="",M1677=""),"In Progress",IF(M1677&lt;=J1677,"Met","Breached"))</f>
        <v>Breached</v>
      </c>
    </row>
    <row r="1678" ht="19" customHeight="1" spans="1:14" x14ac:dyDescent="0.25">
      <c r="A1678" s="19" t="s">
        <v>1792</v>
      </c>
      <c r="B1678" s="33">
        <v>46273.27569444444</v>
      </c>
      <c r="C1678" s="33">
        <v>46274.00486111111</v>
      </c>
      <c r="D1678" s="19" t="s">
        <v>36</v>
      </c>
      <c r="E1678" s="19" t="s">
        <v>61</v>
      </c>
      <c r="F1678" s="19" t="s">
        <v>40</v>
      </c>
      <c r="G1678" s="19" t="s">
        <v>116</v>
      </c>
      <c r="H1678" s="19" t="s">
        <v>59</v>
      </c>
      <c r="I1678" s="19" t="s">
        <v>147</v>
      </c>
      <c r="J1678" s="20">
        <v>12</v>
      </c>
      <c r="K1678" s="34">
        <v>0</v>
      </c>
      <c r="L1678" s="34">
        <v>2</v>
      </c>
      <c r="M1678" s="19">
        <f>IF(OR(ISBLANK(C1678),C1678=""),"",ROUND((C1678-B1678)*24,2))</f>
        <v>17.5</v>
      </c>
      <c r="N1678" s="39" t="str">
        <f>IF(OR(ISBLANK(C1678),C1678="",M1678=""),"In Progress",IF(M1678&lt;=J1678,"Met","Breached"))</f>
        <v>Breached</v>
      </c>
    </row>
    <row r="1679" ht="19" customHeight="1" spans="1:14" x14ac:dyDescent="0.25">
      <c r="A1679" s="22" t="s">
        <v>1793</v>
      </c>
      <c r="B1679" s="36">
        <v>46281.32986111111</v>
      </c>
      <c r="C1679" s="36">
        <v>46281.74513888889</v>
      </c>
      <c r="D1679" s="22" t="s">
        <v>33</v>
      </c>
      <c r="E1679" s="22" t="s">
        <v>61</v>
      </c>
      <c r="F1679" s="22" t="s">
        <v>40</v>
      </c>
      <c r="G1679" s="22" t="s">
        <v>113</v>
      </c>
      <c r="H1679" s="22" t="s">
        <v>59</v>
      </c>
      <c r="I1679" s="22" t="s">
        <v>108</v>
      </c>
      <c r="J1679" s="23">
        <v>12</v>
      </c>
      <c r="K1679" s="37">
        <v>0</v>
      </c>
      <c r="L1679" s="37">
        <v>4</v>
      </c>
      <c r="M1679" s="22">
        <f>IF(OR(ISBLANK(C1679),C1679=""),"",ROUND((C1679-B1679)*24,2))</f>
        <v>9.97</v>
      </c>
      <c r="N1679" s="40" t="str">
        <f>IF(OR(ISBLANK(C1679),C1679="",M1679=""),"In Progress",IF(M1679&lt;=J1679,"Met","Breached"))</f>
        <v>Met</v>
      </c>
    </row>
    <row r="1680" ht="19" customHeight="1" spans="1:14" x14ac:dyDescent="0.25">
      <c r="A1680" s="19" t="s">
        <v>1794</v>
      </c>
      <c r="B1680" s="33">
        <v>46204.728472222225</v>
      </c>
      <c r="C1680" s="33">
        <v>46206.30694444444</v>
      </c>
      <c r="D1680" s="19" t="s">
        <v>33</v>
      </c>
      <c r="E1680" s="19" t="s">
        <v>65</v>
      </c>
      <c r="F1680" s="19" t="s">
        <v>37</v>
      </c>
      <c r="G1680" s="19" t="s">
        <v>121</v>
      </c>
      <c r="H1680" s="19" t="s">
        <v>63</v>
      </c>
      <c r="I1680" s="19" t="s">
        <v>111</v>
      </c>
      <c r="J1680" s="20">
        <v>48</v>
      </c>
      <c r="K1680" s="34">
        <v>0</v>
      </c>
      <c r="M1680" s="19">
        <f>IF(OR(ISBLANK(C1680),C1680=""),"",ROUND((C1680-B1680)*24,2))</f>
        <v>37.88</v>
      </c>
      <c r="N1680" s="35" t="str">
        <f>IF(OR(ISBLANK(C1680),C1680="",M1680=""),"In Progress",IF(M1680&lt;=J1680,"Met","Breached"))</f>
        <v>Met</v>
      </c>
    </row>
    <row r="1681" ht="19" customHeight="1" spans="1:14" x14ac:dyDescent="0.25">
      <c r="A1681" s="22" t="s">
        <v>1795</v>
      </c>
      <c r="B1681" s="36">
        <v>46258.51597222222</v>
      </c>
      <c r="C1681" s="36">
        <v>46261.86111111111</v>
      </c>
      <c r="D1681" s="22" t="s">
        <v>36</v>
      </c>
      <c r="E1681" s="22" t="s">
        <v>65</v>
      </c>
      <c r="F1681" s="22" t="s">
        <v>34</v>
      </c>
      <c r="G1681" s="22" t="s">
        <v>116</v>
      </c>
      <c r="H1681" s="22" t="s">
        <v>63</v>
      </c>
      <c r="I1681" s="22" t="s">
        <v>117</v>
      </c>
      <c r="J1681" s="23">
        <v>48</v>
      </c>
      <c r="K1681" s="37">
        <v>0</v>
      </c>
      <c r="L1681" s="37">
        <v>1</v>
      </c>
      <c r="M1681" s="22">
        <f>IF(OR(ISBLANK(C1681),C1681=""),"",ROUND((C1681-B1681)*24,2))</f>
        <v>80.28</v>
      </c>
      <c r="N1681" s="38" t="str">
        <f>IF(OR(ISBLANK(C1681),C1681="",M1681=""),"In Progress",IF(M1681&lt;=J1681,"Met","Breached"))</f>
        <v>Breached</v>
      </c>
    </row>
    <row r="1682" ht="19" customHeight="1" spans="1:14" x14ac:dyDescent="0.25">
      <c r="A1682" s="19" t="s">
        <v>1796</v>
      </c>
      <c r="B1682" s="33">
        <v>46206.50902777778</v>
      </c>
      <c r="D1682" s="19" t="s">
        <v>39</v>
      </c>
      <c r="E1682" s="19" t="s">
        <v>65</v>
      </c>
      <c r="F1682" s="19" t="s">
        <v>45</v>
      </c>
      <c r="G1682" s="19" t="s">
        <v>110</v>
      </c>
      <c r="H1682" s="19" t="s">
        <v>59</v>
      </c>
      <c r="I1682" s="19" t="s">
        <v>117</v>
      </c>
      <c r="J1682" s="20">
        <v>48</v>
      </c>
      <c r="K1682" s="34">
        <v>0</v>
      </c>
      <c r="M1682" s="19" t="str">
        <f>IF(OR(ISBLANK(C1682),C1682=""),"",ROUND((C1682-B1682)*24,2))</f>
        <v/>
      </c>
      <c r="N1682" s="19" t="str">
        <f>IF(OR(ISBLANK(C1682),C1682="",M1682=""),"In Progress",IF(M1682&lt;=J1682,"Met","Breached"))</f>
        <v>In Progress</v>
      </c>
    </row>
    <row r="1683" ht="19" customHeight="1" spans="1:14" x14ac:dyDescent="0.25">
      <c r="A1683" s="22" t="s">
        <v>1797</v>
      </c>
      <c r="B1683" s="36">
        <v>46166.42083333334</v>
      </c>
      <c r="C1683" s="36">
        <v>46169.17569444445</v>
      </c>
      <c r="D1683" s="22" t="s">
        <v>33</v>
      </c>
      <c r="E1683" s="22" t="s">
        <v>65</v>
      </c>
      <c r="F1683" s="22" t="s">
        <v>34</v>
      </c>
      <c r="G1683" s="22" t="s">
        <v>110</v>
      </c>
      <c r="H1683" s="22" t="s">
        <v>71</v>
      </c>
      <c r="I1683" s="22" t="s">
        <v>147</v>
      </c>
      <c r="J1683" s="23">
        <v>48</v>
      </c>
      <c r="K1683" s="37">
        <v>0</v>
      </c>
      <c r="M1683" s="22">
        <f>IF(OR(ISBLANK(C1683),C1683=""),"",ROUND((C1683-B1683)*24,2))</f>
        <v>66.12</v>
      </c>
      <c r="N1683" s="38" t="str">
        <f>IF(OR(ISBLANK(C1683),C1683="",M1683=""),"In Progress",IF(M1683&lt;=J1683,"Met","Breached"))</f>
        <v>Breached</v>
      </c>
    </row>
    <row r="1684" ht="19" customHeight="1" spans="1:14" x14ac:dyDescent="0.25">
      <c r="A1684" s="19" t="s">
        <v>1798</v>
      </c>
      <c r="B1684" s="33">
        <v>45722.11319444445</v>
      </c>
      <c r="C1684" s="33">
        <v>45722.99513888889</v>
      </c>
      <c r="D1684" s="19" t="s">
        <v>33</v>
      </c>
      <c r="E1684" s="19" t="s">
        <v>61</v>
      </c>
      <c r="F1684" s="19" t="s">
        <v>37</v>
      </c>
      <c r="G1684" s="19" t="s">
        <v>110</v>
      </c>
      <c r="H1684" s="19" t="s">
        <v>67</v>
      </c>
      <c r="I1684" s="19" t="s">
        <v>123</v>
      </c>
      <c r="J1684" s="20">
        <v>12</v>
      </c>
      <c r="K1684" s="34">
        <v>0</v>
      </c>
      <c r="L1684" s="34">
        <v>1</v>
      </c>
      <c r="M1684" s="19">
        <f>IF(OR(ISBLANK(C1684),C1684=""),"",ROUND((C1684-B1684)*24,2))</f>
        <v>21.17</v>
      </c>
      <c r="N1684" s="39" t="str">
        <f>IF(OR(ISBLANK(C1684),C1684="",M1684=""),"In Progress",IF(M1684&lt;=J1684,"Met","Breached"))</f>
        <v>Breached</v>
      </c>
    </row>
    <row r="1685" ht="19" customHeight="1" spans="1:14" x14ac:dyDescent="0.25">
      <c r="A1685" s="22" t="s">
        <v>1799</v>
      </c>
      <c r="B1685" s="36">
        <v>46196.89722222222</v>
      </c>
      <c r="C1685" s="36">
        <v>46200.01527777778</v>
      </c>
      <c r="D1685" s="22" t="s">
        <v>36</v>
      </c>
      <c r="E1685" s="22" t="s">
        <v>69</v>
      </c>
      <c r="F1685" s="22" t="s">
        <v>34</v>
      </c>
      <c r="G1685" s="22" t="s">
        <v>121</v>
      </c>
      <c r="H1685" s="22" t="s">
        <v>67</v>
      </c>
      <c r="I1685" s="22" t="s">
        <v>147</v>
      </c>
      <c r="J1685" s="23">
        <v>120</v>
      </c>
      <c r="K1685" s="37">
        <v>0</v>
      </c>
      <c r="L1685" s="37">
        <v>5</v>
      </c>
      <c r="M1685" s="22">
        <f>IF(OR(ISBLANK(C1685),C1685=""),"",ROUND((C1685-B1685)*24,2))</f>
        <v>74.83</v>
      </c>
      <c r="N1685" s="40" t="str">
        <f>IF(OR(ISBLANK(C1685),C1685="",M1685=""),"In Progress",IF(M1685&lt;=J1685,"Met","Breached"))</f>
        <v>Met</v>
      </c>
    </row>
    <row r="1686" ht="19" customHeight="1" spans="1:14" x14ac:dyDescent="0.25">
      <c r="A1686" s="19" t="s">
        <v>1800</v>
      </c>
      <c r="B1686" s="33">
        <v>46043.96319444444</v>
      </c>
      <c r="C1686" s="33">
        <v>46044.52291666667</v>
      </c>
      <c r="D1686" s="19" t="s">
        <v>33</v>
      </c>
      <c r="E1686" s="19" t="s">
        <v>61</v>
      </c>
      <c r="F1686" s="19" t="s">
        <v>45</v>
      </c>
      <c r="G1686" s="19" t="s">
        <v>121</v>
      </c>
      <c r="H1686" s="19" t="s">
        <v>59</v>
      </c>
      <c r="I1686" s="19" t="s">
        <v>147</v>
      </c>
      <c r="J1686" s="20">
        <v>12</v>
      </c>
      <c r="K1686" s="34">
        <v>0</v>
      </c>
      <c r="M1686" s="19">
        <f>IF(OR(ISBLANK(C1686),C1686=""),"",ROUND((C1686-B1686)*24,2))</f>
        <v>13.43</v>
      </c>
      <c r="N1686" s="39" t="str">
        <f>IF(OR(ISBLANK(C1686),C1686="",M1686=""),"In Progress",IF(M1686&lt;=J1686,"Met","Breached"))</f>
        <v>Breached</v>
      </c>
    </row>
    <row r="1687" ht="19" customHeight="1" spans="1:14" x14ac:dyDescent="0.25">
      <c r="A1687" s="22" t="s">
        <v>1801</v>
      </c>
      <c r="B1687" s="36">
        <v>45980.11388888889</v>
      </c>
      <c r="C1687" s="36">
        <v>45987.53263888889</v>
      </c>
      <c r="D1687" s="22" t="s">
        <v>33</v>
      </c>
      <c r="E1687" s="22" t="s">
        <v>69</v>
      </c>
      <c r="F1687" s="22" t="s">
        <v>43</v>
      </c>
      <c r="G1687" s="22" t="s">
        <v>110</v>
      </c>
      <c r="H1687" s="22" t="s">
        <v>59</v>
      </c>
      <c r="I1687" s="22" t="s">
        <v>147</v>
      </c>
      <c r="J1687" s="23">
        <v>120</v>
      </c>
      <c r="K1687" s="37">
        <v>0</v>
      </c>
      <c r="L1687" s="37">
        <v>1</v>
      </c>
      <c r="M1687" s="22">
        <f>IF(OR(ISBLANK(C1687),C1687=""),"",ROUND((C1687-B1687)*24,2))</f>
        <v>178.05</v>
      </c>
      <c r="N1687" s="38" t="str">
        <f>IF(OR(ISBLANK(C1687),C1687="",M1687=""),"In Progress",IF(M1687&lt;=J1687,"Met","Breached"))</f>
        <v>Breached</v>
      </c>
    </row>
    <row r="1688" ht="19" customHeight="1" spans="1:14" x14ac:dyDescent="0.25">
      <c r="A1688" s="19" t="s">
        <v>1802</v>
      </c>
      <c r="B1688" s="33">
        <v>45995.10833333334</v>
      </c>
      <c r="C1688" s="33">
        <v>46002.17222222222</v>
      </c>
      <c r="D1688" s="19" t="s">
        <v>36</v>
      </c>
      <c r="E1688" s="19" t="s">
        <v>69</v>
      </c>
      <c r="F1688" s="19" t="s">
        <v>37</v>
      </c>
      <c r="G1688" s="19" t="s">
        <v>63</v>
      </c>
      <c r="H1688" s="19" t="s">
        <v>59</v>
      </c>
      <c r="I1688" s="19" t="s">
        <v>111</v>
      </c>
      <c r="J1688" s="20">
        <v>120</v>
      </c>
      <c r="K1688" s="34">
        <v>0</v>
      </c>
      <c r="L1688" s="34">
        <v>4</v>
      </c>
      <c r="M1688" s="19">
        <f>IF(OR(ISBLANK(C1688),C1688=""),"",ROUND((C1688-B1688)*24,2))</f>
        <v>169.53</v>
      </c>
      <c r="N1688" s="39" t="str">
        <f>IF(OR(ISBLANK(C1688),C1688="",M1688=""),"In Progress",IF(M1688&lt;=J1688,"Met","Breached"))</f>
        <v>Breached</v>
      </c>
    </row>
    <row r="1689" ht="19" customHeight="1" spans="1:14" x14ac:dyDescent="0.25">
      <c r="A1689" s="22" t="s">
        <v>1803</v>
      </c>
      <c r="B1689" s="36">
        <v>45976.79375</v>
      </c>
      <c r="C1689" s="36">
        <v>45977.31388888889</v>
      </c>
      <c r="D1689" s="22" t="s">
        <v>33</v>
      </c>
      <c r="E1689" s="22" t="s">
        <v>61</v>
      </c>
      <c r="F1689" s="22" t="s">
        <v>40</v>
      </c>
      <c r="G1689" s="22" t="s">
        <v>116</v>
      </c>
      <c r="H1689" s="22" t="s">
        <v>59</v>
      </c>
      <c r="I1689" s="22" t="s">
        <v>117</v>
      </c>
      <c r="J1689" s="23">
        <v>12</v>
      </c>
      <c r="K1689" s="37">
        <v>0</v>
      </c>
      <c r="L1689" s="37">
        <v>4</v>
      </c>
      <c r="M1689" s="22">
        <f>IF(OR(ISBLANK(C1689),C1689=""),"",ROUND((C1689-B1689)*24,2))</f>
        <v>12.48</v>
      </c>
      <c r="N1689" s="38" t="str">
        <f>IF(OR(ISBLANK(C1689),C1689="",M1689=""),"In Progress",IF(M1689&lt;=J1689,"Met","Breached"))</f>
        <v>Breached</v>
      </c>
    </row>
    <row r="1690" ht="19" customHeight="1" spans="1:14" x14ac:dyDescent="0.25">
      <c r="A1690" s="19" t="s">
        <v>1804</v>
      </c>
      <c r="B1690" s="33">
        <v>45731.99166666667</v>
      </c>
      <c r="D1690" s="19" t="s">
        <v>39</v>
      </c>
      <c r="E1690" s="19" t="s">
        <v>69</v>
      </c>
      <c r="F1690" s="19" t="s">
        <v>37</v>
      </c>
      <c r="G1690" s="19" t="s">
        <v>116</v>
      </c>
      <c r="H1690" s="19" t="s">
        <v>59</v>
      </c>
      <c r="I1690" s="19" t="s">
        <v>117</v>
      </c>
      <c r="J1690" s="20">
        <v>120</v>
      </c>
      <c r="K1690" s="34">
        <v>0</v>
      </c>
      <c r="M1690" s="19" t="str">
        <f>IF(OR(ISBLANK(C1690),C1690=""),"",ROUND((C1690-B1690)*24,2))</f>
        <v/>
      </c>
      <c r="N1690" s="19" t="str">
        <f>IF(OR(ISBLANK(C1690),C1690="",M1690=""),"In Progress",IF(M1690&lt;=J1690,"Met","Breached"))</f>
        <v>In Progress</v>
      </c>
    </row>
    <row r="1691" ht="19" customHeight="1" spans="1:14" x14ac:dyDescent="0.25">
      <c r="A1691" s="22" t="s">
        <v>1805</v>
      </c>
      <c r="B1691" s="36">
        <v>45681.16111111111</v>
      </c>
      <c r="C1691" s="36">
        <v>45684.21736111111</v>
      </c>
      <c r="D1691" s="22" t="s">
        <v>33</v>
      </c>
      <c r="E1691" s="22" t="s">
        <v>65</v>
      </c>
      <c r="F1691" s="22" t="s">
        <v>43</v>
      </c>
      <c r="G1691" s="22" t="s">
        <v>63</v>
      </c>
      <c r="H1691" s="22" t="s">
        <v>59</v>
      </c>
      <c r="I1691" s="22" t="s">
        <v>114</v>
      </c>
      <c r="J1691" s="23">
        <v>48</v>
      </c>
      <c r="K1691" s="37">
        <v>0</v>
      </c>
      <c r="L1691" s="37">
        <v>1</v>
      </c>
      <c r="M1691" s="22">
        <f>IF(OR(ISBLANK(C1691),C1691=""),"",ROUND((C1691-B1691)*24,2))</f>
        <v>73.35</v>
      </c>
      <c r="N1691" s="38" t="str">
        <f>IF(OR(ISBLANK(C1691),C1691="",M1691=""),"In Progress",IF(M1691&lt;=J1691,"Met","Breached"))</f>
        <v>Breached</v>
      </c>
    </row>
    <row r="1692" ht="19" customHeight="1" spans="1:14" x14ac:dyDescent="0.25">
      <c r="A1692" s="19" t="s">
        <v>1806</v>
      </c>
      <c r="B1692" s="33">
        <v>45798.04652777778</v>
      </c>
      <c r="C1692" s="33">
        <v>45801.44583333333</v>
      </c>
      <c r="D1692" s="19" t="s">
        <v>33</v>
      </c>
      <c r="E1692" s="19" t="s">
        <v>65</v>
      </c>
      <c r="F1692" s="19" t="s">
        <v>34</v>
      </c>
      <c r="G1692" s="19" t="s">
        <v>63</v>
      </c>
      <c r="H1692" s="19" t="s">
        <v>59</v>
      </c>
      <c r="I1692" s="19" t="s">
        <v>114</v>
      </c>
      <c r="J1692" s="20">
        <v>48</v>
      </c>
      <c r="K1692" s="34">
        <v>0</v>
      </c>
      <c r="L1692" s="34">
        <v>4</v>
      </c>
      <c r="M1692" s="19">
        <f>IF(OR(ISBLANK(C1692),C1692=""),"",ROUND((C1692-B1692)*24,2))</f>
        <v>81.58</v>
      </c>
      <c r="N1692" s="39" t="str">
        <f>IF(OR(ISBLANK(C1692),C1692="",M1692=""),"In Progress",IF(M1692&lt;=J1692,"Met","Breached"))</f>
        <v>Breached</v>
      </c>
    </row>
    <row r="1693" ht="19" customHeight="1" spans="1:14" x14ac:dyDescent="0.25">
      <c r="A1693" s="22" t="s">
        <v>1807</v>
      </c>
      <c r="B1693" s="36">
        <v>46261.16527777778</v>
      </c>
      <c r="D1693" s="22" t="s">
        <v>39</v>
      </c>
      <c r="E1693" s="22" t="s">
        <v>69</v>
      </c>
      <c r="F1693" s="22" t="s">
        <v>34</v>
      </c>
      <c r="G1693" s="22" t="s">
        <v>121</v>
      </c>
      <c r="H1693" s="22" t="s">
        <v>71</v>
      </c>
      <c r="I1693" s="22" t="s">
        <v>123</v>
      </c>
      <c r="J1693" s="23">
        <v>120</v>
      </c>
      <c r="K1693" s="37">
        <v>0</v>
      </c>
      <c r="M1693" s="22" t="str">
        <f>IF(OR(ISBLANK(C1693),C1693=""),"",ROUND((C1693-B1693)*24,2))</f>
        <v/>
      </c>
      <c r="N1693" s="22" t="str">
        <f>IF(OR(ISBLANK(C1693),C1693="",M1693=""),"In Progress",IF(M1693&lt;=J1693,"Met","Breached"))</f>
        <v>In Progress</v>
      </c>
    </row>
    <row r="1694" ht="19" customHeight="1" spans="1:14" x14ac:dyDescent="0.25">
      <c r="A1694" s="19" t="s">
        <v>1808</v>
      </c>
      <c r="B1694" s="33">
        <v>46155.674305555556</v>
      </c>
      <c r="C1694" s="33">
        <v>46162.424305555556</v>
      </c>
      <c r="D1694" s="19" t="s">
        <v>33</v>
      </c>
      <c r="E1694" s="19" t="s">
        <v>69</v>
      </c>
      <c r="F1694" s="19" t="s">
        <v>43</v>
      </c>
      <c r="G1694" s="19" t="s">
        <v>116</v>
      </c>
      <c r="H1694" s="19" t="s">
        <v>59</v>
      </c>
      <c r="I1694" s="19" t="s">
        <v>147</v>
      </c>
      <c r="J1694" s="20">
        <v>120</v>
      </c>
      <c r="K1694" s="34">
        <v>0</v>
      </c>
      <c r="L1694" s="34">
        <v>4</v>
      </c>
      <c r="M1694" s="19">
        <f>IF(OR(ISBLANK(C1694),C1694=""),"",ROUND((C1694-B1694)*24,2))</f>
        <v>162</v>
      </c>
      <c r="N1694" s="39" t="str">
        <f>IF(OR(ISBLANK(C1694),C1694="",M1694=""),"In Progress",IF(M1694&lt;=J1694,"Met","Breached"))</f>
        <v>Breached</v>
      </c>
    </row>
    <row r="1695" ht="19" customHeight="1" spans="1:14" x14ac:dyDescent="0.25">
      <c r="A1695" s="22" t="s">
        <v>1809</v>
      </c>
      <c r="B1695" s="36">
        <v>46213.180555555555</v>
      </c>
      <c r="C1695" s="36">
        <v>46215.24166666667</v>
      </c>
      <c r="D1695" s="22" t="s">
        <v>33</v>
      </c>
      <c r="E1695" s="22" t="s">
        <v>65</v>
      </c>
      <c r="F1695" s="22" t="s">
        <v>45</v>
      </c>
      <c r="G1695" s="22" t="s">
        <v>63</v>
      </c>
      <c r="H1695" s="22" t="s">
        <v>67</v>
      </c>
      <c r="I1695" s="22" t="s">
        <v>117</v>
      </c>
      <c r="J1695" s="23">
        <v>48</v>
      </c>
      <c r="K1695" s="37">
        <v>0</v>
      </c>
      <c r="L1695" s="37">
        <v>1</v>
      </c>
      <c r="M1695" s="22">
        <f>IF(OR(ISBLANK(C1695),C1695=""),"",ROUND((C1695-B1695)*24,2))</f>
        <v>49.47</v>
      </c>
      <c r="N1695" s="38" t="str">
        <f>IF(OR(ISBLANK(C1695),C1695="",M1695=""),"In Progress",IF(M1695&lt;=J1695,"Met","Breached"))</f>
        <v>Breached</v>
      </c>
    </row>
    <row r="1696" ht="19" customHeight="1" spans="1:14" x14ac:dyDescent="0.25">
      <c r="A1696" s="19" t="s">
        <v>1810</v>
      </c>
      <c r="B1696" s="33">
        <v>45937.99861111111</v>
      </c>
      <c r="C1696" s="33">
        <v>45941.575</v>
      </c>
      <c r="D1696" s="19" t="s">
        <v>36</v>
      </c>
      <c r="E1696" s="19" t="s">
        <v>65</v>
      </c>
      <c r="F1696" s="19" t="s">
        <v>34</v>
      </c>
      <c r="G1696" s="19" t="s">
        <v>113</v>
      </c>
      <c r="H1696" s="19" t="s">
        <v>59</v>
      </c>
      <c r="I1696" s="19" t="s">
        <v>108</v>
      </c>
      <c r="J1696" s="20">
        <v>48</v>
      </c>
      <c r="K1696" s="34">
        <v>0</v>
      </c>
      <c r="L1696" s="34">
        <v>2</v>
      </c>
      <c r="M1696" s="19">
        <f>IF(OR(ISBLANK(C1696),C1696=""),"",ROUND((C1696-B1696)*24,2))</f>
        <v>85.83</v>
      </c>
      <c r="N1696" s="39" t="str">
        <f>IF(OR(ISBLANK(C1696),C1696="",M1696=""),"In Progress",IF(M1696&lt;=J1696,"Met","Breached"))</f>
        <v>Breached</v>
      </c>
    </row>
    <row r="1697" ht="19" customHeight="1" spans="1:14" x14ac:dyDescent="0.25">
      <c r="A1697" s="22" t="s">
        <v>1811</v>
      </c>
      <c r="B1697" s="36">
        <v>46001.41111111111</v>
      </c>
      <c r="C1697" s="36">
        <v>46002.53055555555</v>
      </c>
      <c r="D1697" s="22" t="s">
        <v>36</v>
      </c>
      <c r="E1697" s="22" t="s">
        <v>65</v>
      </c>
      <c r="F1697" s="22" t="s">
        <v>43</v>
      </c>
      <c r="G1697" s="22" t="s">
        <v>116</v>
      </c>
      <c r="H1697" s="22" t="s">
        <v>63</v>
      </c>
      <c r="I1697" s="22" t="s">
        <v>147</v>
      </c>
      <c r="J1697" s="23">
        <v>48</v>
      </c>
      <c r="K1697" s="37">
        <v>0</v>
      </c>
      <c r="M1697" s="22">
        <f>IF(OR(ISBLANK(C1697),C1697=""),"",ROUND((C1697-B1697)*24,2))</f>
        <v>26.87</v>
      </c>
      <c r="N1697" s="40" t="str">
        <f>IF(OR(ISBLANK(C1697),C1697="",M1697=""),"In Progress",IF(M1697&lt;=J1697,"Met","Breached"))</f>
        <v>Met</v>
      </c>
    </row>
    <row r="1698" ht="19" customHeight="1" spans="1:14" x14ac:dyDescent="0.25">
      <c r="A1698" s="19" t="s">
        <v>1812</v>
      </c>
      <c r="B1698" s="33">
        <v>46055.09513888889</v>
      </c>
      <c r="C1698" s="33">
        <v>46062.95833333333</v>
      </c>
      <c r="D1698" s="19" t="s">
        <v>33</v>
      </c>
      <c r="E1698" s="19" t="s">
        <v>69</v>
      </c>
      <c r="F1698" s="19" t="s">
        <v>34</v>
      </c>
      <c r="G1698" s="19" t="s">
        <v>116</v>
      </c>
      <c r="H1698" s="19" t="s">
        <v>59</v>
      </c>
      <c r="I1698" s="19" t="s">
        <v>123</v>
      </c>
      <c r="J1698" s="20">
        <v>120</v>
      </c>
      <c r="K1698" s="34">
        <v>0</v>
      </c>
      <c r="L1698" s="34">
        <v>4</v>
      </c>
      <c r="M1698" s="19">
        <f>IF(OR(ISBLANK(C1698),C1698=""),"",ROUND((C1698-B1698)*24,2))</f>
        <v>188.72</v>
      </c>
      <c r="N1698" s="39" t="str">
        <f>IF(OR(ISBLANK(C1698),C1698="",M1698=""),"In Progress",IF(M1698&lt;=J1698,"Met","Breached"))</f>
        <v>Breached</v>
      </c>
    </row>
    <row r="1699" ht="19" customHeight="1" spans="1:14" x14ac:dyDescent="0.25">
      <c r="A1699" s="22" t="s">
        <v>1813</v>
      </c>
      <c r="B1699" s="36">
        <v>45809.04305555555</v>
      </c>
      <c r="D1699" s="22" t="s">
        <v>42</v>
      </c>
      <c r="E1699" s="22" t="s">
        <v>61</v>
      </c>
      <c r="F1699" s="22" t="s">
        <v>34</v>
      </c>
      <c r="G1699" s="22" t="s">
        <v>113</v>
      </c>
      <c r="H1699" s="22" t="s">
        <v>59</v>
      </c>
      <c r="I1699" s="22" t="s">
        <v>114</v>
      </c>
      <c r="J1699" s="23">
        <v>12</v>
      </c>
      <c r="K1699" s="37">
        <v>0</v>
      </c>
      <c r="M1699" s="22" t="str">
        <f>IF(OR(ISBLANK(C1699),C1699=""),"",ROUND((C1699-B1699)*24,2))</f>
        <v/>
      </c>
      <c r="N1699" s="22" t="str">
        <f>IF(OR(ISBLANK(C1699),C1699="",M1699=""),"In Progress",IF(M1699&lt;=J1699,"Met","Breached"))</f>
        <v>In Progress</v>
      </c>
    </row>
    <row r="1700" ht="19" customHeight="1" spans="1:14" x14ac:dyDescent="0.25">
      <c r="A1700" s="19" t="s">
        <v>1814</v>
      </c>
      <c r="B1700" s="33">
        <v>45943.51944444445</v>
      </c>
      <c r="C1700" s="33">
        <v>45945.31111111111</v>
      </c>
      <c r="D1700" s="19" t="s">
        <v>33</v>
      </c>
      <c r="E1700" s="19" t="s">
        <v>65</v>
      </c>
      <c r="F1700" s="19" t="s">
        <v>37</v>
      </c>
      <c r="G1700" s="19" t="s">
        <v>63</v>
      </c>
      <c r="H1700" s="19" t="s">
        <v>67</v>
      </c>
      <c r="I1700" s="19" t="s">
        <v>123</v>
      </c>
      <c r="J1700" s="20">
        <v>48</v>
      </c>
      <c r="K1700" s="34">
        <v>0</v>
      </c>
      <c r="M1700" s="19">
        <f>IF(OR(ISBLANK(C1700),C1700=""),"",ROUND((C1700-B1700)*24,2))</f>
        <v>43</v>
      </c>
      <c r="N1700" s="35" t="str">
        <f>IF(OR(ISBLANK(C1700),C1700="",M1700=""),"In Progress",IF(M1700&lt;=J1700,"Met","Breached"))</f>
        <v>Met</v>
      </c>
    </row>
    <row r="1701" ht="19" customHeight="1" spans="1:14" x14ac:dyDescent="0.25">
      <c r="A1701" s="22" t="s">
        <v>1815</v>
      </c>
      <c r="B1701" s="36">
        <v>46029.26597222222</v>
      </c>
      <c r="C1701" s="36">
        <v>46032.19097222222</v>
      </c>
      <c r="D1701" s="22" t="s">
        <v>33</v>
      </c>
      <c r="E1701" s="22" t="s">
        <v>65</v>
      </c>
      <c r="F1701" s="22" t="s">
        <v>37</v>
      </c>
      <c r="G1701" s="22" t="s">
        <v>113</v>
      </c>
      <c r="H1701" s="22" t="s">
        <v>71</v>
      </c>
      <c r="I1701" s="22" t="s">
        <v>147</v>
      </c>
      <c r="J1701" s="23">
        <v>48</v>
      </c>
      <c r="K1701" s="37">
        <v>0</v>
      </c>
      <c r="L1701" s="37">
        <v>2</v>
      </c>
      <c r="M1701" s="22">
        <f>IF(OR(ISBLANK(C1701),C1701=""),"",ROUND((C1701-B1701)*24,2))</f>
        <v>70.2</v>
      </c>
      <c r="N1701" s="38" t="str">
        <f>IF(OR(ISBLANK(C1701),C1701="",M1701=""),"In Progress",IF(M1701&lt;=J1701,"Met","Breached"))</f>
        <v>Breached</v>
      </c>
    </row>
    <row r="1702" ht="19" customHeight="1" spans="1:14" x14ac:dyDescent="0.25">
      <c r="A1702" s="19" t="s">
        <v>1816</v>
      </c>
      <c r="B1702" s="33">
        <v>45769.549305555556</v>
      </c>
      <c r="C1702" s="33">
        <v>45770.02777777778</v>
      </c>
      <c r="D1702" s="19" t="s">
        <v>36</v>
      </c>
      <c r="E1702" s="19" t="s">
        <v>61</v>
      </c>
      <c r="F1702" s="19" t="s">
        <v>45</v>
      </c>
      <c r="G1702" s="19" t="s">
        <v>116</v>
      </c>
      <c r="H1702" s="19" t="s">
        <v>59</v>
      </c>
      <c r="I1702" s="19" t="s">
        <v>117</v>
      </c>
      <c r="J1702" s="20">
        <v>12</v>
      </c>
      <c r="K1702" s="34">
        <v>0</v>
      </c>
      <c r="L1702" s="34">
        <v>3</v>
      </c>
      <c r="M1702" s="19">
        <f>IF(OR(ISBLANK(C1702),C1702=""),"",ROUND((C1702-B1702)*24,2))</f>
        <v>11.48</v>
      </c>
      <c r="N1702" s="35" t="str">
        <f>IF(OR(ISBLANK(C1702),C1702="",M1702=""),"In Progress",IF(M1702&lt;=J1702,"Met","Breached"))</f>
        <v>Met</v>
      </c>
    </row>
    <row r="1703" ht="19" customHeight="1" spans="1:14" x14ac:dyDescent="0.25">
      <c r="A1703" s="22" t="s">
        <v>1817</v>
      </c>
      <c r="B1703" s="36">
        <v>45780.26736111111</v>
      </c>
      <c r="C1703" s="36">
        <v>45782.56319444445</v>
      </c>
      <c r="D1703" s="22" t="s">
        <v>33</v>
      </c>
      <c r="E1703" s="22" t="s">
        <v>65</v>
      </c>
      <c r="F1703" s="22" t="s">
        <v>43</v>
      </c>
      <c r="G1703" s="22" t="s">
        <v>121</v>
      </c>
      <c r="H1703" s="22" t="s">
        <v>59</v>
      </c>
      <c r="I1703" s="22" t="s">
        <v>108</v>
      </c>
      <c r="J1703" s="23">
        <v>48</v>
      </c>
      <c r="K1703" s="37">
        <v>0</v>
      </c>
      <c r="M1703" s="22">
        <f>IF(OR(ISBLANK(C1703),C1703=""),"",ROUND((C1703-B1703)*24,2))</f>
        <v>55.1</v>
      </c>
      <c r="N1703" s="38" t="str">
        <f>IF(OR(ISBLANK(C1703),C1703="",M1703=""),"In Progress",IF(M1703&lt;=J1703,"Met","Breached"))</f>
        <v>Breached</v>
      </c>
    </row>
    <row r="1704" ht="19" customHeight="1" spans="1:14" x14ac:dyDescent="0.25">
      <c r="A1704" s="19" t="s">
        <v>1818</v>
      </c>
      <c r="B1704" s="33">
        <v>45926.06527777778</v>
      </c>
      <c r="C1704" s="33">
        <v>45928.64236111111</v>
      </c>
      <c r="D1704" s="19" t="s">
        <v>33</v>
      </c>
      <c r="E1704" s="19" t="s">
        <v>65</v>
      </c>
      <c r="F1704" s="19" t="s">
        <v>43</v>
      </c>
      <c r="G1704" s="19" t="s">
        <v>116</v>
      </c>
      <c r="H1704" s="19" t="s">
        <v>71</v>
      </c>
      <c r="I1704" s="19" t="s">
        <v>147</v>
      </c>
      <c r="J1704" s="20">
        <v>48</v>
      </c>
      <c r="K1704" s="34">
        <v>0</v>
      </c>
      <c r="L1704" s="34">
        <v>1</v>
      </c>
      <c r="M1704" s="19">
        <f>IF(OR(ISBLANK(C1704),C1704=""),"",ROUND((C1704-B1704)*24,2))</f>
        <v>61.85</v>
      </c>
      <c r="N1704" s="39" t="str">
        <f>IF(OR(ISBLANK(C1704),C1704="",M1704=""),"In Progress",IF(M1704&lt;=J1704,"Met","Breached"))</f>
        <v>Breached</v>
      </c>
    </row>
    <row r="1705" ht="19" customHeight="1" spans="1:14" x14ac:dyDescent="0.25">
      <c r="A1705" s="22" t="s">
        <v>1819</v>
      </c>
      <c r="B1705" s="36">
        <v>45815.06597222222</v>
      </c>
      <c r="D1705" s="22" t="s">
        <v>42</v>
      </c>
      <c r="E1705" s="22" t="s">
        <v>69</v>
      </c>
      <c r="F1705" s="22" t="s">
        <v>40</v>
      </c>
      <c r="G1705" s="22" t="s">
        <v>63</v>
      </c>
      <c r="H1705" s="22" t="s">
        <v>63</v>
      </c>
      <c r="I1705" s="22" t="s">
        <v>111</v>
      </c>
      <c r="J1705" s="23">
        <v>120</v>
      </c>
      <c r="K1705" s="37">
        <v>0</v>
      </c>
      <c r="M1705" s="22" t="str">
        <f>IF(OR(ISBLANK(C1705),C1705=""),"",ROUND((C1705-B1705)*24,2))</f>
        <v/>
      </c>
      <c r="N1705" s="22" t="str">
        <f>IF(OR(ISBLANK(C1705),C1705="",M1705=""),"In Progress",IF(M1705&lt;=J1705,"Met","Breached"))</f>
        <v>In Progress</v>
      </c>
    </row>
    <row r="1706" ht="19" customHeight="1" spans="1:14" x14ac:dyDescent="0.25">
      <c r="A1706" s="19" t="s">
        <v>1820</v>
      </c>
      <c r="B1706" s="33">
        <v>46200.018055555556</v>
      </c>
      <c r="C1706" s="33">
        <v>46202.66458333333</v>
      </c>
      <c r="D1706" s="19" t="s">
        <v>33</v>
      </c>
      <c r="E1706" s="19" t="s">
        <v>65</v>
      </c>
      <c r="F1706" s="19" t="s">
        <v>45</v>
      </c>
      <c r="G1706" s="19" t="s">
        <v>63</v>
      </c>
      <c r="H1706" s="19" t="s">
        <v>71</v>
      </c>
      <c r="I1706" s="19" t="s">
        <v>117</v>
      </c>
      <c r="J1706" s="20">
        <v>48</v>
      </c>
      <c r="K1706" s="34">
        <v>0</v>
      </c>
      <c r="L1706" s="34">
        <v>3</v>
      </c>
      <c r="M1706" s="19">
        <f>IF(OR(ISBLANK(C1706),C1706=""),"",ROUND((C1706-B1706)*24,2))</f>
        <v>63.52</v>
      </c>
      <c r="N1706" s="39" t="str">
        <f>IF(OR(ISBLANK(C1706),C1706="",M1706=""),"In Progress",IF(M1706&lt;=J1706,"Met","Breached"))</f>
        <v>Breached</v>
      </c>
    </row>
    <row r="1707" ht="19" customHeight="1" spans="1:14" x14ac:dyDescent="0.25">
      <c r="A1707" s="22" t="s">
        <v>1821</v>
      </c>
      <c r="B1707" s="36">
        <v>45931.978472222225</v>
      </c>
      <c r="C1707" s="36">
        <v>45932.589583333334</v>
      </c>
      <c r="D1707" s="22" t="s">
        <v>33</v>
      </c>
      <c r="E1707" s="22" t="s">
        <v>61</v>
      </c>
      <c r="F1707" s="22" t="s">
        <v>45</v>
      </c>
      <c r="G1707" s="22" t="s">
        <v>116</v>
      </c>
      <c r="H1707" s="22" t="s">
        <v>59</v>
      </c>
      <c r="I1707" s="22" t="s">
        <v>108</v>
      </c>
      <c r="J1707" s="23">
        <v>12</v>
      </c>
      <c r="K1707" s="37">
        <v>1</v>
      </c>
      <c r="L1707" s="37">
        <v>4</v>
      </c>
      <c r="M1707" s="22">
        <f>IF(OR(ISBLANK(C1707),C1707=""),"",ROUND((C1707-B1707)*24,2))</f>
        <v>14.67</v>
      </c>
      <c r="N1707" s="38" t="str">
        <f>IF(OR(ISBLANK(C1707),C1707="",M1707=""),"In Progress",IF(M1707&lt;=J1707,"Met","Breached"))</f>
        <v>Breached</v>
      </c>
    </row>
    <row r="1708" ht="19" customHeight="1" spans="1:14" x14ac:dyDescent="0.25">
      <c r="A1708" s="19" t="s">
        <v>1822</v>
      </c>
      <c r="B1708" s="33">
        <v>46236.87777777778</v>
      </c>
      <c r="C1708" s="33">
        <v>46238.945138888885</v>
      </c>
      <c r="D1708" s="19" t="s">
        <v>33</v>
      </c>
      <c r="E1708" s="19" t="s">
        <v>65</v>
      </c>
      <c r="F1708" s="19" t="s">
        <v>37</v>
      </c>
      <c r="G1708" s="19" t="s">
        <v>63</v>
      </c>
      <c r="H1708" s="19" t="s">
        <v>63</v>
      </c>
      <c r="I1708" s="19" t="s">
        <v>108</v>
      </c>
      <c r="J1708" s="20">
        <v>48</v>
      </c>
      <c r="K1708" s="34">
        <v>0</v>
      </c>
      <c r="M1708" s="19">
        <f>IF(OR(ISBLANK(C1708),C1708=""),"",ROUND((C1708-B1708)*24,2))</f>
        <v>49.62</v>
      </c>
      <c r="N1708" s="39" t="str">
        <f>IF(OR(ISBLANK(C1708),C1708="",M1708=""),"In Progress",IF(M1708&lt;=J1708,"Met","Breached"))</f>
        <v>Breached</v>
      </c>
    </row>
    <row r="1709" ht="19" customHeight="1" spans="1:14" x14ac:dyDescent="0.25">
      <c r="A1709" s="22" t="s">
        <v>1823</v>
      </c>
      <c r="B1709" s="36">
        <v>45945.125</v>
      </c>
      <c r="D1709" s="22" t="s">
        <v>39</v>
      </c>
      <c r="E1709" s="22" t="s">
        <v>69</v>
      </c>
      <c r="F1709" s="22" t="s">
        <v>43</v>
      </c>
      <c r="G1709" s="22" t="s">
        <v>126</v>
      </c>
      <c r="H1709" s="22" t="s">
        <v>67</v>
      </c>
      <c r="I1709" s="22" t="s">
        <v>123</v>
      </c>
      <c r="J1709" s="23">
        <v>120</v>
      </c>
      <c r="K1709" s="37">
        <v>0</v>
      </c>
      <c r="M1709" s="22" t="str">
        <f>IF(OR(ISBLANK(C1709),C1709=""),"",ROUND((C1709-B1709)*24,2))</f>
        <v/>
      </c>
      <c r="N1709" s="22" t="str">
        <f>IF(OR(ISBLANK(C1709),C1709="",M1709=""),"In Progress",IF(M1709&lt;=J1709,"Met","Breached"))</f>
        <v>In Progress</v>
      </c>
    </row>
    <row r="1710" ht="19" customHeight="1" spans="1:14" x14ac:dyDescent="0.25">
      <c r="A1710" s="19" t="s">
        <v>1824</v>
      </c>
      <c r="B1710" s="33">
        <v>46268.03958333333</v>
      </c>
      <c r="C1710" s="33">
        <v>46276.46805555555</v>
      </c>
      <c r="D1710" s="19" t="s">
        <v>33</v>
      </c>
      <c r="E1710" s="19" t="s">
        <v>69</v>
      </c>
      <c r="F1710" s="19" t="s">
        <v>40</v>
      </c>
      <c r="G1710" s="19" t="s">
        <v>63</v>
      </c>
      <c r="H1710" s="19" t="s">
        <v>71</v>
      </c>
      <c r="I1710" s="19" t="s">
        <v>117</v>
      </c>
      <c r="J1710" s="20">
        <v>120</v>
      </c>
      <c r="K1710" s="34">
        <v>0</v>
      </c>
      <c r="L1710" s="34">
        <v>2</v>
      </c>
      <c r="M1710" s="19">
        <f>IF(OR(ISBLANK(C1710),C1710=""),"",ROUND((C1710-B1710)*24,2))</f>
        <v>202.28</v>
      </c>
      <c r="N1710" s="39" t="str">
        <f>IF(OR(ISBLANK(C1710),C1710="",M1710=""),"In Progress",IF(M1710&lt;=J1710,"Met","Breached"))</f>
        <v>Breached</v>
      </c>
    </row>
    <row r="1711" ht="19" customHeight="1" spans="1:14" x14ac:dyDescent="0.25">
      <c r="A1711" s="22" t="s">
        <v>1825</v>
      </c>
      <c r="B1711" s="36">
        <v>45747.78958333333</v>
      </c>
      <c r="C1711" s="36">
        <v>45751.214583333334</v>
      </c>
      <c r="D1711" s="22" t="s">
        <v>36</v>
      </c>
      <c r="E1711" s="22" t="s">
        <v>65</v>
      </c>
      <c r="F1711" s="22" t="s">
        <v>34</v>
      </c>
      <c r="G1711" s="22" t="s">
        <v>113</v>
      </c>
      <c r="H1711" s="22" t="s">
        <v>59</v>
      </c>
      <c r="I1711" s="22" t="s">
        <v>111</v>
      </c>
      <c r="J1711" s="23">
        <v>48</v>
      </c>
      <c r="K1711" s="37">
        <v>0</v>
      </c>
      <c r="L1711" s="37">
        <v>5</v>
      </c>
      <c r="M1711" s="22">
        <f>IF(OR(ISBLANK(C1711),C1711=""),"",ROUND((C1711-B1711)*24,2))</f>
        <v>82.2</v>
      </c>
      <c r="N1711" s="38" t="str">
        <f>IF(OR(ISBLANK(C1711),C1711="",M1711=""),"In Progress",IF(M1711&lt;=J1711,"Met","Breached"))</f>
        <v>Breached</v>
      </c>
    </row>
    <row r="1712" ht="19" customHeight="1" spans="1:14" x14ac:dyDescent="0.25">
      <c r="A1712" s="19" t="s">
        <v>1826</v>
      </c>
      <c r="B1712" s="33">
        <v>46051.03958333333</v>
      </c>
      <c r="D1712" s="19" t="s">
        <v>39</v>
      </c>
      <c r="E1712" s="19" t="s">
        <v>65</v>
      </c>
      <c r="F1712" s="19" t="s">
        <v>37</v>
      </c>
      <c r="G1712" s="19" t="s">
        <v>110</v>
      </c>
      <c r="H1712" s="19" t="s">
        <v>63</v>
      </c>
      <c r="I1712" s="19" t="s">
        <v>147</v>
      </c>
      <c r="J1712" s="20">
        <v>48</v>
      </c>
      <c r="K1712" s="34">
        <v>0</v>
      </c>
      <c r="M1712" s="19" t="str">
        <f>IF(OR(ISBLANK(C1712),C1712=""),"",ROUND((C1712-B1712)*24,2))</f>
        <v/>
      </c>
      <c r="N1712" s="19" t="str">
        <f>IF(OR(ISBLANK(C1712),C1712="",M1712=""),"In Progress",IF(M1712&lt;=J1712,"Met","Breached"))</f>
        <v>In Progress</v>
      </c>
    </row>
    <row r="1713" ht="19" customHeight="1" spans="1:14" x14ac:dyDescent="0.25">
      <c r="A1713" s="22" t="s">
        <v>1827</v>
      </c>
      <c r="B1713" s="36">
        <v>46278.60555555555</v>
      </c>
      <c r="C1713" s="36">
        <v>46278.70208333334</v>
      </c>
      <c r="D1713" s="22" t="s">
        <v>33</v>
      </c>
      <c r="E1713" s="22" t="s">
        <v>57</v>
      </c>
      <c r="F1713" s="22" t="s">
        <v>34</v>
      </c>
      <c r="G1713" s="22" t="s">
        <v>63</v>
      </c>
      <c r="H1713" s="22" t="s">
        <v>59</v>
      </c>
      <c r="I1713" s="22" t="s">
        <v>114</v>
      </c>
      <c r="J1713" s="23">
        <v>4</v>
      </c>
      <c r="K1713" s="37">
        <v>0</v>
      </c>
      <c r="L1713" s="37">
        <v>1</v>
      </c>
      <c r="M1713" s="22">
        <f>IF(OR(ISBLANK(C1713),C1713=""),"",ROUND((C1713-B1713)*24,2))</f>
        <v>2.32</v>
      </c>
      <c r="N1713" s="40" t="str">
        <f>IF(OR(ISBLANK(C1713),C1713="",M1713=""),"In Progress",IF(M1713&lt;=J1713,"Met","Breached"))</f>
        <v>Met</v>
      </c>
    </row>
    <row r="1714" ht="19" customHeight="1" spans="1:14" x14ac:dyDescent="0.25">
      <c r="A1714" s="19" t="s">
        <v>1828</v>
      </c>
      <c r="B1714" s="33">
        <v>45988.1125</v>
      </c>
      <c r="C1714" s="33">
        <v>45991.03611111111</v>
      </c>
      <c r="D1714" s="19" t="s">
        <v>33</v>
      </c>
      <c r="E1714" s="19" t="s">
        <v>65</v>
      </c>
      <c r="F1714" s="19" t="s">
        <v>40</v>
      </c>
      <c r="G1714" s="19" t="s">
        <v>113</v>
      </c>
      <c r="H1714" s="19" t="s">
        <v>63</v>
      </c>
      <c r="I1714" s="19" t="s">
        <v>147</v>
      </c>
      <c r="J1714" s="20">
        <v>48</v>
      </c>
      <c r="K1714" s="34">
        <v>0</v>
      </c>
      <c r="L1714" s="34">
        <v>2</v>
      </c>
      <c r="M1714" s="19">
        <f>IF(OR(ISBLANK(C1714),C1714=""),"",ROUND((C1714-B1714)*24,2))</f>
        <v>70.17</v>
      </c>
      <c r="N1714" s="39" t="str">
        <f>IF(OR(ISBLANK(C1714),C1714="",M1714=""),"In Progress",IF(M1714&lt;=J1714,"Met","Breached"))</f>
        <v>Breached</v>
      </c>
    </row>
    <row r="1715" ht="19" customHeight="1" spans="1:14" x14ac:dyDescent="0.25">
      <c r="A1715" s="22" t="s">
        <v>1829</v>
      </c>
      <c r="B1715" s="36">
        <v>45737.55416666667</v>
      </c>
      <c r="C1715" s="36">
        <v>45738.87986111111</v>
      </c>
      <c r="D1715" s="22" t="s">
        <v>36</v>
      </c>
      <c r="E1715" s="22" t="s">
        <v>65</v>
      </c>
      <c r="F1715" s="22" t="s">
        <v>43</v>
      </c>
      <c r="G1715" s="22" t="s">
        <v>110</v>
      </c>
      <c r="H1715" s="22" t="s">
        <v>63</v>
      </c>
      <c r="I1715" s="22" t="s">
        <v>147</v>
      </c>
      <c r="J1715" s="23">
        <v>48</v>
      </c>
      <c r="K1715" s="37">
        <v>0</v>
      </c>
      <c r="L1715" s="37">
        <v>4</v>
      </c>
      <c r="M1715" s="22">
        <f>IF(OR(ISBLANK(C1715),C1715=""),"",ROUND((C1715-B1715)*24,2))</f>
        <v>31.82</v>
      </c>
      <c r="N1715" s="40" t="str">
        <f>IF(OR(ISBLANK(C1715),C1715="",M1715=""),"In Progress",IF(M1715&lt;=J1715,"Met","Breached"))</f>
        <v>Met</v>
      </c>
    </row>
    <row r="1716" ht="19" customHeight="1" spans="1:14" x14ac:dyDescent="0.25">
      <c r="A1716" s="19" t="s">
        <v>1830</v>
      </c>
      <c r="B1716" s="33">
        <v>46048.59930555556</v>
      </c>
      <c r="C1716" s="33">
        <v>46051.53333333333</v>
      </c>
      <c r="D1716" s="19" t="s">
        <v>33</v>
      </c>
      <c r="E1716" s="19" t="s">
        <v>65</v>
      </c>
      <c r="F1716" s="19" t="s">
        <v>40</v>
      </c>
      <c r="G1716" s="19" t="s">
        <v>121</v>
      </c>
      <c r="H1716" s="19" t="s">
        <v>67</v>
      </c>
      <c r="I1716" s="19" t="s">
        <v>147</v>
      </c>
      <c r="J1716" s="20">
        <v>48</v>
      </c>
      <c r="K1716" s="34">
        <v>0</v>
      </c>
      <c r="L1716" s="34">
        <v>1</v>
      </c>
      <c r="M1716" s="19">
        <f>IF(OR(ISBLANK(C1716),C1716=""),"",ROUND((C1716-B1716)*24,2))</f>
        <v>70.42</v>
      </c>
      <c r="N1716" s="39" t="str">
        <f>IF(OR(ISBLANK(C1716),C1716="",M1716=""),"In Progress",IF(M1716&lt;=J1716,"Met","Breached"))</f>
        <v>Breached</v>
      </c>
    </row>
    <row r="1717" ht="19" customHeight="1" spans="1:14" x14ac:dyDescent="0.25">
      <c r="A1717" s="22" t="s">
        <v>1831</v>
      </c>
      <c r="B1717" s="36">
        <v>45727.77569444444</v>
      </c>
      <c r="C1717" s="36">
        <v>45728.018055555556</v>
      </c>
      <c r="D1717" s="22" t="s">
        <v>33</v>
      </c>
      <c r="E1717" s="22" t="s">
        <v>57</v>
      </c>
      <c r="F1717" s="22" t="s">
        <v>40</v>
      </c>
      <c r="G1717" s="22" t="s">
        <v>121</v>
      </c>
      <c r="H1717" s="22" t="s">
        <v>59</v>
      </c>
      <c r="I1717" s="22" t="s">
        <v>111</v>
      </c>
      <c r="J1717" s="23">
        <v>4</v>
      </c>
      <c r="K1717" s="37">
        <v>0</v>
      </c>
      <c r="L1717" s="37">
        <v>5</v>
      </c>
      <c r="M1717" s="22">
        <f>IF(OR(ISBLANK(C1717),C1717=""),"",ROUND((C1717-B1717)*24,2))</f>
        <v>5.82</v>
      </c>
      <c r="N1717" s="38" t="str">
        <f>IF(OR(ISBLANK(C1717),C1717="",M1717=""),"In Progress",IF(M1717&lt;=J1717,"Met","Breached"))</f>
        <v>Breached</v>
      </c>
    </row>
    <row r="1718" ht="19" customHeight="1" spans="1:14" x14ac:dyDescent="0.25">
      <c r="A1718" s="19" t="s">
        <v>1832</v>
      </c>
      <c r="B1718" s="33">
        <v>46212.174305555556</v>
      </c>
      <c r="D1718" s="19" t="s">
        <v>39</v>
      </c>
      <c r="E1718" s="19" t="s">
        <v>65</v>
      </c>
      <c r="F1718" s="19" t="s">
        <v>45</v>
      </c>
      <c r="G1718" s="19" t="s">
        <v>110</v>
      </c>
      <c r="H1718" s="19" t="s">
        <v>59</v>
      </c>
      <c r="I1718" s="19" t="s">
        <v>117</v>
      </c>
      <c r="J1718" s="20">
        <v>48</v>
      </c>
      <c r="K1718" s="34">
        <v>0</v>
      </c>
      <c r="M1718" s="19" t="str">
        <f>IF(OR(ISBLANK(C1718),C1718=""),"",ROUND((C1718-B1718)*24,2))</f>
        <v/>
      </c>
      <c r="N1718" s="19" t="str">
        <f>IF(OR(ISBLANK(C1718),C1718="",M1718=""),"In Progress",IF(M1718&lt;=J1718,"Met","Breached"))</f>
        <v>In Progress</v>
      </c>
    </row>
    <row r="1719" ht="19" customHeight="1" spans="1:14" x14ac:dyDescent="0.25">
      <c r="A1719" s="22" t="s">
        <v>1833</v>
      </c>
      <c r="B1719" s="36">
        <v>46228.725</v>
      </c>
      <c r="D1719" s="22" t="s">
        <v>39</v>
      </c>
      <c r="E1719" s="22" t="s">
        <v>69</v>
      </c>
      <c r="F1719" s="22" t="s">
        <v>40</v>
      </c>
      <c r="G1719" s="22" t="s">
        <v>63</v>
      </c>
      <c r="H1719" s="22" t="s">
        <v>67</v>
      </c>
      <c r="I1719" s="22" t="s">
        <v>123</v>
      </c>
      <c r="J1719" s="23">
        <v>120</v>
      </c>
      <c r="K1719" s="37">
        <v>0</v>
      </c>
      <c r="M1719" s="22" t="str">
        <f>IF(OR(ISBLANK(C1719),C1719=""),"",ROUND((C1719-B1719)*24,2))</f>
        <v/>
      </c>
      <c r="N1719" s="22" t="str">
        <f>IF(OR(ISBLANK(C1719),C1719="",M1719=""),"In Progress",IF(M1719&lt;=J1719,"Met","Breached"))</f>
        <v>In Progress</v>
      </c>
    </row>
    <row r="1720" ht="19" customHeight="1" spans="1:14" x14ac:dyDescent="0.25">
      <c r="A1720" s="19" t="s">
        <v>1834</v>
      </c>
      <c r="B1720" s="33">
        <v>45780.95138888889</v>
      </c>
      <c r="C1720" s="33">
        <v>45781.73263888889</v>
      </c>
      <c r="D1720" s="19" t="s">
        <v>33</v>
      </c>
      <c r="E1720" s="19" t="s">
        <v>61</v>
      </c>
      <c r="F1720" s="19" t="s">
        <v>37</v>
      </c>
      <c r="G1720" s="19" t="s">
        <v>110</v>
      </c>
      <c r="H1720" s="19" t="s">
        <v>59</v>
      </c>
      <c r="I1720" s="19" t="s">
        <v>108</v>
      </c>
      <c r="J1720" s="20">
        <v>12</v>
      </c>
      <c r="K1720" s="34">
        <v>0</v>
      </c>
      <c r="L1720" s="34">
        <v>3</v>
      </c>
      <c r="M1720" s="19">
        <f>IF(OR(ISBLANK(C1720),C1720=""),"",ROUND((C1720-B1720)*24,2))</f>
        <v>18.75</v>
      </c>
      <c r="N1720" s="39" t="str">
        <f>IF(OR(ISBLANK(C1720),C1720="",M1720=""),"In Progress",IF(M1720&lt;=J1720,"Met","Breached"))</f>
        <v>Breached</v>
      </c>
    </row>
    <row r="1721" ht="19" customHeight="1" spans="1:14" x14ac:dyDescent="0.25">
      <c r="A1721" s="22" t="s">
        <v>1835</v>
      </c>
      <c r="B1721" s="36">
        <v>45766.93958333333</v>
      </c>
      <c r="C1721" s="36">
        <v>45768.77569444444</v>
      </c>
      <c r="D1721" s="22" t="s">
        <v>33</v>
      </c>
      <c r="E1721" s="22" t="s">
        <v>69</v>
      </c>
      <c r="F1721" s="22" t="s">
        <v>37</v>
      </c>
      <c r="G1721" s="22" t="s">
        <v>121</v>
      </c>
      <c r="H1721" s="22" t="s">
        <v>59</v>
      </c>
      <c r="I1721" s="22" t="s">
        <v>108</v>
      </c>
      <c r="J1721" s="23">
        <v>120</v>
      </c>
      <c r="K1721" s="37">
        <v>0</v>
      </c>
      <c r="M1721" s="22">
        <f>IF(OR(ISBLANK(C1721),C1721=""),"",ROUND((C1721-B1721)*24,2))</f>
        <v>44.07</v>
      </c>
      <c r="N1721" s="40" t="str">
        <f>IF(OR(ISBLANK(C1721),C1721="",M1721=""),"In Progress",IF(M1721&lt;=J1721,"Met","Breached"))</f>
        <v>Met</v>
      </c>
    </row>
    <row r="1722" ht="19" customHeight="1" spans="1:14" x14ac:dyDescent="0.25">
      <c r="A1722" s="19" t="s">
        <v>1836</v>
      </c>
      <c r="B1722" s="33">
        <v>45801.4625</v>
      </c>
      <c r="C1722" s="33">
        <v>45803.28472222222</v>
      </c>
      <c r="D1722" s="19" t="s">
        <v>36</v>
      </c>
      <c r="E1722" s="19" t="s">
        <v>65</v>
      </c>
      <c r="F1722" s="19" t="s">
        <v>34</v>
      </c>
      <c r="G1722" s="19" t="s">
        <v>121</v>
      </c>
      <c r="H1722" s="19" t="s">
        <v>63</v>
      </c>
      <c r="I1722" s="19" t="s">
        <v>108</v>
      </c>
      <c r="J1722" s="20">
        <v>48</v>
      </c>
      <c r="K1722" s="34">
        <v>0</v>
      </c>
      <c r="L1722" s="34">
        <v>1</v>
      </c>
      <c r="M1722" s="19">
        <f>IF(OR(ISBLANK(C1722),C1722=""),"",ROUND((C1722-B1722)*24,2))</f>
        <v>43.73</v>
      </c>
      <c r="N1722" s="35" t="str">
        <f>IF(OR(ISBLANK(C1722),C1722="",M1722=""),"In Progress",IF(M1722&lt;=J1722,"Met","Breached"))</f>
        <v>Met</v>
      </c>
    </row>
    <row r="1723" ht="19" customHeight="1" spans="1:14" x14ac:dyDescent="0.25">
      <c r="A1723" s="22" t="s">
        <v>1837</v>
      </c>
      <c r="B1723" s="36">
        <v>45925.294444444444</v>
      </c>
      <c r="C1723" s="36">
        <v>45925.919444444444</v>
      </c>
      <c r="D1723" s="22" t="s">
        <v>33</v>
      </c>
      <c r="E1723" s="22" t="s">
        <v>65</v>
      </c>
      <c r="F1723" s="22" t="s">
        <v>34</v>
      </c>
      <c r="G1723" s="22" t="s">
        <v>126</v>
      </c>
      <c r="H1723" s="22" t="s">
        <v>59</v>
      </c>
      <c r="I1723" s="22" t="s">
        <v>117</v>
      </c>
      <c r="J1723" s="23">
        <v>48</v>
      </c>
      <c r="K1723" s="37">
        <v>0</v>
      </c>
      <c r="L1723" s="37">
        <v>1</v>
      </c>
      <c r="M1723" s="22">
        <f>IF(OR(ISBLANK(C1723),C1723=""),"",ROUND((C1723-B1723)*24,2))</f>
        <v>15</v>
      </c>
      <c r="N1723" s="40" t="str">
        <f>IF(OR(ISBLANK(C1723),C1723="",M1723=""),"In Progress",IF(M1723&lt;=J1723,"Met","Breached"))</f>
        <v>Met</v>
      </c>
    </row>
    <row r="1724" ht="19" customHeight="1" spans="1:14" x14ac:dyDescent="0.25">
      <c r="A1724" s="19" t="s">
        <v>1838</v>
      </c>
      <c r="B1724" s="33">
        <v>46275.490277777775</v>
      </c>
      <c r="C1724" s="33">
        <v>46277.18263888889</v>
      </c>
      <c r="D1724" s="19" t="s">
        <v>33</v>
      </c>
      <c r="E1724" s="19" t="s">
        <v>69</v>
      </c>
      <c r="F1724" s="19" t="s">
        <v>40</v>
      </c>
      <c r="G1724" s="19" t="s">
        <v>126</v>
      </c>
      <c r="H1724" s="19" t="s">
        <v>63</v>
      </c>
      <c r="I1724" s="19" t="s">
        <v>123</v>
      </c>
      <c r="J1724" s="20">
        <v>120</v>
      </c>
      <c r="K1724" s="34">
        <v>1</v>
      </c>
      <c r="L1724" s="34">
        <v>3</v>
      </c>
      <c r="M1724" s="19">
        <f>IF(OR(ISBLANK(C1724),C1724=""),"",ROUND((C1724-B1724)*24,2))</f>
        <v>40.62</v>
      </c>
      <c r="N1724" s="35" t="str">
        <f>IF(OR(ISBLANK(C1724),C1724="",M1724=""),"In Progress",IF(M1724&lt;=J1724,"Met","Breached"))</f>
        <v>Met</v>
      </c>
    </row>
    <row r="1725" ht="19" customHeight="1" spans="1:14" x14ac:dyDescent="0.25">
      <c r="A1725" s="22" t="s">
        <v>1839</v>
      </c>
      <c r="B1725" s="36">
        <v>45776.03680555556</v>
      </c>
      <c r="C1725" s="36">
        <v>45776.67916666667</v>
      </c>
      <c r="D1725" s="22" t="s">
        <v>33</v>
      </c>
      <c r="E1725" s="22" t="s">
        <v>65</v>
      </c>
      <c r="F1725" s="22" t="s">
        <v>45</v>
      </c>
      <c r="G1725" s="22" t="s">
        <v>63</v>
      </c>
      <c r="H1725" s="22" t="s">
        <v>59</v>
      </c>
      <c r="I1725" s="22" t="s">
        <v>108</v>
      </c>
      <c r="J1725" s="23">
        <v>48</v>
      </c>
      <c r="K1725" s="37">
        <v>1</v>
      </c>
      <c r="L1725" s="37">
        <v>1</v>
      </c>
      <c r="M1725" s="22">
        <f>IF(OR(ISBLANK(C1725),C1725=""),"",ROUND((C1725-B1725)*24,2))</f>
        <v>15.42</v>
      </c>
      <c r="N1725" s="40" t="str">
        <f>IF(OR(ISBLANK(C1725),C1725="",M1725=""),"In Progress",IF(M1725&lt;=J1725,"Met","Breached"))</f>
        <v>Met</v>
      </c>
    </row>
    <row r="1726" ht="19" customHeight="1" spans="1:14" x14ac:dyDescent="0.25">
      <c r="A1726" s="19" t="s">
        <v>1840</v>
      </c>
      <c r="B1726" s="33">
        <v>46005.52777777778</v>
      </c>
      <c r="C1726" s="33">
        <v>46006.40902777778</v>
      </c>
      <c r="D1726" s="19" t="s">
        <v>33</v>
      </c>
      <c r="E1726" s="19" t="s">
        <v>61</v>
      </c>
      <c r="F1726" s="19" t="s">
        <v>34</v>
      </c>
      <c r="G1726" s="19" t="s">
        <v>110</v>
      </c>
      <c r="H1726" s="19" t="s">
        <v>67</v>
      </c>
      <c r="I1726" s="19" t="s">
        <v>123</v>
      </c>
      <c r="J1726" s="20">
        <v>12</v>
      </c>
      <c r="K1726" s="34">
        <v>0</v>
      </c>
      <c r="L1726" s="34">
        <v>1</v>
      </c>
      <c r="M1726" s="19">
        <f>IF(OR(ISBLANK(C1726),C1726=""),"",ROUND((C1726-B1726)*24,2))</f>
        <v>21.15</v>
      </c>
      <c r="N1726" s="39" t="str">
        <f>IF(OR(ISBLANK(C1726),C1726="",M1726=""),"In Progress",IF(M1726&lt;=J1726,"Met","Breached"))</f>
        <v>Breached</v>
      </c>
    </row>
    <row r="1727" ht="19" customHeight="1" spans="1:14" x14ac:dyDescent="0.25">
      <c r="A1727" s="22" t="s">
        <v>1841</v>
      </c>
      <c r="B1727" s="36">
        <v>46010.81111111111</v>
      </c>
      <c r="C1727" s="36">
        <v>46011.04513888889</v>
      </c>
      <c r="D1727" s="22" t="s">
        <v>33</v>
      </c>
      <c r="E1727" s="22" t="s">
        <v>61</v>
      </c>
      <c r="F1727" s="22" t="s">
        <v>40</v>
      </c>
      <c r="G1727" s="22" t="s">
        <v>63</v>
      </c>
      <c r="H1727" s="22" t="s">
        <v>59</v>
      </c>
      <c r="I1727" s="22" t="s">
        <v>123</v>
      </c>
      <c r="J1727" s="23">
        <v>12</v>
      </c>
      <c r="K1727" s="37">
        <v>1</v>
      </c>
      <c r="L1727" s="37">
        <v>4</v>
      </c>
      <c r="M1727" s="22">
        <f>IF(OR(ISBLANK(C1727),C1727=""),"",ROUND((C1727-B1727)*24,2))</f>
        <v>5.62</v>
      </c>
      <c r="N1727" s="40" t="str">
        <f>IF(OR(ISBLANK(C1727),C1727="",M1727=""),"In Progress",IF(M1727&lt;=J1727,"Met","Breached"))</f>
        <v>Met</v>
      </c>
    </row>
    <row r="1728" ht="19" customHeight="1" spans="1:14" x14ac:dyDescent="0.25">
      <c r="A1728" s="19" t="s">
        <v>1842</v>
      </c>
      <c r="B1728" s="33">
        <v>45705.429861111115</v>
      </c>
      <c r="C1728" s="33">
        <v>45713.572222222225</v>
      </c>
      <c r="D1728" s="19" t="s">
        <v>36</v>
      </c>
      <c r="E1728" s="19" t="s">
        <v>69</v>
      </c>
      <c r="F1728" s="19" t="s">
        <v>40</v>
      </c>
      <c r="G1728" s="19" t="s">
        <v>126</v>
      </c>
      <c r="H1728" s="19" t="s">
        <v>67</v>
      </c>
      <c r="I1728" s="19" t="s">
        <v>108</v>
      </c>
      <c r="J1728" s="20">
        <v>120</v>
      </c>
      <c r="K1728" s="34">
        <v>0</v>
      </c>
      <c r="L1728" s="34">
        <v>3</v>
      </c>
      <c r="M1728" s="19">
        <f>IF(OR(ISBLANK(C1728),C1728=""),"",ROUND((C1728-B1728)*24,2))</f>
        <v>195.42</v>
      </c>
      <c r="N1728" s="39" t="str">
        <f>IF(OR(ISBLANK(C1728),C1728="",M1728=""),"In Progress",IF(M1728&lt;=J1728,"Met","Breached"))</f>
        <v>Breached</v>
      </c>
    </row>
    <row r="1729" ht="19" customHeight="1" spans="1:14" x14ac:dyDescent="0.25">
      <c r="A1729" s="22" t="s">
        <v>1843</v>
      </c>
      <c r="B1729" s="36">
        <v>46147.853472222225</v>
      </c>
      <c r="C1729" s="36">
        <v>46148.27291666667</v>
      </c>
      <c r="D1729" s="22" t="s">
        <v>33</v>
      </c>
      <c r="E1729" s="22" t="s">
        <v>61</v>
      </c>
      <c r="F1729" s="22" t="s">
        <v>40</v>
      </c>
      <c r="G1729" s="22" t="s">
        <v>121</v>
      </c>
      <c r="H1729" s="22" t="s">
        <v>59</v>
      </c>
      <c r="I1729" s="22" t="s">
        <v>117</v>
      </c>
      <c r="J1729" s="23">
        <v>12</v>
      </c>
      <c r="K1729" s="37">
        <v>0</v>
      </c>
      <c r="L1729" s="37">
        <v>5</v>
      </c>
      <c r="M1729" s="22">
        <f>IF(OR(ISBLANK(C1729),C1729=""),"",ROUND((C1729-B1729)*24,2))</f>
        <v>10.07</v>
      </c>
      <c r="N1729" s="40" t="str">
        <f>IF(OR(ISBLANK(C1729),C1729="",M1729=""),"In Progress",IF(M1729&lt;=J1729,"Met","Breached"))</f>
        <v>Met</v>
      </c>
    </row>
    <row r="1730" ht="19" customHeight="1" spans="1:14" x14ac:dyDescent="0.25">
      <c r="A1730" s="19" t="s">
        <v>1844</v>
      </c>
      <c r="B1730" s="33">
        <v>45902.75902777778</v>
      </c>
      <c r="C1730" s="33">
        <v>45908.799305555556</v>
      </c>
      <c r="D1730" s="19" t="s">
        <v>33</v>
      </c>
      <c r="E1730" s="19" t="s">
        <v>69</v>
      </c>
      <c r="F1730" s="19" t="s">
        <v>43</v>
      </c>
      <c r="G1730" s="19" t="s">
        <v>116</v>
      </c>
      <c r="H1730" s="19" t="s">
        <v>71</v>
      </c>
      <c r="I1730" s="19" t="s">
        <v>111</v>
      </c>
      <c r="J1730" s="20">
        <v>120</v>
      </c>
      <c r="K1730" s="34">
        <v>0</v>
      </c>
      <c r="L1730" s="34">
        <v>2</v>
      </c>
      <c r="M1730" s="19">
        <f>IF(OR(ISBLANK(C1730),C1730=""),"",ROUND((C1730-B1730)*24,2))</f>
        <v>144.97</v>
      </c>
      <c r="N1730" s="39" t="str">
        <f>IF(OR(ISBLANK(C1730),C1730="",M1730=""),"In Progress",IF(M1730&lt;=J1730,"Met","Breached"))</f>
        <v>Breached</v>
      </c>
    </row>
    <row r="1731" ht="19" customHeight="1" spans="1:14" x14ac:dyDescent="0.25">
      <c r="A1731" s="22" t="s">
        <v>1845</v>
      </c>
      <c r="B1731" s="36">
        <v>45862.05763888889</v>
      </c>
      <c r="C1731" s="36">
        <v>45862.30138888889</v>
      </c>
      <c r="D1731" s="22" t="s">
        <v>33</v>
      </c>
      <c r="E1731" s="22" t="s">
        <v>57</v>
      </c>
      <c r="F1731" s="22" t="s">
        <v>34</v>
      </c>
      <c r="G1731" s="22" t="s">
        <v>121</v>
      </c>
      <c r="H1731" s="22" t="s">
        <v>59</v>
      </c>
      <c r="I1731" s="22" t="s">
        <v>108</v>
      </c>
      <c r="J1731" s="23">
        <v>4</v>
      </c>
      <c r="K1731" s="37">
        <v>0</v>
      </c>
      <c r="L1731" s="37">
        <v>5</v>
      </c>
      <c r="M1731" s="22">
        <f>IF(OR(ISBLANK(C1731),C1731=""),"",ROUND((C1731-B1731)*24,2))</f>
        <v>5.85</v>
      </c>
      <c r="N1731" s="38" t="str">
        <f>IF(OR(ISBLANK(C1731),C1731="",M1731=""),"In Progress",IF(M1731&lt;=J1731,"Met","Breached"))</f>
        <v>Breached</v>
      </c>
    </row>
    <row r="1732" ht="19" customHeight="1" spans="1:14" x14ac:dyDescent="0.25">
      <c r="A1732" s="19" t="s">
        <v>1846</v>
      </c>
      <c r="B1732" s="33">
        <v>45973.91180555556</v>
      </c>
      <c r="C1732" s="33">
        <v>45976.75625</v>
      </c>
      <c r="D1732" s="19" t="s">
        <v>36</v>
      </c>
      <c r="E1732" s="19" t="s">
        <v>65</v>
      </c>
      <c r="F1732" s="19" t="s">
        <v>34</v>
      </c>
      <c r="G1732" s="19" t="s">
        <v>63</v>
      </c>
      <c r="H1732" s="19" t="s">
        <v>63</v>
      </c>
      <c r="I1732" s="19" t="s">
        <v>114</v>
      </c>
      <c r="J1732" s="20">
        <v>48</v>
      </c>
      <c r="K1732" s="34">
        <v>0</v>
      </c>
      <c r="M1732" s="19">
        <f>IF(OR(ISBLANK(C1732),C1732=""),"",ROUND((C1732-B1732)*24,2))</f>
        <v>68.27</v>
      </c>
      <c r="N1732" s="39" t="str">
        <f>IF(OR(ISBLANK(C1732),C1732="",M1732=""),"In Progress",IF(M1732&lt;=J1732,"Met","Breached"))</f>
        <v>Breached</v>
      </c>
    </row>
    <row r="1733" ht="19" customHeight="1" spans="1:14" x14ac:dyDescent="0.25">
      <c r="A1733" s="22" t="s">
        <v>1847</v>
      </c>
      <c r="B1733" s="36">
        <v>45921.12708333333</v>
      </c>
      <c r="C1733" s="36">
        <v>45921.95486111111</v>
      </c>
      <c r="D1733" s="22" t="s">
        <v>36</v>
      </c>
      <c r="E1733" s="22" t="s">
        <v>61</v>
      </c>
      <c r="F1733" s="22" t="s">
        <v>37</v>
      </c>
      <c r="G1733" s="22" t="s">
        <v>63</v>
      </c>
      <c r="H1733" s="22" t="s">
        <v>59</v>
      </c>
      <c r="I1733" s="22" t="s">
        <v>147</v>
      </c>
      <c r="J1733" s="23">
        <v>12</v>
      </c>
      <c r="K1733" s="37">
        <v>0</v>
      </c>
      <c r="M1733" s="22">
        <f>IF(OR(ISBLANK(C1733),C1733=""),"",ROUND((C1733-B1733)*24,2))</f>
        <v>19.87</v>
      </c>
      <c r="N1733" s="38" t="str">
        <f>IF(OR(ISBLANK(C1733),C1733="",M1733=""),"In Progress",IF(M1733&lt;=J1733,"Met","Breached"))</f>
        <v>Breached</v>
      </c>
    </row>
    <row r="1734" ht="19" customHeight="1" spans="1:14" x14ac:dyDescent="0.25">
      <c r="A1734" s="19" t="s">
        <v>1848</v>
      </c>
      <c r="B1734" s="33">
        <v>45900.08541666667</v>
      </c>
      <c r="C1734" s="33">
        <v>45901.316666666666</v>
      </c>
      <c r="D1734" s="19" t="s">
        <v>36</v>
      </c>
      <c r="E1734" s="19" t="s">
        <v>65</v>
      </c>
      <c r="F1734" s="19" t="s">
        <v>43</v>
      </c>
      <c r="G1734" s="19" t="s">
        <v>113</v>
      </c>
      <c r="H1734" s="19" t="s">
        <v>59</v>
      </c>
      <c r="I1734" s="19" t="s">
        <v>108</v>
      </c>
      <c r="J1734" s="20">
        <v>48</v>
      </c>
      <c r="K1734" s="34">
        <v>0</v>
      </c>
      <c r="L1734" s="34">
        <v>1</v>
      </c>
      <c r="M1734" s="19">
        <f>IF(OR(ISBLANK(C1734),C1734=""),"",ROUND((C1734-B1734)*24,2))</f>
        <v>29.55</v>
      </c>
      <c r="N1734" s="35" t="str">
        <f>IF(OR(ISBLANK(C1734),C1734="",M1734=""),"In Progress",IF(M1734&lt;=J1734,"Met","Breached"))</f>
        <v>Met</v>
      </c>
    </row>
    <row r="1735" ht="19" customHeight="1" spans="1:14" x14ac:dyDescent="0.25">
      <c r="A1735" s="22" t="s">
        <v>1849</v>
      </c>
      <c r="B1735" s="36">
        <v>46163.37986111111</v>
      </c>
      <c r="C1735" s="36">
        <v>46163.60902777778</v>
      </c>
      <c r="D1735" s="22" t="s">
        <v>36</v>
      </c>
      <c r="E1735" s="22" t="s">
        <v>61</v>
      </c>
      <c r="F1735" s="22" t="s">
        <v>40</v>
      </c>
      <c r="G1735" s="22" t="s">
        <v>126</v>
      </c>
      <c r="H1735" s="22" t="s">
        <v>63</v>
      </c>
      <c r="I1735" s="22" t="s">
        <v>117</v>
      </c>
      <c r="J1735" s="23">
        <v>12</v>
      </c>
      <c r="K1735" s="37">
        <v>0</v>
      </c>
      <c r="M1735" s="22">
        <f>IF(OR(ISBLANK(C1735),C1735=""),"",ROUND((C1735-B1735)*24,2))</f>
        <v>5.5</v>
      </c>
      <c r="N1735" s="40" t="str">
        <f>IF(OR(ISBLANK(C1735),C1735="",M1735=""),"In Progress",IF(M1735&lt;=J1735,"Met","Breached"))</f>
        <v>Met</v>
      </c>
    </row>
    <row r="1736" ht="19" customHeight="1" spans="1:14" x14ac:dyDescent="0.25">
      <c r="A1736" s="19" t="s">
        <v>1850</v>
      </c>
      <c r="B1736" s="33">
        <v>45740.30138888889</v>
      </c>
      <c r="C1736" s="33">
        <v>45741.59097222222</v>
      </c>
      <c r="D1736" s="19" t="s">
        <v>33</v>
      </c>
      <c r="E1736" s="19" t="s">
        <v>65</v>
      </c>
      <c r="F1736" s="19" t="s">
        <v>37</v>
      </c>
      <c r="G1736" s="19" t="s">
        <v>121</v>
      </c>
      <c r="H1736" s="19" t="s">
        <v>71</v>
      </c>
      <c r="I1736" s="19" t="s">
        <v>147</v>
      </c>
      <c r="J1736" s="20">
        <v>48</v>
      </c>
      <c r="K1736" s="34">
        <v>0</v>
      </c>
      <c r="L1736" s="34">
        <v>3</v>
      </c>
      <c r="M1736" s="19">
        <f>IF(OR(ISBLANK(C1736),C1736=""),"",ROUND((C1736-B1736)*24,2))</f>
        <v>30.95</v>
      </c>
      <c r="N1736" s="35" t="str">
        <f>IF(OR(ISBLANK(C1736),C1736="",M1736=""),"In Progress",IF(M1736&lt;=J1736,"Met","Breached"))</f>
        <v>Met</v>
      </c>
    </row>
    <row r="1737" ht="19" customHeight="1" spans="1:14" x14ac:dyDescent="0.25">
      <c r="A1737" s="22" t="s">
        <v>1851</v>
      </c>
      <c r="B1737" s="36">
        <v>45759.45625</v>
      </c>
      <c r="C1737" s="36">
        <v>45759.73333333334</v>
      </c>
      <c r="D1737" s="22" t="s">
        <v>33</v>
      </c>
      <c r="E1737" s="22" t="s">
        <v>61</v>
      </c>
      <c r="F1737" s="22" t="s">
        <v>43</v>
      </c>
      <c r="G1737" s="22" t="s">
        <v>110</v>
      </c>
      <c r="H1737" s="22" t="s">
        <v>67</v>
      </c>
      <c r="I1737" s="22" t="s">
        <v>111</v>
      </c>
      <c r="J1737" s="23">
        <v>12</v>
      </c>
      <c r="K1737" s="37">
        <v>0</v>
      </c>
      <c r="L1737" s="37">
        <v>2</v>
      </c>
      <c r="M1737" s="22">
        <f>IF(OR(ISBLANK(C1737),C1737=""),"",ROUND((C1737-B1737)*24,2))</f>
        <v>6.65</v>
      </c>
      <c r="N1737" s="40" t="str">
        <f>IF(OR(ISBLANK(C1737),C1737="",M1737=""),"In Progress",IF(M1737&lt;=J1737,"Met","Breached"))</f>
        <v>Met</v>
      </c>
    </row>
    <row r="1738" ht="19" customHeight="1" spans="1:14" x14ac:dyDescent="0.25">
      <c r="A1738" s="19" t="s">
        <v>1852</v>
      </c>
      <c r="B1738" s="33">
        <v>46093.15486111111</v>
      </c>
      <c r="C1738" s="33">
        <v>46096.55972222222</v>
      </c>
      <c r="D1738" s="19" t="s">
        <v>36</v>
      </c>
      <c r="E1738" s="19" t="s">
        <v>69</v>
      </c>
      <c r="F1738" s="19" t="s">
        <v>40</v>
      </c>
      <c r="G1738" s="19" t="s">
        <v>113</v>
      </c>
      <c r="H1738" s="19" t="s">
        <v>59</v>
      </c>
      <c r="I1738" s="19" t="s">
        <v>147</v>
      </c>
      <c r="J1738" s="20">
        <v>120</v>
      </c>
      <c r="K1738" s="34">
        <v>0</v>
      </c>
      <c r="L1738" s="34">
        <v>5</v>
      </c>
      <c r="M1738" s="19">
        <f>IF(OR(ISBLANK(C1738),C1738=""),"",ROUND((C1738-B1738)*24,2))</f>
        <v>81.72</v>
      </c>
      <c r="N1738" s="35" t="str">
        <f>IF(OR(ISBLANK(C1738),C1738="",M1738=""),"In Progress",IF(M1738&lt;=J1738,"Met","Breached"))</f>
        <v>Met</v>
      </c>
    </row>
    <row r="1739" ht="19" customHeight="1" spans="1:14" x14ac:dyDescent="0.25">
      <c r="A1739" s="22" t="s">
        <v>1853</v>
      </c>
      <c r="B1739" s="36">
        <v>46199.32847222222</v>
      </c>
      <c r="C1739" s="36">
        <v>46207.34375</v>
      </c>
      <c r="D1739" s="22" t="s">
        <v>33</v>
      </c>
      <c r="E1739" s="22" t="s">
        <v>69</v>
      </c>
      <c r="F1739" s="22" t="s">
        <v>40</v>
      </c>
      <c r="G1739" s="22" t="s">
        <v>63</v>
      </c>
      <c r="H1739" s="22" t="s">
        <v>67</v>
      </c>
      <c r="I1739" s="22" t="s">
        <v>147</v>
      </c>
      <c r="J1739" s="23">
        <v>120</v>
      </c>
      <c r="K1739" s="37">
        <v>0</v>
      </c>
      <c r="L1739" s="37">
        <v>2</v>
      </c>
      <c r="M1739" s="22">
        <f>IF(OR(ISBLANK(C1739),C1739=""),"",ROUND((C1739-B1739)*24,2))</f>
        <v>192.37</v>
      </c>
      <c r="N1739" s="38" t="str">
        <f>IF(OR(ISBLANK(C1739),C1739="",M1739=""),"In Progress",IF(M1739&lt;=J1739,"Met","Breached"))</f>
        <v>Breached</v>
      </c>
    </row>
    <row r="1740" ht="19" customHeight="1" spans="1:14" x14ac:dyDescent="0.25">
      <c r="A1740" s="19" t="s">
        <v>1854</v>
      </c>
      <c r="B1740" s="33">
        <v>45796.94236111111</v>
      </c>
      <c r="C1740" s="33">
        <v>45798.75277777778</v>
      </c>
      <c r="D1740" s="19" t="s">
        <v>33</v>
      </c>
      <c r="E1740" s="19" t="s">
        <v>69</v>
      </c>
      <c r="F1740" s="19" t="s">
        <v>40</v>
      </c>
      <c r="G1740" s="19" t="s">
        <v>63</v>
      </c>
      <c r="H1740" s="19" t="s">
        <v>63</v>
      </c>
      <c r="I1740" s="19" t="s">
        <v>111</v>
      </c>
      <c r="J1740" s="20">
        <v>120</v>
      </c>
      <c r="K1740" s="34">
        <v>0</v>
      </c>
      <c r="M1740" s="19">
        <f>IF(OR(ISBLANK(C1740),C1740=""),"",ROUND((C1740-B1740)*24,2))</f>
        <v>43.45</v>
      </c>
      <c r="N1740" s="35" t="str">
        <f>IF(OR(ISBLANK(C1740),C1740="",M1740=""),"In Progress",IF(M1740&lt;=J1740,"Met","Breached"))</f>
        <v>Met</v>
      </c>
    </row>
    <row r="1741" ht="19" customHeight="1" spans="1:14" x14ac:dyDescent="0.25">
      <c r="A1741" s="22" t="s">
        <v>1855</v>
      </c>
      <c r="B1741" s="36">
        <v>45686.430555555555</v>
      </c>
      <c r="C1741" s="36">
        <v>45687.17638888889</v>
      </c>
      <c r="D1741" s="22" t="s">
        <v>36</v>
      </c>
      <c r="E1741" s="22" t="s">
        <v>61</v>
      </c>
      <c r="F1741" s="22" t="s">
        <v>40</v>
      </c>
      <c r="G1741" s="22" t="s">
        <v>126</v>
      </c>
      <c r="H1741" s="22" t="s">
        <v>63</v>
      </c>
      <c r="I1741" s="22" t="s">
        <v>111</v>
      </c>
      <c r="J1741" s="23">
        <v>12</v>
      </c>
      <c r="K1741" s="37">
        <v>0</v>
      </c>
      <c r="L1741" s="37">
        <v>4</v>
      </c>
      <c r="M1741" s="22">
        <f>IF(OR(ISBLANK(C1741),C1741=""),"",ROUND((C1741-B1741)*24,2))</f>
        <v>17.9</v>
      </c>
      <c r="N1741" s="38" t="str">
        <f>IF(OR(ISBLANK(C1741),C1741="",M1741=""),"In Progress",IF(M1741&lt;=J1741,"Met","Breached"))</f>
        <v>Breached</v>
      </c>
    </row>
    <row r="1742" ht="19" customHeight="1" spans="1:14" x14ac:dyDescent="0.25">
      <c r="A1742" s="19" t="s">
        <v>1856</v>
      </c>
      <c r="B1742" s="33">
        <v>45708.85763888889</v>
      </c>
      <c r="C1742" s="33">
        <v>45715.330555555556</v>
      </c>
      <c r="D1742" s="19" t="s">
        <v>36</v>
      </c>
      <c r="E1742" s="19" t="s">
        <v>69</v>
      </c>
      <c r="F1742" s="19" t="s">
        <v>37</v>
      </c>
      <c r="G1742" s="19" t="s">
        <v>126</v>
      </c>
      <c r="H1742" s="19" t="s">
        <v>59</v>
      </c>
      <c r="I1742" s="19" t="s">
        <v>114</v>
      </c>
      <c r="J1742" s="20">
        <v>120</v>
      </c>
      <c r="K1742" s="34">
        <v>1</v>
      </c>
      <c r="L1742" s="34">
        <v>5</v>
      </c>
      <c r="M1742" s="19">
        <f>IF(OR(ISBLANK(C1742),C1742=""),"",ROUND((C1742-B1742)*24,2))</f>
        <v>155.35</v>
      </c>
      <c r="N1742" s="39" t="str">
        <f>IF(OR(ISBLANK(C1742),C1742="",M1742=""),"In Progress",IF(M1742&lt;=J1742,"Met","Breached"))</f>
        <v>Breached</v>
      </c>
    </row>
    <row r="1743" ht="19" customHeight="1" spans="1:14" x14ac:dyDescent="0.25">
      <c r="A1743" s="22" t="s">
        <v>1857</v>
      </c>
      <c r="B1743" s="36">
        <v>45759.540972222225</v>
      </c>
      <c r="C1743" s="36">
        <v>45761.82083333333</v>
      </c>
      <c r="D1743" s="22" t="s">
        <v>36</v>
      </c>
      <c r="E1743" s="22" t="s">
        <v>65</v>
      </c>
      <c r="F1743" s="22" t="s">
        <v>37</v>
      </c>
      <c r="G1743" s="22" t="s">
        <v>113</v>
      </c>
      <c r="H1743" s="22" t="s">
        <v>59</v>
      </c>
      <c r="I1743" s="22" t="s">
        <v>123</v>
      </c>
      <c r="J1743" s="23">
        <v>48</v>
      </c>
      <c r="K1743" s="37">
        <v>0</v>
      </c>
      <c r="M1743" s="22">
        <f>IF(OR(ISBLANK(C1743),C1743=""),"",ROUND((C1743-B1743)*24,2))</f>
        <v>54.72</v>
      </c>
      <c r="N1743" s="38" t="str">
        <f>IF(OR(ISBLANK(C1743),C1743="",M1743=""),"In Progress",IF(M1743&lt;=J1743,"Met","Breached"))</f>
        <v>Breached</v>
      </c>
    </row>
    <row r="1744" ht="19" customHeight="1" spans="1:14" x14ac:dyDescent="0.25">
      <c r="A1744" s="19" t="s">
        <v>1858</v>
      </c>
      <c r="B1744" s="33">
        <v>45925.49652777778</v>
      </c>
      <c r="C1744" s="33">
        <v>45926.129166666666</v>
      </c>
      <c r="D1744" s="19" t="s">
        <v>33</v>
      </c>
      <c r="E1744" s="19" t="s">
        <v>65</v>
      </c>
      <c r="F1744" s="19" t="s">
        <v>45</v>
      </c>
      <c r="G1744" s="19" t="s">
        <v>110</v>
      </c>
      <c r="H1744" s="19" t="s">
        <v>59</v>
      </c>
      <c r="I1744" s="19" t="s">
        <v>147</v>
      </c>
      <c r="J1744" s="20">
        <v>48</v>
      </c>
      <c r="K1744" s="34">
        <v>1</v>
      </c>
      <c r="M1744" s="19">
        <f>IF(OR(ISBLANK(C1744),C1744=""),"",ROUND((C1744-B1744)*24,2))</f>
        <v>15.18</v>
      </c>
      <c r="N1744" s="35" t="str">
        <f>IF(OR(ISBLANK(C1744),C1744="",M1744=""),"In Progress",IF(M1744&lt;=J1744,"Met","Breached"))</f>
        <v>Met</v>
      </c>
    </row>
    <row r="1745" ht="19" customHeight="1" spans="1:14" x14ac:dyDescent="0.25">
      <c r="A1745" s="22" t="s">
        <v>1859</v>
      </c>
      <c r="B1745" s="36">
        <v>46210.35625</v>
      </c>
      <c r="C1745" s="36">
        <v>46213.56805555556</v>
      </c>
      <c r="D1745" s="22" t="s">
        <v>36</v>
      </c>
      <c r="E1745" s="22" t="s">
        <v>65</v>
      </c>
      <c r="F1745" s="22" t="s">
        <v>37</v>
      </c>
      <c r="G1745" s="22" t="s">
        <v>116</v>
      </c>
      <c r="H1745" s="22" t="s">
        <v>63</v>
      </c>
      <c r="I1745" s="22" t="s">
        <v>114</v>
      </c>
      <c r="J1745" s="23">
        <v>48</v>
      </c>
      <c r="K1745" s="37">
        <v>0</v>
      </c>
      <c r="M1745" s="22">
        <f>IF(OR(ISBLANK(C1745),C1745=""),"",ROUND((C1745-B1745)*24,2))</f>
        <v>77.08</v>
      </c>
      <c r="N1745" s="38" t="str">
        <f>IF(OR(ISBLANK(C1745),C1745="",M1745=""),"In Progress",IF(M1745&lt;=J1745,"Met","Breached"))</f>
        <v>Breached</v>
      </c>
    </row>
    <row r="1746" ht="19" customHeight="1" spans="1:14" x14ac:dyDescent="0.25">
      <c r="A1746" s="19" t="s">
        <v>1860</v>
      </c>
      <c r="B1746" s="33">
        <v>46281.69652777778</v>
      </c>
      <c r="C1746" s="33">
        <v>46282.62986111111</v>
      </c>
      <c r="D1746" s="19" t="s">
        <v>36</v>
      </c>
      <c r="E1746" s="19" t="s">
        <v>65</v>
      </c>
      <c r="F1746" s="19" t="s">
        <v>40</v>
      </c>
      <c r="G1746" s="19" t="s">
        <v>63</v>
      </c>
      <c r="H1746" s="19" t="s">
        <v>59</v>
      </c>
      <c r="I1746" s="19" t="s">
        <v>114</v>
      </c>
      <c r="J1746" s="20">
        <v>48</v>
      </c>
      <c r="K1746" s="34">
        <v>0</v>
      </c>
      <c r="L1746" s="34">
        <v>5</v>
      </c>
      <c r="M1746" s="19">
        <f>IF(OR(ISBLANK(C1746),C1746=""),"",ROUND((C1746-B1746)*24,2))</f>
        <v>22.4</v>
      </c>
      <c r="N1746" s="35" t="str">
        <f>IF(OR(ISBLANK(C1746),C1746="",M1746=""),"In Progress",IF(M1746&lt;=J1746,"Met","Breached"))</f>
        <v>Met</v>
      </c>
    </row>
    <row r="1747" ht="19" customHeight="1" spans="1:14" x14ac:dyDescent="0.25">
      <c r="A1747" s="22" t="s">
        <v>1861</v>
      </c>
      <c r="B1747" s="36">
        <v>46096.57638888889</v>
      </c>
      <c r="D1747" s="22" t="s">
        <v>42</v>
      </c>
      <c r="E1747" s="22" t="s">
        <v>65</v>
      </c>
      <c r="F1747" s="22" t="s">
        <v>37</v>
      </c>
      <c r="G1747" s="22" t="s">
        <v>121</v>
      </c>
      <c r="H1747" s="22" t="s">
        <v>59</v>
      </c>
      <c r="I1747" s="22" t="s">
        <v>117</v>
      </c>
      <c r="J1747" s="23">
        <v>48</v>
      </c>
      <c r="K1747" s="37">
        <v>0</v>
      </c>
      <c r="M1747" s="22" t="str">
        <f>IF(OR(ISBLANK(C1747),C1747=""),"",ROUND((C1747-B1747)*24,2))</f>
        <v/>
      </c>
      <c r="N1747" s="22" t="str">
        <f>IF(OR(ISBLANK(C1747),C1747="",M1747=""),"In Progress",IF(M1747&lt;=J1747,"Met","Breached"))</f>
        <v>In Progress</v>
      </c>
    </row>
    <row r="1748" ht="19" customHeight="1" spans="1:14" x14ac:dyDescent="0.25">
      <c r="A1748" s="19" t="s">
        <v>1862</v>
      </c>
      <c r="B1748" s="33">
        <v>46193.00069444445</v>
      </c>
      <c r="C1748" s="33">
        <v>46196.51111111111</v>
      </c>
      <c r="D1748" s="19" t="s">
        <v>33</v>
      </c>
      <c r="E1748" s="19" t="s">
        <v>65</v>
      </c>
      <c r="F1748" s="19" t="s">
        <v>37</v>
      </c>
      <c r="G1748" s="19" t="s">
        <v>126</v>
      </c>
      <c r="H1748" s="19" t="s">
        <v>71</v>
      </c>
      <c r="I1748" s="19" t="s">
        <v>117</v>
      </c>
      <c r="J1748" s="20">
        <v>48</v>
      </c>
      <c r="K1748" s="34">
        <v>0</v>
      </c>
      <c r="L1748" s="34">
        <v>1</v>
      </c>
      <c r="M1748" s="19">
        <f>IF(OR(ISBLANK(C1748),C1748=""),"",ROUND((C1748-B1748)*24,2))</f>
        <v>84.25</v>
      </c>
      <c r="N1748" s="39" t="str">
        <f>IF(OR(ISBLANK(C1748),C1748="",M1748=""),"In Progress",IF(M1748&lt;=J1748,"Met","Breached"))</f>
        <v>Breached</v>
      </c>
    </row>
    <row r="1749" ht="19" customHeight="1" spans="1:14" x14ac:dyDescent="0.25">
      <c r="A1749" s="22" t="s">
        <v>1863</v>
      </c>
      <c r="B1749" s="36">
        <v>45685.30208333333</v>
      </c>
      <c r="C1749" s="36">
        <v>45688.72986111111</v>
      </c>
      <c r="D1749" s="22" t="s">
        <v>33</v>
      </c>
      <c r="E1749" s="22" t="s">
        <v>69</v>
      </c>
      <c r="F1749" s="22" t="s">
        <v>43</v>
      </c>
      <c r="G1749" s="22" t="s">
        <v>116</v>
      </c>
      <c r="H1749" s="22" t="s">
        <v>59</v>
      </c>
      <c r="I1749" s="22" t="s">
        <v>147</v>
      </c>
      <c r="J1749" s="23">
        <v>120</v>
      </c>
      <c r="K1749" s="37">
        <v>1</v>
      </c>
      <c r="L1749" s="37">
        <v>4</v>
      </c>
      <c r="M1749" s="22">
        <f>IF(OR(ISBLANK(C1749),C1749=""),"",ROUND((C1749-B1749)*24,2))</f>
        <v>82.27</v>
      </c>
      <c r="N1749" s="40" t="str">
        <f>IF(OR(ISBLANK(C1749),C1749="",M1749=""),"In Progress",IF(M1749&lt;=J1749,"Met","Breached"))</f>
        <v>Met</v>
      </c>
    </row>
    <row r="1750" ht="19" customHeight="1" spans="1:14" x14ac:dyDescent="0.25">
      <c r="A1750" s="19" t="s">
        <v>1864</v>
      </c>
      <c r="B1750" s="33">
        <v>45936.90972222222</v>
      </c>
      <c r="C1750" s="33">
        <v>45937.14097222222</v>
      </c>
      <c r="D1750" s="19" t="s">
        <v>33</v>
      </c>
      <c r="E1750" s="19" t="s">
        <v>57</v>
      </c>
      <c r="F1750" s="19" t="s">
        <v>40</v>
      </c>
      <c r="G1750" s="19" t="s">
        <v>63</v>
      </c>
      <c r="H1750" s="19" t="s">
        <v>63</v>
      </c>
      <c r="I1750" s="19" t="s">
        <v>111</v>
      </c>
      <c r="J1750" s="20">
        <v>4</v>
      </c>
      <c r="K1750" s="34">
        <v>0</v>
      </c>
      <c r="M1750" s="19">
        <f>IF(OR(ISBLANK(C1750),C1750=""),"",ROUND((C1750-B1750)*24,2))</f>
        <v>5.55</v>
      </c>
      <c r="N1750" s="39" t="str">
        <f>IF(OR(ISBLANK(C1750),C1750="",M1750=""),"In Progress",IF(M1750&lt;=J1750,"Met","Breached"))</f>
        <v>Breached</v>
      </c>
    </row>
    <row r="1751" ht="19" customHeight="1" spans="1:14" x14ac:dyDescent="0.25">
      <c r="A1751" s="22" t="s">
        <v>1865</v>
      </c>
      <c r="B1751" s="36">
        <v>46237.12569444445</v>
      </c>
      <c r="D1751" s="22" t="s">
        <v>39</v>
      </c>
      <c r="E1751" s="22" t="s">
        <v>65</v>
      </c>
      <c r="F1751" s="22" t="s">
        <v>37</v>
      </c>
      <c r="G1751" s="22" t="s">
        <v>116</v>
      </c>
      <c r="H1751" s="22" t="s">
        <v>59</v>
      </c>
      <c r="I1751" s="22" t="s">
        <v>111</v>
      </c>
      <c r="J1751" s="23">
        <v>48</v>
      </c>
      <c r="K1751" s="37">
        <v>0</v>
      </c>
      <c r="M1751" s="22" t="str">
        <f>IF(OR(ISBLANK(C1751),C1751=""),"",ROUND((C1751-B1751)*24,2))</f>
        <v/>
      </c>
      <c r="N1751" s="22" t="str">
        <f>IF(OR(ISBLANK(C1751),C1751="",M1751=""),"In Progress",IF(M1751&lt;=J1751,"Met","Breached"))</f>
        <v>In Progress</v>
      </c>
    </row>
    <row r="1752" ht="19" customHeight="1" spans="1:14" x14ac:dyDescent="0.25">
      <c r="A1752" s="19" t="s">
        <v>1866</v>
      </c>
      <c r="B1752" s="33">
        <v>46137.603472222225</v>
      </c>
      <c r="C1752" s="33">
        <v>46138.45486111111</v>
      </c>
      <c r="D1752" s="19" t="s">
        <v>33</v>
      </c>
      <c r="E1752" s="19" t="s">
        <v>61</v>
      </c>
      <c r="F1752" s="19" t="s">
        <v>34</v>
      </c>
      <c r="G1752" s="19" t="s">
        <v>113</v>
      </c>
      <c r="H1752" s="19" t="s">
        <v>67</v>
      </c>
      <c r="I1752" s="19" t="s">
        <v>123</v>
      </c>
      <c r="J1752" s="20">
        <v>12</v>
      </c>
      <c r="K1752" s="34">
        <v>0</v>
      </c>
      <c r="M1752" s="19">
        <f>IF(OR(ISBLANK(C1752),C1752=""),"",ROUND((C1752-B1752)*24,2))</f>
        <v>20.43</v>
      </c>
      <c r="N1752" s="39" t="str">
        <f>IF(OR(ISBLANK(C1752),C1752="",M1752=""),"In Progress",IF(M1752&lt;=J1752,"Met","Breached"))</f>
        <v>Breached</v>
      </c>
    </row>
    <row r="1753" ht="19" customHeight="1" spans="1:14" x14ac:dyDescent="0.25">
      <c r="A1753" s="22" t="s">
        <v>1867</v>
      </c>
      <c r="B1753" s="36">
        <v>46073.13958333334</v>
      </c>
      <c r="C1753" s="36">
        <v>46079.100694444445</v>
      </c>
      <c r="D1753" s="22" t="s">
        <v>33</v>
      </c>
      <c r="E1753" s="22" t="s">
        <v>69</v>
      </c>
      <c r="F1753" s="22" t="s">
        <v>37</v>
      </c>
      <c r="G1753" s="22" t="s">
        <v>110</v>
      </c>
      <c r="H1753" s="22" t="s">
        <v>59</v>
      </c>
      <c r="I1753" s="22" t="s">
        <v>147</v>
      </c>
      <c r="J1753" s="23">
        <v>120</v>
      </c>
      <c r="K1753" s="37">
        <v>0</v>
      </c>
      <c r="L1753" s="37">
        <v>4</v>
      </c>
      <c r="M1753" s="22">
        <f>IF(OR(ISBLANK(C1753),C1753=""),"",ROUND((C1753-B1753)*24,2))</f>
        <v>143.07</v>
      </c>
      <c r="N1753" s="38" t="str">
        <f>IF(OR(ISBLANK(C1753),C1753="",M1753=""),"In Progress",IF(M1753&lt;=J1753,"Met","Breached"))</f>
        <v>Breached</v>
      </c>
    </row>
    <row r="1754" ht="19" customHeight="1" spans="1:14" x14ac:dyDescent="0.25">
      <c r="A1754" s="19" t="s">
        <v>1868</v>
      </c>
      <c r="B1754" s="33">
        <v>46196.304861111115</v>
      </c>
      <c r="C1754" s="33">
        <v>46196.45833333333</v>
      </c>
      <c r="D1754" s="19" t="s">
        <v>33</v>
      </c>
      <c r="E1754" s="19" t="s">
        <v>61</v>
      </c>
      <c r="F1754" s="19" t="s">
        <v>43</v>
      </c>
      <c r="G1754" s="19" t="s">
        <v>63</v>
      </c>
      <c r="H1754" s="19" t="s">
        <v>63</v>
      </c>
      <c r="I1754" s="19" t="s">
        <v>114</v>
      </c>
      <c r="J1754" s="20">
        <v>12</v>
      </c>
      <c r="K1754" s="34">
        <v>0</v>
      </c>
      <c r="L1754" s="34">
        <v>1</v>
      </c>
      <c r="M1754" s="19">
        <f>IF(OR(ISBLANK(C1754),C1754=""),"",ROUND((C1754-B1754)*24,2))</f>
        <v>3.68</v>
      </c>
      <c r="N1754" s="35" t="str">
        <f>IF(OR(ISBLANK(C1754),C1754="",M1754=""),"In Progress",IF(M1754&lt;=J1754,"Met","Breached"))</f>
        <v>Met</v>
      </c>
    </row>
    <row r="1755" ht="19" customHeight="1" spans="1:14" x14ac:dyDescent="0.25">
      <c r="A1755" s="22" t="s">
        <v>1869</v>
      </c>
      <c r="B1755" s="36">
        <v>46017.57777777778</v>
      </c>
      <c r="C1755" s="36">
        <v>46017.64027777778</v>
      </c>
      <c r="D1755" s="22" t="s">
        <v>33</v>
      </c>
      <c r="E1755" s="22" t="s">
        <v>57</v>
      </c>
      <c r="F1755" s="22" t="s">
        <v>40</v>
      </c>
      <c r="G1755" s="22" t="s">
        <v>121</v>
      </c>
      <c r="H1755" s="22" t="s">
        <v>59</v>
      </c>
      <c r="I1755" s="22" t="s">
        <v>147</v>
      </c>
      <c r="J1755" s="23">
        <v>4</v>
      </c>
      <c r="K1755" s="37">
        <v>0</v>
      </c>
      <c r="M1755" s="22">
        <f>IF(OR(ISBLANK(C1755),C1755=""),"",ROUND((C1755-B1755)*24,2))</f>
        <v>1.5</v>
      </c>
      <c r="N1755" s="40" t="str">
        <f>IF(OR(ISBLANK(C1755),C1755="",M1755=""),"In Progress",IF(M1755&lt;=J1755,"Met","Breached"))</f>
        <v>Met</v>
      </c>
    </row>
    <row r="1756" ht="19" customHeight="1" spans="1:14" x14ac:dyDescent="0.25">
      <c r="A1756" s="19" t="s">
        <v>1870</v>
      </c>
      <c r="B1756" s="33">
        <v>46052.97013888889</v>
      </c>
      <c r="C1756" s="33">
        <v>46055.28958333333</v>
      </c>
      <c r="D1756" s="19" t="s">
        <v>33</v>
      </c>
      <c r="E1756" s="19" t="s">
        <v>65</v>
      </c>
      <c r="F1756" s="19" t="s">
        <v>43</v>
      </c>
      <c r="G1756" s="19" t="s">
        <v>116</v>
      </c>
      <c r="H1756" s="19" t="s">
        <v>67</v>
      </c>
      <c r="I1756" s="19" t="s">
        <v>114</v>
      </c>
      <c r="J1756" s="20">
        <v>48</v>
      </c>
      <c r="K1756" s="34">
        <v>0</v>
      </c>
      <c r="L1756" s="34">
        <v>5</v>
      </c>
      <c r="M1756" s="19">
        <f>IF(OR(ISBLANK(C1756),C1756=""),"",ROUND((C1756-B1756)*24,2))</f>
        <v>55.67</v>
      </c>
      <c r="N1756" s="39" t="str">
        <f>IF(OR(ISBLANK(C1756),C1756="",M1756=""),"In Progress",IF(M1756&lt;=J1756,"Met","Breached"))</f>
        <v>Breached</v>
      </c>
    </row>
    <row r="1757" ht="19" customHeight="1" spans="1:14" x14ac:dyDescent="0.25">
      <c r="A1757" s="22" t="s">
        <v>1871</v>
      </c>
      <c r="B1757" s="36">
        <v>45852.4125</v>
      </c>
      <c r="C1757" s="36">
        <v>45860.92152777778</v>
      </c>
      <c r="D1757" s="22" t="s">
        <v>36</v>
      </c>
      <c r="E1757" s="22" t="s">
        <v>69</v>
      </c>
      <c r="F1757" s="22" t="s">
        <v>45</v>
      </c>
      <c r="G1757" s="22" t="s">
        <v>113</v>
      </c>
      <c r="H1757" s="22" t="s">
        <v>59</v>
      </c>
      <c r="I1757" s="22" t="s">
        <v>123</v>
      </c>
      <c r="J1757" s="23">
        <v>120</v>
      </c>
      <c r="K1757" s="37">
        <v>0</v>
      </c>
      <c r="M1757" s="22">
        <f>IF(OR(ISBLANK(C1757),C1757=""),"",ROUND((C1757-B1757)*24,2))</f>
        <v>204.22</v>
      </c>
      <c r="N1757" s="38" t="str">
        <f>IF(OR(ISBLANK(C1757),C1757="",M1757=""),"In Progress",IF(M1757&lt;=J1757,"Met","Breached"))</f>
        <v>Breached</v>
      </c>
    </row>
    <row r="1758" ht="19" customHeight="1" spans="1:14" x14ac:dyDescent="0.25">
      <c r="A1758" s="19" t="s">
        <v>1872</v>
      </c>
      <c r="B1758" s="33">
        <v>45818.25625</v>
      </c>
      <c r="C1758" s="33">
        <v>45818.65069444444</v>
      </c>
      <c r="D1758" s="19" t="s">
        <v>36</v>
      </c>
      <c r="E1758" s="19" t="s">
        <v>61</v>
      </c>
      <c r="F1758" s="19" t="s">
        <v>40</v>
      </c>
      <c r="G1758" s="19" t="s">
        <v>126</v>
      </c>
      <c r="H1758" s="19" t="s">
        <v>59</v>
      </c>
      <c r="I1758" s="19" t="s">
        <v>108</v>
      </c>
      <c r="J1758" s="20">
        <v>12</v>
      </c>
      <c r="K1758" s="34">
        <v>0</v>
      </c>
      <c r="L1758" s="34">
        <v>2</v>
      </c>
      <c r="M1758" s="19">
        <f>IF(OR(ISBLANK(C1758),C1758=""),"",ROUND((C1758-B1758)*24,2))</f>
        <v>9.47</v>
      </c>
      <c r="N1758" s="35" t="str">
        <f>IF(OR(ISBLANK(C1758),C1758="",M1758=""),"In Progress",IF(M1758&lt;=J1758,"Met","Breached"))</f>
        <v>Met</v>
      </c>
    </row>
    <row r="1759" ht="19" customHeight="1" spans="1:14" x14ac:dyDescent="0.25">
      <c r="A1759" s="22" t="s">
        <v>1873</v>
      </c>
      <c r="B1759" s="36">
        <v>45698.830555555556</v>
      </c>
      <c r="C1759" s="36">
        <v>45701.53125</v>
      </c>
      <c r="D1759" s="22" t="s">
        <v>33</v>
      </c>
      <c r="E1759" s="22" t="s">
        <v>65</v>
      </c>
      <c r="F1759" s="22" t="s">
        <v>37</v>
      </c>
      <c r="G1759" s="22" t="s">
        <v>116</v>
      </c>
      <c r="H1759" s="22" t="s">
        <v>59</v>
      </c>
      <c r="I1759" s="22" t="s">
        <v>147</v>
      </c>
      <c r="J1759" s="23">
        <v>48</v>
      </c>
      <c r="K1759" s="37">
        <v>0</v>
      </c>
      <c r="L1759" s="37">
        <v>4</v>
      </c>
      <c r="M1759" s="22">
        <f>IF(OR(ISBLANK(C1759),C1759=""),"",ROUND((C1759-B1759)*24,2))</f>
        <v>64.82</v>
      </c>
      <c r="N1759" s="38" t="str">
        <f>IF(OR(ISBLANK(C1759),C1759="",M1759=""),"In Progress",IF(M1759&lt;=J1759,"Met","Breached"))</f>
        <v>Breached</v>
      </c>
    </row>
    <row r="1760" ht="19" customHeight="1" spans="1:14" x14ac:dyDescent="0.25">
      <c r="A1760" s="19" t="s">
        <v>1874</v>
      </c>
      <c r="B1760" s="33">
        <v>45993.55625</v>
      </c>
      <c r="C1760" s="33">
        <v>45994.05625</v>
      </c>
      <c r="D1760" s="19" t="s">
        <v>36</v>
      </c>
      <c r="E1760" s="19" t="s">
        <v>61</v>
      </c>
      <c r="F1760" s="19" t="s">
        <v>37</v>
      </c>
      <c r="G1760" s="19" t="s">
        <v>126</v>
      </c>
      <c r="H1760" s="19" t="s">
        <v>59</v>
      </c>
      <c r="I1760" s="19" t="s">
        <v>147</v>
      </c>
      <c r="J1760" s="20">
        <v>12</v>
      </c>
      <c r="K1760" s="34">
        <v>0</v>
      </c>
      <c r="L1760" s="34">
        <v>4</v>
      </c>
      <c r="M1760" s="19">
        <f>IF(OR(ISBLANK(C1760),C1760=""),"",ROUND((C1760-B1760)*24,2))</f>
        <v>12</v>
      </c>
      <c r="N1760" s="35" t="str">
        <f>IF(OR(ISBLANK(C1760),C1760="",M1760=""),"In Progress",IF(M1760&lt;=J1760,"Met","Breached"))</f>
        <v>Met</v>
      </c>
    </row>
    <row r="1761" ht="19" customHeight="1" spans="1:14" x14ac:dyDescent="0.25">
      <c r="A1761" s="22" t="s">
        <v>1875</v>
      </c>
      <c r="B1761" s="36">
        <v>45665.2375</v>
      </c>
      <c r="C1761" s="36">
        <v>45665.29027777778</v>
      </c>
      <c r="D1761" s="22" t="s">
        <v>33</v>
      </c>
      <c r="E1761" s="22" t="s">
        <v>57</v>
      </c>
      <c r="F1761" s="22" t="s">
        <v>43</v>
      </c>
      <c r="G1761" s="22" t="s">
        <v>116</v>
      </c>
      <c r="H1761" s="22" t="s">
        <v>59</v>
      </c>
      <c r="I1761" s="22" t="s">
        <v>114</v>
      </c>
      <c r="J1761" s="23">
        <v>4</v>
      </c>
      <c r="K1761" s="37">
        <v>0</v>
      </c>
      <c r="L1761" s="37">
        <v>4</v>
      </c>
      <c r="M1761" s="22">
        <f>IF(OR(ISBLANK(C1761),C1761=""),"",ROUND((C1761-B1761)*24,2))</f>
        <v>1.27</v>
      </c>
      <c r="N1761" s="40" t="str">
        <f>IF(OR(ISBLANK(C1761),C1761="",M1761=""),"In Progress",IF(M1761&lt;=J1761,"Met","Breached"))</f>
        <v>Met</v>
      </c>
    </row>
    <row r="1762" ht="19" customHeight="1" spans="1:14" x14ac:dyDescent="0.25">
      <c r="A1762" s="19" t="s">
        <v>1876</v>
      </c>
      <c r="B1762" s="33">
        <v>46136.64166666666</v>
      </c>
      <c r="C1762" s="33">
        <v>46137.85208333333</v>
      </c>
      <c r="D1762" s="19" t="s">
        <v>33</v>
      </c>
      <c r="E1762" s="19" t="s">
        <v>65</v>
      </c>
      <c r="F1762" s="19" t="s">
        <v>37</v>
      </c>
      <c r="G1762" s="19" t="s">
        <v>110</v>
      </c>
      <c r="H1762" s="19" t="s">
        <v>59</v>
      </c>
      <c r="I1762" s="19" t="s">
        <v>108</v>
      </c>
      <c r="J1762" s="20">
        <v>48</v>
      </c>
      <c r="K1762" s="34">
        <v>0</v>
      </c>
      <c r="L1762" s="34">
        <v>4</v>
      </c>
      <c r="M1762" s="19">
        <f>IF(OR(ISBLANK(C1762),C1762=""),"",ROUND((C1762-B1762)*24,2))</f>
        <v>29.05</v>
      </c>
      <c r="N1762" s="35" t="str">
        <f>IF(OR(ISBLANK(C1762),C1762="",M1762=""),"In Progress",IF(M1762&lt;=J1762,"Met","Breached"))</f>
        <v>Met</v>
      </c>
    </row>
    <row r="1763" ht="19" customHeight="1" spans="1:14" x14ac:dyDescent="0.25">
      <c r="A1763" s="22" t="s">
        <v>1877</v>
      </c>
      <c r="B1763" s="36">
        <v>46182.78472222222</v>
      </c>
      <c r="D1763" s="22" t="s">
        <v>39</v>
      </c>
      <c r="E1763" s="22" t="s">
        <v>65</v>
      </c>
      <c r="F1763" s="22" t="s">
        <v>40</v>
      </c>
      <c r="G1763" s="22" t="s">
        <v>121</v>
      </c>
      <c r="H1763" s="22" t="s">
        <v>59</v>
      </c>
      <c r="I1763" s="22" t="s">
        <v>123</v>
      </c>
      <c r="J1763" s="23">
        <v>48</v>
      </c>
      <c r="K1763" s="37">
        <v>0</v>
      </c>
      <c r="M1763" s="22" t="str">
        <f>IF(OR(ISBLANK(C1763),C1763=""),"",ROUND((C1763-B1763)*24,2))</f>
        <v/>
      </c>
      <c r="N1763" s="22" t="str">
        <f>IF(OR(ISBLANK(C1763),C1763="",M1763=""),"In Progress",IF(M1763&lt;=J1763,"Met","Breached"))</f>
        <v>In Progress</v>
      </c>
    </row>
    <row r="1764" ht="19" customHeight="1" spans="1:14" x14ac:dyDescent="0.25">
      <c r="A1764" s="19" t="s">
        <v>1878</v>
      </c>
      <c r="B1764" s="33">
        <v>45999.01388888889</v>
      </c>
      <c r="C1764" s="33">
        <v>46000.08333333333</v>
      </c>
      <c r="D1764" s="19" t="s">
        <v>33</v>
      </c>
      <c r="E1764" s="19" t="s">
        <v>65</v>
      </c>
      <c r="F1764" s="19" t="s">
        <v>37</v>
      </c>
      <c r="G1764" s="19" t="s">
        <v>110</v>
      </c>
      <c r="H1764" s="19" t="s">
        <v>59</v>
      </c>
      <c r="I1764" s="19" t="s">
        <v>111</v>
      </c>
      <c r="J1764" s="20">
        <v>48</v>
      </c>
      <c r="K1764" s="34">
        <v>0</v>
      </c>
      <c r="L1764" s="34">
        <v>3</v>
      </c>
      <c r="M1764" s="19">
        <f>IF(OR(ISBLANK(C1764),C1764=""),"",ROUND((C1764-B1764)*24,2))</f>
        <v>25.67</v>
      </c>
      <c r="N1764" s="35" t="str">
        <f>IF(OR(ISBLANK(C1764),C1764="",M1764=""),"In Progress",IF(M1764&lt;=J1764,"Met","Breached"))</f>
        <v>Met</v>
      </c>
    </row>
    <row r="1765" ht="19" customHeight="1" spans="1:14" x14ac:dyDescent="0.25">
      <c r="A1765" s="22" t="s">
        <v>1879</v>
      </c>
      <c r="B1765" s="36">
        <v>46253.81805555556</v>
      </c>
      <c r="D1765" s="22" t="s">
        <v>39</v>
      </c>
      <c r="E1765" s="22" t="s">
        <v>69</v>
      </c>
      <c r="F1765" s="22" t="s">
        <v>34</v>
      </c>
      <c r="G1765" s="22" t="s">
        <v>110</v>
      </c>
      <c r="H1765" s="22" t="s">
        <v>63</v>
      </c>
      <c r="I1765" s="22" t="s">
        <v>147</v>
      </c>
      <c r="J1765" s="23">
        <v>120</v>
      </c>
      <c r="K1765" s="37">
        <v>0</v>
      </c>
      <c r="M1765" s="22" t="str">
        <f>IF(OR(ISBLANK(C1765),C1765=""),"",ROUND((C1765-B1765)*24,2))</f>
        <v/>
      </c>
      <c r="N1765" s="22" t="str">
        <f>IF(OR(ISBLANK(C1765),C1765="",M1765=""),"In Progress",IF(M1765&lt;=J1765,"Met","Breached"))</f>
        <v>In Progress</v>
      </c>
    </row>
    <row r="1766" ht="19" customHeight="1" spans="1:14" x14ac:dyDescent="0.25">
      <c r="A1766" s="19" t="s">
        <v>1880</v>
      </c>
      <c r="B1766" s="33">
        <v>46068.040972222225</v>
      </c>
      <c r="C1766" s="33">
        <v>46069.55138888889</v>
      </c>
      <c r="D1766" s="19" t="s">
        <v>36</v>
      </c>
      <c r="E1766" s="19" t="s">
        <v>65</v>
      </c>
      <c r="F1766" s="19" t="s">
        <v>34</v>
      </c>
      <c r="G1766" s="19" t="s">
        <v>121</v>
      </c>
      <c r="H1766" s="19" t="s">
        <v>59</v>
      </c>
      <c r="I1766" s="19" t="s">
        <v>111</v>
      </c>
      <c r="J1766" s="20">
        <v>48</v>
      </c>
      <c r="K1766" s="34">
        <v>0</v>
      </c>
      <c r="M1766" s="19">
        <f>IF(OR(ISBLANK(C1766),C1766=""),"",ROUND((C1766-B1766)*24,2))</f>
        <v>36.25</v>
      </c>
      <c r="N1766" s="35" t="str">
        <f>IF(OR(ISBLANK(C1766),C1766="",M1766=""),"In Progress",IF(M1766&lt;=J1766,"Met","Breached"))</f>
        <v>Met</v>
      </c>
    </row>
    <row r="1767" ht="19" customHeight="1" spans="1:14" x14ac:dyDescent="0.25">
      <c r="A1767" s="22" t="s">
        <v>1881</v>
      </c>
      <c r="B1767" s="36">
        <v>45872.740277777775</v>
      </c>
      <c r="C1767" s="36">
        <v>45875.53472222222</v>
      </c>
      <c r="D1767" s="22" t="s">
        <v>33</v>
      </c>
      <c r="E1767" s="22" t="s">
        <v>65</v>
      </c>
      <c r="F1767" s="22" t="s">
        <v>40</v>
      </c>
      <c r="G1767" s="22" t="s">
        <v>110</v>
      </c>
      <c r="H1767" s="22" t="s">
        <v>63</v>
      </c>
      <c r="I1767" s="22" t="s">
        <v>111</v>
      </c>
      <c r="J1767" s="23">
        <v>48</v>
      </c>
      <c r="K1767" s="37">
        <v>0</v>
      </c>
      <c r="L1767" s="37">
        <v>1</v>
      </c>
      <c r="M1767" s="22">
        <f>IF(OR(ISBLANK(C1767),C1767=""),"",ROUND((C1767-B1767)*24,2))</f>
        <v>67.07</v>
      </c>
      <c r="N1767" s="38" t="str">
        <f>IF(OR(ISBLANK(C1767),C1767="",M1767=""),"In Progress",IF(M1767&lt;=J1767,"Met","Breached"))</f>
        <v>Breached</v>
      </c>
    </row>
    <row r="1768" ht="19" customHeight="1" spans="1:14" x14ac:dyDescent="0.25">
      <c r="A1768" s="19" t="s">
        <v>1882</v>
      </c>
      <c r="B1768" s="33">
        <v>45727.55138888889</v>
      </c>
      <c r="C1768" s="33">
        <v>45727.60972222222</v>
      </c>
      <c r="D1768" s="19" t="s">
        <v>36</v>
      </c>
      <c r="E1768" s="19" t="s">
        <v>57</v>
      </c>
      <c r="F1768" s="19" t="s">
        <v>43</v>
      </c>
      <c r="G1768" s="19" t="s">
        <v>126</v>
      </c>
      <c r="H1768" s="19" t="s">
        <v>63</v>
      </c>
      <c r="I1768" s="19" t="s">
        <v>123</v>
      </c>
      <c r="J1768" s="20">
        <v>4</v>
      </c>
      <c r="K1768" s="34">
        <v>1</v>
      </c>
      <c r="M1768" s="19">
        <f>IF(OR(ISBLANK(C1768),C1768=""),"",ROUND((C1768-B1768)*24,2))</f>
        <v>1.4</v>
      </c>
      <c r="N1768" s="35" t="str">
        <f>IF(OR(ISBLANK(C1768),C1768="",M1768=""),"In Progress",IF(M1768&lt;=J1768,"Met","Breached"))</f>
        <v>Met</v>
      </c>
    </row>
    <row r="1769" ht="19" customHeight="1" spans="1:14" x14ac:dyDescent="0.25">
      <c r="A1769" s="22" t="s">
        <v>1883</v>
      </c>
      <c r="B1769" s="36">
        <v>45821.03958333333</v>
      </c>
      <c r="D1769" s="22" t="s">
        <v>42</v>
      </c>
      <c r="E1769" s="22" t="s">
        <v>69</v>
      </c>
      <c r="F1769" s="22" t="s">
        <v>45</v>
      </c>
      <c r="G1769" s="22" t="s">
        <v>113</v>
      </c>
      <c r="H1769" s="22" t="s">
        <v>63</v>
      </c>
      <c r="I1769" s="22" t="s">
        <v>114</v>
      </c>
      <c r="J1769" s="23">
        <v>120</v>
      </c>
      <c r="K1769" s="37">
        <v>0</v>
      </c>
      <c r="M1769" s="22" t="str">
        <f>IF(OR(ISBLANK(C1769),C1769=""),"",ROUND((C1769-B1769)*24,2))</f>
        <v/>
      </c>
      <c r="N1769" s="22" t="str">
        <f>IF(OR(ISBLANK(C1769),C1769="",M1769=""),"In Progress",IF(M1769&lt;=J1769,"Met","Breached"))</f>
        <v>In Progress</v>
      </c>
    </row>
    <row r="1770" ht="19" customHeight="1" spans="1:14" x14ac:dyDescent="0.25">
      <c r="A1770" s="19" t="s">
        <v>1884</v>
      </c>
      <c r="B1770" s="33">
        <v>46203.87986111111</v>
      </c>
      <c r="C1770" s="33">
        <v>46205.29513888889</v>
      </c>
      <c r="D1770" s="19" t="s">
        <v>33</v>
      </c>
      <c r="E1770" s="19" t="s">
        <v>65</v>
      </c>
      <c r="F1770" s="19" t="s">
        <v>37</v>
      </c>
      <c r="G1770" s="19" t="s">
        <v>110</v>
      </c>
      <c r="H1770" s="19" t="s">
        <v>63</v>
      </c>
      <c r="I1770" s="19" t="s">
        <v>123</v>
      </c>
      <c r="J1770" s="20">
        <v>48</v>
      </c>
      <c r="K1770" s="34">
        <v>1</v>
      </c>
      <c r="M1770" s="19">
        <f>IF(OR(ISBLANK(C1770),C1770=""),"",ROUND((C1770-B1770)*24,2))</f>
        <v>33.97</v>
      </c>
      <c r="N1770" s="35" t="str">
        <f>IF(OR(ISBLANK(C1770),C1770="",M1770=""),"In Progress",IF(M1770&lt;=J1770,"Met","Breached"))</f>
        <v>Met</v>
      </c>
    </row>
    <row r="1771" ht="19" customHeight="1" spans="1:14" x14ac:dyDescent="0.25">
      <c r="A1771" s="22" t="s">
        <v>1885</v>
      </c>
      <c r="B1771" s="36">
        <v>45817.524305555555</v>
      </c>
      <c r="C1771" s="36">
        <v>45819.75486111111</v>
      </c>
      <c r="D1771" s="22" t="s">
        <v>33</v>
      </c>
      <c r="E1771" s="22" t="s">
        <v>69</v>
      </c>
      <c r="F1771" s="22" t="s">
        <v>45</v>
      </c>
      <c r="G1771" s="22" t="s">
        <v>113</v>
      </c>
      <c r="H1771" s="22" t="s">
        <v>59</v>
      </c>
      <c r="I1771" s="22" t="s">
        <v>123</v>
      </c>
      <c r="J1771" s="23">
        <v>120</v>
      </c>
      <c r="K1771" s="37">
        <v>0</v>
      </c>
      <c r="M1771" s="22">
        <f>IF(OR(ISBLANK(C1771),C1771=""),"",ROUND((C1771-B1771)*24,2))</f>
        <v>53.53</v>
      </c>
      <c r="N1771" s="40" t="str">
        <f>IF(OR(ISBLANK(C1771),C1771="",M1771=""),"In Progress",IF(M1771&lt;=J1771,"Met","Breached"))</f>
        <v>Met</v>
      </c>
    </row>
    <row r="1772" ht="19" customHeight="1" spans="1:14" x14ac:dyDescent="0.25">
      <c r="A1772" s="19" t="s">
        <v>1886</v>
      </c>
      <c r="B1772" s="33">
        <v>45753.44236111111</v>
      </c>
      <c r="C1772" s="33">
        <v>45755.89513888889</v>
      </c>
      <c r="D1772" s="19" t="s">
        <v>33</v>
      </c>
      <c r="E1772" s="19" t="s">
        <v>65</v>
      </c>
      <c r="F1772" s="19" t="s">
        <v>37</v>
      </c>
      <c r="G1772" s="19" t="s">
        <v>126</v>
      </c>
      <c r="H1772" s="19" t="s">
        <v>59</v>
      </c>
      <c r="I1772" s="19" t="s">
        <v>111</v>
      </c>
      <c r="J1772" s="20">
        <v>48</v>
      </c>
      <c r="K1772" s="34">
        <v>0</v>
      </c>
      <c r="L1772" s="34">
        <v>1</v>
      </c>
      <c r="M1772" s="19">
        <f>IF(OR(ISBLANK(C1772),C1772=""),"",ROUND((C1772-B1772)*24,2))</f>
        <v>58.87</v>
      </c>
      <c r="N1772" s="39" t="str">
        <f>IF(OR(ISBLANK(C1772),C1772="",M1772=""),"In Progress",IF(M1772&lt;=J1772,"Met","Breached"))</f>
        <v>Breached</v>
      </c>
    </row>
    <row r="1773" ht="19" customHeight="1" spans="1:14" x14ac:dyDescent="0.25">
      <c r="A1773" s="22" t="s">
        <v>1887</v>
      </c>
      <c r="B1773" s="36">
        <v>46278.22986111111</v>
      </c>
      <c r="C1773" s="36">
        <v>46281.538194444445</v>
      </c>
      <c r="D1773" s="22" t="s">
        <v>36</v>
      </c>
      <c r="E1773" s="22" t="s">
        <v>69</v>
      </c>
      <c r="F1773" s="22" t="s">
        <v>40</v>
      </c>
      <c r="G1773" s="22" t="s">
        <v>126</v>
      </c>
      <c r="H1773" s="22" t="s">
        <v>63</v>
      </c>
      <c r="I1773" s="22" t="s">
        <v>108</v>
      </c>
      <c r="J1773" s="23">
        <v>120</v>
      </c>
      <c r="K1773" s="37">
        <v>0</v>
      </c>
      <c r="L1773" s="37">
        <v>4</v>
      </c>
      <c r="M1773" s="22">
        <f>IF(OR(ISBLANK(C1773),C1773=""),"",ROUND((C1773-B1773)*24,2))</f>
        <v>79.4</v>
      </c>
      <c r="N1773" s="40" t="str">
        <f>IF(OR(ISBLANK(C1773),C1773="",M1773=""),"In Progress",IF(M1773&lt;=J1773,"Met","Breached"))</f>
        <v>Met</v>
      </c>
    </row>
    <row r="1774" ht="19" customHeight="1" spans="1:14" x14ac:dyDescent="0.25">
      <c r="A1774" s="19" t="s">
        <v>1888</v>
      </c>
      <c r="B1774" s="33">
        <v>46187.507638888885</v>
      </c>
      <c r="C1774" s="33">
        <v>46188.945138888885</v>
      </c>
      <c r="D1774" s="19" t="s">
        <v>36</v>
      </c>
      <c r="E1774" s="19" t="s">
        <v>65</v>
      </c>
      <c r="F1774" s="19" t="s">
        <v>34</v>
      </c>
      <c r="G1774" s="19" t="s">
        <v>63</v>
      </c>
      <c r="H1774" s="19" t="s">
        <v>59</v>
      </c>
      <c r="I1774" s="19" t="s">
        <v>117</v>
      </c>
      <c r="J1774" s="20">
        <v>48</v>
      </c>
      <c r="K1774" s="34">
        <v>0</v>
      </c>
      <c r="L1774" s="34">
        <v>1</v>
      </c>
      <c r="M1774" s="19">
        <f>IF(OR(ISBLANK(C1774),C1774=""),"",ROUND((C1774-B1774)*24,2))</f>
        <v>34.5</v>
      </c>
      <c r="N1774" s="35" t="str">
        <f>IF(OR(ISBLANK(C1774),C1774="",M1774=""),"In Progress",IF(M1774&lt;=J1774,"Met","Breached"))</f>
        <v>Met</v>
      </c>
    </row>
    <row r="1775" ht="19" customHeight="1" spans="1:14" x14ac:dyDescent="0.25">
      <c r="A1775" s="22" t="s">
        <v>1889</v>
      </c>
      <c r="B1775" s="36">
        <v>46055.711111111115</v>
      </c>
      <c r="C1775" s="36">
        <v>46058.83541666667</v>
      </c>
      <c r="D1775" s="22" t="s">
        <v>33</v>
      </c>
      <c r="E1775" s="22" t="s">
        <v>65</v>
      </c>
      <c r="F1775" s="22" t="s">
        <v>40</v>
      </c>
      <c r="G1775" s="22" t="s">
        <v>63</v>
      </c>
      <c r="H1775" s="22" t="s">
        <v>59</v>
      </c>
      <c r="I1775" s="22" t="s">
        <v>123</v>
      </c>
      <c r="J1775" s="23">
        <v>48</v>
      </c>
      <c r="K1775" s="37">
        <v>0</v>
      </c>
      <c r="L1775" s="37">
        <v>2</v>
      </c>
      <c r="M1775" s="22">
        <f>IF(OR(ISBLANK(C1775),C1775=""),"",ROUND((C1775-B1775)*24,2))</f>
        <v>74.98</v>
      </c>
      <c r="N1775" s="38" t="str">
        <f>IF(OR(ISBLANK(C1775),C1775="",M1775=""),"In Progress",IF(M1775&lt;=J1775,"Met","Breached"))</f>
        <v>Breached</v>
      </c>
    </row>
    <row r="1776" ht="19" customHeight="1" spans="1:14" x14ac:dyDescent="0.25">
      <c r="A1776" s="19" t="s">
        <v>1890</v>
      </c>
      <c r="B1776" s="33">
        <v>46238.79305555555</v>
      </c>
      <c r="C1776" s="33">
        <v>46240.70625</v>
      </c>
      <c r="D1776" s="19" t="s">
        <v>33</v>
      </c>
      <c r="E1776" s="19" t="s">
        <v>65</v>
      </c>
      <c r="F1776" s="19" t="s">
        <v>40</v>
      </c>
      <c r="G1776" s="19" t="s">
        <v>116</v>
      </c>
      <c r="H1776" s="19" t="s">
        <v>67</v>
      </c>
      <c r="I1776" s="19" t="s">
        <v>123</v>
      </c>
      <c r="J1776" s="20">
        <v>48</v>
      </c>
      <c r="K1776" s="34">
        <v>0</v>
      </c>
      <c r="L1776" s="34">
        <v>5</v>
      </c>
      <c r="M1776" s="19">
        <f>IF(OR(ISBLANK(C1776),C1776=""),"",ROUND((C1776-B1776)*24,2))</f>
        <v>45.92</v>
      </c>
      <c r="N1776" s="35" t="str">
        <f>IF(OR(ISBLANK(C1776),C1776="",M1776=""),"In Progress",IF(M1776&lt;=J1776,"Met","Breached"))</f>
        <v>Met</v>
      </c>
    </row>
    <row r="1777" ht="19" customHeight="1" spans="1:14" x14ac:dyDescent="0.25">
      <c r="A1777" s="22" t="s">
        <v>1891</v>
      </c>
      <c r="B1777" s="36">
        <v>45812.816666666666</v>
      </c>
      <c r="D1777" s="22" t="s">
        <v>39</v>
      </c>
      <c r="E1777" s="22" t="s">
        <v>65</v>
      </c>
      <c r="F1777" s="22" t="s">
        <v>37</v>
      </c>
      <c r="G1777" s="22" t="s">
        <v>116</v>
      </c>
      <c r="H1777" s="22" t="s">
        <v>71</v>
      </c>
      <c r="I1777" s="22" t="s">
        <v>108</v>
      </c>
      <c r="J1777" s="23">
        <v>48</v>
      </c>
      <c r="K1777" s="37">
        <v>0</v>
      </c>
      <c r="M1777" s="22" t="str">
        <f>IF(OR(ISBLANK(C1777),C1777=""),"",ROUND((C1777-B1777)*24,2))</f>
        <v/>
      </c>
      <c r="N1777" s="22" t="str">
        <f>IF(OR(ISBLANK(C1777),C1777="",M1777=""),"In Progress",IF(M1777&lt;=J1777,"Met","Breached"))</f>
        <v>In Progress</v>
      </c>
    </row>
    <row r="1778" ht="19" customHeight="1" spans="1:14" x14ac:dyDescent="0.25">
      <c r="A1778" s="19" t="s">
        <v>1892</v>
      </c>
      <c r="B1778" s="33">
        <v>45790.80763888889</v>
      </c>
      <c r="D1778" s="19" t="s">
        <v>39</v>
      </c>
      <c r="E1778" s="19" t="s">
        <v>69</v>
      </c>
      <c r="F1778" s="19" t="s">
        <v>43</v>
      </c>
      <c r="G1778" s="19" t="s">
        <v>113</v>
      </c>
      <c r="H1778" s="19" t="s">
        <v>63</v>
      </c>
      <c r="I1778" s="19" t="s">
        <v>117</v>
      </c>
      <c r="J1778" s="20">
        <v>120</v>
      </c>
      <c r="K1778" s="34">
        <v>0</v>
      </c>
      <c r="M1778" s="19" t="str">
        <f>IF(OR(ISBLANK(C1778),C1778=""),"",ROUND((C1778-B1778)*24,2))</f>
        <v/>
      </c>
      <c r="N1778" s="19" t="str">
        <f>IF(OR(ISBLANK(C1778),C1778="",M1778=""),"In Progress",IF(M1778&lt;=J1778,"Met","Breached"))</f>
        <v>In Progress</v>
      </c>
    </row>
    <row r="1779" ht="19" customHeight="1" spans="1:14" x14ac:dyDescent="0.25">
      <c r="A1779" s="22" t="s">
        <v>1893</v>
      </c>
      <c r="B1779" s="36">
        <v>46017.1125</v>
      </c>
      <c r="C1779" s="36">
        <v>46022.80625</v>
      </c>
      <c r="D1779" s="22" t="s">
        <v>33</v>
      </c>
      <c r="E1779" s="22" t="s">
        <v>69</v>
      </c>
      <c r="F1779" s="22" t="s">
        <v>37</v>
      </c>
      <c r="G1779" s="22" t="s">
        <v>116</v>
      </c>
      <c r="H1779" s="22" t="s">
        <v>59</v>
      </c>
      <c r="I1779" s="22" t="s">
        <v>111</v>
      </c>
      <c r="J1779" s="23">
        <v>120</v>
      </c>
      <c r="K1779" s="37">
        <v>0</v>
      </c>
      <c r="M1779" s="22">
        <f>IF(OR(ISBLANK(C1779),C1779=""),"",ROUND((C1779-B1779)*24,2))</f>
        <v>136.65</v>
      </c>
      <c r="N1779" s="38" t="str">
        <f>IF(OR(ISBLANK(C1779),C1779="",M1779=""),"In Progress",IF(M1779&lt;=J1779,"Met","Breached"))</f>
        <v>Breached</v>
      </c>
    </row>
    <row r="1780" ht="19" customHeight="1" spans="1:14" x14ac:dyDescent="0.25">
      <c r="A1780" s="19" t="s">
        <v>1894</v>
      </c>
      <c r="B1780" s="33">
        <v>46237.381944444445</v>
      </c>
      <c r="C1780" s="33">
        <v>46239.90486111111</v>
      </c>
      <c r="D1780" s="19" t="s">
        <v>36</v>
      </c>
      <c r="E1780" s="19" t="s">
        <v>69</v>
      </c>
      <c r="F1780" s="19" t="s">
        <v>40</v>
      </c>
      <c r="G1780" s="19" t="s">
        <v>113</v>
      </c>
      <c r="H1780" s="19" t="s">
        <v>63</v>
      </c>
      <c r="I1780" s="19" t="s">
        <v>117</v>
      </c>
      <c r="J1780" s="20">
        <v>120</v>
      </c>
      <c r="K1780" s="34">
        <v>0</v>
      </c>
      <c r="L1780" s="34">
        <v>4</v>
      </c>
      <c r="M1780" s="19">
        <f>IF(OR(ISBLANK(C1780),C1780=""),"",ROUND((C1780-B1780)*24,2))</f>
        <v>60.55</v>
      </c>
      <c r="N1780" s="35" t="str">
        <f>IF(OR(ISBLANK(C1780),C1780="",M1780=""),"In Progress",IF(M1780&lt;=J1780,"Met","Breached"))</f>
        <v>Met</v>
      </c>
    </row>
    <row r="1781" ht="19" customHeight="1" spans="1:14" x14ac:dyDescent="0.25">
      <c r="A1781" s="22" t="s">
        <v>1895</v>
      </c>
      <c r="B1781" s="36">
        <v>45814.8625</v>
      </c>
      <c r="C1781" s="36">
        <v>45817.23541666666</v>
      </c>
      <c r="D1781" s="22" t="s">
        <v>33</v>
      </c>
      <c r="E1781" s="22" t="s">
        <v>65</v>
      </c>
      <c r="F1781" s="22" t="s">
        <v>37</v>
      </c>
      <c r="G1781" s="22" t="s">
        <v>121</v>
      </c>
      <c r="H1781" s="22" t="s">
        <v>63</v>
      </c>
      <c r="I1781" s="22" t="s">
        <v>123</v>
      </c>
      <c r="J1781" s="23">
        <v>48</v>
      </c>
      <c r="K1781" s="37">
        <v>0</v>
      </c>
      <c r="L1781" s="37">
        <v>2</v>
      </c>
      <c r="M1781" s="22">
        <f>IF(OR(ISBLANK(C1781),C1781=""),"",ROUND((C1781-B1781)*24,2))</f>
        <v>56.95</v>
      </c>
      <c r="N1781" s="38" t="str">
        <f>IF(OR(ISBLANK(C1781),C1781="",M1781=""),"In Progress",IF(M1781&lt;=J1781,"Met","Breached"))</f>
        <v>Breached</v>
      </c>
    </row>
    <row r="1782" ht="19" customHeight="1" spans="1:14" x14ac:dyDescent="0.25">
      <c r="A1782" s="19" t="s">
        <v>1896</v>
      </c>
      <c r="B1782" s="33">
        <v>46237.847916666666</v>
      </c>
      <c r="C1782" s="33">
        <v>46242.59652777778</v>
      </c>
      <c r="D1782" s="19" t="s">
        <v>33</v>
      </c>
      <c r="E1782" s="19" t="s">
        <v>69</v>
      </c>
      <c r="F1782" s="19" t="s">
        <v>34</v>
      </c>
      <c r="G1782" s="19" t="s">
        <v>116</v>
      </c>
      <c r="H1782" s="19" t="s">
        <v>63</v>
      </c>
      <c r="I1782" s="19" t="s">
        <v>111</v>
      </c>
      <c r="J1782" s="20">
        <v>120</v>
      </c>
      <c r="K1782" s="34">
        <v>0</v>
      </c>
      <c r="L1782" s="34">
        <v>5</v>
      </c>
      <c r="M1782" s="19">
        <f>IF(OR(ISBLANK(C1782),C1782=""),"",ROUND((C1782-B1782)*24,2))</f>
        <v>113.97</v>
      </c>
      <c r="N1782" s="35" t="str">
        <f>IF(OR(ISBLANK(C1782),C1782="",M1782=""),"In Progress",IF(M1782&lt;=J1782,"Met","Breached"))</f>
        <v>Met</v>
      </c>
    </row>
    <row r="1783" ht="19" customHeight="1" spans="1:14" x14ac:dyDescent="0.25">
      <c r="A1783" s="22" t="s">
        <v>1897</v>
      </c>
      <c r="B1783" s="36">
        <v>46220.54166666667</v>
      </c>
      <c r="D1783" s="22" t="s">
        <v>39</v>
      </c>
      <c r="E1783" s="22" t="s">
        <v>61</v>
      </c>
      <c r="F1783" s="22" t="s">
        <v>37</v>
      </c>
      <c r="G1783" s="22" t="s">
        <v>63</v>
      </c>
      <c r="H1783" s="22" t="s">
        <v>63</v>
      </c>
      <c r="I1783" s="22" t="s">
        <v>123</v>
      </c>
      <c r="J1783" s="23">
        <v>12</v>
      </c>
      <c r="K1783" s="37">
        <v>0</v>
      </c>
      <c r="M1783" s="22" t="str">
        <f>IF(OR(ISBLANK(C1783),C1783=""),"",ROUND((C1783-B1783)*24,2))</f>
        <v/>
      </c>
      <c r="N1783" s="22" t="str">
        <f>IF(OR(ISBLANK(C1783),C1783="",M1783=""),"In Progress",IF(M1783&lt;=J1783,"Met","Breached"))</f>
        <v>In Progress</v>
      </c>
    </row>
    <row r="1784" ht="19" customHeight="1" spans="1:14" x14ac:dyDescent="0.25">
      <c r="A1784" s="19" t="s">
        <v>1898</v>
      </c>
      <c r="B1784" s="33">
        <v>46287.70277777778</v>
      </c>
      <c r="C1784" s="33">
        <v>46287.763194444444</v>
      </c>
      <c r="D1784" s="19" t="s">
        <v>33</v>
      </c>
      <c r="E1784" s="19" t="s">
        <v>57</v>
      </c>
      <c r="F1784" s="19" t="s">
        <v>40</v>
      </c>
      <c r="G1784" s="19" t="s">
        <v>116</v>
      </c>
      <c r="H1784" s="19" t="s">
        <v>67</v>
      </c>
      <c r="I1784" s="19" t="s">
        <v>123</v>
      </c>
      <c r="J1784" s="20">
        <v>4</v>
      </c>
      <c r="K1784" s="34">
        <v>0</v>
      </c>
      <c r="L1784" s="34">
        <v>1</v>
      </c>
      <c r="M1784" s="19">
        <f>IF(OR(ISBLANK(C1784),C1784=""),"",ROUND((C1784-B1784)*24,2))</f>
        <v>1.45</v>
      </c>
      <c r="N1784" s="35" t="str">
        <f>IF(OR(ISBLANK(C1784),C1784="",M1784=""),"In Progress",IF(M1784&lt;=J1784,"Met","Breached"))</f>
        <v>Met</v>
      </c>
    </row>
    <row r="1785" ht="19" customHeight="1" spans="1:14" x14ac:dyDescent="0.25">
      <c r="A1785" s="22" t="s">
        <v>1899</v>
      </c>
      <c r="B1785" s="36">
        <v>46009.66736111111</v>
      </c>
      <c r="C1785" s="36">
        <v>46011.447222222225</v>
      </c>
      <c r="D1785" s="22" t="s">
        <v>36</v>
      </c>
      <c r="E1785" s="22" t="s">
        <v>65</v>
      </c>
      <c r="F1785" s="22" t="s">
        <v>45</v>
      </c>
      <c r="G1785" s="22" t="s">
        <v>126</v>
      </c>
      <c r="H1785" s="22" t="s">
        <v>59</v>
      </c>
      <c r="I1785" s="22" t="s">
        <v>114</v>
      </c>
      <c r="J1785" s="23">
        <v>48</v>
      </c>
      <c r="K1785" s="37">
        <v>0</v>
      </c>
      <c r="L1785" s="37">
        <v>1</v>
      </c>
      <c r="M1785" s="22">
        <f>IF(OR(ISBLANK(C1785),C1785=""),"",ROUND((C1785-B1785)*24,2))</f>
        <v>42.72</v>
      </c>
      <c r="N1785" s="40" t="str">
        <f>IF(OR(ISBLANK(C1785),C1785="",M1785=""),"In Progress",IF(M1785&lt;=J1785,"Met","Breached"))</f>
        <v>Met</v>
      </c>
    </row>
    <row r="1786" ht="19" customHeight="1" spans="1:14" x14ac:dyDescent="0.25">
      <c r="A1786" s="19" t="s">
        <v>1900</v>
      </c>
      <c r="B1786" s="33">
        <v>45819.00833333333</v>
      </c>
      <c r="D1786" s="19" t="s">
        <v>39</v>
      </c>
      <c r="E1786" s="19" t="s">
        <v>65</v>
      </c>
      <c r="F1786" s="19" t="s">
        <v>45</v>
      </c>
      <c r="G1786" s="19" t="s">
        <v>110</v>
      </c>
      <c r="H1786" s="19" t="s">
        <v>67</v>
      </c>
      <c r="I1786" s="19" t="s">
        <v>123</v>
      </c>
      <c r="J1786" s="20">
        <v>48</v>
      </c>
      <c r="K1786" s="34">
        <v>0</v>
      </c>
      <c r="M1786" s="19" t="str">
        <f>IF(OR(ISBLANK(C1786),C1786=""),"",ROUND((C1786-B1786)*24,2))</f>
        <v/>
      </c>
      <c r="N1786" s="19" t="str">
        <f>IF(OR(ISBLANK(C1786),C1786="",M1786=""),"In Progress",IF(M1786&lt;=J1786,"Met","Breached"))</f>
        <v>In Progress</v>
      </c>
    </row>
    <row r="1787" ht="19" customHeight="1" spans="1:14" x14ac:dyDescent="0.25">
      <c r="A1787" s="22" t="s">
        <v>1901</v>
      </c>
      <c r="B1787" s="36">
        <v>46163.742361111115</v>
      </c>
      <c r="C1787" s="36">
        <v>46172.60972222222</v>
      </c>
      <c r="D1787" s="22" t="s">
        <v>33</v>
      </c>
      <c r="E1787" s="22" t="s">
        <v>69</v>
      </c>
      <c r="F1787" s="22" t="s">
        <v>45</v>
      </c>
      <c r="G1787" s="22" t="s">
        <v>113</v>
      </c>
      <c r="H1787" s="22" t="s">
        <v>71</v>
      </c>
      <c r="I1787" s="22" t="s">
        <v>117</v>
      </c>
      <c r="J1787" s="23">
        <v>120</v>
      </c>
      <c r="K1787" s="37">
        <v>0</v>
      </c>
      <c r="L1787" s="37">
        <v>2</v>
      </c>
      <c r="M1787" s="22">
        <f>IF(OR(ISBLANK(C1787),C1787=""),"",ROUND((C1787-B1787)*24,2))</f>
        <v>212.82</v>
      </c>
      <c r="N1787" s="38" t="str">
        <f>IF(OR(ISBLANK(C1787),C1787="",M1787=""),"In Progress",IF(M1787&lt;=J1787,"Met","Breached"))</f>
        <v>Breached</v>
      </c>
    </row>
    <row r="1788" ht="19" customHeight="1" spans="1:14" x14ac:dyDescent="0.25">
      <c r="A1788" s="19" t="s">
        <v>1902</v>
      </c>
      <c r="B1788" s="33">
        <v>45921.82916666666</v>
      </c>
      <c r="D1788" s="19" t="s">
        <v>39</v>
      </c>
      <c r="E1788" s="19" t="s">
        <v>69</v>
      </c>
      <c r="F1788" s="19" t="s">
        <v>40</v>
      </c>
      <c r="G1788" s="19" t="s">
        <v>113</v>
      </c>
      <c r="H1788" s="19" t="s">
        <v>59</v>
      </c>
      <c r="I1788" s="19" t="s">
        <v>114</v>
      </c>
      <c r="J1788" s="20">
        <v>120</v>
      </c>
      <c r="K1788" s="34">
        <v>0</v>
      </c>
      <c r="M1788" s="19" t="str">
        <f>IF(OR(ISBLANK(C1788),C1788=""),"",ROUND((C1788-B1788)*24,2))</f>
        <v/>
      </c>
      <c r="N1788" s="19" t="str">
        <f>IF(OR(ISBLANK(C1788),C1788="",M1788=""),"In Progress",IF(M1788&lt;=J1788,"Met","Breached"))</f>
        <v>In Progress</v>
      </c>
    </row>
    <row r="1789" ht="19" customHeight="1" spans="1:14" x14ac:dyDescent="0.25">
      <c r="A1789" s="22" t="s">
        <v>1903</v>
      </c>
      <c r="B1789" s="36">
        <v>45917.53958333333</v>
      </c>
      <c r="C1789" s="36">
        <v>45918.20347222222</v>
      </c>
      <c r="D1789" s="22" t="s">
        <v>33</v>
      </c>
      <c r="E1789" s="22" t="s">
        <v>61</v>
      </c>
      <c r="F1789" s="22" t="s">
        <v>40</v>
      </c>
      <c r="G1789" s="22" t="s">
        <v>110</v>
      </c>
      <c r="H1789" s="22" t="s">
        <v>59</v>
      </c>
      <c r="I1789" s="22" t="s">
        <v>108</v>
      </c>
      <c r="J1789" s="23">
        <v>12</v>
      </c>
      <c r="K1789" s="37">
        <v>0</v>
      </c>
      <c r="L1789" s="37">
        <v>3</v>
      </c>
      <c r="M1789" s="22">
        <f>IF(OR(ISBLANK(C1789),C1789=""),"",ROUND((C1789-B1789)*24,2))</f>
        <v>15.93</v>
      </c>
      <c r="N1789" s="38" t="str">
        <f>IF(OR(ISBLANK(C1789),C1789="",M1789=""),"In Progress",IF(M1789&lt;=J1789,"Met","Breached"))</f>
        <v>Breached</v>
      </c>
    </row>
    <row r="1790" ht="19" customHeight="1" spans="1:14" x14ac:dyDescent="0.25">
      <c r="A1790" s="19" t="s">
        <v>1904</v>
      </c>
      <c r="B1790" s="33">
        <v>46042.875</v>
      </c>
      <c r="D1790" s="19" t="s">
        <v>42</v>
      </c>
      <c r="E1790" s="19" t="s">
        <v>65</v>
      </c>
      <c r="F1790" s="19" t="s">
        <v>34</v>
      </c>
      <c r="G1790" s="19" t="s">
        <v>116</v>
      </c>
      <c r="H1790" s="19" t="s">
        <v>59</v>
      </c>
      <c r="I1790" s="19" t="s">
        <v>147</v>
      </c>
      <c r="J1790" s="20">
        <v>48</v>
      </c>
      <c r="K1790" s="34">
        <v>0</v>
      </c>
      <c r="M1790" s="19" t="str">
        <f>IF(OR(ISBLANK(C1790),C1790=""),"",ROUND((C1790-B1790)*24,2))</f>
        <v/>
      </c>
      <c r="N1790" s="19" t="str">
        <f>IF(OR(ISBLANK(C1790),C1790="",M1790=""),"In Progress",IF(M1790&lt;=J1790,"Met","Breached"))</f>
        <v>In Progress</v>
      </c>
    </row>
    <row r="1791" ht="19" customHeight="1" spans="1:14" x14ac:dyDescent="0.25">
      <c r="A1791" s="22" t="s">
        <v>1905</v>
      </c>
      <c r="B1791" s="36">
        <v>46197.89097222222</v>
      </c>
      <c r="C1791" s="36">
        <v>46200.48541666666</v>
      </c>
      <c r="D1791" s="22" t="s">
        <v>33</v>
      </c>
      <c r="E1791" s="22" t="s">
        <v>65</v>
      </c>
      <c r="F1791" s="22" t="s">
        <v>34</v>
      </c>
      <c r="G1791" s="22" t="s">
        <v>121</v>
      </c>
      <c r="H1791" s="22" t="s">
        <v>59</v>
      </c>
      <c r="I1791" s="22" t="s">
        <v>117</v>
      </c>
      <c r="J1791" s="23">
        <v>48</v>
      </c>
      <c r="K1791" s="37">
        <v>0</v>
      </c>
      <c r="L1791" s="37">
        <v>4</v>
      </c>
      <c r="M1791" s="22">
        <f>IF(OR(ISBLANK(C1791),C1791=""),"",ROUND((C1791-B1791)*24,2))</f>
        <v>62.27</v>
      </c>
      <c r="N1791" s="38" t="str">
        <f>IF(OR(ISBLANK(C1791),C1791="",M1791=""),"In Progress",IF(M1791&lt;=J1791,"Met","Breached"))</f>
        <v>Breached</v>
      </c>
    </row>
    <row r="1792" ht="19" customHeight="1" spans="1:14" x14ac:dyDescent="0.25">
      <c r="A1792" s="19" t="s">
        <v>1906</v>
      </c>
      <c r="B1792" s="33">
        <v>45678.64583333333</v>
      </c>
      <c r="C1792" s="33">
        <v>45681.7</v>
      </c>
      <c r="D1792" s="19" t="s">
        <v>33</v>
      </c>
      <c r="E1792" s="19" t="s">
        <v>65</v>
      </c>
      <c r="F1792" s="19" t="s">
        <v>40</v>
      </c>
      <c r="G1792" s="19" t="s">
        <v>113</v>
      </c>
      <c r="H1792" s="19" t="s">
        <v>59</v>
      </c>
      <c r="I1792" s="19" t="s">
        <v>117</v>
      </c>
      <c r="J1792" s="20">
        <v>48</v>
      </c>
      <c r="K1792" s="34">
        <v>0</v>
      </c>
      <c r="L1792" s="34">
        <v>5</v>
      </c>
      <c r="M1792" s="19">
        <f>IF(OR(ISBLANK(C1792),C1792=""),"",ROUND((C1792-B1792)*24,2))</f>
        <v>73.3</v>
      </c>
      <c r="N1792" s="39" t="str">
        <f>IF(OR(ISBLANK(C1792),C1792="",M1792=""),"In Progress",IF(M1792&lt;=J1792,"Met","Breached"))</f>
        <v>Breached</v>
      </c>
    </row>
    <row r="1793" ht="19" customHeight="1" spans="1:14" x14ac:dyDescent="0.25">
      <c r="A1793" s="22" t="s">
        <v>1907</v>
      </c>
      <c r="B1793" s="36">
        <v>45832.11944444444</v>
      </c>
      <c r="C1793" s="36">
        <v>45833.17083333334</v>
      </c>
      <c r="D1793" s="22" t="s">
        <v>33</v>
      </c>
      <c r="E1793" s="22" t="s">
        <v>65</v>
      </c>
      <c r="F1793" s="22" t="s">
        <v>37</v>
      </c>
      <c r="G1793" s="22" t="s">
        <v>126</v>
      </c>
      <c r="H1793" s="22" t="s">
        <v>59</v>
      </c>
      <c r="I1793" s="22" t="s">
        <v>111</v>
      </c>
      <c r="J1793" s="23">
        <v>48</v>
      </c>
      <c r="K1793" s="37">
        <v>0</v>
      </c>
      <c r="L1793" s="37">
        <v>3</v>
      </c>
      <c r="M1793" s="22">
        <f>IF(OR(ISBLANK(C1793),C1793=""),"",ROUND((C1793-B1793)*24,2))</f>
        <v>25.23</v>
      </c>
      <c r="N1793" s="40" t="str">
        <f>IF(OR(ISBLANK(C1793),C1793="",M1793=""),"In Progress",IF(M1793&lt;=J1793,"Met","Breached"))</f>
        <v>Met</v>
      </c>
    </row>
    <row r="1794" ht="19" customHeight="1" spans="1:14" x14ac:dyDescent="0.25">
      <c r="A1794" s="19" t="s">
        <v>1908</v>
      </c>
      <c r="B1794" s="33">
        <v>45826.63611111111</v>
      </c>
      <c r="C1794" s="33">
        <v>45829.18680555555</v>
      </c>
      <c r="D1794" s="19" t="s">
        <v>36</v>
      </c>
      <c r="E1794" s="19" t="s">
        <v>69</v>
      </c>
      <c r="F1794" s="19" t="s">
        <v>37</v>
      </c>
      <c r="G1794" s="19" t="s">
        <v>110</v>
      </c>
      <c r="H1794" s="19" t="s">
        <v>59</v>
      </c>
      <c r="I1794" s="19" t="s">
        <v>147</v>
      </c>
      <c r="J1794" s="20">
        <v>120</v>
      </c>
      <c r="K1794" s="34">
        <v>0</v>
      </c>
      <c r="L1794" s="34">
        <v>2</v>
      </c>
      <c r="M1794" s="19">
        <f>IF(OR(ISBLANK(C1794),C1794=""),"",ROUND((C1794-B1794)*24,2))</f>
        <v>61.22</v>
      </c>
      <c r="N1794" s="35" t="str">
        <f>IF(OR(ISBLANK(C1794),C1794="",M1794=""),"In Progress",IF(M1794&lt;=J1794,"Met","Breached"))</f>
        <v>Met</v>
      </c>
    </row>
    <row r="1795" ht="19" customHeight="1" spans="1:14" x14ac:dyDescent="0.25">
      <c r="A1795" s="22" t="s">
        <v>1909</v>
      </c>
      <c r="B1795" s="36">
        <v>45672.32152777778</v>
      </c>
      <c r="C1795" s="36">
        <v>45677.18958333333</v>
      </c>
      <c r="D1795" s="22" t="s">
        <v>33</v>
      </c>
      <c r="E1795" s="22" t="s">
        <v>69</v>
      </c>
      <c r="F1795" s="22" t="s">
        <v>40</v>
      </c>
      <c r="G1795" s="22" t="s">
        <v>63</v>
      </c>
      <c r="H1795" s="22" t="s">
        <v>63</v>
      </c>
      <c r="I1795" s="22" t="s">
        <v>123</v>
      </c>
      <c r="J1795" s="23">
        <v>120</v>
      </c>
      <c r="K1795" s="37">
        <v>0</v>
      </c>
      <c r="L1795" s="37">
        <v>4</v>
      </c>
      <c r="M1795" s="22">
        <f>IF(OR(ISBLANK(C1795),C1795=""),"",ROUND((C1795-B1795)*24,2))</f>
        <v>116.83</v>
      </c>
      <c r="N1795" s="40" t="str">
        <f>IF(OR(ISBLANK(C1795),C1795="",M1795=""),"In Progress",IF(M1795&lt;=J1795,"Met","Breached"))</f>
        <v>Met</v>
      </c>
    </row>
    <row r="1796" ht="19" customHeight="1" spans="1:14" x14ac:dyDescent="0.25">
      <c r="A1796" s="19" t="s">
        <v>1910</v>
      </c>
      <c r="B1796" s="33">
        <v>45727.3625</v>
      </c>
      <c r="C1796" s="33">
        <v>45728.26666666666</v>
      </c>
      <c r="D1796" s="19" t="s">
        <v>33</v>
      </c>
      <c r="E1796" s="19" t="s">
        <v>65</v>
      </c>
      <c r="F1796" s="19" t="s">
        <v>37</v>
      </c>
      <c r="G1796" s="19" t="s">
        <v>110</v>
      </c>
      <c r="H1796" s="19" t="s">
        <v>63</v>
      </c>
      <c r="I1796" s="19" t="s">
        <v>117</v>
      </c>
      <c r="J1796" s="20">
        <v>48</v>
      </c>
      <c r="K1796" s="34">
        <v>0</v>
      </c>
      <c r="M1796" s="19">
        <f>IF(OR(ISBLANK(C1796),C1796=""),"",ROUND((C1796-B1796)*24,2))</f>
        <v>21.7</v>
      </c>
      <c r="N1796" s="35" t="str">
        <f>IF(OR(ISBLANK(C1796),C1796="",M1796=""),"In Progress",IF(M1796&lt;=J1796,"Met","Breached"))</f>
        <v>Met</v>
      </c>
    </row>
    <row r="1797" ht="19" customHeight="1" spans="1:14" x14ac:dyDescent="0.25">
      <c r="A1797" s="22" t="s">
        <v>1911</v>
      </c>
      <c r="B1797" s="36">
        <v>45816.74930555555</v>
      </c>
      <c r="D1797" s="22" t="s">
        <v>39</v>
      </c>
      <c r="E1797" s="22" t="s">
        <v>69</v>
      </c>
      <c r="F1797" s="22" t="s">
        <v>43</v>
      </c>
      <c r="G1797" s="22" t="s">
        <v>126</v>
      </c>
      <c r="H1797" s="22" t="s">
        <v>63</v>
      </c>
      <c r="I1797" s="22" t="s">
        <v>114</v>
      </c>
      <c r="J1797" s="23">
        <v>120</v>
      </c>
      <c r="K1797" s="37">
        <v>0</v>
      </c>
      <c r="M1797" s="22" t="str">
        <f>IF(OR(ISBLANK(C1797),C1797=""),"",ROUND((C1797-B1797)*24,2))</f>
        <v/>
      </c>
      <c r="N1797" s="22" t="str">
        <f>IF(OR(ISBLANK(C1797),C1797="",M1797=""),"In Progress",IF(M1797&lt;=J1797,"Met","Breached"))</f>
        <v>In Progress</v>
      </c>
    </row>
    <row r="1798" ht="19" customHeight="1" spans="1:14" x14ac:dyDescent="0.25">
      <c r="A1798" s="19" t="s">
        <v>1912</v>
      </c>
      <c r="B1798" s="33">
        <v>46122.87986111111</v>
      </c>
      <c r="C1798" s="33">
        <v>46123.554861111115</v>
      </c>
      <c r="D1798" s="19" t="s">
        <v>33</v>
      </c>
      <c r="E1798" s="19" t="s">
        <v>61</v>
      </c>
      <c r="F1798" s="19" t="s">
        <v>40</v>
      </c>
      <c r="G1798" s="19" t="s">
        <v>63</v>
      </c>
      <c r="H1798" s="19" t="s">
        <v>63</v>
      </c>
      <c r="I1798" s="19" t="s">
        <v>147</v>
      </c>
      <c r="J1798" s="20">
        <v>12</v>
      </c>
      <c r="K1798" s="34">
        <v>0</v>
      </c>
      <c r="L1798" s="34">
        <v>3</v>
      </c>
      <c r="M1798" s="19">
        <f>IF(OR(ISBLANK(C1798),C1798=""),"",ROUND((C1798-B1798)*24,2))</f>
        <v>16.2</v>
      </c>
      <c r="N1798" s="39" t="str">
        <f>IF(OR(ISBLANK(C1798),C1798="",M1798=""),"In Progress",IF(M1798&lt;=J1798,"Met","Breached"))</f>
        <v>Breached</v>
      </c>
    </row>
    <row r="1799" ht="19" customHeight="1" spans="1:14" x14ac:dyDescent="0.25">
      <c r="A1799" s="22" t="s">
        <v>1913</v>
      </c>
      <c r="B1799" s="36">
        <v>46062.16111111111</v>
      </c>
      <c r="C1799" s="36">
        <v>46062.402083333334</v>
      </c>
      <c r="D1799" s="22" t="s">
        <v>33</v>
      </c>
      <c r="E1799" s="22" t="s">
        <v>57</v>
      </c>
      <c r="F1799" s="22" t="s">
        <v>45</v>
      </c>
      <c r="G1799" s="22" t="s">
        <v>113</v>
      </c>
      <c r="H1799" s="22" t="s">
        <v>59</v>
      </c>
      <c r="I1799" s="22" t="s">
        <v>114</v>
      </c>
      <c r="J1799" s="23">
        <v>4</v>
      </c>
      <c r="K1799" s="37">
        <v>0</v>
      </c>
      <c r="L1799" s="37">
        <v>4</v>
      </c>
      <c r="M1799" s="22">
        <f>IF(OR(ISBLANK(C1799),C1799=""),"",ROUND((C1799-B1799)*24,2))</f>
        <v>5.78</v>
      </c>
      <c r="N1799" s="38" t="str">
        <f>IF(OR(ISBLANK(C1799),C1799="",M1799=""),"In Progress",IF(M1799&lt;=J1799,"Met","Breached"))</f>
        <v>Breached</v>
      </c>
    </row>
    <row r="1800" ht="19" customHeight="1" spans="1:14" x14ac:dyDescent="0.25">
      <c r="A1800" s="19" t="s">
        <v>1914</v>
      </c>
      <c r="B1800" s="33">
        <v>46018.12708333333</v>
      </c>
      <c r="D1800" s="19" t="s">
        <v>39</v>
      </c>
      <c r="E1800" s="19" t="s">
        <v>57</v>
      </c>
      <c r="F1800" s="19" t="s">
        <v>34</v>
      </c>
      <c r="G1800" s="19" t="s">
        <v>113</v>
      </c>
      <c r="H1800" s="19" t="s">
        <v>71</v>
      </c>
      <c r="I1800" s="19" t="s">
        <v>114</v>
      </c>
      <c r="J1800" s="20">
        <v>4</v>
      </c>
      <c r="K1800" s="34">
        <v>0</v>
      </c>
      <c r="M1800" s="19" t="str">
        <f>IF(OR(ISBLANK(C1800),C1800=""),"",ROUND((C1800-B1800)*24,2))</f>
        <v/>
      </c>
      <c r="N1800" s="19" t="str">
        <f>IF(OR(ISBLANK(C1800),C1800="",M1800=""),"In Progress",IF(M1800&lt;=J1800,"Met","Breached"))</f>
        <v>In Progress</v>
      </c>
    </row>
    <row r="1801" ht="19" customHeight="1" spans="1:14" x14ac:dyDescent="0.25">
      <c r="A1801" s="22" t="s">
        <v>1915</v>
      </c>
      <c r="B1801" s="36">
        <v>46263.82986111111</v>
      </c>
      <c r="C1801" s="36">
        <v>46264.79027777778</v>
      </c>
      <c r="D1801" s="22" t="s">
        <v>33</v>
      </c>
      <c r="E1801" s="22" t="s">
        <v>65</v>
      </c>
      <c r="F1801" s="22" t="s">
        <v>34</v>
      </c>
      <c r="G1801" s="22" t="s">
        <v>63</v>
      </c>
      <c r="H1801" s="22" t="s">
        <v>67</v>
      </c>
      <c r="I1801" s="22" t="s">
        <v>114</v>
      </c>
      <c r="J1801" s="23">
        <v>48</v>
      </c>
      <c r="K1801" s="37">
        <v>0</v>
      </c>
      <c r="L1801" s="37">
        <v>1</v>
      </c>
      <c r="M1801" s="22">
        <f>IF(OR(ISBLANK(C1801),C1801=""),"",ROUND((C1801-B1801)*24,2))</f>
        <v>23.05</v>
      </c>
      <c r="N1801" s="40" t="str">
        <f>IF(OR(ISBLANK(C1801),C1801="",M1801=""),"In Progress",IF(M1801&lt;=J1801,"Met","Breached"))</f>
        <v>Met</v>
      </c>
    </row>
    <row r="1802" ht="19" customHeight="1" spans="1:14" x14ac:dyDescent="0.25">
      <c r="A1802" s="19" t="s">
        <v>1916</v>
      </c>
      <c r="B1802" s="33">
        <v>45978.58263888889</v>
      </c>
      <c r="C1802" s="33">
        <v>45981.67222222222</v>
      </c>
      <c r="D1802" s="19" t="s">
        <v>36</v>
      </c>
      <c r="E1802" s="19" t="s">
        <v>65</v>
      </c>
      <c r="F1802" s="19" t="s">
        <v>34</v>
      </c>
      <c r="G1802" s="19" t="s">
        <v>126</v>
      </c>
      <c r="H1802" s="19" t="s">
        <v>59</v>
      </c>
      <c r="I1802" s="19" t="s">
        <v>117</v>
      </c>
      <c r="J1802" s="20">
        <v>48</v>
      </c>
      <c r="K1802" s="34">
        <v>0</v>
      </c>
      <c r="L1802" s="34">
        <v>1</v>
      </c>
      <c r="M1802" s="19">
        <f>IF(OR(ISBLANK(C1802),C1802=""),"",ROUND((C1802-B1802)*24,2))</f>
        <v>74.15</v>
      </c>
      <c r="N1802" s="39" t="str">
        <f>IF(OR(ISBLANK(C1802),C1802="",M1802=""),"In Progress",IF(M1802&lt;=J1802,"Met","Breached"))</f>
        <v>Breached</v>
      </c>
    </row>
    <row r="1803" ht="19" customHeight="1" spans="1:14" x14ac:dyDescent="0.25">
      <c r="A1803" s="22" t="s">
        <v>1917</v>
      </c>
      <c r="B1803" s="36">
        <v>45668.93958333333</v>
      </c>
      <c r="C1803" s="36">
        <v>45673.44583333333</v>
      </c>
      <c r="D1803" s="22" t="s">
        <v>33</v>
      </c>
      <c r="E1803" s="22" t="s">
        <v>69</v>
      </c>
      <c r="F1803" s="22" t="s">
        <v>43</v>
      </c>
      <c r="G1803" s="22" t="s">
        <v>121</v>
      </c>
      <c r="H1803" s="22" t="s">
        <v>63</v>
      </c>
      <c r="I1803" s="22" t="s">
        <v>111</v>
      </c>
      <c r="J1803" s="23">
        <v>120</v>
      </c>
      <c r="K1803" s="37">
        <v>0</v>
      </c>
      <c r="M1803" s="22">
        <f>IF(OR(ISBLANK(C1803),C1803=""),"",ROUND((C1803-B1803)*24,2))</f>
        <v>108.15</v>
      </c>
      <c r="N1803" s="40" t="str">
        <f>IF(OR(ISBLANK(C1803),C1803="",M1803=""),"In Progress",IF(M1803&lt;=J1803,"Met","Breached"))</f>
        <v>Met</v>
      </c>
    </row>
    <row r="1804" ht="19" customHeight="1" spans="1:14" x14ac:dyDescent="0.25">
      <c r="A1804" s="19" t="s">
        <v>1918</v>
      </c>
      <c r="B1804" s="33">
        <v>45776.58263888889</v>
      </c>
      <c r="C1804" s="33">
        <v>45778.941666666666</v>
      </c>
      <c r="D1804" s="19" t="s">
        <v>33</v>
      </c>
      <c r="E1804" s="19" t="s">
        <v>65</v>
      </c>
      <c r="F1804" s="19" t="s">
        <v>40</v>
      </c>
      <c r="G1804" s="19" t="s">
        <v>121</v>
      </c>
      <c r="H1804" s="19" t="s">
        <v>59</v>
      </c>
      <c r="I1804" s="19" t="s">
        <v>114</v>
      </c>
      <c r="J1804" s="20">
        <v>48</v>
      </c>
      <c r="K1804" s="34">
        <v>0</v>
      </c>
      <c r="L1804" s="34">
        <v>2</v>
      </c>
      <c r="M1804" s="19">
        <f>IF(OR(ISBLANK(C1804),C1804=""),"",ROUND((C1804-B1804)*24,2))</f>
        <v>56.62</v>
      </c>
      <c r="N1804" s="39" t="str">
        <f>IF(OR(ISBLANK(C1804),C1804="",M1804=""),"In Progress",IF(M1804&lt;=J1804,"Met","Breached"))</f>
        <v>Breached</v>
      </c>
    </row>
    <row r="1805" ht="19" customHeight="1" spans="1:14" x14ac:dyDescent="0.25">
      <c r="A1805" s="22" t="s">
        <v>1919</v>
      </c>
      <c r="B1805" s="36">
        <v>46115.04791666666</v>
      </c>
      <c r="C1805" s="36">
        <v>46115.69375</v>
      </c>
      <c r="D1805" s="22" t="s">
        <v>36</v>
      </c>
      <c r="E1805" s="22" t="s">
        <v>61</v>
      </c>
      <c r="F1805" s="22" t="s">
        <v>34</v>
      </c>
      <c r="G1805" s="22" t="s">
        <v>126</v>
      </c>
      <c r="H1805" s="22" t="s">
        <v>59</v>
      </c>
      <c r="I1805" s="22" t="s">
        <v>123</v>
      </c>
      <c r="J1805" s="23">
        <v>12</v>
      </c>
      <c r="K1805" s="37">
        <v>0</v>
      </c>
      <c r="M1805" s="22">
        <f>IF(OR(ISBLANK(C1805),C1805=""),"",ROUND((C1805-B1805)*24,2))</f>
        <v>15.5</v>
      </c>
      <c r="N1805" s="38" t="str">
        <f>IF(OR(ISBLANK(C1805),C1805="",M1805=""),"In Progress",IF(M1805&lt;=J1805,"Met","Breached"))</f>
        <v>Breached</v>
      </c>
    </row>
    <row r="1806" ht="19" customHeight="1" spans="1:14" x14ac:dyDescent="0.25">
      <c r="A1806" s="19" t="s">
        <v>1920</v>
      </c>
      <c r="B1806" s="33">
        <v>46255.86875</v>
      </c>
      <c r="C1806" s="33">
        <v>46258.47083333333</v>
      </c>
      <c r="D1806" s="19" t="s">
        <v>36</v>
      </c>
      <c r="E1806" s="19" t="s">
        <v>69</v>
      </c>
      <c r="F1806" s="19" t="s">
        <v>45</v>
      </c>
      <c r="G1806" s="19" t="s">
        <v>121</v>
      </c>
      <c r="H1806" s="19" t="s">
        <v>63</v>
      </c>
      <c r="I1806" s="19" t="s">
        <v>117</v>
      </c>
      <c r="J1806" s="20">
        <v>120</v>
      </c>
      <c r="K1806" s="34">
        <v>0</v>
      </c>
      <c r="L1806" s="34">
        <v>5</v>
      </c>
      <c r="M1806" s="19">
        <f>IF(OR(ISBLANK(C1806),C1806=""),"",ROUND((C1806-B1806)*24,2))</f>
        <v>62.45</v>
      </c>
      <c r="N1806" s="35" t="str">
        <f>IF(OR(ISBLANK(C1806),C1806="",M1806=""),"In Progress",IF(M1806&lt;=J1806,"Met","Breached"))</f>
        <v>Met</v>
      </c>
    </row>
    <row r="1807" ht="19" customHeight="1" spans="1:14" x14ac:dyDescent="0.25">
      <c r="A1807" s="22" t="s">
        <v>1921</v>
      </c>
      <c r="B1807" s="36">
        <v>45927.558333333334</v>
      </c>
      <c r="C1807" s="36">
        <v>45930.27916666667</v>
      </c>
      <c r="D1807" s="22" t="s">
        <v>36</v>
      </c>
      <c r="E1807" s="22" t="s">
        <v>65</v>
      </c>
      <c r="F1807" s="22" t="s">
        <v>40</v>
      </c>
      <c r="G1807" s="22" t="s">
        <v>110</v>
      </c>
      <c r="H1807" s="22" t="s">
        <v>59</v>
      </c>
      <c r="I1807" s="22" t="s">
        <v>117</v>
      </c>
      <c r="J1807" s="23">
        <v>48</v>
      </c>
      <c r="K1807" s="37">
        <v>0</v>
      </c>
      <c r="L1807" s="37">
        <v>3</v>
      </c>
      <c r="M1807" s="22">
        <f>IF(OR(ISBLANK(C1807),C1807=""),"",ROUND((C1807-B1807)*24,2))</f>
        <v>65.3</v>
      </c>
      <c r="N1807" s="38" t="str">
        <f>IF(OR(ISBLANK(C1807),C1807="",M1807=""),"In Progress",IF(M1807&lt;=J1807,"Met","Breached"))</f>
        <v>Breached</v>
      </c>
    </row>
    <row r="1808" ht="19" customHeight="1" spans="1:14" x14ac:dyDescent="0.25">
      <c r="A1808" s="19" t="s">
        <v>1922</v>
      </c>
      <c r="B1808" s="33">
        <v>46141.78611111111</v>
      </c>
      <c r="D1808" s="19" t="s">
        <v>42</v>
      </c>
      <c r="E1808" s="19" t="s">
        <v>65</v>
      </c>
      <c r="F1808" s="19" t="s">
        <v>40</v>
      </c>
      <c r="G1808" s="19" t="s">
        <v>116</v>
      </c>
      <c r="H1808" s="19" t="s">
        <v>59</v>
      </c>
      <c r="I1808" s="19" t="s">
        <v>114</v>
      </c>
      <c r="J1808" s="20">
        <v>48</v>
      </c>
      <c r="K1808" s="34">
        <v>0</v>
      </c>
      <c r="M1808" s="19" t="str">
        <f>IF(OR(ISBLANK(C1808),C1808=""),"",ROUND((C1808-B1808)*24,2))</f>
        <v/>
      </c>
      <c r="N1808" s="19" t="str">
        <f>IF(OR(ISBLANK(C1808),C1808="",M1808=""),"In Progress",IF(M1808&lt;=J1808,"Met","Breached"))</f>
        <v>In Progress</v>
      </c>
    </row>
    <row r="1809" ht="19" customHeight="1" spans="1:14" x14ac:dyDescent="0.25">
      <c r="A1809" s="22" t="s">
        <v>1923</v>
      </c>
      <c r="B1809" s="36">
        <v>45789.37638888889</v>
      </c>
      <c r="D1809" s="22" t="s">
        <v>39</v>
      </c>
      <c r="E1809" s="22" t="s">
        <v>69</v>
      </c>
      <c r="F1809" s="22" t="s">
        <v>37</v>
      </c>
      <c r="G1809" s="22" t="s">
        <v>63</v>
      </c>
      <c r="H1809" s="22" t="s">
        <v>67</v>
      </c>
      <c r="I1809" s="22" t="s">
        <v>147</v>
      </c>
      <c r="J1809" s="23">
        <v>120</v>
      </c>
      <c r="K1809" s="37">
        <v>0</v>
      </c>
      <c r="M1809" s="22" t="str">
        <f>IF(OR(ISBLANK(C1809),C1809=""),"",ROUND((C1809-B1809)*24,2))</f>
        <v/>
      </c>
      <c r="N1809" s="22" t="str">
        <f>IF(OR(ISBLANK(C1809),C1809="",M1809=""),"In Progress",IF(M1809&lt;=J1809,"Met","Breached"))</f>
        <v>In Progress</v>
      </c>
    </row>
    <row r="1810" ht="19" customHeight="1" spans="1:14" x14ac:dyDescent="0.25">
      <c r="A1810" s="19" t="s">
        <v>1924</v>
      </c>
      <c r="B1810" s="33">
        <v>45806.06388888889</v>
      </c>
      <c r="C1810" s="33">
        <v>45806.26597222222</v>
      </c>
      <c r="D1810" s="19" t="s">
        <v>36</v>
      </c>
      <c r="E1810" s="19" t="s">
        <v>57</v>
      </c>
      <c r="F1810" s="19" t="s">
        <v>40</v>
      </c>
      <c r="G1810" s="19" t="s">
        <v>126</v>
      </c>
      <c r="H1810" s="19" t="s">
        <v>63</v>
      </c>
      <c r="I1810" s="19" t="s">
        <v>117</v>
      </c>
      <c r="J1810" s="20">
        <v>4</v>
      </c>
      <c r="K1810" s="34">
        <v>0</v>
      </c>
      <c r="M1810" s="19">
        <f>IF(OR(ISBLANK(C1810),C1810=""),"",ROUND((C1810-B1810)*24,2))</f>
        <v>4.85</v>
      </c>
      <c r="N1810" s="39" t="str">
        <f>IF(OR(ISBLANK(C1810),C1810="",M1810=""),"In Progress",IF(M1810&lt;=J1810,"Met","Breached"))</f>
        <v>Breached</v>
      </c>
    </row>
    <row r="1811" ht="19" customHeight="1" spans="1:14" x14ac:dyDescent="0.25">
      <c r="A1811" s="22" t="s">
        <v>1925</v>
      </c>
      <c r="B1811" s="36">
        <v>46278.93194444444</v>
      </c>
      <c r="D1811" s="22" t="s">
        <v>42</v>
      </c>
      <c r="E1811" s="22" t="s">
        <v>61</v>
      </c>
      <c r="F1811" s="22" t="s">
        <v>37</v>
      </c>
      <c r="G1811" s="22" t="s">
        <v>116</v>
      </c>
      <c r="H1811" s="22" t="s">
        <v>63</v>
      </c>
      <c r="I1811" s="22" t="s">
        <v>123</v>
      </c>
      <c r="J1811" s="23">
        <v>12</v>
      </c>
      <c r="K1811" s="37">
        <v>0</v>
      </c>
      <c r="M1811" s="22" t="str">
        <f>IF(OR(ISBLANK(C1811),C1811=""),"",ROUND((C1811-B1811)*24,2))</f>
        <v/>
      </c>
      <c r="N1811" s="22" t="str">
        <f>IF(OR(ISBLANK(C1811),C1811="",M1811=""),"In Progress",IF(M1811&lt;=J1811,"Met","Breached"))</f>
        <v>In Progress</v>
      </c>
    </row>
    <row r="1812" ht="19" customHeight="1" spans="1:14" x14ac:dyDescent="0.25">
      <c r="A1812" s="19" t="s">
        <v>1926</v>
      </c>
      <c r="B1812" s="33">
        <v>45810.21805555555</v>
      </c>
      <c r="C1812" s="33">
        <v>45810.802777777775</v>
      </c>
      <c r="D1812" s="19" t="s">
        <v>33</v>
      </c>
      <c r="E1812" s="19" t="s">
        <v>61</v>
      </c>
      <c r="F1812" s="19" t="s">
        <v>34</v>
      </c>
      <c r="G1812" s="19" t="s">
        <v>121</v>
      </c>
      <c r="H1812" s="19" t="s">
        <v>67</v>
      </c>
      <c r="I1812" s="19" t="s">
        <v>123</v>
      </c>
      <c r="J1812" s="20">
        <v>12</v>
      </c>
      <c r="K1812" s="34">
        <v>1</v>
      </c>
      <c r="L1812" s="34">
        <v>3</v>
      </c>
      <c r="M1812" s="19">
        <f>IF(OR(ISBLANK(C1812),C1812=""),"",ROUND((C1812-B1812)*24,2))</f>
        <v>14.03</v>
      </c>
      <c r="N1812" s="39" t="str">
        <f>IF(OR(ISBLANK(C1812),C1812="",M1812=""),"In Progress",IF(M1812&lt;=J1812,"Met","Breached"))</f>
        <v>Breached</v>
      </c>
    </row>
    <row r="1813" ht="19" customHeight="1" spans="1:14" x14ac:dyDescent="0.25">
      <c r="A1813" s="22" t="s">
        <v>1927</v>
      </c>
      <c r="B1813" s="36">
        <v>45933.73333333334</v>
      </c>
      <c r="C1813" s="36">
        <v>45934.32986111111</v>
      </c>
      <c r="D1813" s="22" t="s">
        <v>33</v>
      </c>
      <c r="E1813" s="22" t="s">
        <v>61</v>
      </c>
      <c r="F1813" s="22" t="s">
        <v>43</v>
      </c>
      <c r="G1813" s="22" t="s">
        <v>63</v>
      </c>
      <c r="H1813" s="22" t="s">
        <v>71</v>
      </c>
      <c r="I1813" s="22" t="s">
        <v>111</v>
      </c>
      <c r="J1813" s="23">
        <v>12</v>
      </c>
      <c r="K1813" s="37">
        <v>0</v>
      </c>
      <c r="M1813" s="22">
        <f>IF(OR(ISBLANK(C1813),C1813=""),"",ROUND((C1813-B1813)*24,2))</f>
        <v>14.32</v>
      </c>
      <c r="N1813" s="38" t="str">
        <f>IF(OR(ISBLANK(C1813),C1813="",M1813=""),"In Progress",IF(M1813&lt;=J1813,"Met","Breached"))</f>
        <v>Breached</v>
      </c>
    </row>
    <row r="1814" ht="19" customHeight="1" spans="1:14" x14ac:dyDescent="0.25">
      <c r="A1814" s="19" t="s">
        <v>1928</v>
      </c>
      <c r="B1814" s="33">
        <v>45945.46666666667</v>
      </c>
      <c r="C1814" s="33">
        <v>45954.459027777775</v>
      </c>
      <c r="D1814" s="19" t="s">
        <v>33</v>
      </c>
      <c r="E1814" s="19" t="s">
        <v>69</v>
      </c>
      <c r="F1814" s="19" t="s">
        <v>45</v>
      </c>
      <c r="G1814" s="19" t="s">
        <v>116</v>
      </c>
      <c r="H1814" s="19" t="s">
        <v>71</v>
      </c>
      <c r="I1814" s="19" t="s">
        <v>147</v>
      </c>
      <c r="J1814" s="20">
        <v>120</v>
      </c>
      <c r="K1814" s="34">
        <v>0</v>
      </c>
      <c r="L1814" s="34">
        <v>2</v>
      </c>
      <c r="M1814" s="19">
        <f>IF(OR(ISBLANK(C1814),C1814=""),"",ROUND((C1814-B1814)*24,2))</f>
        <v>215.82</v>
      </c>
      <c r="N1814" s="39" t="str">
        <f>IF(OR(ISBLANK(C1814),C1814="",M1814=""),"In Progress",IF(M1814&lt;=J1814,"Met","Breached"))</f>
        <v>Breached</v>
      </c>
    </row>
    <row r="1815" ht="19" customHeight="1" spans="1:14" x14ac:dyDescent="0.25">
      <c r="A1815" s="22" t="s">
        <v>1929</v>
      </c>
      <c r="B1815" s="36">
        <v>45740.60416666667</v>
      </c>
      <c r="D1815" s="22" t="s">
        <v>39</v>
      </c>
      <c r="E1815" s="22" t="s">
        <v>57</v>
      </c>
      <c r="F1815" s="22" t="s">
        <v>37</v>
      </c>
      <c r="G1815" s="22" t="s">
        <v>63</v>
      </c>
      <c r="H1815" s="22" t="s">
        <v>59</v>
      </c>
      <c r="I1815" s="22" t="s">
        <v>117</v>
      </c>
      <c r="J1815" s="23">
        <v>4</v>
      </c>
      <c r="K1815" s="37">
        <v>0</v>
      </c>
      <c r="M1815" s="22" t="str">
        <f>IF(OR(ISBLANK(C1815),C1815=""),"",ROUND((C1815-B1815)*24,2))</f>
        <v/>
      </c>
      <c r="N1815" s="22" t="str">
        <f>IF(OR(ISBLANK(C1815),C1815="",M1815=""),"In Progress",IF(M1815&lt;=J1815,"Met","Breached"))</f>
        <v>In Progress</v>
      </c>
    </row>
    <row r="1816" ht="19" customHeight="1" spans="1:14" x14ac:dyDescent="0.25">
      <c r="A1816" s="19" t="s">
        <v>1930</v>
      </c>
      <c r="B1816" s="33">
        <v>46079.205555555556</v>
      </c>
      <c r="C1816" s="33">
        <v>46082.15069444444</v>
      </c>
      <c r="D1816" s="19" t="s">
        <v>33</v>
      </c>
      <c r="E1816" s="19" t="s">
        <v>65</v>
      </c>
      <c r="F1816" s="19" t="s">
        <v>43</v>
      </c>
      <c r="G1816" s="19" t="s">
        <v>126</v>
      </c>
      <c r="H1816" s="19" t="s">
        <v>59</v>
      </c>
      <c r="I1816" s="19" t="s">
        <v>111</v>
      </c>
      <c r="J1816" s="20">
        <v>48</v>
      </c>
      <c r="K1816" s="34">
        <v>0</v>
      </c>
      <c r="L1816" s="34">
        <v>4</v>
      </c>
      <c r="M1816" s="19">
        <f>IF(OR(ISBLANK(C1816),C1816=""),"",ROUND((C1816-B1816)*24,2))</f>
        <v>70.68</v>
      </c>
      <c r="N1816" s="39" t="str">
        <f>IF(OR(ISBLANK(C1816),C1816="",M1816=""),"In Progress",IF(M1816&lt;=J1816,"Met","Breached"))</f>
        <v>Breached</v>
      </c>
    </row>
    <row r="1817" ht="19" customHeight="1" spans="1:14" x14ac:dyDescent="0.25">
      <c r="A1817" s="22" t="s">
        <v>1931</v>
      </c>
      <c r="B1817" s="36">
        <v>46240.95347222222</v>
      </c>
      <c r="C1817" s="36">
        <v>46243.76111111111</v>
      </c>
      <c r="D1817" s="22" t="s">
        <v>36</v>
      </c>
      <c r="E1817" s="22" t="s">
        <v>65</v>
      </c>
      <c r="F1817" s="22" t="s">
        <v>45</v>
      </c>
      <c r="G1817" s="22" t="s">
        <v>63</v>
      </c>
      <c r="H1817" s="22" t="s">
        <v>71</v>
      </c>
      <c r="I1817" s="22" t="s">
        <v>117</v>
      </c>
      <c r="J1817" s="23">
        <v>48</v>
      </c>
      <c r="K1817" s="37">
        <v>0</v>
      </c>
      <c r="M1817" s="22">
        <f>IF(OR(ISBLANK(C1817),C1817=""),"",ROUND((C1817-B1817)*24,2))</f>
        <v>67.38</v>
      </c>
      <c r="N1817" s="38" t="str">
        <f>IF(OR(ISBLANK(C1817),C1817="",M1817=""),"In Progress",IF(M1817&lt;=J1817,"Met","Breached"))</f>
        <v>Breached</v>
      </c>
    </row>
    <row r="1818" ht="19" customHeight="1" spans="1:14" x14ac:dyDescent="0.25">
      <c r="A1818" s="19" t="s">
        <v>1932</v>
      </c>
      <c r="B1818" s="33">
        <v>45864.94930555555</v>
      </c>
      <c r="C1818" s="33">
        <v>45867.69861111111</v>
      </c>
      <c r="D1818" s="19" t="s">
        <v>33</v>
      </c>
      <c r="E1818" s="19" t="s">
        <v>69</v>
      </c>
      <c r="F1818" s="19" t="s">
        <v>40</v>
      </c>
      <c r="G1818" s="19" t="s">
        <v>121</v>
      </c>
      <c r="H1818" s="19" t="s">
        <v>63</v>
      </c>
      <c r="I1818" s="19" t="s">
        <v>117</v>
      </c>
      <c r="J1818" s="20">
        <v>120</v>
      </c>
      <c r="K1818" s="34">
        <v>0</v>
      </c>
      <c r="M1818" s="19">
        <f>IF(OR(ISBLANK(C1818),C1818=""),"",ROUND((C1818-B1818)*24,2))</f>
        <v>65.98</v>
      </c>
      <c r="N1818" s="35" t="str">
        <f>IF(OR(ISBLANK(C1818),C1818="",M1818=""),"In Progress",IF(M1818&lt;=J1818,"Met","Breached"))</f>
        <v>Met</v>
      </c>
    </row>
    <row r="1819" ht="19" customHeight="1" spans="1:14" x14ac:dyDescent="0.25">
      <c r="A1819" s="22" t="s">
        <v>1933</v>
      </c>
      <c r="B1819" s="36">
        <v>46180.21041666667</v>
      </c>
      <c r="D1819" s="22" t="s">
        <v>42</v>
      </c>
      <c r="E1819" s="22" t="s">
        <v>65</v>
      </c>
      <c r="F1819" s="22" t="s">
        <v>45</v>
      </c>
      <c r="G1819" s="22" t="s">
        <v>116</v>
      </c>
      <c r="H1819" s="22" t="s">
        <v>63</v>
      </c>
      <c r="I1819" s="22" t="s">
        <v>114</v>
      </c>
      <c r="J1819" s="23">
        <v>48</v>
      </c>
      <c r="K1819" s="37">
        <v>0</v>
      </c>
      <c r="M1819" s="22" t="str">
        <f>IF(OR(ISBLANK(C1819),C1819=""),"",ROUND((C1819-B1819)*24,2))</f>
        <v/>
      </c>
      <c r="N1819" s="22" t="str">
        <f>IF(OR(ISBLANK(C1819),C1819="",M1819=""),"In Progress",IF(M1819&lt;=J1819,"Met","Breached"))</f>
        <v>In Progress</v>
      </c>
    </row>
    <row r="1820" ht="19" customHeight="1" spans="1:14" x14ac:dyDescent="0.25">
      <c r="A1820" s="19" t="s">
        <v>1934</v>
      </c>
      <c r="B1820" s="33">
        <v>45897.00208333333</v>
      </c>
      <c r="C1820" s="33">
        <v>45898.73611111111</v>
      </c>
      <c r="D1820" s="19" t="s">
        <v>36</v>
      </c>
      <c r="E1820" s="19" t="s">
        <v>65</v>
      </c>
      <c r="F1820" s="19" t="s">
        <v>34</v>
      </c>
      <c r="G1820" s="19" t="s">
        <v>126</v>
      </c>
      <c r="H1820" s="19" t="s">
        <v>71</v>
      </c>
      <c r="I1820" s="19" t="s">
        <v>147</v>
      </c>
      <c r="J1820" s="20">
        <v>48</v>
      </c>
      <c r="K1820" s="34">
        <v>0</v>
      </c>
      <c r="L1820" s="34">
        <v>1</v>
      </c>
      <c r="M1820" s="19">
        <f>IF(OR(ISBLANK(C1820),C1820=""),"",ROUND((C1820-B1820)*24,2))</f>
        <v>41.62</v>
      </c>
      <c r="N1820" s="35" t="str">
        <f>IF(OR(ISBLANK(C1820),C1820="",M1820=""),"In Progress",IF(M1820&lt;=J1820,"Met","Breached"))</f>
        <v>Met</v>
      </c>
    </row>
    <row r="1821" ht="19" customHeight="1" spans="1:14" x14ac:dyDescent="0.25">
      <c r="A1821" s="22" t="s">
        <v>1935</v>
      </c>
      <c r="B1821" s="36">
        <v>45812.05972222222</v>
      </c>
      <c r="C1821" s="36">
        <v>45815.41111111111</v>
      </c>
      <c r="D1821" s="22" t="s">
        <v>33</v>
      </c>
      <c r="E1821" s="22" t="s">
        <v>69</v>
      </c>
      <c r="F1821" s="22" t="s">
        <v>40</v>
      </c>
      <c r="G1821" s="22" t="s">
        <v>113</v>
      </c>
      <c r="H1821" s="22" t="s">
        <v>63</v>
      </c>
      <c r="I1821" s="22" t="s">
        <v>117</v>
      </c>
      <c r="J1821" s="23">
        <v>120</v>
      </c>
      <c r="K1821" s="37">
        <v>0</v>
      </c>
      <c r="L1821" s="37">
        <v>1</v>
      </c>
      <c r="M1821" s="22">
        <f>IF(OR(ISBLANK(C1821),C1821=""),"",ROUND((C1821-B1821)*24,2))</f>
        <v>80.43</v>
      </c>
      <c r="N1821" s="40" t="str">
        <f>IF(OR(ISBLANK(C1821),C1821="",M1821=""),"In Progress",IF(M1821&lt;=J1821,"Met","Breached"))</f>
        <v>Met</v>
      </c>
    </row>
    <row r="1822" ht="19" customHeight="1" spans="1:14" x14ac:dyDescent="0.25">
      <c r="A1822" s="19" t="s">
        <v>1936</v>
      </c>
      <c r="B1822" s="33">
        <v>46061.933333333334</v>
      </c>
      <c r="C1822" s="33">
        <v>46069.06736111111</v>
      </c>
      <c r="D1822" s="19" t="s">
        <v>33</v>
      </c>
      <c r="E1822" s="19" t="s">
        <v>69</v>
      </c>
      <c r="F1822" s="19" t="s">
        <v>34</v>
      </c>
      <c r="G1822" s="19" t="s">
        <v>63</v>
      </c>
      <c r="H1822" s="19" t="s">
        <v>67</v>
      </c>
      <c r="I1822" s="19" t="s">
        <v>108</v>
      </c>
      <c r="J1822" s="20">
        <v>120</v>
      </c>
      <c r="K1822" s="34">
        <v>0</v>
      </c>
      <c r="M1822" s="19">
        <f>IF(OR(ISBLANK(C1822),C1822=""),"",ROUND((C1822-B1822)*24,2))</f>
        <v>171.22</v>
      </c>
      <c r="N1822" s="39" t="str">
        <f>IF(OR(ISBLANK(C1822),C1822="",M1822=""),"In Progress",IF(M1822&lt;=J1822,"Met","Breached"))</f>
        <v>Breached</v>
      </c>
    </row>
    <row r="1823" ht="19" customHeight="1" spans="1:14" x14ac:dyDescent="0.25">
      <c r="A1823" s="22" t="s">
        <v>1937</v>
      </c>
      <c r="B1823" s="36">
        <v>45817.06388888889</v>
      </c>
      <c r="C1823" s="36">
        <v>45817.603472222225</v>
      </c>
      <c r="D1823" s="22" t="s">
        <v>33</v>
      </c>
      <c r="E1823" s="22" t="s">
        <v>61</v>
      </c>
      <c r="F1823" s="22" t="s">
        <v>43</v>
      </c>
      <c r="G1823" s="22" t="s">
        <v>110</v>
      </c>
      <c r="H1823" s="22" t="s">
        <v>71</v>
      </c>
      <c r="I1823" s="22" t="s">
        <v>114</v>
      </c>
      <c r="J1823" s="23">
        <v>12</v>
      </c>
      <c r="K1823" s="37">
        <v>1</v>
      </c>
      <c r="L1823" s="37">
        <v>4</v>
      </c>
      <c r="M1823" s="22">
        <f>IF(OR(ISBLANK(C1823),C1823=""),"",ROUND((C1823-B1823)*24,2))</f>
        <v>12.95</v>
      </c>
      <c r="N1823" s="38" t="str">
        <f>IF(OR(ISBLANK(C1823),C1823="",M1823=""),"In Progress",IF(M1823&lt;=J1823,"Met","Breached"))</f>
        <v>Breached</v>
      </c>
    </row>
    <row r="1824" ht="19" customHeight="1" spans="1:14" x14ac:dyDescent="0.25">
      <c r="A1824" s="19" t="s">
        <v>1938</v>
      </c>
      <c r="B1824" s="33">
        <v>45768.629166666666</v>
      </c>
      <c r="C1824" s="33">
        <v>45775.919444444444</v>
      </c>
      <c r="D1824" s="19" t="s">
        <v>33</v>
      </c>
      <c r="E1824" s="19" t="s">
        <v>69</v>
      </c>
      <c r="F1824" s="19" t="s">
        <v>43</v>
      </c>
      <c r="G1824" s="19" t="s">
        <v>110</v>
      </c>
      <c r="H1824" s="19" t="s">
        <v>67</v>
      </c>
      <c r="I1824" s="19" t="s">
        <v>114</v>
      </c>
      <c r="J1824" s="20">
        <v>120</v>
      </c>
      <c r="K1824" s="34">
        <v>0</v>
      </c>
      <c r="L1824" s="34">
        <v>5</v>
      </c>
      <c r="M1824" s="19">
        <f>IF(OR(ISBLANK(C1824),C1824=""),"",ROUND((C1824-B1824)*24,2))</f>
        <v>174.97</v>
      </c>
      <c r="N1824" s="39" t="str">
        <f>IF(OR(ISBLANK(C1824),C1824="",M1824=""),"In Progress",IF(M1824&lt;=J1824,"Met","Breached"))</f>
        <v>Breached</v>
      </c>
    </row>
    <row r="1825" ht="19" customHeight="1" spans="1:14" x14ac:dyDescent="0.25">
      <c r="A1825" s="22" t="s">
        <v>1939</v>
      </c>
      <c r="B1825" s="36">
        <v>46241.63888888889</v>
      </c>
      <c r="C1825" s="36">
        <v>46241.85416666667</v>
      </c>
      <c r="D1825" s="22" t="s">
        <v>33</v>
      </c>
      <c r="E1825" s="22" t="s">
        <v>57</v>
      </c>
      <c r="F1825" s="22" t="s">
        <v>37</v>
      </c>
      <c r="G1825" s="22" t="s">
        <v>63</v>
      </c>
      <c r="H1825" s="22" t="s">
        <v>59</v>
      </c>
      <c r="I1825" s="22" t="s">
        <v>147</v>
      </c>
      <c r="J1825" s="23">
        <v>4</v>
      </c>
      <c r="K1825" s="37">
        <v>0</v>
      </c>
      <c r="L1825" s="37">
        <v>5</v>
      </c>
      <c r="M1825" s="22">
        <f>IF(OR(ISBLANK(C1825),C1825=""),"",ROUND((C1825-B1825)*24,2))</f>
        <v>5.17</v>
      </c>
      <c r="N1825" s="38" t="str">
        <f>IF(OR(ISBLANK(C1825),C1825="",M1825=""),"In Progress",IF(M1825&lt;=J1825,"Met","Breached"))</f>
        <v>Breached</v>
      </c>
    </row>
    <row r="1826" ht="19" customHeight="1" spans="1:14" x14ac:dyDescent="0.25">
      <c r="A1826" s="19" t="s">
        <v>1940</v>
      </c>
      <c r="B1826" s="33">
        <v>46169.26666666666</v>
      </c>
      <c r="C1826" s="33">
        <v>46170.52777777778</v>
      </c>
      <c r="D1826" s="19" t="s">
        <v>36</v>
      </c>
      <c r="E1826" s="19" t="s">
        <v>65</v>
      </c>
      <c r="F1826" s="19" t="s">
        <v>43</v>
      </c>
      <c r="G1826" s="19" t="s">
        <v>126</v>
      </c>
      <c r="H1826" s="19" t="s">
        <v>71</v>
      </c>
      <c r="I1826" s="19" t="s">
        <v>108</v>
      </c>
      <c r="J1826" s="20">
        <v>48</v>
      </c>
      <c r="K1826" s="34">
        <v>0</v>
      </c>
      <c r="L1826" s="34">
        <v>5</v>
      </c>
      <c r="M1826" s="19">
        <f>IF(OR(ISBLANK(C1826),C1826=""),"",ROUND((C1826-B1826)*24,2))</f>
        <v>30.27</v>
      </c>
      <c r="N1826" s="35" t="str">
        <f>IF(OR(ISBLANK(C1826),C1826="",M1826=""),"In Progress",IF(M1826&lt;=J1826,"Met","Breached"))</f>
        <v>Met</v>
      </c>
    </row>
    <row r="1827" ht="19" customHeight="1" spans="1:14" x14ac:dyDescent="0.25">
      <c r="A1827" s="22" t="s">
        <v>1941</v>
      </c>
      <c r="B1827" s="36">
        <v>45716.31041666667</v>
      </c>
      <c r="C1827" s="36">
        <v>45716.447222222225</v>
      </c>
      <c r="D1827" s="22" t="s">
        <v>33</v>
      </c>
      <c r="E1827" s="22" t="s">
        <v>57</v>
      </c>
      <c r="F1827" s="22" t="s">
        <v>37</v>
      </c>
      <c r="G1827" s="22" t="s">
        <v>113</v>
      </c>
      <c r="H1827" s="22" t="s">
        <v>63</v>
      </c>
      <c r="I1827" s="22" t="s">
        <v>108</v>
      </c>
      <c r="J1827" s="23">
        <v>4</v>
      </c>
      <c r="K1827" s="37">
        <v>1</v>
      </c>
      <c r="L1827" s="37">
        <v>4</v>
      </c>
      <c r="M1827" s="22">
        <f>IF(OR(ISBLANK(C1827),C1827=""),"",ROUND((C1827-B1827)*24,2))</f>
        <v>3.28</v>
      </c>
      <c r="N1827" s="40" t="str">
        <f>IF(OR(ISBLANK(C1827),C1827="",M1827=""),"In Progress",IF(M1827&lt;=J1827,"Met","Breached"))</f>
        <v>Met</v>
      </c>
    </row>
    <row r="1828" ht="19" customHeight="1" spans="1:14" x14ac:dyDescent="0.25">
      <c r="A1828" s="19" t="s">
        <v>1942</v>
      </c>
      <c r="B1828" s="33">
        <v>46287.777083333334</v>
      </c>
      <c r="C1828" s="33">
        <v>46288.72986111111</v>
      </c>
      <c r="D1828" s="19" t="s">
        <v>33</v>
      </c>
      <c r="E1828" s="19" t="s">
        <v>65</v>
      </c>
      <c r="F1828" s="19" t="s">
        <v>40</v>
      </c>
      <c r="G1828" s="19" t="s">
        <v>126</v>
      </c>
      <c r="H1828" s="19" t="s">
        <v>59</v>
      </c>
      <c r="I1828" s="19" t="s">
        <v>108</v>
      </c>
      <c r="J1828" s="20">
        <v>48</v>
      </c>
      <c r="K1828" s="34">
        <v>0</v>
      </c>
      <c r="M1828" s="19">
        <f>IF(OR(ISBLANK(C1828),C1828=""),"",ROUND((C1828-B1828)*24,2))</f>
        <v>22.87</v>
      </c>
      <c r="N1828" s="35" t="str">
        <f>IF(OR(ISBLANK(C1828),C1828="",M1828=""),"In Progress",IF(M1828&lt;=J1828,"Met","Breached"))</f>
        <v>Met</v>
      </c>
    </row>
    <row r="1829" ht="19" customHeight="1" spans="1:14" x14ac:dyDescent="0.25">
      <c r="A1829" s="22" t="s">
        <v>1943</v>
      </c>
      <c r="B1829" s="36">
        <v>46157.82638888889</v>
      </c>
      <c r="D1829" s="22" t="s">
        <v>39</v>
      </c>
      <c r="E1829" s="22" t="s">
        <v>61</v>
      </c>
      <c r="F1829" s="22" t="s">
        <v>43</v>
      </c>
      <c r="G1829" s="22" t="s">
        <v>63</v>
      </c>
      <c r="H1829" s="22" t="s">
        <v>67</v>
      </c>
      <c r="I1829" s="22" t="s">
        <v>147</v>
      </c>
      <c r="J1829" s="23">
        <v>12</v>
      </c>
      <c r="K1829" s="37">
        <v>0</v>
      </c>
      <c r="M1829" s="22" t="str">
        <f>IF(OR(ISBLANK(C1829),C1829=""),"",ROUND((C1829-B1829)*24,2))</f>
        <v/>
      </c>
      <c r="N1829" s="22" t="str">
        <f>IF(OR(ISBLANK(C1829),C1829="",M1829=""),"In Progress",IF(M1829&lt;=J1829,"Met","Breached"))</f>
        <v>In Progress</v>
      </c>
    </row>
    <row r="1830" ht="19" customHeight="1" spans="1:14" x14ac:dyDescent="0.25">
      <c r="A1830" s="19" t="s">
        <v>1944</v>
      </c>
      <c r="B1830" s="33">
        <v>45854.22430555556</v>
      </c>
      <c r="C1830" s="33">
        <v>45859.30347222222</v>
      </c>
      <c r="D1830" s="19" t="s">
        <v>36</v>
      </c>
      <c r="E1830" s="19" t="s">
        <v>69</v>
      </c>
      <c r="F1830" s="19" t="s">
        <v>45</v>
      </c>
      <c r="G1830" s="19" t="s">
        <v>113</v>
      </c>
      <c r="H1830" s="19" t="s">
        <v>63</v>
      </c>
      <c r="I1830" s="19" t="s">
        <v>147</v>
      </c>
      <c r="J1830" s="20">
        <v>120</v>
      </c>
      <c r="K1830" s="34">
        <v>0</v>
      </c>
      <c r="M1830" s="19">
        <f>IF(OR(ISBLANK(C1830),C1830=""),"",ROUND((C1830-B1830)*24,2))</f>
        <v>121.9</v>
      </c>
      <c r="N1830" s="39" t="str">
        <f>IF(OR(ISBLANK(C1830),C1830="",M1830=""),"In Progress",IF(M1830&lt;=J1830,"Met","Breached"))</f>
        <v>Breached</v>
      </c>
    </row>
    <row r="1831" ht="19" customHeight="1" spans="1:14" x14ac:dyDescent="0.25">
      <c r="A1831" s="22" t="s">
        <v>1945</v>
      </c>
      <c r="B1831" s="36">
        <v>46203.72222222222</v>
      </c>
      <c r="C1831" s="36">
        <v>46211.504166666666</v>
      </c>
      <c r="D1831" s="22" t="s">
        <v>33</v>
      </c>
      <c r="E1831" s="22" t="s">
        <v>69</v>
      </c>
      <c r="F1831" s="22" t="s">
        <v>43</v>
      </c>
      <c r="G1831" s="22" t="s">
        <v>63</v>
      </c>
      <c r="H1831" s="22" t="s">
        <v>63</v>
      </c>
      <c r="I1831" s="22" t="s">
        <v>108</v>
      </c>
      <c r="J1831" s="23">
        <v>120</v>
      </c>
      <c r="K1831" s="37">
        <v>0</v>
      </c>
      <c r="M1831" s="22">
        <f>IF(OR(ISBLANK(C1831),C1831=""),"",ROUND((C1831-B1831)*24,2))</f>
        <v>186.77</v>
      </c>
      <c r="N1831" s="38" t="str">
        <f>IF(OR(ISBLANK(C1831),C1831="",M1831=""),"In Progress",IF(M1831&lt;=J1831,"Met","Breached"))</f>
        <v>Breached</v>
      </c>
    </row>
    <row r="1832" ht="19" customHeight="1" spans="1:14" x14ac:dyDescent="0.25">
      <c r="A1832" s="19" t="s">
        <v>1946</v>
      </c>
      <c r="B1832" s="33">
        <v>45769.34930555556</v>
      </c>
      <c r="D1832" s="19" t="s">
        <v>42</v>
      </c>
      <c r="E1832" s="19" t="s">
        <v>61</v>
      </c>
      <c r="F1832" s="19" t="s">
        <v>43</v>
      </c>
      <c r="G1832" s="19" t="s">
        <v>121</v>
      </c>
      <c r="H1832" s="19" t="s">
        <v>63</v>
      </c>
      <c r="I1832" s="19" t="s">
        <v>111</v>
      </c>
      <c r="J1832" s="20">
        <v>12</v>
      </c>
      <c r="K1832" s="34">
        <v>0</v>
      </c>
      <c r="M1832" s="19" t="str">
        <f>IF(OR(ISBLANK(C1832),C1832=""),"",ROUND((C1832-B1832)*24,2))</f>
        <v/>
      </c>
      <c r="N1832" s="19" t="str">
        <f>IF(OR(ISBLANK(C1832),C1832="",M1832=""),"In Progress",IF(M1832&lt;=J1832,"Met","Breached"))</f>
        <v>In Progress</v>
      </c>
    </row>
    <row r="1833" ht="19" customHeight="1" spans="1:14" x14ac:dyDescent="0.25">
      <c r="A1833" s="22" t="s">
        <v>1947</v>
      </c>
      <c r="B1833" s="36">
        <v>46100.51041666667</v>
      </c>
      <c r="C1833" s="36">
        <v>46100.73125</v>
      </c>
      <c r="D1833" s="22" t="s">
        <v>33</v>
      </c>
      <c r="E1833" s="22" t="s">
        <v>57</v>
      </c>
      <c r="F1833" s="22" t="s">
        <v>40</v>
      </c>
      <c r="G1833" s="22" t="s">
        <v>63</v>
      </c>
      <c r="H1833" s="22" t="s">
        <v>67</v>
      </c>
      <c r="I1833" s="22" t="s">
        <v>114</v>
      </c>
      <c r="J1833" s="23">
        <v>4</v>
      </c>
      <c r="K1833" s="37">
        <v>0</v>
      </c>
      <c r="M1833" s="22">
        <f>IF(OR(ISBLANK(C1833),C1833=""),"",ROUND((C1833-B1833)*24,2))</f>
        <v>5.3</v>
      </c>
      <c r="N1833" s="38" t="str">
        <f>IF(OR(ISBLANK(C1833),C1833="",M1833=""),"In Progress",IF(M1833&lt;=J1833,"Met","Breached"))</f>
        <v>Breached</v>
      </c>
    </row>
    <row r="1834" ht="19" customHeight="1" spans="1:14" x14ac:dyDescent="0.25">
      <c r="A1834" s="19" t="s">
        <v>1948</v>
      </c>
      <c r="B1834" s="33">
        <v>46165.86875</v>
      </c>
      <c r="D1834" s="19" t="s">
        <v>42</v>
      </c>
      <c r="E1834" s="19" t="s">
        <v>61</v>
      </c>
      <c r="F1834" s="19" t="s">
        <v>37</v>
      </c>
      <c r="G1834" s="19" t="s">
        <v>113</v>
      </c>
      <c r="H1834" s="19" t="s">
        <v>63</v>
      </c>
      <c r="I1834" s="19" t="s">
        <v>114</v>
      </c>
      <c r="J1834" s="20">
        <v>12</v>
      </c>
      <c r="K1834" s="34">
        <v>0</v>
      </c>
      <c r="M1834" s="19" t="str">
        <f>IF(OR(ISBLANK(C1834),C1834=""),"",ROUND((C1834-B1834)*24,2))</f>
        <v/>
      </c>
      <c r="N1834" s="19" t="str">
        <f>IF(OR(ISBLANK(C1834),C1834="",M1834=""),"In Progress",IF(M1834&lt;=J1834,"Met","Breached"))</f>
        <v>In Progress</v>
      </c>
    </row>
    <row r="1835" ht="19" customHeight="1" spans="1:14" x14ac:dyDescent="0.25">
      <c r="A1835" s="22" t="s">
        <v>1949</v>
      </c>
      <c r="B1835" s="36">
        <v>46100.92083333334</v>
      </c>
      <c r="C1835" s="36">
        <v>46101.34722222222</v>
      </c>
      <c r="D1835" s="22" t="s">
        <v>36</v>
      </c>
      <c r="E1835" s="22" t="s">
        <v>61</v>
      </c>
      <c r="F1835" s="22" t="s">
        <v>34</v>
      </c>
      <c r="G1835" s="22" t="s">
        <v>116</v>
      </c>
      <c r="H1835" s="22" t="s">
        <v>71</v>
      </c>
      <c r="I1835" s="22" t="s">
        <v>123</v>
      </c>
      <c r="J1835" s="23">
        <v>12</v>
      </c>
      <c r="K1835" s="37">
        <v>0</v>
      </c>
      <c r="M1835" s="22">
        <f>IF(OR(ISBLANK(C1835),C1835=""),"",ROUND((C1835-B1835)*24,2))</f>
        <v>10.23</v>
      </c>
      <c r="N1835" s="40" t="str">
        <f>IF(OR(ISBLANK(C1835),C1835="",M1835=""),"In Progress",IF(M1835&lt;=J1835,"Met","Breached"))</f>
        <v>Met</v>
      </c>
    </row>
    <row r="1836" ht="19" customHeight="1" spans="1:14" x14ac:dyDescent="0.25">
      <c r="A1836" s="19" t="s">
        <v>1950</v>
      </c>
      <c r="B1836" s="33">
        <v>46027.603472222225</v>
      </c>
      <c r="C1836" s="33">
        <v>46033.70833333333</v>
      </c>
      <c r="D1836" s="19" t="s">
        <v>36</v>
      </c>
      <c r="E1836" s="19" t="s">
        <v>69</v>
      </c>
      <c r="F1836" s="19" t="s">
        <v>45</v>
      </c>
      <c r="G1836" s="19" t="s">
        <v>113</v>
      </c>
      <c r="H1836" s="19" t="s">
        <v>63</v>
      </c>
      <c r="I1836" s="19" t="s">
        <v>147</v>
      </c>
      <c r="J1836" s="20">
        <v>120</v>
      </c>
      <c r="K1836" s="34">
        <v>0</v>
      </c>
      <c r="L1836" s="34">
        <v>3</v>
      </c>
      <c r="M1836" s="19">
        <f>IF(OR(ISBLANK(C1836),C1836=""),"",ROUND((C1836-B1836)*24,2))</f>
        <v>146.52</v>
      </c>
      <c r="N1836" s="39" t="str">
        <f>IF(OR(ISBLANK(C1836),C1836="",M1836=""),"In Progress",IF(M1836&lt;=J1836,"Met","Breached"))</f>
        <v>Breached</v>
      </c>
    </row>
    <row r="1837" ht="19" customHeight="1" spans="1:14" x14ac:dyDescent="0.25">
      <c r="A1837" s="22" t="s">
        <v>1951</v>
      </c>
      <c r="B1837" s="36">
        <v>45741.930555555555</v>
      </c>
      <c r="C1837" s="36">
        <v>45742.01458333334</v>
      </c>
      <c r="D1837" s="22" t="s">
        <v>33</v>
      </c>
      <c r="E1837" s="22" t="s">
        <v>57</v>
      </c>
      <c r="F1837" s="22" t="s">
        <v>40</v>
      </c>
      <c r="G1837" s="22" t="s">
        <v>116</v>
      </c>
      <c r="H1837" s="22" t="s">
        <v>67</v>
      </c>
      <c r="I1837" s="22" t="s">
        <v>117</v>
      </c>
      <c r="J1837" s="23">
        <v>4</v>
      </c>
      <c r="K1837" s="37">
        <v>0</v>
      </c>
      <c r="L1837" s="37">
        <v>5</v>
      </c>
      <c r="M1837" s="22">
        <f>IF(OR(ISBLANK(C1837),C1837=""),"",ROUND((C1837-B1837)*24,2))</f>
        <v>2.02</v>
      </c>
      <c r="N1837" s="40" t="str">
        <f>IF(OR(ISBLANK(C1837),C1837="",M1837=""),"In Progress",IF(M1837&lt;=J1837,"Met","Breached"))</f>
        <v>Met</v>
      </c>
    </row>
    <row r="1838" ht="19" customHeight="1" spans="1:14" x14ac:dyDescent="0.25">
      <c r="A1838" s="19" t="s">
        <v>1952</v>
      </c>
      <c r="B1838" s="33">
        <v>45772.600694444445</v>
      </c>
      <c r="C1838" s="33">
        <v>45773.0625</v>
      </c>
      <c r="D1838" s="19" t="s">
        <v>33</v>
      </c>
      <c r="E1838" s="19" t="s">
        <v>61</v>
      </c>
      <c r="F1838" s="19" t="s">
        <v>40</v>
      </c>
      <c r="G1838" s="19" t="s">
        <v>116</v>
      </c>
      <c r="H1838" s="19" t="s">
        <v>63</v>
      </c>
      <c r="I1838" s="19" t="s">
        <v>108</v>
      </c>
      <c r="J1838" s="20">
        <v>12</v>
      </c>
      <c r="K1838" s="34">
        <v>0</v>
      </c>
      <c r="L1838" s="34">
        <v>1</v>
      </c>
      <c r="M1838" s="19">
        <f>IF(OR(ISBLANK(C1838),C1838=""),"",ROUND((C1838-B1838)*24,2))</f>
        <v>11.08</v>
      </c>
      <c r="N1838" s="35" t="str">
        <f>IF(OR(ISBLANK(C1838),C1838="",M1838=""),"In Progress",IF(M1838&lt;=J1838,"Met","Breached"))</f>
        <v>Met</v>
      </c>
    </row>
    <row r="1839" ht="19" customHeight="1" spans="1:14" x14ac:dyDescent="0.25">
      <c r="A1839" s="22" t="s">
        <v>1953</v>
      </c>
      <c r="B1839" s="36">
        <v>46116.40555555555</v>
      </c>
      <c r="D1839" s="22" t="s">
        <v>39</v>
      </c>
      <c r="E1839" s="22" t="s">
        <v>65</v>
      </c>
      <c r="F1839" s="22" t="s">
        <v>34</v>
      </c>
      <c r="G1839" s="22" t="s">
        <v>126</v>
      </c>
      <c r="H1839" s="22" t="s">
        <v>63</v>
      </c>
      <c r="I1839" s="22" t="s">
        <v>111</v>
      </c>
      <c r="J1839" s="23">
        <v>48</v>
      </c>
      <c r="K1839" s="37">
        <v>0</v>
      </c>
      <c r="M1839" s="22" t="str">
        <f>IF(OR(ISBLANK(C1839),C1839=""),"",ROUND((C1839-B1839)*24,2))</f>
        <v/>
      </c>
      <c r="N1839" s="22" t="str">
        <f>IF(OR(ISBLANK(C1839),C1839="",M1839=""),"In Progress",IF(M1839&lt;=J1839,"Met","Breached"))</f>
        <v>In Progress</v>
      </c>
    </row>
    <row r="1840" ht="19" customHeight="1" spans="1:14" x14ac:dyDescent="0.25">
      <c r="A1840" s="19" t="s">
        <v>1954</v>
      </c>
      <c r="B1840" s="33">
        <v>46058.257638888885</v>
      </c>
      <c r="C1840" s="33">
        <v>46064.132638888885</v>
      </c>
      <c r="D1840" s="19" t="s">
        <v>33</v>
      </c>
      <c r="E1840" s="19" t="s">
        <v>69</v>
      </c>
      <c r="F1840" s="19" t="s">
        <v>45</v>
      </c>
      <c r="G1840" s="19" t="s">
        <v>121</v>
      </c>
      <c r="H1840" s="19" t="s">
        <v>63</v>
      </c>
      <c r="I1840" s="19" t="s">
        <v>111</v>
      </c>
      <c r="J1840" s="20">
        <v>120</v>
      </c>
      <c r="K1840" s="34">
        <v>0</v>
      </c>
      <c r="L1840" s="34">
        <v>1</v>
      </c>
      <c r="M1840" s="19">
        <f>IF(OR(ISBLANK(C1840),C1840=""),"",ROUND((C1840-B1840)*24,2))</f>
        <v>141</v>
      </c>
      <c r="N1840" s="39" t="str">
        <f>IF(OR(ISBLANK(C1840),C1840="",M1840=""),"In Progress",IF(M1840&lt;=J1840,"Met","Breached"))</f>
        <v>Breached</v>
      </c>
    </row>
    <row r="1841" ht="19" customHeight="1" spans="1:14" x14ac:dyDescent="0.25">
      <c r="A1841" s="22" t="s">
        <v>1955</v>
      </c>
      <c r="B1841" s="36">
        <v>45972.586805555555</v>
      </c>
      <c r="C1841" s="36">
        <v>45974.81388888889</v>
      </c>
      <c r="D1841" s="22" t="s">
        <v>33</v>
      </c>
      <c r="E1841" s="22" t="s">
        <v>69</v>
      </c>
      <c r="F1841" s="22" t="s">
        <v>34</v>
      </c>
      <c r="G1841" s="22" t="s">
        <v>126</v>
      </c>
      <c r="H1841" s="22" t="s">
        <v>59</v>
      </c>
      <c r="I1841" s="22" t="s">
        <v>123</v>
      </c>
      <c r="J1841" s="23">
        <v>120</v>
      </c>
      <c r="K1841" s="37">
        <v>0</v>
      </c>
      <c r="L1841" s="37">
        <v>4</v>
      </c>
      <c r="M1841" s="22">
        <f>IF(OR(ISBLANK(C1841),C1841=""),"",ROUND((C1841-B1841)*24,2))</f>
        <v>53.45</v>
      </c>
      <c r="N1841" s="40" t="str">
        <f>IF(OR(ISBLANK(C1841),C1841="",M1841=""),"In Progress",IF(M1841&lt;=J1841,"Met","Breached"))</f>
        <v>Met</v>
      </c>
    </row>
    <row r="1842" ht="19" customHeight="1" spans="1:14" x14ac:dyDescent="0.25">
      <c r="A1842" s="19" t="s">
        <v>1956</v>
      </c>
      <c r="B1842" s="33">
        <v>46031.379166666666</v>
      </c>
      <c r="D1842" s="19" t="s">
        <v>42</v>
      </c>
      <c r="E1842" s="19" t="s">
        <v>61</v>
      </c>
      <c r="F1842" s="19" t="s">
        <v>40</v>
      </c>
      <c r="G1842" s="19" t="s">
        <v>63</v>
      </c>
      <c r="H1842" s="19" t="s">
        <v>59</v>
      </c>
      <c r="I1842" s="19" t="s">
        <v>111</v>
      </c>
      <c r="J1842" s="20">
        <v>12</v>
      </c>
      <c r="K1842" s="34">
        <v>0</v>
      </c>
      <c r="M1842" s="19" t="str">
        <f>IF(OR(ISBLANK(C1842),C1842=""),"",ROUND((C1842-B1842)*24,2))</f>
        <v/>
      </c>
      <c r="N1842" s="19" t="str">
        <f>IF(OR(ISBLANK(C1842),C1842="",M1842=""),"In Progress",IF(M1842&lt;=J1842,"Met","Breached"))</f>
        <v>In Progress</v>
      </c>
    </row>
    <row r="1843" ht="19" customHeight="1" spans="1:14" x14ac:dyDescent="0.25">
      <c r="A1843" s="22" t="s">
        <v>1957</v>
      </c>
      <c r="B1843" s="36">
        <v>45925.39166666666</v>
      </c>
      <c r="D1843" s="22" t="s">
        <v>39</v>
      </c>
      <c r="E1843" s="22" t="s">
        <v>57</v>
      </c>
      <c r="F1843" s="22" t="s">
        <v>40</v>
      </c>
      <c r="G1843" s="22" t="s">
        <v>126</v>
      </c>
      <c r="H1843" s="22" t="s">
        <v>59</v>
      </c>
      <c r="I1843" s="22" t="s">
        <v>147</v>
      </c>
      <c r="J1843" s="23">
        <v>4</v>
      </c>
      <c r="K1843" s="37">
        <v>0</v>
      </c>
      <c r="M1843" s="22" t="str">
        <f>IF(OR(ISBLANK(C1843),C1843=""),"",ROUND((C1843-B1843)*24,2))</f>
        <v/>
      </c>
      <c r="N1843" s="22" t="str">
        <f>IF(OR(ISBLANK(C1843),C1843="",M1843=""),"In Progress",IF(M1843&lt;=J1843,"Met","Breached"))</f>
        <v>In Progress</v>
      </c>
    </row>
    <row r="1844" ht="19" customHeight="1" spans="1:14" x14ac:dyDescent="0.25">
      <c r="A1844" s="19" t="s">
        <v>1958</v>
      </c>
      <c r="B1844" s="33">
        <v>45715.31597222222</v>
      </c>
      <c r="C1844" s="33">
        <v>45715.98888888889</v>
      </c>
      <c r="D1844" s="19" t="s">
        <v>36</v>
      </c>
      <c r="E1844" s="19" t="s">
        <v>65</v>
      </c>
      <c r="F1844" s="19" t="s">
        <v>34</v>
      </c>
      <c r="G1844" s="19" t="s">
        <v>121</v>
      </c>
      <c r="H1844" s="19" t="s">
        <v>67</v>
      </c>
      <c r="I1844" s="19" t="s">
        <v>117</v>
      </c>
      <c r="J1844" s="20">
        <v>48</v>
      </c>
      <c r="K1844" s="34">
        <v>0</v>
      </c>
      <c r="L1844" s="34">
        <v>2</v>
      </c>
      <c r="M1844" s="19">
        <f>IF(OR(ISBLANK(C1844),C1844=""),"",ROUND((C1844-B1844)*24,2))</f>
        <v>16.15</v>
      </c>
      <c r="N1844" s="35" t="str">
        <f>IF(OR(ISBLANK(C1844),C1844="",M1844=""),"In Progress",IF(M1844&lt;=J1844,"Met","Breached"))</f>
        <v>Met</v>
      </c>
    </row>
    <row r="1845" ht="19" customHeight="1" spans="1:14" x14ac:dyDescent="0.25">
      <c r="A1845" s="22" t="s">
        <v>1959</v>
      </c>
      <c r="B1845" s="36">
        <v>45826.53263888889</v>
      </c>
      <c r="C1845" s="36">
        <v>45827.20833333333</v>
      </c>
      <c r="D1845" s="22" t="s">
        <v>33</v>
      </c>
      <c r="E1845" s="22" t="s">
        <v>61</v>
      </c>
      <c r="F1845" s="22" t="s">
        <v>34</v>
      </c>
      <c r="G1845" s="22" t="s">
        <v>116</v>
      </c>
      <c r="H1845" s="22" t="s">
        <v>63</v>
      </c>
      <c r="I1845" s="22" t="s">
        <v>123</v>
      </c>
      <c r="J1845" s="23">
        <v>12</v>
      </c>
      <c r="K1845" s="37">
        <v>0</v>
      </c>
      <c r="M1845" s="22">
        <f>IF(OR(ISBLANK(C1845),C1845=""),"",ROUND((C1845-B1845)*24,2))</f>
        <v>16.22</v>
      </c>
      <c r="N1845" s="38" t="str">
        <f>IF(OR(ISBLANK(C1845),C1845="",M1845=""),"In Progress",IF(M1845&lt;=J1845,"Met","Breached"))</f>
        <v>Breached</v>
      </c>
    </row>
    <row r="1846" ht="19" customHeight="1" spans="1:14" x14ac:dyDescent="0.25">
      <c r="A1846" s="19" t="s">
        <v>1960</v>
      </c>
      <c r="B1846" s="33">
        <v>46014.71388888889</v>
      </c>
      <c r="C1846" s="33">
        <v>46018.035416666666</v>
      </c>
      <c r="D1846" s="19" t="s">
        <v>36</v>
      </c>
      <c r="E1846" s="19" t="s">
        <v>65</v>
      </c>
      <c r="F1846" s="19" t="s">
        <v>40</v>
      </c>
      <c r="G1846" s="19" t="s">
        <v>116</v>
      </c>
      <c r="H1846" s="19" t="s">
        <v>59</v>
      </c>
      <c r="I1846" s="19" t="s">
        <v>111</v>
      </c>
      <c r="J1846" s="20">
        <v>48</v>
      </c>
      <c r="K1846" s="34">
        <v>0</v>
      </c>
      <c r="L1846" s="34">
        <v>2</v>
      </c>
      <c r="M1846" s="19">
        <f>IF(OR(ISBLANK(C1846),C1846=""),"",ROUND((C1846-B1846)*24,2))</f>
        <v>79.72</v>
      </c>
      <c r="N1846" s="39" t="str">
        <f>IF(OR(ISBLANK(C1846),C1846="",M1846=""),"In Progress",IF(M1846&lt;=J1846,"Met","Breached"))</f>
        <v>Breached</v>
      </c>
    </row>
    <row r="1847" ht="19" customHeight="1" spans="1:14" x14ac:dyDescent="0.25">
      <c r="A1847" s="22" t="s">
        <v>1961</v>
      </c>
      <c r="B1847" s="36">
        <v>45884.103472222225</v>
      </c>
      <c r="C1847" s="36">
        <v>45884.39027777778</v>
      </c>
      <c r="D1847" s="22" t="s">
        <v>36</v>
      </c>
      <c r="E1847" s="22" t="s">
        <v>57</v>
      </c>
      <c r="F1847" s="22" t="s">
        <v>45</v>
      </c>
      <c r="G1847" s="22" t="s">
        <v>126</v>
      </c>
      <c r="H1847" s="22" t="s">
        <v>63</v>
      </c>
      <c r="I1847" s="22" t="s">
        <v>117</v>
      </c>
      <c r="J1847" s="23">
        <v>4</v>
      </c>
      <c r="K1847" s="37">
        <v>0</v>
      </c>
      <c r="L1847" s="37">
        <v>3</v>
      </c>
      <c r="M1847" s="22">
        <f>IF(OR(ISBLANK(C1847),C1847=""),"",ROUND((C1847-B1847)*24,2))</f>
        <v>6.88</v>
      </c>
      <c r="N1847" s="38" t="str">
        <f>IF(OR(ISBLANK(C1847),C1847="",M1847=""),"In Progress",IF(M1847&lt;=J1847,"Met","Breached"))</f>
        <v>Breached</v>
      </c>
    </row>
    <row r="1848" ht="19" customHeight="1" spans="1:14" x14ac:dyDescent="0.25">
      <c r="A1848" s="19" t="s">
        <v>1962</v>
      </c>
      <c r="B1848" s="33">
        <v>45688.959027777775</v>
      </c>
      <c r="C1848" s="33">
        <v>45689.834027777775</v>
      </c>
      <c r="D1848" s="19" t="s">
        <v>33</v>
      </c>
      <c r="E1848" s="19" t="s">
        <v>61</v>
      </c>
      <c r="F1848" s="19" t="s">
        <v>40</v>
      </c>
      <c r="G1848" s="19" t="s">
        <v>63</v>
      </c>
      <c r="H1848" s="19" t="s">
        <v>59</v>
      </c>
      <c r="I1848" s="19" t="s">
        <v>111</v>
      </c>
      <c r="J1848" s="20">
        <v>12</v>
      </c>
      <c r="K1848" s="34">
        <v>0</v>
      </c>
      <c r="L1848" s="34">
        <v>4</v>
      </c>
      <c r="M1848" s="19">
        <f>IF(OR(ISBLANK(C1848),C1848=""),"",ROUND((C1848-B1848)*24,2))</f>
        <v>21</v>
      </c>
      <c r="N1848" s="39" t="str">
        <f>IF(OR(ISBLANK(C1848),C1848="",M1848=""),"In Progress",IF(M1848&lt;=J1848,"Met","Breached"))</f>
        <v>Breached</v>
      </c>
    </row>
    <row r="1849" ht="19" customHeight="1" spans="1:14" x14ac:dyDescent="0.25">
      <c r="A1849" s="22" t="s">
        <v>1963</v>
      </c>
      <c r="B1849" s="36">
        <v>46203.388194444444</v>
      </c>
      <c r="C1849" s="36">
        <v>46204.39027777778</v>
      </c>
      <c r="D1849" s="22" t="s">
        <v>33</v>
      </c>
      <c r="E1849" s="22" t="s">
        <v>65</v>
      </c>
      <c r="F1849" s="22" t="s">
        <v>34</v>
      </c>
      <c r="G1849" s="22" t="s">
        <v>116</v>
      </c>
      <c r="H1849" s="22" t="s">
        <v>63</v>
      </c>
      <c r="I1849" s="22" t="s">
        <v>111</v>
      </c>
      <c r="J1849" s="23">
        <v>48</v>
      </c>
      <c r="K1849" s="37">
        <v>0</v>
      </c>
      <c r="L1849" s="37">
        <v>1</v>
      </c>
      <c r="M1849" s="22">
        <f>IF(OR(ISBLANK(C1849),C1849=""),"",ROUND((C1849-B1849)*24,2))</f>
        <v>24.05</v>
      </c>
      <c r="N1849" s="40" t="str">
        <f>IF(OR(ISBLANK(C1849),C1849="",M1849=""),"In Progress",IF(M1849&lt;=J1849,"Met","Breached"))</f>
        <v>Met</v>
      </c>
    </row>
    <row r="1850" ht="19" customHeight="1" spans="1:14" x14ac:dyDescent="0.25">
      <c r="A1850" s="19" t="s">
        <v>1964</v>
      </c>
      <c r="B1850" s="33">
        <v>45723.49930555555</v>
      </c>
      <c r="C1850" s="33">
        <v>45724.231944444444</v>
      </c>
      <c r="D1850" s="19" t="s">
        <v>36</v>
      </c>
      <c r="E1850" s="19" t="s">
        <v>61</v>
      </c>
      <c r="F1850" s="19" t="s">
        <v>37</v>
      </c>
      <c r="G1850" s="19" t="s">
        <v>110</v>
      </c>
      <c r="H1850" s="19" t="s">
        <v>67</v>
      </c>
      <c r="I1850" s="19" t="s">
        <v>147</v>
      </c>
      <c r="J1850" s="20">
        <v>12</v>
      </c>
      <c r="K1850" s="34">
        <v>1</v>
      </c>
      <c r="L1850" s="34">
        <v>5</v>
      </c>
      <c r="M1850" s="19">
        <f>IF(OR(ISBLANK(C1850),C1850=""),"",ROUND((C1850-B1850)*24,2))</f>
        <v>17.58</v>
      </c>
      <c r="N1850" s="39" t="str">
        <f>IF(OR(ISBLANK(C1850),C1850="",M1850=""),"In Progress",IF(M1850&lt;=J1850,"Met","Breached"))</f>
        <v>Breached</v>
      </c>
    </row>
    <row r="1851" ht="19" customHeight="1" spans="1:14" x14ac:dyDescent="0.25">
      <c r="A1851" s="22" t="s">
        <v>1965</v>
      </c>
      <c r="B1851" s="36">
        <v>45730.15763888889</v>
      </c>
      <c r="C1851" s="36">
        <v>45730.47777777778</v>
      </c>
      <c r="D1851" s="22" t="s">
        <v>36</v>
      </c>
      <c r="E1851" s="22" t="s">
        <v>61</v>
      </c>
      <c r="F1851" s="22" t="s">
        <v>43</v>
      </c>
      <c r="G1851" s="22" t="s">
        <v>116</v>
      </c>
      <c r="H1851" s="22" t="s">
        <v>59</v>
      </c>
      <c r="I1851" s="22" t="s">
        <v>147</v>
      </c>
      <c r="J1851" s="23">
        <v>12</v>
      </c>
      <c r="K1851" s="37">
        <v>0</v>
      </c>
      <c r="L1851" s="37">
        <v>1</v>
      </c>
      <c r="M1851" s="22">
        <f>IF(OR(ISBLANK(C1851),C1851=""),"",ROUND((C1851-B1851)*24,2))</f>
        <v>7.68</v>
      </c>
      <c r="N1851" s="40" t="str">
        <f>IF(OR(ISBLANK(C1851),C1851="",M1851=""),"In Progress",IF(M1851&lt;=J1851,"Met","Breached"))</f>
        <v>Met</v>
      </c>
    </row>
    <row r="1852" ht="19" customHeight="1" spans="1:14" x14ac:dyDescent="0.25">
      <c r="A1852" s="19" t="s">
        <v>1966</v>
      </c>
      <c r="B1852" s="33">
        <v>45835.80625</v>
      </c>
      <c r="C1852" s="33">
        <v>45838.01875</v>
      </c>
      <c r="D1852" s="19" t="s">
        <v>33</v>
      </c>
      <c r="E1852" s="19" t="s">
        <v>65</v>
      </c>
      <c r="F1852" s="19" t="s">
        <v>37</v>
      </c>
      <c r="G1852" s="19" t="s">
        <v>63</v>
      </c>
      <c r="H1852" s="19" t="s">
        <v>59</v>
      </c>
      <c r="I1852" s="19" t="s">
        <v>108</v>
      </c>
      <c r="J1852" s="20">
        <v>48</v>
      </c>
      <c r="K1852" s="34">
        <v>0</v>
      </c>
      <c r="L1852" s="34">
        <v>3</v>
      </c>
      <c r="M1852" s="19">
        <f>IF(OR(ISBLANK(C1852),C1852=""),"",ROUND((C1852-B1852)*24,2))</f>
        <v>53.1</v>
      </c>
      <c r="N1852" s="39" t="str">
        <f>IF(OR(ISBLANK(C1852),C1852="",M1852=""),"In Progress",IF(M1852&lt;=J1852,"Met","Breached"))</f>
        <v>Breached</v>
      </c>
    </row>
    <row r="1853" ht="19" customHeight="1" spans="1:14" x14ac:dyDescent="0.25">
      <c r="A1853" s="22" t="s">
        <v>1967</v>
      </c>
      <c r="B1853" s="36">
        <v>46135.24444444444</v>
      </c>
      <c r="D1853" s="22" t="s">
        <v>42</v>
      </c>
      <c r="E1853" s="22" t="s">
        <v>61</v>
      </c>
      <c r="F1853" s="22" t="s">
        <v>43</v>
      </c>
      <c r="G1853" s="22" t="s">
        <v>63</v>
      </c>
      <c r="H1853" s="22" t="s">
        <v>63</v>
      </c>
      <c r="I1853" s="22" t="s">
        <v>117</v>
      </c>
      <c r="J1853" s="23">
        <v>12</v>
      </c>
      <c r="K1853" s="37">
        <v>0</v>
      </c>
      <c r="M1853" s="22" t="str">
        <f>IF(OR(ISBLANK(C1853),C1853=""),"",ROUND((C1853-B1853)*24,2))</f>
        <v/>
      </c>
      <c r="N1853" s="22" t="str">
        <f>IF(OR(ISBLANK(C1853),C1853="",M1853=""),"In Progress",IF(M1853&lt;=J1853,"Met","Breached"))</f>
        <v>In Progress</v>
      </c>
    </row>
    <row r="1854" ht="19" customHeight="1" spans="1:14" x14ac:dyDescent="0.25">
      <c r="A1854" s="19" t="s">
        <v>1968</v>
      </c>
      <c r="B1854" s="33">
        <v>45839.575694444444</v>
      </c>
      <c r="C1854" s="33">
        <v>45840.42222222222</v>
      </c>
      <c r="D1854" s="19" t="s">
        <v>33</v>
      </c>
      <c r="E1854" s="19" t="s">
        <v>65</v>
      </c>
      <c r="F1854" s="19" t="s">
        <v>40</v>
      </c>
      <c r="G1854" s="19" t="s">
        <v>113</v>
      </c>
      <c r="H1854" s="19" t="s">
        <v>59</v>
      </c>
      <c r="I1854" s="19" t="s">
        <v>123</v>
      </c>
      <c r="J1854" s="20">
        <v>48</v>
      </c>
      <c r="K1854" s="34">
        <v>1</v>
      </c>
      <c r="M1854" s="19">
        <f>IF(OR(ISBLANK(C1854),C1854=""),"",ROUND((C1854-B1854)*24,2))</f>
        <v>20.32</v>
      </c>
      <c r="N1854" s="35" t="str">
        <f>IF(OR(ISBLANK(C1854),C1854="",M1854=""),"In Progress",IF(M1854&lt;=J1854,"Met","Breached"))</f>
        <v>Met</v>
      </c>
    </row>
    <row r="1855" ht="19" customHeight="1" spans="1:14" x14ac:dyDescent="0.25">
      <c r="A1855" s="22" t="s">
        <v>1969</v>
      </c>
      <c r="B1855" s="36">
        <v>46274.945138888885</v>
      </c>
      <c r="C1855" s="36">
        <v>46275.68958333333</v>
      </c>
      <c r="D1855" s="22" t="s">
        <v>33</v>
      </c>
      <c r="E1855" s="22" t="s">
        <v>65</v>
      </c>
      <c r="F1855" s="22" t="s">
        <v>34</v>
      </c>
      <c r="G1855" s="22" t="s">
        <v>121</v>
      </c>
      <c r="H1855" s="22" t="s">
        <v>59</v>
      </c>
      <c r="I1855" s="22" t="s">
        <v>117</v>
      </c>
      <c r="J1855" s="23">
        <v>48</v>
      </c>
      <c r="K1855" s="37">
        <v>0</v>
      </c>
      <c r="L1855" s="37">
        <v>4</v>
      </c>
      <c r="M1855" s="22">
        <f>IF(OR(ISBLANK(C1855),C1855=""),"",ROUND((C1855-B1855)*24,2))</f>
        <v>17.87</v>
      </c>
      <c r="N1855" s="40" t="str">
        <f>IF(OR(ISBLANK(C1855),C1855="",M1855=""),"In Progress",IF(M1855&lt;=J1855,"Met","Breached"))</f>
        <v>Met</v>
      </c>
    </row>
    <row r="1856" ht="19" customHeight="1" spans="1:14" x14ac:dyDescent="0.25">
      <c r="A1856" s="19" t="s">
        <v>1970</v>
      </c>
      <c r="B1856" s="33">
        <v>45976.947222222225</v>
      </c>
      <c r="C1856" s="33">
        <v>45977.65</v>
      </c>
      <c r="D1856" s="19" t="s">
        <v>33</v>
      </c>
      <c r="E1856" s="19" t="s">
        <v>65</v>
      </c>
      <c r="F1856" s="19" t="s">
        <v>34</v>
      </c>
      <c r="G1856" s="19" t="s">
        <v>121</v>
      </c>
      <c r="H1856" s="19" t="s">
        <v>71</v>
      </c>
      <c r="I1856" s="19" t="s">
        <v>111</v>
      </c>
      <c r="J1856" s="20">
        <v>48</v>
      </c>
      <c r="K1856" s="34">
        <v>0</v>
      </c>
      <c r="L1856" s="34">
        <v>4</v>
      </c>
      <c r="M1856" s="19">
        <f>IF(OR(ISBLANK(C1856),C1856=""),"",ROUND((C1856-B1856)*24,2))</f>
        <v>16.87</v>
      </c>
      <c r="N1856" s="35" t="str">
        <f>IF(OR(ISBLANK(C1856),C1856="",M1856=""),"In Progress",IF(M1856&lt;=J1856,"Met","Breached"))</f>
        <v>Met</v>
      </c>
    </row>
    <row r="1857" ht="19" customHeight="1" spans="1:14" x14ac:dyDescent="0.25">
      <c r="A1857" s="22" t="s">
        <v>1971</v>
      </c>
      <c r="B1857" s="36">
        <v>45951.535416666666</v>
      </c>
      <c r="C1857" s="36">
        <v>45953.40902777778</v>
      </c>
      <c r="D1857" s="22" t="s">
        <v>33</v>
      </c>
      <c r="E1857" s="22" t="s">
        <v>65</v>
      </c>
      <c r="F1857" s="22" t="s">
        <v>40</v>
      </c>
      <c r="G1857" s="22" t="s">
        <v>63</v>
      </c>
      <c r="H1857" s="22" t="s">
        <v>67</v>
      </c>
      <c r="I1857" s="22" t="s">
        <v>111</v>
      </c>
      <c r="J1857" s="23">
        <v>48</v>
      </c>
      <c r="K1857" s="37">
        <v>0</v>
      </c>
      <c r="L1857" s="37">
        <v>2</v>
      </c>
      <c r="M1857" s="22">
        <f>IF(OR(ISBLANK(C1857),C1857=""),"",ROUND((C1857-B1857)*24,2))</f>
        <v>44.97</v>
      </c>
      <c r="N1857" s="40" t="str">
        <f>IF(OR(ISBLANK(C1857),C1857="",M1857=""),"In Progress",IF(M1857&lt;=J1857,"Met","Breached"))</f>
        <v>Met</v>
      </c>
    </row>
    <row r="1858" ht="19" customHeight="1" spans="1:14" x14ac:dyDescent="0.25">
      <c r="A1858" s="19" t="s">
        <v>1972</v>
      </c>
      <c r="B1858" s="33">
        <v>45775.586805555555</v>
      </c>
      <c r="C1858" s="33">
        <v>45783.70138888889</v>
      </c>
      <c r="D1858" s="19" t="s">
        <v>33</v>
      </c>
      <c r="E1858" s="19" t="s">
        <v>69</v>
      </c>
      <c r="F1858" s="19" t="s">
        <v>40</v>
      </c>
      <c r="G1858" s="19" t="s">
        <v>110</v>
      </c>
      <c r="H1858" s="19" t="s">
        <v>63</v>
      </c>
      <c r="I1858" s="19" t="s">
        <v>114</v>
      </c>
      <c r="J1858" s="20">
        <v>120</v>
      </c>
      <c r="K1858" s="34">
        <v>0</v>
      </c>
      <c r="L1858" s="34">
        <v>1</v>
      </c>
      <c r="M1858" s="19">
        <f>IF(OR(ISBLANK(C1858),C1858=""),"",ROUND((C1858-B1858)*24,2))</f>
        <v>194.75</v>
      </c>
      <c r="N1858" s="39" t="str">
        <f>IF(OR(ISBLANK(C1858),C1858="",M1858=""),"In Progress",IF(M1858&lt;=J1858,"Met","Breached"))</f>
        <v>Breached</v>
      </c>
    </row>
    <row r="1859" ht="19" customHeight="1" spans="1:14" x14ac:dyDescent="0.25">
      <c r="A1859" s="22" t="s">
        <v>1973</v>
      </c>
      <c r="B1859" s="36">
        <v>46176.71388888889</v>
      </c>
      <c r="C1859" s="36">
        <v>46178.15416666667</v>
      </c>
      <c r="D1859" s="22" t="s">
        <v>33</v>
      </c>
      <c r="E1859" s="22" t="s">
        <v>65</v>
      </c>
      <c r="F1859" s="22" t="s">
        <v>45</v>
      </c>
      <c r="G1859" s="22" t="s">
        <v>116</v>
      </c>
      <c r="H1859" s="22" t="s">
        <v>63</v>
      </c>
      <c r="I1859" s="22" t="s">
        <v>111</v>
      </c>
      <c r="J1859" s="23">
        <v>48</v>
      </c>
      <c r="K1859" s="37">
        <v>0</v>
      </c>
      <c r="L1859" s="37">
        <v>3</v>
      </c>
      <c r="M1859" s="22">
        <f>IF(OR(ISBLANK(C1859),C1859=""),"",ROUND((C1859-B1859)*24,2))</f>
        <v>34.57</v>
      </c>
      <c r="N1859" s="40" t="str">
        <f>IF(OR(ISBLANK(C1859),C1859="",M1859=""),"In Progress",IF(M1859&lt;=J1859,"Met","Breached"))</f>
        <v>Met</v>
      </c>
    </row>
    <row r="1860" ht="19" customHeight="1" spans="1:14" x14ac:dyDescent="0.25">
      <c r="A1860" s="19" t="s">
        <v>1974</v>
      </c>
      <c r="B1860" s="33">
        <v>45914.03055555555</v>
      </c>
      <c r="D1860" s="19" t="s">
        <v>39</v>
      </c>
      <c r="E1860" s="19" t="s">
        <v>61</v>
      </c>
      <c r="F1860" s="19" t="s">
        <v>37</v>
      </c>
      <c r="G1860" s="19" t="s">
        <v>63</v>
      </c>
      <c r="H1860" s="19" t="s">
        <v>63</v>
      </c>
      <c r="I1860" s="19" t="s">
        <v>114</v>
      </c>
      <c r="J1860" s="20">
        <v>12</v>
      </c>
      <c r="K1860" s="34">
        <v>0</v>
      </c>
      <c r="M1860" s="19" t="str">
        <f>IF(OR(ISBLANK(C1860),C1860=""),"",ROUND((C1860-B1860)*24,2))</f>
        <v/>
      </c>
      <c r="N1860" s="19" t="str">
        <f>IF(OR(ISBLANK(C1860),C1860="",M1860=""),"In Progress",IF(M1860&lt;=J1860,"Met","Breached"))</f>
        <v>In Progress</v>
      </c>
    </row>
    <row r="1861" ht="19" customHeight="1" spans="1:14" x14ac:dyDescent="0.25">
      <c r="A1861" s="22" t="s">
        <v>1975</v>
      </c>
      <c r="B1861" s="36">
        <v>45717.71666666667</v>
      </c>
      <c r="C1861" s="36">
        <v>45717.77291666667</v>
      </c>
      <c r="D1861" s="22" t="s">
        <v>33</v>
      </c>
      <c r="E1861" s="22" t="s">
        <v>57</v>
      </c>
      <c r="F1861" s="22" t="s">
        <v>43</v>
      </c>
      <c r="G1861" s="22" t="s">
        <v>121</v>
      </c>
      <c r="H1861" s="22" t="s">
        <v>67</v>
      </c>
      <c r="I1861" s="22" t="s">
        <v>111</v>
      </c>
      <c r="J1861" s="23">
        <v>4</v>
      </c>
      <c r="K1861" s="37">
        <v>0</v>
      </c>
      <c r="M1861" s="22">
        <f>IF(OR(ISBLANK(C1861),C1861=""),"",ROUND((C1861-B1861)*24,2))</f>
        <v>1.35</v>
      </c>
      <c r="N1861" s="40" t="str">
        <f>IF(OR(ISBLANK(C1861),C1861="",M1861=""),"In Progress",IF(M1861&lt;=J1861,"Met","Breached"))</f>
        <v>Met</v>
      </c>
    </row>
    <row r="1862" ht="19" customHeight="1" spans="1:14" x14ac:dyDescent="0.25">
      <c r="A1862" s="19" t="s">
        <v>1976</v>
      </c>
      <c r="B1862" s="33">
        <v>45857.49513888889</v>
      </c>
      <c r="C1862" s="33">
        <v>45857.78194444445</v>
      </c>
      <c r="D1862" s="19" t="s">
        <v>33</v>
      </c>
      <c r="E1862" s="19" t="s">
        <v>61</v>
      </c>
      <c r="F1862" s="19" t="s">
        <v>45</v>
      </c>
      <c r="G1862" s="19" t="s">
        <v>63</v>
      </c>
      <c r="H1862" s="19" t="s">
        <v>63</v>
      </c>
      <c r="I1862" s="19" t="s">
        <v>111</v>
      </c>
      <c r="J1862" s="20">
        <v>12</v>
      </c>
      <c r="K1862" s="34">
        <v>1</v>
      </c>
      <c r="L1862" s="34">
        <v>3</v>
      </c>
      <c r="M1862" s="19">
        <f>IF(OR(ISBLANK(C1862),C1862=""),"",ROUND((C1862-B1862)*24,2))</f>
        <v>6.88</v>
      </c>
      <c r="N1862" s="35" t="str">
        <f>IF(OR(ISBLANK(C1862),C1862="",M1862=""),"In Progress",IF(M1862&lt;=J1862,"Met","Breached"))</f>
        <v>Met</v>
      </c>
    </row>
    <row r="1863" ht="19" customHeight="1" spans="1:14" x14ac:dyDescent="0.25">
      <c r="A1863" s="22" t="s">
        <v>1977</v>
      </c>
      <c r="B1863" s="36">
        <v>45887.74375</v>
      </c>
      <c r="D1863" s="22" t="s">
        <v>39</v>
      </c>
      <c r="E1863" s="22" t="s">
        <v>69</v>
      </c>
      <c r="F1863" s="22" t="s">
        <v>43</v>
      </c>
      <c r="G1863" s="22" t="s">
        <v>110</v>
      </c>
      <c r="H1863" s="22" t="s">
        <v>67</v>
      </c>
      <c r="I1863" s="22" t="s">
        <v>147</v>
      </c>
      <c r="J1863" s="23">
        <v>120</v>
      </c>
      <c r="K1863" s="37">
        <v>0</v>
      </c>
      <c r="M1863" s="22" t="str">
        <f>IF(OR(ISBLANK(C1863),C1863=""),"",ROUND((C1863-B1863)*24,2))</f>
        <v/>
      </c>
      <c r="N1863" s="22" t="str">
        <f>IF(OR(ISBLANK(C1863),C1863="",M1863=""),"In Progress",IF(M1863&lt;=J1863,"Met","Breached"))</f>
        <v>In Progress</v>
      </c>
    </row>
    <row r="1864" ht="19" customHeight="1" spans="1:14" x14ac:dyDescent="0.25">
      <c r="A1864" s="19" t="s">
        <v>1978</v>
      </c>
      <c r="B1864" s="33">
        <v>45868.80347222222</v>
      </c>
      <c r="D1864" s="19" t="s">
        <v>39</v>
      </c>
      <c r="E1864" s="19" t="s">
        <v>69</v>
      </c>
      <c r="F1864" s="19" t="s">
        <v>37</v>
      </c>
      <c r="G1864" s="19" t="s">
        <v>116</v>
      </c>
      <c r="H1864" s="19" t="s">
        <v>59</v>
      </c>
      <c r="I1864" s="19" t="s">
        <v>117</v>
      </c>
      <c r="J1864" s="20">
        <v>120</v>
      </c>
      <c r="K1864" s="34">
        <v>0</v>
      </c>
      <c r="M1864" s="19" t="str">
        <f>IF(OR(ISBLANK(C1864),C1864=""),"",ROUND((C1864-B1864)*24,2))</f>
        <v/>
      </c>
      <c r="N1864" s="19" t="str">
        <f>IF(OR(ISBLANK(C1864),C1864="",M1864=""),"In Progress",IF(M1864&lt;=J1864,"Met","Breached"))</f>
        <v>In Progress</v>
      </c>
    </row>
    <row r="1865" ht="19" customHeight="1" spans="1:14" x14ac:dyDescent="0.25">
      <c r="A1865" s="22" t="s">
        <v>1979</v>
      </c>
      <c r="B1865" s="36">
        <v>46125.46041666667</v>
      </c>
      <c r="C1865" s="36">
        <v>46127.09097222222</v>
      </c>
      <c r="D1865" s="22" t="s">
        <v>33</v>
      </c>
      <c r="E1865" s="22" t="s">
        <v>69</v>
      </c>
      <c r="F1865" s="22" t="s">
        <v>34</v>
      </c>
      <c r="G1865" s="22" t="s">
        <v>116</v>
      </c>
      <c r="H1865" s="22" t="s">
        <v>63</v>
      </c>
      <c r="I1865" s="22" t="s">
        <v>123</v>
      </c>
      <c r="J1865" s="23">
        <v>120</v>
      </c>
      <c r="K1865" s="37">
        <v>1</v>
      </c>
      <c r="L1865" s="37">
        <v>2</v>
      </c>
      <c r="M1865" s="22">
        <f>IF(OR(ISBLANK(C1865),C1865=""),"",ROUND((C1865-B1865)*24,2))</f>
        <v>39.13</v>
      </c>
      <c r="N1865" s="40" t="str">
        <f>IF(OR(ISBLANK(C1865),C1865="",M1865=""),"In Progress",IF(M1865&lt;=J1865,"Met","Breached"))</f>
        <v>Met</v>
      </c>
    </row>
    <row r="1866" ht="19" customHeight="1" spans="1:14" x14ac:dyDescent="0.25">
      <c r="A1866" s="19" t="s">
        <v>1980</v>
      </c>
      <c r="B1866" s="33">
        <v>45717.86944444444</v>
      </c>
      <c r="C1866" s="33">
        <v>45718.62430555555</v>
      </c>
      <c r="D1866" s="19" t="s">
        <v>33</v>
      </c>
      <c r="E1866" s="19" t="s">
        <v>61</v>
      </c>
      <c r="F1866" s="19" t="s">
        <v>45</v>
      </c>
      <c r="G1866" s="19" t="s">
        <v>63</v>
      </c>
      <c r="H1866" s="19" t="s">
        <v>59</v>
      </c>
      <c r="I1866" s="19" t="s">
        <v>114</v>
      </c>
      <c r="J1866" s="20">
        <v>12</v>
      </c>
      <c r="K1866" s="34">
        <v>0</v>
      </c>
      <c r="M1866" s="19">
        <f>IF(OR(ISBLANK(C1866),C1866=""),"",ROUND((C1866-B1866)*24,2))</f>
        <v>18.12</v>
      </c>
      <c r="N1866" s="39" t="str">
        <f>IF(OR(ISBLANK(C1866),C1866="",M1866=""),"In Progress",IF(M1866&lt;=J1866,"Met","Breached"))</f>
        <v>Breached</v>
      </c>
    </row>
    <row r="1867" ht="19" customHeight="1" spans="1:14" x14ac:dyDescent="0.25">
      <c r="A1867" s="22" t="s">
        <v>1981</v>
      </c>
      <c r="B1867" s="36">
        <v>45665.80069444445</v>
      </c>
      <c r="D1867" s="22" t="s">
        <v>39</v>
      </c>
      <c r="E1867" s="22" t="s">
        <v>69</v>
      </c>
      <c r="F1867" s="22" t="s">
        <v>34</v>
      </c>
      <c r="G1867" s="22" t="s">
        <v>116</v>
      </c>
      <c r="H1867" s="22" t="s">
        <v>63</v>
      </c>
      <c r="I1867" s="22" t="s">
        <v>117</v>
      </c>
      <c r="J1867" s="23">
        <v>120</v>
      </c>
      <c r="K1867" s="37">
        <v>0</v>
      </c>
      <c r="M1867" s="22" t="str">
        <f>IF(OR(ISBLANK(C1867),C1867=""),"",ROUND((C1867-B1867)*24,2))</f>
        <v/>
      </c>
      <c r="N1867" s="22" t="str">
        <f>IF(OR(ISBLANK(C1867),C1867="",M1867=""),"In Progress",IF(M1867&lt;=J1867,"Met","Breached"))</f>
        <v>In Progress</v>
      </c>
    </row>
    <row r="1868" ht="19" customHeight="1" spans="1:14" x14ac:dyDescent="0.25">
      <c r="A1868" s="19" t="s">
        <v>1982</v>
      </c>
      <c r="B1868" s="33">
        <v>46280.60416666667</v>
      </c>
      <c r="C1868" s="33">
        <v>46281.24722222222</v>
      </c>
      <c r="D1868" s="19" t="s">
        <v>33</v>
      </c>
      <c r="E1868" s="19" t="s">
        <v>61</v>
      </c>
      <c r="F1868" s="19" t="s">
        <v>45</v>
      </c>
      <c r="G1868" s="19" t="s">
        <v>121</v>
      </c>
      <c r="H1868" s="19" t="s">
        <v>59</v>
      </c>
      <c r="I1868" s="19" t="s">
        <v>108</v>
      </c>
      <c r="J1868" s="20">
        <v>12</v>
      </c>
      <c r="K1868" s="34">
        <v>0</v>
      </c>
      <c r="L1868" s="34">
        <v>4</v>
      </c>
      <c r="M1868" s="19">
        <f>IF(OR(ISBLANK(C1868),C1868=""),"",ROUND((C1868-B1868)*24,2))</f>
        <v>15.43</v>
      </c>
      <c r="N1868" s="39" t="str">
        <f>IF(OR(ISBLANK(C1868),C1868="",M1868=""),"In Progress",IF(M1868&lt;=J1868,"Met","Breached"))</f>
        <v>Breached</v>
      </c>
    </row>
    <row r="1869" ht="19" customHeight="1" spans="1:14" x14ac:dyDescent="0.25">
      <c r="A1869" s="22" t="s">
        <v>1983</v>
      </c>
      <c r="B1869" s="36">
        <v>46018.11597222222</v>
      </c>
      <c r="C1869" s="36">
        <v>46024.69027777778</v>
      </c>
      <c r="D1869" s="22" t="s">
        <v>33</v>
      </c>
      <c r="E1869" s="22" t="s">
        <v>69</v>
      </c>
      <c r="F1869" s="22" t="s">
        <v>34</v>
      </c>
      <c r="G1869" s="22" t="s">
        <v>126</v>
      </c>
      <c r="H1869" s="22" t="s">
        <v>59</v>
      </c>
      <c r="I1869" s="22" t="s">
        <v>123</v>
      </c>
      <c r="J1869" s="23">
        <v>120</v>
      </c>
      <c r="K1869" s="37">
        <v>0</v>
      </c>
      <c r="M1869" s="22">
        <f>IF(OR(ISBLANK(C1869),C1869=""),"",ROUND((C1869-B1869)*24,2))</f>
        <v>157.78</v>
      </c>
      <c r="N1869" s="38" t="str">
        <f>IF(OR(ISBLANK(C1869),C1869="",M1869=""),"In Progress",IF(M1869&lt;=J1869,"Met","Breached"))</f>
        <v>Breached</v>
      </c>
    </row>
    <row r="1870" ht="19" customHeight="1" spans="1:14" x14ac:dyDescent="0.25">
      <c r="A1870" s="19" t="s">
        <v>1984</v>
      </c>
      <c r="B1870" s="33">
        <v>46207.481944444444</v>
      </c>
      <c r="C1870" s="33">
        <v>46213.25347222222</v>
      </c>
      <c r="D1870" s="19" t="s">
        <v>33</v>
      </c>
      <c r="E1870" s="19" t="s">
        <v>69</v>
      </c>
      <c r="F1870" s="19" t="s">
        <v>45</v>
      </c>
      <c r="G1870" s="19" t="s">
        <v>113</v>
      </c>
      <c r="H1870" s="19" t="s">
        <v>59</v>
      </c>
      <c r="I1870" s="19" t="s">
        <v>114</v>
      </c>
      <c r="J1870" s="20">
        <v>120</v>
      </c>
      <c r="K1870" s="34">
        <v>0</v>
      </c>
      <c r="L1870" s="34">
        <v>4</v>
      </c>
      <c r="M1870" s="19">
        <f>IF(OR(ISBLANK(C1870),C1870=""),"",ROUND((C1870-B1870)*24,2))</f>
        <v>138.52</v>
      </c>
      <c r="N1870" s="39" t="str">
        <f>IF(OR(ISBLANK(C1870),C1870="",M1870=""),"In Progress",IF(M1870&lt;=J1870,"Met","Breached"))</f>
        <v>Breached</v>
      </c>
    </row>
    <row r="1871" ht="19" customHeight="1" spans="1:14" x14ac:dyDescent="0.25">
      <c r="A1871" s="22" t="s">
        <v>1985</v>
      </c>
      <c r="B1871" s="36">
        <v>45827.85902777778</v>
      </c>
      <c r="D1871" s="22" t="s">
        <v>39</v>
      </c>
      <c r="E1871" s="22" t="s">
        <v>65</v>
      </c>
      <c r="F1871" s="22" t="s">
        <v>40</v>
      </c>
      <c r="G1871" s="22" t="s">
        <v>126</v>
      </c>
      <c r="H1871" s="22" t="s">
        <v>59</v>
      </c>
      <c r="I1871" s="22" t="s">
        <v>111</v>
      </c>
      <c r="J1871" s="23">
        <v>48</v>
      </c>
      <c r="K1871" s="37">
        <v>0</v>
      </c>
      <c r="M1871" s="22" t="str">
        <f>IF(OR(ISBLANK(C1871),C1871=""),"",ROUND((C1871-B1871)*24,2))</f>
        <v/>
      </c>
      <c r="N1871" s="22" t="str">
        <f>IF(OR(ISBLANK(C1871),C1871="",M1871=""),"In Progress",IF(M1871&lt;=J1871,"Met","Breached"))</f>
        <v>In Progress</v>
      </c>
    </row>
    <row r="1872" ht="19" customHeight="1" spans="1:14" x14ac:dyDescent="0.25">
      <c r="A1872" s="19" t="s">
        <v>1986</v>
      </c>
      <c r="B1872" s="33">
        <v>46002.95347222222</v>
      </c>
      <c r="C1872" s="33">
        <v>46011.768055555556</v>
      </c>
      <c r="D1872" s="19" t="s">
        <v>36</v>
      </c>
      <c r="E1872" s="19" t="s">
        <v>69</v>
      </c>
      <c r="F1872" s="19" t="s">
        <v>34</v>
      </c>
      <c r="G1872" s="19" t="s">
        <v>121</v>
      </c>
      <c r="H1872" s="19" t="s">
        <v>59</v>
      </c>
      <c r="I1872" s="19" t="s">
        <v>108</v>
      </c>
      <c r="J1872" s="20">
        <v>120</v>
      </c>
      <c r="K1872" s="34">
        <v>0</v>
      </c>
      <c r="M1872" s="19">
        <f>IF(OR(ISBLANK(C1872),C1872=""),"",ROUND((C1872-B1872)*24,2))</f>
        <v>211.55</v>
      </c>
      <c r="N1872" s="39" t="str">
        <f>IF(OR(ISBLANK(C1872),C1872="",M1872=""),"In Progress",IF(M1872&lt;=J1872,"Met","Breached"))</f>
        <v>Breached</v>
      </c>
    </row>
    <row r="1873" ht="19" customHeight="1" spans="1:14" x14ac:dyDescent="0.25">
      <c r="A1873" s="22" t="s">
        <v>1987</v>
      </c>
      <c r="B1873" s="36">
        <v>46078.59236111111</v>
      </c>
      <c r="C1873" s="36">
        <v>46084.75138888889</v>
      </c>
      <c r="D1873" s="22" t="s">
        <v>36</v>
      </c>
      <c r="E1873" s="22" t="s">
        <v>69</v>
      </c>
      <c r="F1873" s="22" t="s">
        <v>34</v>
      </c>
      <c r="G1873" s="22" t="s">
        <v>113</v>
      </c>
      <c r="H1873" s="22" t="s">
        <v>63</v>
      </c>
      <c r="I1873" s="22" t="s">
        <v>114</v>
      </c>
      <c r="J1873" s="23">
        <v>120</v>
      </c>
      <c r="K1873" s="37">
        <v>0</v>
      </c>
      <c r="L1873" s="37">
        <v>3</v>
      </c>
      <c r="M1873" s="22">
        <f>IF(OR(ISBLANK(C1873),C1873=""),"",ROUND((C1873-B1873)*24,2))</f>
        <v>147.82</v>
      </c>
      <c r="N1873" s="38" t="str">
        <f>IF(OR(ISBLANK(C1873),C1873="",M1873=""),"In Progress",IF(M1873&lt;=J1873,"Met","Breached"))</f>
        <v>Breached</v>
      </c>
    </row>
    <row r="1874" ht="19" customHeight="1" spans="1:14" x14ac:dyDescent="0.25">
      <c r="A1874" s="19" t="s">
        <v>1988</v>
      </c>
      <c r="B1874" s="33">
        <v>45929.84513888889</v>
      </c>
      <c r="C1874" s="33">
        <v>45930.459027777775</v>
      </c>
      <c r="D1874" s="19" t="s">
        <v>33</v>
      </c>
      <c r="E1874" s="19" t="s">
        <v>61</v>
      </c>
      <c r="F1874" s="19" t="s">
        <v>40</v>
      </c>
      <c r="G1874" s="19" t="s">
        <v>121</v>
      </c>
      <c r="H1874" s="19" t="s">
        <v>59</v>
      </c>
      <c r="I1874" s="19" t="s">
        <v>147</v>
      </c>
      <c r="J1874" s="20">
        <v>12</v>
      </c>
      <c r="K1874" s="34">
        <v>0</v>
      </c>
      <c r="M1874" s="19">
        <f>IF(OR(ISBLANK(C1874),C1874=""),"",ROUND((C1874-B1874)*24,2))</f>
        <v>14.73</v>
      </c>
      <c r="N1874" s="39" t="str">
        <f>IF(OR(ISBLANK(C1874),C1874="",M1874=""),"In Progress",IF(M1874&lt;=J1874,"Met","Breached"))</f>
        <v>Breached</v>
      </c>
    </row>
    <row r="1875" ht="19" customHeight="1" spans="1:14" x14ac:dyDescent="0.25">
      <c r="A1875" s="22" t="s">
        <v>1989</v>
      </c>
      <c r="B1875" s="36">
        <v>45974.99791666667</v>
      </c>
      <c r="C1875" s="36">
        <v>45975.04861111111</v>
      </c>
      <c r="D1875" s="22" t="s">
        <v>33</v>
      </c>
      <c r="E1875" s="22" t="s">
        <v>57</v>
      </c>
      <c r="F1875" s="22" t="s">
        <v>37</v>
      </c>
      <c r="G1875" s="22" t="s">
        <v>63</v>
      </c>
      <c r="H1875" s="22" t="s">
        <v>59</v>
      </c>
      <c r="I1875" s="22" t="s">
        <v>117</v>
      </c>
      <c r="J1875" s="23">
        <v>4</v>
      </c>
      <c r="K1875" s="37">
        <v>0</v>
      </c>
      <c r="L1875" s="37">
        <v>5</v>
      </c>
      <c r="M1875" s="22">
        <f>IF(OR(ISBLANK(C1875),C1875=""),"",ROUND((C1875-B1875)*24,2))</f>
        <v>1.22</v>
      </c>
      <c r="N1875" s="40" t="str">
        <f>IF(OR(ISBLANK(C1875),C1875="",M1875=""),"In Progress",IF(M1875&lt;=J1875,"Met","Breached"))</f>
        <v>Met</v>
      </c>
    </row>
    <row r="1876" ht="19" customHeight="1" spans="1:14" x14ac:dyDescent="0.25">
      <c r="A1876" s="19" t="s">
        <v>1990</v>
      </c>
      <c r="B1876" s="33">
        <v>45675.64791666667</v>
      </c>
      <c r="D1876" s="19" t="s">
        <v>42</v>
      </c>
      <c r="E1876" s="19" t="s">
        <v>65</v>
      </c>
      <c r="F1876" s="19" t="s">
        <v>40</v>
      </c>
      <c r="G1876" s="19" t="s">
        <v>63</v>
      </c>
      <c r="H1876" s="19" t="s">
        <v>59</v>
      </c>
      <c r="I1876" s="19" t="s">
        <v>114</v>
      </c>
      <c r="J1876" s="20">
        <v>48</v>
      </c>
      <c r="K1876" s="34">
        <v>0</v>
      </c>
      <c r="M1876" s="19" t="str">
        <f>IF(OR(ISBLANK(C1876),C1876=""),"",ROUND((C1876-B1876)*24,2))</f>
        <v/>
      </c>
      <c r="N1876" s="19" t="str">
        <f>IF(OR(ISBLANK(C1876),C1876="",M1876=""),"In Progress",IF(M1876&lt;=J1876,"Met","Breached"))</f>
        <v>In Progress</v>
      </c>
    </row>
    <row r="1877" ht="19" customHeight="1" spans="1:14" x14ac:dyDescent="0.25">
      <c r="A1877" s="22" t="s">
        <v>1991</v>
      </c>
      <c r="B1877" s="36">
        <v>45688.28194444445</v>
      </c>
      <c r="C1877" s="36">
        <v>45694.74444444444</v>
      </c>
      <c r="D1877" s="22" t="s">
        <v>36</v>
      </c>
      <c r="E1877" s="22" t="s">
        <v>69</v>
      </c>
      <c r="F1877" s="22" t="s">
        <v>45</v>
      </c>
      <c r="G1877" s="22" t="s">
        <v>63</v>
      </c>
      <c r="H1877" s="22" t="s">
        <v>59</v>
      </c>
      <c r="I1877" s="22" t="s">
        <v>123</v>
      </c>
      <c r="J1877" s="23">
        <v>120</v>
      </c>
      <c r="K1877" s="37">
        <v>0</v>
      </c>
      <c r="L1877" s="37">
        <v>1</v>
      </c>
      <c r="M1877" s="22">
        <f>IF(OR(ISBLANK(C1877),C1877=""),"",ROUND((C1877-B1877)*24,2))</f>
        <v>155.1</v>
      </c>
      <c r="N1877" s="38" t="str">
        <f>IF(OR(ISBLANK(C1877),C1877="",M1877=""),"In Progress",IF(M1877&lt;=J1877,"Met","Breached"))</f>
        <v>Breached</v>
      </c>
    </row>
    <row r="1878" ht="19" customHeight="1" spans="1:14" x14ac:dyDescent="0.25">
      <c r="A1878" s="19" t="s">
        <v>1992</v>
      </c>
      <c r="B1878" s="33">
        <v>46286.93402777778</v>
      </c>
      <c r="C1878" s="33">
        <v>46292.49930555555</v>
      </c>
      <c r="D1878" s="19" t="s">
        <v>33</v>
      </c>
      <c r="E1878" s="19" t="s">
        <v>69</v>
      </c>
      <c r="F1878" s="19" t="s">
        <v>34</v>
      </c>
      <c r="G1878" s="19" t="s">
        <v>113</v>
      </c>
      <c r="H1878" s="19" t="s">
        <v>59</v>
      </c>
      <c r="I1878" s="19" t="s">
        <v>108</v>
      </c>
      <c r="J1878" s="20">
        <v>120</v>
      </c>
      <c r="K1878" s="34">
        <v>0</v>
      </c>
      <c r="L1878" s="34">
        <v>4</v>
      </c>
      <c r="M1878" s="19">
        <f>IF(OR(ISBLANK(C1878),C1878=""),"",ROUND((C1878-B1878)*24,2))</f>
        <v>133.57</v>
      </c>
      <c r="N1878" s="39" t="str">
        <f>IF(OR(ISBLANK(C1878),C1878="",M1878=""),"In Progress",IF(M1878&lt;=J1878,"Met","Breached"))</f>
        <v>Breached</v>
      </c>
    </row>
    <row r="1879" ht="19" customHeight="1" spans="1:14" x14ac:dyDescent="0.25">
      <c r="A1879" s="22" t="s">
        <v>1993</v>
      </c>
      <c r="B1879" s="36">
        <v>46056.43611111111</v>
      </c>
      <c r="C1879" s="36">
        <v>46059.711111111115</v>
      </c>
      <c r="D1879" s="22" t="s">
        <v>36</v>
      </c>
      <c r="E1879" s="22" t="s">
        <v>65</v>
      </c>
      <c r="F1879" s="22" t="s">
        <v>40</v>
      </c>
      <c r="G1879" s="22" t="s">
        <v>63</v>
      </c>
      <c r="H1879" s="22" t="s">
        <v>71</v>
      </c>
      <c r="I1879" s="22" t="s">
        <v>108</v>
      </c>
      <c r="J1879" s="23">
        <v>48</v>
      </c>
      <c r="K1879" s="37">
        <v>0</v>
      </c>
      <c r="M1879" s="22">
        <f>IF(OR(ISBLANK(C1879),C1879=""),"",ROUND((C1879-B1879)*24,2))</f>
        <v>78.6</v>
      </c>
      <c r="N1879" s="38" t="str">
        <f>IF(OR(ISBLANK(C1879),C1879="",M1879=""),"In Progress",IF(M1879&lt;=J1879,"Met","Breached"))</f>
        <v>Breached</v>
      </c>
    </row>
    <row r="1880" ht="19" customHeight="1" spans="1:14" x14ac:dyDescent="0.25">
      <c r="A1880" s="19" t="s">
        <v>1994</v>
      </c>
      <c r="B1880" s="33">
        <v>45840.63125</v>
      </c>
      <c r="D1880" s="19" t="s">
        <v>39</v>
      </c>
      <c r="E1880" s="19" t="s">
        <v>65</v>
      </c>
      <c r="F1880" s="19" t="s">
        <v>37</v>
      </c>
      <c r="G1880" s="19" t="s">
        <v>63</v>
      </c>
      <c r="H1880" s="19" t="s">
        <v>67</v>
      </c>
      <c r="I1880" s="19" t="s">
        <v>123</v>
      </c>
      <c r="J1880" s="20">
        <v>48</v>
      </c>
      <c r="K1880" s="34">
        <v>0</v>
      </c>
      <c r="M1880" s="19" t="str">
        <f>IF(OR(ISBLANK(C1880),C1880=""),"",ROUND((C1880-B1880)*24,2))</f>
        <v/>
      </c>
      <c r="N1880" s="19" t="str">
        <f>IF(OR(ISBLANK(C1880),C1880="",M1880=""),"In Progress",IF(M1880&lt;=J1880,"Met","Breached"))</f>
        <v>In Progress</v>
      </c>
    </row>
    <row r="1881" ht="19" customHeight="1" spans="1:14" x14ac:dyDescent="0.25">
      <c r="A1881" s="22" t="s">
        <v>1995</v>
      </c>
      <c r="B1881" s="36">
        <v>45909.12013888889</v>
      </c>
      <c r="C1881" s="36">
        <v>45911.75347222222</v>
      </c>
      <c r="D1881" s="22" t="s">
        <v>33</v>
      </c>
      <c r="E1881" s="22" t="s">
        <v>65</v>
      </c>
      <c r="F1881" s="22" t="s">
        <v>37</v>
      </c>
      <c r="G1881" s="22" t="s">
        <v>110</v>
      </c>
      <c r="H1881" s="22" t="s">
        <v>63</v>
      </c>
      <c r="I1881" s="22" t="s">
        <v>114</v>
      </c>
      <c r="J1881" s="23">
        <v>48</v>
      </c>
      <c r="K1881" s="37">
        <v>0</v>
      </c>
      <c r="M1881" s="22">
        <f>IF(OR(ISBLANK(C1881),C1881=""),"",ROUND((C1881-B1881)*24,2))</f>
        <v>63.2</v>
      </c>
      <c r="N1881" s="38" t="str">
        <f>IF(OR(ISBLANK(C1881),C1881="",M1881=""),"In Progress",IF(M1881&lt;=J1881,"Met","Breached"))</f>
        <v>Breached</v>
      </c>
    </row>
    <row r="1882" ht="19" customHeight="1" spans="1:14" x14ac:dyDescent="0.25">
      <c r="A1882" s="19" t="s">
        <v>1996</v>
      </c>
      <c r="B1882" s="33">
        <v>46150.13680555555</v>
      </c>
      <c r="C1882" s="33">
        <v>46153.19236111111</v>
      </c>
      <c r="D1882" s="19" t="s">
        <v>33</v>
      </c>
      <c r="E1882" s="19" t="s">
        <v>65</v>
      </c>
      <c r="F1882" s="19" t="s">
        <v>37</v>
      </c>
      <c r="G1882" s="19" t="s">
        <v>126</v>
      </c>
      <c r="H1882" s="19" t="s">
        <v>59</v>
      </c>
      <c r="I1882" s="19" t="s">
        <v>117</v>
      </c>
      <c r="J1882" s="20">
        <v>48</v>
      </c>
      <c r="K1882" s="34">
        <v>0</v>
      </c>
      <c r="M1882" s="19">
        <f>IF(OR(ISBLANK(C1882),C1882=""),"",ROUND((C1882-B1882)*24,2))</f>
        <v>73.33</v>
      </c>
      <c r="N1882" s="39" t="str">
        <f>IF(OR(ISBLANK(C1882),C1882="",M1882=""),"In Progress",IF(M1882&lt;=J1882,"Met","Breached"))</f>
        <v>Breached</v>
      </c>
    </row>
    <row r="1883" ht="19" customHeight="1" spans="1:14" x14ac:dyDescent="0.25">
      <c r="A1883" s="22" t="s">
        <v>1997</v>
      </c>
      <c r="B1883" s="36">
        <v>45678.851388888885</v>
      </c>
      <c r="C1883" s="36">
        <v>45680.64375</v>
      </c>
      <c r="D1883" s="22" t="s">
        <v>33</v>
      </c>
      <c r="E1883" s="22" t="s">
        <v>65</v>
      </c>
      <c r="F1883" s="22" t="s">
        <v>45</v>
      </c>
      <c r="G1883" s="22" t="s">
        <v>63</v>
      </c>
      <c r="H1883" s="22" t="s">
        <v>59</v>
      </c>
      <c r="I1883" s="22" t="s">
        <v>147</v>
      </c>
      <c r="J1883" s="23">
        <v>48</v>
      </c>
      <c r="K1883" s="37">
        <v>0</v>
      </c>
      <c r="L1883" s="37">
        <v>2</v>
      </c>
      <c r="M1883" s="22">
        <f>IF(OR(ISBLANK(C1883),C1883=""),"",ROUND((C1883-B1883)*24,2))</f>
        <v>43.02</v>
      </c>
      <c r="N1883" s="40" t="str">
        <f>IF(OR(ISBLANK(C1883),C1883="",M1883=""),"In Progress",IF(M1883&lt;=J1883,"Met","Breached"))</f>
        <v>Met</v>
      </c>
    </row>
    <row r="1884" ht="19" customHeight="1" spans="1:14" x14ac:dyDescent="0.25">
      <c r="A1884" s="19" t="s">
        <v>1998</v>
      </c>
      <c r="B1884" s="33">
        <v>45664.572222222225</v>
      </c>
      <c r="D1884" s="19" t="s">
        <v>42</v>
      </c>
      <c r="E1884" s="19" t="s">
        <v>57</v>
      </c>
      <c r="F1884" s="19" t="s">
        <v>37</v>
      </c>
      <c r="G1884" s="19" t="s">
        <v>113</v>
      </c>
      <c r="H1884" s="19" t="s">
        <v>59</v>
      </c>
      <c r="I1884" s="19" t="s">
        <v>114</v>
      </c>
      <c r="J1884" s="20">
        <v>4</v>
      </c>
      <c r="K1884" s="34">
        <v>0</v>
      </c>
      <c r="M1884" s="19" t="str">
        <f>IF(OR(ISBLANK(C1884),C1884=""),"",ROUND((C1884-B1884)*24,2))</f>
        <v/>
      </c>
      <c r="N1884" s="19" t="str">
        <f>IF(OR(ISBLANK(C1884),C1884="",M1884=""),"In Progress",IF(M1884&lt;=J1884,"Met","Breached"))</f>
        <v>In Progress</v>
      </c>
    </row>
    <row r="1885" ht="19" customHeight="1" spans="1:14" x14ac:dyDescent="0.25">
      <c r="A1885" s="22" t="s">
        <v>1999</v>
      </c>
      <c r="B1885" s="36">
        <v>45995.36944444444</v>
      </c>
      <c r="D1885" s="22" t="s">
        <v>39</v>
      </c>
      <c r="E1885" s="22" t="s">
        <v>69</v>
      </c>
      <c r="F1885" s="22" t="s">
        <v>45</v>
      </c>
      <c r="G1885" s="22" t="s">
        <v>63</v>
      </c>
      <c r="H1885" s="22" t="s">
        <v>59</v>
      </c>
      <c r="I1885" s="22" t="s">
        <v>108</v>
      </c>
      <c r="J1885" s="23">
        <v>120</v>
      </c>
      <c r="K1885" s="37">
        <v>0</v>
      </c>
      <c r="M1885" s="22" t="str">
        <f>IF(OR(ISBLANK(C1885),C1885=""),"",ROUND((C1885-B1885)*24,2))</f>
        <v/>
      </c>
      <c r="N1885" s="22" t="str">
        <f>IF(OR(ISBLANK(C1885),C1885="",M1885=""),"In Progress",IF(M1885&lt;=J1885,"Met","Breached"))</f>
        <v>In Progress</v>
      </c>
    </row>
    <row r="1886" ht="19" customHeight="1" spans="1:14" x14ac:dyDescent="0.25">
      <c r="A1886" s="19" t="s">
        <v>2000</v>
      </c>
      <c r="B1886" s="33">
        <v>46165.84722222222</v>
      </c>
      <c r="D1886" s="19" t="s">
        <v>39</v>
      </c>
      <c r="E1886" s="19" t="s">
        <v>65</v>
      </c>
      <c r="F1886" s="19" t="s">
        <v>40</v>
      </c>
      <c r="G1886" s="19" t="s">
        <v>63</v>
      </c>
      <c r="H1886" s="19" t="s">
        <v>71</v>
      </c>
      <c r="I1886" s="19" t="s">
        <v>114</v>
      </c>
      <c r="J1886" s="20">
        <v>48</v>
      </c>
      <c r="K1886" s="34">
        <v>0</v>
      </c>
      <c r="M1886" s="19" t="str">
        <f>IF(OR(ISBLANK(C1886),C1886=""),"",ROUND((C1886-B1886)*24,2))</f>
        <v/>
      </c>
      <c r="N1886" s="19" t="str">
        <f>IF(OR(ISBLANK(C1886),C1886="",M1886=""),"In Progress",IF(M1886&lt;=J1886,"Met","Breached"))</f>
        <v>In Progress</v>
      </c>
    </row>
    <row r="1887" ht="19" customHeight="1" spans="1:14" x14ac:dyDescent="0.25">
      <c r="A1887" s="22" t="s">
        <v>2001</v>
      </c>
      <c r="B1887" s="36">
        <v>45825.11388888889</v>
      </c>
      <c r="C1887" s="36">
        <v>45832.04722222222</v>
      </c>
      <c r="D1887" s="22" t="s">
        <v>33</v>
      </c>
      <c r="E1887" s="22" t="s">
        <v>69</v>
      </c>
      <c r="F1887" s="22" t="s">
        <v>40</v>
      </c>
      <c r="G1887" s="22" t="s">
        <v>110</v>
      </c>
      <c r="H1887" s="22" t="s">
        <v>63</v>
      </c>
      <c r="I1887" s="22" t="s">
        <v>114</v>
      </c>
      <c r="J1887" s="23">
        <v>120</v>
      </c>
      <c r="K1887" s="37">
        <v>0</v>
      </c>
      <c r="L1887" s="37">
        <v>1</v>
      </c>
      <c r="M1887" s="22">
        <f>IF(OR(ISBLANK(C1887),C1887=""),"",ROUND((C1887-B1887)*24,2))</f>
        <v>166.4</v>
      </c>
      <c r="N1887" s="38" t="str">
        <f>IF(OR(ISBLANK(C1887),C1887="",M1887=""),"In Progress",IF(M1887&lt;=J1887,"Met","Breached"))</f>
        <v>Breached</v>
      </c>
    </row>
    <row r="1888" ht="19" customHeight="1" spans="1:14" x14ac:dyDescent="0.25">
      <c r="A1888" s="19" t="s">
        <v>2002</v>
      </c>
      <c r="B1888" s="33">
        <v>45831.160416666666</v>
      </c>
      <c r="C1888" s="33">
        <v>45831.33125</v>
      </c>
      <c r="D1888" s="19" t="s">
        <v>36</v>
      </c>
      <c r="E1888" s="19" t="s">
        <v>61</v>
      </c>
      <c r="F1888" s="19" t="s">
        <v>45</v>
      </c>
      <c r="G1888" s="19" t="s">
        <v>121</v>
      </c>
      <c r="H1888" s="19" t="s">
        <v>67</v>
      </c>
      <c r="I1888" s="19" t="s">
        <v>117</v>
      </c>
      <c r="J1888" s="20">
        <v>12</v>
      </c>
      <c r="K1888" s="34">
        <v>0</v>
      </c>
      <c r="L1888" s="34">
        <v>1</v>
      </c>
      <c r="M1888" s="19">
        <f>IF(OR(ISBLANK(C1888),C1888=""),"",ROUND((C1888-B1888)*24,2))</f>
        <v>4.1</v>
      </c>
      <c r="N1888" s="35" t="str">
        <f>IF(OR(ISBLANK(C1888),C1888="",M1888=""),"In Progress",IF(M1888&lt;=J1888,"Met","Breached"))</f>
        <v>Met</v>
      </c>
    </row>
    <row r="1889" ht="19" customHeight="1" spans="1:14" x14ac:dyDescent="0.25">
      <c r="A1889" s="22" t="s">
        <v>2003</v>
      </c>
      <c r="B1889" s="36">
        <v>46051.89375</v>
      </c>
      <c r="C1889" s="36">
        <v>46052.52986111111</v>
      </c>
      <c r="D1889" s="22" t="s">
        <v>33</v>
      </c>
      <c r="E1889" s="22" t="s">
        <v>61</v>
      </c>
      <c r="F1889" s="22" t="s">
        <v>34</v>
      </c>
      <c r="G1889" s="22" t="s">
        <v>113</v>
      </c>
      <c r="H1889" s="22" t="s">
        <v>63</v>
      </c>
      <c r="I1889" s="22" t="s">
        <v>114</v>
      </c>
      <c r="J1889" s="23">
        <v>12</v>
      </c>
      <c r="K1889" s="37">
        <v>0</v>
      </c>
      <c r="M1889" s="22">
        <f>IF(OR(ISBLANK(C1889),C1889=""),"",ROUND((C1889-B1889)*24,2))</f>
        <v>15.27</v>
      </c>
      <c r="N1889" s="38" t="str">
        <f>IF(OR(ISBLANK(C1889),C1889="",M1889=""),"In Progress",IF(M1889&lt;=J1889,"Met","Breached"))</f>
        <v>Breached</v>
      </c>
    </row>
    <row r="1890" ht="19" customHeight="1" spans="1:14" x14ac:dyDescent="0.25">
      <c r="A1890" s="19" t="s">
        <v>2004</v>
      </c>
      <c r="B1890" s="33">
        <v>46130.16736111111</v>
      </c>
      <c r="D1890" s="19" t="s">
        <v>39</v>
      </c>
      <c r="E1890" s="19" t="s">
        <v>65</v>
      </c>
      <c r="F1890" s="19" t="s">
        <v>45</v>
      </c>
      <c r="G1890" s="19" t="s">
        <v>121</v>
      </c>
      <c r="H1890" s="19" t="s">
        <v>63</v>
      </c>
      <c r="I1890" s="19" t="s">
        <v>123</v>
      </c>
      <c r="J1890" s="20">
        <v>48</v>
      </c>
      <c r="K1890" s="34">
        <v>0</v>
      </c>
      <c r="M1890" s="19" t="str">
        <f>IF(OR(ISBLANK(C1890),C1890=""),"",ROUND((C1890-B1890)*24,2))</f>
        <v/>
      </c>
      <c r="N1890" s="19" t="str">
        <f>IF(OR(ISBLANK(C1890),C1890="",M1890=""),"In Progress",IF(M1890&lt;=J1890,"Met","Breached"))</f>
        <v>In Progress</v>
      </c>
    </row>
    <row r="1891" ht="19" customHeight="1" spans="1:14" x14ac:dyDescent="0.25">
      <c r="A1891" s="22" t="s">
        <v>2005</v>
      </c>
      <c r="B1891" s="36">
        <v>45959.820138888885</v>
      </c>
      <c r="C1891" s="36">
        <v>45959.89236111111</v>
      </c>
      <c r="D1891" s="22" t="s">
        <v>33</v>
      </c>
      <c r="E1891" s="22" t="s">
        <v>57</v>
      </c>
      <c r="F1891" s="22" t="s">
        <v>34</v>
      </c>
      <c r="G1891" s="22" t="s">
        <v>110</v>
      </c>
      <c r="H1891" s="22" t="s">
        <v>63</v>
      </c>
      <c r="I1891" s="22" t="s">
        <v>147</v>
      </c>
      <c r="J1891" s="23">
        <v>4</v>
      </c>
      <c r="K1891" s="37">
        <v>0</v>
      </c>
      <c r="M1891" s="22">
        <f>IF(OR(ISBLANK(C1891),C1891=""),"",ROUND((C1891-B1891)*24,2))</f>
        <v>1.73</v>
      </c>
      <c r="N1891" s="40" t="str">
        <f>IF(OR(ISBLANK(C1891),C1891="",M1891=""),"In Progress",IF(M1891&lt;=J1891,"Met","Breached"))</f>
        <v>Met</v>
      </c>
    </row>
    <row r="1892" ht="19" customHeight="1" spans="1:14" x14ac:dyDescent="0.25">
      <c r="A1892" s="19" t="s">
        <v>2006</v>
      </c>
      <c r="B1892" s="33">
        <v>45667.84444444445</v>
      </c>
      <c r="C1892" s="33">
        <v>45675.26388888889</v>
      </c>
      <c r="D1892" s="19" t="s">
        <v>33</v>
      </c>
      <c r="E1892" s="19" t="s">
        <v>69</v>
      </c>
      <c r="F1892" s="19" t="s">
        <v>37</v>
      </c>
      <c r="G1892" s="19" t="s">
        <v>116</v>
      </c>
      <c r="H1892" s="19" t="s">
        <v>59</v>
      </c>
      <c r="I1892" s="19" t="s">
        <v>114</v>
      </c>
      <c r="J1892" s="20">
        <v>120</v>
      </c>
      <c r="K1892" s="34">
        <v>0</v>
      </c>
      <c r="L1892" s="34">
        <v>3</v>
      </c>
      <c r="M1892" s="19">
        <f>IF(OR(ISBLANK(C1892),C1892=""),"",ROUND((C1892-B1892)*24,2))</f>
        <v>178.07</v>
      </c>
      <c r="N1892" s="39" t="str">
        <f>IF(OR(ISBLANK(C1892),C1892="",M1892=""),"In Progress",IF(M1892&lt;=J1892,"Met","Breached"))</f>
        <v>Breached</v>
      </c>
    </row>
    <row r="1893" ht="19" customHeight="1" spans="1:14" x14ac:dyDescent="0.25">
      <c r="A1893" s="22" t="s">
        <v>2007</v>
      </c>
      <c r="B1893" s="36">
        <v>46120.992361111115</v>
      </c>
      <c r="C1893" s="36">
        <v>46123.461111111115</v>
      </c>
      <c r="D1893" s="22" t="s">
        <v>33</v>
      </c>
      <c r="E1893" s="22" t="s">
        <v>65</v>
      </c>
      <c r="F1893" s="22" t="s">
        <v>43</v>
      </c>
      <c r="G1893" s="22" t="s">
        <v>63</v>
      </c>
      <c r="H1893" s="22" t="s">
        <v>63</v>
      </c>
      <c r="I1893" s="22" t="s">
        <v>108</v>
      </c>
      <c r="J1893" s="23">
        <v>48</v>
      </c>
      <c r="K1893" s="37">
        <v>0</v>
      </c>
      <c r="L1893" s="37">
        <v>1</v>
      </c>
      <c r="M1893" s="22">
        <f>IF(OR(ISBLANK(C1893),C1893=""),"",ROUND((C1893-B1893)*24,2))</f>
        <v>59.25</v>
      </c>
      <c r="N1893" s="38" t="str">
        <f>IF(OR(ISBLANK(C1893),C1893="",M1893=""),"In Progress",IF(M1893&lt;=J1893,"Met","Breached"))</f>
        <v>Breached</v>
      </c>
    </row>
    <row r="1894" ht="19" customHeight="1" spans="1:14" x14ac:dyDescent="0.25">
      <c r="A1894" s="19" t="s">
        <v>2008</v>
      </c>
      <c r="B1894" s="33">
        <v>45854.57291666667</v>
      </c>
      <c r="C1894" s="33">
        <v>45862.75</v>
      </c>
      <c r="D1894" s="19" t="s">
        <v>33</v>
      </c>
      <c r="E1894" s="19" t="s">
        <v>69</v>
      </c>
      <c r="F1894" s="19" t="s">
        <v>34</v>
      </c>
      <c r="G1894" s="19" t="s">
        <v>126</v>
      </c>
      <c r="H1894" s="19" t="s">
        <v>67</v>
      </c>
      <c r="I1894" s="19" t="s">
        <v>147</v>
      </c>
      <c r="J1894" s="20">
        <v>120</v>
      </c>
      <c r="K1894" s="34">
        <v>0</v>
      </c>
      <c r="L1894" s="34">
        <v>5</v>
      </c>
      <c r="M1894" s="19">
        <f>IF(OR(ISBLANK(C1894),C1894=""),"",ROUND((C1894-B1894)*24,2))</f>
        <v>196.25</v>
      </c>
      <c r="N1894" s="39" t="str">
        <f>IF(OR(ISBLANK(C1894),C1894="",M1894=""),"In Progress",IF(M1894&lt;=J1894,"Met","Breached"))</f>
        <v>Breached</v>
      </c>
    </row>
    <row r="1895" ht="19" customHeight="1" spans="1:14" x14ac:dyDescent="0.25">
      <c r="A1895" s="22" t="s">
        <v>2009</v>
      </c>
      <c r="B1895" s="36">
        <v>46020.165972222225</v>
      </c>
      <c r="C1895" s="36">
        <v>46021.24166666667</v>
      </c>
      <c r="D1895" s="22" t="s">
        <v>33</v>
      </c>
      <c r="E1895" s="22" t="s">
        <v>65</v>
      </c>
      <c r="F1895" s="22" t="s">
        <v>43</v>
      </c>
      <c r="G1895" s="22" t="s">
        <v>116</v>
      </c>
      <c r="H1895" s="22" t="s">
        <v>59</v>
      </c>
      <c r="I1895" s="22" t="s">
        <v>108</v>
      </c>
      <c r="J1895" s="23">
        <v>48</v>
      </c>
      <c r="K1895" s="37">
        <v>0</v>
      </c>
      <c r="M1895" s="22">
        <f>IF(OR(ISBLANK(C1895),C1895=""),"",ROUND((C1895-B1895)*24,2))</f>
        <v>25.82</v>
      </c>
      <c r="N1895" s="40" t="str">
        <f>IF(OR(ISBLANK(C1895),C1895="",M1895=""),"In Progress",IF(M1895&lt;=J1895,"Met","Breached"))</f>
        <v>Met</v>
      </c>
    </row>
    <row r="1896" ht="19" customHeight="1" spans="1:14" x14ac:dyDescent="0.25">
      <c r="A1896" s="19" t="s">
        <v>2010</v>
      </c>
      <c r="B1896" s="33">
        <v>45680.29166666667</v>
      </c>
      <c r="C1896" s="33">
        <v>45683.242361111115</v>
      </c>
      <c r="D1896" s="19" t="s">
        <v>36</v>
      </c>
      <c r="E1896" s="19" t="s">
        <v>65</v>
      </c>
      <c r="F1896" s="19" t="s">
        <v>43</v>
      </c>
      <c r="G1896" s="19" t="s">
        <v>113</v>
      </c>
      <c r="H1896" s="19" t="s">
        <v>63</v>
      </c>
      <c r="I1896" s="19" t="s">
        <v>114</v>
      </c>
      <c r="J1896" s="20">
        <v>48</v>
      </c>
      <c r="K1896" s="34">
        <v>0</v>
      </c>
      <c r="M1896" s="19">
        <f>IF(OR(ISBLANK(C1896),C1896=""),"",ROUND((C1896-B1896)*24,2))</f>
        <v>70.82</v>
      </c>
      <c r="N1896" s="39" t="str">
        <f>IF(OR(ISBLANK(C1896),C1896="",M1896=""),"In Progress",IF(M1896&lt;=J1896,"Met","Breached"))</f>
        <v>Breached</v>
      </c>
    </row>
    <row r="1897" ht="19" customHeight="1" spans="1:14" x14ac:dyDescent="0.25">
      <c r="A1897" s="22" t="s">
        <v>2011</v>
      </c>
      <c r="B1897" s="36">
        <v>45781.506944444445</v>
      </c>
      <c r="D1897" s="22" t="s">
        <v>39</v>
      </c>
      <c r="E1897" s="22" t="s">
        <v>69</v>
      </c>
      <c r="F1897" s="22" t="s">
        <v>40</v>
      </c>
      <c r="G1897" s="22" t="s">
        <v>126</v>
      </c>
      <c r="H1897" s="22" t="s">
        <v>71</v>
      </c>
      <c r="I1897" s="22" t="s">
        <v>147</v>
      </c>
      <c r="J1897" s="23">
        <v>120</v>
      </c>
      <c r="K1897" s="37">
        <v>0</v>
      </c>
      <c r="M1897" s="22" t="str">
        <f>IF(OR(ISBLANK(C1897),C1897=""),"",ROUND((C1897-B1897)*24,2))</f>
        <v/>
      </c>
      <c r="N1897" s="22" t="str">
        <f>IF(OR(ISBLANK(C1897),C1897="",M1897=""),"In Progress",IF(M1897&lt;=J1897,"Met","Breached"))</f>
        <v>In Progress</v>
      </c>
    </row>
    <row r="1898" ht="19" customHeight="1" spans="1:14" x14ac:dyDescent="0.25">
      <c r="A1898" s="19" t="s">
        <v>2012</v>
      </c>
      <c r="B1898" s="33">
        <v>46229.88611111111</v>
      </c>
      <c r="C1898" s="33">
        <v>46236.330555555556</v>
      </c>
      <c r="D1898" s="19" t="s">
        <v>33</v>
      </c>
      <c r="E1898" s="19" t="s">
        <v>69</v>
      </c>
      <c r="F1898" s="19" t="s">
        <v>34</v>
      </c>
      <c r="G1898" s="19" t="s">
        <v>110</v>
      </c>
      <c r="H1898" s="19" t="s">
        <v>63</v>
      </c>
      <c r="I1898" s="19" t="s">
        <v>108</v>
      </c>
      <c r="J1898" s="20">
        <v>120</v>
      </c>
      <c r="K1898" s="34">
        <v>0</v>
      </c>
      <c r="L1898" s="34">
        <v>5</v>
      </c>
      <c r="M1898" s="19">
        <f>IF(OR(ISBLANK(C1898),C1898=""),"",ROUND((C1898-B1898)*24,2))</f>
        <v>154.67</v>
      </c>
      <c r="N1898" s="39" t="str">
        <f>IF(OR(ISBLANK(C1898),C1898="",M1898=""),"In Progress",IF(M1898&lt;=J1898,"Met","Breached"))</f>
        <v>Breached</v>
      </c>
    </row>
    <row r="1899" ht="19" customHeight="1" spans="1:14" x14ac:dyDescent="0.25">
      <c r="A1899" s="22" t="s">
        <v>2013</v>
      </c>
      <c r="B1899" s="36">
        <v>45777.19375</v>
      </c>
      <c r="C1899" s="36">
        <v>45777.76875</v>
      </c>
      <c r="D1899" s="22" t="s">
        <v>33</v>
      </c>
      <c r="E1899" s="22" t="s">
        <v>61</v>
      </c>
      <c r="F1899" s="22" t="s">
        <v>45</v>
      </c>
      <c r="G1899" s="22" t="s">
        <v>121</v>
      </c>
      <c r="H1899" s="22" t="s">
        <v>59</v>
      </c>
      <c r="I1899" s="22" t="s">
        <v>114</v>
      </c>
      <c r="J1899" s="23">
        <v>12</v>
      </c>
      <c r="K1899" s="37">
        <v>0</v>
      </c>
      <c r="M1899" s="22">
        <f>IF(OR(ISBLANK(C1899),C1899=""),"",ROUND((C1899-B1899)*24,2))</f>
        <v>13.8</v>
      </c>
      <c r="N1899" s="38" t="str">
        <f>IF(OR(ISBLANK(C1899),C1899="",M1899=""),"In Progress",IF(M1899&lt;=J1899,"Met","Breached"))</f>
        <v>Breached</v>
      </c>
    </row>
    <row r="1900" ht="19" customHeight="1" spans="1:14" x14ac:dyDescent="0.25">
      <c r="A1900" s="19" t="s">
        <v>2014</v>
      </c>
      <c r="B1900" s="33">
        <v>45882.40625</v>
      </c>
      <c r="C1900" s="33">
        <v>45883.847916666666</v>
      </c>
      <c r="D1900" s="19" t="s">
        <v>33</v>
      </c>
      <c r="E1900" s="19" t="s">
        <v>65</v>
      </c>
      <c r="F1900" s="19" t="s">
        <v>40</v>
      </c>
      <c r="G1900" s="19" t="s">
        <v>121</v>
      </c>
      <c r="H1900" s="19" t="s">
        <v>67</v>
      </c>
      <c r="I1900" s="19" t="s">
        <v>117</v>
      </c>
      <c r="J1900" s="20">
        <v>48</v>
      </c>
      <c r="K1900" s="34">
        <v>0</v>
      </c>
      <c r="L1900" s="34">
        <v>1</v>
      </c>
      <c r="M1900" s="19">
        <f>IF(OR(ISBLANK(C1900),C1900=""),"",ROUND((C1900-B1900)*24,2))</f>
        <v>34.6</v>
      </c>
      <c r="N1900" s="35" t="str">
        <f>IF(OR(ISBLANK(C1900),C1900="",M1900=""),"In Progress",IF(M1900&lt;=J1900,"Met","Breached"))</f>
        <v>Met</v>
      </c>
    </row>
    <row r="1901" ht="19" customHeight="1" spans="1:14" x14ac:dyDescent="0.25">
      <c r="A1901" s="22" t="s">
        <v>2015</v>
      </c>
      <c r="B1901" s="36">
        <v>46203.73611111111</v>
      </c>
      <c r="D1901" s="22" t="s">
        <v>42</v>
      </c>
      <c r="E1901" s="22" t="s">
        <v>65</v>
      </c>
      <c r="F1901" s="22" t="s">
        <v>34</v>
      </c>
      <c r="G1901" s="22" t="s">
        <v>116</v>
      </c>
      <c r="H1901" s="22" t="s">
        <v>67</v>
      </c>
      <c r="I1901" s="22" t="s">
        <v>108</v>
      </c>
      <c r="J1901" s="23">
        <v>48</v>
      </c>
      <c r="K1901" s="37">
        <v>0</v>
      </c>
      <c r="M1901" s="22" t="str">
        <f>IF(OR(ISBLANK(C1901),C1901=""),"",ROUND((C1901-B1901)*24,2))</f>
        <v/>
      </c>
      <c r="N1901" s="22" t="str">
        <f>IF(OR(ISBLANK(C1901),C1901="",M1901=""),"In Progress",IF(M1901&lt;=J1901,"Met","Breached"))</f>
        <v>In Progress</v>
      </c>
    </row>
    <row r="1902" ht="19" customHeight="1" spans="1:14" x14ac:dyDescent="0.25">
      <c r="A1902" s="19" t="s">
        <v>2016</v>
      </c>
      <c r="B1902" s="33">
        <v>45977.02083333333</v>
      </c>
      <c r="C1902" s="33">
        <v>45980.569444444445</v>
      </c>
      <c r="D1902" s="19" t="s">
        <v>33</v>
      </c>
      <c r="E1902" s="19" t="s">
        <v>65</v>
      </c>
      <c r="F1902" s="19" t="s">
        <v>45</v>
      </c>
      <c r="G1902" s="19" t="s">
        <v>126</v>
      </c>
      <c r="H1902" s="19" t="s">
        <v>63</v>
      </c>
      <c r="I1902" s="19" t="s">
        <v>111</v>
      </c>
      <c r="J1902" s="20">
        <v>48</v>
      </c>
      <c r="K1902" s="34">
        <v>0</v>
      </c>
      <c r="L1902" s="34">
        <v>5</v>
      </c>
      <c r="M1902" s="19">
        <f>IF(OR(ISBLANK(C1902),C1902=""),"",ROUND((C1902-B1902)*24,2))</f>
        <v>85.17</v>
      </c>
      <c r="N1902" s="39" t="str">
        <f>IF(OR(ISBLANK(C1902),C1902="",M1902=""),"In Progress",IF(M1902&lt;=J1902,"Met","Breached"))</f>
        <v>Breached</v>
      </c>
    </row>
    <row r="1903" ht="19" customHeight="1" spans="1:14" x14ac:dyDescent="0.25">
      <c r="A1903" s="22" t="s">
        <v>2017</v>
      </c>
      <c r="B1903" s="36">
        <v>45859.9125</v>
      </c>
      <c r="C1903" s="36">
        <v>45862.388194444444</v>
      </c>
      <c r="D1903" s="22" t="s">
        <v>36</v>
      </c>
      <c r="E1903" s="22" t="s">
        <v>65</v>
      </c>
      <c r="F1903" s="22" t="s">
        <v>37</v>
      </c>
      <c r="G1903" s="22" t="s">
        <v>63</v>
      </c>
      <c r="H1903" s="22" t="s">
        <v>59</v>
      </c>
      <c r="I1903" s="22" t="s">
        <v>147</v>
      </c>
      <c r="J1903" s="23">
        <v>48</v>
      </c>
      <c r="K1903" s="37">
        <v>0</v>
      </c>
      <c r="L1903" s="37">
        <v>1</v>
      </c>
      <c r="M1903" s="22">
        <f>IF(OR(ISBLANK(C1903),C1903=""),"",ROUND((C1903-B1903)*24,2))</f>
        <v>59.42</v>
      </c>
      <c r="N1903" s="38" t="str">
        <f>IF(OR(ISBLANK(C1903),C1903="",M1903=""),"In Progress",IF(M1903&lt;=J1903,"Met","Breached"))</f>
        <v>Breached</v>
      </c>
    </row>
    <row r="1904" ht="19" customHeight="1" spans="1:14" x14ac:dyDescent="0.25">
      <c r="A1904" s="19" t="s">
        <v>2018</v>
      </c>
      <c r="B1904" s="33">
        <v>46076.39513888889</v>
      </c>
      <c r="C1904" s="33">
        <v>46078.57361111111</v>
      </c>
      <c r="D1904" s="19" t="s">
        <v>33</v>
      </c>
      <c r="E1904" s="19" t="s">
        <v>65</v>
      </c>
      <c r="F1904" s="19" t="s">
        <v>37</v>
      </c>
      <c r="G1904" s="19" t="s">
        <v>126</v>
      </c>
      <c r="H1904" s="19" t="s">
        <v>63</v>
      </c>
      <c r="I1904" s="19" t="s">
        <v>108</v>
      </c>
      <c r="J1904" s="20">
        <v>48</v>
      </c>
      <c r="K1904" s="34">
        <v>0</v>
      </c>
      <c r="M1904" s="19">
        <f>IF(OR(ISBLANK(C1904),C1904=""),"",ROUND((C1904-B1904)*24,2))</f>
        <v>52.28</v>
      </c>
      <c r="N1904" s="39" t="str">
        <f>IF(OR(ISBLANK(C1904),C1904="",M1904=""),"In Progress",IF(M1904&lt;=J1904,"Met","Breached"))</f>
        <v>Breached</v>
      </c>
    </row>
    <row r="1905" ht="19" customHeight="1" spans="1:14" x14ac:dyDescent="0.25">
      <c r="A1905" s="22" t="s">
        <v>2019</v>
      </c>
      <c r="B1905" s="36">
        <v>46056.902083333334</v>
      </c>
      <c r="C1905" s="36">
        <v>46060.12222222222</v>
      </c>
      <c r="D1905" s="22" t="s">
        <v>36</v>
      </c>
      <c r="E1905" s="22" t="s">
        <v>69</v>
      </c>
      <c r="F1905" s="22" t="s">
        <v>37</v>
      </c>
      <c r="G1905" s="22" t="s">
        <v>116</v>
      </c>
      <c r="H1905" s="22" t="s">
        <v>71</v>
      </c>
      <c r="I1905" s="22" t="s">
        <v>114</v>
      </c>
      <c r="J1905" s="23">
        <v>120</v>
      </c>
      <c r="K1905" s="37">
        <v>0</v>
      </c>
      <c r="L1905" s="37">
        <v>4</v>
      </c>
      <c r="M1905" s="22">
        <f>IF(OR(ISBLANK(C1905),C1905=""),"",ROUND((C1905-B1905)*24,2))</f>
        <v>77.28</v>
      </c>
      <c r="N1905" s="40" t="str">
        <f>IF(OR(ISBLANK(C1905),C1905="",M1905=""),"In Progress",IF(M1905&lt;=J1905,"Met","Breached"))</f>
        <v>Met</v>
      </c>
    </row>
    <row r="1906" ht="19" customHeight="1" spans="1:14" x14ac:dyDescent="0.25">
      <c r="A1906" s="19" t="s">
        <v>2020</v>
      </c>
      <c r="B1906" s="33">
        <v>46203.836805555555</v>
      </c>
      <c r="C1906" s="33">
        <v>46206.861805555556</v>
      </c>
      <c r="D1906" s="19" t="s">
        <v>33</v>
      </c>
      <c r="E1906" s="19" t="s">
        <v>65</v>
      </c>
      <c r="F1906" s="19" t="s">
        <v>37</v>
      </c>
      <c r="G1906" s="19" t="s">
        <v>110</v>
      </c>
      <c r="H1906" s="19" t="s">
        <v>59</v>
      </c>
      <c r="I1906" s="19" t="s">
        <v>123</v>
      </c>
      <c r="J1906" s="20">
        <v>48</v>
      </c>
      <c r="K1906" s="34">
        <v>0</v>
      </c>
      <c r="L1906" s="34">
        <v>5</v>
      </c>
      <c r="M1906" s="19">
        <f>IF(OR(ISBLANK(C1906),C1906=""),"",ROUND((C1906-B1906)*24,2))</f>
        <v>72.6</v>
      </c>
      <c r="N1906" s="39" t="str">
        <f>IF(OR(ISBLANK(C1906),C1906="",M1906=""),"In Progress",IF(M1906&lt;=J1906,"Met","Breached"))</f>
        <v>Breached</v>
      </c>
    </row>
    <row r="1907" ht="19" customHeight="1" spans="1:14" x14ac:dyDescent="0.25">
      <c r="A1907" s="22" t="s">
        <v>2021</v>
      </c>
      <c r="B1907" s="36">
        <v>45737.32152777778</v>
      </c>
      <c r="C1907" s="36">
        <v>45737.56527777778</v>
      </c>
      <c r="D1907" s="22" t="s">
        <v>36</v>
      </c>
      <c r="E1907" s="22" t="s">
        <v>61</v>
      </c>
      <c r="F1907" s="22" t="s">
        <v>45</v>
      </c>
      <c r="G1907" s="22" t="s">
        <v>63</v>
      </c>
      <c r="H1907" s="22" t="s">
        <v>59</v>
      </c>
      <c r="I1907" s="22" t="s">
        <v>123</v>
      </c>
      <c r="J1907" s="23">
        <v>12</v>
      </c>
      <c r="K1907" s="37">
        <v>0</v>
      </c>
      <c r="L1907" s="37">
        <v>2</v>
      </c>
      <c r="M1907" s="22">
        <f>IF(OR(ISBLANK(C1907),C1907=""),"",ROUND((C1907-B1907)*24,2))</f>
        <v>5.85</v>
      </c>
      <c r="N1907" s="40" t="str">
        <f>IF(OR(ISBLANK(C1907),C1907="",M1907=""),"In Progress",IF(M1907&lt;=J1907,"Met","Breached"))</f>
        <v>Met</v>
      </c>
    </row>
    <row r="1908" ht="19" customHeight="1" spans="1:14" x14ac:dyDescent="0.25">
      <c r="A1908" s="19" t="s">
        <v>2022</v>
      </c>
      <c r="B1908" s="33">
        <v>45857.225</v>
      </c>
      <c r="C1908" s="33">
        <v>45857.527083333334</v>
      </c>
      <c r="D1908" s="19" t="s">
        <v>33</v>
      </c>
      <c r="E1908" s="19" t="s">
        <v>61</v>
      </c>
      <c r="F1908" s="19" t="s">
        <v>37</v>
      </c>
      <c r="G1908" s="19" t="s">
        <v>63</v>
      </c>
      <c r="H1908" s="19" t="s">
        <v>67</v>
      </c>
      <c r="I1908" s="19" t="s">
        <v>147</v>
      </c>
      <c r="J1908" s="20">
        <v>12</v>
      </c>
      <c r="K1908" s="34">
        <v>0</v>
      </c>
      <c r="L1908" s="34">
        <v>3</v>
      </c>
      <c r="M1908" s="19">
        <f>IF(OR(ISBLANK(C1908),C1908=""),"",ROUND((C1908-B1908)*24,2))</f>
        <v>7.25</v>
      </c>
      <c r="N1908" s="35" t="str">
        <f>IF(OR(ISBLANK(C1908),C1908="",M1908=""),"In Progress",IF(M1908&lt;=J1908,"Met","Breached"))</f>
        <v>Met</v>
      </c>
    </row>
    <row r="1909" ht="19" customHeight="1" spans="1:14" x14ac:dyDescent="0.25">
      <c r="A1909" s="22" t="s">
        <v>2023</v>
      </c>
      <c r="B1909" s="36">
        <v>46116.84236111111</v>
      </c>
      <c r="C1909" s="36">
        <v>46123.22152777778</v>
      </c>
      <c r="D1909" s="22" t="s">
        <v>33</v>
      </c>
      <c r="E1909" s="22" t="s">
        <v>69</v>
      </c>
      <c r="F1909" s="22" t="s">
        <v>34</v>
      </c>
      <c r="G1909" s="22" t="s">
        <v>110</v>
      </c>
      <c r="H1909" s="22" t="s">
        <v>59</v>
      </c>
      <c r="I1909" s="22" t="s">
        <v>111</v>
      </c>
      <c r="J1909" s="23">
        <v>120</v>
      </c>
      <c r="K1909" s="37">
        <v>0</v>
      </c>
      <c r="L1909" s="37">
        <v>4</v>
      </c>
      <c r="M1909" s="22">
        <f>IF(OR(ISBLANK(C1909),C1909=""),"",ROUND((C1909-B1909)*24,2))</f>
        <v>153.1</v>
      </c>
      <c r="N1909" s="38" t="str">
        <f>IF(OR(ISBLANK(C1909),C1909="",M1909=""),"In Progress",IF(M1909&lt;=J1909,"Met","Breached"))</f>
        <v>Breached</v>
      </c>
    </row>
    <row r="1910" ht="19" customHeight="1" spans="1:14" x14ac:dyDescent="0.25">
      <c r="A1910" s="19" t="s">
        <v>2024</v>
      </c>
      <c r="B1910" s="33">
        <v>45968.46527777778</v>
      </c>
      <c r="C1910" s="33">
        <v>45968.7125</v>
      </c>
      <c r="D1910" s="19" t="s">
        <v>33</v>
      </c>
      <c r="E1910" s="19" t="s">
        <v>57</v>
      </c>
      <c r="F1910" s="19" t="s">
        <v>45</v>
      </c>
      <c r="G1910" s="19" t="s">
        <v>63</v>
      </c>
      <c r="H1910" s="19" t="s">
        <v>59</v>
      </c>
      <c r="I1910" s="19" t="s">
        <v>111</v>
      </c>
      <c r="J1910" s="20">
        <v>4</v>
      </c>
      <c r="K1910" s="34">
        <v>0</v>
      </c>
      <c r="L1910" s="34">
        <v>2</v>
      </c>
      <c r="M1910" s="19">
        <f>IF(OR(ISBLANK(C1910),C1910=""),"",ROUND((C1910-B1910)*24,2))</f>
        <v>5.93</v>
      </c>
      <c r="N1910" s="39" t="str">
        <f>IF(OR(ISBLANK(C1910),C1910="",M1910=""),"In Progress",IF(M1910&lt;=J1910,"Met","Breached"))</f>
        <v>Breached</v>
      </c>
    </row>
    <row r="1911" ht="19" customHeight="1" spans="1:14" x14ac:dyDescent="0.25">
      <c r="A1911" s="22" t="s">
        <v>2025</v>
      </c>
      <c r="B1911" s="36">
        <v>45832.26111111111</v>
      </c>
      <c r="C1911" s="36">
        <v>45832.55</v>
      </c>
      <c r="D1911" s="22" t="s">
        <v>33</v>
      </c>
      <c r="E1911" s="22" t="s">
        <v>57</v>
      </c>
      <c r="F1911" s="22" t="s">
        <v>45</v>
      </c>
      <c r="G1911" s="22" t="s">
        <v>113</v>
      </c>
      <c r="H1911" s="22" t="s">
        <v>71</v>
      </c>
      <c r="I1911" s="22" t="s">
        <v>114</v>
      </c>
      <c r="J1911" s="23">
        <v>4</v>
      </c>
      <c r="K1911" s="37">
        <v>1</v>
      </c>
      <c r="L1911" s="37">
        <v>5</v>
      </c>
      <c r="M1911" s="22">
        <f>IF(OR(ISBLANK(C1911),C1911=""),"",ROUND((C1911-B1911)*24,2))</f>
        <v>6.93</v>
      </c>
      <c r="N1911" s="38" t="str">
        <f>IF(OR(ISBLANK(C1911),C1911="",M1911=""),"In Progress",IF(M1911&lt;=J1911,"Met","Breached"))</f>
        <v>Breached</v>
      </c>
    </row>
    <row r="1912" ht="19" customHeight="1" spans="1:14" x14ac:dyDescent="0.25">
      <c r="A1912" s="19" t="s">
        <v>2026</v>
      </c>
      <c r="B1912" s="33">
        <v>45782.79513888889</v>
      </c>
      <c r="C1912" s="33">
        <v>45786.87569444445</v>
      </c>
      <c r="D1912" s="19" t="s">
        <v>33</v>
      </c>
      <c r="E1912" s="19" t="s">
        <v>69</v>
      </c>
      <c r="F1912" s="19" t="s">
        <v>37</v>
      </c>
      <c r="G1912" s="19" t="s">
        <v>110</v>
      </c>
      <c r="H1912" s="19" t="s">
        <v>63</v>
      </c>
      <c r="I1912" s="19" t="s">
        <v>147</v>
      </c>
      <c r="J1912" s="20">
        <v>120</v>
      </c>
      <c r="K1912" s="34">
        <v>0</v>
      </c>
      <c r="L1912" s="34">
        <v>1</v>
      </c>
      <c r="M1912" s="19">
        <f>IF(OR(ISBLANK(C1912),C1912=""),"",ROUND((C1912-B1912)*24,2))</f>
        <v>97.93</v>
      </c>
      <c r="N1912" s="35" t="str">
        <f>IF(OR(ISBLANK(C1912),C1912="",M1912=""),"In Progress",IF(M1912&lt;=J1912,"Met","Breached"))</f>
        <v>Met</v>
      </c>
    </row>
    <row r="1913" ht="19" customHeight="1" spans="1:14" x14ac:dyDescent="0.25">
      <c r="A1913" s="22" t="s">
        <v>2027</v>
      </c>
      <c r="B1913" s="36">
        <v>45799.84513888889</v>
      </c>
      <c r="D1913" s="22" t="s">
        <v>39</v>
      </c>
      <c r="E1913" s="22" t="s">
        <v>69</v>
      </c>
      <c r="F1913" s="22" t="s">
        <v>34</v>
      </c>
      <c r="G1913" s="22" t="s">
        <v>110</v>
      </c>
      <c r="H1913" s="22" t="s">
        <v>59</v>
      </c>
      <c r="I1913" s="22" t="s">
        <v>123</v>
      </c>
      <c r="J1913" s="23">
        <v>120</v>
      </c>
      <c r="K1913" s="37">
        <v>0</v>
      </c>
      <c r="M1913" s="22" t="str">
        <f>IF(OR(ISBLANK(C1913),C1913=""),"",ROUND((C1913-B1913)*24,2))</f>
        <v/>
      </c>
      <c r="N1913" s="22" t="str">
        <f>IF(OR(ISBLANK(C1913),C1913="",M1913=""),"In Progress",IF(M1913&lt;=J1913,"Met","Breached"))</f>
        <v>In Progress</v>
      </c>
    </row>
    <row r="1914" ht="19" customHeight="1" spans="1:14" x14ac:dyDescent="0.25">
      <c r="A1914" s="19" t="s">
        <v>2028</v>
      </c>
      <c r="B1914" s="33">
        <v>45910.31111111111</v>
      </c>
      <c r="D1914" s="19" t="s">
        <v>39</v>
      </c>
      <c r="E1914" s="19" t="s">
        <v>65</v>
      </c>
      <c r="F1914" s="19" t="s">
        <v>34</v>
      </c>
      <c r="G1914" s="19" t="s">
        <v>116</v>
      </c>
      <c r="H1914" s="19" t="s">
        <v>63</v>
      </c>
      <c r="I1914" s="19" t="s">
        <v>108</v>
      </c>
      <c r="J1914" s="20">
        <v>48</v>
      </c>
      <c r="K1914" s="34">
        <v>0</v>
      </c>
      <c r="M1914" s="19" t="str">
        <f>IF(OR(ISBLANK(C1914),C1914=""),"",ROUND((C1914-B1914)*24,2))</f>
        <v/>
      </c>
      <c r="N1914" s="19" t="str">
        <f>IF(OR(ISBLANK(C1914),C1914="",M1914=""),"In Progress",IF(M1914&lt;=J1914,"Met","Breached"))</f>
        <v>In Progress</v>
      </c>
    </row>
    <row r="1915" ht="19" customHeight="1" spans="1:14" x14ac:dyDescent="0.25">
      <c r="A1915" s="22" t="s">
        <v>2029</v>
      </c>
      <c r="B1915" s="36">
        <v>45783.381944444445</v>
      </c>
      <c r="C1915" s="36">
        <v>45785.6</v>
      </c>
      <c r="D1915" s="22" t="s">
        <v>33</v>
      </c>
      <c r="E1915" s="22" t="s">
        <v>65</v>
      </c>
      <c r="F1915" s="22" t="s">
        <v>37</v>
      </c>
      <c r="G1915" s="22" t="s">
        <v>63</v>
      </c>
      <c r="H1915" s="22" t="s">
        <v>59</v>
      </c>
      <c r="I1915" s="22" t="s">
        <v>111</v>
      </c>
      <c r="J1915" s="23">
        <v>48</v>
      </c>
      <c r="K1915" s="37">
        <v>0</v>
      </c>
      <c r="L1915" s="37">
        <v>5</v>
      </c>
      <c r="M1915" s="22">
        <f>IF(OR(ISBLANK(C1915),C1915=""),"",ROUND((C1915-B1915)*24,2))</f>
        <v>53.23</v>
      </c>
      <c r="N1915" s="38" t="str">
        <f>IF(OR(ISBLANK(C1915),C1915="",M1915=""),"In Progress",IF(M1915&lt;=J1915,"Met","Breached"))</f>
        <v>Breached</v>
      </c>
    </row>
    <row r="1916" ht="19" customHeight="1" spans="1:14" x14ac:dyDescent="0.25">
      <c r="A1916" s="19" t="s">
        <v>2030</v>
      </c>
      <c r="B1916" s="33">
        <v>45789.36875</v>
      </c>
      <c r="C1916" s="33">
        <v>45793.20972222222</v>
      </c>
      <c r="D1916" s="19" t="s">
        <v>33</v>
      </c>
      <c r="E1916" s="19" t="s">
        <v>69</v>
      </c>
      <c r="F1916" s="19" t="s">
        <v>43</v>
      </c>
      <c r="G1916" s="19" t="s">
        <v>113</v>
      </c>
      <c r="H1916" s="19" t="s">
        <v>59</v>
      </c>
      <c r="I1916" s="19" t="s">
        <v>123</v>
      </c>
      <c r="J1916" s="20">
        <v>120</v>
      </c>
      <c r="K1916" s="34">
        <v>0</v>
      </c>
      <c r="M1916" s="19">
        <f>IF(OR(ISBLANK(C1916),C1916=""),"",ROUND((C1916-B1916)*24,2))</f>
        <v>92.18</v>
      </c>
      <c r="N1916" s="35" t="str">
        <f>IF(OR(ISBLANK(C1916),C1916="",M1916=""),"In Progress",IF(M1916&lt;=J1916,"Met","Breached"))</f>
        <v>Met</v>
      </c>
    </row>
    <row r="1917" ht="19" customHeight="1" spans="1:14" x14ac:dyDescent="0.25">
      <c r="A1917" s="22" t="s">
        <v>2031</v>
      </c>
      <c r="B1917" s="36">
        <v>45872.25833333333</v>
      </c>
      <c r="C1917" s="36">
        <v>45873.45694444445</v>
      </c>
      <c r="D1917" s="22" t="s">
        <v>33</v>
      </c>
      <c r="E1917" s="22" t="s">
        <v>65</v>
      </c>
      <c r="F1917" s="22" t="s">
        <v>40</v>
      </c>
      <c r="G1917" s="22" t="s">
        <v>126</v>
      </c>
      <c r="H1917" s="22" t="s">
        <v>59</v>
      </c>
      <c r="I1917" s="22" t="s">
        <v>117</v>
      </c>
      <c r="J1917" s="23">
        <v>48</v>
      </c>
      <c r="K1917" s="37">
        <v>0</v>
      </c>
      <c r="L1917" s="37">
        <v>3</v>
      </c>
      <c r="M1917" s="22">
        <f>IF(OR(ISBLANK(C1917),C1917=""),"",ROUND((C1917-B1917)*24,2))</f>
        <v>28.77</v>
      </c>
      <c r="N1917" s="40" t="str">
        <f>IF(OR(ISBLANK(C1917),C1917="",M1917=""),"In Progress",IF(M1917&lt;=J1917,"Met","Breached"))</f>
        <v>Met</v>
      </c>
    </row>
    <row r="1918" ht="19" customHeight="1" spans="1:14" x14ac:dyDescent="0.25">
      <c r="A1918" s="19" t="s">
        <v>2032</v>
      </c>
      <c r="B1918" s="33">
        <v>46243.81805555556</v>
      </c>
      <c r="C1918" s="33">
        <v>46245.62152777778</v>
      </c>
      <c r="D1918" s="19" t="s">
        <v>36</v>
      </c>
      <c r="E1918" s="19" t="s">
        <v>65</v>
      </c>
      <c r="F1918" s="19" t="s">
        <v>34</v>
      </c>
      <c r="G1918" s="19" t="s">
        <v>116</v>
      </c>
      <c r="H1918" s="19" t="s">
        <v>63</v>
      </c>
      <c r="I1918" s="19" t="s">
        <v>108</v>
      </c>
      <c r="J1918" s="20">
        <v>48</v>
      </c>
      <c r="K1918" s="34">
        <v>0</v>
      </c>
      <c r="L1918" s="34">
        <v>1</v>
      </c>
      <c r="M1918" s="19">
        <f>IF(OR(ISBLANK(C1918),C1918=""),"",ROUND((C1918-B1918)*24,2))</f>
        <v>43.28</v>
      </c>
      <c r="N1918" s="35" t="str">
        <f>IF(OR(ISBLANK(C1918),C1918="",M1918=""),"In Progress",IF(M1918&lt;=J1918,"Met","Breached"))</f>
        <v>Met</v>
      </c>
    </row>
    <row r="1919" ht="19" customHeight="1" spans="1:14" x14ac:dyDescent="0.25">
      <c r="A1919" s="22" t="s">
        <v>2033</v>
      </c>
      <c r="B1919" s="36">
        <v>45694.09930555556</v>
      </c>
      <c r="C1919" s="36">
        <v>45694.34375</v>
      </c>
      <c r="D1919" s="22" t="s">
        <v>36</v>
      </c>
      <c r="E1919" s="22" t="s">
        <v>57</v>
      </c>
      <c r="F1919" s="22" t="s">
        <v>45</v>
      </c>
      <c r="G1919" s="22" t="s">
        <v>126</v>
      </c>
      <c r="H1919" s="22" t="s">
        <v>63</v>
      </c>
      <c r="I1919" s="22" t="s">
        <v>147</v>
      </c>
      <c r="J1919" s="23">
        <v>4</v>
      </c>
      <c r="K1919" s="37">
        <v>0</v>
      </c>
      <c r="L1919" s="37">
        <v>5</v>
      </c>
      <c r="M1919" s="22">
        <f>IF(OR(ISBLANK(C1919),C1919=""),"",ROUND((C1919-B1919)*24,2))</f>
        <v>5.87</v>
      </c>
      <c r="N1919" s="38" t="str">
        <f>IF(OR(ISBLANK(C1919),C1919="",M1919=""),"In Progress",IF(M1919&lt;=J1919,"Met","Breached"))</f>
        <v>Breached</v>
      </c>
    </row>
    <row r="1920" ht="19" customHeight="1" spans="1:14" x14ac:dyDescent="0.25">
      <c r="A1920" s="19" t="s">
        <v>2034</v>
      </c>
      <c r="B1920" s="33">
        <v>45745.67152777778</v>
      </c>
      <c r="C1920" s="33">
        <v>45745.961111111115</v>
      </c>
      <c r="D1920" s="19" t="s">
        <v>33</v>
      </c>
      <c r="E1920" s="19" t="s">
        <v>57</v>
      </c>
      <c r="F1920" s="19" t="s">
        <v>40</v>
      </c>
      <c r="G1920" s="19" t="s">
        <v>126</v>
      </c>
      <c r="H1920" s="19" t="s">
        <v>59</v>
      </c>
      <c r="I1920" s="19" t="s">
        <v>147</v>
      </c>
      <c r="J1920" s="20">
        <v>4</v>
      </c>
      <c r="K1920" s="34">
        <v>0</v>
      </c>
      <c r="M1920" s="19">
        <f>IF(OR(ISBLANK(C1920),C1920=""),"",ROUND((C1920-B1920)*24,2))</f>
        <v>6.95</v>
      </c>
      <c r="N1920" s="39" t="str">
        <f>IF(OR(ISBLANK(C1920),C1920="",M1920=""),"In Progress",IF(M1920&lt;=J1920,"Met","Breached"))</f>
        <v>Breached</v>
      </c>
    </row>
    <row r="1921" ht="19" customHeight="1" spans="1:14" x14ac:dyDescent="0.25">
      <c r="A1921" s="22" t="s">
        <v>2035</v>
      </c>
      <c r="B1921" s="36">
        <v>45806.16875</v>
      </c>
      <c r="C1921" s="36">
        <v>45807.21597222222</v>
      </c>
      <c r="D1921" s="22" t="s">
        <v>33</v>
      </c>
      <c r="E1921" s="22" t="s">
        <v>65</v>
      </c>
      <c r="F1921" s="22" t="s">
        <v>45</v>
      </c>
      <c r="G1921" s="22" t="s">
        <v>110</v>
      </c>
      <c r="H1921" s="22" t="s">
        <v>63</v>
      </c>
      <c r="I1921" s="22" t="s">
        <v>111</v>
      </c>
      <c r="J1921" s="23">
        <v>48</v>
      </c>
      <c r="K1921" s="37">
        <v>0</v>
      </c>
      <c r="L1921" s="37">
        <v>4</v>
      </c>
      <c r="M1921" s="22">
        <f>IF(OR(ISBLANK(C1921),C1921=""),"",ROUND((C1921-B1921)*24,2))</f>
        <v>25.13</v>
      </c>
      <c r="N1921" s="40" t="str">
        <f>IF(OR(ISBLANK(C1921),C1921="",M1921=""),"In Progress",IF(M1921&lt;=J1921,"Met","Breached"))</f>
        <v>Met</v>
      </c>
    </row>
    <row r="1922" ht="19" customHeight="1" spans="1:14" x14ac:dyDescent="0.25">
      <c r="A1922" s="19" t="s">
        <v>2036</v>
      </c>
      <c r="B1922" s="33">
        <v>45720.79583333334</v>
      </c>
      <c r="C1922" s="33">
        <v>45728.64583333333</v>
      </c>
      <c r="D1922" s="19" t="s">
        <v>36</v>
      </c>
      <c r="E1922" s="19" t="s">
        <v>69</v>
      </c>
      <c r="F1922" s="19" t="s">
        <v>45</v>
      </c>
      <c r="G1922" s="19" t="s">
        <v>126</v>
      </c>
      <c r="H1922" s="19" t="s">
        <v>63</v>
      </c>
      <c r="I1922" s="19" t="s">
        <v>147</v>
      </c>
      <c r="J1922" s="20">
        <v>120</v>
      </c>
      <c r="K1922" s="34">
        <v>0</v>
      </c>
      <c r="L1922" s="34">
        <v>1</v>
      </c>
      <c r="M1922" s="19">
        <f>IF(OR(ISBLANK(C1922),C1922=""),"",ROUND((C1922-B1922)*24,2))</f>
        <v>188.4</v>
      </c>
      <c r="N1922" s="39" t="str">
        <f>IF(OR(ISBLANK(C1922),C1922="",M1922=""),"In Progress",IF(M1922&lt;=J1922,"Met","Breached"))</f>
        <v>Breached</v>
      </c>
    </row>
    <row r="1923" ht="19" customHeight="1" spans="1:14" x14ac:dyDescent="0.25">
      <c r="A1923" s="22" t="s">
        <v>2037</v>
      </c>
      <c r="B1923" s="36">
        <v>45715.94027777778</v>
      </c>
      <c r="C1923" s="36">
        <v>45716.35625</v>
      </c>
      <c r="D1923" s="22" t="s">
        <v>33</v>
      </c>
      <c r="E1923" s="22" t="s">
        <v>61</v>
      </c>
      <c r="F1923" s="22" t="s">
        <v>43</v>
      </c>
      <c r="G1923" s="22" t="s">
        <v>110</v>
      </c>
      <c r="H1923" s="22" t="s">
        <v>59</v>
      </c>
      <c r="I1923" s="22" t="s">
        <v>111</v>
      </c>
      <c r="J1923" s="23">
        <v>12</v>
      </c>
      <c r="K1923" s="37">
        <v>0</v>
      </c>
      <c r="L1923" s="37">
        <v>5</v>
      </c>
      <c r="M1923" s="22">
        <f>IF(OR(ISBLANK(C1923),C1923=""),"",ROUND((C1923-B1923)*24,2))</f>
        <v>9.98</v>
      </c>
      <c r="N1923" s="40" t="str">
        <f>IF(OR(ISBLANK(C1923),C1923="",M1923=""),"In Progress",IF(M1923&lt;=J1923,"Met","Breached"))</f>
        <v>Met</v>
      </c>
    </row>
    <row r="1924" ht="19" customHeight="1" spans="1:14" x14ac:dyDescent="0.25">
      <c r="A1924" s="19" t="s">
        <v>2038</v>
      </c>
      <c r="B1924" s="33">
        <v>45834.23611111111</v>
      </c>
      <c r="C1924" s="33">
        <v>45836.663888888885</v>
      </c>
      <c r="D1924" s="19" t="s">
        <v>33</v>
      </c>
      <c r="E1924" s="19" t="s">
        <v>65</v>
      </c>
      <c r="F1924" s="19" t="s">
        <v>37</v>
      </c>
      <c r="G1924" s="19" t="s">
        <v>113</v>
      </c>
      <c r="H1924" s="19" t="s">
        <v>59</v>
      </c>
      <c r="I1924" s="19" t="s">
        <v>114</v>
      </c>
      <c r="J1924" s="20">
        <v>48</v>
      </c>
      <c r="K1924" s="34">
        <v>0</v>
      </c>
      <c r="L1924" s="34">
        <v>1</v>
      </c>
      <c r="M1924" s="19">
        <f>IF(OR(ISBLANK(C1924),C1924=""),"",ROUND((C1924-B1924)*24,2))</f>
        <v>58.27</v>
      </c>
      <c r="N1924" s="39" t="str">
        <f>IF(OR(ISBLANK(C1924),C1924="",M1924=""),"In Progress",IF(M1924&lt;=J1924,"Met","Breached"))</f>
        <v>Breached</v>
      </c>
    </row>
    <row r="1925" ht="19" customHeight="1" spans="1:14" x14ac:dyDescent="0.25">
      <c r="A1925" s="22" t="s">
        <v>2039</v>
      </c>
      <c r="B1925" s="36">
        <v>46270.13541666667</v>
      </c>
      <c r="C1925" s="36">
        <v>46271.47986111111</v>
      </c>
      <c r="D1925" s="22" t="s">
        <v>36</v>
      </c>
      <c r="E1925" s="22" t="s">
        <v>65</v>
      </c>
      <c r="F1925" s="22" t="s">
        <v>45</v>
      </c>
      <c r="G1925" s="22" t="s">
        <v>113</v>
      </c>
      <c r="H1925" s="22" t="s">
        <v>59</v>
      </c>
      <c r="I1925" s="22" t="s">
        <v>108</v>
      </c>
      <c r="J1925" s="23">
        <v>48</v>
      </c>
      <c r="K1925" s="37">
        <v>0</v>
      </c>
      <c r="M1925" s="22">
        <f>IF(OR(ISBLANK(C1925),C1925=""),"",ROUND((C1925-B1925)*24,2))</f>
        <v>32.27</v>
      </c>
      <c r="N1925" s="40" t="str">
        <f>IF(OR(ISBLANK(C1925),C1925="",M1925=""),"In Progress",IF(M1925&lt;=J1925,"Met","Breached"))</f>
        <v>Met</v>
      </c>
    </row>
    <row r="1926" ht="19" customHeight="1" spans="1:14" x14ac:dyDescent="0.25">
      <c r="A1926" s="19" t="s">
        <v>2040</v>
      </c>
      <c r="B1926" s="33">
        <v>45845.18402777778</v>
      </c>
      <c r="D1926" s="19" t="s">
        <v>39</v>
      </c>
      <c r="E1926" s="19" t="s">
        <v>61</v>
      </c>
      <c r="F1926" s="19" t="s">
        <v>34</v>
      </c>
      <c r="G1926" s="19" t="s">
        <v>63</v>
      </c>
      <c r="H1926" s="19" t="s">
        <v>59</v>
      </c>
      <c r="I1926" s="19" t="s">
        <v>114</v>
      </c>
      <c r="J1926" s="20">
        <v>12</v>
      </c>
      <c r="K1926" s="34">
        <v>0</v>
      </c>
      <c r="M1926" s="19" t="str">
        <f>IF(OR(ISBLANK(C1926),C1926=""),"",ROUND((C1926-B1926)*24,2))</f>
        <v/>
      </c>
      <c r="N1926" s="19" t="str">
        <f>IF(OR(ISBLANK(C1926),C1926="",M1926=""),"In Progress",IF(M1926&lt;=J1926,"Met","Breached"))</f>
        <v>In Progress</v>
      </c>
    </row>
    <row r="1927" ht="19" customHeight="1" spans="1:14" x14ac:dyDescent="0.25">
      <c r="A1927" s="22" t="s">
        <v>2041</v>
      </c>
      <c r="B1927" s="36">
        <v>45743.26527777778</v>
      </c>
      <c r="C1927" s="36">
        <v>45749.59305555555</v>
      </c>
      <c r="D1927" s="22" t="s">
        <v>33</v>
      </c>
      <c r="E1927" s="22" t="s">
        <v>69</v>
      </c>
      <c r="F1927" s="22" t="s">
        <v>45</v>
      </c>
      <c r="G1927" s="22" t="s">
        <v>116</v>
      </c>
      <c r="H1927" s="22" t="s">
        <v>59</v>
      </c>
      <c r="I1927" s="22" t="s">
        <v>147</v>
      </c>
      <c r="J1927" s="23">
        <v>120</v>
      </c>
      <c r="K1927" s="37">
        <v>0</v>
      </c>
      <c r="L1927" s="37">
        <v>4</v>
      </c>
      <c r="M1927" s="22">
        <f>IF(OR(ISBLANK(C1927),C1927=""),"",ROUND((C1927-B1927)*24,2))</f>
        <v>151.87</v>
      </c>
      <c r="N1927" s="38" t="str">
        <f>IF(OR(ISBLANK(C1927),C1927="",M1927=""),"In Progress",IF(M1927&lt;=J1927,"Met","Breached"))</f>
        <v>Breached</v>
      </c>
    </row>
    <row r="1928" ht="19" customHeight="1" spans="1:14" x14ac:dyDescent="0.25">
      <c r="A1928" s="19" t="s">
        <v>2042</v>
      </c>
      <c r="B1928" s="33">
        <v>46250.09375</v>
      </c>
      <c r="C1928" s="33">
        <v>46250.35625</v>
      </c>
      <c r="D1928" s="19" t="s">
        <v>33</v>
      </c>
      <c r="E1928" s="19" t="s">
        <v>61</v>
      </c>
      <c r="F1928" s="19" t="s">
        <v>45</v>
      </c>
      <c r="G1928" s="19" t="s">
        <v>110</v>
      </c>
      <c r="H1928" s="19" t="s">
        <v>59</v>
      </c>
      <c r="I1928" s="19" t="s">
        <v>108</v>
      </c>
      <c r="J1928" s="20">
        <v>12</v>
      </c>
      <c r="K1928" s="34">
        <v>0</v>
      </c>
      <c r="M1928" s="19">
        <f>IF(OR(ISBLANK(C1928),C1928=""),"",ROUND((C1928-B1928)*24,2))</f>
        <v>6.3</v>
      </c>
      <c r="N1928" s="35" t="str">
        <f>IF(OR(ISBLANK(C1928),C1928="",M1928=""),"In Progress",IF(M1928&lt;=J1928,"Met","Breached"))</f>
        <v>Met</v>
      </c>
    </row>
    <row r="1929" ht="19" customHeight="1" spans="1:14" x14ac:dyDescent="0.25">
      <c r="A1929" s="22" t="s">
        <v>2043</v>
      </c>
      <c r="B1929" s="36">
        <v>45784.586111111115</v>
      </c>
      <c r="C1929" s="36">
        <v>45789.413194444445</v>
      </c>
      <c r="D1929" s="22" t="s">
        <v>36</v>
      </c>
      <c r="E1929" s="22" t="s">
        <v>69</v>
      </c>
      <c r="F1929" s="22" t="s">
        <v>43</v>
      </c>
      <c r="G1929" s="22" t="s">
        <v>110</v>
      </c>
      <c r="H1929" s="22" t="s">
        <v>59</v>
      </c>
      <c r="I1929" s="22" t="s">
        <v>117</v>
      </c>
      <c r="J1929" s="23">
        <v>120</v>
      </c>
      <c r="K1929" s="37">
        <v>0</v>
      </c>
      <c r="L1929" s="37">
        <v>1</v>
      </c>
      <c r="M1929" s="22">
        <f>IF(OR(ISBLANK(C1929),C1929=""),"",ROUND((C1929-B1929)*24,2))</f>
        <v>115.85</v>
      </c>
      <c r="N1929" s="40" t="str">
        <f>IF(OR(ISBLANK(C1929),C1929="",M1929=""),"In Progress",IF(M1929&lt;=J1929,"Met","Breached"))</f>
        <v>Met</v>
      </c>
    </row>
    <row r="1930" ht="19" customHeight="1" spans="1:14" x14ac:dyDescent="0.25">
      <c r="A1930" s="19" t="s">
        <v>2044</v>
      </c>
      <c r="B1930" s="33">
        <v>45682.75902777778</v>
      </c>
      <c r="C1930" s="33">
        <v>45687.75486111111</v>
      </c>
      <c r="D1930" s="19" t="s">
        <v>36</v>
      </c>
      <c r="E1930" s="19" t="s">
        <v>69</v>
      </c>
      <c r="F1930" s="19" t="s">
        <v>40</v>
      </c>
      <c r="G1930" s="19" t="s">
        <v>113</v>
      </c>
      <c r="H1930" s="19" t="s">
        <v>71</v>
      </c>
      <c r="I1930" s="19" t="s">
        <v>117</v>
      </c>
      <c r="J1930" s="20">
        <v>120</v>
      </c>
      <c r="K1930" s="34">
        <v>0</v>
      </c>
      <c r="L1930" s="34">
        <v>3</v>
      </c>
      <c r="M1930" s="19">
        <f>IF(OR(ISBLANK(C1930),C1930=""),"",ROUND((C1930-B1930)*24,2))</f>
        <v>119.9</v>
      </c>
      <c r="N1930" s="35" t="str">
        <f>IF(OR(ISBLANK(C1930),C1930="",M1930=""),"In Progress",IF(M1930&lt;=J1930,"Met","Breached"))</f>
        <v>Met</v>
      </c>
    </row>
    <row r="1931" ht="19" customHeight="1" spans="1:14" x14ac:dyDescent="0.25">
      <c r="A1931" s="22" t="s">
        <v>2045</v>
      </c>
      <c r="B1931" s="36">
        <v>45829.50069444445</v>
      </c>
      <c r="D1931" s="22" t="s">
        <v>42</v>
      </c>
      <c r="E1931" s="22" t="s">
        <v>65</v>
      </c>
      <c r="F1931" s="22" t="s">
        <v>37</v>
      </c>
      <c r="G1931" s="22" t="s">
        <v>110</v>
      </c>
      <c r="H1931" s="22" t="s">
        <v>59</v>
      </c>
      <c r="I1931" s="22" t="s">
        <v>147</v>
      </c>
      <c r="J1931" s="23">
        <v>48</v>
      </c>
      <c r="K1931" s="37">
        <v>0</v>
      </c>
      <c r="M1931" s="22" t="str">
        <f>IF(OR(ISBLANK(C1931),C1931=""),"",ROUND((C1931-B1931)*24,2))</f>
        <v/>
      </c>
      <c r="N1931" s="22" t="str">
        <f>IF(OR(ISBLANK(C1931),C1931="",M1931=""),"In Progress",IF(M1931&lt;=J1931,"Met","Breached"))</f>
        <v>In Progress</v>
      </c>
    </row>
    <row r="1932" ht="19" customHeight="1" spans="1:14" x14ac:dyDescent="0.25">
      <c r="A1932" s="19" t="s">
        <v>2046</v>
      </c>
      <c r="B1932" s="33">
        <v>46103.538888888885</v>
      </c>
      <c r="C1932" s="33">
        <v>46106.91875</v>
      </c>
      <c r="D1932" s="19" t="s">
        <v>33</v>
      </c>
      <c r="E1932" s="19" t="s">
        <v>65</v>
      </c>
      <c r="F1932" s="19" t="s">
        <v>45</v>
      </c>
      <c r="G1932" s="19" t="s">
        <v>63</v>
      </c>
      <c r="H1932" s="19" t="s">
        <v>59</v>
      </c>
      <c r="I1932" s="19" t="s">
        <v>123</v>
      </c>
      <c r="J1932" s="20">
        <v>48</v>
      </c>
      <c r="K1932" s="34">
        <v>0</v>
      </c>
      <c r="M1932" s="19">
        <f>IF(OR(ISBLANK(C1932),C1932=""),"",ROUND((C1932-B1932)*24,2))</f>
        <v>81.12</v>
      </c>
      <c r="N1932" s="39" t="str">
        <f>IF(OR(ISBLANK(C1932),C1932="",M1932=""),"In Progress",IF(M1932&lt;=J1932,"Met","Breached"))</f>
        <v>Breached</v>
      </c>
    </row>
    <row r="1933" ht="19" customHeight="1" spans="1:14" x14ac:dyDescent="0.25">
      <c r="A1933" s="22" t="s">
        <v>2047</v>
      </c>
      <c r="B1933" s="36">
        <v>46069.91875</v>
      </c>
      <c r="D1933" s="22" t="s">
        <v>39</v>
      </c>
      <c r="E1933" s="22" t="s">
        <v>69</v>
      </c>
      <c r="F1933" s="22" t="s">
        <v>40</v>
      </c>
      <c r="G1933" s="22" t="s">
        <v>121</v>
      </c>
      <c r="H1933" s="22" t="s">
        <v>63</v>
      </c>
      <c r="I1933" s="22" t="s">
        <v>108</v>
      </c>
      <c r="J1933" s="23">
        <v>120</v>
      </c>
      <c r="K1933" s="37">
        <v>0</v>
      </c>
      <c r="M1933" s="22" t="str">
        <f>IF(OR(ISBLANK(C1933),C1933=""),"",ROUND((C1933-B1933)*24,2))</f>
        <v/>
      </c>
      <c r="N1933" s="22" t="str">
        <f>IF(OR(ISBLANK(C1933),C1933="",M1933=""),"In Progress",IF(M1933&lt;=J1933,"Met","Breached"))</f>
        <v>In Progress</v>
      </c>
    </row>
    <row r="1934" ht="19" customHeight="1" spans="1:14" x14ac:dyDescent="0.25">
      <c r="A1934" s="19" t="s">
        <v>2048</v>
      </c>
      <c r="B1934" s="33">
        <v>45981.16736111111</v>
      </c>
      <c r="D1934" s="19" t="s">
        <v>39</v>
      </c>
      <c r="E1934" s="19" t="s">
        <v>61</v>
      </c>
      <c r="F1934" s="19" t="s">
        <v>37</v>
      </c>
      <c r="G1934" s="19" t="s">
        <v>116</v>
      </c>
      <c r="H1934" s="19" t="s">
        <v>63</v>
      </c>
      <c r="I1934" s="19" t="s">
        <v>123</v>
      </c>
      <c r="J1934" s="20">
        <v>12</v>
      </c>
      <c r="K1934" s="34">
        <v>0</v>
      </c>
      <c r="M1934" s="19" t="str">
        <f>IF(OR(ISBLANK(C1934),C1934=""),"",ROUND((C1934-B1934)*24,2))</f>
        <v/>
      </c>
      <c r="N1934" s="19" t="str">
        <f>IF(OR(ISBLANK(C1934),C1934="",M1934=""),"In Progress",IF(M1934&lt;=J1934,"Met","Breached"))</f>
        <v>In Progress</v>
      </c>
    </row>
    <row r="1935" ht="19" customHeight="1" spans="1:14" x14ac:dyDescent="0.25">
      <c r="A1935" s="22" t="s">
        <v>2049</v>
      </c>
      <c r="B1935" s="36">
        <v>46141.93402777778</v>
      </c>
      <c r="C1935" s="36">
        <v>46146.58125</v>
      </c>
      <c r="D1935" s="22" t="s">
        <v>33</v>
      </c>
      <c r="E1935" s="22" t="s">
        <v>69</v>
      </c>
      <c r="F1935" s="22" t="s">
        <v>45</v>
      </c>
      <c r="G1935" s="22" t="s">
        <v>63</v>
      </c>
      <c r="H1935" s="22" t="s">
        <v>71</v>
      </c>
      <c r="I1935" s="22" t="s">
        <v>114</v>
      </c>
      <c r="J1935" s="23">
        <v>120</v>
      </c>
      <c r="K1935" s="37">
        <v>0</v>
      </c>
      <c r="L1935" s="37">
        <v>3</v>
      </c>
      <c r="M1935" s="22">
        <f>IF(OR(ISBLANK(C1935),C1935=""),"",ROUND((C1935-B1935)*24,2))</f>
        <v>111.53</v>
      </c>
      <c r="N1935" s="40" t="str">
        <f>IF(OR(ISBLANK(C1935),C1935="",M1935=""),"In Progress",IF(M1935&lt;=J1935,"Met","Breached"))</f>
        <v>Met</v>
      </c>
    </row>
    <row r="1936" ht="19" customHeight="1" spans="1:14" x14ac:dyDescent="0.25">
      <c r="A1936" s="19" t="s">
        <v>2050</v>
      </c>
      <c r="B1936" s="33">
        <v>45746.30694444444</v>
      </c>
      <c r="C1936" s="33">
        <v>45747.92013888889</v>
      </c>
      <c r="D1936" s="19" t="s">
        <v>33</v>
      </c>
      <c r="E1936" s="19" t="s">
        <v>69</v>
      </c>
      <c r="F1936" s="19" t="s">
        <v>34</v>
      </c>
      <c r="G1936" s="19" t="s">
        <v>63</v>
      </c>
      <c r="H1936" s="19" t="s">
        <v>59</v>
      </c>
      <c r="I1936" s="19" t="s">
        <v>123</v>
      </c>
      <c r="J1936" s="20">
        <v>120</v>
      </c>
      <c r="K1936" s="34">
        <v>1</v>
      </c>
      <c r="L1936" s="34">
        <v>1</v>
      </c>
      <c r="M1936" s="19">
        <f>IF(OR(ISBLANK(C1936),C1936=""),"",ROUND((C1936-B1936)*24,2))</f>
        <v>38.72</v>
      </c>
      <c r="N1936" s="35" t="str">
        <f>IF(OR(ISBLANK(C1936),C1936="",M1936=""),"In Progress",IF(M1936&lt;=J1936,"Met","Breached"))</f>
        <v>Met</v>
      </c>
    </row>
    <row r="1937" ht="19" customHeight="1" spans="1:14" x14ac:dyDescent="0.25">
      <c r="A1937" s="22" t="s">
        <v>2051</v>
      </c>
      <c r="B1937" s="36">
        <v>45709.26666666666</v>
      </c>
      <c r="C1937" s="36">
        <v>45711.16180555556</v>
      </c>
      <c r="D1937" s="22" t="s">
        <v>33</v>
      </c>
      <c r="E1937" s="22" t="s">
        <v>65</v>
      </c>
      <c r="F1937" s="22" t="s">
        <v>37</v>
      </c>
      <c r="G1937" s="22" t="s">
        <v>110</v>
      </c>
      <c r="H1937" s="22" t="s">
        <v>63</v>
      </c>
      <c r="I1937" s="22" t="s">
        <v>114</v>
      </c>
      <c r="J1937" s="23">
        <v>48</v>
      </c>
      <c r="K1937" s="37">
        <v>0</v>
      </c>
      <c r="L1937" s="37">
        <v>3</v>
      </c>
      <c r="M1937" s="22">
        <f>IF(OR(ISBLANK(C1937),C1937=""),"",ROUND((C1937-B1937)*24,2))</f>
        <v>45.48</v>
      </c>
      <c r="N1937" s="40" t="str">
        <f>IF(OR(ISBLANK(C1937),C1937="",M1937=""),"In Progress",IF(M1937&lt;=J1937,"Met","Breached"))</f>
        <v>Met</v>
      </c>
    </row>
    <row r="1938" ht="19" customHeight="1" spans="1:14" x14ac:dyDescent="0.25">
      <c r="A1938" s="19" t="s">
        <v>2052</v>
      </c>
      <c r="B1938" s="33">
        <v>45970.33125</v>
      </c>
      <c r="C1938" s="33">
        <v>45970.459027777775</v>
      </c>
      <c r="D1938" s="19" t="s">
        <v>36</v>
      </c>
      <c r="E1938" s="19" t="s">
        <v>57</v>
      </c>
      <c r="F1938" s="19" t="s">
        <v>37</v>
      </c>
      <c r="G1938" s="19" t="s">
        <v>113</v>
      </c>
      <c r="H1938" s="19" t="s">
        <v>63</v>
      </c>
      <c r="I1938" s="19" t="s">
        <v>114</v>
      </c>
      <c r="J1938" s="20">
        <v>4</v>
      </c>
      <c r="K1938" s="34">
        <v>0</v>
      </c>
      <c r="L1938" s="34">
        <v>2</v>
      </c>
      <c r="M1938" s="19">
        <f>IF(OR(ISBLANK(C1938),C1938=""),"",ROUND((C1938-B1938)*24,2))</f>
        <v>3.07</v>
      </c>
      <c r="N1938" s="35" t="str">
        <f>IF(OR(ISBLANK(C1938),C1938="",M1938=""),"In Progress",IF(M1938&lt;=J1938,"Met","Breached"))</f>
        <v>Met</v>
      </c>
    </row>
    <row r="1939" ht="19" customHeight="1" spans="1:14" x14ac:dyDescent="0.25">
      <c r="A1939" s="22" t="s">
        <v>2053</v>
      </c>
      <c r="B1939" s="36">
        <v>46023.12569444445</v>
      </c>
      <c r="C1939" s="36">
        <v>46024.945138888885</v>
      </c>
      <c r="D1939" s="22" t="s">
        <v>33</v>
      </c>
      <c r="E1939" s="22" t="s">
        <v>65</v>
      </c>
      <c r="F1939" s="22" t="s">
        <v>40</v>
      </c>
      <c r="G1939" s="22" t="s">
        <v>126</v>
      </c>
      <c r="H1939" s="22" t="s">
        <v>63</v>
      </c>
      <c r="I1939" s="22" t="s">
        <v>117</v>
      </c>
      <c r="J1939" s="23">
        <v>48</v>
      </c>
      <c r="K1939" s="37">
        <v>0</v>
      </c>
      <c r="L1939" s="37">
        <v>1</v>
      </c>
      <c r="M1939" s="22">
        <f>IF(OR(ISBLANK(C1939),C1939=""),"",ROUND((C1939-B1939)*24,2))</f>
        <v>43.67</v>
      </c>
      <c r="N1939" s="40" t="str">
        <f>IF(OR(ISBLANK(C1939),C1939="",M1939=""),"In Progress",IF(M1939&lt;=J1939,"Met","Breached"))</f>
        <v>Met</v>
      </c>
    </row>
    <row r="1940" ht="19" customHeight="1" spans="1:14" x14ac:dyDescent="0.25">
      <c r="A1940" s="19" t="s">
        <v>2054</v>
      </c>
      <c r="B1940" s="33">
        <v>45936.82361111111</v>
      </c>
      <c r="D1940" s="19" t="s">
        <v>39</v>
      </c>
      <c r="E1940" s="19" t="s">
        <v>65</v>
      </c>
      <c r="F1940" s="19" t="s">
        <v>37</v>
      </c>
      <c r="G1940" s="19" t="s">
        <v>110</v>
      </c>
      <c r="H1940" s="19" t="s">
        <v>71</v>
      </c>
      <c r="I1940" s="19" t="s">
        <v>147</v>
      </c>
      <c r="J1940" s="20">
        <v>48</v>
      </c>
      <c r="K1940" s="34">
        <v>0</v>
      </c>
      <c r="M1940" s="19" t="str">
        <f>IF(OR(ISBLANK(C1940),C1940=""),"",ROUND((C1940-B1940)*24,2))</f>
        <v/>
      </c>
      <c r="N1940" s="19" t="str">
        <f>IF(OR(ISBLANK(C1940),C1940="",M1940=""),"In Progress",IF(M1940&lt;=J1940,"Met","Breached"))</f>
        <v>In Progress</v>
      </c>
    </row>
    <row r="1941" ht="19" customHeight="1" spans="1:14" x14ac:dyDescent="0.25">
      <c r="A1941" s="22" t="s">
        <v>2055</v>
      </c>
      <c r="B1941" s="36">
        <v>45832.40972222222</v>
      </c>
      <c r="C1941" s="36">
        <v>45832.69583333333</v>
      </c>
      <c r="D1941" s="22" t="s">
        <v>33</v>
      </c>
      <c r="E1941" s="22" t="s">
        <v>61</v>
      </c>
      <c r="F1941" s="22" t="s">
        <v>40</v>
      </c>
      <c r="G1941" s="22" t="s">
        <v>113</v>
      </c>
      <c r="H1941" s="22" t="s">
        <v>63</v>
      </c>
      <c r="I1941" s="22" t="s">
        <v>111</v>
      </c>
      <c r="J1941" s="23">
        <v>12</v>
      </c>
      <c r="K1941" s="37">
        <v>0</v>
      </c>
      <c r="L1941" s="37">
        <v>3</v>
      </c>
      <c r="M1941" s="22">
        <f>IF(OR(ISBLANK(C1941),C1941=""),"",ROUND((C1941-B1941)*24,2))</f>
        <v>6.87</v>
      </c>
      <c r="N1941" s="40" t="str">
        <f>IF(OR(ISBLANK(C1941),C1941="",M1941=""),"In Progress",IF(M1941&lt;=J1941,"Met","Breached"))</f>
        <v>Met</v>
      </c>
    </row>
    <row r="1942" ht="19" customHeight="1" spans="1:14" x14ac:dyDescent="0.25">
      <c r="A1942" s="19" t="s">
        <v>2056</v>
      </c>
      <c r="B1942" s="33">
        <v>45871.54236111111</v>
      </c>
      <c r="C1942" s="33">
        <v>45873.62013888889</v>
      </c>
      <c r="D1942" s="19" t="s">
        <v>33</v>
      </c>
      <c r="E1942" s="19" t="s">
        <v>65</v>
      </c>
      <c r="F1942" s="19" t="s">
        <v>37</v>
      </c>
      <c r="G1942" s="19" t="s">
        <v>121</v>
      </c>
      <c r="H1942" s="19" t="s">
        <v>59</v>
      </c>
      <c r="I1942" s="19" t="s">
        <v>147</v>
      </c>
      <c r="J1942" s="20">
        <v>48</v>
      </c>
      <c r="K1942" s="34">
        <v>1</v>
      </c>
      <c r="L1942" s="34">
        <v>2</v>
      </c>
      <c r="M1942" s="19">
        <f>IF(OR(ISBLANK(C1942),C1942=""),"",ROUND((C1942-B1942)*24,2))</f>
        <v>49.87</v>
      </c>
      <c r="N1942" s="39" t="str">
        <f>IF(OR(ISBLANK(C1942),C1942="",M1942=""),"In Progress",IF(M1942&lt;=J1942,"Met","Breached"))</f>
        <v>Breached</v>
      </c>
    </row>
    <row r="1943" ht="19" customHeight="1" spans="1:14" x14ac:dyDescent="0.25">
      <c r="A1943" s="22" t="s">
        <v>2057</v>
      </c>
      <c r="B1943" s="36">
        <v>46140.17569444445</v>
      </c>
      <c r="D1943" s="22" t="s">
        <v>42</v>
      </c>
      <c r="E1943" s="22" t="s">
        <v>69</v>
      </c>
      <c r="F1943" s="22" t="s">
        <v>37</v>
      </c>
      <c r="G1943" s="22" t="s">
        <v>116</v>
      </c>
      <c r="H1943" s="22" t="s">
        <v>63</v>
      </c>
      <c r="I1943" s="22" t="s">
        <v>111</v>
      </c>
      <c r="J1943" s="23">
        <v>120</v>
      </c>
      <c r="K1943" s="37">
        <v>0</v>
      </c>
      <c r="M1943" s="22" t="str">
        <f>IF(OR(ISBLANK(C1943),C1943=""),"",ROUND((C1943-B1943)*24,2))</f>
        <v/>
      </c>
      <c r="N1943" s="22" t="str">
        <f>IF(OR(ISBLANK(C1943),C1943="",M1943=""),"In Progress",IF(M1943&lt;=J1943,"Met","Breached"))</f>
        <v>In Progress</v>
      </c>
    </row>
    <row r="1944" ht="19" customHeight="1" spans="1:14" x14ac:dyDescent="0.25">
      <c r="A1944" s="19" t="s">
        <v>2058</v>
      </c>
      <c r="B1944" s="33">
        <v>46226.615277777775</v>
      </c>
      <c r="D1944" s="19" t="s">
        <v>39</v>
      </c>
      <c r="E1944" s="19" t="s">
        <v>65</v>
      </c>
      <c r="F1944" s="19" t="s">
        <v>40</v>
      </c>
      <c r="G1944" s="19" t="s">
        <v>126</v>
      </c>
      <c r="H1944" s="19" t="s">
        <v>59</v>
      </c>
      <c r="I1944" s="19" t="s">
        <v>147</v>
      </c>
      <c r="J1944" s="20">
        <v>48</v>
      </c>
      <c r="K1944" s="34">
        <v>0</v>
      </c>
      <c r="M1944" s="19" t="str">
        <f>IF(OR(ISBLANK(C1944),C1944=""),"",ROUND((C1944-B1944)*24,2))</f>
        <v/>
      </c>
      <c r="N1944" s="19" t="str">
        <f>IF(OR(ISBLANK(C1944),C1944="",M1944=""),"In Progress",IF(M1944&lt;=J1944,"Met","Breached"))</f>
        <v>In Progress</v>
      </c>
    </row>
    <row r="1945" ht="19" customHeight="1" spans="1:14" x14ac:dyDescent="0.25">
      <c r="A1945" s="22" t="s">
        <v>2059</v>
      </c>
      <c r="B1945" s="36">
        <v>45900.67083333334</v>
      </c>
      <c r="C1945" s="36">
        <v>45901.209027777775</v>
      </c>
      <c r="D1945" s="22" t="s">
        <v>36</v>
      </c>
      <c r="E1945" s="22" t="s">
        <v>61</v>
      </c>
      <c r="F1945" s="22" t="s">
        <v>40</v>
      </c>
      <c r="G1945" s="22" t="s">
        <v>126</v>
      </c>
      <c r="H1945" s="22" t="s">
        <v>71</v>
      </c>
      <c r="I1945" s="22" t="s">
        <v>108</v>
      </c>
      <c r="J1945" s="23">
        <v>12</v>
      </c>
      <c r="K1945" s="37">
        <v>0</v>
      </c>
      <c r="L1945" s="37">
        <v>5</v>
      </c>
      <c r="M1945" s="22">
        <f>IF(OR(ISBLANK(C1945),C1945=""),"",ROUND((C1945-B1945)*24,2))</f>
        <v>12.92</v>
      </c>
      <c r="N1945" s="38" t="str">
        <f>IF(OR(ISBLANK(C1945),C1945="",M1945=""),"In Progress",IF(M1945&lt;=J1945,"Met","Breached"))</f>
        <v>Breached</v>
      </c>
    </row>
    <row r="1946" ht="19" customHeight="1" spans="1:14" x14ac:dyDescent="0.25">
      <c r="A1946" s="19" t="s">
        <v>2060</v>
      </c>
      <c r="B1946" s="33">
        <v>46104.12361111111</v>
      </c>
      <c r="C1946" s="33">
        <v>46104.50138888889</v>
      </c>
      <c r="D1946" s="19" t="s">
        <v>33</v>
      </c>
      <c r="E1946" s="19" t="s">
        <v>61</v>
      </c>
      <c r="F1946" s="19" t="s">
        <v>40</v>
      </c>
      <c r="G1946" s="19" t="s">
        <v>116</v>
      </c>
      <c r="H1946" s="19" t="s">
        <v>59</v>
      </c>
      <c r="I1946" s="19" t="s">
        <v>114</v>
      </c>
      <c r="J1946" s="20">
        <v>12</v>
      </c>
      <c r="K1946" s="34">
        <v>0</v>
      </c>
      <c r="M1946" s="19">
        <f>IF(OR(ISBLANK(C1946),C1946=""),"",ROUND((C1946-B1946)*24,2))</f>
        <v>9.07</v>
      </c>
      <c r="N1946" s="35" t="str">
        <f>IF(OR(ISBLANK(C1946),C1946="",M1946=""),"In Progress",IF(M1946&lt;=J1946,"Met","Breached"))</f>
        <v>Met</v>
      </c>
    </row>
    <row r="1947" ht="19" customHeight="1" spans="1:14" x14ac:dyDescent="0.25">
      <c r="A1947" s="22" t="s">
        <v>2061</v>
      </c>
      <c r="B1947" s="36">
        <v>45785.16666666667</v>
      </c>
      <c r="C1947" s="36">
        <v>45788.525</v>
      </c>
      <c r="D1947" s="22" t="s">
        <v>33</v>
      </c>
      <c r="E1947" s="22" t="s">
        <v>65</v>
      </c>
      <c r="F1947" s="22" t="s">
        <v>34</v>
      </c>
      <c r="G1947" s="22" t="s">
        <v>121</v>
      </c>
      <c r="H1947" s="22" t="s">
        <v>67</v>
      </c>
      <c r="I1947" s="22" t="s">
        <v>111</v>
      </c>
      <c r="J1947" s="23">
        <v>48</v>
      </c>
      <c r="K1947" s="37">
        <v>0</v>
      </c>
      <c r="L1947" s="37">
        <v>2</v>
      </c>
      <c r="M1947" s="22">
        <f>IF(OR(ISBLANK(C1947),C1947=""),"",ROUND((C1947-B1947)*24,2))</f>
        <v>80.6</v>
      </c>
      <c r="N1947" s="38" t="str">
        <f>IF(OR(ISBLANK(C1947),C1947="",M1947=""),"In Progress",IF(M1947&lt;=J1947,"Met","Breached"))</f>
        <v>Breached</v>
      </c>
    </row>
    <row r="1948" ht="19" customHeight="1" spans="1:14" x14ac:dyDescent="0.25">
      <c r="A1948" s="19" t="s">
        <v>2062</v>
      </c>
      <c r="B1948" s="33">
        <v>45690.351388888885</v>
      </c>
      <c r="C1948" s="33">
        <v>45692.28263888889</v>
      </c>
      <c r="D1948" s="19" t="s">
        <v>36</v>
      </c>
      <c r="E1948" s="19" t="s">
        <v>65</v>
      </c>
      <c r="F1948" s="19" t="s">
        <v>34</v>
      </c>
      <c r="G1948" s="19" t="s">
        <v>110</v>
      </c>
      <c r="H1948" s="19" t="s">
        <v>63</v>
      </c>
      <c r="I1948" s="19" t="s">
        <v>114</v>
      </c>
      <c r="J1948" s="20">
        <v>48</v>
      </c>
      <c r="K1948" s="34">
        <v>1</v>
      </c>
      <c r="L1948" s="34">
        <v>5</v>
      </c>
      <c r="M1948" s="19">
        <f>IF(OR(ISBLANK(C1948),C1948=""),"",ROUND((C1948-B1948)*24,2))</f>
        <v>46.35</v>
      </c>
      <c r="N1948" s="35" t="str">
        <f>IF(OR(ISBLANK(C1948),C1948="",M1948=""),"In Progress",IF(M1948&lt;=J1948,"Met","Breached"))</f>
        <v>Met</v>
      </c>
    </row>
    <row r="1949" ht="19" customHeight="1" spans="1:14" x14ac:dyDescent="0.25">
      <c r="A1949" s="22" t="s">
        <v>2063</v>
      </c>
      <c r="B1949" s="36">
        <v>45883.96527777778</v>
      </c>
      <c r="C1949" s="36">
        <v>45884.14791666667</v>
      </c>
      <c r="D1949" s="22" t="s">
        <v>33</v>
      </c>
      <c r="E1949" s="22" t="s">
        <v>61</v>
      </c>
      <c r="F1949" s="22" t="s">
        <v>37</v>
      </c>
      <c r="G1949" s="22" t="s">
        <v>110</v>
      </c>
      <c r="H1949" s="22" t="s">
        <v>67</v>
      </c>
      <c r="I1949" s="22" t="s">
        <v>111</v>
      </c>
      <c r="J1949" s="23">
        <v>12</v>
      </c>
      <c r="K1949" s="37">
        <v>0</v>
      </c>
      <c r="L1949" s="37">
        <v>2</v>
      </c>
      <c r="M1949" s="22">
        <f>IF(OR(ISBLANK(C1949),C1949=""),"",ROUND((C1949-B1949)*24,2))</f>
        <v>4.38</v>
      </c>
      <c r="N1949" s="40" t="str">
        <f>IF(OR(ISBLANK(C1949),C1949="",M1949=""),"In Progress",IF(M1949&lt;=J1949,"Met","Breached"))</f>
        <v>Met</v>
      </c>
    </row>
    <row r="1950" ht="19" customHeight="1" spans="1:14" x14ac:dyDescent="0.25">
      <c r="A1950" s="19" t="s">
        <v>2064</v>
      </c>
      <c r="B1950" s="33">
        <v>45918.76458333334</v>
      </c>
      <c r="C1950" s="33">
        <v>45923.03472222222</v>
      </c>
      <c r="D1950" s="19" t="s">
        <v>33</v>
      </c>
      <c r="E1950" s="19" t="s">
        <v>69</v>
      </c>
      <c r="F1950" s="19" t="s">
        <v>43</v>
      </c>
      <c r="G1950" s="19" t="s">
        <v>121</v>
      </c>
      <c r="H1950" s="19" t="s">
        <v>59</v>
      </c>
      <c r="I1950" s="19" t="s">
        <v>117</v>
      </c>
      <c r="J1950" s="20">
        <v>120</v>
      </c>
      <c r="K1950" s="34">
        <v>0</v>
      </c>
      <c r="M1950" s="19">
        <f>IF(OR(ISBLANK(C1950),C1950=""),"",ROUND((C1950-B1950)*24,2))</f>
        <v>102.48</v>
      </c>
      <c r="N1950" s="35" t="str">
        <f>IF(OR(ISBLANK(C1950),C1950="",M1950=""),"In Progress",IF(M1950&lt;=J1950,"Met","Breached"))</f>
        <v>Met</v>
      </c>
    </row>
    <row r="1951" ht="19" customHeight="1" spans="1:14" x14ac:dyDescent="0.25">
      <c r="A1951" s="22" t="s">
        <v>2065</v>
      </c>
      <c r="B1951" s="36">
        <v>46066.20138888889</v>
      </c>
      <c r="C1951" s="36">
        <v>46069.65416666667</v>
      </c>
      <c r="D1951" s="22" t="s">
        <v>33</v>
      </c>
      <c r="E1951" s="22" t="s">
        <v>65</v>
      </c>
      <c r="F1951" s="22" t="s">
        <v>34</v>
      </c>
      <c r="G1951" s="22" t="s">
        <v>116</v>
      </c>
      <c r="H1951" s="22" t="s">
        <v>67</v>
      </c>
      <c r="I1951" s="22" t="s">
        <v>108</v>
      </c>
      <c r="J1951" s="23">
        <v>48</v>
      </c>
      <c r="K1951" s="37">
        <v>0</v>
      </c>
      <c r="L1951" s="37">
        <v>3</v>
      </c>
      <c r="M1951" s="22">
        <f>IF(OR(ISBLANK(C1951),C1951=""),"",ROUND((C1951-B1951)*24,2))</f>
        <v>82.87</v>
      </c>
      <c r="N1951" s="38" t="str">
        <f>IF(OR(ISBLANK(C1951),C1951="",M1951=""),"In Progress",IF(M1951&lt;=J1951,"Met","Breached"))</f>
        <v>Breached</v>
      </c>
    </row>
    <row r="1952" ht="19" customHeight="1" spans="1:14" x14ac:dyDescent="0.25">
      <c r="A1952" s="19" t="s">
        <v>2066</v>
      </c>
      <c r="B1952" s="33">
        <v>45987.870833333334</v>
      </c>
      <c r="C1952" s="33">
        <v>45990.419444444444</v>
      </c>
      <c r="D1952" s="19" t="s">
        <v>33</v>
      </c>
      <c r="E1952" s="19" t="s">
        <v>65</v>
      </c>
      <c r="F1952" s="19" t="s">
        <v>34</v>
      </c>
      <c r="G1952" s="19" t="s">
        <v>113</v>
      </c>
      <c r="H1952" s="19" t="s">
        <v>59</v>
      </c>
      <c r="I1952" s="19" t="s">
        <v>117</v>
      </c>
      <c r="J1952" s="20">
        <v>48</v>
      </c>
      <c r="K1952" s="34">
        <v>0</v>
      </c>
      <c r="L1952" s="34">
        <v>2</v>
      </c>
      <c r="M1952" s="19">
        <f>IF(OR(ISBLANK(C1952),C1952=""),"",ROUND((C1952-B1952)*24,2))</f>
        <v>61.17</v>
      </c>
      <c r="N1952" s="39" t="str">
        <f>IF(OR(ISBLANK(C1952),C1952="",M1952=""),"In Progress",IF(M1952&lt;=J1952,"Met","Breached"))</f>
        <v>Breached</v>
      </c>
    </row>
    <row r="1953" ht="19" customHeight="1" spans="1:14" x14ac:dyDescent="0.25">
      <c r="A1953" s="22" t="s">
        <v>2067</v>
      </c>
      <c r="B1953" s="36">
        <v>45935.74930555555</v>
      </c>
      <c r="C1953" s="36">
        <v>45937.79027777778</v>
      </c>
      <c r="D1953" s="22" t="s">
        <v>36</v>
      </c>
      <c r="E1953" s="22" t="s">
        <v>65</v>
      </c>
      <c r="F1953" s="22" t="s">
        <v>37</v>
      </c>
      <c r="G1953" s="22" t="s">
        <v>110</v>
      </c>
      <c r="H1953" s="22" t="s">
        <v>71</v>
      </c>
      <c r="I1953" s="22" t="s">
        <v>117</v>
      </c>
      <c r="J1953" s="23">
        <v>48</v>
      </c>
      <c r="K1953" s="37">
        <v>0</v>
      </c>
      <c r="L1953" s="37">
        <v>4</v>
      </c>
      <c r="M1953" s="22">
        <f>IF(OR(ISBLANK(C1953),C1953=""),"",ROUND((C1953-B1953)*24,2))</f>
        <v>48.98</v>
      </c>
      <c r="N1953" s="38" t="str">
        <f>IF(OR(ISBLANK(C1953),C1953="",M1953=""),"In Progress",IF(M1953&lt;=J1953,"Met","Breached"))</f>
        <v>Breached</v>
      </c>
    </row>
    <row r="1954" ht="19" customHeight="1" spans="1:14" x14ac:dyDescent="0.25">
      <c r="A1954" s="19" t="s">
        <v>2068</v>
      </c>
      <c r="B1954" s="33">
        <v>46143.80416666667</v>
      </c>
      <c r="C1954" s="33">
        <v>46143.94791666667</v>
      </c>
      <c r="D1954" s="19" t="s">
        <v>33</v>
      </c>
      <c r="E1954" s="19" t="s">
        <v>57</v>
      </c>
      <c r="F1954" s="19" t="s">
        <v>45</v>
      </c>
      <c r="G1954" s="19" t="s">
        <v>110</v>
      </c>
      <c r="H1954" s="19" t="s">
        <v>63</v>
      </c>
      <c r="I1954" s="19" t="s">
        <v>114</v>
      </c>
      <c r="J1954" s="20">
        <v>4</v>
      </c>
      <c r="K1954" s="34">
        <v>0</v>
      </c>
      <c r="L1954" s="34">
        <v>3</v>
      </c>
      <c r="M1954" s="19">
        <f>IF(OR(ISBLANK(C1954),C1954=""),"",ROUND((C1954-B1954)*24,2))</f>
        <v>3.45</v>
      </c>
      <c r="N1954" s="35" t="str">
        <f>IF(OR(ISBLANK(C1954),C1954="",M1954=""),"In Progress",IF(M1954&lt;=J1954,"Met","Breached"))</f>
        <v>Met</v>
      </c>
    </row>
    <row r="1955" ht="19" customHeight="1" spans="1:14" x14ac:dyDescent="0.25">
      <c r="A1955" s="22" t="s">
        <v>2069</v>
      </c>
      <c r="B1955" s="36">
        <v>45974.80069444445</v>
      </c>
      <c r="C1955" s="36">
        <v>45976.01944444445</v>
      </c>
      <c r="D1955" s="22" t="s">
        <v>36</v>
      </c>
      <c r="E1955" s="22" t="s">
        <v>65</v>
      </c>
      <c r="F1955" s="22" t="s">
        <v>45</v>
      </c>
      <c r="G1955" s="22" t="s">
        <v>121</v>
      </c>
      <c r="H1955" s="22" t="s">
        <v>71</v>
      </c>
      <c r="I1955" s="22" t="s">
        <v>123</v>
      </c>
      <c r="J1955" s="23">
        <v>48</v>
      </c>
      <c r="K1955" s="37">
        <v>1</v>
      </c>
      <c r="M1955" s="22">
        <f>IF(OR(ISBLANK(C1955),C1955=""),"",ROUND((C1955-B1955)*24,2))</f>
        <v>29.25</v>
      </c>
      <c r="N1955" s="40" t="str">
        <f>IF(OR(ISBLANK(C1955),C1955="",M1955=""),"In Progress",IF(M1955&lt;=J1955,"Met","Breached"))</f>
        <v>Met</v>
      </c>
    </row>
    <row r="1956" ht="19" customHeight="1" spans="1:14" x14ac:dyDescent="0.25">
      <c r="A1956" s="19" t="s">
        <v>2070</v>
      </c>
      <c r="B1956" s="33">
        <v>46284.69791666667</v>
      </c>
      <c r="C1956" s="33">
        <v>46286.93680555555</v>
      </c>
      <c r="D1956" s="19" t="s">
        <v>36</v>
      </c>
      <c r="E1956" s="19" t="s">
        <v>65</v>
      </c>
      <c r="F1956" s="19" t="s">
        <v>34</v>
      </c>
      <c r="G1956" s="19" t="s">
        <v>126</v>
      </c>
      <c r="H1956" s="19" t="s">
        <v>67</v>
      </c>
      <c r="I1956" s="19" t="s">
        <v>117</v>
      </c>
      <c r="J1956" s="20">
        <v>48</v>
      </c>
      <c r="K1956" s="34">
        <v>0</v>
      </c>
      <c r="M1956" s="19">
        <f>IF(OR(ISBLANK(C1956),C1956=""),"",ROUND((C1956-B1956)*24,2))</f>
        <v>53.73</v>
      </c>
      <c r="N1956" s="39" t="str">
        <f>IF(OR(ISBLANK(C1956),C1956="",M1956=""),"In Progress",IF(M1956&lt;=J1956,"Met","Breached"))</f>
        <v>Breached</v>
      </c>
    </row>
    <row r="1957" ht="19" customHeight="1" spans="1:14" x14ac:dyDescent="0.25">
      <c r="A1957" s="22" t="s">
        <v>2071</v>
      </c>
      <c r="B1957" s="36">
        <v>46222.16527777778</v>
      </c>
      <c r="C1957" s="36">
        <v>46227.513194444444</v>
      </c>
      <c r="D1957" s="22" t="s">
        <v>33</v>
      </c>
      <c r="E1957" s="22" t="s">
        <v>69</v>
      </c>
      <c r="F1957" s="22" t="s">
        <v>37</v>
      </c>
      <c r="G1957" s="22" t="s">
        <v>63</v>
      </c>
      <c r="H1957" s="22" t="s">
        <v>67</v>
      </c>
      <c r="I1957" s="22" t="s">
        <v>123</v>
      </c>
      <c r="J1957" s="23">
        <v>120</v>
      </c>
      <c r="K1957" s="37">
        <v>0</v>
      </c>
      <c r="L1957" s="37">
        <v>3</v>
      </c>
      <c r="M1957" s="22">
        <f>IF(OR(ISBLANK(C1957),C1957=""),"",ROUND((C1957-B1957)*24,2))</f>
        <v>128.35</v>
      </c>
      <c r="N1957" s="38" t="str">
        <f>IF(OR(ISBLANK(C1957),C1957="",M1957=""),"In Progress",IF(M1957&lt;=J1957,"Met","Breached"))</f>
        <v>Breached</v>
      </c>
    </row>
    <row r="1958" ht="19" customHeight="1" spans="1:14" x14ac:dyDescent="0.25">
      <c r="A1958" s="19" t="s">
        <v>2072</v>
      </c>
      <c r="B1958" s="33">
        <v>46259.492361111115</v>
      </c>
      <c r="D1958" s="19" t="s">
        <v>42</v>
      </c>
      <c r="E1958" s="19" t="s">
        <v>61</v>
      </c>
      <c r="F1958" s="19" t="s">
        <v>34</v>
      </c>
      <c r="G1958" s="19" t="s">
        <v>121</v>
      </c>
      <c r="H1958" s="19" t="s">
        <v>59</v>
      </c>
      <c r="I1958" s="19" t="s">
        <v>108</v>
      </c>
      <c r="J1958" s="20">
        <v>12</v>
      </c>
      <c r="K1958" s="34">
        <v>0</v>
      </c>
      <c r="M1958" s="19" t="str">
        <f>IF(OR(ISBLANK(C1958),C1958=""),"",ROUND((C1958-B1958)*24,2))</f>
        <v/>
      </c>
      <c r="N1958" s="19" t="str">
        <f>IF(OR(ISBLANK(C1958),C1958="",M1958=""),"In Progress",IF(M1958&lt;=J1958,"Met","Breached"))</f>
        <v>In Progress</v>
      </c>
    </row>
    <row r="1959" ht="19" customHeight="1" spans="1:14" x14ac:dyDescent="0.25">
      <c r="A1959" s="22" t="s">
        <v>2073</v>
      </c>
      <c r="B1959" s="36">
        <v>45686.56597222222</v>
      </c>
      <c r="C1959" s="36">
        <v>45689.93888888889</v>
      </c>
      <c r="D1959" s="22" t="s">
        <v>36</v>
      </c>
      <c r="E1959" s="22" t="s">
        <v>65</v>
      </c>
      <c r="F1959" s="22" t="s">
        <v>43</v>
      </c>
      <c r="G1959" s="22" t="s">
        <v>113</v>
      </c>
      <c r="H1959" s="22" t="s">
        <v>67</v>
      </c>
      <c r="I1959" s="22" t="s">
        <v>114</v>
      </c>
      <c r="J1959" s="23">
        <v>48</v>
      </c>
      <c r="K1959" s="37">
        <v>0</v>
      </c>
      <c r="L1959" s="37">
        <v>4</v>
      </c>
      <c r="M1959" s="22">
        <f>IF(OR(ISBLANK(C1959),C1959=""),"",ROUND((C1959-B1959)*24,2))</f>
        <v>80.95</v>
      </c>
      <c r="N1959" s="38" t="str">
        <f>IF(OR(ISBLANK(C1959),C1959="",M1959=""),"In Progress",IF(M1959&lt;=J1959,"Met","Breached"))</f>
        <v>Breached</v>
      </c>
    </row>
    <row r="1960" ht="19" customHeight="1" spans="1:14" x14ac:dyDescent="0.25">
      <c r="A1960" s="19" t="s">
        <v>2074</v>
      </c>
      <c r="B1960" s="33">
        <v>45743.90486111111</v>
      </c>
      <c r="C1960" s="33">
        <v>45745.930555555555</v>
      </c>
      <c r="D1960" s="19" t="s">
        <v>33</v>
      </c>
      <c r="E1960" s="19" t="s">
        <v>65</v>
      </c>
      <c r="F1960" s="19" t="s">
        <v>45</v>
      </c>
      <c r="G1960" s="19" t="s">
        <v>116</v>
      </c>
      <c r="H1960" s="19" t="s">
        <v>59</v>
      </c>
      <c r="I1960" s="19" t="s">
        <v>123</v>
      </c>
      <c r="J1960" s="20">
        <v>48</v>
      </c>
      <c r="K1960" s="34">
        <v>1</v>
      </c>
      <c r="M1960" s="19">
        <f>IF(OR(ISBLANK(C1960),C1960=""),"",ROUND((C1960-B1960)*24,2))</f>
        <v>48.62</v>
      </c>
      <c r="N1960" s="39" t="str">
        <f>IF(OR(ISBLANK(C1960),C1960="",M1960=""),"In Progress",IF(M1960&lt;=J1960,"Met","Breached"))</f>
        <v>Breached</v>
      </c>
    </row>
    <row r="1961" ht="19" customHeight="1" spans="1:14" x14ac:dyDescent="0.25">
      <c r="A1961" s="22" t="s">
        <v>2075</v>
      </c>
      <c r="B1961" s="36">
        <v>46117.29513888889</v>
      </c>
      <c r="C1961" s="36">
        <v>46117.92638888889</v>
      </c>
      <c r="D1961" s="22" t="s">
        <v>36</v>
      </c>
      <c r="E1961" s="22" t="s">
        <v>65</v>
      </c>
      <c r="F1961" s="22" t="s">
        <v>45</v>
      </c>
      <c r="G1961" s="22" t="s">
        <v>116</v>
      </c>
      <c r="H1961" s="22" t="s">
        <v>59</v>
      </c>
      <c r="I1961" s="22" t="s">
        <v>117</v>
      </c>
      <c r="J1961" s="23">
        <v>48</v>
      </c>
      <c r="K1961" s="37">
        <v>0</v>
      </c>
      <c r="L1961" s="37">
        <v>2</v>
      </c>
      <c r="M1961" s="22">
        <f>IF(OR(ISBLANK(C1961),C1961=""),"",ROUND((C1961-B1961)*24,2))</f>
        <v>15.15</v>
      </c>
      <c r="N1961" s="40" t="str">
        <f>IF(OR(ISBLANK(C1961),C1961="",M1961=""),"In Progress",IF(M1961&lt;=J1961,"Met","Breached"))</f>
        <v>Met</v>
      </c>
    </row>
    <row r="1962" ht="19" customHeight="1" spans="1:14" x14ac:dyDescent="0.25">
      <c r="A1962" s="19" t="s">
        <v>2076</v>
      </c>
      <c r="B1962" s="33">
        <v>46138.12638888889</v>
      </c>
      <c r="C1962" s="33">
        <v>46141.361805555556</v>
      </c>
      <c r="D1962" s="19" t="s">
        <v>33</v>
      </c>
      <c r="E1962" s="19" t="s">
        <v>69</v>
      </c>
      <c r="F1962" s="19" t="s">
        <v>34</v>
      </c>
      <c r="G1962" s="19" t="s">
        <v>63</v>
      </c>
      <c r="H1962" s="19" t="s">
        <v>71</v>
      </c>
      <c r="I1962" s="19" t="s">
        <v>114</v>
      </c>
      <c r="J1962" s="20">
        <v>120</v>
      </c>
      <c r="K1962" s="34">
        <v>0</v>
      </c>
      <c r="M1962" s="19">
        <f>IF(OR(ISBLANK(C1962),C1962=""),"",ROUND((C1962-B1962)*24,2))</f>
        <v>77.65</v>
      </c>
      <c r="N1962" s="35" t="str">
        <f>IF(OR(ISBLANK(C1962),C1962="",M1962=""),"In Progress",IF(M1962&lt;=J1962,"Met","Breached"))</f>
        <v>Met</v>
      </c>
    </row>
    <row r="1963" ht="19" customHeight="1" spans="1:14" x14ac:dyDescent="0.25">
      <c r="A1963" s="22" t="s">
        <v>2077</v>
      </c>
      <c r="B1963" s="36">
        <v>46254.81111111111</v>
      </c>
      <c r="C1963" s="36">
        <v>46254.975694444445</v>
      </c>
      <c r="D1963" s="22" t="s">
        <v>33</v>
      </c>
      <c r="E1963" s="22" t="s">
        <v>61</v>
      </c>
      <c r="F1963" s="22" t="s">
        <v>34</v>
      </c>
      <c r="G1963" s="22" t="s">
        <v>110</v>
      </c>
      <c r="H1963" s="22" t="s">
        <v>71</v>
      </c>
      <c r="I1963" s="22" t="s">
        <v>147</v>
      </c>
      <c r="J1963" s="23">
        <v>12</v>
      </c>
      <c r="K1963" s="37">
        <v>0</v>
      </c>
      <c r="L1963" s="37">
        <v>2</v>
      </c>
      <c r="M1963" s="22">
        <f>IF(OR(ISBLANK(C1963),C1963=""),"",ROUND((C1963-B1963)*24,2))</f>
        <v>3.95</v>
      </c>
      <c r="N1963" s="40" t="str">
        <f>IF(OR(ISBLANK(C1963),C1963="",M1963=""),"In Progress",IF(M1963&lt;=J1963,"Met","Breached"))</f>
        <v>Met</v>
      </c>
    </row>
    <row r="1964" ht="19" customHeight="1" spans="1:14" x14ac:dyDescent="0.25">
      <c r="A1964" s="19" t="s">
        <v>2078</v>
      </c>
      <c r="B1964" s="33">
        <v>45807.84861111111</v>
      </c>
      <c r="C1964" s="33">
        <v>45810.15069444444</v>
      </c>
      <c r="D1964" s="19" t="s">
        <v>36</v>
      </c>
      <c r="E1964" s="19" t="s">
        <v>69</v>
      </c>
      <c r="F1964" s="19" t="s">
        <v>40</v>
      </c>
      <c r="G1964" s="19" t="s">
        <v>121</v>
      </c>
      <c r="H1964" s="19" t="s">
        <v>67</v>
      </c>
      <c r="I1964" s="19" t="s">
        <v>114</v>
      </c>
      <c r="J1964" s="20">
        <v>120</v>
      </c>
      <c r="K1964" s="34">
        <v>0</v>
      </c>
      <c r="M1964" s="19">
        <f>IF(OR(ISBLANK(C1964),C1964=""),"",ROUND((C1964-B1964)*24,2))</f>
        <v>55.25</v>
      </c>
      <c r="N1964" s="35" t="str">
        <f>IF(OR(ISBLANK(C1964),C1964="",M1964=""),"In Progress",IF(M1964&lt;=J1964,"Met","Breached"))</f>
        <v>Met</v>
      </c>
    </row>
    <row r="1965" ht="19" customHeight="1" spans="1:14" x14ac:dyDescent="0.25">
      <c r="A1965" s="22" t="s">
        <v>2079</v>
      </c>
      <c r="B1965" s="36">
        <v>46112.11319444445</v>
      </c>
      <c r="C1965" s="36">
        <v>46112.88055555556</v>
      </c>
      <c r="D1965" s="22" t="s">
        <v>33</v>
      </c>
      <c r="E1965" s="22" t="s">
        <v>61</v>
      </c>
      <c r="F1965" s="22" t="s">
        <v>40</v>
      </c>
      <c r="G1965" s="22" t="s">
        <v>63</v>
      </c>
      <c r="H1965" s="22" t="s">
        <v>59</v>
      </c>
      <c r="I1965" s="22" t="s">
        <v>117</v>
      </c>
      <c r="J1965" s="23">
        <v>12</v>
      </c>
      <c r="K1965" s="37">
        <v>0</v>
      </c>
      <c r="L1965" s="37">
        <v>3</v>
      </c>
      <c r="M1965" s="22">
        <f>IF(OR(ISBLANK(C1965),C1965=""),"",ROUND((C1965-B1965)*24,2))</f>
        <v>18.42</v>
      </c>
      <c r="N1965" s="38" t="str">
        <f>IF(OR(ISBLANK(C1965),C1965="",M1965=""),"In Progress",IF(M1965&lt;=J1965,"Met","Breached"))</f>
        <v>Breached</v>
      </c>
    </row>
    <row r="1966" ht="19" customHeight="1" spans="1:14" x14ac:dyDescent="0.25">
      <c r="A1966" s="19" t="s">
        <v>2080</v>
      </c>
      <c r="B1966" s="33">
        <v>45894.32361111111</v>
      </c>
      <c r="D1966" s="19" t="s">
        <v>42</v>
      </c>
      <c r="E1966" s="19" t="s">
        <v>65</v>
      </c>
      <c r="F1966" s="19" t="s">
        <v>37</v>
      </c>
      <c r="G1966" s="19" t="s">
        <v>63</v>
      </c>
      <c r="H1966" s="19" t="s">
        <v>63</v>
      </c>
      <c r="I1966" s="19" t="s">
        <v>111</v>
      </c>
      <c r="J1966" s="20">
        <v>48</v>
      </c>
      <c r="K1966" s="34">
        <v>0</v>
      </c>
      <c r="M1966" s="19" t="str">
        <f>IF(OR(ISBLANK(C1966),C1966=""),"",ROUND((C1966-B1966)*24,2))</f>
        <v/>
      </c>
      <c r="N1966" s="19" t="str">
        <f>IF(OR(ISBLANK(C1966),C1966="",M1966=""),"In Progress",IF(M1966&lt;=J1966,"Met","Breached"))</f>
        <v>In Progress</v>
      </c>
    </row>
    <row r="1967" ht="19" customHeight="1" spans="1:14" x14ac:dyDescent="0.25">
      <c r="A1967" s="22" t="s">
        <v>2081</v>
      </c>
      <c r="B1967" s="36">
        <v>45998.461111111115</v>
      </c>
      <c r="C1967" s="36">
        <v>46004.92569444445</v>
      </c>
      <c r="D1967" s="22" t="s">
        <v>33</v>
      </c>
      <c r="E1967" s="22" t="s">
        <v>69</v>
      </c>
      <c r="F1967" s="22" t="s">
        <v>45</v>
      </c>
      <c r="G1967" s="22" t="s">
        <v>113</v>
      </c>
      <c r="H1967" s="22" t="s">
        <v>71</v>
      </c>
      <c r="I1967" s="22" t="s">
        <v>147</v>
      </c>
      <c r="J1967" s="23">
        <v>120</v>
      </c>
      <c r="K1967" s="37">
        <v>0</v>
      </c>
      <c r="L1967" s="37">
        <v>2</v>
      </c>
      <c r="M1967" s="22">
        <f>IF(OR(ISBLANK(C1967),C1967=""),"",ROUND((C1967-B1967)*24,2))</f>
        <v>155.15</v>
      </c>
      <c r="N1967" s="38" t="str">
        <f>IF(OR(ISBLANK(C1967),C1967="",M1967=""),"In Progress",IF(M1967&lt;=J1967,"Met","Breached"))</f>
        <v>Breached</v>
      </c>
    </row>
    <row r="1968" ht="19" customHeight="1" spans="1:14" x14ac:dyDescent="0.25">
      <c r="A1968" s="19" t="s">
        <v>2082</v>
      </c>
      <c r="B1968" s="33">
        <v>45733.93819444445</v>
      </c>
      <c r="C1968" s="33">
        <v>45737.94652777778</v>
      </c>
      <c r="D1968" s="19" t="s">
        <v>36</v>
      </c>
      <c r="E1968" s="19" t="s">
        <v>69</v>
      </c>
      <c r="F1968" s="19" t="s">
        <v>37</v>
      </c>
      <c r="G1968" s="19" t="s">
        <v>121</v>
      </c>
      <c r="H1968" s="19" t="s">
        <v>71</v>
      </c>
      <c r="I1968" s="19" t="s">
        <v>114</v>
      </c>
      <c r="J1968" s="20">
        <v>120</v>
      </c>
      <c r="K1968" s="34">
        <v>0</v>
      </c>
      <c r="L1968" s="34">
        <v>1</v>
      </c>
      <c r="M1968" s="19">
        <f>IF(OR(ISBLANK(C1968),C1968=""),"",ROUND((C1968-B1968)*24,2))</f>
        <v>96.2</v>
      </c>
      <c r="N1968" s="35" t="str">
        <f>IF(OR(ISBLANK(C1968),C1968="",M1968=""),"In Progress",IF(M1968&lt;=J1968,"Met","Breached"))</f>
        <v>Met</v>
      </c>
    </row>
    <row r="1969" ht="19" customHeight="1" spans="1:14" x14ac:dyDescent="0.25">
      <c r="A1969" s="22" t="s">
        <v>2083</v>
      </c>
      <c r="B1969" s="36">
        <v>46130.97708333333</v>
      </c>
      <c r="C1969" s="36">
        <v>46131.61458333333</v>
      </c>
      <c r="D1969" s="22" t="s">
        <v>33</v>
      </c>
      <c r="E1969" s="22" t="s">
        <v>61</v>
      </c>
      <c r="F1969" s="22" t="s">
        <v>37</v>
      </c>
      <c r="G1969" s="22" t="s">
        <v>63</v>
      </c>
      <c r="H1969" s="22" t="s">
        <v>71</v>
      </c>
      <c r="I1969" s="22" t="s">
        <v>123</v>
      </c>
      <c r="J1969" s="23">
        <v>12</v>
      </c>
      <c r="K1969" s="37">
        <v>0</v>
      </c>
      <c r="M1969" s="22">
        <f>IF(OR(ISBLANK(C1969),C1969=""),"",ROUND((C1969-B1969)*24,2))</f>
        <v>15.3</v>
      </c>
      <c r="N1969" s="38" t="str">
        <f>IF(OR(ISBLANK(C1969),C1969="",M1969=""),"In Progress",IF(M1969&lt;=J1969,"Met","Breached"))</f>
        <v>Breached</v>
      </c>
    </row>
    <row r="1970" ht="19" customHeight="1" spans="1:14" x14ac:dyDescent="0.25">
      <c r="A1970" s="19" t="s">
        <v>2084</v>
      </c>
      <c r="B1970" s="33">
        <v>45986.77986111111</v>
      </c>
      <c r="C1970" s="33">
        <v>45990.131944444445</v>
      </c>
      <c r="D1970" s="19" t="s">
        <v>33</v>
      </c>
      <c r="E1970" s="19" t="s">
        <v>65</v>
      </c>
      <c r="F1970" s="19" t="s">
        <v>34</v>
      </c>
      <c r="G1970" s="19" t="s">
        <v>110</v>
      </c>
      <c r="H1970" s="19" t="s">
        <v>59</v>
      </c>
      <c r="I1970" s="19" t="s">
        <v>147</v>
      </c>
      <c r="J1970" s="20">
        <v>48</v>
      </c>
      <c r="K1970" s="34">
        <v>0</v>
      </c>
      <c r="L1970" s="34">
        <v>4</v>
      </c>
      <c r="M1970" s="19">
        <f>IF(OR(ISBLANK(C1970),C1970=""),"",ROUND((C1970-B1970)*24,2))</f>
        <v>80.45</v>
      </c>
      <c r="N1970" s="39" t="str">
        <f>IF(OR(ISBLANK(C1970),C1970="",M1970=""),"In Progress",IF(M1970&lt;=J1970,"Met","Breached"))</f>
        <v>Breached</v>
      </c>
    </row>
    <row r="1971" ht="19" customHeight="1" spans="1:14" x14ac:dyDescent="0.25">
      <c r="A1971" s="22" t="s">
        <v>2085</v>
      </c>
      <c r="B1971" s="36">
        <v>46138.03611111111</v>
      </c>
      <c r="C1971" s="36">
        <v>46141.19236111111</v>
      </c>
      <c r="D1971" s="22" t="s">
        <v>36</v>
      </c>
      <c r="E1971" s="22" t="s">
        <v>65</v>
      </c>
      <c r="F1971" s="22" t="s">
        <v>45</v>
      </c>
      <c r="G1971" s="22" t="s">
        <v>63</v>
      </c>
      <c r="H1971" s="22" t="s">
        <v>59</v>
      </c>
      <c r="I1971" s="22" t="s">
        <v>108</v>
      </c>
      <c r="J1971" s="23">
        <v>48</v>
      </c>
      <c r="K1971" s="37">
        <v>0</v>
      </c>
      <c r="L1971" s="37">
        <v>2</v>
      </c>
      <c r="M1971" s="22">
        <f>IF(OR(ISBLANK(C1971),C1971=""),"",ROUND((C1971-B1971)*24,2))</f>
        <v>75.75</v>
      </c>
      <c r="N1971" s="38" t="str">
        <f>IF(OR(ISBLANK(C1971),C1971="",M1971=""),"In Progress",IF(M1971&lt;=J1971,"Met","Breached"))</f>
        <v>Breached</v>
      </c>
    </row>
    <row r="1972" ht="19" customHeight="1" spans="1:14" x14ac:dyDescent="0.25">
      <c r="A1972" s="19" t="s">
        <v>2086</v>
      </c>
      <c r="B1972" s="33">
        <v>45670.59166666667</v>
      </c>
      <c r="C1972" s="33">
        <v>45674.03958333333</v>
      </c>
      <c r="D1972" s="19" t="s">
        <v>36</v>
      </c>
      <c r="E1972" s="19" t="s">
        <v>69</v>
      </c>
      <c r="F1972" s="19" t="s">
        <v>43</v>
      </c>
      <c r="G1972" s="19" t="s">
        <v>126</v>
      </c>
      <c r="H1972" s="19" t="s">
        <v>59</v>
      </c>
      <c r="I1972" s="19" t="s">
        <v>123</v>
      </c>
      <c r="J1972" s="20">
        <v>120</v>
      </c>
      <c r="K1972" s="34">
        <v>0</v>
      </c>
      <c r="L1972" s="34">
        <v>1</v>
      </c>
      <c r="M1972" s="19">
        <f>IF(OR(ISBLANK(C1972),C1972=""),"",ROUND((C1972-B1972)*24,2))</f>
        <v>82.75</v>
      </c>
      <c r="N1972" s="35" t="str">
        <f>IF(OR(ISBLANK(C1972),C1972="",M1972=""),"In Progress",IF(M1972&lt;=J1972,"Met","Breached"))</f>
        <v>Met</v>
      </c>
    </row>
    <row r="1973" ht="19" customHeight="1" spans="1:14" x14ac:dyDescent="0.25">
      <c r="A1973" s="22" t="s">
        <v>2087</v>
      </c>
      <c r="B1973" s="36">
        <v>46218.27013888889</v>
      </c>
      <c r="C1973" s="36">
        <v>46219.825</v>
      </c>
      <c r="D1973" s="22" t="s">
        <v>33</v>
      </c>
      <c r="E1973" s="22" t="s">
        <v>65</v>
      </c>
      <c r="F1973" s="22" t="s">
        <v>40</v>
      </c>
      <c r="G1973" s="22" t="s">
        <v>110</v>
      </c>
      <c r="H1973" s="22" t="s">
        <v>63</v>
      </c>
      <c r="I1973" s="22" t="s">
        <v>108</v>
      </c>
      <c r="J1973" s="23">
        <v>48</v>
      </c>
      <c r="K1973" s="37">
        <v>0</v>
      </c>
      <c r="L1973" s="37">
        <v>5</v>
      </c>
      <c r="M1973" s="22">
        <f>IF(OR(ISBLANK(C1973),C1973=""),"",ROUND((C1973-B1973)*24,2))</f>
        <v>37.32</v>
      </c>
      <c r="N1973" s="40" t="str">
        <f>IF(OR(ISBLANK(C1973),C1973="",M1973=""),"In Progress",IF(M1973&lt;=J1973,"Met","Breached"))</f>
        <v>Met</v>
      </c>
    </row>
    <row r="1974" ht="19" customHeight="1" spans="1:14" x14ac:dyDescent="0.25">
      <c r="A1974" s="19" t="s">
        <v>2088</v>
      </c>
      <c r="B1974" s="33">
        <v>46085.79166666667</v>
      </c>
      <c r="C1974" s="33">
        <v>46086.75902777778</v>
      </c>
      <c r="D1974" s="19" t="s">
        <v>33</v>
      </c>
      <c r="E1974" s="19" t="s">
        <v>65</v>
      </c>
      <c r="F1974" s="19" t="s">
        <v>45</v>
      </c>
      <c r="G1974" s="19" t="s">
        <v>63</v>
      </c>
      <c r="H1974" s="19" t="s">
        <v>63</v>
      </c>
      <c r="I1974" s="19" t="s">
        <v>117</v>
      </c>
      <c r="J1974" s="20">
        <v>48</v>
      </c>
      <c r="K1974" s="34">
        <v>0</v>
      </c>
      <c r="M1974" s="19">
        <f>IF(OR(ISBLANK(C1974),C1974=""),"",ROUND((C1974-B1974)*24,2))</f>
        <v>23.22</v>
      </c>
      <c r="N1974" s="35" t="str">
        <f>IF(OR(ISBLANK(C1974),C1974="",M1974=""),"In Progress",IF(M1974&lt;=J1974,"Met","Breached"))</f>
        <v>Met</v>
      </c>
    </row>
    <row r="1975" ht="19" customHeight="1" spans="1:14" x14ac:dyDescent="0.25">
      <c r="A1975" s="22" t="s">
        <v>2089</v>
      </c>
      <c r="B1975" s="36">
        <v>46131.504166666666</v>
      </c>
      <c r="C1975" s="36">
        <v>46132.350694444445</v>
      </c>
      <c r="D1975" s="22" t="s">
        <v>36</v>
      </c>
      <c r="E1975" s="22" t="s">
        <v>61</v>
      </c>
      <c r="F1975" s="22" t="s">
        <v>37</v>
      </c>
      <c r="G1975" s="22" t="s">
        <v>110</v>
      </c>
      <c r="H1975" s="22" t="s">
        <v>63</v>
      </c>
      <c r="I1975" s="22" t="s">
        <v>117</v>
      </c>
      <c r="J1975" s="23">
        <v>12</v>
      </c>
      <c r="K1975" s="37">
        <v>0</v>
      </c>
      <c r="L1975" s="37">
        <v>1</v>
      </c>
      <c r="M1975" s="22">
        <f>IF(OR(ISBLANK(C1975),C1975=""),"",ROUND((C1975-B1975)*24,2))</f>
        <v>20.32</v>
      </c>
      <c r="N1975" s="38" t="str">
        <f>IF(OR(ISBLANK(C1975),C1975="",M1975=""),"In Progress",IF(M1975&lt;=J1975,"Met","Breached"))</f>
        <v>Breached</v>
      </c>
    </row>
    <row r="1976" ht="19" customHeight="1" spans="1:14" x14ac:dyDescent="0.25">
      <c r="A1976" s="19" t="s">
        <v>2090</v>
      </c>
      <c r="B1976" s="33">
        <v>45872.07430555555</v>
      </c>
      <c r="D1976" s="19" t="s">
        <v>39</v>
      </c>
      <c r="E1976" s="19" t="s">
        <v>61</v>
      </c>
      <c r="F1976" s="19" t="s">
        <v>37</v>
      </c>
      <c r="G1976" s="19" t="s">
        <v>113</v>
      </c>
      <c r="H1976" s="19" t="s">
        <v>59</v>
      </c>
      <c r="I1976" s="19" t="s">
        <v>114</v>
      </c>
      <c r="J1976" s="20">
        <v>12</v>
      </c>
      <c r="K1976" s="34">
        <v>0</v>
      </c>
      <c r="M1976" s="19" t="str">
        <f>IF(OR(ISBLANK(C1976),C1976=""),"",ROUND((C1976-B1976)*24,2))</f>
        <v/>
      </c>
      <c r="N1976" s="19" t="str">
        <f>IF(OR(ISBLANK(C1976),C1976="",M1976=""),"In Progress",IF(M1976&lt;=J1976,"Met","Breached"))</f>
        <v>In Progress</v>
      </c>
    </row>
    <row r="1977" ht="19" customHeight="1" spans="1:14" x14ac:dyDescent="0.25">
      <c r="A1977" s="22" t="s">
        <v>2091</v>
      </c>
      <c r="B1977" s="36">
        <v>46128.51597222222</v>
      </c>
      <c r="C1977" s="36">
        <v>46136.81041666667</v>
      </c>
      <c r="D1977" s="22" t="s">
        <v>33</v>
      </c>
      <c r="E1977" s="22" t="s">
        <v>69</v>
      </c>
      <c r="F1977" s="22" t="s">
        <v>43</v>
      </c>
      <c r="G1977" s="22" t="s">
        <v>126</v>
      </c>
      <c r="H1977" s="22" t="s">
        <v>67</v>
      </c>
      <c r="I1977" s="22" t="s">
        <v>114</v>
      </c>
      <c r="J1977" s="23">
        <v>120</v>
      </c>
      <c r="K1977" s="37">
        <v>0</v>
      </c>
      <c r="L1977" s="37">
        <v>2</v>
      </c>
      <c r="M1977" s="22">
        <f>IF(OR(ISBLANK(C1977),C1977=""),"",ROUND((C1977-B1977)*24,2))</f>
        <v>199.07</v>
      </c>
      <c r="N1977" s="38" t="str">
        <f>IF(OR(ISBLANK(C1977),C1977="",M1977=""),"In Progress",IF(M1977&lt;=J1977,"Met","Breached"))</f>
        <v>Breached</v>
      </c>
    </row>
    <row r="1978" ht="19" customHeight="1" spans="1:14" x14ac:dyDescent="0.25">
      <c r="A1978" s="19" t="s">
        <v>2092</v>
      </c>
      <c r="B1978" s="33">
        <v>46010.65</v>
      </c>
      <c r="D1978" s="19" t="s">
        <v>39</v>
      </c>
      <c r="E1978" s="19" t="s">
        <v>65</v>
      </c>
      <c r="F1978" s="19" t="s">
        <v>34</v>
      </c>
      <c r="G1978" s="19" t="s">
        <v>113</v>
      </c>
      <c r="H1978" s="19" t="s">
        <v>59</v>
      </c>
      <c r="I1978" s="19" t="s">
        <v>147</v>
      </c>
      <c r="J1978" s="20">
        <v>48</v>
      </c>
      <c r="K1978" s="34">
        <v>0</v>
      </c>
      <c r="M1978" s="19" t="str">
        <f>IF(OR(ISBLANK(C1978),C1978=""),"",ROUND((C1978-B1978)*24,2))</f>
        <v/>
      </c>
      <c r="N1978" s="19" t="str">
        <f>IF(OR(ISBLANK(C1978),C1978="",M1978=""),"In Progress",IF(M1978&lt;=J1978,"Met","Breached"))</f>
        <v>In Progress</v>
      </c>
    </row>
    <row r="1979" ht="19" customHeight="1" spans="1:14" x14ac:dyDescent="0.25">
      <c r="A1979" s="22" t="s">
        <v>2093</v>
      </c>
      <c r="B1979" s="36">
        <v>45815.570138888885</v>
      </c>
      <c r="D1979" s="22" t="s">
        <v>39</v>
      </c>
      <c r="E1979" s="22" t="s">
        <v>65</v>
      </c>
      <c r="F1979" s="22" t="s">
        <v>45</v>
      </c>
      <c r="G1979" s="22" t="s">
        <v>110</v>
      </c>
      <c r="H1979" s="22" t="s">
        <v>59</v>
      </c>
      <c r="I1979" s="22" t="s">
        <v>147</v>
      </c>
      <c r="J1979" s="23">
        <v>48</v>
      </c>
      <c r="K1979" s="37">
        <v>0</v>
      </c>
      <c r="M1979" s="22" t="str">
        <f>IF(OR(ISBLANK(C1979),C1979=""),"",ROUND((C1979-B1979)*24,2))</f>
        <v/>
      </c>
      <c r="N1979" s="22" t="str">
        <f>IF(OR(ISBLANK(C1979),C1979="",M1979=""),"In Progress",IF(M1979&lt;=J1979,"Met","Breached"))</f>
        <v>In Progress</v>
      </c>
    </row>
    <row r="1980" ht="19" customHeight="1" spans="1:14" x14ac:dyDescent="0.25">
      <c r="A1980" s="19" t="s">
        <v>2094</v>
      </c>
      <c r="B1980" s="33">
        <v>45878.17083333334</v>
      </c>
      <c r="C1980" s="33">
        <v>45880.87152777778</v>
      </c>
      <c r="D1980" s="19" t="s">
        <v>33</v>
      </c>
      <c r="E1980" s="19" t="s">
        <v>65</v>
      </c>
      <c r="F1980" s="19" t="s">
        <v>43</v>
      </c>
      <c r="G1980" s="19" t="s">
        <v>116</v>
      </c>
      <c r="H1980" s="19" t="s">
        <v>71</v>
      </c>
      <c r="I1980" s="19" t="s">
        <v>111</v>
      </c>
      <c r="J1980" s="20">
        <v>48</v>
      </c>
      <c r="K1980" s="34">
        <v>0</v>
      </c>
      <c r="L1980" s="34">
        <v>4</v>
      </c>
      <c r="M1980" s="19">
        <f>IF(OR(ISBLANK(C1980),C1980=""),"",ROUND((C1980-B1980)*24,2))</f>
        <v>64.82</v>
      </c>
      <c r="N1980" s="39" t="str">
        <f>IF(OR(ISBLANK(C1980),C1980="",M1980=""),"In Progress",IF(M1980&lt;=J1980,"Met","Breached"))</f>
        <v>Breached</v>
      </c>
    </row>
    <row r="1981" ht="19" customHeight="1" spans="1:14" x14ac:dyDescent="0.25">
      <c r="A1981" s="22" t="s">
        <v>2095</v>
      </c>
      <c r="B1981" s="36">
        <v>45859.544444444444</v>
      </c>
      <c r="C1981" s="36">
        <v>45860.05763888889</v>
      </c>
      <c r="D1981" s="22" t="s">
        <v>33</v>
      </c>
      <c r="E1981" s="22" t="s">
        <v>61</v>
      </c>
      <c r="F1981" s="22" t="s">
        <v>34</v>
      </c>
      <c r="G1981" s="22" t="s">
        <v>121</v>
      </c>
      <c r="H1981" s="22" t="s">
        <v>59</v>
      </c>
      <c r="I1981" s="22" t="s">
        <v>111</v>
      </c>
      <c r="J1981" s="23">
        <v>12</v>
      </c>
      <c r="K1981" s="37">
        <v>1</v>
      </c>
      <c r="M1981" s="22">
        <f>IF(OR(ISBLANK(C1981),C1981=""),"",ROUND((C1981-B1981)*24,2))</f>
        <v>12.32</v>
      </c>
      <c r="N1981" s="38" t="str">
        <f>IF(OR(ISBLANK(C1981),C1981="",M1981=""),"In Progress",IF(M1981&lt;=J1981,"Met","Breached"))</f>
        <v>Breached</v>
      </c>
    </row>
    <row r="1982" ht="19" customHeight="1" spans="1:14" x14ac:dyDescent="0.25">
      <c r="A1982" s="19" t="s">
        <v>2096</v>
      </c>
      <c r="B1982" s="33">
        <v>46107.46805555555</v>
      </c>
      <c r="C1982" s="33">
        <v>46114.728472222225</v>
      </c>
      <c r="D1982" s="19" t="s">
        <v>33</v>
      </c>
      <c r="E1982" s="19" t="s">
        <v>69</v>
      </c>
      <c r="F1982" s="19" t="s">
        <v>45</v>
      </c>
      <c r="G1982" s="19" t="s">
        <v>110</v>
      </c>
      <c r="H1982" s="19" t="s">
        <v>59</v>
      </c>
      <c r="I1982" s="19" t="s">
        <v>123</v>
      </c>
      <c r="J1982" s="20">
        <v>120</v>
      </c>
      <c r="K1982" s="34">
        <v>0</v>
      </c>
      <c r="M1982" s="19">
        <f>IF(OR(ISBLANK(C1982),C1982=""),"",ROUND((C1982-B1982)*24,2))</f>
        <v>174.25</v>
      </c>
      <c r="N1982" s="39" t="str">
        <f>IF(OR(ISBLANK(C1982),C1982="",M1982=""),"In Progress",IF(M1982&lt;=J1982,"Met","Breached"))</f>
        <v>Breached</v>
      </c>
    </row>
    <row r="1983" ht="19" customHeight="1" spans="1:14" x14ac:dyDescent="0.25">
      <c r="A1983" s="22" t="s">
        <v>2097</v>
      </c>
      <c r="B1983" s="36">
        <v>46163.71875</v>
      </c>
      <c r="C1983" s="36">
        <v>46167.40069444444</v>
      </c>
      <c r="D1983" s="22" t="s">
        <v>33</v>
      </c>
      <c r="E1983" s="22" t="s">
        <v>69</v>
      </c>
      <c r="F1983" s="22" t="s">
        <v>40</v>
      </c>
      <c r="G1983" s="22" t="s">
        <v>113</v>
      </c>
      <c r="H1983" s="22" t="s">
        <v>63</v>
      </c>
      <c r="I1983" s="22" t="s">
        <v>147</v>
      </c>
      <c r="J1983" s="23">
        <v>120</v>
      </c>
      <c r="K1983" s="37">
        <v>0</v>
      </c>
      <c r="M1983" s="22">
        <f>IF(OR(ISBLANK(C1983),C1983=""),"",ROUND((C1983-B1983)*24,2))</f>
        <v>88.37</v>
      </c>
      <c r="N1983" s="40" t="str">
        <f>IF(OR(ISBLANK(C1983),C1983="",M1983=""),"In Progress",IF(M1983&lt;=J1983,"Met","Breached"))</f>
        <v>Met</v>
      </c>
    </row>
    <row r="1984" ht="19" customHeight="1" spans="1:14" x14ac:dyDescent="0.25">
      <c r="A1984" s="19" t="s">
        <v>2098</v>
      </c>
      <c r="B1984" s="33">
        <v>46174.87152777778</v>
      </c>
      <c r="C1984" s="33">
        <v>46175.52569444444</v>
      </c>
      <c r="D1984" s="19" t="s">
        <v>36</v>
      </c>
      <c r="E1984" s="19" t="s">
        <v>65</v>
      </c>
      <c r="F1984" s="19" t="s">
        <v>43</v>
      </c>
      <c r="G1984" s="19" t="s">
        <v>121</v>
      </c>
      <c r="H1984" s="19" t="s">
        <v>63</v>
      </c>
      <c r="I1984" s="19" t="s">
        <v>123</v>
      </c>
      <c r="J1984" s="20">
        <v>48</v>
      </c>
      <c r="K1984" s="34">
        <v>0</v>
      </c>
      <c r="L1984" s="34">
        <v>1</v>
      </c>
      <c r="M1984" s="19">
        <f>IF(OR(ISBLANK(C1984),C1984=""),"",ROUND((C1984-B1984)*24,2))</f>
        <v>15.7</v>
      </c>
      <c r="N1984" s="35" t="str">
        <f>IF(OR(ISBLANK(C1984),C1984="",M1984=""),"In Progress",IF(M1984&lt;=J1984,"Met","Breached"))</f>
        <v>Met</v>
      </c>
    </row>
    <row r="1985" ht="19" customHeight="1" spans="1:14" x14ac:dyDescent="0.25">
      <c r="A1985" s="22" t="s">
        <v>2099</v>
      </c>
      <c r="B1985" s="36">
        <v>45686.83541666667</v>
      </c>
      <c r="C1985" s="36">
        <v>45689.56805555556</v>
      </c>
      <c r="D1985" s="22" t="s">
        <v>33</v>
      </c>
      <c r="E1985" s="22" t="s">
        <v>65</v>
      </c>
      <c r="F1985" s="22" t="s">
        <v>45</v>
      </c>
      <c r="G1985" s="22" t="s">
        <v>110</v>
      </c>
      <c r="H1985" s="22" t="s">
        <v>59</v>
      </c>
      <c r="I1985" s="22" t="s">
        <v>114</v>
      </c>
      <c r="J1985" s="23">
        <v>48</v>
      </c>
      <c r="K1985" s="37">
        <v>0</v>
      </c>
      <c r="M1985" s="22">
        <f>IF(OR(ISBLANK(C1985),C1985=""),"",ROUND((C1985-B1985)*24,2))</f>
        <v>65.58</v>
      </c>
      <c r="N1985" s="38" t="str">
        <f>IF(OR(ISBLANK(C1985),C1985="",M1985=""),"In Progress",IF(M1985&lt;=J1985,"Met","Breached"))</f>
        <v>Breached</v>
      </c>
    </row>
    <row r="1986" ht="19" customHeight="1" spans="1:14" x14ac:dyDescent="0.25">
      <c r="A1986" s="19" t="s">
        <v>2100</v>
      </c>
      <c r="B1986" s="33">
        <v>45893.50277777778</v>
      </c>
      <c r="C1986" s="33">
        <v>45894.305555555555</v>
      </c>
      <c r="D1986" s="19" t="s">
        <v>36</v>
      </c>
      <c r="E1986" s="19" t="s">
        <v>61</v>
      </c>
      <c r="F1986" s="19" t="s">
        <v>43</v>
      </c>
      <c r="G1986" s="19" t="s">
        <v>113</v>
      </c>
      <c r="H1986" s="19" t="s">
        <v>63</v>
      </c>
      <c r="I1986" s="19" t="s">
        <v>117</v>
      </c>
      <c r="J1986" s="20">
        <v>12</v>
      </c>
      <c r="K1986" s="34">
        <v>0</v>
      </c>
      <c r="L1986" s="34">
        <v>5</v>
      </c>
      <c r="M1986" s="19">
        <f>IF(OR(ISBLANK(C1986),C1986=""),"",ROUND((C1986-B1986)*24,2))</f>
        <v>19.27</v>
      </c>
      <c r="N1986" s="39" t="str">
        <f>IF(OR(ISBLANK(C1986),C1986="",M1986=""),"In Progress",IF(M1986&lt;=J1986,"Met","Breached"))</f>
        <v>Breached</v>
      </c>
    </row>
    <row r="1987" ht="19" customHeight="1" spans="1:14" x14ac:dyDescent="0.25">
      <c r="A1987" s="22" t="s">
        <v>2101</v>
      </c>
      <c r="B1987" s="36">
        <v>45773.120833333334</v>
      </c>
      <c r="C1987" s="36">
        <v>45773.919444444444</v>
      </c>
      <c r="D1987" s="22" t="s">
        <v>33</v>
      </c>
      <c r="E1987" s="22" t="s">
        <v>65</v>
      </c>
      <c r="F1987" s="22" t="s">
        <v>43</v>
      </c>
      <c r="G1987" s="22" t="s">
        <v>126</v>
      </c>
      <c r="H1987" s="22" t="s">
        <v>59</v>
      </c>
      <c r="I1987" s="22" t="s">
        <v>111</v>
      </c>
      <c r="J1987" s="23">
        <v>48</v>
      </c>
      <c r="K1987" s="37">
        <v>0</v>
      </c>
      <c r="M1987" s="22">
        <f>IF(OR(ISBLANK(C1987),C1987=""),"",ROUND((C1987-B1987)*24,2))</f>
        <v>19.17</v>
      </c>
      <c r="N1987" s="40" t="str">
        <f>IF(OR(ISBLANK(C1987),C1987="",M1987=""),"In Progress",IF(M1987&lt;=J1987,"Met","Breached"))</f>
        <v>Met</v>
      </c>
    </row>
    <row r="1988" ht="19" customHeight="1" spans="1:14" x14ac:dyDescent="0.25">
      <c r="A1988" s="19" t="s">
        <v>2102</v>
      </c>
      <c r="B1988" s="33">
        <v>46182.48888888889</v>
      </c>
      <c r="D1988" s="19" t="s">
        <v>39</v>
      </c>
      <c r="E1988" s="19" t="s">
        <v>65</v>
      </c>
      <c r="F1988" s="19" t="s">
        <v>45</v>
      </c>
      <c r="G1988" s="19" t="s">
        <v>63</v>
      </c>
      <c r="H1988" s="19" t="s">
        <v>63</v>
      </c>
      <c r="I1988" s="19" t="s">
        <v>114</v>
      </c>
      <c r="J1988" s="20">
        <v>48</v>
      </c>
      <c r="K1988" s="34">
        <v>0</v>
      </c>
      <c r="M1988" s="19" t="str">
        <f>IF(OR(ISBLANK(C1988),C1988=""),"",ROUND((C1988-B1988)*24,2))</f>
        <v/>
      </c>
      <c r="N1988" s="19" t="str">
        <f>IF(OR(ISBLANK(C1988),C1988="",M1988=""),"In Progress",IF(M1988&lt;=J1988,"Met","Breached"))</f>
        <v>In Progress</v>
      </c>
    </row>
    <row r="1989" ht="19" customHeight="1" spans="1:14" x14ac:dyDescent="0.25">
      <c r="A1989" s="22" t="s">
        <v>2103</v>
      </c>
      <c r="B1989" s="36">
        <v>45829.76041666667</v>
      </c>
      <c r="C1989" s="36">
        <v>45831.007638888885</v>
      </c>
      <c r="D1989" s="22" t="s">
        <v>33</v>
      </c>
      <c r="E1989" s="22" t="s">
        <v>65</v>
      </c>
      <c r="F1989" s="22" t="s">
        <v>37</v>
      </c>
      <c r="G1989" s="22" t="s">
        <v>126</v>
      </c>
      <c r="H1989" s="22" t="s">
        <v>67</v>
      </c>
      <c r="I1989" s="22" t="s">
        <v>117</v>
      </c>
      <c r="J1989" s="23">
        <v>48</v>
      </c>
      <c r="K1989" s="37">
        <v>0</v>
      </c>
      <c r="L1989" s="37">
        <v>5</v>
      </c>
      <c r="M1989" s="22">
        <f>IF(OR(ISBLANK(C1989),C1989=""),"",ROUND((C1989-B1989)*24,2))</f>
        <v>29.93</v>
      </c>
      <c r="N1989" s="40" t="str">
        <f>IF(OR(ISBLANK(C1989),C1989="",M1989=""),"In Progress",IF(M1989&lt;=J1989,"Met","Breached"))</f>
        <v>Met</v>
      </c>
    </row>
    <row r="1990" ht="19" customHeight="1" spans="1:14" x14ac:dyDescent="0.25">
      <c r="A1990" s="19" t="s">
        <v>2104</v>
      </c>
      <c r="B1990" s="33">
        <v>45935.51041666667</v>
      </c>
      <c r="D1990" s="19" t="s">
        <v>39</v>
      </c>
      <c r="E1990" s="19" t="s">
        <v>65</v>
      </c>
      <c r="F1990" s="19" t="s">
        <v>37</v>
      </c>
      <c r="G1990" s="19" t="s">
        <v>116</v>
      </c>
      <c r="H1990" s="19" t="s">
        <v>63</v>
      </c>
      <c r="I1990" s="19" t="s">
        <v>114</v>
      </c>
      <c r="J1990" s="20">
        <v>48</v>
      </c>
      <c r="K1990" s="34">
        <v>0</v>
      </c>
      <c r="M1990" s="19" t="str">
        <f>IF(OR(ISBLANK(C1990),C1990=""),"",ROUND((C1990-B1990)*24,2))</f>
        <v/>
      </c>
      <c r="N1990" s="19" t="str">
        <f>IF(OR(ISBLANK(C1990),C1990="",M1990=""),"In Progress",IF(M1990&lt;=J1990,"Met","Breached"))</f>
        <v>In Progress</v>
      </c>
    </row>
    <row r="1991" ht="19" customHeight="1" spans="1:14" x14ac:dyDescent="0.25">
      <c r="A1991" s="22" t="s">
        <v>2105</v>
      </c>
      <c r="B1991" s="36">
        <v>45766.60416666667</v>
      </c>
      <c r="C1991" s="36">
        <v>45768.538194444445</v>
      </c>
      <c r="D1991" s="22" t="s">
        <v>33</v>
      </c>
      <c r="E1991" s="22" t="s">
        <v>65</v>
      </c>
      <c r="F1991" s="22" t="s">
        <v>43</v>
      </c>
      <c r="G1991" s="22" t="s">
        <v>113</v>
      </c>
      <c r="H1991" s="22" t="s">
        <v>63</v>
      </c>
      <c r="I1991" s="22" t="s">
        <v>114</v>
      </c>
      <c r="J1991" s="23">
        <v>48</v>
      </c>
      <c r="K1991" s="37">
        <v>0</v>
      </c>
      <c r="M1991" s="22">
        <f>IF(OR(ISBLANK(C1991),C1991=""),"",ROUND((C1991-B1991)*24,2))</f>
        <v>46.42</v>
      </c>
      <c r="N1991" s="40" t="str">
        <f>IF(OR(ISBLANK(C1991),C1991="",M1991=""),"In Progress",IF(M1991&lt;=J1991,"Met","Breached"))</f>
        <v>Met</v>
      </c>
    </row>
    <row r="1992" ht="19" customHeight="1" spans="1:14" x14ac:dyDescent="0.25">
      <c r="A1992" s="19" t="s">
        <v>2106</v>
      </c>
      <c r="B1992" s="33">
        <v>46048.72430555556</v>
      </c>
      <c r="C1992" s="33">
        <v>46050.15277777778</v>
      </c>
      <c r="D1992" s="19" t="s">
        <v>36</v>
      </c>
      <c r="E1992" s="19" t="s">
        <v>65</v>
      </c>
      <c r="F1992" s="19" t="s">
        <v>43</v>
      </c>
      <c r="G1992" s="19" t="s">
        <v>116</v>
      </c>
      <c r="H1992" s="19" t="s">
        <v>67</v>
      </c>
      <c r="I1992" s="19" t="s">
        <v>108</v>
      </c>
      <c r="J1992" s="20">
        <v>48</v>
      </c>
      <c r="K1992" s="34">
        <v>0</v>
      </c>
      <c r="L1992" s="34">
        <v>1</v>
      </c>
      <c r="M1992" s="19">
        <f>IF(OR(ISBLANK(C1992),C1992=""),"",ROUND((C1992-B1992)*24,2))</f>
        <v>34.28</v>
      </c>
      <c r="N1992" s="35" t="str">
        <f>IF(OR(ISBLANK(C1992),C1992="",M1992=""),"In Progress",IF(M1992&lt;=J1992,"Met","Breached"))</f>
        <v>Met</v>
      </c>
    </row>
    <row r="1993" ht="19" customHeight="1" spans="1:14" x14ac:dyDescent="0.25">
      <c r="A1993" s="22" t="s">
        <v>2107</v>
      </c>
      <c r="B1993" s="36">
        <v>46082.486805555556</v>
      </c>
      <c r="C1993" s="36">
        <v>46083.57708333334</v>
      </c>
      <c r="D1993" s="22" t="s">
        <v>33</v>
      </c>
      <c r="E1993" s="22" t="s">
        <v>65</v>
      </c>
      <c r="F1993" s="22" t="s">
        <v>37</v>
      </c>
      <c r="G1993" s="22" t="s">
        <v>121</v>
      </c>
      <c r="H1993" s="22" t="s">
        <v>67</v>
      </c>
      <c r="I1993" s="22" t="s">
        <v>114</v>
      </c>
      <c r="J1993" s="23">
        <v>48</v>
      </c>
      <c r="K1993" s="37">
        <v>0</v>
      </c>
      <c r="L1993" s="37">
        <v>2</v>
      </c>
      <c r="M1993" s="22">
        <f>IF(OR(ISBLANK(C1993),C1993=""),"",ROUND((C1993-B1993)*24,2))</f>
        <v>26.17</v>
      </c>
      <c r="N1993" s="40" t="str">
        <f>IF(OR(ISBLANK(C1993),C1993="",M1993=""),"In Progress",IF(M1993&lt;=J1993,"Met","Breached"))</f>
        <v>Met</v>
      </c>
    </row>
    <row r="1994" ht="19" customHeight="1" spans="1:14" x14ac:dyDescent="0.25">
      <c r="A1994" s="19" t="s">
        <v>2108</v>
      </c>
      <c r="B1994" s="33">
        <v>46039.714583333334</v>
      </c>
      <c r="C1994" s="33">
        <v>46042.76666666666</v>
      </c>
      <c r="D1994" s="19" t="s">
        <v>36</v>
      </c>
      <c r="E1994" s="19" t="s">
        <v>69</v>
      </c>
      <c r="F1994" s="19" t="s">
        <v>45</v>
      </c>
      <c r="G1994" s="19" t="s">
        <v>126</v>
      </c>
      <c r="H1994" s="19" t="s">
        <v>63</v>
      </c>
      <c r="I1994" s="19" t="s">
        <v>114</v>
      </c>
      <c r="J1994" s="20">
        <v>120</v>
      </c>
      <c r="K1994" s="34">
        <v>0</v>
      </c>
      <c r="L1994" s="34">
        <v>4</v>
      </c>
      <c r="M1994" s="19">
        <f>IF(OR(ISBLANK(C1994),C1994=""),"",ROUND((C1994-B1994)*24,2))</f>
        <v>73.25</v>
      </c>
      <c r="N1994" s="35" t="str">
        <f>IF(OR(ISBLANK(C1994),C1994="",M1994=""),"In Progress",IF(M1994&lt;=J1994,"Met","Breached"))</f>
        <v>Met</v>
      </c>
    </row>
    <row r="1995" ht="19" customHeight="1" spans="1:14" x14ac:dyDescent="0.25">
      <c r="A1995" s="22" t="s">
        <v>2109</v>
      </c>
      <c r="B1995" s="36">
        <v>45891.709027777775</v>
      </c>
      <c r="C1995" s="36">
        <v>45894.21944444445</v>
      </c>
      <c r="D1995" s="22" t="s">
        <v>36</v>
      </c>
      <c r="E1995" s="22" t="s">
        <v>65</v>
      </c>
      <c r="F1995" s="22" t="s">
        <v>45</v>
      </c>
      <c r="G1995" s="22" t="s">
        <v>126</v>
      </c>
      <c r="H1995" s="22" t="s">
        <v>63</v>
      </c>
      <c r="I1995" s="22" t="s">
        <v>147</v>
      </c>
      <c r="J1995" s="23">
        <v>48</v>
      </c>
      <c r="K1995" s="37">
        <v>0</v>
      </c>
      <c r="L1995" s="37">
        <v>1</v>
      </c>
      <c r="M1995" s="22">
        <f>IF(OR(ISBLANK(C1995),C1995=""),"",ROUND((C1995-B1995)*24,2))</f>
        <v>60.25</v>
      </c>
      <c r="N1995" s="38" t="str">
        <f>IF(OR(ISBLANK(C1995),C1995="",M1995=""),"In Progress",IF(M1995&lt;=J1995,"Met","Breached"))</f>
        <v>Breached</v>
      </c>
    </row>
    <row r="1996" ht="19" customHeight="1" spans="1:14" x14ac:dyDescent="0.25">
      <c r="A1996" s="19" t="s">
        <v>2110</v>
      </c>
      <c r="B1996" s="33">
        <v>46207.53263888889</v>
      </c>
      <c r="D1996" s="19" t="s">
        <v>39</v>
      </c>
      <c r="E1996" s="19" t="s">
        <v>69</v>
      </c>
      <c r="F1996" s="19" t="s">
        <v>37</v>
      </c>
      <c r="G1996" s="19" t="s">
        <v>121</v>
      </c>
      <c r="H1996" s="19" t="s">
        <v>63</v>
      </c>
      <c r="I1996" s="19" t="s">
        <v>117</v>
      </c>
      <c r="J1996" s="20">
        <v>120</v>
      </c>
      <c r="K1996" s="34">
        <v>0</v>
      </c>
      <c r="M1996" s="19" t="str">
        <f>IF(OR(ISBLANK(C1996),C1996=""),"",ROUND((C1996-B1996)*24,2))</f>
        <v/>
      </c>
      <c r="N1996" s="19" t="str">
        <f>IF(OR(ISBLANK(C1996),C1996="",M1996=""),"In Progress",IF(M1996&lt;=J1996,"Met","Breached"))</f>
        <v>In Progress</v>
      </c>
    </row>
    <row r="1997" ht="19" customHeight="1" spans="1:14" x14ac:dyDescent="0.25">
      <c r="A1997" s="22" t="s">
        <v>2111</v>
      </c>
      <c r="B1997" s="36">
        <v>45698.160416666666</v>
      </c>
      <c r="C1997" s="36">
        <v>45698.72152777778</v>
      </c>
      <c r="D1997" s="22" t="s">
        <v>33</v>
      </c>
      <c r="E1997" s="22" t="s">
        <v>61</v>
      </c>
      <c r="F1997" s="22" t="s">
        <v>40</v>
      </c>
      <c r="G1997" s="22" t="s">
        <v>126</v>
      </c>
      <c r="H1997" s="22" t="s">
        <v>67</v>
      </c>
      <c r="I1997" s="22" t="s">
        <v>108</v>
      </c>
      <c r="J1997" s="23">
        <v>12</v>
      </c>
      <c r="K1997" s="37">
        <v>0</v>
      </c>
      <c r="L1997" s="37">
        <v>1</v>
      </c>
      <c r="M1997" s="22">
        <f>IF(OR(ISBLANK(C1997),C1997=""),"",ROUND((C1997-B1997)*24,2))</f>
        <v>13.47</v>
      </c>
      <c r="N1997" s="38" t="str">
        <f>IF(OR(ISBLANK(C1997),C1997="",M1997=""),"In Progress",IF(M1997&lt;=J1997,"Met","Breached"))</f>
        <v>Breached</v>
      </c>
    </row>
    <row r="1998" ht="19" customHeight="1" spans="1:14" x14ac:dyDescent="0.25">
      <c r="A1998" s="19" t="s">
        <v>2112</v>
      </c>
      <c r="B1998" s="33">
        <v>46056.27777777778</v>
      </c>
      <c r="C1998" s="33">
        <v>46057.64513888889</v>
      </c>
      <c r="D1998" s="19" t="s">
        <v>36</v>
      </c>
      <c r="E1998" s="19" t="s">
        <v>65</v>
      </c>
      <c r="F1998" s="19" t="s">
        <v>40</v>
      </c>
      <c r="G1998" s="19" t="s">
        <v>113</v>
      </c>
      <c r="H1998" s="19" t="s">
        <v>67</v>
      </c>
      <c r="I1998" s="19" t="s">
        <v>147</v>
      </c>
      <c r="J1998" s="20">
        <v>48</v>
      </c>
      <c r="K1998" s="34">
        <v>0</v>
      </c>
      <c r="L1998" s="34">
        <v>3</v>
      </c>
      <c r="M1998" s="19">
        <f>IF(OR(ISBLANK(C1998),C1998=""),"",ROUND((C1998-B1998)*24,2))</f>
        <v>32.82</v>
      </c>
      <c r="N1998" s="35" t="str">
        <f>IF(OR(ISBLANK(C1998),C1998="",M1998=""),"In Progress",IF(M1998&lt;=J1998,"Met","Breached"))</f>
        <v>Met</v>
      </c>
    </row>
    <row r="1999" ht="19" customHeight="1" spans="1:14" x14ac:dyDescent="0.25">
      <c r="A1999" s="22" t="s">
        <v>2113</v>
      </c>
      <c r="B1999" s="36">
        <v>46026.481944444444</v>
      </c>
      <c r="C1999" s="36">
        <v>46029.759722222225</v>
      </c>
      <c r="D1999" s="22" t="s">
        <v>33</v>
      </c>
      <c r="E1999" s="22" t="s">
        <v>65</v>
      </c>
      <c r="F1999" s="22" t="s">
        <v>43</v>
      </c>
      <c r="G1999" s="22" t="s">
        <v>126</v>
      </c>
      <c r="H1999" s="22" t="s">
        <v>59</v>
      </c>
      <c r="I1999" s="22" t="s">
        <v>111</v>
      </c>
      <c r="J1999" s="23">
        <v>48</v>
      </c>
      <c r="K1999" s="37">
        <v>0</v>
      </c>
      <c r="M1999" s="22">
        <f>IF(OR(ISBLANK(C1999),C1999=""),"",ROUND((C1999-B1999)*24,2))</f>
        <v>78.67</v>
      </c>
      <c r="N1999" s="38" t="str">
        <f>IF(OR(ISBLANK(C1999),C1999="",M1999=""),"In Progress",IF(M1999&lt;=J1999,"Met","Breached"))</f>
        <v>Breached</v>
      </c>
    </row>
    <row r="2000" ht="19" customHeight="1" spans="1:14" x14ac:dyDescent="0.25">
      <c r="A2000" s="19" t="s">
        <v>2114</v>
      </c>
      <c r="B2000" s="33">
        <v>45666.336111111115</v>
      </c>
      <c r="C2000" s="33">
        <v>45671.45138888889</v>
      </c>
      <c r="D2000" s="19" t="s">
        <v>33</v>
      </c>
      <c r="E2000" s="19" t="s">
        <v>69</v>
      </c>
      <c r="F2000" s="19" t="s">
        <v>43</v>
      </c>
      <c r="G2000" s="19" t="s">
        <v>113</v>
      </c>
      <c r="H2000" s="19" t="s">
        <v>59</v>
      </c>
      <c r="I2000" s="19" t="s">
        <v>114</v>
      </c>
      <c r="J2000" s="20">
        <v>120</v>
      </c>
      <c r="K2000" s="34">
        <v>0</v>
      </c>
      <c r="M2000" s="19">
        <f>IF(OR(ISBLANK(C2000),C2000=""),"",ROUND((C2000-B2000)*24,2))</f>
        <v>122.77</v>
      </c>
      <c r="N2000" s="39" t="str">
        <f>IF(OR(ISBLANK(C2000),C2000="",M2000=""),"In Progress",IF(M2000&lt;=J2000,"Met","Breached"))</f>
        <v>Breached</v>
      </c>
    </row>
    <row r="2001" ht="19" customHeight="1" spans="1:14" x14ac:dyDescent="0.25">
      <c r="A2001" s="22" t="s">
        <v>2115</v>
      </c>
      <c r="B2001" s="36">
        <v>45682.53333333333</v>
      </c>
      <c r="D2001" s="22" t="s">
        <v>39</v>
      </c>
      <c r="E2001" s="22" t="s">
        <v>69</v>
      </c>
      <c r="F2001" s="22" t="s">
        <v>34</v>
      </c>
      <c r="G2001" s="22" t="s">
        <v>116</v>
      </c>
      <c r="H2001" s="22" t="s">
        <v>59</v>
      </c>
      <c r="I2001" s="22" t="s">
        <v>108</v>
      </c>
      <c r="J2001" s="23">
        <v>120</v>
      </c>
      <c r="K2001" s="37">
        <v>0</v>
      </c>
      <c r="M2001" s="22" t="str">
        <f>IF(OR(ISBLANK(C2001),C2001=""),"",ROUND((C2001-B2001)*24,2))</f>
        <v/>
      </c>
      <c r="N2001" s="22" t="str">
        <f>IF(OR(ISBLANK(C2001),C2001="",M2001=""),"In Progress",IF(M2001&lt;=J2001,"Met","Breached"))</f>
        <v>In Progress</v>
      </c>
    </row>
    <row r="2002" ht="19" customHeight="1" spans="1:14" x14ac:dyDescent="0.25">
      <c r="A2002" s="19" t="s">
        <v>2116</v>
      </c>
      <c r="B2002" s="33">
        <v>46191.67152777778</v>
      </c>
      <c r="C2002" s="33">
        <v>46195.21388888889</v>
      </c>
      <c r="D2002" s="19" t="s">
        <v>33</v>
      </c>
      <c r="E2002" s="19" t="s">
        <v>65</v>
      </c>
      <c r="F2002" s="19" t="s">
        <v>40</v>
      </c>
      <c r="G2002" s="19" t="s">
        <v>113</v>
      </c>
      <c r="H2002" s="19" t="s">
        <v>71</v>
      </c>
      <c r="I2002" s="19" t="s">
        <v>117</v>
      </c>
      <c r="J2002" s="20">
        <v>48</v>
      </c>
      <c r="K2002" s="34">
        <v>0</v>
      </c>
      <c r="L2002" s="34">
        <v>3</v>
      </c>
      <c r="M2002" s="19">
        <f>IF(OR(ISBLANK(C2002),C2002=""),"",ROUND((C2002-B2002)*24,2))</f>
        <v>85.02</v>
      </c>
      <c r="N2002" s="39" t="str">
        <f>IF(OR(ISBLANK(C2002),C2002="",M2002=""),"In Progress",IF(M2002&lt;=J2002,"Met","Breached"))</f>
        <v>Breached</v>
      </c>
    </row>
    <row r="2003" ht="19" customHeight="1" spans="1:14" x14ac:dyDescent="0.25">
      <c r="A2003" s="22" t="s">
        <v>2117</v>
      </c>
      <c r="B2003" s="36">
        <v>46032.16111111111</v>
      </c>
      <c r="C2003" s="36">
        <v>46032.820138888885</v>
      </c>
      <c r="D2003" s="22" t="s">
        <v>36</v>
      </c>
      <c r="E2003" s="22" t="s">
        <v>65</v>
      </c>
      <c r="F2003" s="22" t="s">
        <v>43</v>
      </c>
      <c r="G2003" s="22" t="s">
        <v>110</v>
      </c>
      <c r="H2003" s="22" t="s">
        <v>63</v>
      </c>
      <c r="I2003" s="22" t="s">
        <v>123</v>
      </c>
      <c r="J2003" s="23">
        <v>48</v>
      </c>
      <c r="K2003" s="37">
        <v>0</v>
      </c>
      <c r="L2003" s="37">
        <v>5</v>
      </c>
      <c r="M2003" s="22">
        <f>IF(OR(ISBLANK(C2003),C2003=""),"",ROUND((C2003-B2003)*24,2))</f>
        <v>15.82</v>
      </c>
      <c r="N2003" s="40" t="str">
        <f>IF(OR(ISBLANK(C2003),C2003="",M2003=""),"In Progress",IF(M2003&lt;=J2003,"Met","Breached"))</f>
        <v>Met</v>
      </c>
    </row>
    <row r="2004" ht="19" customHeight="1" spans="1:14" x14ac:dyDescent="0.25">
      <c r="A2004" s="19" t="s">
        <v>2118</v>
      </c>
      <c r="B2004" s="33">
        <v>45690.88402777778</v>
      </c>
      <c r="C2004" s="33">
        <v>45691.8625</v>
      </c>
      <c r="D2004" s="19" t="s">
        <v>33</v>
      </c>
      <c r="E2004" s="19" t="s">
        <v>65</v>
      </c>
      <c r="F2004" s="19" t="s">
        <v>37</v>
      </c>
      <c r="G2004" s="19" t="s">
        <v>110</v>
      </c>
      <c r="H2004" s="19" t="s">
        <v>59</v>
      </c>
      <c r="I2004" s="19" t="s">
        <v>147</v>
      </c>
      <c r="J2004" s="20">
        <v>48</v>
      </c>
      <c r="K2004" s="34">
        <v>0</v>
      </c>
      <c r="L2004" s="34">
        <v>5</v>
      </c>
      <c r="M2004" s="19">
        <f>IF(OR(ISBLANK(C2004),C2004=""),"",ROUND((C2004-B2004)*24,2))</f>
        <v>23.48</v>
      </c>
      <c r="N2004" s="35" t="str">
        <f>IF(OR(ISBLANK(C2004),C2004="",M2004=""),"In Progress",IF(M2004&lt;=J2004,"Met","Breached"))</f>
        <v>Met</v>
      </c>
    </row>
    <row r="2005" ht="19" customHeight="1" spans="1:14" x14ac:dyDescent="0.25">
      <c r="A2005" s="22" t="s">
        <v>2119</v>
      </c>
      <c r="B2005" s="36">
        <v>46038.41527777778</v>
      </c>
      <c r="C2005" s="36">
        <v>46038.67361111111</v>
      </c>
      <c r="D2005" s="22" t="s">
        <v>36</v>
      </c>
      <c r="E2005" s="22" t="s">
        <v>57</v>
      </c>
      <c r="F2005" s="22" t="s">
        <v>34</v>
      </c>
      <c r="G2005" s="22" t="s">
        <v>63</v>
      </c>
      <c r="H2005" s="22" t="s">
        <v>63</v>
      </c>
      <c r="I2005" s="22" t="s">
        <v>108</v>
      </c>
      <c r="J2005" s="23">
        <v>4</v>
      </c>
      <c r="K2005" s="37">
        <v>0</v>
      </c>
      <c r="M2005" s="22">
        <f>IF(OR(ISBLANK(C2005),C2005=""),"",ROUND((C2005-B2005)*24,2))</f>
        <v>6.2</v>
      </c>
      <c r="N2005" s="38" t="str">
        <f>IF(OR(ISBLANK(C2005),C2005="",M2005=""),"In Progress",IF(M2005&lt;=J2005,"Met","Breached"))</f>
        <v>Breached</v>
      </c>
    </row>
    <row r="2006" ht="19" customHeight="1" spans="1:14" x14ac:dyDescent="0.25">
      <c r="A2006" s="19" t="s">
        <v>2120</v>
      </c>
      <c r="B2006" s="33">
        <v>46081.679861111115</v>
      </c>
      <c r="D2006" s="19" t="s">
        <v>42</v>
      </c>
      <c r="E2006" s="19" t="s">
        <v>61</v>
      </c>
      <c r="F2006" s="19" t="s">
        <v>45</v>
      </c>
      <c r="G2006" s="19" t="s">
        <v>110</v>
      </c>
      <c r="H2006" s="19" t="s">
        <v>63</v>
      </c>
      <c r="I2006" s="19" t="s">
        <v>117</v>
      </c>
      <c r="J2006" s="20">
        <v>12</v>
      </c>
      <c r="K2006" s="34">
        <v>0</v>
      </c>
      <c r="M2006" s="19" t="str">
        <f>IF(OR(ISBLANK(C2006),C2006=""),"",ROUND((C2006-B2006)*24,2))</f>
        <v/>
      </c>
      <c r="N2006" s="19" t="str">
        <f>IF(OR(ISBLANK(C2006),C2006="",M2006=""),"In Progress",IF(M2006&lt;=J2006,"Met","Breached"))</f>
        <v>In Progress</v>
      </c>
    </row>
    <row r="2007" ht="19" customHeight="1" spans="1:14" x14ac:dyDescent="0.25">
      <c r="A2007" s="22" t="s">
        <v>2121</v>
      </c>
      <c r="B2007" s="36">
        <v>46183.51597222222</v>
      </c>
      <c r="C2007" s="36">
        <v>46187.523611111115</v>
      </c>
      <c r="D2007" s="22" t="s">
        <v>33</v>
      </c>
      <c r="E2007" s="22" t="s">
        <v>69</v>
      </c>
      <c r="F2007" s="22" t="s">
        <v>37</v>
      </c>
      <c r="G2007" s="22" t="s">
        <v>63</v>
      </c>
      <c r="H2007" s="22" t="s">
        <v>59</v>
      </c>
      <c r="I2007" s="22" t="s">
        <v>123</v>
      </c>
      <c r="J2007" s="23">
        <v>120</v>
      </c>
      <c r="K2007" s="37">
        <v>1</v>
      </c>
      <c r="L2007" s="37">
        <v>5</v>
      </c>
      <c r="M2007" s="22">
        <f>IF(OR(ISBLANK(C2007),C2007=""),"",ROUND((C2007-B2007)*24,2))</f>
        <v>96.18</v>
      </c>
      <c r="N2007" s="40" t="str">
        <f>IF(OR(ISBLANK(C2007),C2007="",M2007=""),"In Progress",IF(M2007&lt;=J2007,"Met","Breached"))</f>
        <v>Met</v>
      </c>
    </row>
    <row r="2008" ht="19" customHeight="1" spans="1:14" x14ac:dyDescent="0.25">
      <c r="A2008" s="19" t="s">
        <v>2122</v>
      </c>
      <c r="B2008" s="33">
        <v>46108.16180555556</v>
      </c>
      <c r="C2008" s="33">
        <v>46111.1875</v>
      </c>
      <c r="D2008" s="19" t="s">
        <v>36</v>
      </c>
      <c r="E2008" s="19" t="s">
        <v>65</v>
      </c>
      <c r="F2008" s="19" t="s">
        <v>43</v>
      </c>
      <c r="G2008" s="19" t="s">
        <v>113</v>
      </c>
      <c r="H2008" s="19" t="s">
        <v>59</v>
      </c>
      <c r="I2008" s="19" t="s">
        <v>114</v>
      </c>
      <c r="J2008" s="20">
        <v>48</v>
      </c>
      <c r="K2008" s="34">
        <v>0</v>
      </c>
      <c r="L2008" s="34">
        <v>4</v>
      </c>
      <c r="M2008" s="19">
        <f>IF(OR(ISBLANK(C2008),C2008=""),"",ROUND((C2008-B2008)*24,2))</f>
        <v>72.62</v>
      </c>
      <c r="N2008" s="39" t="str">
        <f>IF(OR(ISBLANK(C2008),C2008="",M2008=""),"In Progress",IF(M2008&lt;=J2008,"Met","Breached"))</f>
        <v>Breached</v>
      </c>
    </row>
    <row r="2009" ht="19" customHeight="1" spans="1:14" x14ac:dyDescent="0.25">
      <c r="A2009" s="22" t="s">
        <v>2123</v>
      </c>
      <c r="B2009" s="36">
        <v>46210.66180555556</v>
      </c>
      <c r="C2009" s="36">
        <v>46214.131944444445</v>
      </c>
      <c r="D2009" s="22" t="s">
        <v>33</v>
      </c>
      <c r="E2009" s="22" t="s">
        <v>69</v>
      </c>
      <c r="F2009" s="22" t="s">
        <v>40</v>
      </c>
      <c r="G2009" s="22" t="s">
        <v>121</v>
      </c>
      <c r="H2009" s="22" t="s">
        <v>63</v>
      </c>
      <c r="I2009" s="22" t="s">
        <v>117</v>
      </c>
      <c r="J2009" s="23">
        <v>120</v>
      </c>
      <c r="K2009" s="37">
        <v>0</v>
      </c>
      <c r="L2009" s="37">
        <v>1</v>
      </c>
      <c r="M2009" s="22">
        <f>IF(OR(ISBLANK(C2009),C2009=""),"",ROUND((C2009-B2009)*24,2))</f>
        <v>83.28</v>
      </c>
      <c r="N2009" s="40" t="str">
        <f>IF(OR(ISBLANK(C2009),C2009="",M2009=""),"In Progress",IF(M2009&lt;=J2009,"Met","Breached"))</f>
        <v>Met</v>
      </c>
    </row>
    <row r="2010" ht="19" customHeight="1" spans="1:14" x14ac:dyDescent="0.25">
      <c r="A2010" s="19" t="s">
        <v>2124</v>
      </c>
      <c r="B2010" s="33">
        <v>45948.525</v>
      </c>
      <c r="C2010" s="33">
        <v>45952.01736111111</v>
      </c>
      <c r="D2010" s="19" t="s">
        <v>33</v>
      </c>
      <c r="E2010" s="19" t="s">
        <v>65</v>
      </c>
      <c r="F2010" s="19" t="s">
        <v>43</v>
      </c>
      <c r="G2010" s="19" t="s">
        <v>63</v>
      </c>
      <c r="H2010" s="19" t="s">
        <v>59</v>
      </c>
      <c r="I2010" s="19" t="s">
        <v>117</v>
      </c>
      <c r="J2010" s="20">
        <v>48</v>
      </c>
      <c r="K2010" s="34">
        <v>0</v>
      </c>
      <c r="L2010" s="34">
        <v>3</v>
      </c>
      <c r="M2010" s="19">
        <f>IF(OR(ISBLANK(C2010),C2010=""),"",ROUND((C2010-B2010)*24,2))</f>
        <v>83.82</v>
      </c>
      <c r="N2010" s="39" t="str">
        <f>IF(OR(ISBLANK(C2010),C2010="",M2010=""),"In Progress",IF(M2010&lt;=J2010,"Met","Breached"))</f>
        <v>Breached</v>
      </c>
    </row>
    <row r="2011" ht="19" customHeight="1" spans="1:14" x14ac:dyDescent="0.25">
      <c r="A2011" s="22" t="s">
        <v>2125</v>
      </c>
      <c r="B2011" s="36">
        <v>45709.12291666667</v>
      </c>
      <c r="C2011" s="36">
        <v>45709.34861111111</v>
      </c>
      <c r="D2011" s="22" t="s">
        <v>36</v>
      </c>
      <c r="E2011" s="22" t="s">
        <v>57</v>
      </c>
      <c r="F2011" s="22" t="s">
        <v>34</v>
      </c>
      <c r="G2011" s="22" t="s">
        <v>116</v>
      </c>
      <c r="H2011" s="22" t="s">
        <v>71</v>
      </c>
      <c r="I2011" s="22" t="s">
        <v>123</v>
      </c>
      <c r="J2011" s="23">
        <v>4</v>
      </c>
      <c r="K2011" s="37">
        <v>0</v>
      </c>
      <c r="M2011" s="22">
        <f>IF(OR(ISBLANK(C2011),C2011=""),"",ROUND((C2011-B2011)*24,2))</f>
        <v>5.42</v>
      </c>
      <c r="N2011" s="38" t="str">
        <f>IF(OR(ISBLANK(C2011),C2011="",M2011=""),"In Progress",IF(M2011&lt;=J2011,"Met","Breached"))</f>
        <v>Breached</v>
      </c>
    </row>
    <row r="2012" ht="19" customHeight="1" spans="1:14" x14ac:dyDescent="0.25">
      <c r="A2012" s="19" t="s">
        <v>2126</v>
      </c>
      <c r="B2012" s="33">
        <v>45804.490277777775</v>
      </c>
      <c r="C2012" s="33">
        <v>45806.18680555555</v>
      </c>
      <c r="D2012" s="19" t="s">
        <v>36</v>
      </c>
      <c r="E2012" s="19" t="s">
        <v>69</v>
      </c>
      <c r="F2012" s="19" t="s">
        <v>40</v>
      </c>
      <c r="G2012" s="19" t="s">
        <v>63</v>
      </c>
      <c r="H2012" s="19" t="s">
        <v>63</v>
      </c>
      <c r="I2012" s="19" t="s">
        <v>114</v>
      </c>
      <c r="J2012" s="20">
        <v>120</v>
      </c>
      <c r="K2012" s="34">
        <v>1</v>
      </c>
      <c r="L2012" s="34">
        <v>5</v>
      </c>
      <c r="M2012" s="19">
        <f>IF(OR(ISBLANK(C2012),C2012=""),"",ROUND((C2012-B2012)*24,2))</f>
        <v>40.72</v>
      </c>
      <c r="N2012" s="35" t="str">
        <f>IF(OR(ISBLANK(C2012),C2012="",M2012=""),"In Progress",IF(M2012&lt;=J2012,"Met","Breached"))</f>
        <v>Met</v>
      </c>
    </row>
    <row r="2013" ht="19" customHeight="1" spans="1:14" x14ac:dyDescent="0.25">
      <c r="A2013" s="22" t="s">
        <v>2127</v>
      </c>
      <c r="B2013" s="36">
        <v>45684.57777777778</v>
      </c>
      <c r="C2013" s="36">
        <v>45685.3625</v>
      </c>
      <c r="D2013" s="22" t="s">
        <v>33</v>
      </c>
      <c r="E2013" s="22" t="s">
        <v>61</v>
      </c>
      <c r="F2013" s="22" t="s">
        <v>45</v>
      </c>
      <c r="G2013" s="22" t="s">
        <v>116</v>
      </c>
      <c r="H2013" s="22" t="s">
        <v>67</v>
      </c>
      <c r="I2013" s="22" t="s">
        <v>114</v>
      </c>
      <c r="J2013" s="23">
        <v>12</v>
      </c>
      <c r="K2013" s="37">
        <v>0</v>
      </c>
      <c r="L2013" s="37">
        <v>3</v>
      </c>
      <c r="M2013" s="22">
        <f>IF(OR(ISBLANK(C2013),C2013=""),"",ROUND((C2013-B2013)*24,2))</f>
        <v>18.83</v>
      </c>
      <c r="N2013" s="38" t="str">
        <f>IF(OR(ISBLANK(C2013),C2013="",M2013=""),"In Progress",IF(M2013&lt;=J2013,"Met","Breached"))</f>
        <v>Breached</v>
      </c>
    </row>
    <row r="2014" ht="19" customHeight="1" spans="1:14" x14ac:dyDescent="0.25">
      <c r="A2014" s="19" t="s">
        <v>2128</v>
      </c>
      <c r="B2014" s="33">
        <v>45844.79375</v>
      </c>
      <c r="D2014" s="19" t="s">
        <v>42</v>
      </c>
      <c r="E2014" s="19" t="s">
        <v>61</v>
      </c>
      <c r="F2014" s="19" t="s">
        <v>37</v>
      </c>
      <c r="G2014" s="19" t="s">
        <v>126</v>
      </c>
      <c r="H2014" s="19" t="s">
        <v>59</v>
      </c>
      <c r="I2014" s="19" t="s">
        <v>108</v>
      </c>
      <c r="J2014" s="20">
        <v>12</v>
      </c>
      <c r="K2014" s="34">
        <v>0</v>
      </c>
      <c r="M2014" s="19" t="str">
        <f>IF(OR(ISBLANK(C2014),C2014=""),"",ROUND((C2014-B2014)*24,2))</f>
        <v/>
      </c>
      <c r="N2014" s="19" t="str">
        <f>IF(OR(ISBLANK(C2014),C2014="",M2014=""),"In Progress",IF(M2014&lt;=J2014,"Met","Breached"))</f>
        <v>In Progress</v>
      </c>
    </row>
    <row r="2015" ht="19" customHeight="1" spans="1:14" x14ac:dyDescent="0.25">
      <c r="A2015" s="22" t="s">
        <v>2129</v>
      </c>
      <c r="B2015" s="36">
        <v>46193.72916666667</v>
      </c>
      <c r="C2015" s="36">
        <v>46194.65763888889</v>
      </c>
      <c r="D2015" s="22" t="s">
        <v>33</v>
      </c>
      <c r="E2015" s="22" t="s">
        <v>65</v>
      </c>
      <c r="F2015" s="22" t="s">
        <v>40</v>
      </c>
      <c r="G2015" s="22" t="s">
        <v>116</v>
      </c>
      <c r="H2015" s="22" t="s">
        <v>59</v>
      </c>
      <c r="I2015" s="22" t="s">
        <v>108</v>
      </c>
      <c r="J2015" s="23">
        <v>48</v>
      </c>
      <c r="K2015" s="37">
        <v>1</v>
      </c>
      <c r="L2015" s="37">
        <v>4</v>
      </c>
      <c r="M2015" s="22">
        <f>IF(OR(ISBLANK(C2015),C2015=""),"",ROUND((C2015-B2015)*24,2))</f>
        <v>22.28</v>
      </c>
      <c r="N2015" s="40" t="str">
        <f>IF(OR(ISBLANK(C2015),C2015="",M2015=""),"In Progress",IF(M2015&lt;=J2015,"Met","Breached"))</f>
        <v>Met</v>
      </c>
    </row>
    <row r="2016" ht="19" customHeight="1" spans="1:14" x14ac:dyDescent="0.25">
      <c r="A2016" s="19" t="s">
        <v>2130</v>
      </c>
      <c r="B2016" s="33">
        <v>46220.98402777778</v>
      </c>
      <c r="C2016" s="33">
        <v>46228.95972222222</v>
      </c>
      <c r="D2016" s="19" t="s">
        <v>33</v>
      </c>
      <c r="E2016" s="19" t="s">
        <v>69</v>
      </c>
      <c r="F2016" s="19" t="s">
        <v>34</v>
      </c>
      <c r="G2016" s="19" t="s">
        <v>63</v>
      </c>
      <c r="H2016" s="19" t="s">
        <v>59</v>
      </c>
      <c r="I2016" s="19" t="s">
        <v>111</v>
      </c>
      <c r="J2016" s="20">
        <v>120</v>
      </c>
      <c r="K2016" s="34">
        <v>1</v>
      </c>
      <c r="L2016" s="34">
        <v>5</v>
      </c>
      <c r="M2016" s="19">
        <f>IF(OR(ISBLANK(C2016),C2016=""),"",ROUND((C2016-B2016)*24,2))</f>
        <v>191.42</v>
      </c>
      <c r="N2016" s="39" t="str">
        <f>IF(OR(ISBLANK(C2016),C2016="",M2016=""),"In Progress",IF(M2016&lt;=J2016,"Met","Breached"))</f>
        <v>Breached</v>
      </c>
    </row>
    <row r="2017" ht="19" customHeight="1" spans="1:14" x14ac:dyDescent="0.25">
      <c r="A2017" s="22" t="s">
        <v>2131</v>
      </c>
      <c r="B2017" s="36">
        <v>45878.06736111111</v>
      </c>
      <c r="C2017" s="36">
        <v>45883.90763888889</v>
      </c>
      <c r="D2017" s="22" t="s">
        <v>33</v>
      </c>
      <c r="E2017" s="22" t="s">
        <v>69</v>
      </c>
      <c r="F2017" s="22" t="s">
        <v>43</v>
      </c>
      <c r="G2017" s="22" t="s">
        <v>110</v>
      </c>
      <c r="H2017" s="22" t="s">
        <v>59</v>
      </c>
      <c r="I2017" s="22" t="s">
        <v>108</v>
      </c>
      <c r="J2017" s="23">
        <v>120</v>
      </c>
      <c r="K2017" s="37">
        <v>0</v>
      </c>
      <c r="L2017" s="37">
        <v>4</v>
      </c>
      <c r="M2017" s="22">
        <f>IF(OR(ISBLANK(C2017),C2017=""),"",ROUND((C2017-B2017)*24,2))</f>
        <v>140.17</v>
      </c>
      <c r="N2017" s="38" t="str">
        <f>IF(OR(ISBLANK(C2017),C2017="",M2017=""),"In Progress",IF(M2017&lt;=J2017,"Met","Breached"))</f>
        <v>Breached</v>
      </c>
    </row>
    <row r="2018" ht="19" customHeight="1" spans="1:14" x14ac:dyDescent="0.25">
      <c r="A2018" s="19" t="s">
        <v>2132</v>
      </c>
      <c r="B2018" s="33">
        <v>45981.57777777778</v>
      </c>
      <c r="C2018" s="33">
        <v>45981.819444444445</v>
      </c>
      <c r="D2018" s="19" t="s">
        <v>33</v>
      </c>
      <c r="E2018" s="19" t="s">
        <v>61</v>
      </c>
      <c r="F2018" s="19" t="s">
        <v>45</v>
      </c>
      <c r="G2018" s="19" t="s">
        <v>121</v>
      </c>
      <c r="H2018" s="19" t="s">
        <v>59</v>
      </c>
      <c r="I2018" s="19" t="s">
        <v>117</v>
      </c>
      <c r="J2018" s="20">
        <v>12</v>
      </c>
      <c r="K2018" s="34">
        <v>0</v>
      </c>
      <c r="L2018" s="34">
        <v>1</v>
      </c>
      <c r="M2018" s="19">
        <f>IF(OR(ISBLANK(C2018),C2018=""),"",ROUND((C2018-B2018)*24,2))</f>
        <v>5.8</v>
      </c>
      <c r="N2018" s="35" t="str">
        <f>IF(OR(ISBLANK(C2018),C2018="",M2018=""),"In Progress",IF(M2018&lt;=J2018,"Met","Breached"))</f>
        <v>Met</v>
      </c>
    </row>
    <row r="2019" ht="19" customHeight="1" spans="1:14" x14ac:dyDescent="0.25">
      <c r="A2019" s="22" t="s">
        <v>2133</v>
      </c>
      <c r="B2019" s="36">
        <v>45811.44305555556</v>
      </c>
      <c r="D2019" s="22" t="s">
        <v>39</v>
      </c>
      <c r="E2019" s="22" t="s">
        <v>69</v>
      </c>
      <c r="F2019" s="22" t="s">
        <v>43</v>
      </c>
      <c r="G2019" s="22" t="s">
        <v>113</v>
      </c>
      <c r="H2019" s="22" t="s">
        <v>59</v>
      </c>
      <c r="I2019" s="22" t="s">
        <v>108</v>
      </c>
      <c r="J2019" s="23">
        <v>120</v>
      </c>
      <c r="K2019" s="37">
        <v>0</v>
      </c>
      <c r="M2019" s="22" t="str">
        <f>IF(OR(ISBLANK(C2019),C2019=""),"",ROUND((C2019-B2019)*24,2))</f>
        <v/>
      </c>
      <c r="N2019" s="22" t="str">
        <f>IF(OR(ISBLANK(C2019),C2019="",M2019=""),"In Progress",IF(M2019&lt;=J2019,"Met","Breached"))</f>
        <v>In Progress</v>
      </c>
    </row>
    <row r="2020" ht="19" customHeight="1" spans="1:14" x14ac:dyDescent="0.25">
      <c r="A2020" s="19" t="s">
        <v>2134</v>
      </c>
      <c r="B2020" s="33">
        <v>45892.618055555555</v>
      </c>
      <c r="C2020" s="33">
        <v>45900.134722222225</v>
      </c>
      <c r="D2020" s="19" t="s">
        <v>33</v>
      </c>
      <c r="E2020" s="19" t="s">
        <v>69</v>
      </c>
      <c r="F2020" s="19" t="s">
        <v>45</v>
      </c>
      <c r="G2020" s="19" t="s">
        <v>63</v>
      </c>
      <c r="H2020" s="19" t="s">
        <v>63</v>
      </c>
      <c r="I2020" s="19" t="s">
        <v>114</v>
      </c>
      <c r="J2020" s="20">
        <v>120</v>
      </c>
      <c r="K2020" s="34">
        <v>0</v>
      </c>
      <c r="L2020" s="34">
        <v>2</v>
      </c>
      <c r="M2020" s="19">
        <f>IF(OR(ISBLANK(C2020),C2020=""),"",ROUND((C2020-B2020)*24,2))</f>
        <v>180.4</v>
      </c>
      <c r="N2020" s="39" t="str">
        <f>IF(OR(ISBLANK(C2020),C2020="",M2020=""),"In Progress",IF(M2020&lt;=J2020,"Met","Breached"))</f>
        <v>Breached</v>
      </c>
    </row>
    <row r="2021" ht="19" customHeight="1" spans="1:14" x14ac:dyDescent="0.25">
      <c r="A2021" s="22" t="s">
        <v>2135</v>
      </c>
      <c r="B2021" s="36">
        <v>46137.99722222222</v>
      </c>
      <c r="C2021" s="36">
        <v>46138.23472222222</v>
      </c>
      <c r="D2021" s="22" t="s">
        <v>33</v>
      </c>
      <c r="E2021" s="22" t="s">
        <v>57</v>
      </c>
      <c r="F2021" s="22" t="s">
        <v>43</v>
      </c>
      <c r="G2021" s="22" t="s">
        <v>116</v>
      </c>
      <c r="H2021" s="22" t="s">
        <v>59</v>
      </c>
      <c r="I2021" s="22" t="s">
        <v>123</v>
      </c>
      <c r="J2021" s="23">
        <v>4</v>
      </c>
      <c r="K2021" s="37">
        <v>0</v>
      </c>
      <c r="M2021" s="22">
        <f>IF(OR(ISBLANK(C2021),C2021=""),"",ROUND((C2021-B2021)*24,2))</f>
        <v>5.7</v>
      </c>
      <c r="N2021" s="38" t="str">
        <f>IF(OR(ISBLANK(C2021),C2021="",M2021=""),"In Progress",IF(M2021&lt;=J2021,"Met","Breached"))</f>
        <v>Breached</v>
      </c>
    </row>
    <row r="2022" ht="19" customHeight="1" spans="1:14" x14ac:dyDescent="0.25">
      <c r="A2022" s="19" t="s">
        <v>2136</v>
      </c>
      <c r="B2022" s="33">
        <v>45749.90138888889</v>
      </c>
      <c r="D2022" s="19" t="s">
        <v>42</v>
      </c>
      <c r="E2022" s="19" t="s">
        <v>65</v>
      </c>
      <c r="F2022" s="19" t="s">
        <v>34</v>
      </c>
      <c r="G2022" s="19" t="s">
        <v>110</v>
      </c>
      <c r="H2022" s="19" t="s">
        <v>63</v>
      </c>
      <c r="I2022" s="19" t="s">
        <v>114</v>
      </c>
      <c r="J2022" s="20">
        <v>48</v>
      </c>
      <c r="K2022" s="34">
        <v>0</v>
      </c>
      <c r="M2022" s="19" t="str">
        <f>IF(OR(ISBLANK(C2022),C2022=""),"",ROUND((C2022-B2022)*24,2))</f>
        <v/>
      </c>
      <c r="N2022" s="19" t="str">
        <f>IF(OR(ISBLANK(C2022),C2022="",M2022=""),"In Progress",IF(M2022&lt;=J2022,"Met","Breached"))</f>
        <v>In Progress</v>
      </c>
    </row>
    <row r="2023" ht="19" customHeight="1" spans="1:14" x14ac:dyDescent="0.25">
      <c r="A2023" s="22" t="s">
        <v>2137</v>
      </c>
      <c r="B2023" s="36">
        <v>46007.50625</v>
      </c>
      <c r="C2023" s="36">
        <v>46008.39166666666</v>
      </c>
      <c r="D2023" s="22" t="s">
        <v>33</v>
      </c>
      <c r="E2023" s="22" t="s">
        <v>61</v>
      </c>
      <c r="F2023" s="22" t="s">
        <v>37</v>
      </c>
      <c r="G2023" s="22" t="s">
        <v>121</v>
      </c>
      <c r="H2023" s="22" t="s">
        <v>71</v>
      </c>
      <c r="I2023" s="22" t="s">
        <v>123</v>
      </c>
      <c r="J2023" s="23">
        <v>12</v>
      </c>
      <c r="K2023" s="37">
        <v>0</v>
      </c>
      <c r="M2023" s="22">
        <f>IF(OR(ISBLANK(C2023),C2023=""),"",ROUND((C2023-B2023)*24,2))</f>
        <v>21.25</v>
      </c>
      <c r="N2023" s="38" t="str">
        <f>IF(OR(ISBLANK(C2023),C2023="",M2023=""),"In Progress",IF(M2023&lt;=J2023,"Met","Breached"))</f>
        <v>Breached</v>
      </c>
    </row>
    <row r="2024" ht="19" customHeight="1" spans="1:14" x14ac:dyDescent="0.25">
      <c r="A2024" s="19" t="s">
        <v>2138</v>
      </c>
      <c r="B2024" s="33">
        <v>45858.80763888889</v>
      </c>
      <c r="C2024" s="33">
        <v>45859.643055555556</v>
      </c>
      <c r="D2024" s="19" t="s">
        <v>33</v>
      </c>
      <c r="E2024" s="19" t="s">
        <v>61</v>
      </c>
      <c r="F2024" s="19" t="s">
        <v>43</v>
      </c>
      <c r="G2024" s="19" t="s">
        <v>113</v>
      </c>
      <c r="H2024" s="19" t="s">
        <v>63</v>
      </c>
      <c r="I2024" s="19" t="s">
        <v>117</v>
      </c>
      <c r="J2024" s="20">
        <v>12</v>
      </c>
      <c r="K2024" s="34">
        <v>0</v>
      </c>
      <c r="M2024" s="19">
        <f>IF(OR(ISBLANK(C2024),C2024=""),"",ROUND((C2024-B2024)*24,2))</f>
        <v>20.05</v>
      </c>
      <c r="N2024" s="39" t="str">
        <f>IF(OR(ISBLANK(C2024),C2024="",M2024=""),"In Progress",IF(M2024&lt;=J2024,"Met","Breached"))</f>
        <v>Breached</v>
      </c>
    </row>
    <row r="2025" ht="19" customHeight="1" spans="1:14" x14ac:dyDescent="0.25">
      <c r="A2025" s="22" t="s">
        <v>2139</v>
      </c>
      <c r="B2025" s="36">
        <v>45792.86458333333</v>
      </c>
      <c r="D2025" s="22" t="s">
        <v>42</v>
      </c>
      <c r="E2025" s="22" t="s">
        <v>65</v>
      </c>
      <c r="F2025" s="22" t="s">
        <v>45</v>
      </c>
      <c r="G2025" s="22" t="s">
        <v>63</v>
      </c>
      <c r="H2025" s="22" t="s">
        <v>59</v>
      </c>
      <c r="I2025" s="22" t="s">
        <v>147</v>
      </c>
      <c r="J2025" s="23">
        <v>48</v>
      </c>
      <c r="K2025" s="37">
        <v>0</v>
      </c>
      <c r="M2025" s="22" t="str">
        <f>IF(OR(ISBLANK(C2025),C2025=""),"",ROUND((C2025-B2025)*24,2))</f>
        <v/>
      </c>
      <c r="N2025" s="22" t="str">
        <f>IF(OR(ISBLANK(C2025),C2025="",M2025=""),"In Progress",IF(M2025&lt;=J2025,"Met","Breached"))</f>
        <v>In Progress</v>
      </c>
    </row>
    <row r="2026" ht="19" customHeight="1" spans="1:14" x14ac:dyDescent="0.25">
      <c r="A2026" s="19" t="s">
        <v>2140</v>
      </c>
      <c r="B2026" s="33">
        <v>45862.87777777778</v>
      </c>
      <c r="C2026" s="33">
        <v>45865.87152777778</v>
      </c>
      <c r="D2026" s="19" t="s">
        <v>33</v>
      </c>
      <c r="E2026" s="19" t="s">
        <v>65</v>
      </c>
      <c r="F2026" s="19" t="s">
        <v>45</v>
      </c>
      <c r="G2026" s="19" t="s">
        <v>113</v>
      </c>
      <c r="H2026" s="19" t="s">
        <v>71</v>
      </c>
      <c r="I2026" s="19" t="s">
        <v>123</v>
      </c>
      <c r="J2026" s="20">
        <v>48</v>
      </c>
      <c r="K2026" s="34">
        <v>0</v>
      </c>
      <c r="L2026" s="34">
        <v>4</v>
      </c>
      <c r="M2026" s="19">
        <f>IF(OR(ISBLANK(C2026),C2026=""),"",ROUND((C2026-B2026)*24,2))</f>
        <v>71.85</v>
      </c>
      <c r="N2026" s="39" t="str">
        <f>IF(OR(ISBLANK(C2026),C2026="",M2026=""),"In Progress",IF(M2026&lt;=J2026,"Met","Breached"))</f>
        <v>Breached</v>
      </c>
    </row>
    <row r="2027" ht="19" customHeight="1" spans="1:14" x14ac:dyDescent="0.25">
      <c r="A2027" s="22" t="s">
        <v>2141</v>
      </c>
      <c r="B2027" s="36">
        <v>46036.78611111111</v>
      </c>
      <c r="C2027" s="36">
        <v>46043.14236111111</v>
      </c>
      <c r="D2027" s="22" t="s">
        <v>33</v>
      </c>
      <c r="E2027" s="22" t="s">
        <v>69</v>
      </c>
      <c r="F2027" s="22" t="s">
        <v>37</v>
      </c>
      <c r="G2027" s="22" t="s">
        <v>121</v>
      </c>
      <c r="H2027" s="22" t="s">
        <v>59</v>
      </c>
      <c r="I2027" s="22" t="s">
        <v>108</v>
      </c>
      <c r="J2027" s="23">
        <v>120</v>
      </c>
      <c r="K2027" s="37">
        <v>0</v>
      </c>
      <c r="L2027" s="37">
        <v>1</v>
      </c>
      <c r="M2027" s="22">
        <f>IF(OR(ISBLANK(C2027),C2027=""),"",ROUND((C2027-B2027)*24,2))</f>
        <v>152.55</v>
      </c>
      <c r="N2027" s="38" t="str">
        <f>IF(OR(ISBLANK(C2027),C2027="",M2027=""),"In Progress",IF(M2027&lt;=J2027,"Met","Breached"))</f>
        <v>Breached</v>
      </c>
    </row>
    <row r="2028" ht="19" customHeight="1" spans="1:14" x14ac:dyDescent="0.25">
      <c r="A2028" s="19" t="s">
        <v>2142</v>
      </c>
      <c r="B2028" s="33">
        <v>46207.84305555555</v>
      </c>
      <c r="C2028" s="33">
        <v>46208.73333333334</v>
      </c>
      <c r="D2028" s="19" t="s">
        <v>33</v>
      </c>
      <c r="E2028" s="19" t="s">
        <v>65</v>
      </c>
      <c r="F2028" s="19" t="s">
        <v>34</v>
      </c>
      <c r="G2028" s="19" t="s">
        <v>113</v>
      </c>
      <c r="H2028" s="19" t="s">
        <v>59</v>
      </c>
      <c r="I2028" s="19" t="s">
        <v>114</v>
      </c>
      <c r="J2028" s="20">
        <v>48</v>
      </c>
      <c r="K2028" s="34">
        <v>0</v>
      </c>
      <c r="L2028" s="34">
        <v>2</v>
      </c>
      <c r="M2028" s="19">
        <f>IF(OR(ISBLANK(C2028),C2028=""),"",ROUND((C2028-B2028)*24,2))</f>
        <v>21.37</v>
      </c>
      <c r="N2028" s="35" t="str">
        <f>IF(OR(ISBLANK(C2028),C2028="",M2028=""),"In Progress",IF(M2028&lt;=J2028,"Met","Breached"))</f>
        <v>Met</v>
      </c>
    </row>
    <row r="2029" ht="19" customHeight="1" spans="1:14" x14ac:dyDescent="0.25">
      <c r="A2029" s="22" t="s">
        <v>2143</v>
      </c>
      <c r="B2029" s="36">
        <v>46198.23958333333</v>
      </c>
      <c r="C2029" s="36">
        <v>46199.79791666666</v>
      </c>
      <c r="D2029" s="22" t="s">
        <v>33</v>
      </c>
      <c r="E2029" s="22" t="s">
        <v>65</v>
      </c>
      <c r="F2029" s="22" t="s">
        <v>45</v>
      </c>
      <c r="G2029" s="22" t="s">
        <v>116</v>
      </c>
      <c r="H2029" s="22" t="s">
        <v>67</v>
      </c>
      <c r="I2029" s="22" t="s">
        <v>114</v>
      </c>
      <c r="J2029" s="23">
        <v>48</v>
      </c>
      <c r="K2029" s="37">
        <v>0</v>
      </c>
      <c r="M2029" s="22">
        <f>IF(OR(ISBLANK(C2029),C2029=""),"",ROUND((C2029-B2029)*24,2))</f>
        <v>37.4</v>
      </c>
      <c r="N2029" s="40" t="str">
        <f>IF(OR(ISBLANK(C2029),C2029="",M2029=""),"In Progress",IF(M2029&lt;=J2029,"Met","Breached"))</f>
        <v>Met</v>
      </c>
    </row>
    <row r="2030" ht="19" customHeight="1" spans="1:14" x14ac:dyDescent="0.25">
      <c r="A2030" s="19" t="s">
        <v>2144</v>
      </c>
      <c r="B2030" s="33">
        <v>46044.45208333334</v>
      </c>
      <c r="C2030" s="33">
        <v>46044.615277777775</v>
      </c>
      <c r="D2030" s="19" t="s">
        <v>33</v>
      </c>
      <c r="E2030" s="19" t="s">
        <v>57</v>
      </c>
      <c r="F2030" s="19" t="s">
        <v>40</v>
      </c>
      <c r="G2030" s="19" t="s">
        <v>113</v>
      </c>
      <c r="H2030" s="19" t="s">
        <v>63</v>
      </c>
      <c r="I2030" s="19" t="s">
        <v>147</v>
      </c>
      <c r="J2030" s="20">
        <v>4</v>
      </c>
      <c r="K2030" s="34">
        <v>0</v>
      </c>
      <c r="L2030" s="34">
        <v>3</v>
      </c>
      <c r="M2030" s="19">
        <f>IF(OR(ISBLANK(C2030),C2030=""),"",ROUND((C2030-B2030)*24,2))</f>
        <v>3.92</v>
      </c>
      <c r="N2030" s="35" t="str">
        <f>IF(OR(ISBLANK(C2030),C2030="",M2030=""),"In Progress",IF(M2030&lt;=J2030,"Met","Breached"))</f>
        <v>Met</v>
      </c>
    </row>
    <row r="2031" ht="19" customHeight="1" spans="1:14" x14ac:dyDescent="0.25">
      <c r="A2031" s="22" t="s">
        <v>2145</v>
      </c>
      <c r="B2031" s="36">
        <v>46109.98819444445</v>
      </c>
      <c r="D2031" s="22" t="s">
        <v>39</v>
      </c>
      <c r="E2031" s="22" t="s">
        <v>65</v>
      </c>
      <c r="F2031" s="22" t="s">
        <v>43</v>
      </c>
      <c r="G2031" s="22" t="s">
        <v>126</v>
      </c>
      <c r="H2031" s="22" t="s">
        <v>71</v>
      </c>
      <c r="I2031" s="22" t="s">
        <v>108</v>
      </c>
      <c r="J2031" s="23">
        <v>48</v>
      </c>
      <c r="K2031" s="37">
        <v>0</v>
      </c>
      <c r="M2031" s="22" t="str">
        <f>IF(OR(ISBLANK(C2031),C2031=""),"",ROUND((C2031-B2031)*24,2))</f>
        <v/>
      </c>
      <c r="N2031" s="22" t="str">
        <f>IF(OR(ISBLANK(C2031),C2031="",M2031=""),"In Progress",IF(M2031&lt;=J2031,"Met","Breached"))</f>
        <v>In Progress</v>
      </c>
    </row>
    <row r="2032" ht="19" customHeight="1" spans="1:14" x14ac:dyDescent="0.25">
      <c r="A2032" s="19" t="s">
        <v>2146</v>
      </c>
      <c r="B2032" s="33">
        <v>45799.49166666667</v>
      </c>
      <c r="C2032" s="33">
        <v>45801.584027777775</v>
      </c>
      <c r="D2032" s="19" t="s">
        <v>33</v>
      </c>
      <c r="E2032" s="19" t="s">
        <v>65</v>
      </c>
      <c r="F2032" s="19" t="s">
        <v>40</v>
      </c>
      <c r="G2032" s="19" t="s">
        <v>63</v>
      </c>
      <c r="H2032" s="19" t="s">
        <v>59</v>
      </c>
      <c r="I2032" s="19" t="s">
        <v>117</v>
      </c>
      <c r="J2032" s="20">
        <v>48</v>
      </c>
      <c r="K2032" s="34">
        <v>0</v>
      </c>
      <c r="L2032" s="34">
        <v>4</v>
      </c>
      <c r="M2032" s="19">
        <f>IF(OR(ISBLANK(C2032),C2032=""),"",ROUND((C2032-B2032)*24,2))</f>
        <v>50.22</v>
      </c>
      <c r="N2032" s="39" t="str">
        <f>IF(OR(ISBLANK(C2032),C2032="",M2032=""),"In Progress",IF(M2032&lt;=J2032,"Met","Breached"))</f>
        <v>Breached</v>
      </c>
    </row>
    <row r="2033" ht="19" customHeight="1" spans="1:14" x14ac:dyDescent="0.25">
      <c r="A2033" s="22" t="s">
        <v>2147</v>
      </c>
      <c r="B2033" s="36">
        <v>45834.16527777778</v>
      </c>
      <c r="C2033" s="36">
        <v>45835.87013888889</v>
      </c>
      <c r="D2033" s="22" t="s">
        <v>33</v>
      </c>
      <c r="E2033" s="22" t="s">
        <v>65</v>
      </c>
      <c r="F2033" s="22" t="s">
        <v>45</v>
      </c>
      <c r="G2033" s="22" t="s">
        <v>116</v>
      </c>
      <c r="H2033" s="22" t="s">
        <v>59</v>
      </c>
      <c r="I2033" s="22" t="s">
        <v>111</v>
      </c>
      <c r="J2033" s="23">
        <v>48</v>
      </c>
      <c r="K2033" s="37">
        <v>0</v>
      </c>
      <c r="L2033" s="37">
        <v>1</v>
      </c>
      <c r="M2033" s="22">
        <f>IF(OR(ISBLANK(C2033),C2033=""),"",ROUND((C2033-B2033)*24,2))</f>
        <v>40.92</v>
      </c>
      <c r="N2033" s="40" t="str">
        <f>IF(OR(ISBLANK(C2033),C2033="",M2033=""),"In Progress",IF(M2033&lt;=J2033,"Met","Breached"))</f>
        <v>Met</v>
      </c>
    </row>
    <row r="2034" ht="19" customHeight="1" spans="1:14" x14ac:dyDescent="0.25">
      <c r="A2034" s="19" t="s">
        <v>2148</v>
      </c>
      <c r="B2034" s="33">
        <v>46263.02569444444</v>
      </c>
      <c r="C2034" s="33">
        <v>46263.853472222225</v>
      </c>
      <c r="D2034" s="19" t="s">
        <v>33</v>
      </c>
      <c r="E2034" s="19" t="s">
        <v>61</v>
      </c>
      <c r="F2034" s="19" t="s">
        <v>45</v>
      </c>
      <c r="G2034" s="19" t="s">
        <v>110</v>
      </c>
      <c r="H2034" s="19" t="s">
        <v>67</v>
      </c>
      <c r="I2034" s="19" t="s">
        <v>123</v>
      </c>
      <c r="J2034" s="20">
        <v>12</v>
      </c>
      <c r="K2034" s="34">
        <v>0</v>
      </c>
      <c r="L2034" s="34">
        <v>1</v>
      </c>
      <c r="M2034" s="19">
        <f>IF(OR(ISBLANK(C2034),C2034=""),"",ROUND((C2034-B2034)*24,2))</f>
        <v>19.87</v>
      </c>
      <c r="N2034" s="39" t="str">
        <f>IF(OR(ISBLANK(C2034),C2034="",M2034=""),"In Progress",IF(M2034&lt;=J2034,"Met","Breached"))</f>
        <v>Breached</v>
      </c>
    </row>
    <row r="2035" ht="19" customHeight="1" spans="1:14" x14ac:dyDescent="0.25">
      <c r="A2035" s="22" t="s">
        <v>2149</v>
      </c>
      <c r="B2035" s="36">
        <v>45922.5125</v>
      </c>
      <c r="D2035" s="22" t="s">
        <v>39</v>
      </c>
      <c r="E2035" s="22" t="s">
        <v>69</v>
      </c>
      <c r="F2035" s="22" t="s">
        <v>34</v>
      </c>
      <c r="G2035" s="22" t="s">
        <v>113</v>
      </c>
      <c r="H2035" s="22" t="s">
        <v>71</v>
      </c>
      <c r="I2035" s="22" t="s">
        <v>111</v>
      </c>
      <c r="J2035" s="23">
        <v>120</v>
      </c>
      <c r="K2035" s="37">
        <v>0</v>
      </c>
      <c r="M2035" s="22" t="str">
        <f>IF(OR(ISBLANK(C2035),C2035=""),"",ROUND((C2035-B2035)*24,2))</f>
        <v/>
      </c>
      <c r="N2035" s="22" t="str">
        <f>IF(OR(ISBLANK(C2035),C2035="",M2035=""),"In Progress",IF(M2035&lt;=J2035,"Met","Breached"))</f>
        <v>In Progress</v>
      </c>
    </row>
    <row r="2036" ht="19" customHeight="1" spans="1:14" x14ac:dyDescent="0.25">
      <c r="A2036" s="19" t="s">
        <v>2150</v>
      </c>
      <c r="B2036" s="33">
        <v>45823.81875</v>
      </c>
      <c r="C2036" s="33">
        <v>45825.52916666667</v>
      </c>
      <c r="D2036" s="19" t="s">
        <v>36</v>
      </c>
      <c r="E2036" s="19" t="s">
        <v>65</v>
      </c>
      <c r="F2036" s="19" t="s">
        <v>37</v>
      </c>
      <c r="G2036" s="19" t="s">
        <v>110</v>
      </c>
      <c r="H2036" s="19" t="s">
        <v>59</v>
      </c>
      <c r="I2036" s="19" t="s">
        <v>108</v>
      </c>
      <c r="J2036" s="20">
        <v>48</v>
      </c>
      <c r="K2036" s="34">
        <v>0</v>
      </c>
      <c r="L2036" s="34">
        <v>4</v>
      </c>
      <c r="M2036" s="19">
        <f>IF(OR(ISBLANK(C2036),C2036=""),"",ROUND((C2036-B2036)*24,2))</f>
        <v>41.05</v>
      </c>
      <c r="N2036" s="35" t="str">
        <f>IF(OR(ISBLANK(C2036),C2036="",M2036=""),"In Progress",IF(M2036&lt;=J2036,"Met","Breached"))</f>
        <v>Met</v>
      </c>
    </row>
    <row r="2037" ht="19" customHeight="1" spans="1:14" x14ac:dyDescent="0.25">
      <c r="A2037" s="22" t="s">
        <v>2151</v>
      </c>
      <c r="B2037" s="36">
        <v>45887.27222222222</v>
      </c>
      <c r="C2037" s="36">
        <v>45890.580555555556</v>
      </c>
      <c r="D2037" s="22" t="s">
        <v>36</v>
      </c>
      <c r="E2037" s="22" t="s">
        <v>65</v>
      </c>
      <c r="F2037" s="22" t="s">
        <v>43</v>
      </c>
      <c r="G2037" s="22" t="s">
        <v>126</v>
      </c>
      <c r="H2037" s="22" t="s">
        <v>63</v>
      </c>
      <c r="I2037" s="22" t="s">
        <v>147</v>
      </c>
      <c r="J2037" s="23">
        <v>48</v>
      </c>
      <c r="K2037" s="37">
        <v>0</v>
      </c>
      <c r="L2037" s="37">
        <v>2</v>
      </c>
      <c r="M2037" s="22">
        <f>IF(OR(ISBLANK(C2037),C2037=""),"",ROUND((C2037-B2037)*24,2))</f>
        <v>79.4</v>
      </c>
      <c r="N2037" s="38" t="str">
        <f>IF(OR(ISBLANK(C2037),C2037="",M2037=""),"In Progress",IF(M2037&lt;=J2037,"Met","Breached"))</f>
        <v>Breached</v>
      </c>
    </row>
    <row r="2038" ht="19" customHeight="1" spans="1:14" x14ac:dyDescent="0.25">
      <c r="A2038" s="19" t="s">
        <v>2152</v>
      </c>
      <c r="B2038" s="33">
        <v>45916.23611111111</v>
      </c>
      <c r="C2038" s="33">
        <v>45916.70416666666</v>
      </c>
      <c r="D2038" s="19" t="s">
        <v>36</v>
      </c>
      <c r="E2038" s="19" t="s">
        <v>61</v>
      </c>
      <c r="F2038" s="19" t="s">
        <v>34</v>
      </c>
      <c r="G2038" s="19" t="s">
        <v>113</v>
      </c>
      <c r="H2038" s="19" t="s">
        <v>67</v>
      </c>
      <c r="I2038" s="19" t="s">
        <v>123</v>
      </c>
      <c r="J2038" s="20">
        <v>12</v>
      </c>
      <c r="K2038" s="34">
        <v>0</v>
      </c>
      <c r="L2038" s="34">
        <v>3</v>
      </c>
      <c r="M2038" s="19">
        <f>IF(OR(ISBLANK(C2038),C2038=""),"",ROUND((C2038-B2038)*24,2))</f>
        <v>11.23</v>
      </c>
      <c r="N2038" s="35" t="str">
        <f>IF(OR(ISBLANK(C2038),C2038="",M2038=""),"In Progress",IF(M2038&lt;=J2038,"Met","Breached"))</f>
        <v>Met</v>
      </c>
    </row>
    <row r="2039" ht="19" customHeight="1" spans="1:14" x14ac:dyDescent="0.25">
      <c r="A2039" s="22" t="s">
        <v>2153</v>
      </c>
      <c r="B2039" s="36">
        <v>45954.00208333333</v>
      </c>
      <c r="D2039" s="22" t="s">
        <v>42</v>
      </c>
      <c r="E2039" s="22" t="s">
        <v>61</v>
      </c>
      <c r="F2039" s="22" t="s">
        <v>45</v>
      </c>
      <c r="G2039" s="22" t="s">
        <v>63</v>
      </c>
      <c r="H2039" s="22" t="s">
        <v>59</v>
      </c>
      <c r="I2039" s="22" t="s">
        <v>111</v>
      </c>
      <c r="J2039" s="23">
        <v>12</v>
      </c>
      <c r="K2039" s="37">
        <v>0</v>
      </c>
      <c r="M2039" s="22" t="str">
        <f>IF(OR(ISBLANK(C2039),C2039=""),"",ROUND((C2039-B2039)*24,2))</f>
        <v/>
      </c>
      <c r="N2039" s="22" t="str">
        <f>IF(OR(ISBLANK(C2039),C2039="",M2039=""),"In Progress",IF(M2039&lt;=J2039,"Met","Breached"))</f>
        <v>In Progress</v>
      </c>
    </row>
    <row r="2040" ht="19" customHeight="1" spans="1:14" x14ac:dyDescent="0.25">
      <c r="A2040" s="19" t="s">
        <v>2154</v>
      </c>
      <c r="B2040" s="33">
        <v>45933.07291666667</v>
      </c>
      <c r="D2040" s="19" t="s">
        <v>39</v>
      </c>
      <c r="E2040" s="19" t="s">
        <v>65</v>
      </c>
      <c r="F2040" s="19" t="s">
        <v>37</v>
      </c>
      <c r="G2040" s="19" t="s">
        <v>116</v>
      </c>
      <c r="H2040" s="19" t="s">
        <v>71</v>
      </c>
      <c r="I2040" s="19" t="s">
        <v>114</v>
      </c>
      <c r="J2040" s="20">
        <v>48</v>
      </c>
      <c r="K2040" s="34">
        <v>0</v>
      </c>
      <c r="M2040" s="19" t="str">
        <f>IF(OR(ISBLANK(C2040),C2040=""),"",ROUND((C2040-B2040)*24,2))</f>
        <v/>
      </c>
      <c r="N2040" s="19" t="str">
        <f>IF(OR(ISBLANK(C2040),C2040="",M2040=""),"In Progress",IF(M2040&lt;=J2040,"Met","Breached"))</f>
        <v>In Progress</v>
      </c>
    </row>
    <row r="2041" ht="19" customHeight="1" spans="1:14" x14ac:dyDescent="0.25">
      <c r="A2041" s="22" t="s">
        <v>2155</v>
      </c>
      <c r="B2041" s="36">
        <v>45711.47777777778</v>
      </c>
      <c r="D2041" s="22" t="s">
        <v>39</v>
      </c>
      <c r="E2041" s="22" t="s">
        <v>69</v>
      </c>
      <c r="F2041" s="22" t="s">
        <v>40</v>
      </c>
      <c r="G2041" s="22" t="s">
        <v>113</v>
      </c>
      <c r="H2041" s="22" t="s">
        <v>59</v>
      </c>
      <c r="I2041" s="22" t="s">
        <v>111</v>
      </c>
      <c r="J2041" s="23">
        <v>120</v>
      </c>
      <c r="K2041" s="37">
        <v>0</v>
      </c>
      <c r="M2041" s="22" t="str">
        <f>IF(OR(ISBLANK(C2041),C2041=""),"",ROUND((C2041-B2041)*24,2))</f>
        <v/>
      </c>
      <c r="N2041" s="22" t="str">
        <f>IF(OR(ISBLANK(C2041),C2041="",M2041=""),"In Progress",IF(M2041&lt;=J2041,"Met","Breached"))</f>
        <v>In Progress</v>
      </c>
    </row>
    <row r="2042" ht="19" customHeight="1" spans="1:14" x14ac:dyDescent="0.25">
      <c r="A2042" s="19" t="s">
        <v>2156</v>
      </c>
      <c r="B2042" s="33">
        <v>45698.955555555556</v>
      </c>
      <c r="C2042" s="33">
        <v>45699.566666666666</v>
      </c>
      <c r="D2042" s="19" t="s">
        <v>33</v>
      </c>
      <c r="E2042" s="19" t="s">
        <v>61</v>
      </c>
      <c r="F2042" s="19" t="s">
        <v>40</v>
      </c>
      <c r="G2042" s="19" t="s">
        <v>121</v>
      </c>
      <c r="H2042" s="19" t="s">
        <v>67</v>
      </c>
      <c r="I2042" s="19" t="s">
        <v>108</v>
      </c>
      <c r="J2042" s="20">
        <v>12</v>
      </c>
      <c r="K2042" s="34">
        <v>0</v>
      </c>
      <c r="L2042" s="34">
        <v>1</v>
      </c>
      <c r="M2042" s="19">
        <f>IF(OR(ISBLANK(C2042),C2042=""),"",ROUND((C2042-B2042)*24,2))</f>
        <v>14.67</v>
      </c>
      <c r="N2042" s="39" t="str">
        <f>IF(OR(ISBLANK(C2042),C2042="",M2042=""),"In Progress",IF(M2042&lt;=J2042,"Met","Breached"))</f>
        <v>Breached</v>
      </c>
    </row>
    <row r="2043" ht="19" customHeight="1" spans="1:14" x14ac:dyDescent="0.25">
      <c r="A2043" s="22" t="s">
        <v>2157</v>
      </c>
      <c r="B2043" s="36">
        <v>45772.58888888889</v>
      </c>
      <c r="C2043" s="36">
        <v>45773.275</v>
      </c>
      <c r="D2043" s="22" t="s">
        <v>33</v>
      </c>
      <c r="E2043" s="22" t="s">
        <v>65</v>
      </c>
      <c r="F2043" s="22" t="s">
        <v>40</v>
      </c>
      <c r="G2043" s="22" t="s">
        <v>121</v>
      </c>
      <c r="H2043" s="22" t="s">
        <v>63</v>
      </c>
      <c r="I2043" s="22" t="s">
        <v>117</v>
      </c>
      <c r="J2043" s="23">
        <v>48</v>
      </c>
      <c r="K2043" s="37">
        <v>0</v>
      </c>
      <c r="L2043" s="37">
        <v>4</v>
      </c>
      <c r="M2043" s="22">
        <f>IF(OR(ISBLANK(C2043),C2043=""),"",ROUND((C2043-B2043)*24,2))</f>
        <v>16.47</v>
      </c>
      <c r="N2043" s="40" t="str">
        <f>IF(OR(ISBLANK(C2043),C2043="",M2043=""),"In Progress",IF(M2043&lt;=J2043,"Met","Breached"))</f>
        <v>Met</v>
      </c>
    </row>
    <row r="2044" ht="19" customHeight="1" spans="1:14" x14ac:dyDescent="0.25">
      <c r="A2044" s="19" t="s">
        <v>2158</v>
      </c>
      <c r="B2044" s="33">
        <v>46156.47013888889</v>
      </c>
      <c r="C2044" s="33">
        <v>46158.4875</v>
      </c>
      <c r="D2044" s="19" t="s">
        <v>33</v>
      </c>
      <c r="E2044" s="19" t="s">
        <v>65</v>
      </c>
      <c r="F2044" s="19" t="s">
        <v>34</v>
      </c>
      <c r="G2044" s="19" t="s">
        <v>110</v>
      </c>
      <c r="H2044" s="19" t="s">
        <v>59</v>
      </c>
      <c r="I2044" s="19" t="s">
        <v>117</v>
      </c>
      <c r="J2044" s="20">
        <v>48</v>
      </c>
      <c r="K2044" s="34">
        <v>0</v>
      </c>
      <c r="M2044" s="19">
        <f>IF(OR(ISBLANK(C2044),C2044=""),"",ROUND((C2044-B2044)*24,2))</f>
        <v>48.42</v>
      </c>
      <c r="N2044" s="39" t="str">
        <f>IF(OR(ISBLANK(C2044),C2044="",M2044=""),"In Progress",IF(M2044&lt;=J2044,"Met","Breached"))</f>
        <v>Breached</v>
      </c>
    </row>
    <row r="2045" ht="19" customHeight="1" spans="1:14" x14ac:dyDescent="0.25">
      <c r="A2045" s="22" t="s">
        <v>2159</v>
      </c>
      <c r="B2045" s="36">
        <v>46196.67222222222</v>
      </c>
      <c r="C2045" s="36">
        <v>46198.65</v>
      </c>
      <c r="D2045" s="22" t="s">
        <v>33</v>
      </c>
      <c r="E2045" s="22" t="s">
        <v>65</v>
      </c>
      <c r="F2045" s="22" t="s">
        <v>34</v>
      </c>
      <c r="G2045" s="22" t="s">
        <v>110</v>
      </c>
      <c r="H2045" s="22" t="s">
        <v>59</v>
      </c>
      <c r="I2045" s="22" t="s">
        <v>114</v>
      </c>
      <c r="J2045" s="23">
        <v>48</v>
      </c>
      <c r="K2045" s="37">
        <v>0</v>
      </c>
      <c r="L2045" s="37">
        <v>2</v>
      </c>
      <c r="M2045" s="22">
        <f>IF(OR(ISBLANK(C2045),C2045=""),"",ROUND((C2045-B2045)*24,2))</f>
        <v>47.47</v>
      </c>
      <c r="N2045" s="40" t="str">
        <f>IF(OR(ISBLANK(C2045),C2045="",M2045=""),"In Progress",IF(M2045&lt;=J2045,"Met","Breached"))</f>
        <v>Met</v>
      </c>
    </row>
    <row r="2046" ht="19" customHeight="1" spans="1:14" x14ac:dyDescent="0.25">
      <c r="A2046" s="19" t="s">
        <v>2160</v>
      </c>
      <c r="B2046" s="33">
        <v>46022.455555555556</v>
      </c>
      <c r="C2046" s="33">
        <v>46025.572222222225</v>
      </c>
      <c r="D2046" s="19" t="s">
        <v>33</v>
      </c>
      <c r="E2046" s="19" t="s">
        <v>65</v>
      </c>
      <c r="F2046" s="19" t="s">
        <v>43</v>
      </c>
      <c r="G2046" s="19" t="s">
        <v>63</v>
      </c>
      <c r="H2046" s="19" t="s">
        <v>59</v>
      </c>
      <c r="I2046" s="19" t="s">
        <v>117</v>
      </c>
      <c r="J2046" s="20">
        <v>48</v>
      </c>
      <c r="K2046" s="34">
        <v>0</v>
      </c>
      <c r="L2046" s="34">
        <v>2</v>
      </c>
      <c r="M2046" s="19">
        <f>IF(OR(ISBLANK(C2046),C2046=""),"",ROUND((C2046-B2046)*24,2))</f>
        <v>74.8</v>
      </c>
      <c r="N2046" s="39" t="str">
        <f>IF(OR(ISBLANK(C2046),C2046="",M2046=""),"In Progress",IF(M2046&lt;=J2046,"Met","Breached"))</f>
        <v>Breached</v>
      </c>
    </row>
    <row r="2047" ht="19" customHeight="1" spans="1:14" x14ac:dyDescent="0.25">
      <c r="A2047" s="22" t="s">
        <v>2161</v>
      </c>
      <c r="B2047" s="36">
        <v>46064.976388888885</v>
      </c>
      <c r="C2047" s="36">
        <v>46065.25625</v>
      </c>
      <c r="D2047" s="22" t="s">
        <v>33</v>
      </c>
      <c r="E2047" s="22" t="s">
        <v>57</v>
      </c>
      <c r="F2047" s="22" t="s">
        <v>37</v>
      </c>
      <c r="G2047" s="22" t="s">
        <v>110</v>
      </c>
      <c r="H2047" s="22" t="s">
        <v>71</v>
      </c>
      <c r="I2047" s="22" t="s">
        <v>108</v>
      </c>
      <c r="J2047" s="23">
        <v>4</v>
      </c>
      <c r="K2047" s="37">
        <v>1</v>
      </c>
      <c r="L2047" s="37">
        <v>2</v>
      </c>
      <c r="M2047" s="22">
        <f>IF(OR(ISBLANK(C2047),C2047=""),"",ROUND((C2047-B2047)*24,2))</f>
        <v>6.72</v>
      </c>
      <c r="N2047" s="38" t="str">
        <f>IF(OR(ISBLANK(C2047),C2047="",M2047=""),"In Progress",IF(M2047&lt;=J2047,"Met","Breached"))</f>
        <v>Breached</v>
      </c>
    </row>
    <row r="2048" ht="19" customHeight="1" spans="1:14" x14ac:dyDescent="0.25">
      <c r="A2048" s="19" t="s">
        <v>2162</v>
      </c>
      <c r="B2048" s="33">
        <v>46278.45833333333</v>
      </c>
      <c r="C2048" s="33">
        <v>46278.87777777778</v>
      </c>
      <c r="D2048" s="19" t="s">
        <v>36</v>
      </c>
      <c r="E2048" s="19" t="s">
        <v>61</v>
      </c>
      <c r="F2048" s="19" t="s">
        <v>45</v>
      </c>
      <c r="G2048" s="19" t="s">
        <v>126</v>
      </c>
      <c r="H2048" s="19" t="s">
        <v>67</v>
      </c>
      <c r="I2048" s="19" t="s">
        <v>147</v>
      </c>
      <c r="J2048" s="20">
        <v>12</v>
      </c>
      <c r="K2048" s="34">
        <v>0</v>
      </c>
      <c r="M2048" s="19">
        <f>IF(OR(ISBLANK(C2048),C2048=""),"",ROUND((C2048-B2048)*24,2))</f>
        <v>10.07</v>
      </c>
      <c r="N2048" s="35" t="str">
        <f>IF(OR(ISBLANK(C2048),C2048="",M2048=""),"In Progress",IF(M2048&lt;=J2048,"Met","Breached"))</f>
        <v>Met</v>
      </c>
    </row>
    <row r="2049" ht="19" customHeight="1" spans="1:14" x14ac:dyDescent="0.25">
      <c r="A2049" s="22" t="s">
        <v>2163</v>
      </c>
      <c r="B2049" s="36">
        <v>45707.00138888889</v>
      </c>
      <c r="D2049" s="22" t="s">
        <v>39</v>
      </c>
      <c r="E2049" s="22" t="s">
        <v>69</v>
      </c>
      <c r="F2049" s="22" t="s">
        <v>40</v>
      </c>
      <c r="G2049" s="22" t="s">
        <v>121</v>
      </c>
      <c r="H2049" s="22" t="s">
        <v>63</v>
      </c>
      <c r="I2049" s="22" t="s">
        <v>111</v>
      </c>
      <c r="J2049" s="23">
        <v>120</v>
      </c>
      <c r="K2049" s="37">
        <v>0</v>
      </c>
      <c r="M2049" s="22" t="str">
        <f>IF(OR(ISBLANK(C2049),C2049=""),"",ROUND((C2049-B2049)*24,2))</f>
        <v/>
      </c>
      <c r="N2049" s="22" t="str">
        <f>IF(OR(ISBLANK(C2049),C2049="",M2049=""),"In Progress",IF(M2049&lt;=J2049,"Met","Breached"))</f>
        <v>In Progress</v>
      </c>
    </row>
    <row r="2050" ht="19" customHeight="1" spans="1:14" x14ac:dyDescent="0.25">
      <c r="A2050" s="19" t="s">
        <v>2164</v>
      </c>
      <c r="B2050" s="33">
        <v>45699.273611111115</v>
      </c>
      <c r="C2050" s="33">
        <v>45701.04027777778</v>
      </c>
      <c r="D2050" s="19" t="s">
        <v>36</v>
      </c>
      <c r="E2050" s="19" t="s">
        <v>65</v>
      </c>
      <c r="F2050" s="19" t="s">
        <v>34</v>
      </c>
      <c r="G2050" s="19" t="s">
        <v>116</v>
      </c>
      <c r="H2050" s="19" t="s">
        <v>59</v>
      </c>
      <c r="I2050" s="19" t="s">
        <v>111</v>
      </c>
      <c r="J2050" s="20">
        <v>48</v>
      </c>
      <c r="K2050" s="34">
        <v>0</v>
      </c>
      <c r="L2050" s="34">
        <v>4</v>
      </c>
      <c r="M2050" s="19">
        <f>IF(OR(ISBLANK(C2050),C2050=""),"",ROUND((C2050-B2050)*24,2))</f>
        <v>42.4</v>
      </c>
      <c r="N2050" s="35" t="str">
        <f>IF(OR(ISBLANK(C2050),C2050="",M2050=""),"In Progress",IF(M2050&lt;=J2050,"Met","Breached"))</f>
        <v>Met</v>
      </c>
    </row>
    <row r="2051" ht="19" customHeight="1" spans="1:14" x14ac:dyDescent="0.25">
      <c r="A2051" s="22" t="s">
        <v>2165</v>
      </c>
      <c r="B2051" s="36">
        <v>45938.07986111111</v>
      </c>
      <c r="C2051" s="36">
        <v>45940.649305555555</v>
      </c>
      <c r="D2051" s="22" t="s">
        <v>33</v>
      </c>
      <c r="E2051" s="22" t="s">
        <v>65</v>
      </c>
      <c r="F2051" s="22" t="s">
        <v>45</v>
      </c>
      <c r="G2051" s="22" t="s">
        <v>121</v>
      </c>
      <c r="H2051" s="22" t="s">
        <v>63</v>
      </c>
      <c r="I2051" s="22" t="s">
        <v>123</v>
      </c>
      <c r="J2051" s="23">
        <v>48</v>
      </c>
      <c r="K2051" s="37">
        <v>0</v>
      </c>
      <c r="L2051" s="37">
        <v>3</v>
      </c>
      <c r="M2051" s="22">
        <f>IF(OR(ISBLANK(C2051),C2051=""),"",ROUND((C2051-B2051)*24,2))</f>
        <v>61.67</v>
      </c>
      <c r="N2051" s="38" t="str">
        <f>IF(OR(ISBLANK(C2051),C2051="",M2051=""),"In Progress",IF(M2051&lt;=J2051,"Met","Breached"))</f>
        <v>Breached</v>
      </c>
    </row>
    <row r="2052" ht="19" customHeight="1" spans="1:14" x14ac:dyDescent="0.25">
      <c r="A2052" s="19" t="s">
        <v>2166</v>
      </c>
      <c r="B2052" s="33">
        <v>46190.01666666666</v>
      </c>
      <c r="C2052" s="33">
        <v>46191.16527777778</v>
      </c>
      <c r="D2052" s="19" t="s">
        <v>33</v>
      </c>
      <c r="E2052" s="19" t="s">
        <v>65</v>
      </c>
      <c r="F2052" s="19" t="s">
        <v>43</v>
      </c>
      <c r="G2052" s="19" t="s">
        <v>110</v>
      </c>
      <c r="H2052" s="19" t="s">
        <v>67</v>
      </c>
      <c r="I2052" s="19" t="s">
        <v>147</v>
      </c>
      <c r="J2052" s="20">
        <v>48</v>
      </c>
      <c r="K2052" s="34">
        <v>0</v>
      </c>
      <c r="L2052" s="34">
        <v>1</v>
      </c>
      <c r="M2052" s="19">
        <f>IF(OR(ISBLANK(C2052),C2052=""),"",ROUND((C2052-B2052)*24,2))</f>
        <v>27.57</v>
      </c>
      <c r="N2052" s="35" t="str">
        <f>IF(OR(ISBLANK(C2052),C2052="",M2052=""),"In Progress",IF(M2052&lt;=J2052,"Met","Breached"))</f>
        <v>Met</v>
      </c>
    </row>
    <row r="2053" ht="19" customHeight="1" spans="1:14" x14ac:dyDescent="0.25">
      <c r="A2053" s="22" t="s">
        <v>2167</v>
      </c>
      <c r="B2053" s="36">
        <v>46087.47777777778</v>
      </c>
      <c r="C2053" s="36">
        <v>46087.73472222222</v>
      </c>
      <c r="D2053" s="22" t="s">
        <v>36</v>
      </c>
      <c r="E2053" s="22" t="s">
        <v>61</v>
      </c>
      <c r="F2053" s="22" t="s">
        <v>43</v>
      </c>
      <c r="G2053" s="22" t="s">
        <v>126</v>
      </c>
      <c r="H2053" s="22" t="s">
        <v>59</v>
      </c>
      <c r="I2053" s="22" t="s">
        <v>114</v>
      </c>
      <c r="J2053" s="23">
        <v>12</v>
      </c>
      <c r="K2053" s="37">
        <v>0</v>
      </c>
      <c r="L2053" s="37">
        <v>1</v>
      </c>
      <c r="M2053" s="22">
        <f>IF(OR(ISBLANK(C2053),C2053=""),"",ROUND((C2053-B2053)*24,2))</f>
        <v>6.17</v>
      </c>
      <c r="N2053" s="40" t="str">
        <f>IF(OR(ISBLANK(C2053),C2053="",M2053=""),"In Progress",IF(M2053&lt;=J2053,"Met","Breached"))</f>
        <v>Met</v>
      </c>
    </row>
    <row r="2054" ht="19" customHeight="1" spans="1:14" x14ac:dyDescent="0.25">
      <c r="A2054" s="19" t="s">
        <v>2168</v>
      </c>
      <c r="B2054" s="33">
        <v>46270.90069444444</v>
      </c>
      <c r="C2054" s="33">
        <v>46271.64097222222</v>
      </c>
      <c r="D2054" s="19" t="s">
        <v>33</v>
      </c>
      <c r="E2054" s="19" t="s">
        <v>65</v>
      </c>
      <c r="F2054" s="19" t="s">
        <v>37</v>
      </c>
      <c r="G2054" s="19" t="s">
        <v>110</v>
      </c>
      <c r="H2054" s="19" t="s">
        <v>67</v>
      </c>
      <c r="I2054" s="19" t="s">
        <v>111</v>
      </c>
      <c r="J2054" s="20">
        <v>48</v>
      </c>
      <c r="K2054" s="34">
        <v>0</v>
      </c>
      <c r="L2054" s="34">
        <v>1</v>
      </c>
      <c r="M2054" s="19">
        <f>IF(OR(ISBLANK(C2054),C2054=""),"",ROUND((C2054-B2054)*24,2))</f>
        <v>17.77</v>
      </c>
      <c r="N2054" s="35" t="str">
        <f>IF(OR(ISBLANK(C2054),C2054="",M2054=""),"In Progress",IF(M2054&lt;=J2054,"Met","Breached"))</f>
        <v>Met</v>
      </c>
    </row>
    <row r="2055" ht="19" customHeight="1" spans="1:14" x14ac:dyDescent="0.25">
      <c r="A2055" s="22" t="s">
        <v>2169</v>
      </c>
      <c r="B2055" s="36">
        <v>46236.174305555556</v>
      </c>
      <c r="C2055" s="36">
        <v>46237.17152777778</v>
      </c>
      <c r="D2055" s="22" t="s">
        <v>33</v>
      </c>
      <c r="E2055" s="22" t="s">
        <v>65</v>
      </c>
      <c r="F2055" s="22" t="s">
        <v>45</v>
      </c>
      <c r="G2055" s="22" t="s">
        <v>116</v>
      </c>
      <c r="H2055" s="22" t="s">
        <v>59</v>
      </c>
      <c r="I2055" s="22" t="s">
        <v>108</v>
      </c>
      <c r="J2055" s="23">
        <v>48</v>
      </c>
      <c r="K2055" s="37">
        <v>0</v>
      </c>
      <c r="L2055" s="37">
        <v>1</v>
      </c>
      <c r="M2055" s="22">
        <f>IF(OR(ISBLANK(C2055),C2055=""),"",ROUND((C2055-B2055)*24,2))</f>
        <v>23.93</v>
      </c>
      <c r="N2055" s="40" t="str">
        <f>IF(OR(ISBLANK(C2055),C2055="",M2055=""),"In Progress",IF(M2055&lt;=J2055,"Met","Breached"))</f>
        <v>Met</v>
      </c>
    </row>
    <row r="2056" ht="19" customHeight="1" spans="1:14" x14ac:dyDescent="0.25">
      <c r="A2056" s="19" t="s">
        <v>2170</v>
      </c>
      <c r="B2056" s="33">
        <v>46068.60416666667</v>
      </c>
      <c r="C2056" s="33">
        <v>46069.32152777778</v>
      </c>
      <c r="D2056" s="19" t="s">
        <v>33</v>
      </c>
      <c r="E2056" s="19" t="s">
        <v>61</v>
      </c>
      <c r="F2056" s="19" t="s">
        <v>34</v>
      </c>
      <c r="G2056" s="19" t="s">
        <v>116</v>
      </c>
      <c r="H2056" s="19" t="s">
        <v>63</v>
      </c>
      <c r="I2056" s="19" t="s">
        <v>108</v>
      </c>
      <c r="J2056" s="20">
        <v>12</v>
      </c>
      <c r="K2056" s="34">
        <v>0</v>
      </c>
      <c r="M2056" s="19">
        <f>IF(OR(ISBLANK(C2056),C2056=""),"",ROUND((C2056-B2056)*24,2))</f>
        <v>17.22</v>
      </c>
      <c r="N2056" s="39" t="str">
        <f>IF(OR(ISBLANK(C2056),C2056="",M2056=""),"In Progress",IF(M2056&lt;=J2056,"Met","Breached"))</f>
        <v>Breached</v>
      </c>
    </row>
    <row r="2057" ht="19" customHeight="1" spans="1:14" x14ac:dyDescent="0.25">
      <c r="A2057" s="22" t="s">
        <v>2171</v>
      </c>
      <c r="B2057" s="36">
        <v>45784.09861111111</v>
      </c>
      <c r="C2057" s="36">
        <v>45784.820138888885</v>
      </c>
      <c r="D2057" s="22" t="s">
        <v>33</v>
      </c>
      <c r="E2057" s="22" t="s">
        <v>61</v>
      </c>
      <c r="F2057" s="22" t="s">
        <v>40</v>
      </c>
      <c r="G2057" s="22" t="s">
        <v>110</v>
      </c>
      <c r="H2057" s="22" t="s">
        <v>63</v>
      </c>
      <c r="I2057" s="22" t="s">
        <v>108</v>
      </c>
      <c r="J2057" s="23">
        <v>12</v>
      </c>
      <c r="K2057" s="37">
        <v>0</v>
      </c>
      <c r="L2057" s="37">
        <v>3</v>
      </c>
      <c r="M2057" s="22">
        <f>IF(OR(ISBLANK(C2057),C2057=""),"",ROUND((C2057-B2057)*24,2))</f>
        <v>17.32</v>
      </c>
      <c r="N2057" s="38" t="str">
        <f>IF(OR(ISBLANK(C2057),C2057="",M2057=""),"In Progress",IF(M2057&lt;=J2057,"Met","Breached"))</f>
        <v>Breached</v>
      </c>
    </row>
    <row r="2058" ht="19" customHeight="1" spans="1:14" x14ac:dyDescent="0.25">
      <c r="A2058" s="19" t="s">
        <v>2172</v>
      </c>
      <c r="B2058" s="33">
        <v>45818.674305555556</v>
      </c>
      <c r="C2058" s="33">
        <v>45819.183333333334</v>
      </c>
      <c r="D2058" s="19" t="s">
        <v>36</v>
      </c>
      <c r="E2058" s="19" t="s">
        <v>61</v>
      </c>
      <c r="F2058" s="19" t="s">
        <v>40</v>
      </c>
      <c r="G2058" s="19" t="s">
        <v>110</v>
      </c>
      <c r="H2058" s="19" t="s">
        <v>71</v>
      </c>
      <c r="I2058" s="19" t="s">
        <v>123</v>
      </c>
      <c r="J2058" s="20">
        <v>12</v>
      </c>
      <c r="K2058" s="34">
        <v>0</v>
      </c>
      <c r="L2058" s="34">
        <v>4</v>
      </c>
      <c r="M2058" s="19">
        <f>IF(OR(ISBLANK(C2058),C2058=""),"",ROUND((C2058-B2058)*24,2))</f>
        <v>12.22</v>
      </c>
      <c r="N2058" s="39" t="str">
        <f>IF(OR(ISBLANK(C2058),C2058="",M2058=""),"In Progress",IF(M2058&lt;=J2058,"Met","Breached"))</f>
        <v>Breached</v>
      </c>
    </row>
    <row r="2059" ht="19" customHeight="1" spans="1:14" x14ac:dyDescent="0.25">
      <c r="A2059" s="22" t="s">
        <v>2173</v>
      </c>
      <c r="B2059" s="36">
        <v>46251.70972222222</v>
      </c>
      <c r="C2059" s="36">
        <v>46251.870833333334</v>
      </c>
      <c r="D2059" s="22" t="s">
        <v>33</v>
      </c>
      <c r="E2059" s="22" t="s">
        <v>57</v>
      </c>
      <c r="F2059" s="22" t="s">
        <v>40</v>
      </c>
      <c r="G2059" s="22" t="s">
        <v>126</v>
      </c>
      <c r="H2059" s="22" t="s">
        <v>59</v>
      </c>
      <c r="I2059" s="22" t="s">
        <v>114</v>
      </c>
      <c r="J2059" s="23">
        <v>4</v>
      </c>
      <c r="K2059" s="37">
        <v>1</v>
      </c>
      <c r="M2059" s="22">
        <f>IF(OR(ISBLANK(C2059),C2059=""),"",ROUND((C2059-B2059)*24,2))</f>
        <v>3.87</v>
      </c>
      <c r="N2059" s="40" t="str">
        <f>IF(OR(ISBLANK(C2059),C2059="",M2059=""),"In Progress",IF(M2059&lt;=J2059,"Met","Breached"))</f>
        <v>Met</v>
      </c>
    </row>
    <row r="2060" ht="19" customHeight="1" spans="1:14" x14ac:dyDescent="0.25">
      <c r="A2060" s="19" t="s">
        <v>2174</v>
      </c>
      <c r="B2060" s="33">
        <v>45786.89027777778</v>
      </c>
      <c r="C2060" s="33">
        <v>45788.38055555556</v>
      </c>
      <c r="D2060" s="19" t="s">
        <v>33</v>
      </c>
      <c r="E2060" s="19" t="s">
        <v>65</v>
      </c>
      <c r="F2060" s="19" t="s">
        <v>37</v>
      </c>
      <c r="G2060" s="19" t="s">
        <v>116</v>
      </c>
      <c r="H2060" s="19" t="s">
        <v>63</v>
      </c>
      <c r="I2060" s="19" t="s">
        <v>114</v>
      </c>
      <c r="J2060" s="20">
        <v>48</v>
      </c>
      <c r="K2060" s="34">
        <v>0</v>
      </c>
      <c r="M2060" s="19">
        <f>IF(OR(ISBLANK(C2060),C2060=""),"",ROUND((C2060-B2060)*24,2))</f>
        <v>35.77</v>
      </c>
      <c r="N2060" s="35" t="str">
        <f>IF(OR(ISBLANK(C2060),C2060="",M2060=""),"In Progress",IF(M2060&lt;=J2060,"Met","Breached"))</f>
        <v>Met</v>
      </c>
    </row>
    <row r="2061" ht="19" customHeight="1" spans="1:14" x14ac:dyDescent="0.25">
      <c r="A2061" s="22" t="s">
        <v>2175</v>
      </c>
      <c r="B2061" s="36">
        <v>45663.396527777775</v>
      </c>
      <c r="C2061" s="36">
        <v>45666.33819444444</v>
      </c>
      <c r="D2061" s="22" t="s">
        <v>33</v>
      </c>
      <c r="E2061" s="22" t="s">
        <v>65</v>
      </c>
      <c r="F2061" s="22" t="s">
        <v>34</v>
      </c>
      <c r="G2061" s="22" t="s">
        <v>126</v>
      </c>
      <c r="H2061" s="22" t="s">
        <v>59</v>
      </c>
      <c r="I2061" s="22" t="s">
        <v>123</v>
      </c>
      <c r="J2061" s="23">
        <v>48</v>
      </c>
      <c r="K2061" s="37">
        <v>0</v>
      </c>
      <c r="L2061" s="37">
        <v>3</v>
      </c>
      <c r="M2061" s="22">
        <f>IF(OR(ISBLANK(C2061),C2061=""),"",ROUND((C2061-B2061)*24,2))</f>
        <v>70.6</v>
      </c>
      <c r="N2061" s="38" t="str">
        <f>IF(OR(ISBLANK(C2061),C2061="",M2061=""),"In Progress",IF(M2061&lt;=J2061,"Met","Breached"))</f>
        <v>Breached</v>
      </c>
    </row>
    <row r="2062" ht="19" customHeight="1" spans="1:14" x14ac:dyDescent="0.25">
      <c r="A2062" s="19" t="s">
        <v>2176</v>
      </c>
      <c r="B2062" s="33">
        <v>45963.816666666666</v>
      </c>
      <c r="C2062" s="33">
        <v>45971.92569444445</v>
      </c>
      <c r="D2062" s="19" t="s">
        <v>36</v>
      </c>
      <c r="E2062" s="19" t="s">
        <v>69</v>
      </c>
      <c r="F2062" s="19" t="s">
        <v>45</v>
      </c>
      <c r="G2062" s="19" t="s">
        <v>110</v>
      </c>
      <c r="H2062" s="19" t="s">
        <v>71</v>
      </c>
      <c r="I2062" s="19" t="s">
        <v>108</v>
      </c>
      <c r="J2062" s="20">
        <v>120</v>
      </c>
      <c r="K2062" s="34">
        <v>0</v>
      </c>
      <c r="M2062" s="19">
        <f>IF(OR(ISBLANK(C2062),C2062=""),"",ROUND((C2062-B2062)*24,2))</f>
        <v>194.62</v>
      </c>
      <c r="N2062" s="39" t="str">
        <f>IF(OR(ISBLANK(C2062),C2062="",M2062=""),"In Progress",IF(M2062&lt;=J2062,"Met","Breached"))</f>
        <v>Breached</v>
      </c>
    </row>
    <row r="2063" ht="19" customHeight="1" spans="1:14" x14ac:dyDescent="0.25">
      <c r="A2063" s="22" t="s">
        <v>2177</v>
      </c>
      <c r="B2063" s="36">
        <v>45909.70486111111</v>
      </c>
      <c r="C2063" s="36">
        <v>45909.913888888885</v>
      </c>
      <c r="D2063" s="22" t="s">
        <v>33</v>
      </c>
      <c r="E2063" s="22" t="s">
        <v>57</v>
      </c>
      <c r="F2063" s="22" t="s">
        <v>34</v>
      </c>
      <c r="G2063" s="22" t="s">
        <v>110</v>
      </c>
      <c r="H2063" s="22" t="s">
        <v>59</v>
      </c>
      <c r="I2063" s="22" t="s">
        <v>108</v>
      </c>
      <c r="J2063" s="23">
        <v>4</v>
      </c>
      <c r="K2063" s="37">
        <v>0</v>
      </c>
      <c r="L2063" s="37">
        <v>2</v>
      </c>
      <c r="M2063" s="22">
        <f>IF(OR(ISBLANK(C2063),C2063=""),"",ROUND((C2063-B2063)*24,2))</f>
        <v>5.02</v>
      </c>
      <c r="N2063" s="38" t="str">
        <f>IF(OR(ISBLANK(C2063),C2063="",M2063=""),"In Progress",IF(M2063&lt;=J2063,"Met","Breached"))</f>
        <v>Breached</v>
      </c>
    </row>
    <row r="2064" ht="19" customHeight="1" spans="1:14" x14ac:dyDescent="0.25">
      <c r="A2064" s="19" t="s">
        <v>2178</v>
      </c>
      <c r="B2064" s="33">
        <v>46130.14236111111</v>
      </c>
      <c r="C2064" s="33">
        <v>46130.43125</v>
      </c>
      <c r="D2064" s="19" t="s">
        <v>33</v>
      </c>
      <c r="E2064" s="19" t="s">
        <v>61</v>
      </c>
      <c r="F2064" s="19" t="s">
        <v>43</v>
      </c>
      <c r="G2064" s="19" t="s">
        <v>121</v>
      </c>
      <c r="H2064" s="19" t="s">
        <v>63</v>
      </c>
      <c r="I2064" s="19" t="s">
        <v>147</v>
      </c>
      <c r="J2064" s="20">
        <v>12</v>
      </c>
      <c r="K2064" s="34">
        <v>0</v>
      </c>
      <c r="L2064" s="34">
        <v>1</v>
      </c>
      <c r="M2064" s="19">
        <f>IF(OR(ISBLANK(C2064),C2064=""),"",ROUND((C2064-B2064)*24,2))</f>
        <v>6.93</v>
      </c>
      <c r="N2064" s="35" t="str">
        <f>IF(OR(ISBLANK(C2064),C2064="",M2064=""),"In Progress",IF(M2064&lt;=J2064,"Met","Breached"))</f>
        <v>Met</v>
      </c>
    </row>
    <row r="2065" ht="19" customHeight="1" spans="1:14" x14ac:dyDescent="0.25">
      <c r="A2065" s="22" t="s">
        <v>2179</v>
      </c>
      <c r="B2065" s="36">
        <v>45976.11666666667</v>
      </c>
      <c r="D2065" s="22" t="s">
        <v>39</v>
      </c>
      <c r="E2065" s="22" t="s">
        <v>65</v>
      </c>
      <c r="F2065" s="22" t="s">
        <v>40</v>
      </c>
      <c r="G2065" s="22" t="s">
        <v>113</v>
      </c>
      <c r="H2065" s="22" t="s">
        <v>59</v>
      </c>
      <c r="I2065" s="22" t="s">
        <v>123</v>
      </c>
      <c r="J2065" s="23">
        <v>48</v>
      </c>
      <c r="K2065" s="37">
        <v>0</v>
      </c>
      <c r="M2065" s="22" t="str">
        <f>IF(OR(ISBLANK(C2065),C2065=""),"",ROUND((C2065-B2065)*24,2))</f>
        <v/>
      </c>
      <c r="N2065" s="22" t="str">
        <f>IF(OR(ISBLANK(C2065),C2065="",M2065=""),"In Progress",IF(M2065&lt;=J2065,"Met","Breached"))</f>
        <v>In Progress</v>
      </c>
    </row>
    <row r="2066" ht="19" customHeight="1" spans="1:14" x14ac:dyDescent="0.25">
      <c r="A2066" s="19" t="s">
        <v>2180</v>
      </c>
      <c r="B2066" s="33">
        <v>46108.01041666667</v>
      </c>
      <c r="D2066" s="19" t="s">
        <v>39</v>
      </c>
      <c r="E2066" s="19" t="s">
        <v>61</v>
      </c>
      <c r="F2066" s="19" t="s">
        <v>34</v>
      </c>
      <c r="G2066" s="19" t="s">
        <v>126</v>
      </c>
      <c r="H2066" s="19" t="s">
        <v>71</v>
      </c>
      <c r="I2066" s="19" t="s">
        <v>117</v>
      </c>
      <c r="J2066" s="20">
        <v>12</v>
      </c>
      <c r="K2066" s="34">
        <v>0</v>
      </c>
      <c r="M2066" s="19" t="str">
        <f>IF(OR(ISBLANK(C2066),C2066=""),"",ROUND((C2066-B2066)*24,2))</f>
        <v/>
      </c>
      <c r="N2066" s="19" t="str">
        <f>IF(OR(ISBLANK(C2066),C2066="",M2066=""),"In Progress",IF(M2066&lt;=J2066,"Met","Breached"))</f>
        <v>In Progress</v>
      </c>
    </row>
    <row r="2067" ht="19" customHeight="1" spans="1:14" x14ac:dyDescent="0.25">
      <c r="A2067" s="22" t="s">
        <v>2181</v>
      </c>
      <c r="B2067" s="36">
        <v>46207.83888888889</v>
      </c>
      <c r="C2067" s="36">
        <v>46209.736805555556</v>
      </c>
      <c r="D2067" s="22" t="s">
        <v>33</v>
      </c>
      <c r="E2067" s="22" t="s">
        <v>65</v>
      </c>
      <c r="F2067" s="22" t="s">
        <v>40</v>
      </c>
      <c r="G2067" s="22" t="s">
        <v>121</v>
      </c>
      <c r="H2067" s="22" t="s">
        <v>63</v>
      </c>
      <c r="I2067" s="22" t="s">
        <v>147</v>
      </c>
      <c r="J2067" s="23">
        <v>48</v>
      </c>
      <c r="K2067" s="37">
        <v>0</v>
      </c>
      <c r="L2067" s="37">
        <v>4</v>
      </c>
      <c r="M2067" s="22">
        <f>IF(OR(ISBLANK(C2067),C2067=""),"",ROUND((C2067-B2067)*24,2))</f>
        <v>45.55</v>
      </c>
      <c r="N2067" s="40" t="str">
        <f>IF(OR(ISBLANK(C2067),C2067="",M2067=""),"In Progress",IF(M2067&lt;=J2067,"Met","Breached"))</f>
        <v>Met</v>
      </c>
    </row>
    <row r="2068" ht="19" customHeight="1" spans="1:14" x14ac:dyDescent="0.25">
      <c r="A2068" s="19" t="s">
        <v>2182</v>
      </c>
      <c r="B2068" s="33">
        <v>45848.569444444445</v>
      </c>
      <c r="C2068" s="33">
        <v>45850</v>
      </c>
      <c r="D2068" s="19" t="s">
        <v>36</v>
      </c>
      <c r="E2068" s="19" t="s">
        <v>65</v>
      </c>
      <c r="F2068" s="19" t="s">
        <v>45</v>
      </c>
      <c r="G2068" s="19" t="s">
        <v>110</v>
      </c>
      <c r="H2068" s="19" t="s">
        <v>59</v>
      </c>
      <c r="I2068" s="19" t="s">
        <v>111</v>
      </c>
      <c r="J2068" s="20">
        <v>48</v>
      </c>
      <c r="K2068" s="34">
        <v>0</v>
      </c>
      <c r="M2068" s="19">
        <f>IF(OR(ISBLANK(C2068),C2068=""),"",ROUND((C2068-B2068)*24,2))</f>
        <v>34.33</v>
      </c>
      <c r="N2068" s="35" t="str">
        <f>IF(OR(ISBLANK(C2068),C2068="",M2068=""),"In Progress",IF(M2068&lt;=J2068,"Met","Breached"))</f>
        <v>Met</v>
      </c>
    </row>
    <row r="2069" ht="19" customHeight="1" spans="1:14" x14ac:dyDescent="0.25">
      <c r="A2069" s="22" t="s">
        <v>2183</v>
      </c>
      <c r="B2069" s="36">
        <v>46247.632638888885</v>
      </c>
      <c r="C2069" s="36">
        <v>46248.87430555555</v>
      </c>
      <c r="D2069" s="22" t="s">
        <v>33</v>
      </c>
      <c r="E2069" s="22" t="s">
        <v>65</v>
      </c>
      <c r="F2069" s="22" t="s">
        <v>43</v>
      </c>
      <c r="G2069" s="22" t="s">
        <v>121</v>
      </c>
      <c r="H2069" s="22" t="s">
        <v>63</v>
      </c>
      <c r="I2069" s="22" t="s">
        <v>123</v>
      </c>
      <c r="J2069" s="23">
        <v>48</v>
      </c>
      <c r="K2069" s="37">
        <v>0</v>
      </c>
      <c r="L2069" s="37">
        <v>5</v>
      </c>
      <c r="M2069" s="22">
        <f>IF(OR(ISBLANK(C2069),C2069=""),"",ROUND((C2069-B2069)*24,2))</f>
        <v>29.8</v>
      </c>
      <c r="N2069" s="40" t="str">
        <f>IF(OR(ISBLANK(C2069),C2069="",M2069=""),"In Progress",IF(M2069&lt;=J2069,"Met","Breached"))</f>
        <v>Met</v>
      </c>
    </row>
    <row r="2070" ht="19" customHeight="1" spans="1:14" x14ac:dyDescent="0.25">
      <c r="A2070" s="19" t="s">
        <v>2184</v>
      </c>
      <c r="B2070" s="33">
        <v>45972.74444444444</v>
      </c>
      <c r="C2070" s="33">
        <v>45974.62777777778</v>
      </c>
      <c r="D2070" s="19" t="s">
        <v>36</v>
      </c>
      <c r="E2070" s="19" t="s">
        <v>65</v>
      </c>
      <c r="F2070" s="19" t="s">
        <v>43</v>
      </c>
      <c r="G2070" s="19" t="s">
        <v>126</v>
      </c>
      <c r="H2070" s="19" t="s">
        <v>67</v>
      </c>
      <c r="I2070" s="19" t="s">
        <v>123</v>
      </c>
      <c r="J2070" s="20">
        <v>48</v>
      </c>
      <c r="K2070" s="34">
        <v>0</v>
      </c>
      <c r="L2070" s="34">
        <v>2</v>
      </c>
      <c r="M2070" s="19">
        <f>IF(OR(ISBLANK(C2070),C2070=""),"",ROUND((C2070-B2070)*24,2))</f>
        <v>45.2</v>
      </c>
      <c r="N2070" s="35" t="str">
        <f>IF(OR(ISBLANK(C2070),C2070="",M2070=""),"In Progress",IF(M2070&lt;=J2070,"Met","Breached"))</f>
        <v>Met</v>
      </c>
    </row>
    <row r="2071" ht="19" customHeight="1" spans="1:14" x14ac:dyDescent="0.25">
      <c r="A2071" s="22" t="s">
        <v>2185</v>
      </c>
      <c r="B2071" s="36">
        <v>45832.725</v>
      </c>
      <c r="C2071" s="36">
        <v>45835.51944444445</v>
      </c>
      <c r="D2071" s="22" t="s">
        <v>36</v>
      </c>
      <c r="E2071" s="22" t="s">
        <v>65</v>
      </c>
      <c r="F2071" s="22" t="s">
        <v>40</v>
      </c>
      <c r="G2071" s="22" t="s">
        <v>110</v>
      </c>
      <c r="H2071" s="22" t="s">
        <v>63</v>
      </c>
      <c r="I2071" s="22" t="s">
        <v>111</v>
      </c>
      <c r="J2071" s="23">
        <v>48</v>
      </c>
      <c r="K2071" s="37">
        <v>0</v>
      </c>
      <c r="L2071" s="37">
        <v>5</v>
      </c>
      <c r="M2071" s="22">
        <f>IF(OR(ISBLANK(C2071),C2071=""),"",ROUND((C2071-B2071)*24,2))</f>
        <v>67.07</v>
      </c>
      <c r="N2071" s="38" t="str">
        <f>IF(OR(ISBLANK(C2071),C2071="",M2071=""),"In Progress",IF(M2071&lt;=J2071,"Met","Breached"))</f>
        <v>Breached</v>
      </c>
    </row>
    <row r="2072" ht="19" customHeight="1" spans="1:14" x14ac:dyDescent="0.25">
      <c r="A2072" s="19" t="s">
        <v>2186</v>
      </c>
      <c r="B2072" s="33">
        <v>45922.52083333333</v>
      </c>
      <c r="C2072" s="33">
        <v>45922.72222222222</v>
      </c>
      <c r="D2072" s="19" t="s">
        <v>33</v>
      </c>
      <c r="E2072" s="19" t="s">
        <v>57</v>
      </c>
      <c r="F2072" s="19" t="s">
        <v>37</v>
      </c>
      <c r="G2072" s="19" t="s">
        <v>113</v>
      </c>
      <c r="H2072" s="19" t="s">
        <v>59</v>
      </c>
      <c r="I2072" s="19" t="s">
        <v>111</v>
      </c>
      <c r="J2072" s="20">
        <v>4</v>
      </c>
      <c r="K2072" s="34">
        <v>0</v>
      </c>
      <c r="L2072" s="34">
        <v>4</v>
      </c>
      <c r="M2072" s="19">
        <f>IF(OR(ISBLANK(C2072),C2072=""),"",ROUND((C2072-B2072)*24,2))</f>
        <v>4.83</v>
      </c>
      <c r="N2072" s="39" t="str">
        <f>IF(OR(ISBLANK(C2072),C2072="",M2072=""),"In Progress",IF(M2072&lt;=J2072,"Met","Breached"))</f>
        <v>Breached</v>
      </c>
    </row>
    <row r="2073" ht="19" customHeight="1" spans="1:14" x14ac:dyDescent="0.25">
      <c r="A2073" s="22" t="s">
        <v>2187</v>
      </c>
      <c r="B2073" s="36">
        <v>46196.74375</v>
      </c>
      <c r="D2073" s="22" t="s">
        <v>39</v>
      </c>
      <c r="E2073" s="22" t="s">
        <v>69</v>
      </c>
      <c r="F2073" s="22" t="s">
        <v>45</v>
      </c>
      <c r="G2073" s="22" t="s">
        <v>63</v>
      </c>
      <c r="H2073" s="22" t="s">
        <v>67</v>
      </c>
      <c r="I2073" s="22" t="s">
        <v>114</v>
      </c>
      <c r="J2073" s="23">
        <v>120</v>
      </c>
      <c r="K2073" s="37">
        <v>0</v>
      </c>
      <c r="M2073" s="22" t="str">
        <f>IF(OR(ISBLANK(C2073),C2073=""),"",ROUND((C2073-B2073)*24,2))</f>
        <v/>
      </c>
      <c r="N2073" s="22" t="str">
        <f>IF(OR(ISBLANK(C2073),C2073="",M2073=""),"In Progress",IF(M2073&lt;=J2073,"Met","Breached"))</f>
        <v>In Progress</v>
      </c>
    </row>
    <row r="2074" ht="19" customHeight="1" spans="1:14" x14ac:dyDescent="0.25">
      <c r="A2074" s="19" t="s">
        <v>2188</v>
      </c>
      <c r="B2074" s="33">
        <v>46069.30416666667</v>
      </c>
      <c r="C2074" s="33">
        <v>46070.05138888889</v>
      </c>
      <c r="D2074" s="19" t="s">
        <v>33</v>
      </c>
      <c r="E2074" s="19" t="s">
        <v>61</v>
      </c>
      <c r="F2074" s="19" t="s">
        <v>45</v>
      </c>
      <c r="G2074" s="19" t="s">
        <v>116</v>
      </c>
      <c r="H2074" s="19" t="s">
        <v>59</v>
      </c>
      <c r="I2074" s="19" t="s">
        <v>123</v>
      </c>
      <c r="J2074" s="20">
        <v>12</v>
      </c>
      <c r="K2074" s="34">
        <v>0</v>
      </c>
      <c r="L2074" s="34">
        <v>4</v>
      </c>
      <c r="M2074" s="19">
        <f>IF(OR(ISBLANK(C2074),C2074=""),"",ROUND((C2074-B2074)*24,2))</f>
        <v>17.93</v>
      </c>
      <c r="N2074" s="39" t="str">
        <f>IF(OR(ISBLANK(C2074),C2074="",M2074=""),"In Progress",IF(M2074&lt;=J2074,"Met","Breached"))</f>
        <v>Breached</v>
      </c>
    </row>
    <row r="2075" ht="19" customHeight="1" spans="1:14" x14ac:dyDescent="0.25">
      <c r="A2075" s="22" t="s">
        <v>2189</v>
      </c>
      <c r="B2075" s="36">
        <v>45710.6125</v>
      </c>
      <c r="D2075" s="22" t="s">
        <v>39</v>
      </c>
      <c r="E2075" s="22" t="s">
        <v>65</v>
      </c>
      <c r="F2075" s="22" t="s">
        <v>34</v>
      </c>
      <c r="G2075" s="22" t="s">
        <v>113</v>
      </c>
      <c r="H2075" s="22" t="s">
        <v>63</v>
      </c>
      <c r="I2075" s="22" t="s">
        <v>123</v>
      </c>
      <c r="J2075" s="23">
        <v>48</v>
      </c>
      <c r="K2075" s="37">
        <v>0</v>
      </c>
      <c r="M2075" s="22" t="str">
        <f>IF(OR(ISBLANK(C2075),C2075=""),"",ROUND((C2075-B2075)*24,2))</f>
        <v/>
      </c>
      <c r="N2075" s="22" t="str">
        <f>IF(OR(ISBLANK(C2075),C2075="",M2075=""),"In Progress",IF(M2075&lt;=J2075,"Met","Breached"))</f>
        <v>In Progress</v>
      </c>
    </row>
    <row r="2076" ht="19" customHeight="1" spans="1:14" x14ac:dyDescent="0.25">
      <c r="A2076" s="19" t="s">
        <v>2190</v>
      </c>
      <c r="B2076" s="33">
        <v>45690.444444444445</v>
      </c>
      <c r="D2076" s="19" t="s">
        <v>42</v>
      </c>
      <c r="E2076" s="19" t="s">
        <v>61</v>
      </c>
      <c r="F2076" s="19" t="s">
        <v>43</v>
      </c>
      <c r="G2076" s="19" t="s">
        <v>121</v>
      </c>
      <c r="H2076" s="19" t="s">
        <v>71</v>
      </c>
      <c r="I2076" s="19" t="s">
        <v>111</v>
      </c>
      <c r="J2076" s="20">
        <v>12</v>
      </c>
      <c r="K2076" s="34">
        <v>0</v>
      </c>
      <c r="M2076" s="19" t="str">
        <f>IF(OR(ISBLANK(C2076),C2076=""),"",ROUND((C2076-B2076)*24,2))</f>
        <v/>
      </c>
      <c r="N2076" s="19" t="str">
        <f>IF(OR(ISBLANK(C2076),C2076="",M2076=""),"In Progress",IF(M2076&lt;=J2076,"Met","Breached"))</f>
        <v>In Progress</v>
      </c>
    </row>
    <row r="2077" ht="19" customHeight="1" spans="1:14" x14ac:dyDescent="0.25">
      <c r="A2077" s="22" t="s">
        <v>2191</v>
      </c>
      <c r="B2077" s="36">
        <v>46172.47430555556</v>
      </c>
      <c r="C2077" s="36">
        <v>46173.81319444445</v>
      </c>
      <c r="D2077" s="22" t="s">
        <v>36</v>
      </c>
      <c r="E2077" s="22" t="s">
        <v>65</v>
      </c>
      <c r="F2077" s="22" t="s">
        <v>43</v>
      </c>
      <c r="G2077" s="22" t="s">
        <v>110</v>
      </c>
      <c r="H2077" s="22" t="s">
        <v>59</v>
      </c>
      <c r="I2077" s="22" t="s">
        <v>114</v>
      </c>
      <c r="J2077" s="23">
        <v>48</v>
      </c>
      <c r="K2077" s="37">
        <v>0</v>
      </c>
      <c r="M2077" s="22">
        <f>IF(OR(ISBLANK(C2077),C2077=""),"",ROUND((C2077-B2077)*24,2))</f>
        <v>32.13</v>
      </c>
      <c r="N2077" s="40" t="str">
        <f>IF(OR(ISBLANK(C2077),C2077="",M2077=""),"In Progress",IF(M2077&lt;=J2077,"Met","Breached"))</f>
        <v>Met</v>
      </c>
    </row>
    <row r="2078" ht="19" customHeight="1" spans="1:14" x14ac:dyDescent="0.25">
      <c r="A2078" s="19" t="s">
        <v>2192</v>
      </c>
      <c r="B2078" s="33">
        <v>45758.84236111111</v>
      </c>
      <c r="D2078" s="19" t="s">
        <v>42</v>
      </c>
      <c r="E2078" s="19" t="s">
        <v>65</v>
      </c>
      <c r="F2078" s="19" t="s">
        <v>34</v>
      </c>
      <c r="G2078" s="19" t="s">
        <v>126</v>
      </c>
      <c r="H2078" s="19" t="s">
        <v>59</v>
      </c>
      <c r="I2078" s="19" t="s">
        <v>114</v>
      </c>
      <c r="J2078" s="20">
        <v>48</v>
      </c>
      <c r="K2078" s="34">
        <v>0</v>
      </c>
      <c r="M2078" s="19" t="str">
        <f>IF(OR(ISBLANK(C2078),C2078=""),"",ROUND((C2078-B2078)*24,2))</f>
        <v/>
      </c>
      <c r="N2078" s="19" t="str">
        <f>IF(OR(ISBLANK(C2078),C2078="",M2078=""),"In Progress",IF(M2078&lt;=J2078,"Met","Breached"))</f>
        <v>In Progress</v>
      </c>
    </row>
    <row r="2079" ht="19" customHeight="1" spans="1:14" x14ac:dyDescent="0.25">
      <c r="A2079" s="22" t="s">
        <v>2193</v>
      </c>
      <c r="B2079" s="36">
        <v>46062.50486111111</v>
      </c>
      <c r="D2079" s="22" t="s">
        <v>39</v>
      </c>
      <c r="E2079" s="22" t="s">
        <v>57</v>
      </c>
      <c r="F2079" s="22" t="s">
        <v>45</v>
      </c>
      <c r="G2079" s="22" t="s">
        <v>116</v>
      </c>
      <c r="H2079" s="22" t="s">
        <v>63</v>
      </c>
      <c r="I2079" s="22" t="s">
        <v>117</v>
      </c>
      <c r="J2079" s="23">
        <v>4</v>
      </c>
      <c r="K2079" s="37">
        <v>0</v>
      </c>
      <c r="M2079" s="22" t="str">
        <f>IF(OR(ISBLANK(C2079),C2079=""),"",ROUND((C2079-B2079)*24,2))</f>
        <v/>
      </c>
      <c r="N2079" s="22" t="str">
        <f>IF(OR(ISBLANK(C2079),C2079="",M2079=""),"In Progress",IF(M2079&lt;=J2079,"Met","Breached"))</f>
        <v>In Progress</v>
      </c>
    </row>
    <row r="2080" ht="19" customHeight="1" spans="1:14" x14ac:dyDescent="0.25">
      <c r="A2080" s="19" t="s">
        <v>2194</v>
      </c>
      <c r="B2080" s="33">
        <v>45957.35208333333</v>
      </c>
      <c r="D2080" s="19" t="s">
        <v>42</v>
      </c>
      <c r="E2080" s="19" t="s">
        <v>61</v>
      </c>
      <c r="F2080" s="19" t="s">
        <v>34</v>
      </c>
      <c r="G2080" s="19" t="s">
        <v>63</v>
      </c>
      <c r="H2080" s="19" t="s">
        <v>59</v>
      </c>
      <c r="I2080" s="19" t="s">
        <v>111</v>
      </c>
      <c r="J2080" s="20">
        <v>12</v>
      </c>
      <c r="K2080" s="34">
        <v>0</v>
      </c>
      <c r="M2080" s="19" t="str">
        <f>IF(OR(ISBLANK(C2080),C2080=""),"",ROUND((C2080-B2080)*24,2))</f>
        <v/>
      </c>
      <c r="N2080" s="19" t="str">
        <f>IF(OR(ISBLANK(C2080),C2080="",M2080=""),"In Progress",IF(M2080&lt;=J2080,"Met","Breached"))</f>
        <v>In Progress</v>
      </c>
    </row>
    <row r="2081" ht="19" customHeight="1" spans="1:14" x14ac:dyDescent="0.25">
      <c r="A2081" s="22" t="s">
        <v>2195</v>
      </c>
      <c r="B2081" s="36">
        <v>45958.51180555555</v>
      </c>
      <c r="C2081" s="36">
        <v>45960.19097222222</v>
      </c>
      <c r="D2081" s="22" t="s">
        <v>33</v>
      </c>
      <c r="E2081" s="22" t="s">
        <v>65</v>
      </c>
      <c r="F2081" s="22" t="s">
        <v>34</v>
      </c>
      <c r="G2081" s="22" t="s">
        <v>116</v>
      </c>
      <c r="H2081" s="22" t="s">
        <v>71</v>
      </c>
      <c r="I2081" s="22" t="s">
        <v>123</v>
      </c>
      <c r="J2081" s="23">
        <v>48</v>
      </c>
      <c r="K2081" s="37">
        <v>0</v>
      </c>
      <c r="M2081" s="22">
        <f>IF(OR(ISBLANK(C2081),C2081=""),"",ROUND((C2081-B2081)*24,2))</f>
        <v>40.3</v>
      </c>
      <c r="N2081" s="40" t="str">
        <f>IF(OR(ISBLANK(C2081),C2081="",M2081=""),"In Progress",IF(M2081&lt;=J2081,"Met","Breached"))</f>
        <v>Met</v>
      </c>
    </row>
    <row r="2082" ht="19" customHeight="1" spans="1:14" x14ac:dyDescent="0.25">
      <c r="A2082" s="19" t="s">
        <v>2196</v>
      </c>
      <c r="B2082" s="33">
        <v>45923.586805555555</v>
      </c>
      <c r="D2082" s="19" t="s">
        <v>39</v>
      </c>
      <c r="E2082" s="19" t="s">
        <v>65</v>
      </c>
      <c r="F2082" s="19" t="s">
        <v>40</v>
      </c>
      <c r="G2082" s="19" t="s">
        <v>116</v>
      </c>
      <c r="H2082" s="19" t="s">
        <v>59</v>
      </c>
      <c r="I2082" s="19" t="s">
        <v>117</v>
      </c>
      <c r="J2082" s="20">
        <v>48</v>
      </c>
      <c r="K2082" s="34">
        <v>0</v>
      </c>
      <c r="M2082" s="19" t="str">
        <f>IF(OR(ISBLANK(C2082),C2082=""),"",ROUND((C2082-B2082)*24,2))</f>
        <v/>
      </c>
      <c r="N2082" s="19" t="str">
        <f>IF(OR(ISBLANK(C2082),C2082="",M2082=""),"In Progress",IF(M2082&lt;=J2082,"Met","Breached"))</f>
        <v>In Progress</v>
      </c>
    </row>
    <row r="2083" ht="19" customHeight="1" spans="1:14" x14ac:dyDescent="0.25">
      <c r="A2083" s="22" t="s">
        <v>2197</v>
      </c>
      <c r="B2083" s="36">
        <v>45804.259722222225</v>
      </c>
      <c r="C2083" s="36">
        <v>45807.697222222225</v>
      </c>
      <c r="D2083" s="22" t="s">
        <v>33</v>
      </c>
      <c r="E2083" s="22" t="s">
        <v>65</v>
      </c>
      <c r="F2083" s="22" t="s">
        <v>43</v>
      </c>
      <c r="G2083" s="22" t="s">
        <v>126</v>
      </c>
      <c r="H2083" s="22" t="s">
        <v>63</v>
      </c>
      <c r="I2083" s="22" t="s">
        <v>117</v>
      </c>
      <c r="J2083" s="23">
        <v>48</v>
      </c>
      <c r="K2083" s="37">
        <v>0</v>
      </c>
      <c r="L2083" s="37">
        <v>5</v>
      </c>
      <c r="M2083" s="22">
        <f>IF(OR(ISBLANK(C2083),C2083=""),"",ROUND((C2083-B2083)*24,2))</f>
        <v>82.5</v>
      </c>
      <c r="N2083" s="38" t="str">
        <f>IF(OR(ISBLANK(C2083),C2083="",M2083=""),"In Progress",IF(M2083&lt;=J2083,"Met","Breached"))</f>
        <v>Breached</v>
      </c>
    </row>
    <row r="2084" ht="19" customHeight="1" spans="1:14" x14ac:dyDescent="0.25">
      <c r="A2084" s="19" t="s">
        <v>2198</v>
      </c>
      <c r="B2084" s="33">
        <v>46128.35972222222</v>
      </c>
      <c r="C2084" s="33">
        <v>46131.1375</v>
      </c>
      <c r="D2084" s="19" t="s">
        <v>36</v>
      </c>
      <c r="E2084" s="19" t="s">
        <v>65</v>
      </c>
      <c r="F2084" s="19" t="s">
        <v>40</v>
      </c>
      <c r="G2084" s="19" t="s">
        <v>116</v>
      </c>
      <c r="H2084" s="19" t="s">
        <v>67</v>
      </c>
      <c r="I2084" s="19" t="s">
        <v>123</v>
      </c>
      <c r="J2084" s="20">
        <v>48</v>
      </c>
      <c r="K2084" s="34">
        <v>0</v>
      </c>
      <c r="L2084" s="34">
        <v>5</v>
      </c>
      <c r="M2084" s="19">
        <f>IF(OR(ISBLANK(C2084),C2084=""),"",ROUND((C2084-B2084)*24,2))</f>
        <v>66.67</v>
      </c>
      <c r="N2084" s="39" t="str">
        <f>IF(OR(ISBLANK(C2084),C2084="",M2084=""),"In Progress",IF(M2084&lt;=J2084,"Met","Breached"))</f>
        <v>Breached</v>
      </c>
    </row>
    <row r="2085" ht="19" customHeight="1" spans="1:14" x14ac:dyDescent="0.25">
      <c r="A2085" s="22" t="s">
        <v>2199</v>
      </c>
      <c r="B2085" s="36">
        <v>45735.83472222222</v>
      </c>
      <c r="C2085" s="36">
        <v>45737.66805555555</v>
      </c>
      <c r="D2085" s="22" t="s">
        <v>33</v>
      </c>
      <c r="E2085" s="22" t="s">
        <v>65</v>
      </c>
      <c r="F2085" s="22" t="s">
        <v>40</v>
      </c>
      <c r="G2085" s="22" t="s">
        <v>121</v>
      </c>
      <c r="H2085" s="22" t="s">
        <v>67</v>
      </c>
      <c r="I2085" s="22" t="s">
        <v>108</v>
      </c>
      <c r="J2085" s="23">
        <v>48</v>
      </c>
      <c r="K2085" s="37">
        <v>0</v>
      </c>
      <c r="L2085" s="37">
        <v>4</v>
      </c>
      <c r="M2085" s="22">
        <f>IF(OR(ISBLANK(C2085),C2085=""),"",ROUND((C2085-B2085)*24,2))</f>
        <v>44</v>
      </c>
      <c r="N2085" s="40" t="str">
        <f>IF(OR(ISBLANK(C2085),C2085="",M2085=""),"In Progress",IF(M2085&lt;=J2085,"Met","Breached"))</f>
        <v>Met</v>
      </c>
    </row>
    <row r="2086" ht="19" customHeight="1" spans="1:14" x14ac:dyDescent="0.25">
      <c r="A2086" s="19" t="s">
        <v>2200</v>
      </c>
      <c r="B2086" s="33">
        <v>46060.393055555556</v>
      </c>
      <c r="C2086" s="33">
        <v>46062.75833333333</v>
      </c>
      <c r="D2086" s="19" t="s">
        <v>36</v>
      </c>
      <c r="E2086" s="19" t="s">
        <v>69</v>
      </c>
      <c r="F2086" s="19" t="s">
        <v>34</v>
      </c>
      <c r="G2086" s="19" t="s">
        <v>63</v>
      </c>
      <c r="H2086" s="19" t="s">
        <v>71</v>
      </c>
      <c r="I2086" s="19" t="s">
        <v>114</v>
      </c>
      <c r="J2086" s="20">
        <v>120</v>
      </c>
      <c r="K2086" s="34">
        <v>0</v>
      </c>
      <c r="L2086" s="34">
        <v>1</v>
      </c>
      <c r="M2086" s="19">
        <f>IF(OR(ISBLANK(C2086),C2086=""),"",ROUND((C2086-B2086)*24,2))</f>
        <v>56.77</v>
      </c>
      <c r="N2086" s="35" t="str">
        <f>IF(OR(ISBLANK(C2086),C2086="",M2086=""),"In Progress",IF(M2086&lt;=J2086,"Met","Breached"))</f>
        <v>Met</v>
      </c>
    </row>
    <row r="2087" ht="19" customHeight="1" spans="1:14" x14ac:dyDescent="0.25">
      <c r="A2087" s="22" t="s">
        <v>2201</v>
      </c>
      <c r="B2087" s="36">
        <v>45679.495833333334</v>
      </c>
      <c r="C2087" s="36">
        <v>45681.82361111111</v>
      </c>
      <c r="D2087" s="22" t="s">
        <v>33</v>
      </c>
      <c r="E2087" s="22" t="s">
        <v>65</v>
      </c>
      <c r="F2087" s="22" t="s">
        <v>43</v>
      </c>
      <c r="G2087" s="22" t="s">
        <v>113</v>
      </c>
      <c r="H2087" s="22" t="s">
        <v>71</v>
      </c>
      <c r="I2087" s="22" t="s">
        <v>108</v>
      </c>
      <c r="J2087" s="23">
        <v>48</v>
      </c>
      <c r="K2087" s="37">
        <v>0</v>
      </c>
      <c r="L2087" s="37">
        <v>3</v>
      </c>
      <c r="M2087" s="22">
        <f>IF(OR(ISBLANK(C2087),C2087=""),"",ROUND((C2087-B2087)*24,2))</f>
        <v>55.87</v>
      </c>
      <c r="N2087" s="38" t="str">
        <f>IF(OR(ISBLANK(C2087),C2087="",M2087=""),"In Progress",IF(M2087&lt;=J2087,"Met","Breached"))</f>
        <v>Breached</v>
      </c>
    </row>
    <row r="2088" ht="19" customHeight="1" spans="1:14" x14ac:dyDescent="0.25">
      <c r="A2088" s="19" t="s">
        <v>2202</v>
      </c>
      <c r="B2088" s="33">
        <v>46082.992361111115</v>
      </c>
      <c r="D2088" s="19" t="s">
        <v>39</v>
      </c>
      <c r="E2088" s="19" t="s">
        <v>69</v>
      </c>
      <c r="F2088" s="19" t="s">
        <v>45</v>
      </c>
      <c r="G2088" s="19" t="s">
        <v>126</v>
      </c>
      <c r="H2088" s="19" t="s">
        <v>63</v>
      </c>
      <c r="I2088" s="19" t="s">
        <v>123</v>
      </c>
      <c r="J2088" s="20">
        <v>120</v>
      </c>
      <c r="K2088" s="34">
        <v>0</v>
      </c>
      <c r="M2088" s="19" t="str">
        <f>IF(OR(ISBLANK(C2088),C2088=""),"",ROUND((C2088-B2088)*24,2))</f>
        <v/>
      </c>
      <c r="N2088" s="19" t="str">
        <f>IF(OR(ISBLANK(C2088),C2088="",M2088=""),"In Progress",IF(M2088&lt;=J2088,"Met","Breached"))</f>
        <v>In Progress</v>
      </c>
    </row>
    <row r="2089" ht="19" customHeight="1" spans="1:14" x14ac:dyDescent="0.25">
      <c r="A2089" s="22" t="s">
        <v>2203</v>
      </c>
      <c r="B2089" s="36">
        <v>45975.82638888889</v>
      </c>
      <c r="C2089" s="36">
        <v>45976.46666666667</v>
      </c>
      <c r="D2089" s="22" t="s">
        <v>33</v>
      </c>
      <c r="E2089" s="22" t="s">
        <v>61</v>
      </c>
      <c r="F2089" s="22" t="s">
        <v>40</v>
      </c>
      <c r="G2089" s="22" t="s">
        <v>110</v>
      </c>
      <c r="H2089" s="22" t="s">
        <v>67</v>
      </c>
      <c r="I2089" s="22" t="s">
        <v>108</v>
      </c>
      <c r="J2089" s="23">
        <v>12</v>
      </c>
      <c r="K2089" s="37">
        <v>0</v>
      </c>
      <c r="L2089" s="37">
        <v>3</v>
      </c>
      <c r="M2089" s="22">
        <f>IF(OR(ISBLANK(C2089),C2089=""),"",ROUND((C2089-B2089)*24,2))</f>
        <v>15.37</v>
      </c>
      <c r="N2089" s="38" t="str">
        <f>IF(OR(ISBLANK(C2089),C2089="",M2089=""),"In Progress",IF(M2089&lt;=J2089,"Met","Breached"))</f>
        <v>Breached</v>
      </c>
    </row>
    <row r="2090" ht="19" customHeight="1" spans="1:14" x14ac:dyDescent="0.25">
      <c r="A2090" s="19" t="s">
        <v>2204</v>
      </c>
      <c r="B2090" s="33">
        <v>45866.101388888885</v>
      </c>
      <c r="D2090" s="19" t="s">
        <v>42</v>
      </c>
      <c r="E2090" s="19" t="s">
        <v>69</v>
      </c>
      <c r="F2090" s="19" t="s">
        <v>37</v>
      </c>
      <c r="G2090" s="19" t="s">
        <v>63</v>
      </c>
      <c r="H2090" s="19" t="s">
        <v>59</v>
      </c>
      <c r="I2090" s="19" t="s">
        <v>123</v>
      </c>
      <c r="J2090" s="20">
        <v>120</v>
      </c>
      <c r="K2090" s="34">
        <v>0</v>
      </c>
      <c r="M2090" s="19" t="str">
        <f>IF(OR(ISBLANK(C2090),C2090=""),"",ROUND((C2090-B2090)*24,2))</f>
        <v/>
      </c>
      <c r="N2090" s="19" t="str">
        <f>IF(OR(ISBLANK(C2090),C2090="",M2090=""),"In Progress",IF(M2090&lt;=J2090,"Met","Breached"))</f>
        <v>In Progress</v>
      </c>
    </row>
    <row r="2091" ht="19" customHeight="1" spans="1:14" x14ac:dyDescent="0.25">
      <c r="A2091" s="22" t="s">
        <v>2205</v>
      </c>
      <c r="B2091" s="36">
        <v>45918.76666666666</v>
      </c>
      <c r="C2091" s="36">
        <v>45919.50138888889</v>
      </c>
      <c r="D2091" s="22" t="s">
        <v>36</v>
      </c>
      <c r="E2091" s="22" t="s">
        <v>65</v>
      </c>
      <c r="F2091" s="22" t="s">
        <v>37</v>
      </c>
      <c r="G2091" s="22" t="s">
        <v>116</v>
      </c>
      <c r="H2091" s="22" t="s">
        <v>67</v>
      </c>
      <c r="I2091" s="22" t="s">
        <v>108</v>
      </c>
      <c r="J2091" s="23">
        <v>48</v>
      </c>
      <c r="K2091" s="37">
        <v>0</v>
      </c>
      <c r="M2091" s="22">
        <f>IF(OR(ISBLANK(C2091),C2091=""),"",ROUND((C2091-B2091)*24,2))</f>
        <v>17.63</v>
      </c>
      <c r="N2091" s="40" t="str">
        <f>IF(OR(ISBLANK(C2091),C2091="",M2091=""),"In Progress",IF(M2091&lt;=J2091,"Met","Breached"))</f>
        <v>Met</v>
      </c>
    </row>
    <row r="2092" ht="19" customHeight="1" spans="1:14" x14ac:dyDescent="0.25">
      <c r="A2092" s="19" t="s">
        <v>2206</v>
      </c>
      <c r="B2092" s="33">
        <v>45992.15902777778</v>
      </c>
      <c r="C2092" s="33">
        <v>45995.47777777778</v>
      </c>
      <c r="D2092" s="19" t="s">
        <v>33</v>
      </c>
      <c r="E2092" s="19" t="s">
        <v>69</v>
      </c>
      <c r="F2092" s="19" t="s">
        <v>34</v>
      </c>
      <c r="G2092" s="19" t="s">
        <v>116</v>
      </c>
      <c r="H2092" s="19" t="s">
        <v>71</v>
      </c>
      <c r="I2092" s="19" t="s">
        <v>114</v>
      </c>
      <c r="J2092" s="20">
        <v>120</v>
      </c>
      <c r="K2092" s="34">
        <v>0</v>
      </c>
      <c r="L2092" s="34">
        <v>4</v>
      </c>
      <c r="M2092" s="19">
        <f>IF(OR(ISBLANK(C2092),C2092=""),"",ROUND((C2092-B2092)*24,2))</f>
        <v>79.65</v>
      </c>
      <c r="N2092" s="35" t="str">
        <f>IF(OR(ISBLANK(C2092),C2092="",M2092=""),"In Progress",IF(M2092&lt;=J2092,"Met","Breached"))</f>
        <v>Met</v>
      </c>
    </row>
    <row r="2093" ht="19" customHeight="1" spans="1:14" x14ac:dyDescent="0.25">
      <c r="A2093" s="22" t="s">
        <v>2207</v>
      </c>
      <c r="B2093" s="36">
        <v>45889.07083333333</v>
      </c>
      <c r="C2093" s="36">
        <v>45891.19791666667</v>
      </c>
      <c r="D2093" s="22" t="s">
        <v>36</v>
      </c>
      <c r="E2093" s="22" t="s">
        <v>65</v>
      </c>
      <c r="F2093" s="22" t="s">
        <v>34</v>
      </c>
      <c r="G2093" s="22" t="s">
        <v>113</v>
      </c>
      <c r="H2093" s="22" t="s">
        <v>67</v>
      </c>
      <c r="I2093" s="22" t="s">
        <v>111</v>
      </c>
      <c r="J2093" s="23">
        <v>48</v>
      </c>
      <c r="K2093" s="37">
        <v>0</v>
      </c>
      <c r="L2093" s="37">
        <v>5</v>
      </c>
      <c r="M2093" s="22">
        <f>IF(OR(ISBLANK(C2093),C2093=""),"",ROUND((C2093-B2093)*24,2))</f>
        <v>51.05</v>
      </c>
      <c r="N2093" s="38" t="str">
        <f>IF(OR(ISBLANK(C2093),C2093="",M2093=""),"In Progress",IF(M2093&lt;=J2093,"Met","Breached"))</f>
        <v>Breached</v>
      </c>
    </row>
    <row r="2094" ht="19" customHeight="1" spans="1:14" x14ac:dyDescent="0.25">
      <c r="A2094" s="19" t="s">
        <v>2208</v>
      </c>
      <c r="B2094" s="33">
        <v>45996.29791666666</v>
      </c>
      <c r="C2094" s="33">
        <v>45998.55208333333</v>
      </c>
      <c r="D2094" s="19" t="s">
        <v>33</v>
      </c>
      <c r="E2094" s="19" t="s">
        <v>65</v>
      </c>
      <c r="F2094" s="19" t="s">
        <v>34</v>
      </c>
      <c r="G2094" s="19" t="s">
        <v>113</v>
      </c>
      <c r="H2094" s="19" t="s">
        <v>59</v>
      </c>
      <c r="I2094" s="19" t="s">
        <v>114</v>
      </c>
      <c r="J2094" s="20">
        <v>48</v>
      </c>
      <c r="K2094" s="34">
        <v>1</v>
      </c>
      <c r="M2094" s="19">
        <f>IF(OR(ISBLANK(C2094),C2094=""),"",ROUND((C2094-B2094)*24,2))</f>
        <v>54.1</v>
      </c>
      <c r="N2094" s="39" t="str">
        <f>IF(OR(ISBLANK(C2094),C2094="",M2094=""),"In Progress",IF(M2094&lt;=J2094,"Met","Breached"))</f>
        <v>Breached</v>
      </c>
    </row>
    <row r="2095" ht="19" customHeight="1" spans="1:14" x14ac:dyDescent="0.25">
      <c r="A2095" s="22" t="s">
        <v>2209</v>
      </c>
      <c r="B2095" s="36">
        <v>45715.00833333333</v>
      </c>
      <c r="D2095" s="22" t="s">
        <v>39</v>
      </c>
      <c r="E2095" s="22" t="s">
        <v>65</v>
      </c>
      <c r="F2095" s="22" t="s">
        <v>45</v>
      </c>
      <c r="G2095" s="22" t="s">
        <v>116</v>
      </c>
      <c r="H2095" s="22" t="s">
        <v>59</v>
      </c>
      <c r="I2095" s="22" t="s">
        <v>111</v>
      </c>
      <c r="J2095" s="23">
        <v>48</v>
      </c>
      <c r="K2095" s="37">
        <v>0</v>
      </c>
      <c r="M2095" s="22" t="str">
        <f>IF(OR(ISBLANK(C2095),C2095=""),"",ROUND((C2095-B2095)*24,2))</f>
        <v/>
      </c>
      <c r="N2095" s="22" t="str">
        <f>IF(OR(ISBLANK(C2095),C2095="",M2095=""),"In Progress",IF(M2095&lt;=J2095,"Met","Breached"))</f>
        <v>In Progress</v>
      </c>
    </row>
    <row r="2096" ht="19" customHeight="1" spans="1:14" x14ac:dyDescent="0.25">
      <c r="A2096" s="19" t="s">
        <v>2210</v>
      </c>
      <c r="B2096" s="33">
        <v>45770.83819444444</v>
      </c>
      <c r="D2096" s="19" t="s">
        <v>42</v>
      </c>
      <c r="E2096" s="19" t="s">
        <v>61</v>
      </c>
      <c r="F2096" s="19" t="s">
        <v>40</v>
      </c>
      <c r="G2096" s="19" t="s">
        <v>113</v>
      </c>
      <c r="H2096" s="19" t="s">
        <v>59</v>
      </c>
      <c r="I2096" s="19" t="s">
        <v>114</v>
      </c>
      <c r="J2096" s="20">
        <v>12</v>
      </c>
      <c r="K2096" s="34">
        <v>0</v>
      </c>
      <c r="M2096" s="19" t="str">
        <f>IF(OR(ISBLANK(C2096),C2096=""),"",ROUND((C2096-B2096)*24,2))</f>
        <v/>
      </c>
      <c r="N2096" s="19" t="str">
        <f>IF(OR(ISBLANK(C2096),C2096="",M2096=""),"In Progress",IF(M2096&lt;=J2096,"Met","Breached"))</f>
        <v>In Progress</v>
      </c>
    </row>
    <row r="2097" ht="19" customHeight="1" spans="1:14" x14ac:dyDescent="0.25">
      <c r="A2097" s="22" t="s">
        <v>2211</v>
      </c>
      <c r="B2097" s="36">
        <v>45962.82291666667</v>
      </c>
      <c r="D2097" s="22" t="s">
        <v>42</v>
      </c>
      <c r="E2097" s="22" t="s">
        <v>65</v>
      </c>
      <c r="F2097" s="22" t="s">
        <v>40</v>
      </c>
      <c r="G2097" s="22" t="s">
        <v>116</v>
      </c>
      <c r="H2097" s="22" t="s">
        <v>71</v>
      </c>
      <c r="I2097" s="22" t="s">
        <v>123</v>
      </c>
      <c r="J2097" s="23">
        <v>48</v>
      </c>
      <c r="K2097" s="37">
        <v>0</v>
      </c>
      <c r="M2097" s="22" t="str">
        <f>IF(OR(ISBLANK(C2097),C2097=""),"",ROUND((C2097-B2097)*24,2))</f>
        <v/>
      </c>
      <c r="N2097" s="22" t="str">
        <f>IF(OR(ISBLANK(C2097),C2097="",M2097=""),"In Progress",IF(M2097&lt;=J2097,"Met","Breached"))</f>
        <v>In Progress</v>
      </c>
    </row>
    <row r="2098" ht="19" customHeight="1" spans="1:14" x14ac:dyDescent="0.25">
      <c r="A2098" s="19" t="s">
        <v>2212</v>
      </c>
      <c r="B2098" s="33">
        <v>46176.768055555556</v>
      </c>
      <c r="D2098" s="19" t="s">
        <v>39</v>
      </c>
      <c r="E2098" s="19" t="s">
        <v>65</v>
      </c>
      <c r="F2098" s="19" t="s">
        <v>34</v>
      </c>
      <c r="G2098" s="19" t="s">
        <v>110</v>
      </c>
      <c r="H2098" s="19" t="s">
        <v>63</v>
      </c>
      <c r="I2098" s="19" t="s">
        <v>123</v>
      </c>
      <c r="J2098" s="20">
        <v>48</v>
      </c>
      <c r="K2098" s="34">
        <v>0</v>
      </c>
      <c r="M2098" s="19" t="str">
        <f>IF(OR(ISBLANK(C2098),C2098=""),"",ROUND((C2098-B2098)*24,2))</f>
        <v/>
      </c>
      <c r="N2098" s="19" t="str">
        <f>IF(OR(ISBLANK(C2098),C2098="",M2098=""),"In Progress",IF(M2098&lt;=J2098,"Met","Breached"))</f>
        <v>In Progress</v>
      </c>
    </row>
    <row r="2099" ht="19" customHeight="1" spans="1:14" x14ac:dyDescent="0.25">
      <c r="A2099" s="22" t="s">
        <v>2213</v>
      </c>
      <c r="B2099" s="36">
        <v>46230.61388888889</v>
      </c>
      <c r="C2099" s="36">
        <v>46233.674305555556</v>
      </c>
      <c r="D2099" s="22" t="s">
        <v>33</v>
      </c>
      <c r="E2099" s="22" t="s">
        <v>65</v>
      </c>
      <c r="F2099" s="22" t="s">
        <v>37</v>
      </c>
      <c r="G2099" s="22" t="s">
        <v>110</v>
      </c>
      <c r="H2099" s="22" t="s">
        <v>59</v>
      </c>
      <c r="I2099" s="22" t="s">
        <v>147</v>
      </c>
      <c r="J2099" s="23">
        <v>48</v>
      </c>
      <c r="K2099" s="37">
        <v>0</v>
      </c>
      <c r="L2099" s="37">
        <v>2</v>
      </c>
      <c r="M2099" s="22">
        <f>IF(OR(ISBLANK(C2099),C2099=""),"",ROUND((C2099-B2099)*24,2))</f>
        <v>73.45</v>
      </c>
      <c r="N2099" s="38" t="str">
        <f>IF(OR(ISBLANK(C2099),C2099="",M2099=""),"In Progress",IF(M2099&lt;=J2099,"Met","Breached"))</f>
        <v>Breached</v>
      </c>
    </row>
    <row r="2100" ht="19" customHeight="1" spans="1:14" x14ac:dyDescent="0.25">
      <c r="A2100" s="19" t="s">
        <v>2214</v>
      </c>
      <c r="B2100" s="33">
        <v>46034.183333333334</v>
      </c>
      <c r="C2100" s="33">
        <v>46037.02916666667</v>
      </c>
      <c r="D2100" s="19" t="s">
        <v>36</v>
      </c>
      <c r="E2100" s="19" t="s">
        <v>65</v>
      </c>
      <c r="F2100" s="19" t="s">
        <v>34</v>
      </c>
      <c r="G2100" s="19" t="s">
        <v>116</v>
      </c>
      <c r="H2100" s="19" t="s">
        <v>59</v>
      </c>
      <c r="I2100" s="19" t="s">
        <v>114</v>
      </c>
      <c r="J2100" s="20">
        <v>48</v>
      </c>
      <c r="K2100" s="34">
        <v>0</v>
      </c>
      <c r="L2100" s="34">
        <v>4</v>
      </c>
      <c r="M2100" s="19">
        <f>IF(OR(ISBLANK(C2100),C2100=""),"",ROUND((C2100-B2100)*24,2))</f>
        <v>68.3</v>
      </c>
      <c r="N2100" s="39" t="str">
        <f>IF(OR(ISBLANK(C2100),C2100="",M2100=""),"In Progress",IF(M2100&lt;=J2100,"Met","Breached"))</f>
        <v>Breached</v>
      </c>
    </row>
    <row r="2101" ht="19" customHeight="1" spans="1:14" x14ac:dyDescent="0.25">
      <c r="A2101" s="22" t="s">
        <v>2215</v>
      </c>
      <c r="B2101" s="36">
        <v>45776.37361111111</v>
      </c>
      <c r="C2101" s="36">
        <v>45777.23055555555</v>
      </c>
      <c r="D2101" s="22" t="s">
        <v>33</v>
      </c>
      <c r="E2101" s="22" t="s">
        <v>61</v>
      </c>
      <c r="F2101" s="22" t="s">
        <v>34</v>
      </c>
      <c r="G2101" s="22" t="s">
        <v>121</v>
      </c>
      <c r="H2101" s="22" t="s">
        <v>59</v>
      </c>
      <c r="I2101" s="22" t="s">
        <v>117</v>
      </c>
      <c r="J2101" s="23">
        <v>12</v>
      </c>
      <c r="K2101" s="37">
        <v>1</v>
      </c>
      <c r="L2101" s="37">
        <v>3</v>
      </c>
      <c r="M2101" s="22">
        <f>IF(OR(ISBLANK(C2101),C2101=""),"",ROUND((C2101-B2101)*24,2))</f>
        <v>20.57</v>
      </c>
      <c r="N2101" s="38" t="str">
        <f>IF(OR(ISBLANK(C2101),C2101="",M2101=""),"In Progress",IF(M2101&lt;=J2101,"Met","Breached"))</f>
        <v>Breached</v>
      </c>
    </row>
    <row r="2102" ht="19" customHeight="1" spans="1:14" x14ac:dyDescent="0.25">
      <c r="A2102" s="19" t="s">
        <v>2216</v>
      </c>
      <c r="B2102" s="33">
        <v>45835.1375</v>
      </c>
      <c r="D2102" s="19" t="s">
        <v>39</v>
      </c>
      <c r="E2102" s="19" t="s">
        <v>69</v>
      </c>
      <c r="F2102" s="19" t="s">
        <v>45</v>
      </c>
      <c r="G2102" s="19" t="s">
        <v>110</v>
      </c>
      <c r="H2102" s="19" t="s">
        <v>63</v>
      </c>
      <c r="I2102" s="19" t="s">
        <v>147</v>
      </c>
      <c r="J2102" s="20">
        <v>120</v>
      </c>
      <c r="K2102" s="34">
        <v>0</v>
      </c>
      <c r="M2102" s="19" t="str">
        <f>IF(OR(ISBLANK(C2102),C2102=""),"",ROUND((C2102-B2102)*24,2))</f>
        <v/>
      </c>
      <c r="N2102" s="19" t="str">
        <f>IF(OR(ISBLANK(C2102),C2102="",M2102=""),"In Progress",IF(M2102&lt;=J2102,"Met","Breached"))</f>
        <v>In Progress</v>
      </c>
    </row>
    <row r="2103" ht="19" customHeight="1" spans="1:14" x14ac:dyDescent="0.25">
      <c r="A2103" s="22" t="s">
        <v>2217</v>
      </c>
      <c r="B2103" s="36">
        <v>46010.70625</v>
      </c>
      <c r="C2103" s="36">
        <v>46013.72152777778</v>
      </c>
      <c r="D2103" s="22" t="s">
        <v>36</v>
      </c>
      <c r="E2103" s="22" t="s">
        <v>65</v>
      </c>
      <c r="F2103" s="22" t="s">
        <v>40</v>
      </c>
      <c r="G2103" s="22" t="s">
        <v>63</v>
      </c>
      <c r="H2103" s="22" t="s">
        <v>63</v>
      </c>
      <c r="I2103" s="22" t="s">
        <v>123</v>
      </c>
      <c r="J2103" s="23">
        <v>48</v>
      </c>
      <c r="K2103" s="37">
        <v>0</v>
      </c>
      <c r="L2103" s="37">
        <v>1</v>
      </c>
      <c r="M2103" s="22">
        <f>IF(OR(ISBLANK(C2103),C2103=""),"",ROUND((C2103-B2103)*24,2))</f>
        <v>72.37</v>
      </c>
      <c r="N2103" s="38" t="str">
        <f>IF(OR(ISBLANK(C2103),C2103="",M2103=""),"In Progress",IF(M2103&lt;=J2103,"Met","Breached"))</f>
        <v>Breached</v>
      </c>
    </row>
    <row r="2104" ht="19" customHeight="1" spans="1:14" x14ac:dyDescent="0.25">
      <c r="A2104" s="19" t="s">
        <v>2218</v>
      </c>
      <c r="B2104" s="33">
        <v>45822.79583333334</v>
      </c>
      <c r="C2104" s="33">
        <v>45826.254166666666</v>
      </c>
      <c r="D2104" s="19" t="s">
        <v>36</v>
      </c>
      <c r="E2104" s="19" t="s">
        <v>65</v>
      </c>
      <c r="F2104" s="19" t="s">
        <v>45</v>
      </c>
      <c r="G2104" s="19" t="s">
        <v>63</v>
      </c>
      <c r="H2104" s="19" t="s">
        <v>67</v>
      </c>
      <c r="I2104" s="19" t="s">
        <v>108</v>
      </c>
      <c r="J2104" s="20">
        <v>48</v>
      </c>
      <c r="K2104" s="34">
        <v>0</v>
      </c>
      <c r="L2104" s="34">
        <v>3</v>
      </c>
      <c r="M2104" s="19">
        <f>IF(OR(ISBLANK(C2104),C2104=""),"",ROUND((C2104-B2104)*24,2))</f>
        <v>83</v>
      </c>
      <c r="N2104" s="39" t="str">
        <f>IF(OR(ISBLANK(C2104),C2104="",M2104=""),"In Progress",IF(M2104&lt;=J2104,"Met","Breached"))</f>
        <v>Breached</v>
      </c>
    </row>
    <row r="2105" ht="19" customHeight="1" spans="1:14" x14ac:dyDescent="0.25">
      <c r="A2105" s="22" t="s">
        <v>2219</v>
      </c>
      <c r="B2105" s="36">
        <v>46008.68541666667</v>
      </c>
      <c r="C2105" s="36">
        <v>46008.79166666667</v>
      </c>
      <c r="D2105" s="22" t="s">
        <v>33</v>
      </c>
      <c r="E2105" s="22" t="s">
        <v>57</v>
      </c>
      <c r="F2105" s="22" t="s">
        <v>40</v>
      </c>
      <c r="G2105" s="22" t="s">
        <v>113</v>
      </c>
      <c r="H2105" s="22" t="s">
        <v>63</v>
      </c>
      <c r="I2105" s="22" t="s">
        <v>123</v>
      </c>
      <c r="J2105" s="23">
        <v>4</v>
      </c>
      <c r="K2105" s="37">
        <v>0</v>
      </c>
      <c r="M2105" s="22">
        <f>IF(OR(ISBLANK(C2105),C2105=""),"",ROUND((C2105-B2105)*24,2))</f>
        <v>2.55</v>
      </c>
      <c r="N2105" s="40" t="str">
        <f>IF(OR(ISBLANK(C2105),C2105="",M2105=""),"In Progress",IF(M2105&lt;=J2105,"Met","Breached"))</f>
        <v>Met</v>
      </c>
    </row>
    <row r="2106" ht="19" customHeight="1" spans="1:14" x14ac:dyDescent="0.25">
      <c r="A2106" s="19" t="s">
        <v>2220</v>
      </c>
      <c r="B2106" s="33">
        <v>45931.55138888889</v>
      </c>
      <c r="C2106" s="33">
        <v>45934.83125</v>
      </c>
      <c r="D2106" s="19" t="s">
        <v>33</v>
      </c>
      <c r="E2106" s="19" t="s">
        <v>65</v>
      </c>
      <c r="F2106" s="19" t="s">
        <v>37</v>
      </c>
      <c r="G2106" s="19" t="s">
        <v>113</v>
      </c>
      <c r="H2106" s="19" t="s">
        <v>59</v>
      </c>
      <c r="I2106" s="19" t="s">
        <v>108</v>
      </c>
      <c r="J2106" s="20">
        <v>48</v>
      </c>
      <c r="K2106" s="34">
        <v>0</v>
      </c>
      <c r="L2106" s="34">
        <v>4</v>
      </c>
      <c r="M2106" s="19">
        <f>IF(OR(ISBLANK(C2106),C2106=""),"",ROUND((C2106-B2106)*24,2))</f>
        <v>78.72</v>
      </c>
      <c r="N2106" s="39" t="str">
        <f>IF(OR(ISBLANK(C2106),C2106="",M2106=""),"In Progress",IF(M2106&lt;=J2106,"Met","Breached"))</f>
        <v>Breached</v>
      </c>
    </row>
    <row r="2107" ht="19" customHeight="1" spans="1:14" x14ac:dyDescent="0.25">
      <c r="A2107" s="22" t="s">
        <v>2221</v>
      </c>
      <c r="B2107" s="36">
        <v>46275.57847222222</v>
      </c>
      <c r="D2107" s="22" t="s">
        <v>39</v>
      </c>
      <c r="E2107" s="22" t="s">
        <v>61</v>
      </c>
      <c r="F2107" s="22" t="s">
        <v>45</v>
      </c>
      <c r="G2107" s="22" t="s">
        <v>121</v>
      </c>
      <c r="H2107" s="22" t="s">
        <v>63</v>
      </c>
      <c r="I2107" s="22" t="s">
        <v>114</v>
      </c>
      <c r="J2107" s="23">
        <v>12</v>
      </c>
      <c r="K2107" s="37">
        <v>0</v>
      </c>
      <c r="M2107" s="22" t="str">
        <f>IF(OR(ISBLANK(C2107),C2107=""),"",ROUND((C2107-B2107)*24,2))</f>
        <v/>
      </c>
      <c r="N2107" s="22" t="str">
        <f>IF(OR(ISBLANK(C2107),C2107="",M2107=""),"In Progress",IF(M2107&lt;=J2107,"Met","Breached"))</f>
        <v>In Progress</v>
      </c>
    </row>
    <row r="2108" ht="19" customHeight="1" spans="1:14" x14ac:dyDescent="0.25">
      <c r="A2108" s="19" t="s">
        <v>2222</v>
      </c>
      <c r="B2108" s="33">
        <v>45942.472916666666</v>
      </c>
      <c r="C2108" s="33">
        <v>45945.9375</v>
      </c>
      <c r="D2108" s="19" t="s">
        <v>33</v>
      </c>
      <c r="E2108" s="19" t="s">
        <v>65</v>
      </c>
      <c r="F2108" s="19" t="s">
        <v>43</v>
      </c>
      <c r="G2108" s="19" t="s">
        <v>113</v>
      </c>
      <c r="H2108" s="19" t="s">
        <v>71</v>
      </c>
      <c r="I2108" s="19" t="s">
        <v>114</v>
      </c>
      <c r="J2108" s="20">
        <v>48</v>
      </c>
      <c r="K2108" s="34">
        <v>0</v>
      </c>
      <c r="L2108" s="34">
        <v>2</v>
      </c>
      <c r="M2108" s="19">
        <f>IF(OR(ISBLANK(C2108),C2108=""),"",ROUND((C2108-B2108)*24,2))</f>
        <v>83.15</v>
      </c>
      <c r="N2108" s="39" t="str">
        <f>IF(OR(ISBLANK(C2108),C2108="",M2108=""),"In Progress",IF(M2108&lt;=J2108,"Met","Breached"))</f>
        <v>Breached</v>
      </c>
    </row>
    <row r="2109" ht="19" customHeight="1" spans="1:14" x14ac:dyDescent="0.25">
      <c r="A2109" s="22" t="s">
        <v>2223</v>
      </c>
      <c r="B2109" s="36">
        <v>45708.65694444445</v>
      </c>
      <c r="C2109" s="36">
        <v>45709.49791666667</v>
      </c>
      <c r="D2109" s="22" t="s">
        <v>33</v>
      </c>
      <c r="E2109" s="22" t="s">
        <v>61</v>
      </c>
      <c r="F2109" s="22" t="s">
        <v>45</v>
      </c>
      <c r="G2109" s="22" t="s">
        <v>121</v>
      </c>
      <c r="H2109" s="22" t="s">
        <v>59</v>
      </c>
      <c r="I2109" s="22" t="s">
        <v>114</v>
      </c>
      <c r="J2109" s="23">
        <v>12</v>
      </c>
      <c r="K2109" s="37">
        <v>0</v>
      </c>
      <c r="M2109" s="22">
        <f>IF(OR(ISBLANK(C2109),C2109=""),"",ROUND((C2109-B2109)*24,2))</f>
        <v>20.18</v>
      </c>
      <c r="N2109" s="38" t="str">
        <f>IF(OR(ISBLANK(C2109),C2109="",M2109=""),"In Progress",IF(M2109&lt;=J2109,"Met","Breached"))</f>
        <v>Breached</v>
      </c>
    </row>
    <row r="2110" ht="19" customHeight="1" spans="1:14" x14ac:dyDescent="0.25">
      <c r="A2110" s="19" t="s">
        <v>2224</v>
      </c>
      <c r="B2110" s="33">
        <v>45819.13888888889</v>
      </c>
      <c r="C2110" s="33">
        <v>45822.48333333334</v>
      </c>
      <c r="D2110" s="19" t="s">
        <v>36</v>
      </c>
      <c r="E2110" s="19" t="s">
        <v>65</v>
      </c>
      <c r="F2110" s="19" t="s">
        <v>34</v>
      </c>
      <c r="G2110" s="19" t="s">
        <v>110</v>
      </c>
      <c r="H2110" s="19" t="s">
        <v>59</v>
      </c>
      <c r="I2110" s="19" t="s">
        <v>108</v>
      </c>
      <c r="J2110" s="20">
        <v>48</v>
      </c>
      <c r="K2110" s="34">
        <v>0</v>
      </c>
      <c r="M2110" s="19">
        <f>IF(OR(ISBLANK(C2110),C2110=""),"",ROUND((C2110-B2110)*24,2))</f>
        <v>80.27</v>
      </c>
      <c r="N2110" s="39" t="str">
        <f>IF(OR(ISBLANK(C2110),C2110="",M2110=""),"In Progress",IF(M2110&lt;=J2110,"Met","Breached"))</f>
        <v>Breached</v>
      </c>
    </row>
    <row r="2111" ht="19" customHeight="1" spans="1:14" x14ac:dyDescent="0.25">
      <c r="A2111" s="22" t="s">
        <v>2225</v>
      </c>
      <c r="B2111" s="36">
        <v>45779.18263888889</v>
      </c>
      <c r="D2111" s="22" t="s">
        <v>42</v>
      </c>
      <c r="E2111" s="22" t="s">
        <v>61</v>
      </c>
      <c r="F2111" s="22" t="s">
        <v>34</v>
      </c>
      <c r="G2111" s="22" t="s">
        <v>126</v>
      </c>
      <c r="H2111" s="22" t="s">
        <v>59</v>
      </c>
      <c r="I2111" s="22" t="s">
        <v>114</v>
      </c>
      <c r="J2111" s="23">
        <v>12</v>
      </c>
      <c r="K2111" s="37">
        <v>0</v>
      </c>
      <c r="M2111" s="22" t="str">
        <f>IF(OR(ISBLANK(C2111),C2111=""),"",ROUND((C2111-B2111)*24,2))</f>
        <v/>
      </c>
      <c r="N2111" s="22" t="str">
        <f>IF(OR(ISBLANK(C2111),C2111="",M2111=""),"In Progress",IF(M2111&lt;=J2111,"Met","Breached"))</f>
        <v>In Progress</v>
      </c>
    </row>
    <row r="2112" ht="19" customHeight="1" spans="1:14" x14ac:dyDescent="0.25">
      <c r="A2112" s="19" t="s">
        <v>2226</v>
      </c>
      <c r="B2112" s="33">
        <v>45699.70277777778</v>
      </c>
      <c r="C2112" s="33">
        <v>45700.60763888889</v>
      </c>
      <c r="D2112" s="19" t="s">
        <v>33</v>
      </c>
      <c r="E2112" s="19" t="s">
        <v>65</v>
      </c>
      <c r="F2112" s="19" t="s">
        <v>43</v>
      </c>
      <c r="G2112" s="19" t="s">
        <v>126</v>
      </c>
      <c r="H2112" s="19" t="s">
        <v>67</v>
      </c>
      <c r="I2112" s="19" t="s">
        <v>108</v>
      </c>
      <c r="J2112" s="20">
        <v>48</v>
      </c>
      <c r="K2112" s="34">
        <v>0</v>
      </c>
      <c r="L2112" s="34">
        <v>5</v>
      </c>
      <c r="M2112" s="19">
        <f>IF(OR(ISBLANK(C2112),C2112=""),"",ROUND((C2112-B2112)*24,2))</f>
        <v>21.72</v>
      </c>
      <c r="N2112" s="35" t="str">
        <f>IF(OR(ISBLANK(C2112),C2112="",M2112=""),"In Progress",IF(M2112&lt;=J2112,"Met","Breached"))</f>
        <v>Met</v>
      </c>
    </row>
    <row r="2113" ht="19" customHeight="1" spans="1:14" x14ac:dyDescent="0.25">
      <c r="A2113" s="22" t="s">
        <v>2227</v>
      </c>
      <c r="B2113" s="36">
        <v>45817.441666666666</v>
      </c>
      <c r="C2113" s="36">
        <v>45820.40625</v>
      </c>
      <c r="D2113" s="22" t="s">
        <v>33</v>
      </c>
      <c r="E2113" s="22" t="s">
        <v>65</v>
      </c>
      <c r="F2113" s="22" t="s">
        <v>45</v>
      </c>
      <c r="G2113" s="22" t="s">
        <v>116</v>
      </c>
      <c r="H2113" s="22" t="s">
        <v>67</v>
      </c>
      <c r="I2113" s="22" t="s">
        <v>114</v>
      </c>
      <c r="J2113" s="23">
        <v>48</v>
      </c>
      <c r="K2113" s="37">
        <v>0</v>
      </c>
      <c r="L2113" s="37">
        <v>2</v>
      </c>
      <c r="M2113" s="22">
        <f>IF(OR(ISBLANK(C2113),C2113=""),"",ROUND((C2113-B2113)*24,2))</f>
        <v>71.15</v>
      </c>
      <c r="N2113" s="38" t="str">
        <f>IF(OR(ISBLANK(C2113),C2113="",M2113=""),"In Progress",IF(M2113&lt;=J2113,"Met","Breached"))</f>
        <v>Breached</v>
      </c>
    </row>
    <row r="2114" ht="19" customHeight="1" spans="1:14" x14ac:dyDescent="0.25">
      <c r="A2114" s="19" t="s">
        <v>2228</v>
      </c>
      <c r="B2114" s="33">
        <v>46218.19097222222</v>
      </c>
      <c r="C2114" s="33">
        <v>46220.69861111111</v>
      </c>
      <c r="D2114" s="19" t="s">
        <v>36</v>
      </c>
      <c r="E2114" s="19" t="s">
        <v>65</v>
      </c>
      <c r="F2114" s="19" t="s">
        <v>45</v>
      </c>
      <c r="G2114" s="19" t="s">
        <v>121</v>
      </c>
      <c r="H2114" s="19" t="s">
        <v>63</v>
      </c>
      <c r="I2114" s="19" t="s">
        <v>147</v>
      </c>
      <c r="J2114" s="20">
        <v>48</v>
      </c>
      <c r="K2114" s="34">
        <v>0</v>
      </c>
      <c r="M2114" s="19">
        <f>IF(OR(ISBLANK(C2114),C2114=""),"",ROUND((C2114-B2114)*24,2))</f>
        <v>60.18</v>
      </c>
      <c r="N2114" s="39" t="str">
        <f>IF(OR(ISBLANK(C2114),C2114="",M2114=""),"In Progress",IF(M2114&lt;=J2114,"Met","Breached"))</f>
        <v>Breached</v>
      </c>
    </row>
    <row r="2115" ht="19" customHeight="1" spans="1:14" x14ac:dyDescent="0.25">
      <c r="A2115" s="22" t="s">
        <v>2229</v>
      </c>
      <c r="B2115" s="36">
        <v>45701.82777777778</v>
      </c>
      <c r="C2115" s="36">
        <v>45702.65069444444</v>
      </c>
      <c r="D2115" s="22" t="s">
        <v>33</v>
      </c>
      <c r="E2115" s="22" t="s">
        <v>61</v>
      </c>
      <c r="F2115" s="22" t="s">
        <v>34</v>
      </c>
      <c r="G2115" s="22" t="s">
        <v>110</v>
      </c>
      <c r="H2115" s="22" t="s">
        <v>59</v>
      </c>
      <c r="I2115" s="22" t="s">
        <v>147</v>
      </c>
      <c r="J2115" s="23">
        <v>12</v>
      </c>
      <c r="K2115" s="37">
        <v>0</v>
      </c>
      <c r="L2115" s="37">
        <v>5</v>
      </c>
      <c r="M2115" s="22">
        <f>IF(OR(ISBLANK(C2115),C2115=""),"",ROUND((C2115-B2115)*24,2))</f>
        <v>19.75</v>
      </c>
      <c r="N2115" s="38" t="str">
        <f>IF(OR(ISBLANK(C2115),C2115="",M2115=""),"In Progress",IF(M2115&lt;=J2115,"Met","Breached"))</f>
        <v>Breached</v>
      </c>
    </row>
    <row r="2116" ht="19" customHeight="1" spans="1:14" x14ac:dyDescent="0.25">
      <c r="A2116" s="19" t="s">
        <v>2230</v>
      </c>
      <c r="B2116" s="33">
        <v>45828.57638888889</v>
      </c>
      <c r="D2116" s="19" t="s">
        <v>39</v>
      </c>
      <c r="E2116" s="19" t="s">
        <v>65</v>
      </c>
      <c r="F2116" s="19" t="s">
        <v>40</v>
      </c>
      <c r="G2116" s="19" t="s">
        <v>121</v>
      </c>
      <c r="H2116" s="19" t="s">
        <v>59</v>
      </c>
      <c r="I2116" s="19" t="s">
        <v>114</v>
      </c>
      <c r="J2116" s="20">
        <v>48</v>
      </c>
      <c r="K2116" s="34">
        <v>0</v>
      </c>
      <c r="M2116" s="19" t="str">
        <f>IF(OR(ISBLANK(C2116),C2116=""),"",ROUND((C2116-B2116)*24,2))</f>
        <v/>
      </c>
      <c r="N2116" s="19" t="str">
        <f>IF(OR(ISBLANK(C2116),C2116="",M2116=""),"In Progress",IF(M2116&lt;=J2116,"Met","Breached"))</f>
        <v>In Progress</v>
      </c>
    </row>
    <row r="2117" ht="19" customHeight="1" spans="1:14" x14ac:dyDescent="0.25">
      <c r="A2117" s="22" t="s">
        <v>2231</v>
      </c>
      <c r="B2117" s="36">
        <v>45858.03333333333</v>
      </c>
      <c r="C2117" s="36">
        <v>45860.10902777778</v>
      </c>
      <c r="D2117" s="22" t="s">
        <v>33</v>
      </c>
      <c r="E2117" s="22" t="s">
        <v>65</v>
      </c>
      <c r="F2117" s="22" t="s">
        <v>43</v>
      </c>
      <c r="G2117" s="22" t="s">
        <v>121</v>
      </c>
      <c r="H2117" s="22" t="s">
        <v>59</v>
      </c>
      <c r="I2117" s="22" t="s">
        <v>111</v>
      </c>
      <c r="J2117" s="23">
        <v>48</v>
      </c>
      <c r="K2117" s="37">
        <v>0</v>
      </c>
      <c r="L2117" s="37">
        <v>1</v>
      </c>
      <c r="M2117" s="22">
        <f>IF(OR(ISBLANK(C2117),C2117=""),"",ROUND((C2117-B2117)*24,2))</f>
        <v>49.82</v>
      </c>
      <c r="N2117" s="38" t="str">
        <f>IF(OR(ISBLANK(C2117),C2117="",M2117=""),"In Progress",IF(M2117&lt;=J2117,"Met","Breached"))</f>
        <v>Breached</v>
      </c>
    </row>
    <row r="2118" ht="19" customHeight="1" spans="1:14" x14ac:dyDescent="0.25">
      <c r="A2118" s="19" t="s">
        <v>2232</v>
      </c>
      <c r="B2118" s="33">
        <v>46169.06597222222</v>
      </c>
      <c r="C2118" s="33">
        <v>46169.16736111111</v>
      </c>
      <c r="D2118" s="19" t="s">
        <v>33</v>
      </c>
      <c r="E2118" s="19" t="s">
        <v>57</v>
      </c>
      <c r="F2118" s="19" t="s">
        <v>43</v>
      </c>
      <c r="G2118" s="19" t="s">
        <v>121</v>
      </c>
      <c r="H2118" s="19" t="s">
        <v>63</v>
      </c>
      <c r="I2118" s="19" t="s">
        <v>147</v>
      </c>
      <c r="J2118" s="20">
        <v>4</v>
      </c>
      <c r="K2118" s="34">
        <v>0</v>
      </c>
      <c r="M2118" s="19">
        <f>IF(OR(ISBLANK(C2118),C2118=""),"",ROUND((C2118-B2118)*24,2))</f>
        <v>2.43</v>
      </c>
      <c r="N2118" s="35" t="str">
        <f>IF(OR(ISBLANK(C2118),C2118="",M2118=""),"In Progress",IF(M2118&lt;=J2118,"Met","Breached"))</f>
        <v>Met</v>
      </c>
    </row>
    <row r="2119" ht="19" customHeight="1" spans="1:14" x14ac:dyDescent="0.25">
      <c r="A2119" s="22" t="s">
        <v>2233</v>
      </c>
      <c r="B2119" s="36">
        <v>45913.52291666667</v>
      </c>
      <c r="C2119" s="36">
        <v>45916.62152777778</v>
      </c>
      <c r="D2119" s="22" t="s">
        <v>36</v>
      </c>
      <c r="E2119" s="22" t="s">
        <v>69</v>
      </c>
      <c r="F2119" s="22" t="s">
        <v>37</v>
      </c>
      <c r="G2119" s="22" t="s">
        <v>113</v>
      </c>
      <c r="H2119" s="22" t="s">
        <v>59</v>
      </c>
      <c r="I2119" s="22" t="s">
        <v>123</v>
      </c>
      <c r="J2119" s="23">
        <v>120</v>
      </c>
      <c r="K2119" s="37">
        <v>0</v>
      </c>
      <c r="L2119" s="37">
        <v>2</v>
      </c>
      <c r="M2119" s="22">
        <f>IF(OR(ISBLANK(C2119),C2119=""),"",ROUND((C2119-B2119)*24,2))</f>
        <v>74.37</v>
      </c>
      <c r="N2119" s="40" t="str">
        <f>IF(OR(ISBLANK(C2119),C2119="",M2119=""),"In Progress",IF(M2119&lt;=J2119,"Met","Breached"))</f>
        <v>Met</v>
      </c>
    </row>
    <row r="2120" ht="19" customHeight="1" spans="1:14" x14ac:dyDescent="0.25">
      <c r="A2120" s="19" t="s">
        <v>2234</v>
      </c>
      <c r="B2120" s="33">
        <v>46272.913194444445</v>
      </c>
      <c r="C2120" s="33">
        <v>46274.42638888889</v>
      </c>
      <c r="D2120" s="19" t="s">
        <v>33</v>
      </c>
      <c r="E2120" s="19" t="s">
        <v>65</v>
      </c>
      <c r="F2120" s="19" t="s">
        <v>37</v>
      </c>
      <c r="G2120" s="19" t="s">
        <v>110</v>
      </c>
      <c r="H2120" s="19" t="s">
        <v>71</v>
      </c>
      <c r="I2120" s="19" t="s">
        <v>117</v>
      </c>
      <c r="J2120" s="20">
        <v>48</v>
      </c>
      <c r="K2120" s="34">
        <v>0</v>
      </c>
      <c r="L2120" s="34">
        <v>1</v>
      </c>
      <c r="M2120" s="19">
        <f>IF(OR(ISBLANK(C2120),C2120=""),"",ROUND((C2120-B2120)*24,2))</f>
        <v>36.32</v>
      </c>
      <c r="N2120" s="35" t="str">
        <f>IF(OR(ISBLANK(C2120),C2120="",M2120=""),"In Progress",IF(M2120&lt;=J2120,"Met","Breached"))</f>
        <v>Met</v>
      </c>
    </row>
    <row r="2121" ht="19" customHeight="1" spans="1:14" x14ac:dyDescent="0.25">
      <c r="A2121" s="22" t="s">
        <v>2235</v>
      </c>
      <c r="B2121" s="36">
        <v>45779.518055555556</v>
      </c>
      <c r="D2121" s="22" t="s">
        <v>39</v>
      </c>
      <c r="E2121" s="22" t="s">
        <v>69</v>
      </c>
      <c r="F2121" s="22" t="s">
        <v>40</v>
      </c>
      <c r="G2121" s="22" t="s">
        <v>110</v>
      </c>
      <c r="H2121" s="22" t="s">
        <v>59</v>
      </c>
      <c r="I2121" s="22" t="s">
        <v>147</v>
      </c>
      <c r="J2121" s="23">
        <v>120</v>
      </c>
      <c r="K2121" s="37">
        <v>0</v>
      </c>
      <c r="M2121" s="22" t="str">
        <f>IF(OR(ISBLANK(C2121),C2121=""),"",ROUND((C2121-B2121)*24,2))</f>
        <v/>
      </c>
      <c r="N2121" s="22" t="str">
        <f>IF(OR(ISBLANK(C2121),C2121="",M2121=""),"In Progress",IF(M2121&lt;=J2121,"Met","Breached"))</f>
        <v>In Progress</v>
      </c>
    </row>
    <row r="2122" ht="19" customHeight="1" spans="1:14" x14ac:dyDescent="0.25">
      <c r="A2122" s="19" t="s">
        <v>2236</v>
      </c>
      <c r="B2122" s="33">
        <v>45848.21736111111</v>
      </c>
      <c r="C2122" s="33">
        <v>45849.00555555556</v>
      </c>
      <c r="D2122" s="19" t="s">
        <v>33</v>
      </c>
      <c r="E2122" s="19" t="s">
        <v>65</v>
      </c>
      <c r="F2122" s="19" t="s">
        <v>45</v>
      </c>
      <c r="G2122" s="19" t="s">
        <v>110</v>
      </c>
      <c r="H2122" s="19" t="s">
        <v>71</v>
      </c>
      <c r="I2122" s="19" t="s">
        <v>111</v>
      </c>
      <c r="J2122" s="20">
        <v>48</v>
      </c>
      <c r="K2122" s="34">
        <v>0</v>
      </c>
      <c r="M2122" s="19">
        <f>IF(OR(ISBLANK(C2122),C2122=""),"",ROUND((C2122-B2122)*24,2))</f>
        <v>18.92</v>
      </c>
      <c r="N2122" s="35" t="str">
        <f>IF(OR(ISBLANK(C2122),C2122="",M2122=""),"In Progress",IF(M2122&lt;=J2122,"Met","Breached"))</f>
        <v>Met</v>
      </c>
    </row>
    <row r="2123" ht="19" customHeight="1" spans="1:14" x14ac:dyDescent="0.25">
      <c r="A2123" s="22" t="s">
        <v>2237</v>
      </c>
      <c r="B2123" s="36">
        <v>45815.83541666667</v>
      </c>
      <c r="D2123" s="22" t="s">
        <v>39</v>
      </c>
      <c r="E2123" s="22" t="s">
        <v>65</v>
      </c>
      <c r="F2123" s="22" t="s">
        <v>43</v>
      </c>
      <c r="G2123" s="22" t="s">
        <v>113</v>
      </c>
      <c r="H2123" s="22" t="s">
        <v>59</v>
      </c>
      <c r="I2123" s="22" t="s">
        <v>123</v>
      </c>
      <c r="J2123" s="23">
        <v>48</v>
      </c>
      <c r="K2123" s="37">
        <v>0</v>
      </c>
      <c r="M2123" s="22" t="str">
        <f>IF(OR(ISBLANK(C2123),C2123=""),"",ROUND((C2123-B2123)*24,2))</f>
        <v/>
      </c>
      <c r="N2123" s="22" t="str">
        <f>IF(OR(ISBLANK(C2123),C2123="",M2123=""),"In Progress",IF(M2123&lt;=J2123,"Met","Breached"))</f>
        <v>In Progress</v>
      </c>
    </row>
    <row r="2124" ht="19" customHeight="1" spans="1:14" x14ac:dyDescent="0.25">
      <c r="A2124" s="19" t="s">
        <v>2238</v>
      </c>
      <c r="B2124" s="33">
        <v>45918.08194444445</v>
      </c>
      <c r="C2124" s="33">
        <v>45918.88402777778</v>
      </c>
      <c r="D2124" s="19" t="s">
        <v>33</v>
      </c>
      <c r="E2124" s="19" t="s">
        <v>65</v>
      </c>
      <c r="F2124" s="19" t="s">
        <v>37</v>
      </c>
      <c r="G2124" s="19" t="s">
        <v>126</v>
      </c>
      <c r="H2124" s="19" t="s">
        <v>59</v>
      </c>
      <c r="I2124" s="19" t="s">
        <v>111</v>
      </c>
      <c r="J2124" s="20">
        <v>48</v>
      </c>
      <c r="K2124" s="34">
        <v>0</v>
      </c>
      <c r="L2124" s="34">
        <v>5</v>
      </c>
      <c r="M2124" s="19">
        <f>IF(OR(ISBLANK(C2124),C2124=""),"",ROUND((C2124-B2124)*24,2))</f>
        <v>19.25</v>
      </c>
      <c r="N2124" s="35" t="str">
        <f>IF(OR(ISBLANK(C2124),C2124="",M2124=""),"In Progress",IF(M2124&lt;=J2124,"Met","Breached"))</f>
        <v>Met</v>
      </c>
    </row>
    <row r="2125" ht="19" customHeight="1" spans="1:14" x14ac:dyDescent="0.25">
      <c r="A2125" s="22" t="s">
        <v>2239</v>
      </c>
      <c r="B2125" s="36">
        <v>46187.09930555556</v>
      </c>
      <c r="D2125" s="22" t="s">
        <v>39</v>
      </c>
      <c r="E2125" s="22" t="s">
        <v>61</v>
      </c>
      <c r="F2125" s="22" t="s">
        <v>34</v>
      </c>
      <c r="G2125" s="22" t="s">
        <v>126</v>
      </c>
      <c r="H2125" s="22" t="s">
        <v>63</v>
      </c>
      <c r="I2125" s="22" t="s">
        <v>108</v>
      </c>
      <c r="J2125" s="23">
        <v>12</v>
      </c>
      <c r="K2125" s="37">
        <v>0</v>
      </c>
      <c r="M2125" s="22" t="str">
        <f>IF(OR(ISBLANK(C2125),C2125=""),"",ROUND((C2125-B2125)*24,2))</f>
        <v/>
      </c>
      <c r="N2125" s="22" t="str">
        <f>IF(OR(ISBLANK(C2125),C2125="",M2125=""),"In Progress",IF(M2125&lt;=J2125,"Met","Breached"))</f>
        <v>In Progress</v>
      </c>
    </row>
    <row r="2126" ht="19" customHeight="1" spans="1:14" x14ac:dyDescent="0.25">
      <c r="A2126" s="19" t="s">
        <v>2240</v>
      </c>
      <c r="B2126" s="33">
        <v>46273.0375</v>
      </c>
      <c r="D2126" s="19" t="s">
        <v>42</v>
      </c>
      <c r="E2126" s="19" t="s">
        <v>65</v>
      </c>
      <c r="F2126" s="19" t="s">
        <v>34</v>
      </c>
      <c r="G2126" s="19" t="s">
        <v>126</v>
      </c>
      <c r="H2126" s="19" t="s">
        <v>71</v>
      </c>
      <c r="I2126" s="19" t="s">
        <v>108</v>
      </c>
      <c r="J2126" s="20">
        <v>48</v>
      </c>
      <c r="K2126" s="34">
        <v>0</v>
      </c>
      <c r="M2126" s="19" t="str">
        <f>IF(OR(ISBLANK(C2126),C2126=""),"",ROUND((C2126-B2126)*24,2))</f>
        <v/>
      </c>
      <c r="N2126" s="19" t="str">
        <f>IF(OR(ISBLANK(C2126),C2126="",M2126=""),"In Progress",IF(M2126&lt;=J2126,"Met","Breached"))</f>
        <v>In Progress</v>
      </c>
    </row>
    <row r="2127" ht="19" customHeight="1" spans="1:14" x14ac:dyDescent="0.25">
      <c r="A2127" s="22" t="s">
        <v>2241</v>
      </c>
      <c r="B2127" s="36">
        <v>46259.50555555556</v>
      </c>
      <c r="C2127" s="36">
        <v>46261.02013888889</v>
      </c>
      <c r="D2127" s="22" t="s">
        <v>33</v>
      </c>
      <c r="E2127" s="22" t="s">
        <v>65</v>
      </c>
      <c r="F2127" s="22" t="s">
        <v>34</v>
      </c>
      <c r="G2127" s="22" t="s">
        <v>113</v>
      </c>
      <c r="H2127" s="22" t="s">
        <v>67</v>
      </c>
      <c r="I2127" s="22" t="s">
        <v>117</v>
      </c>
      <c r="J2127" s="23">
        <v>48</v>
      </c>
      <c r="K2127" s="37">
        <v>0</v>
      </c>
      <c r="M2127" s="22">
        <f>IF(OR(ISBLANK(C2127),C2127=""),"",ROUND((C2127-B2127)*24,2))</f>
        <v>36.35</v>
      </c>
      <c r="N2127" s="40" t="str">
        <f>IF(OR(ISBLANK(C2127),C2127="",M2127=""),"In Progress",IF(M2127&lt;=J2127,"Met","Breached"))</f>
        <v>Met</v>
      </c>
    </row>
    <row r="2128" ht="19" customHeight="1" spans="1:14" x14ac:dyDescent="0.25">
      <c r="A2128" s="19" t="s">
        <v>2242</v>
      </c>
      <c r="B2128" s="33">
        <v>46161.43472222222</v>
      </c>
      <c r="C2128" s="33">
        <v>46162.23958333333</v>
      </c>
      <c r="D2128" s="19" t="s">
        <v>33</v>
      </c>
      <c r="E2128" s="19" t="s">
        <v>61</v>
      </c>
      <c r="F2128" s="19" t="s">
        <v>40</v>
      </c>
      <c r="G2128" s="19" t="s">
        <v>63</v>
      </c>
      <c r="H2128" s="19" t="s">
        <v>71</v>
      </c>
      <c r="I2128" s="19" t="s">
        <v>108</v>
      </c>
      <c r="J2128" s="20">
        <v>12</v>
      </c>
      <c r="K2128" s="34">
        <v>0</v>
      </c>
      <c r="L2128" s="34">
        <v>3</v>
      </c>
      <c r="M2128" s="19">
        <f>IF(OR(ISBLANK(C2128),C2128=""),"",ROUND((C2128-B2128)*24,2))</f>
        <v>19.32</v>
      </c>
      <c r="N2128" s="39" t="str">
        <f>IF(OR(ISBLANK(C2128),C2128="",M2128=""),"In Progress",IF(M2128&lt;=J2128,"Met","Breached"))</f>
        <v>Breached</v>
      </c>
    </row>
    <row r="2129" ht="19" customHeight="1" spans="1:14" x14ac:dyDescent="0.25">
      <c r="A2129" s="22" t="s">
        <v>2243</v>
      </c>
      <c r="B2129" s="36">
        <v>45813.17222222222</v>
      </c>
      <c r="C2129" s="36">
        <v>45815.245833333334</v>
      </c>
      <c r="D2129" s="22" t="s">
        <v>33</v>
      </c>
      <c r="E2129" s="22" t="s">
        <v>69</v>
      </c>
      <c r="F2129" s="22" t="s">
        <v>34</v>
      </c>
      <c r="G2129" s="22" t="s">
        <v>126</v>
      </c>
      <c r="H2129" s="22" t="s">
        <v>71</v>
      </c>
      <c r="I2129" s="22" t="s">
        <v>108</v>
      </c>
      <c r="J2129" s="23">
        <v>120</v>
      </c>
      <c r="K2129" s="37">
        <v>0</v>
      </c>
      <c r="M2129" s="22">
        <f>IF(OR(ISBLANK(C2129),C2129=""),"",ROUND((C2129-B2129)*24,2))</f>
        <v>49.77</v>
      </c>
      <c r="N2129" s="40" t="str">
        <f>IF(OR(ISBLANK(C2129),C2129="",M2129=""),"In Progress",IF(M2129&lt;=J2129,"Met","Breached"))</f>
        <v>Met</v>
      </c>
    </row>
    <row r="2130" ht="19" customHeight="1" spans="1:14" x14ac:dyDescent="0.25">
      <c r="A2130" s="19" t="s">
        <v>2244</v>
      </c>
      <c r="B2130" s="33">
        <v>46104.57083333333</v>
      </c>
      <c r="C2130" s="33">
        <v>46105.33541666667</v>
      </c>
      <c r="D2130" s="19" t="s">
        <v>33</v>
      </c>
      <c r="E2130" s="19" t="s">
        <v>61</v>
      </c>
      <c r="F2130" s="19" t="s">
        <v>37</v>
      </c>
      <c r="G2130" s="19" t="s">
        <v>110</v>
      </c>
      <c r="H2130" s="19" t="s">
        <v>63</v>
      </c>
      <c r="I2130" s="19" t="s">
        <v>111</v>
      </c>
      <c r="J2130" s="20">
        <v>12</v>
      </c>
      <c r="K2130" s="34">
        <v>0</v>
      </c>
      <c r="M2130" s="19">
        <f>IF(OR(ISBLANK(C2130),C2130=""),"",ROUND((C2130-B2130)*24,2))</f>
        <v>18.35</v>
      </c>
      <c r="N2130" s="39" t="str">
        <f>IF(OR(ISBLANK(C2130),C2130="",M2130=""),"In Progress",IF(M2130&lt;=J2130,"Met","Breached"))</f>
        <v>Breached</v>
      </c>
    </row>
    <row r="2131" ht="19" customHeight="1" spans="1:14" x14ac:dyDescent="0.25">
      <c r="A2131" s="22" t="s">
        <v>2245</v>
      </c>
      <c r="B2131" s="36">
        <v>45954.68472222222</v>
      </c>
      <c r="C2131" s="36">
        <v>45958.74166666667</v>
      </c>
      <c r="D2131" s="22" t="s">
        <v>33</v>
      </c>
      <c r="E2131" s="22" t="s">
        <v>69</v>
      </c>
      <c r="F2131" s="22" t="s">
        <v>40</v>
      </c>
      <c r="G2131" s="22" t="s">
        <v>110</v>
      </c>
      <c r="H2131" s="22" t="s">
        <v>63</v>
      </c>
      <c r="I2131" s="22" t="s">
        <v>117</v>
      </c>
      <c r="J2131" s="23">
        <v>120</v>
      </c>
      <c r="K2131" s="37">
        <v>0</v>
      </c>
      <c r="L2131" s="37">
        <v>5</v>
      </c>
      <c r="M2131" s="22">
        <f>IF(OR(ISBLANK(C2131),C2131=""),"",ROUND((C2131-B2131)*24,2))</f>
        <v>97.37</v>
      </c>
      <c r="N2131" s="40" t="str">
        <f>IF(OR(ISBLANK(C2131),C2131="",M2131=""),"In Progress",IF(M2131&lt;=J2131,"Met","Breached"))</f>
        <v>Met</v>
      </c>
    </row>
    <row r="2132" ht="19" customHeight="1" spans="1:14" x14ac:dyDescent="0.25">
      <c r="A2132" s="19" t="s">
        <v>2246</v>
      </c>
      <c r="B2132" s="33">
        <v>46226.29652777778</v>
      </c>
      <c r="C2132" s="33">
        <v>46227.20277777778</v>
      </c>
      <c r="D2132" s="19" t="s">
        <v>33</v>
      </c>
      <c r="E2132" s="19" t="s">
        <v>65</v>
      </c>
      <c r="F2132" s="19" t="s">
        <v>45</v>
      </c>
      <c r="G2132" s="19" t="s">
        <v>63</v>
      </c>
      <c r="H2132" s="19" t="s">
        <v>63</v>
      </c>
      <c r="I2132" s="19" t="s">
        <v>111</v>
      </c>
      <c r="J2132" s="20">
        <v>48</v>
      </c>
      <c r="K2132" s="34">
        <v>0</v>
      </c>
      <c r="M2132" s="19">
        <f>IF(OR(ISBLANK(C2132),C2132=""),"",ROUND((C2132-B2132)*24,2))</f>
        <v>21.75</v>
      </c>
      <c r="N2132" s="35" t="str">
        <f>IF(OR(ISBLANK(C2132),C2132="",M2132=""),"In Progress",IF(M2132&lt;=J2132,"Met","Breached"))</f>
        <v>Met</v>
      </c>
    </row>
    <row r="2133" ht="19" customHeight="1" spans="1:14" x14ac:dyDescent="0.25">
      <c r="A2133" s="22" t="s">
        <v>2247</v>
      </c>
      <c r="B2133" s="36">
        <v>45997.02569444444</v>
      </c>
      <c r="C2133" s="36">
        <v>45997.90555555555</v>
      </c>
      <c r="D2133" s="22" t="s">
        <v>33</v>
      </c>
      <c r="E2133" s="22" t="s">
        <v>61</v>
      </c>
      <c r="F2133" s="22" t="s">
        <v>40</v>
      </c>
      <c r="G2133" s="22" t="s">
        <v>113</v>
      </c>
      <c r="H2133" s="22" t="s">
        <v>59</v>
      </c>
      <c r="I2133" s="22" t="s">
        <v>123</v>
      </c>
      <c r="J2133" s="23">
        <v>12</v>
      </c>
      <c r="K2133" s="37">
        <v>0</v>
      </c>
      <c r="L2133" s="37">
        <v>5</v>
      </c>
      <c r="M2133" s="22">
        <f>IF(OR(ISBLANK(C2133),C2133=""),"",ROUND((C2133-B2133)*24,2))</f>
        <v>21.12</v>
      </c>
      <c r="N2133" s="38" t="str">
        <f>IF(OR(ISBLANK(C2133),C2133="",M2133=""),"In Progress",IF(M2133&lt;=J2133,"Met","Breached"))</f>
        <v>Breached</v>
      </c>
    </row>
    <row r="2134" ht="19" customHeight="1" spans="1:14" x14ac:dyDescent="0.25">
      <c r="A2134" s="19" t="s">
        <v>2248</v>
      </c>
      <c r="B2134" s="33">
        <v>46256.066666666666</v>
      </c>
      <c r="C2134" s="33">
        <v>46260.98819444445</v>
      </c>
      <c r="D2134" s="19" t="s">
        <v>33</v>
      </c>
      <c r="E2134" s="19" t="s">
        <v>69</v>
      </c>
      <c r="F2134" s="19" t="s">
        <v>37</v>
      </c>
      <c r="G2134" s="19" t="s">
        <v>116</v>
      </c>
      <c r="H2134" s="19" t="s">
        <v>59</v>
      </c>
      <c r="I2134" s="19" t="s">
        <v>117</v>
      </c>
      <c r="J2134" s="20">
        <v>120</v>
      </c>
      <c r="K2134" s="34">
        <v>0</v>
      </c>
      <c r="M2134" s="19">
        <f>IF(OR(ISBLANK(C2134),C2134=""),"",ROUND((C2134-B2134)*24,2))</f>
        <v>118.12</v>
      </c>
      <c r="N2134" s="35" t="str">
        <f>IF(OR(ISBLANK(C2134),C2134="",M2134=""),"In Progress",IF(M2134&lt;=J2134,"Met","Breached"))</f>
        <v>Met</v>
      </c>
    </row>
    <row r="2135" ht="19" customHeight="1" spans="1:14" x14ac:dyDescent="0.25">
      <c r="A2135" s="22" t="s">
        <v>2249</v>
      </c>
      <c r="B2135" s="36">
        <v>45842.896527777775</v>
      </c>
      <c r="C2135" s="36">
        <v>45845.535416666666</v>
      </c>
      <c r="D2135" s="22" t="s">
        <v>33</v>
      </c>
      <c r="E2135" s="22" t="s">
        <v>65</v>
      </c>
      <c r="F2135" s="22" t="s">
        <v>43</v>
      </c>
      <c r="G2135" s="22" t="s">
        <v>63</v>
      </c>
      <c r="H2135" s="22" t="s">
        <v>67</v>
      </c>
      <c r="I2135" s="22" t="s">
        <v>111</v>
      </c>
      <c r="J2135" s="23">
        <v>48</v>
      </c>
      <c r="K2135" s="37">
        <v>0</v>
      </c>
      <c r="M2135" s="22">
        <f>IF(OR(ISBLANK(C2135),C2135=""),"",ROUND((C2135-B2135)*24,2))</f>
        <v>63.33</v>
      </c>
      <c r="N2135" s="38" t="str">
        <f>IF(OR(ISBLANK(C2135),C2135="",M2135=""),"In Progress",IF(M2135&lt;=J2135,"Met","Breached"))</f>
        <v>Breached</v>
      </c>
    </row>
    <row r="2136" ht="19" customHeight="1" spans="1:14" x14ac:dyDescent="0.25">
      <c r="A2136" s="19" t="s">
        <v>2250</v>
      </c>
      <c r="B2136" s="33">
        <v>45840.58888888889</v>
      </c>
      <c r="D2136" s="19" t="s">
        <v>39</v>
      </c>
      <c r="E2136" s="19" t="s">
        <v>65</v>
      </c>
      <c r="F2136" s="19" t="s">
        <v>37</v>
      </c>
      <c r="G2136" s="19" t="s">
        <v>126</v>
      </c>
      <c r="H2136" s="19" t="s">
        <v>63</v>
      </c>
      <c r="I2136" s="19" t="s">
        <v>123</v>
      </c>
      <c r="J2136" s="20">
        <v>48</v>
      </c>
      <c r="K2136" s="34">
        <v>0</v>
      </c>
      <c r="M2136" s="19" t="str">
        <f>IF(OR(ISBLANK(C2136),C2136=""),"",ROUND((C2136-B2136)*24,2))</f>
        <v/>
      </c>
      <c r="N2136" s="19" t="str">
        <f>IF(OR(ISBLANK(C2136),C2136="",M2136=""),"In Progress",IF(M2136&lt;=J2136,"Met","Breached"))</f>
        <v>In Progress</v>
      </c>
    </row>
    <row r="2137" ht="19" customHeight="1" spans="1:14" x14ac:dyDescent="0.25">
      <c r="A2137" s="22" t="s">
        <v>2251</v>
      </c>
      <c r="B2137" s="36">
        <v>45937.13333333333</v>
      </c>
      <c r="C2137" s="36">
        <v>45937.961111111115</v>
      </c>
      <c r="D2137" s="22" t="s">
        <v>36</v>
      </c>
      <c r="E2137" s="22" t="s">
        <v>61</v>
      </c>
      <c r="F2137" s="22" t="s">
        <v>37</v>
      </c>
      <c r="G2137" s="22" t="s">
        <v>121</v>
      </c>
      <c r="H2137" s="22" t="s">
        <v>59</v>
      </c>
      <c r="I2137" s="22" t="s">
        <v>111</v>
      </c>
      <c r="J2137" s="23">
        <v>12</v>
      </c>
      <c r="K2137" s="37">
        <v>0</v>
      </c>
      <c r="L2137" s="37">
        <v>2</v>
      </c>
      <c r="M2137" s="22">
        <f>IF(OR(ISBLANK(C2137),C2137=""),"",ROUND((C2137-B2137)*24,2))</f>
        <v>19.87</v>
      </c>
      <c r="N2137" s="38" t="str">
        <f>IF(OR(ISBLANK(C2137),C2137="",M2137=""),"In Progress",IF(M2137&lt;=J2137,"Met","Breached"))</f>
        <v>Breached</v>
      </c>
    </row>
    <row r="2138" ht="19" customHeight="1" spans="1:14" x14ac:dyDescent="0.25">
      <c r="A2138" s="19" t="s">
        <v>2252</v>
      </c>
      <c r="B2138" s="33">
        <v>46183.85625</v>
      </c>
      <c r="C2138" s="33">
        <v>46188.56111111111</v>
      </c>
      <c r="D2138" s="19" t="s">
        <v>33</v>
      </c>
      <c r="E2138" s="19" t="s">
        <v>69</v>
      </c>
      <c r="F2138" s="19" t="s">
        <v>34</v>
      </c>
      <c r="G2138" s="19" t="s">
        <v>63</v>
      </c>
      <c r="H2138" s="19" t="s">
        <v>59</v>
      </c>
      <c r="I2138" s="19" t="s">
        <v>108</v>
      </c>
      <c r="J2138" s="20">
        <v>120</v>
      </c>
      <c r="K2138" s="34">
        <v>0</v>
      </c>
      <c r="L2138" s="34">
        <v>3</v>
      </c>
      <c r="M2138" s="19">
        <f>IF(OR(ISBLANK(C2138),C2138=""),"",ROUND((C2138-B2138)*24,2))</f>
        <v>112.92</v>
      </c>
      <c r="N2138" s="35" t="str">
        <f>IF(OR(ISBLANK(C2138),C2138="",M2138=""),"In Progress",IF(M2138&lt;=J2138,"Met","Breached"))</f>
        <v>Met</v>
      </c>
    </row>
    <row r="2139" ht="19" customHeight="1" spans="1:14" x14ac:dyDescent="0.25">
      <c r="A2139" s="22" t="s">
        <v>2253</v>
      </c>
      <c r="B2139" s="36">
        <v>46246.36875</v>
      </c>
      <c r="D2139" s="22" t="s">
        <v>39</v>
      </c>
      <c r="E2139" s="22" t="s">
        <v>65</v>
      </c>
      <c r="F2139" s="22" t="s">
        <v>37</v>
      </c>
      <c r="G2139" s="22" t="s">
        <v>63</v>
      </c>
      <c r="H2139" s="22" t="s">
        <v>67</v>
      </c>
      <c r="I2139" s="22" t="s">
        <v>111</v>
      </c>
      <c r="J2139" s="23">
        <v>48</v>
      </c>
      <c r="K2139" s="37">
        <v>0</v>
      </c>
      <c r="M2139" s="22" t="str">
        <f>IF(OR(ISBLANK(C2139),C2139=""),"",ROUND((C2139-B2139)*24,2))</f>
        <v/>
      </c>
      <c r="N2139" s="22" t="str">
        <f>IF(OR(ISBLANK(C2139),C2139="",M2139=""),"In Progress",IF(M2139&lt;=J2139,"Met","Breached"))</f>
        <v>In Progress</v>
      </c>
    </row>
    <row r="2140" ht="19" customHeight="1" spans="1:14" x14ac:dyDescent="0.25">
      <c r="A2140" s="19" t="s">
        <v>2254</v>
      </c>
      <c r="B2140" s="33">
        <v>45690.95763888889</v>
      </c>
      <c r="C2140" s="33">
        <v>45692.445138888885</v>
      </c>
      <c r="D2140" s="19" t="s">
        <v>36</v>
      </c>
      <c r="E2140" s="19" t="s">
        <v>65</v>
      </c>
      <c r="F2140" s="19" t="s">
        <v>40</v>
      </c>
      <c r="G2140" s="19" t="s">
        <v>116</v>
      </c>
      <c r="H2140" s="19" t="s">
        <v>63</v>
      </c>
      <c r="I2140" s="19" t="s">
        <v>111</v>
      </c>
      <c r="J2140" s="20">
        <v>48</v>
      </c>
      <c r="K2140" s="34">
        <v>0</v>
      </c>
      <c r="L2140" s="34">
        <v>3</v>
      </c>
      <c r="M2140" s="19">
        <f>IF(OR(ISBLANK(C2140),C2140=""),"",ROUND((C2140-B2140)*24,2))</f>
        <v>35.7</v>
      </c>
      <c r="N2140" s="35" t="str">
        <f>IF(OR(ISBLANK(C2140),C2140="",M2140=""),"In Progress",IF(M2140&lt;=J2140,"Met","Breached"))</f>
        <v>Met</v>
      </c>
    </row>
    <row r="2141" ht="19" customHeight="1" spans="1:14" x14ac:dyDescent="0.25">
      <c r="A2141" s="22" t="s">
        <v>2255</v>
      </c>
      <c r="B2141" s="36">
        <v>45842.89166666666</v>
      </c>
      <c r="C2141" s="36">
        <v>45844.353472222225</v>
      </c>
      <c r="D2141" s="22" t="s">
        <v>33</v>
      </c>
      <c r="E2141" s="22" t="s">
        <v>65</v>
      </c>
      <c r="F2141" s="22" t="s">
        <v>40</v>
      </c>
      <c r="G2141" s="22" t="s">
        <v>110</v>
      </c>
      <c r="H2141" s="22" t="s">
        <v>59</v>
      </c>
      <c r="I2141" s="22" t="s">
        <v>123</v>
      </c>
      <c r="J2141" s="23">
        <v>48</v>
      </c>
      <c r="K2141" s="37">
        <v>0</v>
      </c>
      <c r="L2141" s="37">
        <v>4</v>
      </c>
      <c r="M2141" s="22">
        <f>IF(OR(ISBLANK(C2141),C2141=""),"",ROUND((C2141-B2141)*24,2))</f>
        <v>35.08</v>
      </c>
      <c r="N2141" s="40" t="str">
        <f>IF(OR(ISBLANK(C2141),C2141="",M2141=""),"In Progress",IF(M2141&lt;=J2141,"Met","Breached"))</f>
        <v>Met</v>
      </c>
    </row>
    <row r="2142" ht="19" customHeight="1" spans="1:14" x14ac:dyDescent="0.25">
      <c r="A2142" s="19" t="s">
        <v>2256</v>
      </c>
      <c r="B2142" s="33">
        <v>46071.254166666666</v>
      </c>
      <c r="C2142" s="33">
        <v>46076.02291666667</v>
      </c>
      <c r="D2142" s="19" t="s">
        <v>33</v>
      </c>
      <c r="E2142" s="19" t="s">
        <v>69</v>
      </c>
      <c r="F2142" s="19" t="s">
        <v>37</v>
      </c>
      <c r="G2142" s="19" t="s">
        <v>113</v>
      </c>
      <c r="H2142" s="19" t="s">
        <v>67</v>
      </c>
      <c r="I2142" s="19" t="s">
        <v>111</v>
      </c>
      <c r="J2142" s="20">
        <v>120</v>
      </c>
      <c r="K2142" s="34">
        <v>1</v>
      </c>
      <c r="L2142" s="34">
        <v>1</v>
      </c>
      <c r="M2142" s="19">
        <f>IF(OR(ISBLANK(C2142),C2142=""),"",ROUND((C2142-B2142)*24,2))</f>
        <v>114.45</v>
      </c>
      <c r="N2142" s="35" t="str">
        <f>IF(OR(ISBLANK(C2142),C2142="",M2142=""),"In Progress",IF(M2142&lt;=J2142,"Met","Breached"))</f>
        <v>Met</v>
      </c>
    </row>
    <row r="2143" ht="19" customHeight="1" spans="1:14" x14ac:dyDescent="0.25">
      <c r="A2143" s="22" t="s">
        <v>2257</v>
      </c>
      <c r="B2143" s="36">
        <v>45927.084027777775</v>
      </c>
      <c r="C2143" s="36">
        <v>45927.85902777778</v>
      </c>
      <c r="D2143" s="22" t="s">
        <v>33</v>
      </c>
      <c r="E2143" s="22" t="s">
        <v>61</v>
      </c>
      <c r="F2143" s="22" t="s">
        <v>34</v>
      </c>
      <c r="G2143" s="22" t="s">
        <v>116</v>
      </c>
      <c r="H2143" s="22" t="s">
        <v>59</v>
      </c>
      <c r="I2143" s="22" t="s">
        <v>117</v>
      </c>
      <c r="J2143" s="23">
        <v>12</v>
      </c>
      <c r="K2143" s="37">
        <v>0</v>
      </c>
      <c r="L2143" s="37">
        <v>1</v>
      </c>
      <c r="M2143" s="22">
        <f>IF(OR(ISBLANK(C2143),C2143=""),"",ROUND((C2143-B2143)*24,2))</f>
        <v>18.6</v>
      </c>
      <c r="N2143" s="38" t="str">
        <f>IF(OR(ISBLANK(C2143),C2143="",M2143=""),"In Progress",IF(M2143&lt;=J2143,"Met","Breached"))</f>
        <v>Breached</v>
      </c>
    </row>
    <row r="2144" ht="19" customHeight="1" spans="1:14" x14ac:dyDescent="0.25">
      <c r="A2144" s="19" t="s">
        <v>2258</v>
      </c>
      <c r="B2144" s="33">
        <v>45928.08472222222</v>
      </c>
      <c r="C2144" s="33">
        <v>45931.30902777778</v>
      </c>
      <c r="D2144" s="19" t="s">
        <v>33</v>
      </c>
      <c r="E2144" s="19" t="s">
        <v>65</v>
      </c>
      <c r="F2144" s="19" t="s">
        <v>40</v>
      </c>
      <c r="G2144" s="19" t="s">
        <v>113</v>
      </c>
      <c r="H2144" s="19" t="s">
        <v>63</v>
      </c>
      <c r="I2144" s="19" t="s">
        <v>123</v>
      </c>
      <c r="J2144" s="20">
        <v>48</v>
      </c>
      <c r="K2144" s="34">
        <v>0</v>
      </c>
      <c r="L2144" s="34">
        <v>2</v>
      </c>
      <c r="M2144" s="19">
        <f>IF(OR(ISBLANK(C2144),C2144=""),"",ROUND((C2144-B2144)*24,2))</f>
        <v>77.38</v>
      </c>
      <c r="N2144" s="39" t="str">
        <f>IF(OR(ISBLANK(C2144),C2144="",M2144=""),"In Progress",IF(M2144&lt;=J2144,"Met","Breached"))</f>
        <v>Breached</v>
      </c>
    </row>
    <row r="2145" ht="19" customHeight="1" spans="1:14" x14ac:dyDescent="0.25">
      <c r="A2145" s="22" t="s">
        <v>2259</v>
      </c>
      <c r="B2145" s="36">
        <v>46018.771527777775</v>
      </c>
      <c r="C2145" s="36">
        <v>46021.07152777778</v>
      </c>
      <c r="D2145" s="22" t="s">
        <v>33</v>
      </c>
      <c r="E2145" s="22" t="s">
        <v>65</v>
      </c>
      <c r="F2145" s="22" t="s">
        <v>43</v>
      </c>
      <c r="G2145" s="22" t="s">
        <v>113</v>
      </c>
      <c r="H2145" s="22" t="s">
        <v>63</v>
      </c>
      <c r="I2145" s="22" t="s">
        <v>111</v>
      </c>
      <c r="J2145" s="23">
        <v>48</v>
      </c>
      <c r="K2145" s="37">
        <v>0</v>
      </c>
      <c r="L2145" s="37">
        <v>5</v>
      </c>
      <c r="M2145" s="22">
        <f>IF(OR(ISBLANK(C2145),C2145=""),"",ROUND((C2145-B2145)*24,2))</f>
        <v>55.2</v>
      </c>
      <c r="N2145" s="38" t="str">
        <f>IF(OR(ISBLANK(C2145),C2145="",M2145=""),"In Progress",IF(M2145&lt;=J2145,"Met","Breached"))</f>
        <v>Breached</v>
      </c>
    </row>
    <row r="2146" ht="19" customHeight="1" spans="1:14" x14ac:dyDescent="0.25">
      <c r="A2146" s="19" t="s">
        <v>2260</v>
      </c>
      <c r="B2146" s="33">
        <v>45695.41458333333</v>
      </c>
      <c r="C2146" s="33">
        <v>45704.054861111115</v>
      </c>
      <c r="D2146" s="19" t="s">
        <v>33</v>
      </c>
      <c r="E2146" s="19" t="s">
        <v>69</v>
      </c>
      <c r="F2146" s="19" t="s">
        <v>45</v>
      </c>
      <c r="G2146" s="19" t="s">
        <v>116</v>
      </c>
      <c r="H2146" s="19" t="s">
        <v>59</v>
      </c>
      <c r="I2146" s="19" t="s">
        <v>108</v>
      </c>
      <c r="J2146" s="20">
        <v>120</v>
      </c>
      <c r="K2146" s="34">
        <v>0</v>
      </c>
      <c r="L2146" s="34">
        <v>4</v>
      </c>
      <c r="M2146" s="19">
        <f>IF(OR(ISBLANK(C2146),C2146=""),"",ROUND((C2146-B2146)*24,2))</f>
        <v>207.37</v>
      </c>
      <c r="N2146" s="39" t="str">
        <f>IF(OR(ISBLANK(C2146),C2146="",M2146=""),"In Progress",IF(M2146&lt;=J2146,"Met","Breached"))</f>
        <v>Breached</v>
      </c>
    </row>
    <row r="2147" ht="19" customHeight="1" spans="1:14" x14ac:dyDescent="0.25">
      <c r="A2147" s="22" t="s">
        <v>2261</v>
      </c>
      <c r="B2147" s="36">
        <v>46281.475</v>
      </c>
      <c r="C2147" s="36">
        <v>46283.11875</v>
      </c>
      <c r="D2147" s="22" t="s">
        <v>33</v>
      </c>
      <c r="E2147" s="22" t="s">
        <v>65</v>
      </c>
      <c r="F2147" s="22" t="s">
        <v>37</v>
      </c>
      <c r="G2147" s="22" t="s">
        <v>110</v>
      </c>
      <c r="H2147" s="22" t="s">
        <v>63</v>
      </c>
      <c r="I2147" s="22" t="s">
        <v>114</v>
      </c>
      <c r="J2147" s="23">
        <v>48</v>
      </c>
      <c r="K2147" s="37">
        <v>0</v>
      </c>
      <c r="M2147" s="22">
        <f>IF(OR(ISBLANK(C2147),C2147=""),"",ROUND((C2147-B2147)*24,2))</f>
        <v>39.45</v>
      </c>
      <c r="N2147" s="40" t="str">
        <f>IF(OR(ISBLANK(C2147),C2147="",M2147=""),"In Progress",IF(M2147&lt;=J2147,"Met","Breached"))</f>
        <v>Met</v>
      </c>
    </row>
    <row r="2148" ht="19" customHeight="1" spans="1:14" x14ac:dyDescent="0.25">
      <c r="A2148" s="19" t="s">
        <v>2262</v>
      </c>
      <c r="B2148" s="33">
        <v>46154.33263888889</v>
      </c>
      <c r="C2148" s="33">
        <v>46161.83263888889</v>
      </c>
      <c r="D2148" s="19" t="s">
        <v>33</v>
      </c>
      <c r="E2148" s="19" t="s">
        <v>69</v>
      </c>
      <c r="F2148" s="19" t="s">
        <v>37</v>
      </c>
      <c r="G2148" s="19" t="s">
        <v>113</v>
      </c>
      <c r="H2148" s="19" t="s">
        <v>67</v>
      </c>
      <c r="I2148" s="19" t="s">
        <v>123</v>
      </c>
      <c r="J2148" s="20">
        <v>120</v>
      </c>
      <c r="K2148" s="34">
        <v>0</v>
      </c>
      <c r="M2148" s="19">
        <f>IF(OR(ISBLANK(C2148),C2148=""),"",ROUND((C2148-B2148)*24,2))</f>
        <v>180</v>
      </c>
      <c r="N2148" s="39" t="str">
        <f>IF(OR(ISBLANK(C2148),C2148="",M2148=""),"In Progress",IF(M2148&lt;=J2148,"Met","Breached"))</f>
        <v>Breached</v>
      </c>
    </row>
    <row r="2149" ht="19" customHeight="1" spans="1:14" x14ac:dyDescent="0.25">
      <c r="A2149" s="22" t="s">
        <v>2263</v>
      </c>
      <c r="B2149" s="36">
        <v>46151.929861111115</v>
      </c>
      <c r="C2149" s="36">
        <v>46154.74375</v>
      </c>
      <c r="D2149" s="22" t="s">
        <v>36</v>
      </c>
      <c r="E2149" s="22" t="s">
        <v>65</v>
      </c>
      <c r="F2149" s="22" t="s">
        <v>37</v>
      </c>
      <c r="G2149" s="22" t="s">
        <v>63</v>
      </c>
      <c r="H2149" s="22" t="s">
        <v>59</v>
      </c>
      <c r="I2149" s="22" t="s">
        <v>147</v>
      </c>
      <c r="J2149" s="23">
        <v>48</v>
      </c>
      <c r="K2149" s="37">
        <v>0</v>
      </c>
      <c r="L2149" s="37">
        <v>1</v>
      </c>
      <c r="M2149" s="22">
        <f>IF(OR(ISBLANK(C2149),C2149=""),"",ROUND((C2149-B2149)*24,2))</f>
        <v>67.53</v>
      </c>
      <c r="N2149" s="38" t="str">
        <f>IF(OR(ISBLANK(C2149),C2149="",M2149=""),"In Progress",IF(M2149&lt;=J2149,"Met","Breached"))</f>
        <v>Breached</v>
      </c>
    </row>
    <row r="2150" ht="19" customHeight="1" spans="1:14" x14ac:dyDescent="0.25">
      <c r="A2150" s="19" t="s">
        <v>2264</v>
      </c>
      <c r="B2150" s="33">
        <v>46141.14375</v>
      </c>
      <c r="C2150" s="33">
        <v>46144.64236111111</v>
      </c>
      <c r="D2150" s="19" t="s">
        <v>33</v>
      </c>
      <c r="E2150" s="19" t="s">
        <v>65</v>
      </c>
      <c r="F2150" s="19" t="s">
        <v>43</v>
      </c>
      <c r="G2150" s="19" t="s">
        <v>110</v>
      </c>
      <c r="H2150" s="19" t="s">
        <v>59</v>
      </c>
      <c r="I2150" s="19" t="s">
        <v>147</v>
      </c>
      <c r="J2150" s="20">
        <v>48</v>
      </c>
      <c r="K2150" s="34">
        <v>0</v>
      </c>
      <c r="L2150" s="34">
        <v>1</v>
      </c>
      <c r="M2150" s="19">
        <f>IF(OR(ISBLANK(C2150),C2150=""),"",ROUND((C2150-B2150)*24,2))</f>
        <v>83.97</v>
      </c>
      <c r="N2150" s="39" t="str">
        <f>IF(OR(ISBLANK(C2150),C2150="",M2150=""),"In Progress",IF(M2150&lt;=J2150,"Met","Breached"))</f>
        <v>Breached</v>
      </c>
    </row>
    <row r="2151" ht="19" customHeight="1" spans="1:14" x14ac:dyDescent="0.25">
      <c r="A2151" s="22" t="s">
        <v>2265</v>
      </c>
      <c r="B2151" s="36">
        <v>46218.98611111111</v>
      </c>
      <c r="D2151" s="22" t="s">
        <v>39</v>
      </c>
      <c r="E2151" s="22" t="s">
        <v>65</v>
      </c>
      <c r="F2151" s="22" t="s">
        <v>45</v>
      </c>
      <c r="G2151" s="22" t="s">
        <v>116</v>
      </c>
      <c r="H2151" s="22" t="s">
        <v>63</v>
      </c>
      <c r="I2151" s="22" t="s">
        <v>117</v>
      </c>
      <c r="J2151" s="23">
        <v>48</v>
      </c>
      <c r="K2151" s="37">
        <v>0</v>
      </c>
      <c r="M2151" s="22" t="str">
        <f>IF(OR(ISBLANK(C2151),C2151=""),"",ROUND((C2151-B2151)*24,2))</f>
        <v/>
      </c>
      <c r="N2151" s="22" t="str">
        <f>IF(OR(ISBLANK(C2151),C2151="",M2151=""),"In Progress",IF(M2151&lt;=J2151,"Met","Breached"))</f>
        <v>In Progress</v>
      </c>
    </row>
    <row r="2152" ht="19" customHeight="1" spans="1:14" x14ac:dyDescent="0.25">
      <c r="A2152" s="19" t="s">
        <v>2266</v>
      </c>
      <c r="B2152" s="33">
        <v>45909.13541666667</v>
      </c>
      <c r="C2152" s="33">
        <v>45910.12708333333</v>
      </c>
      <c r="D2152" s="19" t="s">
        <v>33</v>
      </c>
      <c r="E2152" s="19" t="s">
        <v>65</v>
      </c>
      <c r="F2152" s="19" t="s">
        <v>40</v>
      </c>
      <c r="G2152" s="19" t="s">
        <v>126</v>
      </c>
      <c r="H2152" s="19" t="s">
        <v>63</v>
      </c>
      <c r="I2152" s="19" t="s">
        <v>108</v>
      </c>
      <c r="J2152" s="20">
        <v>48</v>
      </c>
      <c r="K2152" s="34">
        <v>0</v>
      </c>
      <c r="L2152" s="34">
        <v>5</v>
      </c>
      <c r="M2152" s="19">
        <f>IF(OR(ISBLANK(C2152),C2152=""),"",ROUND((C2152-B2152)*24,2))</f>
        <v>23.8</v>
      </c>
      <c r="N2152" s="35" t="str">
        <f>IF(OR(ISBLANK(C2152),C2152="",M2152=""),"In Progress",IF(M2152&lt;=J2152,"Met","Breached"))</f>
        <v>Met</v>
      </c>
    </row>
    <row r="2153" ht="19" customHeight="1" spans="1:14" x14ac:dyDescent="0.25">
      <c r="A2153" s="22" t="s">
        <v>2267</v>
      </c>
      <c r="B2153" s="36">
        <v>45721.455555555556</v>
      </c>
      <c r="C2153" s="36">
        <v>45730.03125</v>
      </c>
      <c r="D2153" s="22" t="s">
        <v>33</v>
      </c>
      <c r="E2153" s="22" t="s">
        <v>69</v>
      </c>
      <c r="F2153" s="22" t="s">
        <v>37</v>
      </c>
      <c r="G2153" s="22" t="s">
        <v>110</v>
      </c>
      <c r="H2153" s="22" t="s">
        <v>63</v>
      </c>
      <c r="I2153" s="22" t="s">
        <v>147</v>
      </c>
      <c r="J2153" s="23">
        <v>120</v>
      </c>
      <c r="K2153" s="37">
        <v>0</v>
      </c>
      <c r="L2153" s="37">
        <v>2</v>
      </c>
      <c r="M2153" s="22">
        <f>IF(OR(ISBLANK(C2153),C2153=""),"",ROUND((C2153-B2153)*24,2))</f>
        <v>205.82</v>
      </c>
      <c r="N2153" s="38" t="str">
        <f>IF(OR(ISBLANK(C2153),C2153="",M2153=""),"In Progress",IF(M2153&lt;=J2153,"Met","Breached"))</f>
        <v>Breached</v>
      </c>
    </row>
    <row r="2154" ht="19" customHeight="1" spans="1:14" x14ac:dyDescent="0.25">
      <c r="A2154" s="19" t="s">
        <v>2268</v>
      </c>
      <c r="B2154" s="33">
        <v>45900.004166666666</v>
      </c>
      <c r="C2154" s="33">
        <v>45900.209027777775</v>
      </c>
      <c r="D2154" s="19" t="s">
        <v>33</v>
      </c>
      <c r="E2154" s="19" t="s">
        <v>57</v>
      </c>
      <c r="F2154" s="19" t="s">
        <v>43</v>
      </c>
      <c r="G2154" s="19" t="s">
        <v>63</v>
      </c>
      <c r="H2154" s="19" t="s">
        <v>71</v>
      </c>
      <c r="I2154" s="19" t="s">
        <v>123</v>
      </c>
      <c r="J2154" s="20">
        <v>4</v>
      </c>
      <c r="K2154" s="34">
        <v>0</v>
      </c>
      <c r="L2154" s="34">
        <v>4</v>
      </c>
      <c r="M2154" s="19">
        <f>IF(OR(ISBLANK(C2154),C2154=""),"",ROUND((C2154-B2154)*24,2))</f>
        <v>4.92</v>
      </c>
      <c r="N2154" s="39" t="str">
        <f>IF(OR(ISBLANK(C2154),C2154="",M2154=""),"In Progress",IF(M2154&lt;=J2154,"Met","Breached"))</f>
        <v>Breached</v>
      </c>
    </row>
    <row r="2155" ht="19" customHeight="1" spans="1:14" x14ac:dyDescent="0.25">
      <c r="A2155" s="22" t="s">
        <v>2269</v>
      </c>
      <c r="B2155" s="36">
        <v>45998.69930555555</v>
      </c>
      <c r="C2155" s="36">
        <v>46005.03958333333</v>
      </c>
      <c r="D2155" s="22" t="s">
        <v>33</v>
      </c>
      <c r="E2155" s="22" t="s">
        <v>69</v>
      </c>
      <c r="F2155" s="22" t="s">
        <v>37</v>
      </c>
      <c r="G2155" s="22" t="s">
        <v>113</v>
      </c>
      <c r="H2155" s="22" t="s">
        <v>59</v>
      </c>
      <c r="I2155" s="22" t="s">
        <v>123</v>
      </c>
      <c r="J2155" s="23">
        <v>120</v>
      </c>
      <c r="K2155" s="37">
        <v>0</v>
      </c>
      <c r="L2155" s="37">
        <v>5</v>
      </c>
      <c r="M2155" s="22">
        <f>IF(OR(ISBLANK(C2155),C2155=""),"",ROUND((C2155-B2155)*24,2))</f>
        <v>152.17</v>
      </c>
      <c r="N2155" s="38" t="str">
        <f>IF(OR(ISBLANK(C2155),C2155="",M2155=""),"In Progress",IF(M2155&lt;=J2155,"Met","Breached"))</f>
        <v>Breached</v>
      </c>
    </row>
    <row r="2156" ht="19" customHeight="1" spans="1:14" x14ac:dyDescent="0.25">
      <c r="A2156" s="19" t="s">
        <v>2270</v>
      </c>
      <c r="B2156" s="33">
        <v>45713.31180555555</v>
      </c>
      <c r="C2156" s="33">
        <v>45713.50069444445</v>
      </c>
      <c r="D2156" s="19" t="s">
        <v>33</v>
      </c>
      <c r="E2156" s="19" t="s">
        <v>61</v>
      </c>
      <c r="F2156" s="19" t="s">
        <v>34</v>
      </c>
      <c r="G2156" s="19" t="s">
        <v>121</v>
      </c>
      <c r="H2156" s="19" t="s">
        <v>63</v>
      </c>
      <c r="I2156" s="19" t="s">
        <v>123</v>
      </c>
      <c r="J2156" s="20">
        <v>12</v>
      </c>
      <c r="K2156" s="34">
        <v>0</v>
      </c>
      <c r="M2156" s="19">
        <f>IF(OR(ISBLANK(C2156),C2156=""),"",ROUND((C2156-B2156)*24,2))</f>
        <v>4.53</v>
      </c>
      <c r="N2156" s="35" t="str">
        <f>IF(OR(ISBLANK(C2156),C2156="",M2156=""),"In Progress",IF(M2156&lt;=J2156,"Met","Breached"))</f>
        <v>Met</v>
      </c>
    </row>
    <row r="2157" ht="19" customHeight="1" spans="1:14" x14ac:dyDescent="0.25">
      <c r="A2157" s="22" t="s">
        <v>2271</v>
      </c>
      <c r="B2157" s="36">
        <v>45718.399305555555</v>
      </c>
      <c r="C2157" s="36">
        <v>45719.759722222225</v>
      </c>
      <c r="D2157" s="22" t="s">
        <v>33</v>
      </c>
      <c r="E2157" s="22" t="s">
        <v>65</v>
      </c>
      <c r="F2157" s="22" t="s">
        <v>40</v>
      </c>
      <c r="G2157" s="22" t="s">
        <v>121</v>
      </c>
      <c r="H2157" s="22" t="s">
        <v>67</v>
      </c>
      <c r="I2157" s="22" t="s">
        <v>114</v>
      </c>
      <c r="J2157" s="23">
        <v>48</v>
      </c>
      <c r="K2157" s="37">
        <v>0</v>
      </c>
      <c r="L2157" s="37">
        <v>5</v>
      </c>
      <c r="M2157" s="22">
        <f>IF(OR(ISBLANK(C2157),C2157=""),"",ROUND((C2157-B2157)*24,2))</f>
        <v>32.65</v>
      </c>
      <c r="N2157" s="40" t="str">
        <f>IF(OR(ISBLANK(C2157),C2157="",M2157=""),"In Progress",IF(M2157&lt;=J2157,"Met","Breached"))</f>
        <v>Met</v>
      </c>
    </row>
    <row r="2158" ht="19" customHeight="1" spans="1:14" x14ac:dyDescent="0.25">
      <c r="A2158" s="19" t="s">
        <v>2272</v>
      </c>
      <c r="B2158" s="33">
        <v>46015.3375</v>
      </c>
      <c r="C2158" s="33">
        <v>46015.549305555556</v>
      </c>
      <c r="D2158" s="19" t="s">
        <v>36</v>
      </c>
      <c r="E2158" s="19" t="s">
        <v>61</v>
      </c>
      <c r="F2158" s="19" t="s">
        <v>37</v>
      </c>
      <c r="G2158" s="19" t="s">
        <v>63</v>
      </c>
      <c r="H2158" s="19" t="s">
        <v>63</v>
      </c>
      <c r="I2158" s="19" t="s">
        <v>111</v>
      </c>
      <c r="J2158" s="20">
        <v>12</v>
      </c>
      <c r="K2158" s="34">
        <v>0</v>
      </c>
      <c r="M2158" s="19">
        <f>IF(OR(ISBLANK(C2158),C2158=""),"",ROUND((C2158-B2158)*24,2))</f>
        <v>5.08</v>
      </c>
      <c r="N2158" s="35" t="str">
        <f>IF(OR(ISBLANK(C2158),C2158="",M2158=""),"In Progress",IF(M2158&lt;=J2158,"Met","Breached"))</f>
        <v>Met</v>
      </c>
    </row>
    <row r="2159" ht="19" customHeight="1" spans="1:14" x14ac:dyDescent="0.25">
      <c r="A2159" s="22" t="s">
        <v>2273</v>
      </c>
      <c r="B2159" s="36">
        <v>45695.674305555556</v>
      </c>
      <c r="C2159" s="36">
        <v>45701.441666666666</v>
      </c>
      <c r="D2159" s="22" t="s">
        <v>33</v>
      </c>
      <c r="E2159" s="22" t="s">
        <v>69</v>
      </c>
      <c r="F2159" s="22" t="s">
        <v>34</v>
      </c>
      <c r="G2159" s="22" t="s">
        <v>113</v>
      </c>
      <c r="H2159" s="22" t="s">
        <v>63</v>
      </c>
      <c r="I2159" s="22" t="s">
        <v>108</v>
      </c>
      <c r="J2159" s="23">
        <v>120</v>
      </c>
      <c r="K2159" s="37">
        <v>0</v>
      </c>
      <c r="M2159" s="22">
        <f>IF(OR(ISBLANK(C2159),C2159=""),"",ROUND((C2159-B2159)*24,2))</f>
        <v>138.42</v>
      </c>
      <c r="N2159" s="38" t="str">
        <f>IF(OR(ISBLANK(C2159),C2159="",M2159=""),"In Progress",IF(M2159&lt;=J2159,"Met","Breached"))</f>
        <v>Breached</v>
      </c>
    </row>
    <row r="2160" ht="19" customHeight="1" spans="1:14" x14ac:dyDescent="0.25">
      <c r="A2160" s="19" t="s">
        <v>2274</v>
      </c>
      <c r="B2160" s="33">
        <v>46259.45833333333</v>
      </c>
      <c r="D2160" s="19" t="s">
        <v>39</v>
      </c>
      <c r="E2160" s="19" t="s">
        <v>61</v>
      </c>
      <c r="F2160" s="19" t="s">
        <v>40</v>
      </c>
      <c r="G2160" s="19" t="s">
        <v>63</v>
      </c>
      <c r="H2160" s="19" t="s">
        <v>67</v>
      </c>
      <c r="I2160" s="19" t="s">
        <v>117</v>
      </c>
      <c r="J2160" s="20">
        <v>12</v>
      </c>
      <c r="K2160" s="34">
        <v>0</v>
      </c>
      <c r="M2160" s="19" t="str">
        <f>IF(OR(ISBLANK(C2160),C2160=""),"",ROUND((C2160-B2160)*24,2))</f>
        <v/>
      </c>
      <c r="N2160" s="19" t="str">
        <f>IF(OR(ISBLANK(C2160),C2160="",M2160=""),"In Progress",IF(M2160&lt;=J2160,"Met","Breached"))</f>
        <v>In Progress</v>
      </c>
    </row>
    <row r="2161" ht="19" customHeight="1" spans="1:14" x14ac:dyDescent="0.25">
      <c r="A2161" s="22" t="s">
        <v>2275</v>
      </c>
      <c r="B2161" s="36">
        <v>45790.80208333333</v>
      </c>
      <c r="D2161" s="22" t="s">
        <v>39</v>
      </c>
      <c r="E2161" s="22" t="s">
        <v>61</v>
      </c>
      <c r="F2161" s="22" t="s">
        <v>34</v>
      </c>
      <c r="G2161" s="22" t="s">
        <v>113</v>
      </c>
      <c r="H2161" s="22" t="s">
        <v>67</v>
      </c>
      <c r="I2161" s="22" t="s">
        <v>147</v>
      </c>
      <c r="J2161" s="23">
        <v>12</v>
      </c>
      <c r="K2161" s="37">
        <v>0</v>
      </c>
      <c r="M2161" s="22" t="str">
        <f>IF(OR(ISBLANK(C2161),C2161=""),"",ROUND((C2161-B2161)*24,2))</f>
        <v/>
      </c>
      <c r="N2161" s="22" t="str">
        <f>IF(OR(ISBLANK(C2161),C2161="",M2161=""),"In Progress",IF(M2161&lt;=J2161,"Met","Breached"))</f>
        <v>In Progress</v>
      </c>
    </row>
    <row r="2162" ht="19" customHeight="1" spans="1:14" x14ac:dyDescent="0.25">
      <c r="A2162" s="19" t="s">
        <v>2276</v>
      </c>
      <c r="B2162" s="33">
        <v>45781.822222222225</v>
      </c>
      <c r="C2162" s="33">
        <v>45783.01111111111</v>
      </c>
      <c r="D2162" s="19" t="s">
        <v>33</v>
      </c>
      <c r="E2162" s="19" t="s">
        <v>65</v>
      </c>
      <c r="F2162" s="19" t="s">
        <v>45</v>
      </c>
      <c r="G2162" s="19" t="s">
        <v>63</v>
      </c>
      <c r="H2162" s="19" t="s">
        <v>63</v>
      </c>
      <c r="I2162" s="19" t="s">
        <v>117</v>
      </c>
      <c r="J2162" s="20">
        <v>48</v>
      </c>
      <c r="K2162" s="34">
        <v>0</v>
      </c>
      <c r="L2162" s="34">
        <v>2</v>
      </c>
      <c r="M2162" s="19">
        <f>IF(OR(ISBLANK(C2162),C2162=""),"",ROUND((C2162-B2162)*24,2))</f>
        <v>28.53</v>
      </c>
      <c r="N2162" s="35" t="str">
        <f>IF(OR(ISBLANK(C2162),C2162="",M2162=""),"In Progress",IF(M2162&lt;=J2162,"Met","Breached"))</f>
        <v>Met</v>
      </c>
    </row>
    <row r="2163" ht="19" customHeight="1" spans="1:14" x14ac:dyDescent="0.25">
      <c r="A2163" s="22" t="s">
        <v>2277</v>
      </c>
      <c r="B2163" s="36">
        <v>45906.40416666667</v>
      </c>
      <c r="C2163" s="36">
        <v>45907.18819444445</v>
      </c>
      <c r="D2163" s="22" t="s">
        <v>33</v>
      </c>
      <c r="E2163" s="22" t="s">
        <v>61</v>
      </c>
      <c r="F2163" s="22" t="s">
        <v>40</v>
      </c>
      <c r="G2163" s="22" t="s">
        <v>63</v>
      </c>
      <c r="H2163" s="22" t="s">
        <v>67</v>
      </c>
      <c r="I2163" s="22" t="s">
        <v>117</v>
      </c>
      <c r="J2163" s="23">
        <v>12</v>
      </c>
      <c r="K2163" s="37">
        <v>0</v>
      </c>
      <c r="L2163" s="37">
        <v>1</v>
      </c>
      <c r="M2163" s="22">
        <f>IF(OR(ISBLANK(C2163),C2163=""),"",ROUND((C2163-B2163)*24,2))</f>
        <v>18.82</v>
      </c>
      <c r="N2163" s="38" t="str">
        <f>IF(OR(ISBLANK(C2163),C2163="",M2163=""),"In Progress",IF(M2163&lt;=J2163,"Met","Breached"))</f>
        <v>Breached</v>
      </c>
    </row>
    <row r="2164" ht="19" customHeight="1" spans="1:14" x14ac:dyDescent="0.25">
      <c r="A2164" s="19" t="s">
        <v>2278</v>
      </c>
      <c r="B2164" s="33">
        <v>46162.09444444445</v>
      </c>
      <c r="C2164" s="33">
        <v>46162.68680555555</v>
      </c>
      <c r="D2164" s="19" t="s">
        <v>33</v>
      </c>
      <c r="E2164" s="19" t="s">
        <v>61</v>
      </c>
      <c r="F2164" s="19" t="s">
        <v>45</v>
      </c>
      <c r="G2164" s="19" t="s">
        <v>126</v>
      </c>
      <c r="H2164" s="19" t="s">
        <v>59</v>
      </c>
      <c r="I2164" s="19" t="s">
        <v>108</v>
      </c>
      <c r="J2164" s="20">
        <v>12</v>
      </c>
      <c r="K2164" s="34">
        <v>0</v>
      </c>
      <c r="L2164" s="34">
        <v>1</v>
      </c>
      <c r="M2164" s="19">
        <f>IF(OR(ISBLANK(C2164),C2164=""),"",ROUND((C2164-B2164)*24,2))</f>
        <v>14.22</v>
      </c>
      <c r="N2164" s="39" t="str">
        <f>IF(OR(ISBLANK(C2164),C2164="",M2164=""),"In Progress",IF(M2164&lt;=J2164,"Met","Breached"))</f>
        <v>Breached</v>
      </c>
    </row>
    <row r="2165" ht="19" customHeight="1" spans="1:14" x14ac:dyDescent="0.25">
      <c r="A2165" s="22" t="s">
        <v>2279</v>
      </c>
      <c r="B2165" s="36">
        <v>45833.007638888885</v>
      </c>
      <c r="C2165" s="36">
        <v>45835.37222222222</v>
      </c>
      <c r="D2165" s="22" t="s">
        <v>33</v>
      </c>
      <c r="E2165" s="22" t="s">
        <v>65</v>
      </c>
      <c r="F2165" s="22" t="s">
        <v>45</v>
      </c>
      <c r="G2165" s="22" t="s">
        <v>110</v>
      </c>
      <c r="H2165" s="22" t="s">
        <v>71</v>
      </c>
      <c r="I2165" s="22" t="s">
        <v>114</v>
      </c>
      <c r="J2165" s="23">
        <v>48</v>
      </c>
      <c r="K2165" s="37">
        <v>0</v>
      </c>
      <c r="L2165" s="37">
        <v>1</v>
      </c>
      <c r="M2165" s="22">
        <f>IF(OR(ISBLANK(C2165),C2165=""),"",ROUND((C2165-B2165)*24,2))</f>
        <v>56.75</v>
      </c>
      <c r="N2165" s="38" t="str">
        <f>IF(OR(ISBLANK(C2165),C2165="",M2165=""),"In Progress",IF(M2165&lt;=J2165,"Met","Breached"))</f>
        <v>Breached</v>
      </c>
    </row>
    <row r="2166" ht="19" customHeight="1" spans="1:14" x14ac:dyDescent="0.25">
      <c r="A2166" s="19" t="s">
        <v>2280</v>
      </c>
      <c r="B2166" s="33">
        <v>46033.23333333334</v>
      </c>
      <c r="C2166" s="33">
        <v>46036.49166666667</v>
      </c>
      <c r="D2166" s="19" t="s">
        <v>33</v>
      </c>
      <c r="E2166" s="19" t="s">
        <v>65</v>
      </c>
      <c r="F2166" s="19" t="s">
        <v>40</v>
      </c>
      <c r="G2166" s="19" t="s">
        <v>110</v>
      </c>
      <c r="H2166" s="19" t="s">
        <v>67</v>
      </c>
      <c r="I2166" s="19" t="s">
        <v>114</v>
      </c>
      <c r="J2166" s="20">
        <v>48</v>
      </c>
      <c r="K2166" s="34">
        <v>0</v>
      </c>
      <c r="L2166" s="34">
        <v>3</v>
      </c>
      <c r="M2166" s="19">
        <f>IF(OR(ISBLANK(C2166),C2166=""),"",ROUND((C2166-B2166)*24,2))</f>
        <v>78.2</v>
      </c>
      <c r="N2166" s="39" t="str">
        <f>IF(OR(ISBLANK(C2166),C2166="",M2166=""),"In Progress",IF(M2166&lt;=J2166,"Met","Breached"))</f>
        <v>Breached</v>
      </c>
    </row>
    <row r="2167" ht="19" customHeight="1" spans="1:14" x14ac:dyDescent="0.25">
      <c r="A2167" s="22" t="s">
        <v>2281</v>
      </c>
      <c r="B2167" s="36">
        <v>46113.52986111111</v>
      </c>
      <c r="C2167" s="36">
        <v>46116.68402777778</v>
      </c>
      <c r="D2167" s="22" t="s">
        <v>33</v>
      </c>
      <c r="E2167" s="22" t="s">
        <v>65</v>
      </c>
      <c r="F2167" s="22" t="s">
        <v>37</v>
      </c>
      <c r="G2167" s="22" t="s">
        <v>63</v>
      </c>
      <c r="H2167" s="22" t="s">
        <v>59</v>
      </c>
      <c r="I2167" s="22" t="s">
        <v>108</v>
      </c>
      <c r="J2167" s="23">
        <v>48</v>
      </c>
      <c r="K2167" s="37">
        <v>0</v>
      </c>
      <c r="L2167" s="37">
        <v>4</v>
      </c>
      <c r="M2167" s="22">
        <f>IF(OR(ISBLANK(C2167),C2167=""),"",ROUND((C2167-B2167)*24,2))</f>
        <v>75.7</v>
      </c>
      <c r="N2167" s="38" t="str">
        <f>IF(OR(ISBLANK(C2167),C2167="",M2167=""),"In Progress",IF(M2167&lt;=J2167,"Met","Breached"))</f>
        <v>Breached</v>
      </c>
    </row>
    <row r="2168" ht="19" customHeight="1" spans="1:14" x14ac:dyDescent="0.25">
      <c r="A2168" s="19" t="s">
        <v>2282</v>
      </c>
      <c r="B2168" s="33">
        <v>46218.521527777775</v>
      </c>
      <c r="C2168" s="33">
        <v>46220.695138888885</v>
      </c>
      <c r="D2168" s="19" t="s">
        <v>36</v>
      </c>
      <c r="E2168" s="19" t="s">
        <v>65</v>
      </c>
      <c r="F2168" s="19" t="s">
        <v>43</v>
      </c>
      <c r="G2168" s="19" t="s">
        <v>121</v>
      </c>
      <c r="H2168" s="19" t="s">
        <v>63</v>
      </c>
      <c r="I2168" s="19" t="s">
        <v>123</v>
      </c>
      <c r="J2168" s="20">
        <v>48</v>
      </c>
      <c r="K2168" s="34">
        <v>0</v>
      </c>
      <c r="L2168" s="34">
        <v>5</v>
      </c>
      <c r="M2168" s="19">
        <f>IF(OR(ISBLANK(C2168),C2168=""),"",ROUND((C2168-B2168)*24,2))</f>
        <v>52.17</v>
      </c>
      <c r="N2168" s="39" t="str">
        <f>IF(OR(ISBLANK(C2168),C2168="",M2168=""),"In Progress",IF(M2168&lt;=J2168,"Met","Breached"))</f>
        <v>Breached</v>
      </c>
    </row>
    <row r="2169" ht="19" customHeight="1" spans="1:14" x14ac:dyDescent="0.25">
      <c r="A2169" s="22" t="s">
        <v>2283</v>
      </c>
      <c r="B2169" s="36">
        <v>45874.85625</v>
      </c>
      <c r="C2169" s="36">
        <v>45877.67083333334</v>
      </c>
      <c r="D2169" s="22" t="s">
        <v>33</v>
      </c>
      <c r="E2169" s="22" t="s">
        <v>65</v>
      </c>
      <c r="F2169" s="22" t="s">
        <v>37</v>
      </c>
      <c r="G2169" s="22" t="s">
        <v>63</v>
      </c>
      <c r="H2169" s="22" t="s">
        <v>63</v>
      </c>
      <c r="I2169" s="22" t="s">
        <v>114</v>
      </c>
      <c r="J2169" s="23">
        <v>48</v>
      </c>
      <c r="K2169" s="37">
        <v>0</v>
      </c>
      <c r="M2169" s="22">
        <f>IF(OR(ISBLANK(C2169),C2169=""),"",ROUND((C2169-B2169)*24,2))</f>
        <v>67.55</v>
      </c>
      <c r="N2169" s="38" t="str">
        <f>IF(OR(ISBLANK(C2169),C2169="",M2169=""),"In Progress",IF(M2169&lt;=J2169,"Met","Breached"))</f>
        <v>Breached</v>
      </c>
    </row>
    <row r="2170" ht="19" customHeight="1" spans="1:14" x14ac:dyDescent="0.25">
      <c r="A2170" s="19" t="s">
        <v>2284</v>
      </c>
      <c r="B2170" s="33">
        <v>45868.37222222222</v>
      </c>
      <c r="C2170" s="33">
        <v>45868.65347222222</v>
      </c>
      <c r="D2170" s="19" t="s">
        <v>36</v>
      </c>
      <c r="E2170" s="19" t="s">
        <v>61</v>
      </c>
      <c r="F2170" s="19" t="s">
        <v>34</v>
      </c>
      <c r="G2170" s="19" t="s">
        <v>116</v>
      </c>
      <c r="H2170" s="19" t="s">
        <v>59</v>
      </c>
      <c r="I2170" s="19" t="s">
        <v>117</v>
      </c>
      <c r="J2170" s="20">
        <v>12</v>
      </c>
      <c r="K2170" s="34">
        <v>0</v>
      </c>
      <c r="L2170" s="34">
        <v>2</v>
      </c>
      <c r="M2170" s="19">
        <f>IF(OR(ISBLANK(C2170),C2170=""),"",ROUND((C2170-B2170)*24,2))</f>
        <v>6.75</v>
      </c>
      <c r="N2170" s="35" t="str">
        <f>IF(OR(ISBLANK(C2170),C2170="",M2170=""),"In Progress",IF(M2170&lt;=J2170,"Met","Breached"))</f>
        <v>Met</v>
      </c>
    </row>
    <row r="2171" ht="19" customHeight="1" spans="1:14" x14ac:dyDescent="0.25">
      <c r="A2171" s="22" t="s">
        <v>2285</v>
      </c>
      <c r="B2171" s="36">
        <v>46090.08472222222</v>
      </c>
      <c r="D2171" s="22" t="s">
        <v>42</v>
      </c>
      <c r="E2171" s="22" t="s">
        <v>57</v>
      </c>
      <c r="F2171" s="22" t="s">
        <v>45</v>
      </c>
      <c r="G2171" s="22" t="s">
        <v>116</v>
      </c>
      <c r="H2171" s="22" t="s">
        <v>59</v>
      </c>
      <c r="I2171" s="22" t="s">
        <v>111</v>
      </c>
      <c r="J2171" s="23">
        <v>4</v>
      </c>
      <c r="K2171" s="37">
        <v>0</v>
      </c>
      <c r="M2171" s="22" t="str">
        <f>IF(OR(ISBLANK(C2171),C2171=""),"",ROUND((C2171-B2171)*24,2))</f>
        <v/>
      </c>
      <c r="N2171" s="22" t="str">
        <f>IF(OR(ISBLANK(C2171),C2171="",M2171=""),"In Progress",IF(M2171&lt;=J2171,"Met","Breached"))</f>
        <v>In Progress</v>
      </c>
    </row>
    <row r="2172" ht="19" customHeight="1" spans="1:14" x14ac:dyDescent="0.25">
      <c r="A2172" s="19" t="s">
        <v>2286</v>
      </c>
      <c r="B2172" s="33">
        <v>46185.20833333333</v>
      </c>
      <c r="D2172" s="19" t="s">
        <v>39</v>
      </c>
      <c r="E2172" s="19" t="s">
        <v>69</v>
      </c>
      <c r="F2172" s="19" t="s">
        <v>34</v>
      </c>
      <c r="G2172" s="19" t="s">
        <v>126</v>
      </c>
      <c r="H2172" s="19" t="s">
        <v>63</v>
      </c>
      <c r="I2172" s="19" t="s">
        <v>117</v>
      </c>
      <c r="J2172" s="20">
        <v>120</v>
      </c>
      <c r="K2172" s="34">
        <v>0</v>
      </c>
      <c r="M2172" s="19" t="str">
        <f>IF(OR(ISBLANK(C2172),C2172=""),"",ROUND((C2172-B2172)*24,2))</f>
        <v/>
      </c>
      <c r="N2172" s="19" t="str">
        <f>IF(OR(ISBLANK(C2172),C2172="",M2172=""),"In Progress",IF(M2172&lt;=J2172,"Met","Breached"))</f>
        <v>In Progress</v>
      </c>
    </row>
    <row r="2173" ht="19" customHeight="1" spans="1:14" x14ac:dyDescent="0.25">
      <c r="A2173" s="22" t="s">
        <v>2287</v>
      </c>
      <c r="B2173" s="36">
        <v>45778.81041666667</v>
      </c>
      <c r="C2173" s="36">
        <v>45779.07291666667</v>
      </c>
      <c r="D2173" s="22" t="s">
        <v>33</v>
      </c>
      <c r="E2173" s="22" t="s">
        <v>61</v>
      </c>
      <c r="F2173" s="22" t="s">
        <v>40</v>
      </c>
      <c r="G2173" s="22" t="s">
        <v>126</v>
      </c>
      <c r="H2173" s="22" t="s">
        <v>59</v>
      </c>
      <c r="I2173" s="22" t="s">
        <v>123</v>
      </c>
      <c r="J2173" s="23">
        <v>12</v>
      </c>
      <c r="K2173" s="37">
        <v>0</v>
      </c>
      <c r="L2173" s="37">
        <v>5</v>
      </c>
      <c r="M2173" s="22">
        <f>IF(OR(ISBLANK(C2173),C2173=""),"",ROUND((C2173-B2173)*24,2))</f>
        <v>6.3</v>
      </c>
      <c r="N2173" s="40" t="str">
        <f>IF(OR(ISBLANK(C2173),C2173="",M2173=""),"In Progress",IF(M2173&lt;=J2173,"Met","Breached"))</f>
        <v>Met</v>
      </c>
    </row>
    <row r="2174" ht="19" customHeight="1" spans="1:14" x14ac:dyDescent="0.25">
      <c r="A2174" s="19" t="s">
        <v>2288</v>
      </c>
      <c r="B2174" s="33">
        <v>45966.13333333333</v>
      </c>
      <c r="C2174" s="33">
        <v>45972.85833333334</v>
      </c>
      <c r="D2174" s="19" t="s">
        <v>36</v>
      </c>
      <c r="E2174" s="19" t="s">
        <v>69</v>
      </c>
      <c r="F2174" s="19" t="s">
        <v>43</v>
      </c>
      <c r="G2174" s="19" t="s">
        <v>126</v>
      </c>
      <c r="H2174" s="19" t="s">
        <v>63</v>
      </c>
      <c r="I2174" s="19" t="s">
        <v>123</v>
      </c>
      <c r="J2174" s="20">
        <v>120</v>
      </c>
      <c r="K2174" s="34">
        <v>0</v>
      </c>
      <c r="L2174" s="34">
        <v>1</v>
      </c>
      <c r="M2174" s="19">
        <f>IF(OR(ISBLANK(C2174),C2174=""),"",ROUND((C2174-B2174)*24,2))</f>
        <v>161.4</v>
      </c>
      <c r="N2174" s="39" t="str">
        <f>IF(OR(ISBLANK(C2174),C2174="",M2174=""),"In Progress",IF(M2174&lt;=J2174,"Met","Breached"))</f>
        <v>Breached</v>
      </c>
    </row>
    <row r="2175" ht="19" customHeight="1" spans="1:14" x14ac:dyDescent="0.25">
      <c r="A2175" s="22" t="s">
        <v>2289</v>
      </c>
      <c r="B2175" s="36">
        <v>46171.72986111111</v>
      </c>
      <c r="C2175" s="36">
        <v>46171.794444444444</v>
      </c>
      <c r="D2175" s="22" t="s">
        <v>33</v>
      </c>
      <c r="E2175" s="22" t="s">
        <v>57</v>
      </c>
      <c r="F2175" s="22" t="s">
        <v>43</v>
      </c>
      <c r="G2175" s="22" t="s">
        <v>121</v>
      </c>
      <c r="H2175" s="22" t="s">
        <v>59</v>
      </c>
      <c r="I2175" s="22" t="s">
        <v>114</v>
      </c>
      <c r="J2175" s="23">
        <v>4</v>
      </c>
      <c r="K2175" s="37">
        <v>0</v>
      </c>
      <c r="L2175" s="37">
        <v>5</v>
      </c>
      <c r="M2175" s="22">
        <f>IF(OR(ISBLANK(C2175),C2175=""),"",ROUND((C2175-B2175)*24,2))</f>
        <v>1.55</v>
      </c>
      <c r="N2175" s="40" t="str">
        <f>IF(OR(ISBLANK(C2175),C2175="",M2175=""),"In Progress",IF(M2175&lt;=J2175,"Met","Breached"))</f>
        <v>Met</v>
      </c>
    </row>
    <row r="2176" ht="19" customHeight="1" spans="1:14" x14ac:dyDescent="0.25">
      <c r="A2176" s="19" t="s">
        <v>2290</v>
      </c>
      <c r="B2176" s="33">
        <v>46039.38125</v>
      </c>
      <c r="C2176" s="33">
        <v>46040.37152777778</v>
      </c>
      <c r="D2176" s="19" t="s">
        <v>33</v>
      </c>
      <c r="E2176" s="19" t="s">
        <v>65</v>
      </c>
      <c r="F2176" s="19" t="s">
        <v>37</v>
      </c>
      <c r="G2176" s="19" t="s">
        <v>116</v>
      </c>
      <c r="H2176" s="19" t="s">
        <v>59</v>
      </c>
      <c r="I2176" s="19" t="s">
        <v>111</v>
      </c>
      <c r="J2176" s="20">
        <v>48</v>
      </c>
      <c r="K2176" s="34">
        <v>0</v>
      </c>
      <c r="L2176" s="34">
        <v>2</v>
      </c>
      <c r="M2176" s="19">
        <f>IF(OR(ISBLANK(C2176),C2176=""),"",ROUND((C2176-B2176)*24,2))</f>
        <v>23.77</v>
      </c>
      <c r="N2176" s="35" t="str">
        <f>IF(OR(ISBLANK(C2176),C2176="",M2176=""),"In Progress",IF(M2176&lt;=J2176,"Met","Breached"))</f>
        <v>Met</v>
      </c>
    </row>
    <row r="2177" ht="19" customHeight="1" spans="1:14" x14ac:dyDescent="0.25">
      <c r="A2177" s="22" t="s">
        <v>2291</v>
      </c>
      <c r="B2177" s="36">
        <v>46188.93611111111</v>
      </c>
      <c r="C2177" s="36">
        <v>46191.92847222222</v>
      </c>
      <c r="D2177" s="22" t="s">
        <v>36</v>
      </c>
      <c r="E2177" s="22" t="s">
        <v>65</v>
      </c>
      <c r="F2177" s="22" t="s">
        <v>45</v>
      </c>
      <c r="G2177" s="22" t="s">
        <v>113</v>
      </c>
      <c r="H2177" s="22" t="s">
        <v>63</v>
      </c>
      <c r="I2177" s="22" t="s">
        <v>111</v>
      </c>
      <c r="J2177" s="23">
        <v>48</v>
      </c>
      <c r="K2177" s="37">
        <v>0</v>
      </c>
      <c r="M2177" s="22">
        <f>IF(OR(ISBLANK(C2177),C2177=""),"",ROUND((C2177-B2177)*24,2))</f>
        <v>71.82</v>
      </c>
      <c r="N2177" s="38" t="str">
        <f>IF(OR(ISBLANK(C2177),C2177="",M2177=""),"In Progress",IF(M2177&lt;=J2177,"Met","Breached"))</f>
        <v>Breached</v>
      </c>
    </row>
    <row r="2178" ht="19" customHeight="1" spans="1:14" x14ac:dyDescent="0.25">
      <c r="A2178" s="19" t="s">
        <v>2292</v>
      </c>
      <c r="B2178" s="33">
        <v>45686.27916666667</v>
      </c>
      <c r="C2178" s="33">
        <v>45688.584027777775</v>
      </c>
      <c r="D2178" s="19" t="s">
        <v>33</v>
      </c>
      <c r="E2178" s="19" t="s">
        <v>65</v>
      </c>
      <c r="F2178" s="19" t="s">
        <v>37</v>
      </c>
      <c r="G2178" s="19" t="s">
        <v>110</v>
      </c>
      <c r="H2178" s="19" t="s">
        <v>59</v>
      </c>
      <c r="I2178" s="19" t="s">
        <v>147</v>
      </c>
      <c r="J2178" s="20">
        <v>48</v>
      </c>
      <c r="K2178" s="34">
        <v>0</v>
      </c>
      <c r="M2178" s="19">
        <f>IF(OR(ISBLANK(C2178),C2178=""),"",ROUND((C2178-B2178)*24,2))</f>
        <v>55.32</v>
      </c>
      <c r="N2178" s="39" t="str">
        <f>IF(OR(ISBLANK(C2178),C2178="",M2178=""),"In Progress",IF(M2178&lt;=J2178,"Met","Breached"))</f>
        <v>Breached</v>
      </c>
    </row>
    <row r="2179" ht="19" customHeight="1" spans="1:14" x14ac:dyDescent="0.25">
      <c r="A2179" s="22" t="s">
        <v>2293</v>
      </c>
      <c r="B2179" s="36">
        <v>45709.13888888889</v>
      </c>
      <c r="C2179" s="36">
        <v>45709.566666666666</v>
      </c>
      <c r="D2179" s="22" t="s">
        <v>33</v>
      </c>
      <c r="E2179" s="22" t="s">
        <v>61</v>
      </c>
      <c r="F2179" s="22" t="s">
        <v>34</v>
      </c>
      <c r="G2179" s="22" t="s">
        <v>113</v>
      </c>
      <c r="H2179" s="22" t="s">
        <v>63</v>
      </c>
      <c r="I2179" s="22" t="s">
        <v>114</v>
      </c>
      <c r="J2179" s="23">
        <v>12</v>
      </c>
      <c r="K2179" s="37">
        <v>0</v>
      </c>
      <c r="L2179" s="37">
        <v>3</v>
      </c>
      <c r="M2179" s="22">
        <f>IF(OR(ISBLANK(C2179),C2179=""),"",ROUND((C2179-B2179)*24,2))</f>
        <v>10.27</v>
      </c>
      <c r="N2179" s="40" t="str">
        <f>IF(OR(ISBLANK(C2179),C2179="",M2179=""),"In Progress",IF(M2179&lt;=J2179,"Met","Breached"))</f>
        <v>Met</v>
      </c>
    </row>
    <row r="2180" ht="19" customHeight="1" spans="1:14" x14ac:dyDescent="0.25">
      <c r="A2180" s="19" t="s">
        <v>2294</v>
      </c>
      <c r="B2180" s="33">
        <v>46251.861805555556</v>
      </c>
      <c r="C2180" s="33">
        <v>46253.63958333334</v>
      </c>
      <c r="D2180" s="19" t="s">
        <v>33</v>
      </c>
      <c r="E2180" s="19" t="s">
        <v>65</v>
      </c>
      <c r="F2180" s="19" t="s">
        <v>34</v>
      </c>
      <c r="G2180" s="19" t="s">
        <v>116</v>
      </c>
      <c r="H2180" s="19" t="s">
        <v>71</v>
      </c>
      <c r="I2180" s="19" t="s">
        <v>108</v>
      </c>
      <c r="J2180" s="20">
        <v>48</v>
      </c>
      <c r="K2180" s="34">
        <v>0</v>
      </c>
      <c r="L2180" s="34">
        <v>1</v>
      </c>
      <c r="M2180" s="19">
        <f>IF(OR(ISBLANK(C2180),C2180=""),"",ROUND((C2180-B2180)*24,2))</f>
        <v>42.67</v>
      </c>
      <c r="N2180" s="35" t="str">
        <f>IF(OR(ISBLANK(C2180),C2180="",M2180=""),"In Progress",IF(M2180&lt;=J2180,"Met","Breached"))</f>
        <v>Met</v>
      </c>
    </row>
    <row r="2181" ht="19" customHeight="1" spans="1:14" x14ac:dyDescent="0.25">
      <c r="A2181" s="22" t="s">
        <v>2295</v>
      </c>
      <c r="B2181" s="36">
        <v>46228.32986111111</v>
      </c>
      <c r="D2181" s="22" t="s">
        <v>42</v>
      </c>
      <c r="E2181" s="22" t="s">
        <v>65</v>
      </c>
      <c r="F2181" s="22" t="s">
        <v>40</v>
      </c>
      <c r="G2181" s="22" t="s">
        <v>110</v>
      </c>
      <c r="H2181" s="22" t="s">
        <v>71</v>
      </c>
      <c r="I2181" s="22" t="s">
        <v>117</v>
      </c>
      <c r="J2181" s="23">
        <v>48</v>
      </c>
      <c r="K2181" s="37">
        <v>0</v>
      </c>
      <c r="M2181" s="22" t="str">
        <f>IF(OR(ISBLANK(C2181),C2181=""),"",ROUND((C2181-B2181)*24,2))</f>
        <v/>
      </c>
      <c r="N2181" s="22" t="str">
        <f>IF(OR(ISBLANK(C2181),C2181="",M2181=""),"In Progress",IF(M2181&lt;=J2181,"Met","Breached"))</f>
        <v>In Progress</v>
      </c>
    </row>
    <row r="2182" ht="19" customHeight="1" spans="1:14" x14ac:dyDescent="0.25">
      <c r="A2182" s="19" t="s">
        <v>2296</v>
      </c>
      <c r="B2182" s="33">
        <v>46246.44027777778</v>
      </c>
      <c r="C2182" s="33">
        <v>46247.03611111111</v>
      </c>
      <c r="D2182" s="19" t="s">
        <v>33</v>
      </c>
      <c r="E2182" s="19" t="s">
        <v>61</v>
      </c>
      <c r="F2182" s="19" t="s">
        <v>45</v>
      </c>
      <c r="G2182" s="19" t="s">
        <v>116</v>
      </c>
      <c r="H2182" s="19" t="s">
        <v>59</v>
      </c>
      <c r="I2182" s="19" t="s">
        <v>114</v>
      </c>
      <c r="J2182" s="20">
        <v>12</v>
      </c>
      <c r="K2182" s="34">
        <v>0</v>
      </c>
      <c r="L2182" s="34">
        <v>2</v>
      </c>
      <c r="M2182" s="19">
        <f>IF(OR(ISBLANK(C2182),C2182=""),"",ROUND((C2182-B2182)*24,2))</f>
        <v>14.3</v>
      </c>
      <c r="N2182" s="39" t="str">
        <f>IF(OR(ISBLANK(C2182),C2182="",M2182=""),"In Progress",IF(M2182&lt;=J2182,"Met","Breached"))</f>
        <v>Breached</v>
      </c>
    </row>
    <row r="2183" ht="19" customHeight="1" spans="1:14" x14ac:dyDescent="0.25">
      <c r="A2183" s="22" t="s">
        <v>2297</v>
      </c>
      <c r="B2183" s="36">
        <v>46046.865277777775</v>
      </c>
      <c r="C2183" s="36">
        <v>46049.85625</v>
      </c>
      <c r="D2183" s="22" t="s">
        <v>33</v>
      </c>
      <c r="E2183" s="22" t="s">
        <v>65</v>
      </c>
      <c r="F2183" s="22" t="s">
        <v>37</v>
      </c>
      <c r="G2183" s="22" t="s">
        <v>121</v>
      </c>
      <c r="H2183" s="22" t="s">
        <v>63</v>
      </c>
      <c r="I2183" s="22" t="s">
        <v>108</v>
      </c>
      <c r="J2183" s="23">
        <v>48</v>
      </c>
      <c r="K2183" s="37">
        <v>0</v>
      </c>
      <c r="L2183" s="37">
        <v>4</v>
      </c>
      <c r="M2183" s="22">
        <f>IF(OR(ISBLANK(C2183),C2183=""),"",ROUND((C2183-B2183)*24,2))</f>
        <v>71.78</v>
      </c>
      <c r="N2183" s="38" t="str">
        <f>IF(OR(ISBLANK(C2183),C2183="",M2183=""),"In Progress",IF(M2183&lt;=J2183,"Met","Breached"))</f>
        <v>Breached</v>
      </c>
    </row>
    <row r="2184" ht="19" customHeight="1" spans="1:14" x14ac:dyDescent="0.25">
      <c r="A2184" s="19" t="s">
        <v>2298</v>
      </c>
      <c r="B2184" s="33">
        <v>46167.48541666666</v>
      </c>
      <c r="C2184" s="33">
        <v>46168.933333333334</v>
      </c>
      <c r="D2184" s="19" t="s">
        <v>36</v>
      </c>
      <c r="E2184" s="19" t="s">
        <v>65</v>
      </c>
      <c r="F2184" s="19" t="s">
        <v>45</v>
      </c>
      <c r="G2184" s="19" t="s">
        <v>126</v>
      </c>
      <c r="H2184" s="19" t="s">
        <v>67</v>
      </c>
      <c r="I2184" s="19" t="s">
        <v>123</v>
      </c>
      <c r="J2184" s="20">
        <v>48</v>
      </c>
      <c r="K2184" s="34">
        <v>0</v>
      </c>
      <c r="L2184" s="34">
        <v>2</v>
      </c>
      <c r="M2184" s="19">
        <f>IF(OR(ISBLANK(C2184),C2184=""),"",ROUND((C2184-B2184)*24,2))</f>
        <v>34.75</v>
      </c>
      <c r="N2184" s="35" t="str">
        <f>IF(OR(ISBLANK(C2184),C2184="",M2184=""),"In Progress",IF(M2184&lt;=J2184,"Met","Breached"))</f>
        <v>Met</v>
      </c>
    </row>
    <row r="2185" ht="19" customHeight="1" spans="1:14" x14ac:dyDescent="0.25">
      <c r="A2185" s="22" t="s">
        <v>2299</v>
      </c>
      <c r="B2185" s="36">
        <v>46254.70694444445</v>
      </c>
      <c r="C2185" s="36">
        <v>46255.089583333334</v>
      </c>
      <c r="D2185" s="22" t="s">
        <v>33</v>
      </c>
      <c r="E2185" s="22" t="s">
        <v>61</v>
      </c>
      <c r="F2185" s="22" t="s">
        <v>34</v>
      </c>
      <c r="G2185" s="22" t="s">
        <v>110</v>
      </c>
      <c r="H2185" s="22" t="s">
        <v>71</v>
      </c>
      <c r="I2185" s="22" t="s">
        <v>147</v>
      </c>
      <c r="J2185" s="23">
        <v>12</v>
      </c>
      <c r="K2185" s="37">
        <v>0</v>
      </c>
      <c r="L2185" s="37">
        <v>1</v>
      </c>
      <c r="M2185" s="22">
        <f>IF(OR(ISBLANK(C2185),C2185=""),"",ROUND((C2185-B2185)*24,2))</f>
        <v>9.18</v>
      </c>
      <c r="N2185" s="40" t="str">
        <f>IF(OR(ISBLANK(C2185),C2185="",M2185=""),"In Progress",IF(M2185&lt;=J2185,"Met","Breached"))</f>
        <v>Met</v>
      </c>
    </row>
    <row r="2186" ht="19" customHeight="1" spans="1:14" x14ac:dyDescent="0.25">
      <c r="A2186" s="19" t="s">
        <v>2300</v>
      </c>
      <c r="B2186" s="33">
        <v>45868.25486111111</v>
      </c>
      <c r="C2186" s="33">
        <v>45868.50555555556</v>
      </c>
      <c r="D2186" s="19" t="s">
        <v>33</v>
      </c>
      <c r="E2186" s="19" t="s">
        <v>57</v>
      </c>
      <c r="F2186" s="19" t="s">
        <v>34</v>
      </c>
      <c r="G2186" s="19" t="s">
        <v>63</v>
      </c>
      <c r="H2186" s="19" t="s">
        <v>59</v>
      </c>
      <c r="I2186" s="19" t="s">
        <v>123</v>
      </c>
      <c r="J2186" s="20">
        <v>4</v>
      </c>
      <c r="K2186" s="34">
        <v>0</v>
      </c>
      <c r="L2186" s="34">
        <v>5</v>
      </c>
      <c r="M2186" s="19">
        <f>IF(OR(ISBLANK(C2186),C2186=""),"",ROUND((C2186-B2186)*24,2))</f>
        <v>6.02</v>
      </c>
      <c r="N2186" s="39" t="str">
        <f>IF(OR(ISBLANK(C2186),C2186="",M2186=""),"In Progress",IF(M2186&lt;=J2186,"Met","Breached"))</f>
        <v>Breached</v>
      </c>
    </row>
    <row r="2187" ht="19" customHeight="1" spans="1:14" x14ac:dyDescent="0.25">
      <c r="A2187" s="22" t="s">
        <v>2301</v>
      </c>
      <c r="B2187" s="36">
        <v>45915.17013888889</v>
      </c>
      <c r="C2187" s="36">
        <v>45915.910416666666</v>
      </c>
      <c r="D2187" s="22" t="s">
        <v>33</v>
      </c>
      <c r="E2187" s="22" t="s">
        <v>65</v>
      </c>
      <c r="F2187" s="22" t="s">
        <v>40</v>
      </c>
      <c r="G2187" s="22" t="s">
        <v>113</v>
      </c>
      <c r="H2187" s="22" t="s">
        <v>63</v>
      </c>
      <c r="I2187" s="22" t="s">
        <v>111</v>
      </c>
      <c r="J2187" s="23">
        <v>48</v>
      </c>
      <c r="K2187" s="37">
        <v>0</v>
      </c>
      <c r="L2187" s="37">
        <v>2</v>
      </c>
      <c r="M2187" s="22">
        <f>IF(OR(ISBLANK(C2187),C2187=""),"",ROUND((C2187-B2187)*24,2))</f>
        <v>17.77</v>
      </c>
      <c r="N2187" s="40" t="str">
        <f>IF(OR(ISBLANK(C2187),C2187="",M2187=""),"In Progress",IF(M2187&lt;=J2187,"Met","Breached"))</f>
        <v>Met</v>
      </c>
    </row>
    <row r="2188" ht="19" customHeight="1" spans="1:14" x14ac:dyDescent="0.25">
      <c r="A2188" s="19" t="s">
        <v>2302</v>
      </c>
      <c r="B2188" s="33">
        <v>46203.243055555555</v>
      </c>
      <c r="C2188" s="33">
        <v>46203.30763888889</v>
      </c>
      <c r="D2188" s="19" t="s">
        <v>36</v>
      </c>
      <c r="E2188" s="19" t="s">
        <v>57</v>
      </c>
      <c r="F2188" s="19" t="s">
        <v>45</v>
      </c>
      <c r="G2188" s="19" t="s">
        <v>126</v>
      </c>
      <c r="H2188" s="19" t="s">
        <v>63</v>
      </c>
      <c r="I2188" s="19" t="s">
        <v>114</v>
      </c>
      <c r="J2188" s="20">
        <v>4</v>
      </c>
      <c r="K2188" s="34">
        <v>0</v>
      </c>
      <c r="M2188" s="19">
        <f>IF(OR(ISBLANK(C2188),C2188=""),"",ROUND((C2188-B2188)*24,2))</f>
        <v>1.55</v>
      </c>
      <c r="N2188" s="35" t="str">
        <f>IF(OR(ISBLANK(C2188),C2188="",M2188=""),"In Progress",IF(M2188&lt;=J2188,"Met","Breached"))</f>
        <v>Met</v>
      </c>
    </row>
    <row r="2189" ht="19" customHeight="1" spans="1:14" x14ac:dyDescent="0.25">
      <c r="A2189" s="22" t="s">
        <v>2303</v>
      </c>
      <c r="B2189" s="36">
        <v>45936.61319444445</v>
      </c>
      <c r="C2189" s="36">
        <v>45941.04375</v>
      </c>
      <c r="D2189" s="22" t="s">
        <v>36</v>
      </c>
      <c r="E2189" s="22" t="s">
        <v>69</v>
      </c>
      <c r="F2189" s="22" t="s">
        <v>40</v>
      </c>
      <c r="G2189" s="22" t="s">
        <v>63</v>
      </c>
      <c r="H2189" s="22" t="s">
        <v>71</v>
      </c>
      <c r="I2189" s="22" t="s">
        <v>123</v>
      </c>
      <c r="J2189" s="23">
        <v>120</v>
      </c>
      <c r="K2189" s="37">
        <v>0</v>
      </c>
      <c r="L2189" s="37">
        <v>3</v>
      </c>
      <c r="M2189" s="22">
        <f>IF(OR(ISBLANK(C2189),C2189=""),"",ROUND((C2189-B2189)*24,2))</f>
        <v>106.33</v>
      </c>
      <c r="N2189" s="40" t="str">
        <f>IF(OR(ISBLANK(C2189),C2189="",M2189=""),"In Progress",IF(M2189&lt;=J2189,"Met","Breached"))</f>
        <v>Met</v>
      </c>
    </row>
    <row r="2190" ht="19" customHeight="1" spans="1:14" x14ac:dyDescent="0.25">
      <c r="A2190" s="19" t="s">
        <v>2304</v>
      </c>
      <c r="B2190" s="33">
        <v>45738.16111111111</v>
      </c>
      <c r="D2190" s="19" t="s">
        <v>42</v>
      </c>
      <c r="E2190" s="19" t="s">
        <v>61</v>
      </c>
      <c r="F2190" s="19" t="s">
        <v>40</v>
      </c>
      <c r="G2190" s="19" t="s">
        <v>121</v>
      </c>
      <c r="H2190" s="19" t="s">
        <v>71</v>
      </c>
      <c r="I2190" s="19" t="s">
        <v>108</v>
      </c>
      <c r="J2190" s="20">
        <v>12</v>
      </c>
      <c r="K2190" s="34">
        <v>0</v>
      </c>
      <c r="M2190" s="19" t="str">
        <f>IF(OR(ISBLANK(C2190),C2190=""),"",ROUND((C2190-B2190)*24,2))</f>
        <v/>
      </c>
      <c r="N2190" s="19" t="str">
        <f>IF(OR(ISBLANK(C2190),C2190="",M2190=""),"In Progress",IF(M2190&lt;=J2190,"Met","Breached"))</f>
        <v>In Progress</v>
      </c>
    </row>
    <row r="2191" ht="19" customHeight="1" spans="1:14" x14ac:dyDescent="0.25">
      <c r="A2191" s="22" t="s">
        <v>2305</v>
      </c>
      <c r="B2191" s="36">
        <v>45920.96527777778</v>
      </c>
      <c r="D2191" s="22" t="s">
        <v>42</v>
      </c>
      <c r="E2191" s="22" t="s">
        <v>65</v>
      </c>
      <c r="F2191" s="22" t="s">
        <v>34</v>
      </c>
      <c r="G2191" s="22" t="s">
        <v>121</v>
      </c>
      <c r="H2191" s="22" t="s">
        <v>67</v>
      </c>
      <c r="I2191" s="22" t="s">
        <v>111</v>
      </c>
      <c r="J2191" s="23">
        <v>48</v>
      </c>
      <c r="K2191" s="37">
        <v>0</v>
      </c>
      <c r="M2191" s="22" t="str">
        <f>IF(OR(ISBLANK(C2191),C2191=""),"",ROUND((C2191-B2191)*24,2))</f>
        <v/>
      </c>
      <c r="N2191" s="22" t="str">
        <f>IF(OR(ISBLANK(C2191),C2191="",M2191=""),"In Progress",IF(M2191&lt;=J2191,"Met","Breached"))</f>
        <v>In Progress</v>
      </c>
    </row>
    <row r="2192" ht="19" customHeight="1" spans="1:14" x14ac:dyDescent="0.25">
      <c r="A2192" s="19" t="s">
        <v>2306</v>
      </c>
      <c r="B2192" s="33">
        <v>45774.60208333333</v>
      </c>
      <c r="C2192" s="33">
        <v>45775.65555555555</v>
      </c>
      <c r="D2192" s="19" t="s">
        <v>33</v>
      </c>
      <c r="E2192" s="19" t="s">
        <v>65</v>
      </c>
      <c r="F2192" s="19" t="s">
        <v>45</v>
      </c>
      <c r="G2192" s="19" t="s">
        <v>110</v>
      </c>
      <c r="H2192" s="19" t="s">
        <v>63</v>
      </c>
      <c r="I2192" s="19" t="s">
        <v>111</v>
      </c>
      <c r="J2192" s="20">
        <v>48</v>
      </c>
      <c r="K2192" s="34">
        <v>0</v>
      </c>
      <c r="M2192" s="19">
        <f>IF(OR(ISBLANK(C2192),C2192=""),"",ROUND((C2192-B2192)*24,2))</f>
        <v>25.28</v>
      </c>
      <c r="N2192" s="35" t="str">
        <f>IF(OR(ISBLANK(C2192),C2192="",M2192=""),"In Progress",IF(M2192&lt;=J2192,"Met","Breached"))</f>
        <v>Met</v>
      </c>
    </row>
    <row r="2193" ht="19" customHeight="1" spans="1:14" x14ac:dyDescent="0.25">
      <c r="A2193" s="22" t="s">
        <v>2307</v>
      </c>
      <c r="B2193" s="36">
        <v>46266.37708333333</v>
      </c>
      <c r="C2193" s="36">
        <v>46269.26458333334</v>
      </c>
      <c r="D2193" s="22" t="s">
        <v>33</v>
      </c>
      <c r="E2193" s="22" t="s">
        <v>65</v>
      </c>
      <c r="F2193" s="22" t="s">
        <v>40</v>
      </c>
      <c r="G2193" s="22" t="s">
        <v>113</v>
      </c>
      <c r="H2193" s="22" t="s">
        <v>59</v>
      </c>
      <c r="I2193" s="22" t="s">
        <v>147</v>
      </c>
      <c r="J2193" s="23">
        <v>48</v>
      </c>
      <c r="K2193" s="37">
        <v>0</v>
      </c>
      <c r="L2193" s="37">
        <v>2</v>
      </c>
      <c r="M2193" s="22">
        <f>IF(OR(ISBLANK(C2193),C2193=""),"",ROUND((C2193-B2193)*24,2))</f>
        <v>69.3</v>
      </c>
      <c r="N2193" s="38" t="str">
        <f>IF(OR(ISBLANK(C2193),C2193="",M2193=""),"In Progress",IF(M2193&lt;=J2193,"Met","Breached"))</f>
        <v>Breached</v>
      </c>
    </row>
    <row r="2194" ht="19" customHeight="1" spans="1:14" x14ac:dyDescent="0.25">
      <c r="A2194" s="19" t="s">
        <v>2308</v>
      </c>
      <c r="B2194" s="33">
        <v>45816.01180555555</v>
      </c>
      <c r="C2194" s="33">
        <v>45819.58125</v>
      </c>
      <c r="D2194" s="19" t="s">
        <v>33</v>
      </c>
      <c r="E2194" s="19" t="s">
        <v>65</v>
      </c>
      <c r="F2194" s="19" t="s">
        <v>37</v>
      </c>
      <c r="G2194" s="19" t="s">
        <v>121</v>
      </c>
      <c r="H2194" s="19" t="s">
        <v>59</v>
      </c>
      <c r="I2194" s="19" t="s">
        <v>111</v>
      </c>
      <c r="J2194" s="20">
        <v>48</v>
      </c>
      <c r="K2194" s="34">
        <v>0</v>
      </c>
      <c r="L2194" s="34">
        <v>3</v>
      </c>
      <c r="M2194" s="19">
        <f>IF(OR(ISBLANK(C2194),C2194=""),"",ROUND((C2194-B2194)*24,2))</f>
        <v>85.67</v>
      </c>
      <c r="N2194" s="39" t="str">
        <f>IF(OR(ISBLANK(C2194),C2194="",M2194=""),"In Progress",IF(M2194&lt;=J2194,"Met","Breached"))</f>
        <v>Breached</v>
      </c>
    </row>
    <row r="2195" ht="19" customHeight="1" spans="1:14" x14ac:dyDescent="0.25">
      <c r="A2195" s="22" t="s">
        <v>2309</v>
      </c>
      <c r="B2195" s="36">
        <v>45990.04305555555</v>
      </c>
      <c r="C2195" s="36">
        <v>45992.67638888889</v>
      </c>
      <c r="D2195" s="22" t="s">
        <v>36</v>
      </c>
      <c r="E2195" s="22" t="s">
        <v>65</v>
      </c>
      <c r="F2195" s="22" t="s">
        <v>40</v>
      </c>
      <c r="G2195" s="22" t="s">
        <v>63</v>
      </c>
      <c r="H2195" s="22" t="s">
        <v>59</v>
      </c>
      <c r="I2195" s="22" t="s">
        <v>123</v>
      </c>
      <c r="J2195" s="23">
        <v>48</v>
      </c>
      <c r="K2195" s="37">
        <v>0</v>
      </c>
      <c r="M2195" s="22">
        <f>IF(OR(ISBLANK(C2195),C2195=""),"",ROUND((C2195-B2195)*24,2))</f>
        <v>63.2</v>
      </c>
      <c r="N2195" s="38" t="str">
        <f>IF(OR(ISBLANK(C2195),C2195="",M2195=""),"In Progress",IF(M2195&lt;=J2195,"Met","Breached"))</f>
        <v>Breached</v>
      </c>
    </row>
    <row r="2196" ht="19" customHeight="1" spans="1:14" x14ac:dyDescent="0.25">
      <c r="A2196" s="19" t="s">
        <v>2310</v>
      </c>
      <c r="B2196" s="33">
        <v>45707.78611111111</v>
      </c>
      <c r="C2196" s="33">
        <v>45709.73402777778</v>
      </c>
      <c r="D2196" s="19" t="s">
        <v>33</v>
      </c>
      <c r="E2196" s="19" t="s">
        <v>69</v>
      </c>
      <c r="F2196" s="19" t="s">
        <v>45</v>
      </c>
      <c r="G2196" s="19" t="s">
        <v>113</v>
      </c>
      <c r="H2196" s="19" t="s">
        <v>59</v>
      </c>
      <c r="I2196" s="19" t="s">
        <v>114</v>
      </c>
      <c r="J2196" s="20">
        <v>120</v>
      </c>
      <c r="K2196" s="34">
        <v>0</v>
      </c>
      <c r="L2196" s="34">
        <v>5</v>
      </c>
      <c r="M2196" s="19">
        <f>IF(OR(ISBLANK(C2196),C2196=""),"",ROUND((C2196-B2196)*24,2))</f>
        <v>46.75</v>
      </c>
      <c r="N2196" s="35" t="str">
        <f>IF(OR(ISBLANK(C2196),C2196="",M2196=""),"In Progress",IF(M2196&lt;=J2196,"Met","Breached"))</f>
        <v>Met</v>
      </c>
    </row>
    <row r="2197" ht="19" customHeight="1" spans="1:14" x14ac:dyDescent="0.25">
      <c r="A2197" s="22" t="s">
        <v>2311</v>
      </c>
      <c r="B2197" s="36">
        <v>45815.49166666667</v>
      </c>
      <c r="D2197" s="22" t="s">
        <v>42</v>
      </c>
      <c r="E2197" s="22" t="s">
        <v>61</v>
      </c>
      <c r="F2197" s="22" t="s">
        <v>45</v>
      </c>
      <c r="G2197" s="22" t="s">
        <v>110</v>
      </c>
      <c r="H2197" s="22" t="s">
        <v>59</v>
      </c>
      <c r="I2197" s="22" t="s">
        <v>111</v>
      </c>
      <c r="J2197" s="23">
        <v>12</v>
      </c>
      <c r="K2197" s="37">
        <v>0</v>
      </c>
      <c r="M2197" s="22" t="str">
        <f>IF(OR(ISBLANK(C2197),C2197=""),"",ROUND((C2197-B2197)*24,2))</f>
        <v/>
      </c>
      <c r="N2197" s="22" t="str">
        <f>IF(OR(ISBLANK(C2197),C2197="",M2197=""),"In Progress",IF(M2197&lt;=J2197,"Met","Breached"))</f>
        <v>In Progress</v>
      </c>
    </row>
    <row r="2198" ht="19" customHeight="1" spans="1:14" x14ac:dyDescent="0.25">
      <c r="A2198" s="19" t="s">
        <v>2312</v>
      </c>
      <c r="B2198" s="33">
        <v>45751.42361111111</v>
      </c>
      <c r="D2198" s="19" t="s">
        <v>39</v>
      </c>
      <c r="E2198" s="19" t="s">
        <v>65</v>
      </c>
      <c r="F2198" s="19" t="s">
        <v>37</v>
      </c>
      <c r="G2198" s="19" t="s">
        <v>116</v>
      </c>
      <c r="H2198" s="19" t="s">
        <v>59</v>
      </c>
      <c r="I2198" s="19" t="s">
        <v>123</v>
      </c>
      <c r="J2198" s="20">
        <v>48</v>
      </c>
      <c r="K2198" s="34">
        <v>0</v>
      </c>
      <c r="M2198" s="19" t="str">
        <f>IF(OR(ISBLANK(C2198),C2198=""),"",ROUND((C2198-B2198)*24,2))</f>
        <v/>
      </c>
      <c r="N2198" s="19" t="str">
        <f>IF(OR(ISBLANK(C2198),C2198="",M2198=""),"In Progress",IF(M2198&lt;=J2198,"Met","Breached"))</f>
        <v>In Progress</v>
      </c>
    </row>
    <row r="2199" ht="19" customHeight="1" spans="1:14" x14ac:dyDescent="0.25">
      <c r="A2199" s="22" t="s">
        <v>2313</v>
      </c>
      <c r="B2199" s="36">
        <v>46126.8375</v>
      </c>
      <c r="C2199" s="36">
        <v>46127.209027777775</v>
      </c>
      <c r="D2199" s="22" t="s">
        <v>33</v>
      </c>
      <c r="E2199" s="22" t="s">
        <v>61</v>
      </c>
      <c r="F2199" s="22" t="s">
        <v>34</v>
      </c>
      <c r="G2199" s="22" t="s">
        <v>63</v>
      </c>
      <c r="H2199" s="22" t="s">
        <v>63</v>
      </c>
      <c r="I2199" s="22" t="s">
        <v>117</v>
      </c>
      <c r="J2199" s="23">
        <v>12</v>
      </c>
      <c r="K2199" s="37">
        <v>0</v>
      </c>
      <c r="L2199" s="37">
        <v>4</v>
      </c>
      <c r="M2199" s="22">
        <f>IF(OR(ISBLANK(C2199),C2199=""),"",ROUND((C2199-B2199)*24,2))</f>
        <v>8.92</v>
      </c>
      <c r="N2199" s="40" t="str">
        <f>IF(OR(ISBLANK(C2199),C2199="",M2199=""),"In Progress",IF(M2199&lt;=J2199,"Met","Breached"))</f>
        <v>Met</v>
      </c>
    </row>
    <row r="2200" ht="19" customHeight="1" spans="1:14" x14ac:dyDescent="0.25">
      <c r="A2200" s="19" t="s">
        <v>2314</v>
      </c>
      <c r="B2200" s="33">
        <v>45932.47152777778</v>
      </c>
      <c r="D2200" s="19" t="s">
        <v>42</v>
      </c>
      <c r="E2200" s="19" t="s">
        <v>61</v>
      </c>
      <c r="F2200" s="19" t="s">
        <v>37</v>
      </c>
      <c r="G2200" s="19" t="s">
        <v>110</v>
      </c>
      <c r="H2200" s="19" t="s">
        <v>59</v>
      </c>
      <c r="I2200" s="19" t="s">
        <v>108</v>
      </c>
      <c r="J2200" s="20">
        <v>12</v>
      </c>
      <c r="K2200" s="34">
        <v>0</v>
      </c>
      <c r="M2200" s="19" t="str">
        <f>IF(OR(ISBLANK(C2200),C2200=""),"",ROUND((C2200-B2200)*24,2))</f>
        <v/>
      </c>
      <c r="N2200" s="19" t="str">
        <f>IF(OR(ISBLANK(C2200),C2200="",M2200=""),"In Progress",IF(M2200&lt;=J2200,"Met","Breached"))</f>
        <v>In Progress</v>
      </c>
    </row>
    <row r="2201" ht="19" customHeight="1" spans="1:14" x14ac:dyDescent="0.25">
      <c r="A2201" s="22" t="s">
        <v>2315</v>
      </c>
      <c r="B2201" s="36">
        <v>46149.95138888889</v>
      </c>
      <c r="C2201" s="36">
        <v>46155.34027777778</v>
      </c>
      <c r="D2201" s="22" t="s">
        <v>33</v>
      </c>
      <c r="E2201" s="22" t="s">
        <v>69</v>
      </c>
      <c r="F2201" s="22" t="s">
        <v>43</v>
      </c>
      <c r="G2201" s="22" t="s">
        <v>63</v>
      </c>
      <c r="H2201" s="22" t="s">
        <v>59</v>
      </c>
      <c r="I2201" s="22" t="s">
        <v>147</v>
      </c>
      <c r="J2201" s="23">
        <v>120</v>
      </c>
      <c r="K2201" s="37">
        <v>0</v>
      </c>
      <c r="M2201" s="22">
        <f>IF(OR(ISBLANK(C2201),C2201=""),"",ROUND((C2201-B2201)*24,2))</f>
        <v>129.33</v>
      </c>
      <c r="N2201" s="38" t="str">
        <f>IF(OR(ISBLANK(C2201),C2201="",M2201=""),"In Progress",IF(M2201&lt;=J2201,"Met","Breached"))</f>
        <v>Breached</v>
      </c>
    </row>
    <row r="2202" ht="19" customHeight="1" spans="1:14" x14ac:dyDescent="0.25">
      <c r="A2202" s="19" t="s">
        <v>2316</v>
      </c>
      <c r="B2202" s="33">
        <v>46119.07361111111</v>
      </c>
      <c r="C2202" s="33">
        <v>46126.28680555556</v>
      </c>
      <c r="D2202" s="19" t="s">
        <v>33</v>
      </c>
      <c r="E2202" s="19" t="s">
        <v>69</v>
      </c>
      <c r="F2202" s="19" t="s">
        <v>43</v>
      </c>
      <c r="G2202" s="19" t="s">
        <v>121</v>
      </c>
      <c r="H2202" s="19" t="s">
        <v>59</v>
      </c>
      <c r="I2202" s="19" t="s">
        <v>108</v>
      </c>
      <c r="J2202" s="20">
        <v>120</v>
      </c>
      <c r="K2202" s="34">
        <v>0</v>
      </c>
      <c r="M2202" s="19">
        <f>IF(OR(ISBLANK(C2202),C2202=""),"",ROUND((C2202-B2202)*24,2))</f>
        <v>173.12</v>
      </c>
      <c r="N2202" s="39" t="str">
        <f>IF(OR(ISBLANK(C2202),C2202="",M2202=""),"In Progress",IF(M2202&lt;=J2202,"Met","Breached"))</f>
        <v>Breached</v>
      </c>
    </row>
    <row r="2203" ht="19" customHeight="1" spans="1:14" x14ac:dyDescent="0.25">
      <c r="A2203" s="22" t="s">
        <v>2317</v>
      </c>
      <c r="B2203" s="36">
        <v>46021.44930555555</v>
      </c>
      <c r="D2203" s="22" t="s">
        <v>39</v>
      </c>
      <c r="E2203" s="22" t="s">
        <v>69</v>
      </c>
      <c r="F2203" s="22" t="s">
        <v>40</v>
      </c>
      <c r="G2203" s="22" t="s">
        <v>113</v>
      </c>
      <c r="H2203" s="22" t="s">
        <v>59</v>
      </c>
      <c r="I2203" s="22" t="s">
        <v>117</v>
      </c>
      <c r="J2203" s="23">
        <v>120</v>
      </c>
      <c r="K2203" s="37">
        <v>0</v>
      </c>
      <c r="M2203" s="22" t="str">
        <f>IF(OR(ISBLANK(C2203),C2203=""),"",ROUND((C2203-B2203)*24,2))</f>
        <v/>
      </c>
      <c r="N2203" s="22" t="str">
        <f>IF(OR(ISBLANK(C2203),C2203="",M2203=""),"In Progress",IF(M2203&lt;=J2203,"Met","Breached"))</f>
        <v>In Progress</v>
      </c>
    </row>
    <row r="2204" ht="19" customHeight="1" spans="1:14" x14ac:dyDescent="0.25">
      <c r="A2204" s="19" t="s">
        <v>2318</v>
      </c>
      <c r="B2204" s="33">
        <v>45722.22013888889</v>
      </c>
      <c r="C2204" s="33">
        <v>45727.7625</v>
      </c>
      <c r="D2204" s="19" t="s">
        <v>36</v>
      </c>
      <c r="E2204" s="19" t="s">
        <v>69</v>
      </c>
      <c r="F2204" s="19" t="s">
        <v>34</v>
      </c>
      <c r="G2204" s="19" t="s">
        <v>113</v>
      </c>
      <c r="H2204" s="19" t="s">
        <v>71</v>
      </c>
      <c r="I2204" s="19" t="s">
        <v>123</v>
      </c>
      <c r="J2204" s="20">
        <v>120</v>
      </c>
      <c r="K2204" s="34">
        <v>0</v>
      </c>
      <c r="L2204" s="34">
        <v>3</v>
      </c>
      <c r="M2204" s="19">
        <f>IF(OR(ISBLANK(C2204),C2204=""),"",ROUND((C2204-B2204)*24,2))</f>
        <v>133.02</v>
      </c>
      <c r="N2204" s="39" t="str">
        <f>IF(OR(ISBLANK(C2204),C2204="",M2204=""),"In Progress",IF(M2204&lt;=J2204,"Met","Breached"))</f>
        <v>Breached</v>
      </c>
    </row>
    <row r="2205" ht="19" customHeight="1" spans="1:14" x14ac:dyDescent="0.25">
      <c r="A2205" s="22" t="s">
        <v>2319</v>
      </c>
      <c r="B2205" s="36">
        <v>46116.847916666666</v>
      </c>
      <c r="C2205" s="36">
        <v>46117.49375</v>
      </c>
      <c r="D2205" s="22" t="s">
        <v>33</v>
      </c>
      <c r="E2205" s="22" t="s">
        <v>65</v>
      </c>
      <c r="F2205" s="22" t="s">
        <v>45</v>
      </c>
      <c r="G2205" s="22" t="s">
        <v>110</v>
      </c>
      <c r="H2205" s="22" t="s">
        <v>71</v>
      </c>
      <c r="I2205" s="22" t="s">
        <v>117</v>
      </c>
      <c r="J2205" s="23">
        <v>48</v>
      </c>
      <c r="K2205" s="37">
        <v>0</v>
      </c>
      <c r="M2205" s="22">
        <f>IF(OR(ISBLANK(C2205),C2205=""),"",ROUND((C2205-B2205)*24,2))</f>
        <v>15.5</v>
      </c>
      <c r="N2205" s="40" t="str">
        <f>IF(OR(ISBLANK(C2205),C2205="",M2205=""),"In Progress",IF(M2205&lt;=J2205,"Met","Breached"))</f>
        <v>Met</v>
      </c>
    </row>
    <row r="2206" ht="19" customHeight="1" spans="1:14" x14ac:dyDescent="0.25">
      <c r="A2206" s="19" t="s">
        <v>2320</v>
      </c>
      <c r="B2206" s="33">
        <v>45948.47986111111</v>
      </c>
      <c r="C2206" s="33">
        <v>45957.04375</v>
      </c>
      <c r="D2206" s="19" t="s">
        <v>36</v>
      </c>
      <c r="E2206" s="19" t="s">
        <v>69</v>
      </c>
      <c r="F2206" s="19" t="s">
        <v>34</v>
      </c>
      <c r="G2206" s="19" t="s">
        <v>121</v>
      </c>
      <c r="H2206" s="19" t="s">
        <v>63</v>
      </c>
      <c r="I2206" s="19" t="s">
        <v>114</v>
      </c>
      <c r="J2206" s="20">
        <v>120</v>
      </c>
      <c r="K2206" s="34">
        <v>0</v>
      </c>
      <c r="M2206" s="19">
        <f>IF(OR(ISBLANK(C2206),C2206=""),"",ROUND((C2206-B2206)*24,2))</f>
        <v>205.53</v>
      </c>
      <c r="N2206" s="39" t="str">
        <f>IF(OR(ISBLANK(C2206),C2206="",M2206=""),"In Progress",IF(M2206&lt;=J2206,"Met","Breached"))</f>
        <v>Breached</v>
      </c>
    </row>
    <row r="2207" ht="19" customHeight="1" spans="1:14" x14ac:dyDescent="0.25">
      <c r="A2207" s="22" t="s">
        <v>2321</v>
      </c>
      <c r="B2207" s="36">
        <v>46273.26527777778</v>
      </c>
      <c r="C2207" s="36">
        <v>46274.43402777778</v>
      </c>
      <c r="D2207" s="22" t="s">
        <v>33</v>
      </c>
      <c r="E2207" s="22" t="s">
        <v>65</v>
      </c>
      <c r="F2207" s="22" t="s">
        <v>37</v>
      </c>
      <c r="G2207" s="22" t="s">
        <v>126</v>
      </c>
      <c r="H2207" s="22" t="s">
        <v>63</v>
      </c>
      <c r="I2207" s="22" t="s">
        <v>108</v>
      </c>
      <c r="J2207" s="23">
        <v>48</v>
      </c>
      <c r="K2207" s="37">
        <v>0</v>
      </c>
      <c r="L2207" s="37">
        <v>5</v>
      </c>
      <c r="M2207" s="22">
        <f>IF(OR(ISBLANK(C2207),C2207=""),"",ROUND((C2207-B2207)*24,2))</f>
        <v>28.05</v>
      </c>
      <c r="N2207" s="40" t="str">
        <f>IF(OR(ISBLANK(C2207),C2207="",M2207=""),"In Progress",IF(M2207&lt;=J2207,"Met","Breached"))</f>
        <v>Met</v>
      </c>
    </row>
    <row r="2208" ht="19" customHeight="1" spans="1:14" x14ac:dyDescent="0.25">
      <c r="A2208" s="19" t="s">
        <v>2322</v>
      </c>
      <c r="B2208" s="33">
        <v>46098.37361111111</v>
      </c>
      <c r="C2208" s="33">
        <v>46101.37361111111</v>
      </c>
      <c r="D2208" s="19" t="s">
        <v>33</v>
      </c>
      <c r="E2208" s="19" t="s">
        <v>65</v>
      </c>
      <c r="F2208" s="19" t="s">
        <v>45</v>
      </c>
      <c r="G2208" s="19" t="s">
        <v>110</v>
      </c>
      <c r="H2208" s="19" t="s">
        <v>63</v>
      </c>
      <c r="I2208" s="19" t="s">
        <v>147</v>
      </c>
      <c r="J2208" s="20">
        <v>48</v>
      </c>
      <c r="K2208" s="34">
        <v>1</v>
      </c>
      <c r="M2208" s="19">
        <f>IF(OR(ISBLANK(C2208),C2208=""),"",ROUND((C2208-B2208)*24,2))</f>
        <v>72</v>
      </c>
      <c r="N2208" s="39" t="str">
        <f>IF(OR(ISBLANK(C2208),C2208="",M2208=""),"In Progress",IF(M2208&lt;=J2208,"Met","Breached"))</f>
        <v>Breached</v>
      </c>
    </row>
    <row r="2209" ht="19" customHeight="1" spans="1:14" x14ac:dyDescent="0.25">
      <c r="A2209" s="22" t="s">
        <v>2323</v>
      </c>
      <c r="B2209" s="36">
        <v>46125.49791666667</v>
      </c>
      <c r="C2209" s="36">
        <v>46127.62361111111</v>
      </c>
      <c r="D2209" s="22" t="s">
        <v>33</v>
      </c>
      <c r="E2209" s="22" t="s">
        <v>69</v>
      </c>
      <c r="F2209" s="22" t="s">
        <v>37</v>
      </c>
      <c r="G2209" s="22" t="s">
        <v>63</v>
      </c>
      <c r="H2209" s="22" t="s">
        <v>59</v>
      </c>
      <c r="I2209" s="22" t="s">
        <v>147</v>
      </c>
      <c r="J2209" s="23">
        <v>120</v>
      </c>
      <c r="K2209" s="37">
        <v>0</v>
      </c>
      <c r="L2209" s="37">
        <v>1</v>
      </c>
      <c r="M2209" s="22">
        <f>IF(OR(ISBLANK(C2209),C2209=""),"",ROUND((C2209-B2209)*24,2))</f>
        <v>51.02</v>
      </c>
      <c r="N2209" s="40" t="str">
        <f>IF(OR(ISBLANK(C2209),C2209="",M2209=""),"In Progress",IF(M2209&lt;=J2209,"Met","Breached"))</f>
        <v>Met</v>
      </c>
    </row>
    <row r="2210" ht="19" customHeight="1" spans="1:14" x14ac:dyDescent="0.25">
      <c r="A2210" s="19" t="s">
        <v>2324</v>
      </c>
      <c r="B2210" s="33">
        <v>45687.30347222222</v>
      </c>
      <c r="D2210" s="19" t="s">
        <v>39</v>
      </c>
      <c r="E2210" s="19" t="s">
        <v>61</v>
      </c>
      <c r="F2210" s="19" t="s">
        <v>34</v>
      </c>
      <c r="G2210" s="19" t="s">
        <v>121</v>
      </c>
      <c r="H2210" s="19" t="s">
        <v>71</v>
      </c>
      <c r="I2210" s="19" t="s">
        <v>117</v>
      </c>
      <c r="J2210" s="20">
        <v>12</v>
      </c>
      <c r="K2210" s="34">
        <v>0</v>
      </c>
      <c r="M2210" s="19" t="str">
        <f>IF(OR(ISBLANK(C2210),C2210=""),"",ROUND((C2210-B2210)*24,2))</f>
        <v/>
      </c>
      <c r="N2210" s="19" t="str">
        <f>IF(OR(ISBLANK(C2210),C2210="",M2210=""),"In Progress",IF(M2210&lt;=J2210,"Met","Breached"))</f>
        <v>In Progress</v>
      </c>
    </row>
    <row r="2211" ht="19" customHeight="1" spans="1:14" x14ac:dyDescent="0.25">
      <c r="A2211" s="22" t="s">
        <v>2325</v>
      </c>
      <c r="B2211" s="36">
        <v>46017.617361111115</v>
      </c>
      <c r="C2211" s="36">
        <v>46018.52847222222</v>
      </c>
      <c r="D2211" s="22" t="s">
        <v>36</v>
      </c>
      <c r="E2211" s="22" t="s">
        <v>65</v>
      </c>
      <c r="F2211" s="22" t="s">
        <v>34</v>
      </c>
      <c r="G2211" s="22" t="s">
        <v>116</v>
      </c>
      <c r="H2211" s="22" t="s">
        <v>67</v>
      </c>
      <c r="I2211" s="22" t="s">
        <v>114</v>
      </c>
      <c r="J2211" s="23">
        <v>48</v>
      </c>
      <c r="K2211" s="37">
        <v>0</v>
      </c>
      <c r="L2211" s="37">
        <v>3</v>
      </c>
      <c r="M2211" s="22">
        <f>IF(OR(ISBLANK(C2211),C2211=""),"",ROUND((C2211-B2211)*24,2))</f>
        <v>21.87</v>
      </c>
      <c r="N2211" s="40" t="str">
        <f>IF(OR(ISBLANK(C2211),C2211="",M2211=""),"In Progress",IF(M2211&lt;=J2211,"Met","Breached"))</f>
        <v>Met</v>
      </c>
    </row>
    <row r="2212" ht="19" customHeight="1" spans="1:14" x14ac:dyDescent="0.25">
      <c r="A2212" s="19" t="s">
        <v>2326</v>
      </c>
      <c r="B2212" s="33">
        <v>45948.754166666666</v>
      </c>
      <c r="C2212" s="33">
        <v>45951.07916666666</v>
      </c>
      <c r="D2212" s="19" t="s">
        <v>36</v>
      </c>
      <c r="E2212" s="19" t="s">
        <v>69</v>
      </c>
      <c r="F2212" s="19" t="s">
        <v>34</v>
      </c>
      <c r="G2212" s="19" t="s">
        <v>110</v>
      </c>
      <c r="H2212" s="19" t="s">
        <v>59</v>
      </c>
      <c r="I2212" s="19" t="s">
        <v>123</v>
      </c>
      <c r="J2212" s="20">
        <v>120</v>
      </c>
      <c r="K2212" s="34">
        <v>0</v>
      </c>
      <c r="L2212" s="34">
        <v>1</v>
      </c>
      <c r="M2212" s="19">
        <f>IF(OR(ISBLANK(C2212),C2212=""),"",ROUND((C2212-B2212)*24,2))</f>
        <v>55.8</v>
      </c>
      <c r="N2212" s="35" t="str">
        <f>IF(OR(ISBLANK(C2212),C2212="",M2212=""),"In Progress",IF(M2212&lt;=J2212,"Met","Breached"))</f>
        <v>Met</v>
      </c>
    </row>
    <row r="2213" ht="19" customHeight="1" spans="1:14" x14ac:dyDescent="0.25">
      <c r="A2213" s="22" t="s">
        <v>2327</v>
      </c>
      <c r="B2213" s="36">
        <v>46150.50277777778</v>
      </c>
      <c r="C2213" s="36">
        <v>46153.31736111111</v>
      </c>
      <c r="D2213" s="22" t="s">
        <v>36</v>
      </c>
      <c r="E2213" s="22" t="s">
        <v>65</v>
      </c>
      <c r="F2213" s="22" t="s">
        <v>40</v>
      </c>
      <c r="G2213" s="22" t="s">
        <v>126</v>
      </c>
      <c r="H2213" s="22" t="s">
        <v>59</v>
      </c>
      <c r="I2213" s="22" t="s">
        <v>147</v>
      </c>
      <c r="J2213" s="23">
        <v>48</v>
      </c>
      <c r="K2213" s="37">
        <v>0</v>
      </c>
      <c r="M2213" s="22">
        <f>IF(OR(ISBLANK(C2213),C2213=""),"",ROUND((C2213-B2213)*24,2))</f>
        <v>67.55</v>
      </c>
      <c r="N2213" s="38" t="str">
        <f>IF(OR(ISBLANK(C2213),C2213="",M2213=""),"In Progress",IF(M2213&lt;=J2213,"Met","Breached"))</f>
        <v>Breached</v>
      </c>
    </row>
    <row r="2214" ht="19" customHeight="1" spans="1:14" x14ac:dyDescent="0.25">
      <c r="A2214" s="19" t="s">
        <v>2328</v>
      </c>
      <c r="B2214" s="33">
        <v>46028.17152777778</v>
      </c>
      <c r="C2214" s="33">
        <v>46029.72430555556</v>
      </c>
      <c r="D2214" s="19" t="s">
        <v>33</v>
      </c>
      <c r="E2214" s="19" t="s">
        <v>65</v>
      </c>
      <c r="F2214" s="19" t="s">
        <v>34</v>
      </c>
      <c r="G2214" s="19" t="s">
        <v>121</v>
      </c>
      <c r="H2214" s="19" t="s">
        <v>63</v>
      </c>
      <c r="I2214" s="19" t="s">
        <v>108</v>
      </c>
      <c r="J2214" s="20">
        <v>48</v>
      </c>
      <c r="K2214" s="34">
        <v>0</v>
      </c>
      <c r="L2214" s="34">
        <v>4</v>
      </c>
      <c r="M2214" s="19">
        <f>IF(OR(ISBLANK(C2214),C2214=""),"",ROUND((C2214-B2214)*24,2))</f>
        <v>37.27</v>
      </c>
      <c r="N2214" s="35" t="str">
        <f>IF(OR(ISBLANK(C2214),C2214="",M2214=""),"In Progress",IF(M2214&lt;=J2214,"Met","Breached"))</f>
        <v>Met</v>
      </c>
    </row>
    <row r="2215" ht="19" customHeight="1" spans="1:14" x14ac:dyDescent="0.25">
      <c r="A2215" s="22" t="s">
        <v>2329</v>
      </c>
      <c r="B2215" s="36">
        <v>46288.20763888889</v>
      </c>
      <c r="C2215" s="36">
        <v>46291.44375</v>
      </c>
      <c r="D2215" s="22" t="s">
        <v>33</v>
      </c>
      <c r="E2215" s="22" t="s">
        <v>65</v>
      </c>
      <c r="F2215" s="22" t="s">
        <v>37</v>
      </c>
      <c r="G2215" s="22" t="s">
        <v>63</v>
      </c>
      <c r="H2215" s="22" t="s">
        <v>59</v>
      </c>
      <c r="I2215" s="22" t="s">
        <v>111</v>
      </c>
      <c r="J2215" s="23">
        <v>48</v>
      </c>
      <c r="K2215" s="37">
        <v>0</v>
      </c>
      <c r="L2215" s="37">
        <v>5</v>
      </c>
      <c r="M2215" s="22">
        <f>IF(OR(ISBLANK(C2215),C2215=""),"",ROUND((C2215-B2215)*24,2))</f>
        <v>77.67</v>
      </c>
      <c r="N2215" s="38" t="str">
        <f>IF(OR(ISBLANK(C2215),C2215="",M2215=""),"In Progress",IF(M2215&lt;=J2215,"Met","Breached"))</f>
        <v>Breached</v>
      </c>
    </row>
    <row r="2216" ht="19" customHeight="1" spans="1:14" x14ac:dyDescent="0.25">
      <c r="A2216" s="19" t="s">
        <v>2330</v>
      </c>
      <c r="B2216" s="33">
        <v>46216.13055555556</v>
      </c>
      <c r="C2216" s="33">
        <v>46216.81319444445</v>
      </c>
      <c r="D2216" s="19" t="s">
        <v>33</v>
      </c>
      <c r="E2216" s="19" t="s">
        <v>65</v>
      </c>
      <c r="F2216" s="19" t="s">
        <v>37</v>
      </c>
      <c r="G2216" s="19" t="s">
        <v>113</v>
      </c>
      <c r="H2216" s="19" t="s">
        <v>67</v>
      </c>
      <c r="I2216" s="19" t="s">
        <v>123</v>
      </c>
      <c r="J2216" s="20">
        <v>48</v>
      </c>
      <c r="K2216" s="34">
        <v>1</v>
      </c>
      <c r="L2216" s="34">
        <v>2</v>
      </c>
      <c r="M2216" s="19">
        <f>IF(OR(ISBLANK(C2216),C2216=""),"",ROUND((C2216-B2216)*24,2))</f>
        <v>16.38</v>
      </c>
      <c r="N2216" s="35" t="str">
        <f>IF(OR(ISBLANK(C2216),C2216="",M2216=""),"In Progress",IF(M2216&lt;=J2216,"Met","Breached"))</f>
        <v>Met</v>
      </c>
    </row>
    <row r="2217" ht="19" customHeight="1" spans="1:14" x14ac:dyDescent="0.25">
      <c r="A2217" s="22" t="s">
        <v>2331</v>
      </c>
      <c r="B2217" s="36">
        <v>46188.021527777775</v>
      </c>
      <c r="D2217" s="22" t="s">
        <v>39</v>
      </c>
      <c r="E2217" s="22" t="s">
        <v>65</v>
      </c>
      <c r="F2217" s="22" t="s">
        <v>34</v>
      </c>
      <c r="G2217" s="22" t="s">
        <v>126</v>
      </c>
      <c r="H2217" s="22" t="s">
        <v>63</v>
      </c>
      <c r="I2217" s="22" t="s">
        <v>123</v>
      </c>
      <c r="J2217" s="23">
        <v>48</v>
      </c>
      <c r="K2217" s="37">
        <v>0</v>
      </c>
      <c r="M2217" s="22" t="str">
        <f>IF(OR(ISBLANK(C2217),C2217=""),"",ROUND((C2217-B2217)*24,2))</f>
        <v/>
      </c>
      <c r="N2217" s="22" t="str">
        <f>IF(OR(ISBLANK(C2217),C2217="",M2217=""),"In Progress",IF(M2217&lt;=J2217,"Met","Breached"))</f>
        <v>In Progress</v>
      </c>
    </row>
    <row r="2218" ht="19" customHeight="1" spans="1:14" x14ac:dyDescent="0.25">
      <c r="A2218" s="19" t="s">
        <v>2332</v>
      </c>
      <c r="B2218" s="33">
        <v>46261.40138888889</v>
      </c>
      <c r="C2218" s="33">
        <v>46264.742361111115</v>
      </c>
      <c r="D2218" s="19" t="s">
        <v>36</v>
      </c>
      <c r="E2218" s="19" t="s">
        <v>65</v>
      </c>
      <c r="F2218" s="19" t="s">
        <v>37</v>
      </c>
      <c r="G2218" s="19" t="s">
        <v>63</v>
      </c>
      <c r="H2218" s="19" t="s">
        <v>59</v>
      </c>
      <c r="I2218" s="19" t="s">
        <v>147</v>
      </c>
      <c r="J2218" s="20">
        <v>48</v>
      </c>
      <c r="K2218" s="34">
        <v>0</v>
      </c>
      <c r="M2218" s="19">
        <f>IF(OR(ISBLANK(C2218),C2218=""),"",ROUND((C2218-B2218)*24,2))</f>
        <v>80.18</v>
      </c>
      <c r="N2218" s="39" t="str">
        <f>IF(OR(ISBLANK(C2218),C2218="",M2218=""),"In Progress",IF(M2218&lt;=J2218,"Met","Breached"))</f>
        <v>Breached</v>
      </c>
    </row>
    <row r="2219" ht="19" customHeight="1" spans="1:14" x14ac:dyDescent="0.25">
      <c r="A2219" s="22" t="s">
        <v>2333</v>
      </c>
      <c r="B2219" s="36">
        <v>46230.67569444445</v>
      </c>
      <c r="C2219" s="36">
        <v>46231.74652777778</v>
      </c>
      <c r="D2219" s="22" t="s">
        <v>36</v>
      </c>
      <c r="E2219" s="22" t="s">
        <v>65</v>
      </c>
      <c r="F2219" s="22" t="s">
        <v>34</v>
      </c>
      <c r="G2219" s="22" t="s">
        <v>63</v>
      </c>
      <c r="H2219" s="22" t="s">
        <v>67</v>
      </c>
      <c r="I2219" s="22" t="s">
        <v>114</v>
      </c>
      <c r="J2219" s="23">
        <v>48</v>
      </c>
      <c r="K2219" s="37">
        <v>0</v>
      </c>
      <c r="M2219" s="22">
        <f>IF(OR(ISBLANK(C2219),C2219=""),"",ROUND((C2219-B2219)*24,2))</f>
        <v>25.7</v>
      </c>
      <c r="N2219" s="40" t="str">
        <f>IF(OR(ISBLANK(C2219),C2219="",M2219=""),"In Progress",IF(M2219&lt;=J2219,"Met","Breached"))</f>
        <v>Met</v>
      </c>
    </row>
    <row r="2220" ht="19" customHeight="1" spans="1:14" x14ac:dyDescent="0.25">
      <c r="A2220" s="19" t="s">
        <v>2334</v>
      </c>
      <c r="B2220" s="33">
        <v>46060.51736111111</v>
      </c>
      <c r="C2220" s="33">
        <v>46063.57291666667</v>
      </c>
      <c r="D2220" s="19" t="s">
        <v>33</v>
      </c>
      <c r="E2220" s="19" t="s">
        <v>65</v>
      </c>
      <c r="F2220" s="19" t="s">
        <v>34</v>
      </c>
      <c r="G2220" s="19" t="s">
        <v>121</v>
      </c>
      <c r="H2220" s="19" t="s">
        <v>59</v>
      </c>
      <c r="I2220" s="19" t="s">
        <v>117</v>
      </c>
      <c r="J2220" s="20">
        <v>48</v>
      </c>
      <c r="K2220" s="34">
        <v>0</v>
      </c>
      <c r="L2220" s="34">
        <v>2</v>
      </c>
      <c r="M2220" s="19">
        <f>IF(OR(ISBLANK(C2220),C2220=""),"",ROUND((C2220-B2220)*24,2))</f>
        <v>73.33</v>
      </c>
      <c r="N2220" s="39" t="str">
        <f>IF(OR(ISBLANK(C2220),C2220="",M2220=""),"In Progress",IF(M2220&lt;=J2220,"Met","Breached"))</f>
        <v>Breached</v>
      </c>
    </row>
    <row r="2221" ht="19" customHeight="1" spans="1:14" x14ac:dyDescent="0.25">
      <c r="A2221" s="22" t="s">
        <v>2335</v>
      </c>
      <c r="B2221" s="36">
        <v>45667.08333333333</v>
      </c>
      <c r="C2221" s="36">
        <v>45667.941666666666</v>
      </c>
      <c r="D2221" s="22" t="s">
        <v>33</v>
      </c>
      <c r="E2221" s="22" t="s">
        <v>61</v>
      </c>
      <c r="F2221" s="22" t="s">
        <v>37</v>
      </c>
      <c r="G2221" s="22" t="s">
        <v>63</v>
      </c>
      <c r="H2221" s="22" t="s">
        <v>59</v>
      </c>
      <c r="I2221" s="22" t="s">
        <v>147</v>
      </c>
      <c r="J2221" s="23">
        <v>12</v>
      </c>
      <c r="K2221" s="37">
        <v>0</v>
      </c>
      <c r="M2221" s="22">
        <f>IF(OR(ISBLANK(C2221),C2221=""),"",ROUND((C2221-B2221)*24,2))</f>
        <v>20.6</v>
      </c>
      <c r="N2221" s="38" t="str">
        <f>IF(OR(ISBLANK(C2221),C2221="",M2221=""),"In Progress",IF(M2221&lt;=J2221,"Met","Breached"))</f>
        <v>Breached</v>
      </c>
    </row>
    <row r="2222" ht="19" customHeight="1" spans="1:14" x14ac:dyDescent="0.25">
      <c r="A2222" s="19" t="s">
        <v>2336</v>
      </c>
      <c r="B2222" s="33">
        <v>45821.19861111111</v>
      </c>
      <c r="C2222" s="33">
        <v>45827.02638888889</v>
      </c>
      <c r="D2222" s="19" t="s">
        <v>36</v>
      </c>
      <c r="E2222" s="19" t="s">
        <v>69</v>
      </c>
      <c r="F2222" s="19" t="s">
        <v>40</v>
      </c>
      <c r="G2222" s="19" t="s">
        <v>121</v>
      </c>
      <c r="H2222" s="19" t="s">
        <v>63</v>
      </c>
      <c r="I2222" s="19" t="s">
        <v>123</v>
      </c>
      <c r="J2222" s="20">
        <v>120</v>
      </c>
      <c r="K2222" s="34">
        <v>0</v>
      </c>
      <c r="M2222" s="19">
        <f>IF(OR(ISBLANK(C2222),C2222=""),"",ROUND((C2222-B2222)*24,2))</f>
        <v>139.87</v>
      </c>
      <c r="N2222" s="39" t="str">
        <f>IF(OR(ISBLANK(C2222),C2222="",M2222=""),"In Progress",IF(M2222&lt;=J2222,"Met","Breached"))</f>
        <v>Breached</v>
      </c>
    </row>
    <row r="2223" ht="19" customHeight="1" spans="1:14" x14ac:dyDescent="0.25">
      <c r="A2223" s="22" t="s">
        <v>2337</v>
      </c>
      <c r="B2223" s="36">
        <v>45976.74444444444</v>
      </c>
      <c r="C2223" s="36">
        <v>45979.788194444445</v>
      </c>
      <c r="D2223" s="22" t="s">
        <v>36</v>
      </c>
      <c r="E2223" s="22" t="s">
        <v>65</v>
      </c>
      <c r="F2223" s="22" t="s">
        <v>45</v>
      </c>
      <c r="G2223" s="22" t="s">
        <v>110</v>
      </c>
      <c r="H2223" s="22" t="s">
        <v>59</v>
      </c>
      <c r="I2223" s="22" t="s">
        <v>123</v>
      </c>
      <c r="J2223" s="23">
        <v>48</v>
      </c>
      <c r="K2223" s="37">
        <v>0</v>
      </c>
      <c r="L2223" s="37">
        <v>2</v>
      </c>
      <c r="M2223" s="22">
        <f>IF(OR(ISBLANK(C2223),C2223=""),"",ROUND((C2223-B2223)*24,2))</f>
        <v>73.05</v>
      </c>
      <c r="N2223" s="38" t="str">
        <f>IF(OR(ISBLANK(C2223),C2223="",M2223=""),"In Progress",IF(M2223&lt;=J2223,"Met","Breached"))</f>
        <v>Breached</v>
      </c>
    </row>
    <row r="2224" ht="19" customHeight="1" spans="1:14" x14ac:dyDescent="0.25">
      <c r="A2224" s="19" t="s">
        <v>2338</v>
      </c>
      <c r="B2224" s="33">
        <v>46027.30694444444</v>
      </c>
      <c r="D2224" s="19" t="s">
        <v>39</v>
      </c>
      <c r="E2224" s="19" t="s">
        <v>61</v>
      </c>
      <c r="F2224" s="19" t="s">
        <v>45</v>
      </c>
      <c r="G2224" s="19" t="s">
        <v>63</v>
      </c>
      <c r="H2224" s="19" t="s">
        <v>59</v>
      </c>
      <c r="I2224" s="19" t="s">
        <v>117</v>
      </c>
      <c r="J2224" s="20">
        <v>12</v>
      </c>
      <c r="K2224" s="34">
        <v>0</v>
      </c>
      <c r="M2224" s="19" t="str">
        <f>IF(OR(ISBLANK(C2224),C2224=""),"",ROUND((C2224-B2224)*24,2))</f>
        <v/>
      </c>
      <c r="N2224" s="19" t="str">
        <f>IF(OR(ISBLANK(C2224),C2224="",M2224=""),"In Progress",IF(M2224&lt;=J2224,"Met","Breached"))</f>
        <v>In Progress</v>
      </c>
    </row>
    <row r="2225" ht="19" customHeight="1" spans="1:14" x14ac:dyDescent="0.25">
      <c r="A2225" s="22" t="s">
        <v>2339</v>
      </c>
      <c r="B2225" s="36">
        <v>46051.77986111111</v>
      </c>
      <c r="C2225" s="36">
        <v>46052.66736111111</v>
      </c>
      <c r="D2225" s="22" t="s">
        <v>33</v>
      </c>
      <c r="E2225" s="22" t="s">
        <v>61</v>
      </c>
      <c r="F2225" s="22" t="s">
        <v>37</v>
      </c>
      <c r="G2225" s="22" t="s">
        <v>110</v>
      </c>
      <c r="H2225" s="22" t="s">
        <v>71</v>
      </c>
      <c r="I2225" s="22" t="s">
        <v>117</v>
      </c>
      <c r="J2225" s="23">
        <v>12</v>
      </c>
      <c r="K2225" s="37">
        <v>0</v>
      </c>
      <c r="L2225" s="37">
        <v>1</v>
      </c>
      <c r="M2225" s="22">
        <f>IF(OR(ISBLANK(C2225),C2225=""),"",ROUND((C2225-B2225)*24,2))</f>
        <v>21.3</v>
      </c>
      <c r="N2225" s="38" t="str">
        <f>IF(OR(ISBLANK(C2225),C2225="",M2225=""),"In Progress",IF(M2225&lt;=J2225,"Met","Breached"))</f>
        <v>Breached</v>
      </c>
    </row>
    <row r="2226" ht="19" customHeight="1" spans="1:14" x14ac:dyDescent="0.25">
      <c r="A2226" s="19" t="s">
        <v>2340</v>
      </c>
      <c r="B2226" s="33">
        <v>46117.14166666666</v>
      </c>
      <c r="C2226" s="33">
        <v>46124.79305555555</v>
      </c>
      <c r="D2226" s="19" t="s">
        <v>36</v>
      </c>
      <c r="E2226" s="19" t="s">
        <v>69</v>
      </c>
      <c r="F2226" s="19" t="s">
        <v>43</v>
      </c>
      <c r="G2226" s="19" t="s">
        <v>63</v>
      </c>
      <c r="H2226" s="19" t="s">
        <v>63</v>
      </c>
      <c r="I2226" s="19" t="s">
        <v>108</v>
      </c>
      <c r="J2226" s="20">
        <v>120</v>
      </c>
      <c r="K2226" s="34">
        <v>0</v>
      </c>
      <c r="L2226" s="34">
        <v>4</v>
      </c>
      <c r="M2226" s="19">
        <f>IF(OR(ISBLANK(C2226),C2226=""),"",ROUND((C2226-B2226)*24,2))</f>
        <v>183.63</v>
      </c>
      <c r="N2226" s="39" t="str">
        <f>IF(OR(ISBLANK(C2226),C2226="",M2226=""),"In Progress",IF(M2226&lt;=J2226,"Met","Breached"))</f>
        <v>Breached</v>
      </c>
    </row>
    <row r="2227" ht="19" customHeight="1" spans="1:14" x14ac:dyDescent="0.25">
      <c r="A2227" s="22" t="s">
        <v>2341</v>
      </c>
      <c r="B2227" s="36">
        <v>46257.288888888885</v>
      </c>
      <c r="C2227" s="36">
        <v>46257.433333333334</v>
      </c>
      <c r="D2227" s="22" t="s">
        <v>33</v>
      </c>
      <c r="E2227" s="22" t="s">
        <v>57</v>
      </c>
      <c r="F2227" s="22" t="s">
        <v>37</v>
      </c>
      <c r="G2227" s="22" t="s">
        <v>63</v>
      </c>
      <c r="H2227" s="22" t="s">
        <v>71</v>
      </c>
      <c r="I2227" s="22" t="s">
        <v>123</v>
      </c>
      <c r="J2227" s="23">
        <v>4</v>
      </c>
      <c r="K2227" s="37">
        <v>0</v>
      </c>
      <c r="M2227" s="22">
        <f>IF(OR(ISBLANK(C2227),C2227=""),"",ROUND((C2227-B2227)*24,2))</f>
        <v>3.47</v>
      </c>
      <c r="N2227" s="40" t="str">
        <f>IF(OR(ISBLANK(C2227),C2227="",M2227=""),"In Progress",IF(M2227&lt;=J2227,"Met","Breached"))</f>
        <v>Met</v>
      </c>
    </row>
    <row r="2228" ht="19" customHeight="1" spans="1:14" x14ac:dyDescent="0.25">
      <c r="A2228" s="19" t="s">
        <v>2342</v>
      </c>
      <c r="B2228" s="33">
        <v>45774.93263888889</v>
      </c>
      <c r="C2228" s="33">
        <v>45782.81805555556</v>
      </c>
      <c r="D2228" s="19" t="s">
        <v>36</v>
      </c>
      <c r="E2228" s="19" t="s">
        <v>69</v>
      </c>
      <c r="F2228" s="19" t="s">
        <v>45</v>
      </c>
      <c r="G2228" s="19" t="s">
        <v>63</v>
      </c>
      <c r="H2228" s="19" t="s">
        <v>71</v>
      </c>
      <c r="I2228" s="19" t="s">
        <v>147</v>
      </c>
      <c r="J2228" s="20">
        <v>120</v>
      </c>
      <c r="K2228" s="34">
        <v>0</v>
      </c>
      <c r="L2228" s="34">
        <v>3</v>
      </c>
      <c r="M2228" s="19">
        <f>IF(OR(ISBLANK(C2228),C2228=""),"",ROUND((C2228-B2228)*24,2))</f>
        <v>189.25</v>
      </c>
      <c r="N2228" s="39" t="str">
        <f>IF(OR(ISBLANK(C2228),C2228="",M2228=""),"In Progress",IF(M2228&lt;=J2228,"Met","Breached"))</f>
        <v>Breached</v>
      </c>
    </row>
    <row r="2229" ht="19" customHeight="1" spans="1:14" x14ac:dyDescent="0.25">
      <c r="A2229" s="22" t="s">
        <v>2343</v>
      </c>
      <c r="B2229" s="36">
        <v>45741.44375</v>
      </c>
      <c r="C2229" s="36">
        <v>45744.52986111111</v>
      </c>
      <c r="D2229" s="22" t="s">
        <v>33</v>
      </c>
      <c r="E2229" s="22" t="s">
        <v>65</v>
      </c>
      <c r="F2229" s="22" t="s">
        <v>37</v>
      </c>
      <c r="G2229" s="22" t="s">
        <v>126</v>
      </c>
      <c r="H2229" s="22" t="s">
        <v>67</v>
      </c>
      <c r="I2229" s="22" t="s">
        <v>117</v>
      </c>
      <c r="J2229" s="23">
        <v>48</v>
      </c>
      <c r="K2229" s="37">
        <v>0</v>
      </c>
      <c r="M2229" s="22">
        <f>IF(OR(ISBLANK(C2229),C2229=""),"",ROUND((C2229-B2229)*24,2))</f>
        <v>74.07</v>
      </c>
      <c r="N2229" s="38" t="str">
        <f>IF(OR(ISBLANK(C2229),C2229="",M2229=""),"In Progress",IF(M2229&lt;=J2229,"Met","Breached"))</f>
        <v>Breached</v>
      </c>
    </row>
    <row r="2230" ht="19" customHeight="1" spans="1:14" x14ac:dyDescent="0.25">
      <c r="A2230" s="19" t="s">
        <v>2344</v>
      </c>
      <c r="B2230" s="33">
        <v>46228.35763888889</v>
      </c>
      <c r="C2230" s="33">
        <v>46230.11041666666</v>
      </c>
      <c r="D2230" s="19" t="s">
        <v>36</v>
      </c>
      <c r="E2230" s="19" t="s">
        <v>65</v>
      </c>
      <c r="F2230" s="19" t="s">
        <v>37</v>
      </c>
      <c r="G2230" s="19" t="s">
        <v>63</v>
      </c>
      <c r="H2230" s="19" t="s">
        <v>59</v>
      </c>
      <c r="I2230" s="19" t="s">
        <v>114</v>
      </c>
      <c r="J2230" s="20">
        <v>48</v>
      </c>
      <c r="K2230" s="34">
        <v>0</v>
      </c>
      <c r="L2230" s="34">
        <v>4</v>
      </c>
      <c r="M2230" s="19">
        <f>IF(OR(ISBLANK(C2230),C2230=""),"",ROUND((C2230-B2230)*24,2))</f>
        <v>42.07</v>
      </c>
      <c r="N2230" s="35" t="str">
        <f>IF(OR(ISBLANK(C2230),C2230="",M2230=""),"In Progress",IF(M2230&lt;=J2230,"Met","Breached"))</f>
        <v>Met</v>
      </c>
    </row>
    <row r="2231" ht="19" customHeight="1" spans="1:14" x14ac:dyDescent="0.25">
      <c r="A2231" s="22" t="s">
        <v>2345</v>
      </c>
      <c r="B2231" s="36">
        <v>45986.15</v>
      </c>
      <c r="C2231" s="36">
        <v>45992.16875</v>
      </c>
      <c r="D2231" s="22" t="s">
        <v>33</v>
      </c>
      <c r="E2231" s="22" t="s">
        <v>69</v>
      </c>
      <c r="F2231" s="22" t="s">
        <v>40</v>
      </c>
      <c r="G2231" s="22" t="s">
        <v>116</v>
      </c>
      <c r="H2231" s="22" t="s">
        <v>59</v>
      </c>
      <c r="I2231" s="22" t="s">
        <v>108</v>
      </c>
      <c r="J2231" s="23">
        <v>120</v>
      </c>
      <c r="K2231" s="37">
        <v>0</v>
      </c>
      <c r="M2231" s="22">
        <f>IF(OR(ISBLANK(C2231),C2231=""),"",ROUND((C2231-B2231)*24,2))</f>
        <v>144.45</v>
      </c>
      <c r="N2231" s="38" t="str">
        <f>IF(OR(ISBLANK(C2231),C2231="",M2231=""),"In Progress",IF(M2231&lt;=J2231,"Met","Breached"))</f>
        <v>Breached</v>
      </c>
    </row>
    <row r="2232" ht="19" customHeight="1" spans="1:14" x14ac:dyDescent="0.25">
      <c r="A2232" s="19" t="s">
        <v>2346</v>
      </c>
      <c r="B2232" s="33">
        <v>46032.17569444445</v>
      </c>
      <c r="C2232" s="33">
        <v>46034.36666666667</v>
      </c>
      <c r="D2232" s="19" t="s">
        <v>33</v>
      </c>
      <c r="E2232" s="19" t="s">
        <v>65</v>
      </c>
      <c r="F2232" s="19" t="s">
        <v>43</v>
      </c>
      <c r="G2232" s="19" t="s">
        <v>116</v>
      </c>
      <c r="H2232" s="19" t="s">
        <v>71</v>
      </c>
      <c r="I2232" s="19" t="s">
        <v>111</v>
      </c>
      <c r="J2232" s="20">
        <v>48</v>
      </c>
      <c r="K2232" s="34">
        <v>0</v>
      </c>
      <c r="L2232" s="34">
        <v>5</v>
      </c>
      <c r="M2232" s="19">
        <f>IF(OR(ISBLANK(C2232),C2232=""),"",ROUND((C2232-B2232)*24,2))</f>
        <v>52.58</v>
      </c>
      <c r="N2232" s="39" t="str">
        <f>IF(OR(ISBLANK(C2232),C2232="",M2232=""),"In Progress",IF(M2232&lt;=J2232,"Met","Breached"))</f>
        <v>Breached</v>
      </c>
    </row>
    <row r="2233" ht="19" customHeight="1" spans="1:14" x14ac:dyDescent="0.25">
      <c r="A2233" s="22" t="s">
        <v>2347</v>
      </c>
      <c r="B2233" s="36">
        <v>46198.84166666667</v>
      </c>
      <c r="C2233" s="36">
        <v>46201.38958333334</v>
      </c>
      <c r="D2233" s="22" t="s">
        <v>36</v>
      </c>
      <c r="E2233" s="22" t="s">
        <v>65</v>
      </c>
      <c r="F2233" s="22" t="s">
        <v>40</v>
      </c>
      <c r="G2233" s="22" t="s">
        <v>126</v>
      </c>
      <c r="H2233" s="22" t="s">
        <v>59</v>
      </c>
      <c r="I2233" s="22" t="s">
        <v>147</v>
      </c>
      <c r="J2233" s="23">
        <v>48</v>
      </c>
      <c r="K2233" s="37">
        <v>0</v>
      </c>
      <c r="L2233" s="37">
        <v>4</v>
      </c>
      <c r="M2233" s="22">
        <f>IF(OR(ISBLANK(C2233),C2233=""),"",ROUND((C2233-B2233)*24,2))</f>
        <v>61.15</v>
      </c>
      <c r="N2233" s="38" t="str">
        <f>IF(OR(ISBLANK(C2233),C2233="",M2233=""),"In Progress",IF(M2233&lt;=J2233,"Met","Breached"))</f>
        <v>Breached</v>
      </c>
    </row>
    <row r="2234" ht="19" customHeight="1" spans="1:14" x14ac:dyDescent="0.25">
      <c r="A2234" s="19" t="s">
        <v>2348</v>
      </c>
      <c r="B2234" s="33">
        <v>46003.955555555556</v>
      </c>
      <c r="D2234" s="19" t="s">
        <v>42</v>
      </c>
      <c r="E2234" s="19" t="s">
        <v>69</v>
      </c>
      <c r="F2234" s="19" t="s">
        <v>45</v>
      </c>
      <c r="G2234" s="19" t="s">
        <v>126</v>
      </c>
      <c r="H2234" s="19" t="s">
        <v>67</v>
      </c>
      <c r="I2234" s="19" t="s">
        <v>117</v>
      </c>
      <c r="J2234" s="20">
        <v>120</v>
      </c>
      <c r="K2234" s="34">
        <v>0</v>
      </c>
      <c r="M2234" s="19" t="str">
        <f>IF(OR(ISBLANK(C2234),C2234=""),"",ROUND((C2234-B2234)*24,2))</f>
        <v/>
      </c>
      <c r="N2234" s="19" t="str">
        <f>IF(OR(ISBLANK(C2234),C2234="",M2234=""),"In Progress",IF(M2234&lt;=J2234,"Met","Breached"))</f>
        <v>In Progress</v>
      </c>
    </row>
    <row r="2235" ht="19" customHeight="1" spans="1:14" x14ac:dyDescent="0.25">
      <c r="A2235" s="22" t="s">
        <v>2349</v>
      </c>
      <c r="B2235" s="36">
        <v>46044.59861111111</v>
      </c>
      <c r="C2235" s="36">
        <v>46045.27847222222</v>
      </c>
      <c r="D2235" s="22" t="s">
        <v>33</v>
      </c>
      <c r="E2235" s="22" t="s">
        <v>61</v>
      </c>
      <c r="F2235" s="22" t="s">
        <v>34</v>
      </c>
      <c r="G2235" s="22" t="s">
        <v>121</v>
      </c>
      <c r="H2235" s="22" t="s">
        <v>67</v>
      </c>
      <c r="I2235" s="22" t="s">
        <v>123</v>
      </c>
      <c r="J2235" s="23">
        <v>12</v>
      </c>
      <c r="K2235" s="37">
        <v>0</v>
      </c>
      <c r="M2235" s="22">
        <f>IF(OR(ISBLANK(C2235),C2235=""),"",ROUND((C2235-B2235)*24,2))</f>
        <v>16.32</v>
      </c>
      <c r="N2235" s="38" t="str">
        <f>IF(OR(ISBLANK(C2235),C2235="",M2235=""),"In Progress",IF(M2235&lt;=J2235,"Met","Breached"))</f>
        <v>Breached</v>
      </c>
    </row>
    <row r="2236" ht="19" customHeight="1" spans="1:14" x14ac:dyDescent="0.25">
      <c r="A2236" s="19" t="s">
        <v>2350</v>
      </c>
      <c r="B2236" s="33">
        <v>46101.45972222222</v>
      </c>
      <c r="C2236" s="33">
        <v>46102.95416666666</v>
      </c>
      <c r="D2236" s="19" t="s">
        <v>33</v>
      </c>
      <c r="E2236" s="19" t="s">
        <v>65</v>
      </c>
      <c r="F2236" s="19" t="s">
        <v>43</v>
      </c>
      <c r="G2236" s="19" t="s">
        <v>116</v>
      </c>
      <c r="H2236" s="19" t="s">
        <v>59</v>
      </c>
      <c r="I2236" s="19" t="s">
        <v>117</v>
      </c>
      <c r="J2236" s="20">
        <v>48</v>
      </c>
      <c r="K2236" s="34">
        <v>0</v>
      </c>
      <c r="L2236" s="34">
        <v>1</v>
      </c>
      <c r="M2236" s="19">
        <f>IF(OR(ISBLANK(C2236),C2236=""),"",ROUND((C2236-B2236)*24,2))</f>
        <v>35.87</v>
      </c>
      <c r="N2236" s="35" t="str">
        <f>IF(OR(ISBLANK(C2236),C2236="",M2236=""),"In Progress",IF(M2236&lt;=J2236,"Met","Breached"))</f>
        <v>Met</v>
      </c>
    </row>
    <row r="2237" ht="19" customHeight="1" spans="1:14" x14ac:dyDescent="0.25">
      <c r="A2237" s="22" t="s">
        <v>2351</v>
      </c>
      <c r="B2237" s="36">
        <v>45817.902083333334</v>
      </c>
      <c r="C2237" s="36">
        <v>45819.76458333334</v>
      </c>
      <c r="D2237" s="22" t="s">
        <v>36</v>
      </c>
      <c r="E2237" s="22" t="s">
        <v>65</v>
      </c>
      <c r="F2237" s="22" t="s">
        <v>34</v>
      </c>
      <c r="G2237" s="22" t="s">
        <v>121</v>
      </c>
      <c r="H2237" s="22" t="s">
        <v>63</v>
      </c>
      <c r="I2237" s="22" t="s">
        <v>108</v>
      </c>
      <c r="J2237" s="23">
        <v>48</v>
      </c>
      <c r="K2237" s="37">
        <v>0</v>
      </c>
      <c r="M2237" s="22">
        <f>IF(OR(ISBLANK(C2237),C2237=""),"",ROUND((C2237-B2237)*24,2))</f>
        <v>44.7</v>
      </c>
      <c r="N2237" s="40" t="str">
        <f>IF(OR(ISBLANK(C2237),C2237="",M2237=""),"In Progress",IF(M2237&lt;=J2237,"Met","Breached"))</f>
        <v>Met</v>
      </c>
    </row>
    <row r="2238" ht="19" customHeight="1" spans="1:14" x14ac:dyDescent="0.25">
      <c r="A2238" s="19" t="s">
        <v>2352</v>
      </c>
      <c r="B2238" s="33">
        <v>45973.53333333333</v>
      </c>
      <c r="C2238" s="33">
        <v>45973.586111111115</v>
      </c>
      <c r="D2238" s="19" t="s">
        <v>33</v>
      </c>
      <c r="E2238" s="19" t="s">
        <v>57</v>
      </c>
      <c r="F2238" s="19" t="s">
        <v>40</v>
      </c>
      <c r="G2238" s="19" t="s">
        <v>126</v>
      </c>
      <c r="H2238" s="19" t="s">
        <v>63</v>
      </c>
      <c r="I2238" s="19" t="s">
        <v>117</v>
      </c>
      <c r="J2238" s="20">
        <v>4</v>
      </c>
      <c r="K2238" s="34">
        <v>0</v>
      </c>
      <c r="M2238" s="19">
        <f>IF(OR(ISBLANK(C2238),C2238=""),"",ROUND((C2238-B2238)*24,2))</f>
        <v>1.27</v>
      </c>
      <c r="N2238" s="35" t="str">
        <f>IF(OR(ISBLANK(C2238),C2238="",M2238=""),"In Progress",IF(M2238&lt;=J2238,"Met","Breached"))</f>
        <v>Met</v>
      </c>
    </row>
    <row r="2239" ht="19" customHeight="1" spans="1:14" x14ac:dyDescent="0.25">
      <c r="A2239" s="22" t="s">
        <v>2353</v>
      </c>
      <c r="B2239" s="36">
        <v>45921.68888888889</v>
      </c>
      <c r="D2239" s="22" t="s">
        <v>39</v>
      </c>
      <c r="E2239" s="22" t="s">
        <v>61</v>
      </c>
      <c r="F2239" s="22" t="s">
        <v>45</v>
      </c>
      <c r="G2239" s="22" t="s">
        <v>110</v>
      </c>
      <c r="H2239" s="22" t="s">
        <v>59</v>
      </c>
      <c r="I2239" s="22" t="s">
        <v>111</v>
      </c>
      <c r="J2239" s="23">
        <v>12</v>
      </c>
      <c r="K2239" s="37">
        <v>0</v>
      </c>
      <c r="M2239" s="22" t="str">
        <f>IF(OR(ISBLANK(C2239),C2239=""),"",ROUND((C2239-B2239)*24,2))</f>
        <v/>
      </c>
      <c r="N2239" s="22" t="str">
        <f>IF(OR(ISBLANK(C2239),C2239="",M2239=""),"In Progress",IF(M2239&lt;=J2239,"Met","Breached"))</f>
        <v>In Progress</v>
      </c>
    </row>
    <row r="2240" ht="19" customHeight="1" spans="1:14" x14ac:dyDescent="0.25">
      <c r="A2240" s="19" t="s">
        <v>2354</v>
      </c>
      <c r="B2240" s="33">
        <v>45848.2125</v>
      </c>
      <c r="C2240" s="33">
        <v>45848.44375</v>
      </c>
      <c r="D2240" s="19" t="s">
        <v>36</v>
      </c>
      <c r="E2240" s="19" t="s">
        <v>61</v>
      </c>
      <c r="F2240" s="19" t="s">
        <v>40</v>
      </c>
      <c r="G2240" s="19" t="s">
        <v>113</v>
      </c>
      <c r="H2240" s="19" t="s">
        <v>59</v>
      </c>
      <c r="I2240" s="19" t="s">
        <v>117</v>
      </c>
      <c r="J2240" s="20">
        <v>12</v>
      </c>
      <c r="K2240" s="34">
        <v>0</v>
      </c>
      <c r="L2240" s="34">
        <v>2</v>
      </c>
      <c r="M2240" s="19">
        <f>IF(OR(ISBLANK(C2240),C2240=""),"",ROUND((C2240-B2240)*24,2))</f>
        <v>5.55</v>
      </c>
      <c r="N2240" s="35" t="str">
        <f>IF(OR(ISBLANK(C2240),C2240="",M2240=""),"In Progress",IF(M2240&lt;=J2240,"Met","Breached"))</f>
        <v>Met</v>
      </c>
    </row>
    <row r="2241" ht="19" customHeight="1" spans="1:14" x14ac:dyDescent="0.25">
      <c r="A2241" s="22" t="s">
        <v>2355</v>
      </c>
      <c r="B2241" s="36">
        <v>45813.63402777778</v>
      </c>
      <c r="D2241" s="22" t="s">
        <v>39</v>
      </c>
      <c r="E2241" s="22" t="s">
        <v>65</v>
      </c>
      <c r="F2241" s="22" t="s">
        <v>37</v>
      </c>
      <c r="G2241" s="22" t="s">
        <v>116</v>
      </c>
      <c r="H2241" s="22" t="s">
        <v>59</v>
      </c>
      <c r="I2241" s="22" t="s">
        <v>114</v>
      </c>
      <c r="J2241" s="23">
        <v>48</v>
      </c>
      <c r="K2241" s="37">
        <v>0</v>
      </c>
      <c r="M2241" s="22" t="str">
        <f>IF(OR(ISBLANK(C2241),C2241=""),"",ROUND((C2241-B2241)*24,2))</f>
        <v/>
      </c>
      <c r="N2241" s="22" t="str">
        <f>IF(OR(ISBLANK(C2241),C2241="",M2241=""),"In Progress",IF(M2241&lt;=J2241,"Met","Breached"))</f>
        <v>In Progress</v>
      </c>
    </row>
    <row r="2242" ht="19" customHeight="1" spans="1:14" x14ac:dyDescent="0.25">
      <c r="A2242" s="19" t="s">
        <v>2356</v>
      </c>
      <c r="B2242" s="33">
        <v>45823.48958333333</v>
      </c>
      <c r="D2242" s="19" t="s">
        <v>39</v>
      </c>
      <c r="E2242" s="19" t="s">
        <v>65</v>
      </c>
      <c r="F2242" s="19" t="s">
        <v>45</v>
      </c>
      <c r="G2242" s="19" t="s">
        <v>113</v>
      </c>
      <c r="H2242" s="19" t="s">
        <v>67</v>
      </c>
      <c r="I2242" s="19" t="s">
        <v>123</v>
      </c>
      <c r="J2242" s="20">
        <v>48</v>
      </c>
      <c r="K2242" s="34">
        <v>0</v>
      </c>
      <c r="M2242" s="19" t="str">
        <f>IF(OR(ISBLANK(C2242),C2242=""),"",ROUND((C2242-B2242)*24,2))</f>
        <v/>
      </c>
      <c r="N2242" s="19" t="str">
        <f>IF(OR(ISBLANK(C2242),C2242="",M2242=""),"In Progress",IF(M2242&lt;=J2242,"Met","Breached"))</f>
        <v>In Progress</v>
      </c>
    </row>
    <row r="2243" ht="19" customHeight="1" spans="1:14" x14ac:dyDescent="0.25">
      <c r="A2243" s="22" t="s">
        <v>2357</v>
      </c>
      <c r="B2243" s="36">
        <v>45687.58263888889</v>
      </c>
      <c r="C2243" s="36">
        <v>45692.504166666666</v>
      </c>
      <c r="D2243" s="22" t="s">
        <v>36</v>
      </c>
      <c r="E2243" s="22" t="s">
        <v>69</v>
      </c>
      <c r="F2243" s="22" t="s">
        <v>43</v>
      </c>
      <c r="G2243" s="22" t="s">
        <v>121</v>
      </c>
      <c r="H2243" s="22" t="s">
        <v>63</v>
      </c>
      <c r="I2243" s="22" t="s">
        <v>147</v>
      </c>
      <c r="J2243" s="23">
        <v>120</v>
      </c>
      <c r="K2243" s="37">
        <v>1</v>
      </c>
      <c r="M2243" s="22">
        <f>IF(OR(ISBLANK(C2243),C2243=""),"",ROUND((C2243-B2243)*24,2))</f>
        <v>118.12</v>
      </c>
      <c r="N2243" s="40" t="str">
        <f>IF(OR(ISBLANK(C2243),C2243="",M2243=""),"In Progress",IF(M2243&lt;=J2243,"Met","Breached"))</f>
        <v>Met</v>
      </c>
    </row>
    <row r="2244" ht="19" customHeight="1" spans="1:14" x14ac:dyDescent="0.25">
      <c r="A2244" s="19" t="s">
        <v>2358</v>
      </c>
      <c r="B2244" s="33">
        <v>46229.36666666667</v>
      </c>
      <c r="C2244" s="33">
        <v>46230.17916666667</v>
      </c>
      <c r="D2244" s="19" t="s">
        <v>33</v>
      </c>
      <c r="E2244" s="19" t="s">
        <v>65</v>
      </c>
      <c r="F2244" s="19" t="s">
        <v>37</v>
      </c>
      <c r="G2244" s="19" t="s">
        <v>121</v>
      </c>
      <c r="H2244" s="19" t="s">
        <v>59</v>
      </c>
      <c r="I2244" s="19" t="s">
        <v>111</v>
      </c>
      <c r="J2244" s="20">
        <v>48</v>
      </c>
      <c r="K2244" s="34">
        <v>0</v>
      </c>
      <c r="M2244" s="19">
        <f>IF(OR(ISBLANK(C2244),C2244=""),"",ROUND((C2244-B2244)*24,2))</f>
        <v>19.5</v>
      </c>
      <c r="N2244" s="35" t="str">
        <f>IF(OR(ISBLANK(C2244),C2244="",M2244=""),"In Progress",IF(M2244&lt;=J2244,"Met","Breached"))</f>
        <v>Met</v>
      </c>
    </row>
    <row r="2245" ht="19" customHeight="1" spans="1:14" x14ac:dyDescent="0.25">
      <c r="A2245" s="22" t="s">
        <v>2359</v>
      </c>
      <c r="B2245" s="36">
        <v>46005.59444444445</v>
      </c>
      <c r="D2245" s="22" t="s">
        <v>42</v>
      </c>
      <c r="E2245" s="22" t="s">
        <v>65</v>
      </c>
      <c r="F2245" s="22" t="s">
        <v>37</v>
      </c>
      <c r="G2245" s="22" t="s">
        <v>116</v>
      </c>
      <c r="H2245" s="22" t="s">
        <v>59</v>
      </c>
      <c r="I2245" s="22" t="s">
        <v>114</v>
      </c>
      <c r="J2245" s="23">
        <v>48</v>
      </c>
      <c r="K2245" s="37">
        <v>0</v>
      </c>
      <c r="M2245" s="22" t="str">
        <f>IF(OR(ISBLANK(C2245),C2245=""),"",ROUND((C2245-B2245)*24,2))</f>
        <v/>
      </c>
      <c r="N2245" s="22" t="str">
        <f>IF(OR(ISBLANK(C2245),C2245="",M2245=""),"In Progress",IF(M2245&lt;=J2245,"Met","Breached"))</f>
        <v>In Progress</v>
      </c>
    </row>
    <row r="2246" ht="19" customHeight="1" spans="1:14" x14ac:dyDescent="0.25">
      <c r="A2246" s="19" t="s">
        <v>2360</v>
      </c>
      <c r="B2246" s="33">
        <v>45683.02569444444</v>
      </c>
      <c r="C2246" s="33">
        <v>45685.71597222222</v>
      </c>
      <c r="D2246" s="19" t="s">
        <v>36</v>
      </c>
      <c r="E2246" s="19" t="s">
        <v>65</v>
      </c>
      <c r="F2246" s="19" t="s">
        <v>43</v>
      </c>
      <c r="G2246" s="19" t="s">
        <v>126</v>
      </c>
      <c r="H2246" s="19" t="s">
        <v>71</v>
      </c>
      <c r="I2246" s="19" t="s">
        <v>111</v>
      </c>
      <c r="J2246" s="20">
        <v>48</v>
      </c>
      <c r="K2246" s="34">
        <v>0</v>
      </c>
      <c r="L2246" s="34">
        <v>2</v>
      </c>
      <c r="M2246" s="19">
        <f>IF(OR(ISBLANK(C2246),C2246=""),"",ROUND((C2246-B2246)*24,2))</f>
        <v>64.57</v>
      </c>
      <c r="N2246" s="39" t="str">
        <f>IF(OR(ISBLANK(C2246),C2246="",M2246=""),"In Progress",IF(M2246&lt;=J2246,"Met","Breached"))</f>
        <v>Breached</v>
      </c>
    </row>
    <row r="2247" ht="19" customHeight="1" spans="1:14" x14ac:dyDescent="0.25">
      <c r="A2247" s="22" t="s">
        <v>2361</v>
      </c>
      <c r="B2247" s="36">
        <v>45971.56805555556</v>
      </c>
      <c r="D2247" s="22" t="s">
        <v>39</v>
      </c>
      <c r="E2247" s="22" t="s">
        <v>69</v>
      </c>
      <c r="F2247" s="22" t="s">
        <v>37</v>
      </c>
      <c r="G2247" s="22" t="s">
        <v>116</v>
      </c>
      <c r="H2247" s="22" t="s">
        <v>59</v>
      </c>
      <c r="I2247" s="22" t="s">
        <v>123</v>
      </c>
      <c r="J2247" s="23">
        <v>120</v>
      </c>
      <c r="K2247" s="37">
        <v>0</v>
      </c>
      <c r="M2247" s="22" t="str">
        <f>IF(OR(ISBLANK(C2247),C2247=""),"",ROUND((C2247-B2247)*24,2))</f>
        <v/>
      </c>
      <c r="N2247" s="22" t="str">
        <f>IF(OR(ISBLANK(C2247),C2247="",M2247=""),"In Progress",IF(M2247&lt;=J2247,"Met","Breached"))</f>
        <v>In Progress</v>
      </c>
    </row>
    <row r="2248" ht="19" customHeight="1" spans="1:14" x14ac:dyDescent="0.25">
      <c r="A2248" s="19" t="s">
        <v>2362</v>
      </c>
      <c r="B2248" s="33">
        <v>45960.21666666667</v>
      </c>
      <c r="C2248" s="33">
        <v>45962.93472222222</v>
      </c>
      <c r="D2248" s="19" t="s">
        <v>33</v>
      </c>
      <c r="E2248" s="19" t="s">
        <v>65</v>
      </c>
      <c r="F2248" s="19" t="s">
        <v>43</v>
      </c>
      <c r="G2248" s="19" t="s">
        <v>126</v>
      </c>
      <c r="H2248" s="19" t="s">
        <v>63</v>
      </c>
      <c r="I2248" s="19" t="s">
        <v>117</v>
      </c>
      <c r="J2248" s="20">
        <v>48</v>
      </c>
      <c r="K2248" s="34">
        <v>1</v>
      </c>
      <c r="L2248" s="34">
        <v>1</v>
      </c>
      <c r="M2248" s="19">
        <f>IF(OR(ISBLANK(C2248),C2248=""),"",ROUND((C2248-B2248)*24,2))</f>
        <v>65.23</v>
      </c>
      <c r="N2248" s="39" t="str">
        <f>IF(OR(ISBLANK(C2248),C2248="",M2248=""),"In Progress",IF(M2248&lt;=J2248,"Met","Breached"))</f>
        <v>Breached</v>
      </c>
    </row>
    <row r="2249" ht="19" customHeight="1" spans="1:14" x14ac:dyDescent="0.25">
      <c r="A2249" s="22" t="s">
        <v>2363</v>
      </c>
      <c r="B2249" s="36">
        <v>45735.12847222222</v>
      </c>
      <c r="C2249" s="36">
        <v>45739.790972222225</v>
      </c>
      <c r="D2249" s="22" t="s">
        <v>33</v>
      </c>
      <c r="E2249" s="22" t="s">
        <v>69</v>
      </c>
      <c r="F2249" s="22" t="s">
        <v>40</v>
      </c>
      <c r="G2249" s="22" t="s">
        <v>126</v>
      </c>
      <c r="H2249" s="22" t="s">
        <v>67</v>
      </c>
      <c r="I2249" s="22" t="s">
        <v>111</v>
      </c>
      <c r="J2249" s="23">
        <v>120</v>
      </c>
      <c r="K2249" s="37">
        <v>0</v>
      </c>
      <c r="M2249" s="22">
        <f>IF(OR(ISBLANK(C2249),C2249=""),"",ROUND((C2249-B2249)*24,2))</f>
        <v>111.9</v>
      </c>
      <c r="N2249" s="40" t="str">
        <f>IF(OR(ISBLANK(C2249),C2249="",M2249=""),"In Progress",IF(M2249&lt;=J2249,"Met","Breached"))</f>
        <v>Met</v>
      </c>
    </row>
    <row r="2250" ht="19" customHeight="1" spans="1:14" x14ac:dyDescent="0.25">
      <c r="A2250" s="19" t="s">
        <v>2364</v>
      </c>
      <c r="B2250" s="33">
        <v>45737.00902777778</v>
      </c>
      <c r="C2250" s="33">
        <v>45739.36875</v>
      </c>
      <c r="D2250" s="19" t="s">
        <v>33</v>
      </c>
      <c r="E2250" s="19" t="s">
        <v>65</v>
      </c>
      <c r="F2250" s="19" t="s">
        <v>45</v>
      </c>
      <c r="G2250" s="19" t="s">
        <v>110</v>
      </c>
      <c r="H2250" s="19" t="s">
        <v>67</v>
      </c>
      <c r="I2250" s="19" t="s">
        <v>111</v>
      </c>
      <c r="J2250" s="20">
        <v>48</v>
      </c>
      <c r="K2250" s="34">
        <v>0</v>
      </c>
      <c r="L2250" s="34">
        <v>5</v>
      </c>
      <c r="M2250" s="19">
        <f>IF(OR(ISBLANK(C2250),C2250=""),"",ROUND((C2250-B2250)*24,2))</f>
        <v>56.63</v>
      </c>
      <c r="N2250" s="39" t="str">
        <f>IF(OR(ISBLANK(C2250),C2250="",M2250=""),"In Progress",IF(M2250&lt;=J2250,"Met","Breached"))</f>
        <v>Breached</v>
      </c>
    </row>
    <row r="2251" ht="19" customHeight="1" spans="1:14" x14ac:dyDescent="0.25">
      <c r="A2251" s="22" t="s">
        <v>2365</v>
      </c>
      <c r="B2251" s="36">
        <v>46155.93680555555</v>
      </c>
      <c r="C2251" s="36">
        <v>46157.09583333333</v>
      </c>
      <c r="D2251" s="22" t="s">
        <v>33</v>
      </c>
      <c r="E2251" s="22" t="s">
        <v>65</v>
      </c>
      <c r="F2251" s="22" t="s">
        <v>40</v>
      </c>
      <c r="G2251" s="22" t="s">
        <v>63</v>
      </c>
      <c r="H2251" s="22" t="s">
        <v>63</v>
      </c>
      <c r="I2251" s="22" t="s">
        <v>117</v>
      </c>
      <c r="J2251" s="23">
        <v>48</v>
      </c>
      <c r="K2251" s="37">
        <v>0</v>
      </c>
      <c r="L2251" s="37">
        <v>3</v>
      </c>
      <c r="M2251" s="22">
        <f>IF(OR(ISBLANK(C2251),C2251=""),"",ROUND((C2251-B2251)*24,2))</f>
        <v>27.82</v>
      </c>
      <c r="N2251" s="40" t="str">
        <f>IF(OR(ISBLANK(C2251),C2251="",M2251=""),"In Progress",IF(M2251&lt;=J2251,"Met","Breached"))</f>
        <v>Met</v>
      </c>
    </row>
    <row r="2252" ht="19" customHeight="1" spans="1:14" x14ac:dyDescent="0.25">
      <c r="A2252" s="19" t="s">
        <v>2366</v>
      </c>
      <c r="B2252" s="33">
        <v>46126.23611111111</v>
      </c>
      <c r="C2252" s="33">
        <v>46128.40625</v>
      </c>
      <c r="D2252" s="19" t="s">
        <v>33</v>
      </c>
      <c r="E2252" s="19" t="s">
        <v>65</v>
      </c>
      <c r="F2252" s="19" t="s">
        <v>34</v>
      </c>
      <c r="G2252" s="19" t="s">
        <v>63</v>
      </c>
      <c r="H2252" s="19" t="s">
        <v>63</v>
      </c>
      <c r="I2252" s="19" t="s">
        <v>108</v>
      </c>
      <c r="J2252" s="20">
        <v>48</v>
      </c>
      <c r="K2252" s="34">
        <v>0</v>
      </c>
      <c r="L2252" s="34">
        <v>2</v>
      </c>
      <c r="M2252" s="19">
        <f>IF(OR(ISBLANK(C2252),C2252=""),"",ROUND((C2252-B2252)*24,2))</f>
        <v>52.08</v>
      </c>
      <c r="N2252" s="39" t="str">
        <f>IF(OR(ISBLANK(C2252),C2252="",M2252=""),"In Progress",IF(M2252&lt;=J2252,"Met","Breached"))</f>
        <v>Breached</v>
      </c>
    </row>
    <row r="2253" ht="19" customHeight="1" spans="1:14" x14ac:dyDescent="0.25">
      <c r="A2253" s="22" t="s">
        <v>2367</v>
      </c>
      <c r="B2253" s="36">
        <v>45970.95416666666</v>
      </c>
      <c r="C2253" s="36">
        <v>45971.23333333334</v>
      </c>
      <c r="D2253" s="22" t="s">
        <v>33</v>
      </c>
      <c r="E2253" s="22" t="s">
        <v>61</v>
      </c>
      <c r="F2253" s="22" t="s">
        <v>40</v>
      </c>
      <c r="G2253" s="22" t="s">
        <v>110</v>
      </c>
      <c r="H2253" s="22" t="s">
        <v>59</v>
      </c>
      <c r="I2253" s="22" t="s">
        <v>123</v>
      </c>
      <c r="J2253" s="23">
        <v>12</v>
      </c>
      <c r="K2253" s="37">
        <v>0</v>
      </c>
      <c r="L2253" s="37">
        <v>5</v>
      </c>
      <c r="M2253" s="22">
        <f>IF(OR(ISBLANK(C2253),C2253=""),"",ROUND((C2253-B2253)*24,2))</f>
        <v>6.7</v>
      </c>
      <c r="N2253" s="40" t="str">
        <f>IF(OR(ISBLANK(C2253),C2253="",M2253=""),"In Progress",IF(M2253&lt;=J2253,"Met","Breached"))</f>
        <v>Met</v>
      </c>
    </row>
    <row r="2254" ht="19" customHeight="1" spans="1:14" x14ac:dyDescent="0.25">
      <c r="A2254" s="19" t="s">
        <v>2368</v>
      </c>
      <c r="B2254" s="33">
        <v>45778.42708333333</v>
      </c>
      <c r="C2254" s="33">
        <v>45778.63888888889</v>
      </c>
      <c r="D2254" s="19" t="s">
        <v>36</v>
      </c>
      <c r="E2254" s="19" t="s">
        <v>57</v>
      </c>
      <c r="F2254" s="19" t="s">
        <v>45</v>
      </c>
      <c r="G2254" s="19" t="s">
        <v>116</v>
      </c>
      <c r="H2254" s="19" t="s">
        <v>59</v>
      </c>
      <c r="I2254" s="19" t="s">
        <v>108</v>
      </c>
      <c r="J2254" s="20">
        <v>4</v>
      </c>
      <c r="K2254" s="34">
        <v>0</v>
      </c>
      <c r="L2254" s="34">
        <v>3</v>
      </c>
      <c r="M2254" s="19">
        <f>IF(OR(ISBLANK(C2254),C2254=""),"",ROUND((C2254-B2254)*24,2))</f>
        <v>5.08</v>
      </c>
      <c r="N2254" s="39" t="str">
        <f>IF(OR(ISBLANK(C2254),C2254="",M2254=""),"In Progress",IF(M2254&lt;=J2254,"Met","Breached"))</f>
        <v>Breached</v>
      </c>
    </row>
    <row r="2255" ht="19" customHeight="1" spans="1:14" x14ac:dyDescent="0.25">
      <c r="A2255" s="22" t="s">
        <v>2369</v>
      </c>
      <c r="B2255" s="36">
        <v>46072.60972222222</v>
      </c>
      <c r="C2255" s="36">
        <v>46076.743055555555</v>
      </c>
      <c r="D2255" s="22" t="s">
        <v>33</v>
      </c>
      <c r="E2255" s="22" t="s">
        <v>69</v>
      </c>
      <c r="F2255" s="22" t="s">
        <v>45</v>
      </c>
      <c r="G2255" s="22" t="s">
        <v>121</v>
      </c>
      <c r="H2255" s="22" t="s">
        <v>67</v>
      </c>
      <c r="I2255" s="22" t="s">
        <v>111</v>
      </c>
      <c r="J2255" s="23">
        <v>120</v>
      </c>
      <c r="K2255" s="37">
        <v>0</v>
      </c>
      <c r="M2255" s="22">
        <f>IF(OR(ISBLANK(C2255),C2255=""),"",ROUND((C2255-B2255)*24,2))</f>
        <v>99.2</v>
      </c>
      <c r="N2255" s="40" t="str">
        <f>IF(OR(ISBLANK(C2255),C2255="",M2255=""),"In Progress",IF(M2255&lt;=J2255,"Met","Breached"))</f>
        <v>Met</v>
      </c>
    </row>
    <row r="2256" ht="19" customHeight="1" spans="1:14" x14ac:dyDescent="0.25">
      <c r="A2256" s="19" t="s">
        <v>2370</v>
      </c>
      <c r="B2256" s="33">
        <v>45702.84375</v>
      </c>
      <c r="C2256" s="33">
        <v>45703.96597222222</v>
      </c>
      <c r="D2256" s="19" t="s">
        <v>33</v>
      </c>
      <c r="E2256" s="19" t="s">
        <v>65</v>
      </c>
      <c r="F2256" s="19" t="s">
        <v>43</v>
      </c>
      <c r="G2256" s="19" t="s">
        <v>63</v>
      </c>
      <c r="H2256" s="19" t="s">
        <v>71</v>
      </c>
      <c r="I2256" s="19" t="s">
        <v>117</v>
      </c>
      <c r="J2256" s="20">
        <v>48</v>
      </c>
      <c r="K2256" s="34">
        <v>0</v>
      </c>
      <c r="L2256" s="34">
        <v>2</v>
      </c>
      <c r="M2256" s="19">
        <f>IF(OR(ISBLANK(C2256),C2256=""),"",ROUND((C2256-B2256)*24,2))</f>
        <v>26.93</v>
      </c>
      <c r="N2256" s="35" t="str">
        <f>IF(OR(ISBLANK(C2256),C2256="",M2256=""),"In Progress",IF(M2256&lt;=J2256,"Met","Breached"))</f>
        <v>Met</v>
      </c>
    </row>
    <row r="2257" ht="19" customHeight="1" spans="1:14" x14ac:dyDescent="0.25">
      <c r="A2257" s="22" t="s">
        <v>2371</v>
      </c>
      <c r="B2257" s="36">
        <v>45691.81736111111</v>
      </c>
      <c r="C2257" s="36">
        <v>45692.44027777778</v>
      </c>
      <c r="D2257" s="22" t="s">
        <v>33</v>
      </c>
      <c r="E2257" s="22" t="s">
        <v>61</v>
      </c>
      <c r="F2257" s="22" t="s">
        <v>34</v>
      </c>
      <c r="G2257" s="22" t="s">
        <v>113</v>
      </c>
      <c r="H2257" s="22" t="s">
        <v>71</v>
      </c>
      <c r="I2257" s="22" t="s">
        <v>108</v>
      </c>
      <c r="J2257" s="23">
        <v>12</v>
      </c>
      <c r="K2257" s="37">
        <v>0</v>
      </c>
      <c r="L2257" s="37">
        <v>3</v>
      </c>
      <c r="M2257" s="22">
        <f>IF(OR(ISBLANK(C2257),C2257=""),"",ROUND((C2257-B2257)*24,2))</f>
        <v>14.95</v>
      </c>
      <c r="N2257" s="38" t="str">
        <f>IF(OR(ISBLANK(C2257),C2257="",M2257=""),"In Progress",IF(M2257&lt;=J2257,"Met","Breached"))</f>
        <v>Breached</v>
      </c>
    </row>
    <row r="2258" ht="19" customHeight="1" spans="1:14" x14ac:dyDescent="0.25">
      <c r="A2258" s="19" t="s">
        <v>2372</v>
      </c>
      <c r="B2258" s="33">
        <v>46072.06388888889</v>
      </c>
      <c r="C2258" s="33">
        <v>46075.475</v>
      </c>
      <c r="D2258" s="19" t="s">
        <v>33</v>
      </c>
      <c r="E2258" s="19" t="s">
        <v>65</v>
      </c>
      <c r="F2258" s="19" t="s">
        <v>37</v>
      </c>
      <c r="G2258" s="19" t="s">
        <v>113</v>
      </c>
      <c r="H2258" s="19" t="s">
        <v>59</v>
      </c>
      <c r="I2258" s="19" t="s">
        <v>147</v>
      </c>
      <c r="J2258" s="20">
        <v>48</v>
      </c>
      <c r="K2258" s="34">
        <v>0</v>
      </c>
      <c r="L2258" s="34">
        <v>2</v>
      </c>
      <c r="M2258" s="19">
        <f>IF(OR(ISBLANK(C2258),C2258=""),"",ROUND((C2258-B2258)*24,2))</f>
        <v>81.87</v>
      </c>
      <c r="N2258" s="39" t="str">
        <f>IF(OR(ISBLANK(C2258),C2258="",M2258=""),"In Progress",IF(M2258&lt;=J2258,"Met","Breached"))</f>
        <v>Breached</v>
      </c>
    </row>
    <row r="2259" ht="19" customHeight="1" spans="1:14" x14ac:dyDescent="0.25">
      <c r="A2259" s="22" t="s">
        <v>2373</v>
      </c>
      <c r="B2259" s="36">
        <v>45794.25</v>
      </c>
      <c r="C2259" s="36">
        <v>45795.54722222222</v>
      </c>
      <c r="D2259" s="22" t="s">
        <v>36</v>
      </c>
      <c r="E2259" s="22" t="s">
        <v>65</v>
      </c>
      <c r="F2259" s="22" t="s">
        <v>34</v>
      </c>
      <c r="G2259" s="22" t="s">
        <v>110</v>
      </c>
      <c r="H2259" s="22" t="s">
        <v>59</v>
      </c>
      <c r="I2259" s="22" t="s">
        <v>117</v>
      </c>
      <c r="J2259" s="23">
        <v>48</v>
      </c>
      <c r="K2259" s="37">
        <v>0</v>
      </c>
      <c r="L2259" s="37">
        <v>3</v>
      </c>
      <c r="M2259" s="22">
        <f>IF(OR(ISBLANK(C2259),C2259=""),"",ROUND((C2259-B2259)*24,2))</f>
        <v>31.13</v>
      </c>
      <c r="N2259" s="40" t="str">
        <f>IF(OR(ISBLANK(C2259),C2259="",M2259=""),"In Progress",IF(M2259&lt;=J2259,"Met","Breached"))</f>
        <v>Met</v>
      </c>
    </row>
    <row r="2260" ht="19" customHeight="1" spans="1:14" x14ac:dyDescent="0.25">
      <c r="A2260" s="19" t="s">
        <v>2374</v>
      </c>
      <c r="B2260" s="33">
        <v>46103.72777777778</v>
      </c>
      <c r="D2260" s="19" t="s">
        <v>39</v>
      </c>
      <c r="E2260" s="19" t="s">
        <v>61</v>
      </c>
      <c r="F2260" s="19" t="s">
        <v>37</v>
      </c>
      <c r="G2260" s="19" t="s">
        <v>116</v>
      </c>
      <c r="H2260" s="19" t="s">
        <v>59</v>
      </c>
      <c r="I2260" s="19" t="s">
        <v>117</v>
      </c>
      <c r="J2260" s="20">
        <v>12</v>
      </c>
      <c r="K2260" s="34">
        <v>0</v>
      </c>
      <c r="M2260" s="19" t="str">
        <f>IF(OR(ISBLANK(C2260),C2260=""),"",ROUND((C2260-B2260)*24,2))</f>
        <v/>
      </c>
      <c r="N2260" s="19" t="str">
        <f>IF(OR(ISBLANK(C2260),C2260="",M2260=""),"In Progress",IF(M2260&lt;=J2260,"Met","Breached"))</f>
        <v>In Progress</v>
      </c>
    </row>
    <row r="2261" ht="19" customHeight="1" spans="1:14" x14ac:dyDescent="0.25">
      <c r="A2261" s="22" t="s">
        <v>2375</v>
      </c>
      <c r="B2261" s="36">
        <v>46041.47777777778</v>
      </c>
      <c r="C2261" s="36">
        <v>46046.40694444445</v>
      </c>
      <c r="D2261" s="22" t="s">
        <v>36</v>
      </c>
      <c r="E2261" s="22" t="s">
        <v>69</v>
      </c>
      <c r="F2261" s="22" t="s">
        <v>45</v>
      </c>
      <c r="G2261" s="22" t="s">
        <v>63</v>
      </c>
      <c r="H2261" s="22" t="s">
        <v>59</v>
      </c>
      <c r="I2261" s="22" t="s">
        <v>123</v>
      </c>
      <c r="J2261" s="23">
        <v>120</v>
      </c>
      <c r="K2261" s="37">
        <v>0</v>
      </c>
      <c r="L2261" s="37">
        <v>2</v>
      </c>
      <c r="M2261" s="22">
        <f>IF(OR(ISBLANK(C2261),C2261=""),"",ROUND((C2261-B2261)*24,2))</f>
        <v>118.3</v>
      </c>
      <c r="N2261" s="40" t="str">
        <f>IF(OR(ISBLANK(C2261),C2261="",M2261=""),"In Progress",IF(M2261&lt;=J2261,"Met","Breached"))</f>
        <v>Met</v>
      </c>
    </row>
    <row r="2262" ht="19" customHeight="1" spans="1:14" x14ac:dyDescent="0.25">
      <c r="A2262" s="19" t="s">
        <v>2376</v>
      </c>
      <c r="B2262" s="33">
        <v>45681.433333333334</v>
      </c>
      <c r="C2262" s="33">
        <v>45685.89583333333</v>
      </c>
      <c r="D2262" s="19" t="s">
        <v>33</v>
      </c>
      <c r="E2262" s="19" t="s">
        <v>69</v>
      </c>
      <c r="F2262" s="19" t="s">
        <v>43</v>
      </c>
      <c r="G2262" s="19" t="s">
        <v>63</v>
      </c>
      <c r="H2262" s="19" t="s">
        <v>71</v>
      </c>
      <c r="I2262" s="19" t="s">
        <v>114</v>
      </c>
      <c r="J2262" s="20">
        <v>120</v>
      </c>
      <c r="K2262" s="34">
        <v>0</v>
      </c>
      <c r="L2262" s="34">
        <v>3</v>
      </c>
      <c r="M2262" s="19">
        <f>IF(OR(ISBLANK(C2262),C2262=""),"",ROUND((C2262-B2262)*24,2))</f>
        <v>107.1</v>
      </c>
      <c r="N2262" s="35" t="str">
        <f>IF(OR(ISBLANK(C2262),C2262="",M2262=""),"In Progress",IF(M2262&lt;=J2262,"Met","Breached"))</f>
        <v>Met</v>
      </c>
    </row>
    <row r="2263" ht="19" customHeight="1" spans="1:14" x14ac:dyDescent="0.25">
      <c r="A2263" s="22" t="s">
        <v>2377</v>
      </c>
      <c r="B2263" s="36">
        <v>46124.48958333333</v>
      </c>
      <c r="D2263" s="22" t="s">
        <v>39</v>
      </c>
      <c r="E2263" s="22" t="s">
        <v>65</v>
      </c>
      <c r="F2263" s="22" t="s">
        <v>43</v>
      </c>
      <c r="G2263" s="22" t="s">
        <v>110</v>
      </c>
      <c r="H2263" s="22" t="s">
        <v>59</v>
      </c>
      <c r="I2263" s="22" t="s">
        <v>111</v>
      </c>
      <c r="J2263" s="23">
        <v>48</v>
      </c>
      <c r="K2263" s="37">
        <v>0</v>
      </c>
      <c r="M2263" s="22" t="str">
        <f>IF(OR(ISBLANK(C2263),C2263=""),"",ROUND((C2263-B2263)*24,2))</f>
        <v/>
      </c>
      <c r="N2263" s="22" t="str">
        <f>IF(OR(ISBLANK(C2263),C2263="",M2263=""),"In Progress",IF(M2263&lt;=J2263,"Met","Breached"))</f>
        <v>In Progress</v>
      </c>
    </row>
    <row r="2264" ht="19" customHeight="1" spans="1:14" x14ac:dyDescent="0.25">
      <c r="A2264" s="19" t="s">
        <v>2378</v>
      </c>
      <c r="B2264" s="33">
        <v>45876.12847222222</v>
      </c>
      <c r="C2264" s="33">
        <v>45876.413888888885</v>
      </c>
      <c r="D2264" s="19" t="s">
        <v>36</v>
      </c>
      <c r="E2264" s="19" t="s">
        <v>57</v>
      </c>
      <c r="F2264" s="19" t="s">
        <v>34</v>
      </c>
      <c r="G2264" s="19" t="s">
        <v>116</v>
      </c>
      <c r="H2264" s="19" t="s">
        <v>59</v>
      </c>
      <c r="I2264" s="19" t="s">
        <v>111</v>
      </c>
      <c r="J2264" s="20">
        <v>4</v>
      </c>
      <c r="K2264" s="34">
        <v>0</v>
      </c>
      <c r="L2264" s="34">
        <v>4</v>
      </c>
      <c r="M2264" s="19">
        <f>IF(OR(ISBLANK(C2264),C2264=""),"",ROUND((C2264-B2264)*24,2))</f>
        <v>6.85</v>
      </c>
      <c r="N2264" s="39" t="str">
        <f>IF(OR(ISBLANK(C2264),C2264="",M2264=""),"In Progress",IF(M2264&lt;=J2264,"Met","Breached"))</f>
        <v>Breached</v>
      </c>
    </row>
    <row r="2265" ht="19" customHeight="1" spans="1:14" x14ac:dyDescent="0.25">
      <c r="A2265" s="22" t="s">
        <v>2379</v>
      </c>
      <c r="B2265" s="36">
        <v>46010.67361111111</v>
      </c>
      <c r="C2265" s="36">
        <v>46017.29861111111</v>
      </c>
      <c r="D2265" s="22" t="s">
        <v>33</v>
      </c>
      <c r="E2265" s="22" t="s">
        <v>69</v>
      </c>
      <c r="F2265" s="22" t="s">
        <v>40</v>
      </c>
      <c r="G2265" s="22" t="s">
        <v>116</v>
      </c>
      <c r="H2265" s="22" t="s">
        <v>71</v>
      </c>
      <c r="I2265" s="22" t="s">
        <v>147</v>
      </c>
      <c r="J2265" s="23">
        <v>120</v>
      </c>
      <c r="K2265" s="37">
        <v>0</v>
      </c>
      <c r="L2265" s="37">
        <v>4</v>
      </c>
      <c r="M2265" s="22">
        <f>IF(OR(ISBLANK(C2265),C2265=""),"",ROUND((C2265-B2265)*24,2))</f>
        <v>159</v>
      </c>
      <c r="N2265" s="38" t="str">
        <f>IF(OR(ISBLANK(C2265),C2265="",M2265=""),"In Progress",IF(M2265&lt;=J2265,"Met","Breached"))</f>
        <v>Breached</v>
      </c>
    </row>
    <row r="2266" ht="19" customHeight="1" spans="1:14" x14ac:dyDescent="0.25">
      <c r="A2266" s="19" t="s">
        <v>2380</v>
      </c>
      <c r="B2266" s="33">
        <v>46138.96041666667</v>
      </c>
      <c r="C2266" s="33">
        <v>46142.43263888889</v>
      </c>
      <c r="D2266" s="19" t="s">
        <v>33</v>
      </c>
      <c r="E2266" s="19" t="s">
        <v>65</v>
      </c>
      <c r="F2266" s="19" t="s">
        <v>34</v>
      </c>
      <c r="G2266" s="19" t="s">
        <v>121</v>
      </c>
      <c r="H2266" s="19" t="s">
        <v>59</v>
      </c>
      <c r="I2266" s="19" t="s">
        <v>117</v>
      </c>
      <c r="J2266" s="20">
        <v>48</v>
      </c>
      <c r="K2266" s="34">
        <v>0</v>
      </c>
      <c r="L2266" s="34">
        <v>3</v>
      </c>
      <c r="M2266" s="19">
        <f>IF(OR(ISBLANK(C2266),C2266=""),"",ROUND((C2266-B2266)*24,2))</f>
        <v>83.33</v>
      </c>
      <c r="N2266" s="39" t="str">
        <f>IF(OR(ISBLANK(C2266),C2266="",M2266=""),"In Progress",IF(M2266&lt;=J2266,"Met","Breached"))</f>
        <v>Breached</v>
      </c>
    </row>
    <row r="2267" ht="19" customHeight="1" spans="1:14" x14ac:dyDescent="0.25">
      <c r="A2267" s="22" t="s">
        <v>2381</v>
      </c>
      <c r="B2267" s="36">
        <v>45684.52291666667</v>
      </c>
      <c r="C2267" s="36">
        <v>45685.825694444444</v>
      </c>
      <c r="D2267" s="22" t="s">
        <v>33</v>
      </c>
      <c r="E2267" s="22" t="s">
        <v>65</v>
      </c>
      <c r="F2267" s="22" t="s">
        <v>37</v>
      </c>
      <c r="G2267" s="22" t="s">
        <v>116</v>
      </c>
      <c r="H2267" s="22" t="s">
        <v>67</v>
      </c>
      <c r="I2267" s="22" t="s">
        <v>108</v>
      </c>
      <c r="J2267" s="23">
        <v>48</v>
      </c>
      <c r="K2267" s="37">
        <v>0</v>
      </c>
      <c r="L2267" s="37">
        <v>4</v>
      </c>
      <c r="M2267" s="22">
        <f>IF(OR(ISBLANK(C2267),C2267=""),"",ROUND((C2267-B2267)*24,2))</f>
        <v>31.27</v>
      </c>
      <c r="N2267" s="40" t="str">
        <f>IF(OR(ISBLANK(C2267),C2267="",M2267=""),"In Progress",IF(M2267&lt;=J2267,"Met","Breached"))</f>
        <v>Met</v>
      </c>
    </row>
    <row r="2268" ht="19" customHeight="1" spans="1:14" x14ac:dyDescent="0.25">
      <c r="A2268" s="19" t="s">
        <v>2382</v>
      </c>
      <c r="B2268" s="33">
        <v>46010.75833333333</v>
      </c>
      <c r="C2268" s="33">
        <v>46014.95277777778</v>
      </c>
      <c r="D2268" s="19" t="s">
        <v>33</v>
      </c>
      <c r="E2268" s="19" t="s">
        <v>69</v>
      </c>
      <c r="F2268" s="19" t="s">
        <v>40</v>
      </c>
      <c r="G2268" s="19" t="s">
        <v>113</v>
      </c>
      <c r="H2268" s="19" t="s">
        <v>59</v>
      </c>
      <c r="I2268" s="19" t="s">
        <v>147</v>
      </c>
      <c r="J2268" s="20">
        <v>120</v>
      </c>
      <c r="K2268" s="34">
        <v>0</v>
      </c>
      <c r="M2268" s="19">
        <f>IF(OR(ISBLANK(C2268),C2268=""),"",ROUND((C2268-B2268)*24,2))</f>
        <v>100.67</v>
      </c>
      <c r="N2268" s="35" t="str">
        <f>IF(OR(ISBLANK(C2268),C2268="",M2268=""),"In Progress",IF(M2268&lt;=J2268,"Met","Breached"))</f>
        <v>Met</v>
      </c>
    </row>
    <row r="2269" ht="19" customHeight="1" spans="1:14" x14ac:dyDescent="0.25">
      <c r="A2269" s="22" t="s">
        <v>2383</v>
      </c>
      <c r="B2269" s="36">
        <v>46081.290972222225</v>
      </c>
      <c r="C2269" s="36">
        <v>46085.61458333333</v>
      </c>
      <c r="D2269" s="22" t="s">
        <v>33</v>
      </c>
      <c r="E2269" s="22" t="s">
        <v>69</v>
      </c>
      <c r="F2269" s="22" t="s">
        <v>37</v>
      </c>
      <c r="G2269" s="22" t="s">
        <v>116</v>
      </c>
      <c r="H2269" s="22" t="s">
        <v>59</v>
      </c>
      <c r="I2269" s="22" t="s">
        <v>114</v>
      </c>
      <c r="J2269" s="23">
        <v>120</v>
      </c>
      <c r="K2269" s="37">
        <v>0</v>
      </c>
      <c r="L2269" s="37">
        <v>5</v>
      </c>
      <c r="M2269" s="22">
        <f>IF(OR(ISBLANK(C2269),C2269=""),"",ROUND((C2269-B2269)*24,2))</f>
        <v>103.77</v>
      </c>
      <c r="N2269" s="40" t="str">
        <f>IF(OR(ISBLANK(C2269),C2269="",M2269=""),"In Progress",IF(M2269&lt;=J2269,"Met","Breached"))</f>
        <v>Met</v>
      </c>
    </row>
    <row r="2270" ht="19" customHeight="1" spans="1:14" x14ac:dyDescent="0.25">
      <c r="A2270" s="19" t="s">
        <v>2384</v>
      </c>
      <c r="B2270" s="33">
        <v>46039.41458333333</v>
      </c>
      <c r="C2270" s="33">
        <v>46040.513194444444</v>
      </c>
      <c r="D2270" s="19" t="s">
        <v>33</v>
      </c>
      <c r="E2270" s="19" t="s">
        <v>65</v>
      </c>
      <c r="F2270" s="19" t="s">
        <v>43</v>
      </c>
      <c r="G2270" s="19" t="s">
        <v>113</v>
      </c>
      <c r="H2270" s="19" t="s">
        <v>59</v>
      </c>
      <c r="I2270" s="19" t="s">
        <v>117</v>
      </c>
      <c r="J2270" s="20">
        <v>48</v>
      </c>
      <c r="K2270" s="34">
        <v>1</v>
      </c>
      <c r="L2270" s="34">
        <v>2</v>
      </c>
      <c r="M2270" s="19">
        <f>IF(OR(ISBLANK(C2270),C2270=""),"",ROUND((C2270-B2270)*24,2))</f>
        <v>26.37</v>
      </c>
      <c r="N2270" s="35" t="str">
        <f>IF(OR(ISBLANK(C2270),C2270="",M2270=""),"In Progress",IF(M2270&lt;=J2270,"Met","Breached"))</f>
        <v>Met</v>
      </c>
    </row>
    <row r="2271" ht="19" customHeight="1" spans="1:14" x14ac:dyDescent="0.25">
      <c r="A2271" s="22" t="s">
        <v>2385</v>
      </c>
      <c r="B2271" s="36">
        <v>45895.56180555555</v>
      </c>
      <c r="C2271" s="36">
        <v>45897.73958333333</v>
      </c>
      <c r="D2271" s="22" t="s">
        <v>33</v>
      </c>
      <c r="E2271" s="22" t="s">
        <v>65</v>
      </c>
      <c r="F2271" s="22" t="s">
        <v>43</v>
      </c>
      <c r="G2271" s="22" t="s">
        <v>121</v>
      </c>
      <c r="H2271" s="22" t="s">
        <v>59</v>
      </c>
      <c r="I2271" s="22" t="s">
        <v>111</v>
      </c>
      <c r="J2271" s="23">
        <v>48</v>
      </c>
      <c r="K2271" s="37">
        <v>0</v>
      </c>
      <c r="M2271" s="22">
        <f>IF(OR(ISBLANK(C2271),C2271=""),"",ROUND((C2271-B2271)*24,2))</f>
        <v>52.27</v>
      </c>
      <c r="N2271" s="38" t="str">
        <f>IF(OR(ISBLANK(C2271),C2271="",M2271=""),"In Progress",IF(M2271&lt;=J2271,"Met","Breached"))</f>
        <v>Breached</v>
      </c>
    </row>
    <row r="2272" ht="19" customHeight="1" spans="1:14" x14ac:dyDescent="0.25">
      <c r="A2272" s="19" t="s">
        <v>2386</v>
      </c>
      <c r="B2272" s="33">
        <v>45703.05</v>
      </c>
      <c r="C2272" s="33">
        <v>45712.02916666667</v>
      </c>
      <c r="D2272" s="19" t="s">
        <v>33</v>
      </c>
      <c r="E2272" s="19" t="s">
        <v>69</v>
      </c>
      <c r="F2272" s="19" t="s">
        <v>34</v>
      </c>
      <c r="G2272" s="19" t="s">
        <v>126</v>
      </c>
      <c r="H2272" s="19" t="s">
        <v>63</v>
      </c>
      <c r="I2272" s="19" t="s">
        <v>147</v>
      </c>
      <c r="J2272" s="20">
        <v>120</v>
      </c>
      <c r="K2272" s="34">
        <v>0</v>
      </c>
      <c r="L2272" s="34">
        <v>1</v>
      </c>
      <c r="M2272" s="19">
        <f>IF(OR(ISBLANK(C2272),C2272=""),"",ROUND((C2272-B2272)*24,2))</f>
        <v>215.5</v>
      </c>
      <c r="N2272" s="39" t="str">
        <f>IF(OR(ISBLANK(C2272),C2272="",M2272=""),"In Progress",IF(M2272&lt;=J2272,"Met","Breached"))</f>
        <v>Breached</v>
      </c>
    </row>
    <row r="2273" ht="19" customHeight="1" spans="1:14" x14ac:dyDescent="0.25">
      <c r="A2273" s="22" t="s">
        <v>2387</v>
      </c>
      <c r="B2273" s="36">
        <v>46244.77291666667</v>
      </c>
      <c r="C2273" s="36">
        <v>46245.785416666666</v>
      </c>
      <c r="D2273" s="22" t="s">
        <v>33</v>
      </c>
      <c r="E2273" s="22" t="s">
        <v>65</v>
      </c>
      <c r="F2273" s="22" t="s">
        <v>37</v>
      </c>
      <c r="G2273" s="22" t="s">
        <v>63</v>
      </c>
      <c r="H2273" s="22" t="s">
        <v>63</v>
      </c>
      <c r="I2273" s="22" t="s">
        <v>117</v>
      </c>
      <c r="J2273" s="23">
        <v>48</v>
      </c>
      <c r="K2273" s="37">
        <v>0</v>
      </c>
      <c r="L2273" s="37">
        <v>2</v>
      </c>
      <c r="M2273" s="22">
        <f>IF(OR(ISBLANK(C2273),C2273=""),"",ROUND((C2273-B2273)*24,2))</f>
        <v>24.3</v>
      </c>
      <c r="N2273" s="40" t="str">
        <f>IF(OR(ISBLANK(C2273),C2273="",M2273=""),"In Progress",IF(M2273&lt;=J2273,"Met","Breached"))</f>
        <v>Met</v>
      </c>
    </row>
    <row r="2274" ht="19" customHeight="1" spans="1:14" x14ac:dyDescent="0.25">
      <c r="A2274" s="19" t="s">
        <v>2388</v>
      </c>
      <c r="B2274" s="33">
        <v>45962.05347222222</v>
      </c>
      <c r="C2274" s="33">
        <v>45963.80625</v>
      </c>
      <c r="D2274" s="19" t="s">
        <v>33</v>
      </c>
      <c r="E2274" s="19" t="s">
        <v>65</v>
      </c>
      <c r="F2274" s="19" t="s">
        <v>43</v>
      </c>
      <c r="G2274" s="19" t="s">
        <v>116</v>
      </c>
      <c r="H2274" s="19" t="s">
        <v>59</v>
      </c>
      <c r="I2274" s="19" t="s">
        <v>111</v>
      </c>
      <c r="J2274" s="20">
        <v>48</v>
      </c>
      <c r="K2274" s="34">
        <v>0</v>
      </c>
      <c r="M2274" s="19">
        <f>IF(OR(ISBLANK(C2274),C2274=""),"",ROUND((C2274-B2274)*24,2))</f>
        <v>42.07</v>
      </c>
      <c r="N2274" s="35" t="str">
        <f>IF(OR(ISBLANK(C2274),C2274="",M2274=""),"In Progress",IF(M2274&lt;=J2274,"Met","Breached"))</f>
        <v>Met</v>
      </c>
    </row>
    <row r="2275" ht="19" customHeight="1" spans="1:14" x14ac:dyDescent="0.25">
      <c r="A2275" s="22" t="s">
        <v>2389</v>
      </c>
      <c r="B2275" s="36">
        <v>45858.475</v>
      </c>
      <c r="C2275" s="36">
        <v>45860.677777777775</v>
      </c>
      <c r="D2275" s="22" t="s">
        <v>33</v>
      </c>
      <c r="E2275" s="22" t="s">
        <v>65</v>
      </c>
      <c r="F2275" s="22" t="s">
        <v>43</v>
      </c>
      <c r="G2275" s="22" t="s">
        <v>113</v>
      </c>
      <c r="H2275" s="22" t="s">
        <v>63</v>
      </c>
      <c r="I2275" s="22" t="s">
        <v>117</v>
      </c>
      <c r="J2275" s="23">
        <v>48</v>
      </c>
      <c r="K2275" s="37">
        <v>0</v>
      </c>
      <c r="L2275" s="37">
        <v>1</v>
      </c>
      <c r="M2275" s="22">
        <f>IF(OR(ISBLANK(C2275),C2275=""),"",ROUND((C2275-B2275)*24,2))</f>
        <v>52.87</v>
      </c>
      <c r="N2275" s="38" t="str">
        <f>IF(OR(ISBLANK(C2275),C2275="",M2275=""),"In Progress",IF(M2275&lt;=J2275,"Met","Breached"))</f>
        <v>Breached</v>
      </c>
    </row>
    <row r="2276" ht="19" customHeight="1" spans="1:14" x14ac:dyDescent="0.25">
      <c r="A2276" s="19" t="s">
        <v>2390</v>
      </c>
      <c r="B2276" s="33">
        <v>45659.240277777775</v>
      </c>
      <c r="C2276" s="33">
        <v>45659.53194444445</v>
      </c>
      <c r="D2276" s="19" t="s">
        <v>36</v>
      </c>
      <c r="E2276" s="19" t="s">
        <v>61</v>
      </c>
      <c r="F2276" s="19" t="s">
        <v>43</v>
      </c>
      <c r="G2276" s="19" t="s">
        <v>121</v>
      </c>
      <c r="H2276" s="19" t="s">
        <v>67</v>
      </c>
      <c r="I2276" s="19" t="s">
        <v>147</v>
      </c>
      <c r="J2276" s="20">
        <v>12</v>
      </c>
      <c r="K2276" s="34">
        <v>0</v>
      </c>
      <c r="L2276" s="34">
        <v>2</v>
      </c>
      <c r="M2276" s="19">
        <f>IF(OR(ISBLANK(C2276),C2276=""),"",ROUND((C2276-B2276)*24,2))</f>
        <v>7</v>
      </c>
      <c r="N2276" s="35" t="str">
        <f>IF(OR(ISBLANK(C2276),C2276="",M2276=""),"In Progress",IF(M2276&lt;=J2276,"Met","Breached"))</f>
        <v>Met</v>
      </c>
    </row>
    <row r="2277" ht="19" customHeight="1" spans="1:14" x14ac:dyDescent="0.25">
      <c r="A2277" s="22" t="s">
        <v>2391</v>
      </c>
      <c r="B2277" s="36">
        <v>45723.72361111111</v>
      </c>
      <c r="C2277" s="36">
        <v>45725.33263888889</v>
      </c>
      <c r="D2277" s="22" t="s">
        <v>36</v>
      </c>
      <c r="E2277" s="22" t="s">
        <v>65</v>
      </c>
      <c r="F2277" s="22" t="s">
        <v>34</v>
      </c>
      <c r="G2277" s="22" t="s">
        <v>126</v>
      </c>
      <c r="H2277" s="22" t="s">
        <v>67</v>
      </c>
      <c r="I2277" s="22" t="s">
        <v>147</v>
      </c>
      <c r="J2277" s="23">
        <v>48</v>
      </c>
      <c r="K2277" s="37">
        <v>0</v>
      </c>
      <c r="L2277" s="37">
        <v>5</v>
      </c>
      <c r="M2277" s="22">
        <f>IF(OR(ISBLANK(C2277),C2277=""),"",ROUND((C2277-B2277)*24,2))</f>
        <v>38.62</v>
      </c>
      <c r="N2277" s="40" t="str">
        <f>IF(OR(ISBLANK(C2277),C2277="",M2277=""),"In Progress",IF(M2277&lt;=J2277,"Met","Breached"))</f>
        <v>Met</v>
      </c>
    </row>
    <row r="2278" ht="19" customHeight="1" spans="1:14" x14ac:dyDescent="0.25">
      <c r="A2278" s="19" t="s">
        <v>2392</v>
      </c>
      <c r="B2278" s="33">
        <v>45719.919444444444</v>
      </c>
      <c r="C2278" s="33">
        <v>45720.30972222222</v>
      </c>
      <c r="D2278" s="19" t="s">
        <v>33</v>
      </c>
      <c r="E2278" s="19" t="s">
        <v>61</v>
      </c>
      <c r="F2278" s="19" t="s">
        <v>34</v>
      </c>
      <c r="G2278" s="19" t="s">
        <v>116</v>
      </c>
      <c r="H2278" s="19" t="s">
        <v>59</v>
      </c>
      <c r="I2278" s="19" t="s">
        <v>108</v>
      </c>
      <c r="J2278" s="20">
        <v>12</v>
      </c>
      <c r="K2278" s="34">
        <v>0</v>
      </c>
      <c r="L2278" s="34">
        <v>5</v>
      </c>
      <c r="M2278" s="19">
        <f>IF(OR(ISBLANK(C2278),C2278=""),"",ROUND((C2278-B2278)*24,2))</f>
        <v>9.37</v>
      </c>
      <c r="N2278" s="35" t="str">
        <f>IF(OR(ISBLANK(C2278),C2278="",M2278=""),"In Progress",IF(M2278&lt;=J2278,"Met","Breached"))</f>
        <v>Met</v>
      </c>
    </row>
    <row r="2279" ht="19" customHeight="1" spans="1:14" x14ac:dyDescent="0.25">
      <c r="A2279" s="22" t="s">
        <v>2393</v>
      </c>
      <c r="B2279" s="36">
        <v>45743.066666666666</v>
      </c>
      <c r="C2279" s="36">
        <v>45751.70347222222</v>
      </c>
      <c r="D2279" s="22" t="s">
        <v>33</v>
      </c>
      <c r="E2279" s="22" t="s">
        <v>69</v>
      </c>
      <c r="F2279" s="22" t="s">
        <v>37</v>
      </c>
      <c r="G2279" s="22" t="s">
        <v>113</v>
      </c>
      <c r="H2279" s="22" t="s">
        <v>59</v>
      </c>
      <c r="I2279" s="22" t="s">
        <v>114</v>
      </c>
      <c r="J2279" s="23">
        <v>120</v>
      </c>
      <c r="K2279" s="37">
        <v>0</v>
      </c>
      <c r="L2279" s="37">
        <v>2</v>
      </c>
      <c r="M2279" s="22">
        <f>IF(OR(ISBLANK(C2279),C2279=""),"",ROUND((C2279-B2279)*24,2))</f>
        <v>207.28</v>
      </c>
      <c r="N2279" s="38" t="str">
        <f>IF(OR(ISBLANK(C2279),C2279="",M2279=""),"In Progress",IF(M2279&lt;=J2279,"Met","Breached"))</f>
        <v>Breached</v>
      </c>
    </row>
    <row r="2280" ht="19" customHeight="1" spans="1:14" x14ac:dyDescent="0.25">
      <c r="A2280" s="19" t="s">
        <v>2394</v>
      </c>
      <c r="B2280" s="33">
        <v>46263.12152777778</v>
      </c>
      <c r="D2280" s="19" t="s">
        <v>39</v>
      </c>
      <c r="E2280" s="19" t="s">
        <v>69</v>
      </c>
      <c r="F2280" s="19" t="s">
        <v>37</v>
      </c>
      <c r="G2280" s="19" t="s">
        <v>126</v>
      </c>
      <c r="H2280" s="19" t="s">
        <v>67</v>
      </c>
      <c r="I2280" s="19" t="s">
        <v>108</v>
      </c>
      <c r="J2280" s="20">
        <v>120</v>
      </c>
      <c r="K2280" s="34">
        <v>0</v>
      </c>
      <c r="M2280" s="19" t="str">
        <f>IF(OR(ISBLANK(C2280),C2280=""),"",ROUND((C2280-B2280)*24,2))</f>
        <v/>
      </c>
      <c r="N2280" s="19" t="str">
        <f>IF(OR(ISBLANK(C2280),C2280="",M2280=""),"In Progress",IF(M2280&lt;=J2280,"Met","Breached"))</f>
        <v>In Progress</v>
      </c>
    </row>
    <row r="2281" ht="19" customHeight="1" spans="1:14" x14ac:dyDescent="0.25">
      <c r="A2281" s="22" t="s">
        <v>2395</v>
      </c>
      <c r="B2281" s="36">
        <v>46188.649305555555</v>
      </c>
      <c r="C2281" s="36">
        <v>46188.882638888885</v>
      </c>
      <c r="D2281" s="22" t="s">
        <v>33</v>
      </c>
      <c r="E2281" s="22" t="s">
        <v>61</v>
      </c>
      <c r="F2281" s="22" t="s">
        <v>40</v>
      </c>
      <c r="G2281" s="22" t="s">
        <v>116</v>
      </c>
      <c r="H2281" s="22" t="s">
        <v>71</v>
      </c>
      <c r="I2281" s="22" t="s">
        <v>114</v>
      </c>
      <c r="J2281" s="23">
        <v>12</v>
      </c>
      <c r="K2281" s="37">
        <v>0</v>
      </c>
      <c r="M2281" s="22">
        <f>IF(OR(ISBLANK(C2281),C2281=""),"",ROUND((C2281-B2281)*24,2))</f>
        <v>5.6</v>
      </c>
      <c r="N2281" s="40" t="str">
        <f>IF(OR(ISBLANK(C2281),C2281="",M2281=""),"In Progress",IF(M2281&lt;=J2281,"Met","Breached"))</f>
        <v>Met</v>
      </c>
    </row>
    <row r="2282" ht="19" customHeight="1" spans="1:14" x14ac:dyDescent="0.25">
      <c r="A2282" s="19" t="s">
        <v>2396</v>
      </c>
      <c r="B2282" s="33">
        <v>46164.65486111111</v>
      </c>
      <c r="C2282" s="33">
        <v>46171.85763888889</v>
      </c>
      <c r="D2282" s="19" t="s">
        <v>33</v>
      </c>
      <c r="E2282" s="19" t="s">
        <v>69</v>
      </c>
      <c r="F2282" s="19" t="s">
        <v>37</v>
      </c>
      <c r="G2282" s="19" t="s">
        <v>113</v>
      </c>
      <c r="H2282" s="19" t="s">
        <v>71</v>
      </c>
      <c r="I2282" s="19" t="s">
        <v>114</v>
      </c>
      <c r="J2282" s="20">
        <v>120</v>
      </c>
      <c r="K2282" s="34">
        <v>0</v>
      </c>
      <c r="L2282" s="34">
        <v>3</v>
      </c>
      <c r="M2282" s="19">
        <f>IF(OR(ISBLANK(C2282),C2282=""),"",ROUND((C2282-B2282)*24,2))</f>
        <v>172.87</v>
      </c>
      <c r="N2282" s="39" t="str">
        <f>IF(OR(ISBLANK(C2282),C2282="",M2282=""),"In Progress",IF(M2282&lt;=J2282,"Met","Breached"))</f>
        <v>Breached</v>
      </c>
    </row>
    <row r="2283" ht="19" customHeight="1" spans="1:14" x14ac:dyDescent="0.25">
      <c r="A2283" s="22" t="s">
        <v>2397</v>
      </c>
      <c r="B2283" s="36">
        <v>46003.125</v>
      </c>
      <c r="C2283" s="36">
        <v>46008.669444444444</v>
      </c>
      <c r="D2283" s="22" t="s">
        <v>36</v>
      </c>
      <c r="E2283" s="22" t="s">
        <v>69</v>
      </c>
      <c r="F2283" s="22" t="s">
        <v>40</v>
      </c>
      <c r="G2283" s="22" t="s">
        <v>113</v>
      </c>
      <c r="H2283" s="22" t="s">
        <v>59</v>
      </c>
      <c r="I2283" s="22" t="s">
        <v>147</v>
      </c>
      <c r="J2283" s="23">
        <v>120</v>
      </c>
      <c r="K2283" s="37">
        <v>0</v>
      </c>
      <c r="L2283" s="37">
        <v>1</v>
      </c>
      <c r="M2283" s="22">
        <f>IF(OR(ISBLANK(C2283),C2283=""),"",ROUND((C2283-B2283)*24,2))</f>
        <v>133.07</v>
      </c>
      <c r="N2283" s="38" t="str">
        <f>IF(OR(ISBLANK(C2283),C2283="",M2283=""),"In Progress",IF(M2283&lt;=J2283,"Met","Breached"))</f>
        <v>Breached</v>
      </c>
    </row>
    <row r="2284" ht="19" customHeight="1" spans="1:14" x14ac:dyDescent="0.25">
      <c r="A2284" s="19" t="s">
        <v>2398</v>
      </c>
      <c r="B2284" s="33">
        <v>45775.038888888885</v>
      </c>
      <c r="C2284" s="33">
        <v>45782.134722222225</v>
      </c>
      <c r="D2284" s="19" t="s">
        <v>33</v>
      </c>
      <c r="E2284" s="19" t="s">
        <v>69</v>
      </c>
      <c r="F2284" s="19" t="s">
        <v>40</v>
      </c>
      <c r="G2284" s="19" t="s">
        <v>113</v>
      </c>
      <c r="H2284" s="19" t="s">
        <v>63</v>
      </c>
      <c r="I2284" s="19" t="s">
        <v>147</v>
      </c>
      <c r="J2284" s="20">
        <v>120</v>
      </c>
      <c r="K2284" s="34">
        <v>0</v>
      </c>
      <c r="M2284" s="19">
        <f>IF(OR(ISBLANK(C2284),C2284=""),"",ROUND((C2284-B2284)*24,2))</f>
        <v>170.3</v>
      </c>
      <c r="N2284" s="39" t="str">
        <f>IF(OR(ISBLANK(C2284),C2284="",M2284=""),"In Progress",IF(M2284&lt;=J2284,"Met","Breached"))</f>
        <v>Breached</v>
      </c>
    </row>
    <row r="2285" ht="19" customHeight="1" spans="1:14" x14ac:dyDescent="0.25">
      <c r="A2285" s="22" t="s">
        <v>2399</v>
      </c>
      <c r="B2285" s="36">
        <v>45715.79513888889</v>
      </c>
      <c r="D2285" s="22" t="s">
        <v>42</v>
      </c>
      <c r="E2285" s="22" t="s">
        <v>65</v>
      </c>
      <c r="F2285" s="22" t="s">
        <v>40</v>
      </c>
      <c r="G2285" s="22" t="s">
        <v>110</v>
      </c>
      <c r="H2285" s="22" t="s">
        <v>63</v>
      </c>
      <c r="I2285" s="22" t="s">
        <v>117</v>
      </c>
      <c r="J2285" s="23">
        <v>48</v>
      </c>
      <c r="K2285" s="37">
        <v>0</v>
      </c>
      <c r="M2285" s="22" t="str">
        <f>IF(OR(ISBLANK(C2285),C2285=""),"",ROUND((C2285-B2285)*24,2))</f>
        <v/>
      </c>
      <c r="N2285" s="22" t="str">
        <f>IF(OR(ISBLANK(C2285),C2285="",M2285=""),"In Progress",IF(M2285&lt;=J2285,"Met","Breached"))</f>
        <v>In Progress</v>
      </c>
    </row>
    <row r="2286" ht="19" customHeight="1" spans="1:14" x14ac:dyDescent="0.25">
      <c r="A2286" s="19" t="s">
        <v>2400</v>
      </c>
      <c r="B2286" s="33">
        <v>46169.42222222222</v>
      </c>
      <c r="D2286" s="19" t="s">
        <v>39</v>
      </c>
      <c r="E2286" s="19" t="s">
        <v>65</v>
      </c>
      <c r="F2286" s="19" t="s">
        <v>43</v>
      </c>
      <c r="G2286" s="19" t="s">
        <v>121</v>
      </c>
      <c r="H2286" s="19" t="s">
        <v>71</v>
      </c>
      <c r="I2286" s="19" t="s">
        <v>108</v>
      </c>
      <c r="J2286" s="20">
        <v>48</v>
      </c>
      <c r="K2286" s="34">
        <v>0</v>
      </c>
      <c r="M2286" s="19" t="str">
        <f>IF(OR(ISBLANK(C2286),C2286=""),"",ROUND((C2286-B2286)*24,2))</f>
        <v/>
      </c>
      <c r="N2286" s="19" t="str">
        <f>IF(OR(ISBLANK(C2286),C2286="",M2286=""),"In Progress",IF(M2286&lt;=J2286,"Met","Breached"))</f>
        <v>In Progress</v>
      </c>
    </row>
    <row r="2287" ht="19" customHeight="1" spans="1:14" x14ac:dyDescent="0.25">
      <c r="A2287" s="22" t="s">
        <v>2401</v>
      </c>
      <c r="B2287" s="36">
        <v>45846.129166666666</v>
      </c>
      <c r="C2287" s="36">
        <v>45848.419444444444</v>
      </c>
      <c r="D2287" s="22" t="s">
        <v>36</v>
      </c>
      <c r="E2287" s="22" t="s">
        <v>65</v>
      </c>
      <c r="F2287" s="22" t="s">
        <v>40</v>
      </c>
      <c r="G2287" s="22" t="s">
        <v>63</v>
      </c>
      <c r="H2287" s="22" t="s">
        <v>67</v>
      </c>
      <c r="I2287" s="22" t="s">
        <v>108</v>
      </c>
      <c r="J2287" s="23">
        <v>48</v>
      </c>
      <c r="K2287" s="37">
        <v>0</v>
      </c>
      <c r="L2287" s="37">
        <v>5</v>
      </c>
      <c r="M2287" s="22">
        <f>IF(OR(ISBLANK(C2287),C2287=""),"",ROUND((C2287-B2287)*24,2))</f>
        <v>54.97</v>
      </c>
      <c r="N2287" s="38" t="str">
        <f>IF(OR(ISBLANK(C2287),C2287="",M2287=""),"In Progress",IF(M2287&lt;=J2287,"Met","Breached"))</f>
        <v>Breached</v>
      </c>
    </row>
    <row r="2288" ht="19" customHeight="1" spans="1:14" x14ac:dyDescent="0.25">
      <c r="A2288" s="19" t="s">
        <v>2402</v>
      </c>
      <c r="B2288" s="33">
        <v>45815.31180555555</v>
      </c>
      <c r="D2288" s="19" t="s">
        <v>42</v>
      </c>
      <c r="E2288" s="19" t="s">
        <v>61</v>
      </c>
      <c r="F2288" s="19" t="s">
        <v>45</v>
      </c>
      <c r="G2288" s="19" t="s">
        <v>116</v>
      </c>
      <c r="H2288" s="19" t="s">
        <v>67</v>
      </c>
      <c r="I2288" s="19" t="s">
        <v>117</v>
      </c>
      <c r="J2288" s="20">
        <v>12</v>
      </c>
      <c r="K2288" s="34">
        <v>0</v>
      </c>
      <c r="M2288" s="19" t="str">
        <f>IF(OR(ISBLANK(C2288),C2288=""),"",ROUND((C2288-B2288)*24,2))</f>
        <v/>
      </c>
      <c r="N2288" s="19" t="str">
        <f>IF(OR(ISBLANK(C2288),C2288="",M2288=""),"In Progress",IF(M2288&lt;=J2288,"Met","Breached"))</f>
        <v>In Progress</v>
      </c>
    </row>
    <row r="2289" ht="19" customHeight="1" spans="1:14" x14ac:dyDescent="0.25">
      <c r="A2289" s="22" t="s">
        <v>2403</v>
      </c>
      <c r="B2289" s="36">
        <v>46151.34930555556</v>
      </c>
      <c r="C2289" s="36">
        <v>46153.625</v>
      </c>
      <c r="D2289" s="22" t="s">
        <v>33</v>
      </c>
      <c r="E2289" s="22" t="s">
        <v>65</v>
      </c>
      <c r="F2289" s="22" t="s">
        <v>45</v>
      </c>
      <c r="G2289" s="22" t="s">
        <v>121</v>
      </c>
      <c r="H2289" s="22" t="s">
        <v>59</v>
      </c>
      <c r="I2289" s="22" t="s">
        <v>114</v>
      </c>
      <c r="J2289" s="23">
        <v>48</v>
      </c>
      <c r="K2289" s="37">
        <v>0</v>
      </c>
      <c r="L2289" s="37">
        <v>1</v>
      </c>
      <c r="M2289" s="22">
        <f>IF(OR(ISBLANK(C2289),C2289=""),"",ROUND((C2289-B2289)*24,2))</f>
        <v>54.62</v>
      </c>
      <c r="N2289" s="38" t="str">
        <f>IF(OR(ISBLANK(C2289),C2289="",M2289=""),"In Progress",IF(M2289&lt;=J2289,"Met","Breached"))</f>
        <v>Breached</v>
      </c>
    </row>
    <row r="2290" ht="19" customHeight="1" spans="1:14" x14ac:dyDescent="0.25">
      <c r="A2290" s="19" t="s">
        <v>2404</v>
      </c>
      <c r="B2290" s="33">
        <v>46194.867361111115</v>
      </c>
      <c r="D2290" s="19" t="s">
        <v>42</v>
      </c>
      <c r="E2290" s="19" t="s">
        <v>65</v>
      </c>
      <c r="F2290" s="19" t="s">
        <v>45</v>
      </c>
      <c r="G2290" s="19" t="s">
        <v>113</v>
      </c>
      <c r="H2290" s="19" t="s">
        <v>71</v>
      </c>
      <c r="I2290" s="19" t="s">
        <v>123</v>
      </c>
      <c r="J2290" s="20">
        <v>48</v>
      </c>
      <c r="K2290" s="34">
        <v>0</v>
      </c>
      <c r="M2290" s="19" t="str">
        <f>IF(OR(ISBLANK(C2290),C2290=""),"",ROUND((C2290-B2290)*24,2))</f>
        <v/>
      </c>
      <c r="N2290" s="19" t="str">
        <f>IF(OR(ISBLANK(C2290),C2290="",M2290=""),"In Progress",IF(M2290&lt;=J2290,"Met","Breached"))</f>
        <v>In Progress</v>
      </c>
    </row>
    <row r="2291" ht="19" customHeight="1" spans="1:14" x14ac:dyDescent="0.25">
      <c r="A2291" s="22" t="s">
        <v>2405</v>
      </c>
      <c r="B2291" s="36">
        <v>45752.976388888885</v>
      </c>
      <c r="C2291" s="36">
        <v>45753.92569444445</v>
      </c>
      <c r="D2291" s="22" t="s">
        <v>33</v>
      </c>
      <c r="E2291" s="22" t="s">
        <v>65</v>
      </c>
      <c r="F2291" s="22" t="s">
        <v>45</v>
      </c>
      <c r="G2291" s="22" t="s">
        <v>121</v>
      </c>
      <c r="H2291" s="22" t="s">
        <v>67</v>
      </c>
      <c r="I2291" s="22" t="s">
        <v>114</v>
      </c>
      <c r="J2291" s="23">
        <v>48</v>
      </c>
      <c r="K2291" s="37">
        <v>0</v>
      </c>
      <c r="L2291" s="37">
        <v>3</v>
      </c>
      <c r="M2291" s="22">
        <f>IF(OR(ISBLANK(C2291),C2291=""),"",ROUND((C2291-B2291)*24,2))</f>
        <v>22.78</v>
      </c>
      <c r="N2291" s="40" t="str">
        <f>IF(OR(ISBLANK(C2291),C2291="",M2291=""),"In Progress",IF(M2291&lt;=J2291,"Met","Breached"))</f>
        <v>Met</v>
      </c>
    </row>
    <row r="2292" ht="19" customHeight="1" spans="1:14" x14ac:dyDescent="0.25">
      <c r="A2292" s="19" t="s">
        <v>2406</v>
      </c>
      <c r="B2292" s="33">
        <v>46170.49444444444</v>
      </c>
      <c r="C2292" s="33">
        <v>46173.04861111111</v>
      </c>
      <c r="D2292" s="19" t="s">
        <v>36</v>
      </c>
      <c r="E2292" s="19" t="s">
        <v>65</v>
      </c>
      <c r="F2292" s="19" t="s">
        <v>34</v>
      </c>
      <c r="G2292" s="19" t="s">
        <v>110</v>
      </c>
      <c r="H2292" s="19" t="s">
        <v>59</v>
      </c>
      <c r="I2292" s="19" t="s">
        <v>108</v>
      </c>
      <c r="J2292" s="20">
        <v>48</v>
      </c>
      <c r="K2292" s="34">
        <v>0</v>
      </c>
      <c r="M2292" s="19">
        <f>IF(OR(ISBLANK(C2292),C2292=""),"",ROUND((C2292-B2292)*24,2))</f>
        <v>61.3</v>
      </c>
      <c r="N2292" s="39" t="str">
        <f>IF(OR(ISBLANK(C2292),C2292="",M2292=""),"In Progress",IF(M2292&lt;=J2292,"Met","Breached"))</f>
        <v>Breached</v>
      </c>
    </row>
    <row r="2293" ht="19" customHeight="1" spans="1:14" x14ac:dyDescent="0.25">
      <c r="A2293" s="22" t="s">
        <v>2407</v>
      </c>
      <c r="B2293" s="36">
        <v>45871.62638888889</v>
      </c>
      <c r="D2293" s="22" t="s">
        <v>39</v>
      </c>
      <c r="E2293" s="22" t="s">
        <v>69</v>
      </c>
      <c r="F2293" s="22" t="s">
        <v>43</v>
      </c>
      <c r="G2293" s="22" t="s">
        <v>113</v>
      </c>
      <c r="H2293" s="22" t="s">
        <v>67</v>
      </c>
      <c r="I2293" s="22" t="s">
        <v>123</v>
      </c>
      <c r="J2293" s="23">
        <v>120</v>
      </c>
      <c r="K2293" s="37">
        <v>0</v>
      </c>
      <c r="M2293" s="22" t="str">
        <f>IF(OR(ISBLANK(C2293),C2293=""),"",ROUND((C2293-B2293)*24,2))</f>
        <v/>
      </c>
      <c r="N2293" s="22" t="str">
        <f>IF(OR(ISBLANK(C2293),C2293="",M2293=""),"In Progress",IF(M2293&lt;=J2293,"Met","Breached"))</f>
        <v>In Progress</v>
      </c>
    </row>
    <row r="2294" ht="19" customHeight="1" spans="1:14" x14ac:dyDescent="0.25">
      <c r="A2294" s="19" t="s">
        <v>2408</v>
      </c>
      <c r="B2294" s="33">
        <v>45696.14375</v>
      </c>
      <c r="D2294" s="19" t="s">
        <v>39</v>
      </c>
      <c r="E2294" s="19" t="s">
        <v>65</v>
      </c>
      <c r="F2294" s="19" t="s">
        <v>43</v>
      </c>
      <c r="G2294" s="19" t="s">
        <v>113</v>
      </c>
      <c r="H2294" s="19" t="s">
        <v>67</v>
      </c>
      <c r="I2294" s="19" t="s">
        <v>117</v>
      </c>
      <c r="J2294" s="20">
        <v>48</v>
      </c>
      <c r="K2294" s="34">
        <v>0</v>
      </c>
      <c r="M2294" s="19" t="str">
        <f>IF(OR(ISBLANK(C2294),C2294=""),"",ROUND((C2294-B2294)*24,2))</f>
        <v/>
      </c>
      <c r="N2294" s="19" t="str">
        <f>IF(OR(ISBLANK(C2294),C2294="",M2294=""),"In Progress",IF(M2294&lt;=J2294,"Met","Breached"))</f>
        <v>In Progress</v>
      </c>
    </row>
    <row r="2295" ht="19" customHeight="1" spans="1:14" x14ac:dyDescent="0.25">
      <c r="A2295" s="22" t="s">
        <v>2409</v>
      </c>
      <c r="B2295" s="36">
        <v>45997.53402777778</v>
      </c>
      <c r="D2295" s="22" t="s">
        <v>39</v>
      </c>
      <c r="E2295" s="22" t="s">
        <v>57</v>
      </c>
      <c r="F2295" s="22" t="s">
        <v>37</v>
      </c>
      <c r="G2295" s="22" t="s">
        <v>126</v>
      </c>
      <c r="H2295" s="22" t="s">
        <v>63</v>
      </c>
      <c r="I2295" s="22" t="s">
        <v>117</v>
      </c>
      <c r="J2295" s="23">
        <v>4</v>
      </c>
      <c r="K2295" s="37">
        <v>0</v>
      </c>
      <c r="M2295" s="22" t="str">
        <f>IF(OR(ISBLANK(C2295),C2295=""),"",ROUND((C2295-B2295)*24,2))</f>
        <v/>
      </c>
      <c r="N2295" s="22" t="str">
        <f>IF(OR(ISBLANK(C2295),C2295="",M2295=""),"In Progress",IF(M2295&lt;=J2295,"Met","Breached"))</f>
        <v>In Progress</v>
      </c>
    </row>
    <row r="2296" ht="19" customHeight="1" spans="1:14" x14ac:dyDescent="0.25">
      <c r="A2296" s="19" t="s">
        <v>2410</v>
      </c>
      <c r="B2296" s="33">
        <v>46103.92013888889</v>
      </c>
      <c r="C2296" s="33">
        <v>46111.09930555556</v>
      </c>
      <c r="D2296" s="19" t="s">
        <v>33</v>
      </c>
      <c r="E2296" s="19" t="s">
        <v>69</v>
      </c>
      <c r="F2296" s="19" t="s">
        <v>43</v>
      </c>
      <c r="G2296" s="19" t="s">
        <v>110</v>
      </c>
      <c r="H2296" s="19" t="s">
        <v>59</v>
      </c>
      <c r="I2296" s="19" t="s">
        <v>147</v>
      </c>
      <c r="J2296" s="20">
        <v>120</v>
      </c>
      <c r="K2296" s="34">
        <v>0</v>
      </c>
      <c r="L2296" s="34">
        <v>2</v>
      </c>
      <c r="M2296" s="19">
        <f>IF(OR(ISBLANK(C2296),C2296=""),"",ROUND((C2296-B2296)*24,2))</f>
        <v>172.3</v>
      </c>
      <c r="N2296" s="39" t="str">
        <f>IF(OR(ISBLANK(C2296),C2296="",M2296=""),"In Progress",IF(M2296&lt;=J2296,"Met","Breached"))</f>
        <v>Breached</v>
      </c>
    </row>
    <row r="2297" ht="19" customHeight="1" spans="1:14" x14ac:dyDescent="0.25">
      <c r="A2297" s="22" t="s">
        <v>2411</v>
      </c>
      <c r="B2297" s="36">
        <v>45827.69375</v>
      </c>
      <c r="D2297" s="22" t="s">
        <v>42</v>
      </c>
      <c r="E2297" s="22" t="s">
        <v>65</v>
      </c>
      <c r="F2297" s="22" t="s">
        <v>40</v>
      </c>
      <c r="G2297" s="22" t="s">
        <v>63</v>
      </c>
      <c r="H2297" s="22" t="s">
        <v>63</v>
      </c>
      <c r="I2297" s="22" t="s">
        <v>123</v>
      </c>
      <c r="J2297" s="23">
        <v>48</v>
      </c>
      <c r="K2297" s="37">
        <v>0</v>
      </c>
      <c r="M2297" s="22" t="str">
        <f>IF(OR(ISBLANK(C2297),C2297=""),"",ROUND((C2297-B2297)*24,2))</f>
        <v/>
      </c>
      <c r="N2297" s="22" t="str">
        <f>IF(OR(ISBLANK(C2297),C2297="",M2297=""),"In Progress",IF(M2297&lt;=J2297,"Met","Breached"))</f>
        <v>In Progress</v>
      </c>
    </row>
    <row r="2298" ht="19" customHeight="1" spans="1:14" x14ac:dyDescent="0.25">
      <c r="A2298" s="19" t="s">
        <v>2412</v>
      </c>
      <c r="B2298" s="33">
        <v>45672.586805555555</v>
      </c>
      <c r="D2298" s="19" t="s">
        <v>39</v>
      </c>
      <c r="E2298" s="19" t="s">
        <v>69</v>
      </c>
      <c r="F2298" s="19" t="s">
        <v>45</v>
      </c>
      <c r="G2298" s="19" t="s">
        <v>121</v>
      </c>
      <c r="H2298" s="19" t="s">
        <v>59</v>
      </c>
      <c r="I2298" s="19" t="s">
        <v>111</v>
      </c>
      <c r="J2298" s="20">
        <v>120</v>
      </c>
      <c r="K2298" s="34">
        <v>0</v>
      </c>
      <c r="M2298" s="19" t="str">
        <f>IF(OR(ISBLANK(C2298),C2298=""),"",ROUND((C2298-B2298)*24,2))</f>
        <v/>
      </c>
      <c r="N2298" s="19" t="str">
        <f>IF(OR(ISBLANK(C2298),C2298="",M2298=""),"In Progress",IF(M2298&lt;=J2298,"Met","Breached"))</f>
        <v>In Progress</v>
      </c>
    </row>
    <row r="2299" ht="19" customHeight="1" spans="1:14" x14ac:dyDescent="0.25">
      <c r="A2299" s="22" t="s">
        <v>2413</v>
      </c>
      <c r="B2299" s="36">
        <v>46148.57152777778</v>
      </c>
      <c r="D2299" s="22" t="s">
        <v>42</v>
      </c>
      <c r="E2299" s="22" t="s">
        <v>65</v>
      </c>
      <c r="F2299" s="22" t="s">
        <v>43</v>
      </c>
      <c r="G2299" s="22" t="s">
        <v>116</v>
      </c>
      <c r="H2299" s="22" t="s">
        <v>59</v>
      </c>
      <c r="I2299" s="22" t="s">
        <v>108</v>
      </c>
      <c r="J2299" s="23">
        <v>48</v>
      </c>
      <c r="K2299" s="37">
        <v>0</v>
      </c>
      <c r="M2299" s="22" t="str">
        <f>IF(OR(ISBLANK(C2299),C2299=""),"",ROUND((C2299-B2299)*24,2))</f>
        <v/>
      </c>
      <c r="N2299" s="22" t="str">
        <f>IF(OR(ISBLANK(C2299),C2299="",M2299=""),"In Progress",IF(M2299&lt;=J2299,"Met","Breached"))</f>
        <v>In Progress</v>
      </c>
    </row>
    <row r="2300" ht="19" customHeight="1" spans="1:14" x14ac:dyDescent="0.25">
      <c r="A2300" s="19" t="s">
        <v>2414</v>
      </c>
      <c r="B2300" s="33">
        <v>46262.15416666667</v>
      </c>
      <c r="C2300" s="33">
        <v>46267.11875</v>
      </c>
      <c r="D2300" s="19" t="s">
        <v>33</v>
      </c>
      <c r="E2300" s="19" t="s">
        <v>69</v>
      </c>
      <c r="F2300" s="19" t="s">
        <v>37</v>
      </c>
      <c r="G2300" s="19" t="s">
        <v>113</v>
      </c>
      <c r="H2300" s="19" t="s">
        <v>59</v>
      </c>
      <c r="I2300" s="19" t="s">
        <v>114</v>
      </c>
      <c r="J2300" s="20">
        <v>120</v>
      </c>
      <c r="K2300" s="34">
        <v>0</v>
      </c>
      <c r="L2300" s="34">
        <v>2</v>
      </c>
      <c r="M2300" s="19">
        <f>IF(OR(ISBLANK(C2300),C2300=""),"",ROUND((C2300-B2300)*24,2))</f>
        <v>119.15</v>
      </c>
      <c r="N2300" s="35" t="str">
        <f>IF(OR(ISBLANK(C2300),C2300="",M2300=""),"In Progress",IF(M2300&lt;=J2300,"Met","Breached"))</f>
        <v>Met</v>
      </c>
    </row>
    <row r="2301" ht="19" customHeight="1" spans="1:14" x14ac:dyDescent="0.25">
      <c r="A2301" s="22" t="s">
        <v>2415</v>
      </c>
      <c r="B2301" s="36">
        <v>46123.90694444445</v>
      </c>
      <c r="D2301" s="22" t="s">
        <v>39</v>
      </c>
      <c r="E2301" s="22" t="s">
        <v>65</v>
      </c>
      <c r="F2301" s="22" t="s">
        <v>45</v>
      </c>
      <c r="G2301" s="22" t="s">
        <v>63</v>
      </c>
      <c r="H2301" s="22" t="s">
        <v>59</v>
      </c>
      <c r="I2301" s="22" t="s">
        <v>117</v>
      </c>
      <c r="J2301" s="23">
        <v>48</v>
      </c>
      <c r="K2301" s="37">
        <v>0</v>
      </c>
      <c r="M2301" s="22" t="str">
        <f>IF(OR(ISBLANK(C2301),C2301=""),"",ROUND((C2301-B2301)*24,2))</f>
        <v/>
      </c>
      <c r="N2301" s="22" t="str">
        <f>IF(OR(ISBLANK(C2301),C2301="",M2301=""),"In Progress",IF(M2301&lt;=J2301,"Met","Breached"))</f>
        <v>In Progress</v>
      </c>
    </row>
    <row r="2302" ht="19" customHeight="1" spans="1:14" x14ac:dyDescent="0.25">
      <c r="A2302" s="19" t="s">
        <v>2416</v>
      </c>
      <c r="B2302" s="33">
        <v>46003.69583333333</v>
      </c>
      <c r="D2302" s="19" t="s">
        <v>39</v>
      </c>
      <c r="E2302" s="19" t="s">
        <v>61</v>
      </c>
      <c r="F2302" s="19" t="s">
        <v>40</v>
      </c>
      <c r="G2302" s="19" t="s">
        <v>113</v>
      </c>
      <c r="H2302" s="19" t="s">
        <v>59</v>
      </c>
      <c r="I2302" s="19" t="s">
        <v>123</v>
      </c>
      <c r="J2302" s="20">
        <v>12</v>
      </c>
      <c r="K2302" s="34">
        <v>0</v>
      </c>
      <c r="M2302" s="19" t="str">
        <f>IF(OR(ISBLANK(C2302),C2302=""),"",ROUND((C2302-B2302)*24,2))</f>
        <v/>
      </c>
      <c r="N2302" s="19" t="str">
        <f>IF(OR(ISBLANK(C2302),C2302="",M2302=""),"In Progress",IF(M2302&lt;=J2302,"Met","Breached"))</f>
        <v>In Progress</v>
      </c>
    </row>
    <row r="2303" ht="19" customHeight="1" spans="1:14" x14ac:dyDescent="0.25">
      <c r="A2303" s="22" t="s">
        <v>2417</v>
      </c>
      <c r="B2303" s="36">
        <v>45729.191666666666</v>
      </c>
      <c r="C2303" s="36">
        <v>45730.76458333334</v>
      </c>
      <c r="D2303" s="22" t="s">
        <v>36</v>
      </c>
      <c r="E2303" s="22" t="s">
        <v>65</v>
      </c>
      <c r="F2303" s="22" t="s">
        <v>40</v>
      </c>
      <c r="G2303" s="22" t="s">
        <v>113</v>
      </c>
      <c r="H2303" s="22" t="s">
        <v>63</v>
      </c>
      <c r="I2303" s="22" t="s">
        <v>117</v>
      </c>
      <c r="J2303" s="23">
        <v>48</v>
      </c>
      <c r="K2303" s="37">
        <v>0</v>
      </c>
      <c r="L2303" s="37">
        <v>1</v>
      </c>
      <c r="M2303" s="22">
        <f>IF(OR(ISBLANK(C2303),C2303=""),"",ROUND((C2303-B2303)*24,2))</f>
        <v>37.75</v>
      </c>
      <c r="N2303" s="40" t="str">
        <f>IF(OR(ISBLANK(C2303),C2303="",M2303=""),"In Progress",IF(M2303&lt;=J2303,"Met","Breached"))</f>
        <v>Met</v>
      </c>
    </row>
    <row r="2304" ht="19" customHeight="1" spans="1:14" x14ac:dyDescent="0.25">
      <c r="A2304" s="19" t="s">
        <v>2418</v>
      </c>
      <c r="B2304" s="33">
        <v>46189.07916666666</v>
      </c>
      <c r="D2304" s="19" t="s">
        <v>42</v>
      </c>
      <c r="E2304" s="19" t="s">
        <v>65</v>
      </c>
      <c r="F2304" s="19" t="s">
        <v>45</v>
      </c>
      <c r="G2304" s="19" t="s">
        <v>63</v>
      </c>
      <c r="H2304" s="19" t="s">
        <v>71</v>
      </c>
      <c r="I2304" s="19" t="s">
        <v>108</v>
      </c>
      <c r="J2304" s="20">
        <v>48</v>
      </c>
      <c r="K2304" s="34">
        <v>0</v>
      </c>
      <c r="M2304" s="19" t="str">
        <f>IF(OR(ISBLANK(C2304),C2304=""),"",ROUND((C2304-B2304)*24,2))</f>
        <v/>
      </c>
      <c r="N2304" s="19" t="str">
        <f>IF(OR(ISBLANK(C2304),C2304="",M2304=""),"In Progress",IF(M2304&lt;=J2304,"Met","Breached"))</f>
        <v>In Progress</v>
      </c>
    </row>
    <row r="2305" ht="19" customHeight="1" spans="1:14" x14ac:dyDescent="0.25">
      <c r="A2305" s="22" t="s">
        <v>2419</v>
      </c>
      <c r="B2305" s="36">
        <v>46201.70277777778</v>
      </c>
      <c r="D2305" s="22" t="s">
        <v>39</v>
      </c>
      <c r="E2305" s="22" t="s">
        <v>69</v>
      </c>
      <c r="F2305" s="22" t="s">
        <v>40</v>
      </c>
      <c r="G2305" s="22" t="s">
        <v>63</v>
      </c>
      <c r="H2305" s="22" t="s">
        <v>71</v>
      </c>
      <c r="I2305" s="22" t="s">
        <v>108</v>
      </c>
      <c r="J2305" s="23">
        <v>120</v>
      </c>
      <c r="K2305" s="37">
        <v>0</v>
      </c>
      <c r="M2305" s="22" t="str">
        <f>IF(OR(ISBLANK(C2305),C2305=""),"",ROUND((C2305-B2305)*24,2))</f>
        <v/>
      </c>
      <c r="N2305" s="22" t="str">
        <f>IF(OR(ISBLANK(C2305),C2305="",M2305=""),"In Progress",IF(M2305&lt;=J2305,"Met","Breached"))</f>
        <v>In Progress</v>
      </c>
    </row>
    <row r="2306" ht="19" customHeight="1" spans="1:14" x14ac:dyDescent="0.25">
      <c r="A2306" s="19" t="s">
        <v>2420</v>
      </c>
      <c r="B2306" s="33">
        <v>45858.80416666667</v>
      </c>
      <c r="C2306" s="33">
        <v>45859.09583333333</v>
      </c>
      <c r="D2306" s="19" t="s">
        <v>36</v>
      </c>
      <c r="E2306" s="19" t="s">
        <v>61</v>
      </c>
      <c r="F2306" s="19" t="s">
        <v>34</v>
      </c>
      <c r="G2306" s="19" t="s">
        <v>113</v>
      </c>
      <c r="H2306" s="19" t="s">
        <v>63</v>
      </c>
      <c r="I2306" s="19" t="s">
        <v>114</v>
      </c>
      <c r="J2306" s="20">
        <v>12</v>
      </c>
      <c r="K2306" s="34">
        <v>0</v>
      </c>
      <c r="M2306" s="19">
        <f>IF(OR(ISBLANK(C2306),C2306=""),"",ROUND((C2306-B2306)*24,2))</f>
        <v>7</v>
      </c>
      <c r="N2306" s="35" t="str">
        <f>IF(OR(ISBLANK(C2306),C2306="",M2306=""),"In Progress",IF(M2306&lt;=J2306,"Met","Breached"))</f>
        <v>Met</v>
      </c>
    </row>
    <row r="2307" ht="19" customHeight="1" spans="1:14" x14ac:dyDescent="0.25">
      <c r="A2307" s="22" t="s">
        <v>2421</v>
      </c>
      <c r="B2307" s="36">
        <v>45683.058333333334</v>
      </c>
      <c r="D2307" s="22" t="s">
        <v>39</v>
      </c>
      <c r="E2307" s="22" t="s">
        <v>65</v>
      </c>
      <c r="F2307" s="22" t="s">
        <v>34</v>
      </c>
      <c r="G2307" s="22" t="s">
        <v>121</v>
      </c>
      <c r="H2307" s="22" t="s">
        <v>71</v>
      </c>
      <c r="I2307" s="22" t="s">
        <v>123</v>
      </c>
      <c r="J2307" s="23">
        <v>48</v>
      </c>
      <c r="K2307" s="37">
        <v>0</v>
      </c>
      <c r="M2307" s="22" t="str">
        <f>IF(OR(ISBLANK(C2307),C2307=""),"",ROUND((C2307-B2307)*24,2))</f>
        <v/>
      </c>
      <c r="N2307" s="22" t="str">
        <f>IF(OR(ISBLANK(C2307),C2307="",M2307=""),"In Progress",IF(M2307&lt;=J2307,"Met","Breached"))</f>
        <v>In Progress</v>
      </c>
    </row>
    <row r="2308" ht="19" customHeight="1" spans="1:14" x14ac:dyDescent="0.25">
      <c r="A2308" s="19" t="s">
        <v>2422</v>
      </c>
      <c r="B2308" s="33">
        <v>45870.20972222222</v>
      </c>
      <c r="C2308" s="33">
        <v>45870.58263888889</v>
      </c>
      <c r="D2308" s="19" t="s">
        <v>33</v>
      </c>
      <c r="E2308" s="19" t="s">
        <v>61</v>
      </c>
      <c r="F2308" s="19" t="s">
        <v>37</v>
      </c>
      <c r="G2308" s="19" t="s">
        <v>116</v>
      </c>
      <c r="H2308" s="19" t="s">
        <v>71</v>
      </c>
      <c r="I2308" s="19" t="s">
        <v>147</v>
      </c>
      <c r="J2308" s="20">
        <v>12</v>
      </c>
      <c r="K2308" s="34">
        <v>0</v>
      </c>
      <c r="M2308" s="19">
        <f>IF(OR(ISBLANK(C2308),C2308=""),"",ROUND((C2308-B2308)*24,2))</f>
        <v>8.95</v>
      </c>
      <c r="N2308" s="35" t="str">
        <f>IF(OR(ISBLANK(C2308),C2308="",M2308=""),"In Progress",IF(M2308&lt;=J2308,"Met","Breached"))</f>
        <v>Met</v>
      </c>
    </row>
    <row r="2309" ht="19" customHeight="1" spans="1:14" x14ac:dyDescent="0.25">
      <c r="A2309" s="22" t="s">
        <v>2423</v>
      </c>
      <c r="B2309" s="36">
        <v>45786.27847222222</v>
      </c>
      <c r="C2309" s="36">
        <v>45787.15902777778</v>
      </c>
      <c r="D2309" s="22" t="s">
        <v>33</v>
      </c>
      <c r="E2309" s="22" t="s">
        <v>61</v>
      </c>
      <c r="F2309" s="22" t="s">
        <v>34</v>
      </c>
      <c r="G2309" s="22" t="s">
        <v>110</v>
      </c>
      <c r="H2309" s="22" t="s">
        <v>63</v>
      </c>
      <c r="I2309" s="22" t="s">
        <v>108</v>
      </c>
      <c r="J2309" s="23">
        <v>12</v>
      </c>
      <c r="K2309" s="37">
        <v>0</v>
      </c>
      <c r="M2309" s="22">
        <f>IF(OR(ISBLANK(C2309),C2309=""),"",ROUND((C2309-B2309)*24,2))</f>
        <v>21.13</v>
      </c>
      <c r="N2309" s="38" t="str">
        <f>IF(OR(ISBLANK(C2309),C2309="",M2309=""),"In Progress",IF(M2309&lt;=J2309,"Met","Breached"))</f>
        <v>Breached</v>
      </c>
    </row>
    <row r="2310" ht="19" customHeight="1" spans="1:14" x14ac:dyDescent="0.25">
      <c r="A2310" s="19" t="s">
        <v>2424</v>
      </c>
      <c r="B2310" s="33">
        <v>45964.64097222222</v>
      </c>
      <c r="D2310" s="19" t="s">
        <v>39</v>
      </c>
      <c r="E2310" s="19" t="s">
        <v>69</v>
      </c>
      <c r="F2310" s="19" t="s">
        <v>34</v>
      </c>
      <c r="G2310" s="19" t="s">
        <v>63</v>
      </c>
      <c r="H2310" s="19" t="s">
        <v>63</v>
      </c>
      <c r="I2310" s="19" t="s">
        <v>147</v>
      </c>
      <c r="J2310" s="20">
        <v>120</v>
      </c>
      <c r="K2310" s="34">
        <v>0</v>
      </c>
      <c r="M2310" s="19" t="str">
        <f>IF(OR(ISBLANK(C2310),C2310=""),"",ROUND((C2310-B2310)*24,2))</f>
        <v/>
      </c>
      <c r="N2310" s="19" t="str">
        <f>IF(OR(ISBLANK(C2310),C2310="",M2310=""),"In Progress",IF(M2310&lt;=J2310,"Met","Breached"))</f>
        <v>In Progress</v>
      </c>
    </row>
    <row r="2311" ht="19" customHeight="1" spans="1:14" x14ac:dyDescent="0.25">
      <c r="A2311" s="22" t="s">
        <v>2425</v>
      </c>
      <c r="B2311" s="36">
        <v>45766.61458333333</v>
      </c>
      <c r="C2311" s="36">
        <v>45766.85625</v>
      </c>
      <c r="D2311" s="22" t="s">
        <v>33</v>
      </c>
      <c r="E2311" s="22" t="s">
        <v>57</v>
      </c>
      <c r="F2311" s="22" t="s">
        <v>34</v>
      </c>
      <c r="G2311" s="22" t="s">
        <v>63</v>
      </c>
      <c r="H2311" s="22" t="s">
        <v>59</v>
      </c>
      <c r="I2311" s="22" t="s">
        <v>108</v>
      </c>
      <c r="J2311" s="23">
        <v>4</v>
      </c>
      <c r="K2311" s="37">
        <v>0</v>
      </c>
      <c r="L2311" s="37">
        <v>4</v>
      </c>
      <c r="M2311" s="22">
        <f>IF(OR(ISBLANK(C2311),C2311=""),"",ROUND((C2311-B2311)*24,2))</f>
        <v>5.8</v>
      </c>
      <c r="N2311" s="38" t="str">
        <f>IF(OR(ISBLANK(C2311),C2311="",M2311=""),"In Progress",IF(M2311&lt;=J2311,"Met","Breached"))</f>
        <v>Breached</v>
      </c>
    </row>
    <row r="2312" ht="19" customHeight="1" spans="1:14" x14ac:dyDescent="0.25">
      <c r="A2312" s="19" t="s">
        <v>2426</v>
      </c>
      <c r="B2312" s="33">
        <v>46217.36944444444</v>
      </c>
      <c r="D2312" s="19" t="s">
        <v>39</v>
      </c>
      <c r="E2312" s="19" t="s">
        <v>57</v>
      </c>
      <c r="F2312" s="19" t="s">
        <v>40</v>
      </c>
      <c r="G2312" s="19" t="s">
        <v>113</v>
      </c>
      <c r="H2312" s="19" t="s">
        <v>59</v>
      </c>
      <c r="I2312" s="19" t="s">
        <v>108</v>
      </c>
      <c r="J2312" s="20">
        <v>4</v>
      </c>
      <c r="K2312" s="34">
        <v>0</v>
      </c>
      <c r="M2312" s="19" t="str">
        <f>IF(OR(ISBLANK(C2312),C2312=""),"",ROUND((C2312-B2312)*24,2))</f>
        <v/>
      </c>
      <c r="N2312" s="19" t="str">
        <f>IF(OR(ISBLANK(C2312),C2312="",M2312=""),"In Progress",IF(M2312&lt;=J2312,"Met","Breached"))</f>
        <v>In Progress</v>
      </c>
    </row>
    <row r="2313" ht="19" customHeight="1" spans="1:14" x14ac:dyDescent="0.25">
      <c r="A2313" s="22" t="s">
        <v>2427</v>
      </c>
      <c r="B2313" s="36">
        <v>46213.325</v>
      </c>
      <c r="C2313" s="36">
        <v>46221.544444444444</v>
      </c>
      <c r="D2313" s="22" t="s">
        <v>33</v>
      </c>
      <c r="E2313" s="22" t="s">
        <v>69</v>
      </c>
      <c r="F2313" s="22" t="s">
        <v>37</v>
      </c>
      <c r="G2313" s="22" t="s">
        <v>126</v>
      </c>
      <c r="H2313" s="22" t="s">
        <v>71</v>
      </c>
      <c r="I2313" s="22" t="s">
        <v>147</v>
      </c>
      <c r="J2313" s="23">
        <v>120</v>
      </c>
      <c r="K2313" s="37">
        <v>0</v>
      </c>
      <c r="L2313" s="37">
        <v>4</v>
      </c>
      <c r="M2313" s="22">
        <f>IF(OR(ISBLANK(C2313),C2313=""),"",ROUND((C2313-B2313)*24,2))</f>
        <v>197.27</v>
      </c>
      <c r="N2313" s="38" t="str">
        <f>IF(OR(ISBLANK(C2313),C2313="",M2313=""),"In Progress",IF(M2313&lt;=J2313,"Met","Breached"))</f>
        <v>Breached</v>
      </c>
    </row>
    <row r="2314" ht="19" customHeight="1" spans="1:14" x14ac:dyDescent="0.25">
      <c r="A2314" s="19" t="s">
        <v>2428</v>
      </c>
      <c r="B2314" s="33">
        <v>45991.93888888889</v>
      </c>
      <c r="C2314" s="33">
        <v>45997.445138888885</v>
      </c>
      <c r="D2314" s="19" t="s">
        <v>36</v>
      </c>
      <c r="E2314" s="19" t="s">
        <v>69</v>
      </c>
      <c r="F2314" s="19" t="s">
        <v>40</v>
      </c>
      <c r="G2314" s="19" t="s">
        <v>63</v>
      </c>
      <c r="H2314" s="19" t="s">
        <v>63</v>
      </c>
      <c r="I2314" s="19" t="s">
        <v>111</v>
      </c>
      <c r="J2314" s="20">
        <v>120</v>
      </c>
      <c r="K2314" s="34">
        <v>0</v>
      </c>
      <c r="L2314" s="34">
        <v>4</v>
      </c>
      <c r="M2314" s="19">
        <f>IF(OR(ISBLANK(C2314),C2314=""),"",ROUND((C2314-B2314)*24,2))</f>
        <v>132.15</v>
      </c>
      <c r="N2314" s="39" t="str">
        <f>IF(OR(ISBLANK(C2314),C2314="",M2314=""),"In Progress",IF(M2314&lt;=J2314,"Met","Breached"))</f>
        <v>Breached</v>
      </c>
    </row>
    <row r="2315" ht="19" customHeight="1" spans="1:14" x14ac:dyDescent="0.25">
      <c r="A2315" s="22" t="s">
        <v>2429</v>
      </c>
      <c r="B2315" s="36">
        <v>45756.15902777778</v>
      </c>
      <c r="C2315" s="36">
        <v>45758.268055555556</v>
      </c>
      <c r="D2315" s="22" t="s">
        <v>33</v>
      </c>
      <c r="E2315" s="22" t="s">
        <v>65</v>
      </c>
      <c r="F2315" s="22" t="s">
        <v>40</v>
      </c>
      <c r="G2315" s="22" t="s">
        <v>121</v>
      </c>
      <c r="H2315" s="22" t="s">
        <v>59</v>
      </c>
      <c r="I2315" s="22" t="s">
        <v>114</v>
      </c>
      <c r="J2315" s="23">
        <v>48</v>
      </c>
      <c r="K2315" s="37">
        <v>0</v>
      </c>
      <c r="L2315" s="37">
        <v>3</v>
      </c>
      <c r="M2315" s="22">
        <f>IF(OR(ISBLANK(C2315),C2315=""),"",ROUND((C2315-B2315)*24,2))</f>
        <v>50.62</v>
      </c>
      <c r="N2315" s="38" t="str">
        <f>IF(OR(ISBLANK(C2315),C2315="",M2315=""),"In Progress",IF(M2315&lt;=J2315,"Met","Breached"))</f>
        <v>Breached</v>
      </c>
    </row>
    <row r="2316" ht="19" customHeight="1" spans="1:14" x14ac:dyDescent="0.25">
      <c r="A2316" s="19" t="s">
        <v>2430</v>
      </c>
      <c r="B2316" s="33">
        <v>45682.35625</v>
      </c>
      <c r="C2316" s="33">
        <v>45683.527083333334</v>
      </c>
      <c r="D2316" s="19" t="s">
        <v>33</v>
      </c>
      <c r="E2316" s="19" t="s">
        <v>65</v>
      </c>
      <c r="F2316" s="19" t="s">
        <v>37</v>
      </c>
      <c r="G2316" s="19" t="s">
        <v>63</v>
      </c>
      <c r="H2316" s="19" t="s">
        <v>59</v>
      </c>
      <c r="I2316" s="19" t="s">
        <v>147</v>
      </c>
      <c r="J2316" s="20">
        <v>48</v>
      </c>
      <c r="K2316" s="34">
        <v>0</v>
      </c>
      <c r="L2316" s="34">
        <v>4</v>
      </c>
      <c r="M2316" s="19">
        <f>IF(OR(ISBLANK(C2316),C2316=""),"",ROUND((C2316-B2316)*24,2))</f>
        <v>28.1</v>
      </c>
      <c r="N2316" s="35" t="str">
        <f>IF(OR(ISBLANK(C2316),C2316="",M2316=""),"In Progress",IF(M2316&lt;=J2316,"Met","Breached"))</f>
        <v>Met</v>
      </c>
    </row>
    <row r="2317" ht="19" customHeight="1" spans="1:14" x14ac:dyDescent="0.25">
      <c r="A2317" s="22" t="s">
        <v>2431</v>
      </c>
      <c r="B2317" s="36">
        <v>46042.14513888889</v>
      </c>
      <c r="C2317" s="36">
        <v>46042.89375</v>
      </c>
      <c r="D2317" s="22" t="s">
        <v>33</v>
      </c>
      <c r="E2317" s="22" t="s">
        <v>61</v>
      </c>
      <c r="F2317" s="22" t="s">
        <v>43</v>
      </c>
      <c r="G2317" s="22" t="s">
        <v>116</v>
      </c>
      <c r="H2317" s="22" t="s">
        <v>59</v>
      </c>
      <c r="I2317" s="22" t="s">
        <v>147</v>
      </c>
      <c r="J2317" s="23">
        <v>12</v>
      </c>
      <c r="K2317" s="37">
        <v>0</v>
      </c>
      <c r="M2317" s="22">
        <f>IF(OR(ISBLANK(C2317),C2317=""),"",ROUND((C2317-B2317)*24,2))</f>
        <v>17.97</v>
      </c>
      <c r="N2317" s="38" t="str">
        <f>IF(OR(ISBLANK(C2317),C2317="",M2317=""),"In Progress",IF(M2317&lt;=J2317,"Met","Breached"))</f>
        <v>Breached</v>
      </c>
    </row>
    <row r="2318" ht="19" customHeight="1" spans="1:14" x14ac:dyDescent="0.25">
      <c r="A2318" s="19" t="s">
        <v>2432</v>
      </c>
      <c r="B2318" s="33">
        <v>46071.697222222225</v>
      </c>
      <c r="D2318" s="19" t="s">
        <v>39</v>
      </c>
      <c r="E2318" s="19" t="s">
        <v>61</v>
      </c>
      <c r="F2318" s="19" t="s">
        <v>40</v>
      </c>
      <c r="G2318" s="19" t="s">
        <v>113</v>
      </c>
      <c r="H2318" s="19" t="s">
        <v>59</v>
      </c>
      <c r="I2318" s="19" t="s">
        <v>108</v>
      </c>
      <c r="J2318" s="20">
        <v>12</v>
      </c>
      <c r="K2318" s="34">
        <v>0</v>
      </c>
      <c r="M2318" s="19" t="str">
        <f>IF(OR(ISBLANK(C2318),C2318=""),"",ROUND((C2318-B2318)*24,2))</f>
        <v/>
      </c>
      <c r="N2318" s="19" t="str">
        <f>IF(OR(ISBLANK(C2318),C2318="",M2318=""),"In Progress",IF(M2318&lt;=J2318,"Met","Breached"))</f>
        <v>In Progress</v>
      </c>
    </row>
    <row r="2319" ht="19" customHeight="1" spans="1:14" x14ac:dyDescent="0.25">
      <c r="A2319" s="22" t="s">
        <v>2433</v>
      </c>
      <c r="B2319" s="36">
        <v>46162.28055555555</v>
      </c>
      <c r="D2319" s="22" t="s">
        <v>42</v>
      </c>
      <c r="E2319" s="22" t="s">
        <v>65</v>
      </c>
      <c r="F2319" s="22" t="s">
        <v>43</v>
      </c>
      <c r="G2319" s="22" t="s">
        <v>116</v>
      </c>
      <c r="H2319" s="22" t="s">
        <v>59</v>
      </c>
      <c r="I2319" s="22" t="s">
        <v>114</v>
      </c>
      <c r="J2319" s="23">
        <v>48</v>
      </c>
      <c r="K2319" s="37">
        <v>0</v>
      </c>
      <c r="M2319" s="22" t="str">
        <f>IF(OR(ISBLANK(C2319),C2319=""),"",ROUND((C2319-B2319)*24,2))</f>
        <v/>
      </c>
      <c r="N2319" s="22" t="str">
        <f>IF(OR(ISBLANK(C2319),C2319="",M2319=""),"In Progress",IF(M2319&lt;=J2319,"Met","Breached"))</f>
        <v>In Progress</v>
      </c>
    </row>
    <row r="2320" ht="19" customHeight="1" spans="1:14" x14ac:dyDescent="0.25">
      <c r="A2320" s="19" t="s">
        <v>2434</v>
      </c>
      <c r="B2320" s="33">
        <v>46071.899305555555</v>
      </c>
      <c r="C2320" s="33">
        <v>46074.38541666667</v>
      </c>
      <c r="D2320" s="19" t="s">
        <v>33</v>
      </c>
      <c r="E2320" s="19" t="s">
        <v>69</v>
      </c>
      <c r="F2320" s="19" t="s">
        <v>43</v>
      </c>
      <c r="G2320" s="19" t="s">
        <v>121</v>
      </c>
      <c r="H2320" s="19" t="s">
        <v>71</v>
      </c>
      <c r="I2320" s="19" t="s">
        <v>117</v>
      </c>
      <c r="J2320" s="20">
        <v>120</v>
      </c>
      <c r="K2320" s="34">
        <v>0</v>
      </c>
      <c r="L2320" s="34">
        <v>5</v>
      </c>
      <c r="M2320" s="19">
        <f>IF(OR(ISBLANK(C2320),C2320=""),"",ROUND((C2320-B2320)*24,2))</f>
        <v>59.67</v>
      </c>
      <c r="N2320" s="35" t="str">
        <f>IF(OR(ISBLANK(C2320),C2320="",M2320=""),"In Progress",IF(M2320&lt;=J2320,"Met","Breached"))</f>
        <v>Met</v>
      </c>
    </row>
    <row r="2321" ht="19" customHeight="1" spans="1:14" x14ac:dyDescent="0.25">
      <c r="A2321" s="22" t="s">
        <v>2435</v>
      </c>
      <c r="B2321" s="36">
        <v>45711.16458333333</v>
      </c>
      <c r="C2321" s="36">
        <v>45711.79305555555</v>
      </c>
      <c r="D2321" s="22" t="s">
        <v>33</v>
      </c>
      <c r="E2321" s="22" t="s">
        <v>61</v>
      </c>
      <c r="F2321" s="22" t="s">
        <v>40</v>
      </c>
      <c r="G2321" s="22" t="s">
        <v>63</v>
      </c>
      <c r="H2321" s="22" t="s">
        <v>59</v>
      </c>
      <c r="I2321" s="22" t="s">
        <v>114</v>
      </c>
      <c r="J2321" s="23">
        <v>12</v>
      </c>
      <c r="K2321" s="37">
        <v>0</v>
      </c>
      <c r="M2321" s="22">
        <f>IF(OR(ISBLANK(C2321),C2321=""),"",ROUND((C2321-B2321)*24,2))</f>
        <v>15.08</v>
      </c>
      <c r="N2321" s="38" t="str">
        <f>IF(OR(ISBLANK(C2321),C2321="",M2321=""),"In Progress",IF(M2321&lt;=J2321,"Met","Breached"))</f>
        <v>Breached</v>
      </c>
    </row>
    <row r="2322" ht="19" customHeight="1" spans="1:14" x14ac:dyDescent="0.25">
      <c r="A2322" s="19" t="s">
        <v>2436</v>
      </c>
      <c r="B2322" s="33">
        <v>46126.45</v>
      </c>
      <c r="C2322" s="33">
        <v>46127.10416666667</v>
      </c>
      <c r="D2322" s="19" t="s">
        <v>33</v>
      </c>
      <c r="E2322" s="19" t="s">
        <v>65</v>
      </c>
      <c r="F2322" s="19" t="s">
        <v>34</v>
      </c>
      <c r="G2322" s="19" t="s">
        <v>121</v>
      </c>
      <c r="H2322" s="19" t="s">
        <v>59</v>
      </c>
      <c r="I2322" s="19" t="s">
        <v>108</v>
      </c>
      <c r="J2322" s="20">
        <v>48</v>
      </c>
      <c r="K2322" s="34">
        <v>0</v>
      </c>
      <c r="L2322" s="34">
        <v>3</v>
      </c>
      <c r="M2322" s="19">
        <f>IF(OR(ISBLANK(C2322),C2322=""),"",ROUND((C2322-B2322)*24,2))</f>
        <v>15.7</v>
      </c>
      <c r="N2322" s="35" t="str">
        <f>IF(OR(ISBLANK(C2322),C2322="",M2322=""),"In Progress",IF(M2322&lt;=J2322,"Met","Breached"))</f>
        <v>Met</v>
      </c>
    </row>
    <row r="2323" ht="19" customHeight="1" spans="1:14" x14ac:dyDescent="0.25">
      <c r="A2323" s="22" t="s">
        <v>2437</v>
      </c>
      <c r="B2323" s="36">
        <v>45927.27777777778</v>
      </c>
      <c r="C2323" s="36">
        <v>45930.18194444444</v>
      </c>
      <c r="D2323" s="22" t="s">
        <v>33</v>
      </c>
      <c r="E2323" s="22" t="s">
        <v>65</v>
      </c>
      <c r="F2323" s="22" t="s">
        <v>43</v>
      </c>
      <c r="G2323" s="22" t="s">
        <v>113</v>
      </c>
      <c r="H2323" s="22" t="s">
        <v>63</v>
      </c>
      <c r="I2323" s="22" t="s">
        <v>111</v>
      </c>
      <c r="J2323" s="23">
        <v>48</v>
      </c>
      <c r="K2323" s="37">
        <v>0</v>
      </c>
      <c r="L2323" s="37">
        <v>5</v>
      </c>
      <c r="M2323" s="22">
        <f>IF(OR(ISBLANK(C2323),C2323=""),"",ROUND((C2323-B2323)*24,2))</f>
        <v>69.7</v>
      </c>
      <c r="N2323" s="38" t="str">
        <f>IF(OR(ISBLANK(C2323),C2323="",M2323=""),"In Progress",IF(M2323&lt;=J2323,"Met","Breached"))</f>
        <v>Breached</v>
      </c>
    </row>
    <row r="2324" ht="19" customHeight="1" spans="1:14" x14ac:dyDescent="0.25">
      <c r="A2324" s="19" t="s">
        <v>2438</v>
      </c>
      <c r="B2324" s="33">
        <v>45782.68472222222</v>
      </c>
      <c r="C2324" s="33">
        <v>45785.05208333333</v>
      </c>
      <c r="D2324" s="19" t="s">
        <v>33</v>
      </c>
      <c r="E2324" s="19" t="s">
        <v>65</v>
      </c>
      <c r="F2324" s="19" t="s">
        <v>43</v>
      </c>
      <c r="G2324" s="19" t="s">
        <v>113</v>
      </c>
      <c r="H2324" s="19" t="s">
        <v>59</v>
      </c>
      <c r="I2324" s="19" t="s">
        <v>114</v>
      </c>
      <c r="J2324" s="20">
        <v>48</v>
      </c>
      <c r="K2324" s="34">
        <v>0</v>
      </c>
      <c r="L2324" s="34">
        <v>4</v>
      </c>
      <c r="M2324" s="19">
        <f>IF(OR(ISBLANK(C2324),C2324=""),"",ROUND((C2324-B2324)*24,2))</f>
        <v>56.82</v>
      </c>
      <c r="N2324" s="39" t="str">
        <f>IF(OR(ISBLANK(C2324),C2324="",M2324=""),"In Progress",IF(M2324&lt;=J2324,"Met","Breached"))</f>
        <v>Breached</v>
      </c>
    </row>
    <row r="2325" ht="19" customHeight="1" spans="1:14" x14ac:dyDescent="0.25">
      <c r="A2325" s="22" t="s">
        <v>2439</v>
      </c>
      <c r="B2325" s="36">
        <v>45722.5</v>
      </c>
      <c r="D2325" s="22" t="s">
        <v>42</v>
      </c>
      <c r="E2325" s="22" t="s">
        <v>61</v>
      </c>
      <c r="F2325" s="22" t="s">
        <v>45</v>
      </c>
      <c r="G2325" s="22" t="s">
        <v>63</v>
      </c>
      <c r="H2325" s="22" t="s">
        <v>59</v>
      </c>
      <c r="I2325" s="22" t="s">
        <v>108</v>
      </c>
      <c r="J2325" s="23">
        <v>12</v>
      </c>
      <c r="K2325" s="37">
        <v>0</v>
      </c>
      <c r="M2325" s="22" t="str">
        <f>IF(OR(ISBLANK(C2325),C2325=""),"",ROUND((C2325-B2325)*24,2))</f>
        <v/>
      </c>
      <c r="N2325" s="22" t="str">
        <f>IF(OR(ISBLANK(C2325),C2325="",M2325=""),"In Progress",IF(M2325&lt;=J2325,"Met","Breached"))</f>
        <v>In Progress</v>
      </c>
    </row>
    <row r="2326" ht="19" customHeight="1" spans="1:14" x14ac:dyDescent="0.25">
      <c r="A2326" s="19" t="s">
        <v>2440</v>
      </c>
      <c r="B2326" s="33">
        <v>45995.98541666666</v>
      </c>
      <c r="C2326" s="33">
        <v>45998.148611111115</v>
      </c>
      <c r="D2326" s="19" t="s">
        <v>33</v>
      </c>
      <c r="E2326" s="19" t="s">
        <v>69</v>
      </c>
      <c r="F2326" s="19" t="s">
        <v>37</v>
      </c>
      <c r="G2326" s="19" t="s">
        <v>113</v>
      </c>
      <c r="H2326" s="19" t="s">
        <v>63</v>
      </c>
      <c r="I2326" s="19" t="s">
        <v>108</v>
      </c>
      <c r="J2326" s="20">
        <v>120</v>
      </c>
      <c r="K2326" s="34">
        <v>0</v>
      </c>
      <c r="L2326" s="34">
        <v>4</v>
      </c>
      <c r="M2326" s="19">
        <f>IF(OR(ISBLANK(C2326),C2326=""),"",ROUND((C2326-B2326)*24,2))</f>
        <v>51.92</v>
      </c>
      <c r="N2326" s="35" t="str">
        <f>IF(OR(ISBLANK(C2326),C2326="",M2326=""),"In Progress",IF(M2326&lt;=J2326,"Met","Breached"))</f>
        <v>Met</v>
      </c>
    </row>
    <row r="2327" ht="19" customHeight="1" spans="1:14" x14ac:dyDescent="0.25">
      <c r="A2327" s="22" t="s">
        <v>2441</v>
      </c>
      <c r="B2327" s="36">
        <v>46251.919444444444</v>
      </c>
      <c r="C2327" s="36">
        <v>46253.205555555556</v>
      </c>
      <c r="D2327" s="22" t="s">
        <v>33</v>
      </c>
      <c r="E2327" s="22" t="s">
        <v>65</v>
      </c>
      <c r="F2327" s="22" t="s">
        <v>43</v>
      </c>
      <c r="G2327" s="22" t="s">
        <v>110</v>
      </c>
      <c r="H2327" s="22" t="s">
        <v>59</v>
      </c>
      <c r="I2327" s="22" t="s">
        <v>123</v>
      </c>
      <c r="J2327" s="23">
        <v>48</v>
      </c>
      <c r="K2327" s="37">
        <v>0</v>
      </c>
      <c r="M2327" s="22">
        <f>IF(OR(ISBLANK(C2327),C2327=""),"",ROUND((C2327-B2327)*24,2))</f>
        <v>30.87</v>
      </c>
      <c r="N2327" s="40" t="str">
        <f>IF(OR(ISBLANK(C2327),C2327="",M2327=""),"In Progress",IF(M2327&lt;=J2327,"Met","Breached"))</f>
        <v>Met</v>
      </c>
    </row>
    <row r="2328" ht="19" customHeight="1" spans="1:14" x14ac:dyDescent="0.25">
      <c r="A2328" s="19" t="s">
        <v>2442</v>
      </c>
      <c r="B2328" s="33">
        <v>46146.56527777778</v>
      </c>
      <c r="C2328" s="33">
        <v>46147.16805555555</v>
      </c>
      <c r="D2328" s="19" t="s">
        <v>36</v>
      </c>
      <c r="E2328" s="19" t="s">
        <v>65</v>
      </c>
      <c r="F2328" s="19" t="s">
        <v>40</v>
      </c>
      <c r="G2328" s="19" t="s">
        <v>126</v>
      </c>
      <c r="H2328" s="19" t="s">
        <v>67</v>
      </c>
      <c r="I2328" s="19" t="s">
        <v>147</v>
      </c>
      <c r="J2328" s="20">
        <v>48</v>
      </c>
      <c r="K2328" s="34">
        <v>0</v>
      </c>
      <c r="L2328" s="34">
        <v>1</v>
      </c>
      <c r="M2328" s="19">
        <f>IF(OR(ISBLANK(C2328),C2328=""),"",ROUND((C2328-B2328)*24,2))</f>
        <v>14.47</v>
      </c>
      <c r="N2328" s="35" t="str">
        <f>IF(OR(ISBLANK(C2328),C2328="",M2328=""),"In Progress",IF(M2328&lt;=J2328,"Met","Breached"))</f>
        <v>Met</v>
      </c>
    </row>
    <row r="2329" ht="19" customHeight="1" spans="1:14" x14ac:dyDescent="0.25">
      <c r="A2329" s="22" t="s">
        <v>2443</v>
      </c>
      <c r="B2329" s="36">
        <v>45833.74930555555</v>
      </c>
      <c r="D2329" s="22" t="s">
        <v>42</v>
      </c>
      <c r="E2329" s="22" t="s">
        <v>65</v>
      </c>
      <c r="F2329" s="22" t="s">
        <v>45</v>
      </c>
      <c r="G2329" s="22" t="s">
        <v>63</v>
      </c>
      <c r="H2329" s="22" t="s">
        <v>59</v>
      </c>
      <c r="I2329" s="22" t="s">
        <v>108</v>
      </c>
      <c r="J2329" s="23">
        <v>48</v>
      </c>
      <c r="K2329" s="37">
        <v>0</v>
      </c>
      <c r="M2329" s="22" t="str">
        <f>IF(OR(ISBLANK(C2329),C2329=""),"",ROUND((C2329-B2329)*24,2))</f>
        <v/>
      </c>
      <c r="N2329" s="22" t="str">
        <f>IF(OR(ISBLANK(C2329),C2329="",M2329=""),"In Progress",IF(M2329&lt;=J2329,"Met","Breached"))</f>
        <v>In Progress</v>
      </c>
    </row>
    <row r="2330" ht="19" customHeight="1" spans="1:14" x14ac:dyDescent="0.25">
      <c r="A2330" s="19" t="s">
        <v>2444</v>
      </c>
      <c r="B2330" s="33">
        <v>46068.94652777778</v>
      </c>
      <c r="C2330" s="33">
        <v>46074.31180555555</v>
      </c>
      <c r="D2330" s="19" t="s">
        <v>36</v>
      </c>
      <c r="E2330" s="19" t="s">
        <v>69</v>
      </c>
      <c r="F2330" s="19" t="s">
        <v>45</v>
      </c>
      <c r="G2330" s="19" t="s">
        <v>63</v>
      </c>
      <c r="H2330" s="19" t="s">
        <v>67</v>
      </c>
      <c r="I2330" s="19" t="s">
        <v>147</v>
      </c>
      <c r="J2330" s="20">
        <v>120</v>
      </c>
      <c r="K2330" s="34">
        <v>0</v>
      </c>
      <c r="M2330" s="19">
        <f>IF(OR(ISBLANK(C2330),C2330=""),"",ROUND((C2330-B2330)*24,2))</f>
        <v>128.77</v>
      </c>
      <c r="N2330" s="39" t="str">
        <f>IF(OR(ISBLANK(C2330),C2330="",M2330=""),"In Progress",IF(M2330&lt;=J2330,"Met","Breached"))</f>
        <v>Breached</v>
      </c>
    </row>
    <row r="2331" ht="19" customHeight="1" spans="1:14" x14ac:dyDescent="0.25">
      <c r="A2331" s="22" t="s">
        <v>2445</v>
      </c>
      <c r="B2331" s="36">
        <v>46125.11875</v>
      </c>
      <c r="C2331" s="36">
        <v>46128.08541666667</v>
      </c>
      <c r="D2331" s="22" t="s">
        <v>36</v>
      </c>
      <c r="E2331" s="22" t="s">
        <v>65</v>
      </c>
      <c r="F2331" s="22" t="s">
        <v>43</v>
      </c>
      <c r="G2331" s="22" t="s">
        <v>63</v>
      </c>
      <c r="H2331" s="22" t="s">
        <v>59</v>
      </c>
      <c r="I2331" s="22" t="s">
        <v>147</v>
      </c>
      <c r="J2331" s="23">
        <v>48</v>
      </c>
      <c r="K2331" s="37">
        <v>0</v>
      </c>
      <c r="M2331" s="22">
        <f>IF(OR(ISBLANK(C2331),C2331=""),"",ROUND((C2331-B2331)*24,2))</f>
        <v>71.2</v>
      </c>
      <c r="N2331" s="38" t="str">
        <f>IF(OR(ISBLANK(C2331),C2331="",M2331=""),"In Progress",IF(M2331&lt;=J2331,"Met","Breached"))</f>
        <v>Breached</v>
      </c>
    </row>
    <row r="2332" ht="19" customHeight="1" spans="1:14" x14ac:dyDescent="0.25">
      <c r="A2332" s="19" t="s">
        <v>2446</v>
      </c>
      <c r="B2332" s="33">
        <v>45795.51111111111</v>
      </c>
      <c r="C2332" s="33">
        <v>45795.726388888885</v>
      </c>
      <c r="D2332" s="19" t="s">
        <v>33</v>
      </c>
      <c r="E2332" s="19" t="s">
        <v>57</v>
      </c>
      <c r="F2332" s="19" t="s">
        <v>43</v>
      </c>
      <c r="G2332" s="19" t="s">
        <v>126</v>
      </c>
      <c r="H2332" s="19" t="s">
        <v>59</v>
      </c>
      <c r="I2332" s="19" t="s">
        <v>114</v>
      </c>
      <c r="J2332" s="20">
        <v>4</v>
      </c>
      <c r="K2332" s="34">
        <v>0</v>
      </c>
      <c r="L2332" s="34">
        <v>1</v>
      </c>
      <c r="M2332" s="19">
        <f>IF(OR(ISBLANK(C2332),C2332=""),"",ROUND((C2332-B2332)*24,2))</f>
        <v>5.17</v>
      </c>
      <c r="N2332" s="39" t="str">
        <f>IF(OR(ISBLANK(C2332),C2332="",M2332=""),"In Progress",IF(M2332&lt;=J2332,"Met","Breached"))</f>
        <v>Breached</v>
      </c>
    </row>
    <row r="2333" ht="19" customHeight="1" spans="1:14" x14ac:dyDescent="0.25">
      <c r="A2333" s="22" t="s">
        <v>2447</v>
      </c>
      <c r="B2333" s="36">
        <v>45796.54236111111</v>
      </c>
      <c r="C2333" s="36">
        <v>45799.98125</v>
      </c>
      <c r="D2333" s="22" t="s">
        <v>33</v>
      </c>
      <c r="E2333" s="22" t="s">
        <v>65</v>
      </c>
      <c r="F2333" s="22" t="s">
        <v>40</v>
      </c>
      <c r="G2333" s="22" t="s">
        <v>126</v>
      </c>
      <c r="H2333" s="22" t="s">
        <v>67</v>
      </c>
      <c r="I2333" s="22" t="s">
        <v>108</v>
      </c>
      <c r="J2333" s="23">
        <v>48</v>
      </c>
      <c r="K2333" s="37">
        <v>1</v>
      </c>
      <c r="L2333" s="37">
        <v>3</v>
      </c>
      <c r="M2333" s="22">
        <f>IF(OR(ISBLANK(C2333),C2333=""),"",ROUND((C2333-B2333)*24,2))</f>
        <v>82.53</v>
      </c>
      <c r="N2333" s="38" t="str">
        <f>IF(OR(ISBLANK(C2333),C2333="",M2333=""),"In Progress",IF(M2333&lt;=J2333,"Met","Breached"))</f>
        <v>Breached</v>
      </c>
    </row>
    <row r="2334" ht="19" customHeight="1" spans="1:14" x14ac:dyDescent="0.25">
      <c r="A2334" s="19" t="s">
        <v>2448</v>
      </c>
      <c r="B2334" s="33">
        <v>45793.39722222222</v>
      </c>
      <c r="D2334" s="19" t="s">
        <v>42</v>
      </c>
      <c r="E2334" s="19" t="s">
        <v>65</v>
      </c>
      <c r="F2334" s="19" t="s">
        <v>43</v>
      </c>
      <c r="G2334" s="19" t="s">
        <v>126</v>
      </c>
      <c r="H2334" s="19" t="s">
        <v>59</v>
      </c>
      <c r="I2334" s="19" t="s">
        <v>108</v>
      </c>
      <c r="J2334" s="20">
        <v>48</v>
      </c>
      <c r="K2334" s="34">
        <v>0</v>
      </c>
      <c r="M2334" s="19" t="str">
        <f>IF(OR(ISBLANK(C2334),C2334=""),"",ROUND((C2334-B2334)*24,2))</f>
        <v/>
      </c>
      <c r="N2334" s="19" t="str">
        <f>IF(OR(ISBLANK(C2334),C2334="",M2334=""),"In Progress",IF(M2334&lt;=J2334,"Met","Breached"))</f>
        <v>In Progress</v>
      </c>
    </row>
    <row r="2335" ht="19" customHeight="1" spans="1:14" x14ac:dyDescent="0.25">
      <c r="A2335" s="22" t="s">
        <v>2449</v>
      </c>
      <c r="B2335" s="36">
        <v>46194.944444444445</v>
      </c>
      <c r="C2335" s="36">
        <v>46196.15694444445</v>
      </c>
      <c r="D2335" s="22" t="s">
        <v>36</v>
      </c>
      <c r="E2335" s="22" t="s">
        <v>65</v>
      </c>
      <c r="F2335" s="22" t="s">
        <v>43</v>
      </c>
      <c r="G2335" s="22" t="s">
        <v>121</v>
      </c>
      <c r="H2335" s="22" t="s">
        <v>59</v>
      </c>
      <c r="I2335" s="22" t="s">
        <v>123</v>
      </c>
      <c r="J2335" s="23">
        <v>48</v>
      </c>
      <c r="K2335" s="37">
        <v>0</v>
      </c>
      <c r="M2335" s="22">
        <f>IF(OR(ISBLANK(C2335),C2335=""),"",ROUND((C2335-B2335)*24,2))</f>
        <v>29.1</v>
      </c>
      <c r="N2335" s="40" t="str">
        <f>IF(OR(ISBLANK(C2335),C2335="",M2335=""),"In Progress",IF(M2335&lt;=J2335,"Met","Breached"))</f>
        <v>Met</v>
      </c>
    </row>
    <row r="2336" ht="19" customHeight="1" spans="1:14" x14ac:dyDescent="0.25">
      <c r="A2336" s="19" t="s">
        <v>2450</v>
      </c>
      <c r="B2336" s="33">
        <v>45911.65</v>
      </c>
      <c r="C2336" s="33">
        <v>45911.85486111111</v>
      </c>
      <c r="D2336" s="19" t="s">
        <v>33</v>
      </c>
      <c r="E2336" s="19" t="s">
        <v>57</v>
      </c>
      <c r="F2336" s="19" t="s">
        <v>40</v>
      </c>
      <c r="G2336" s="19" t="s">
        <v>63</v>
      </c>
      <c r="H2336" s="19" t="s">
        <v>59</v>
      </c>
      <c r="I2336" s="19" t="s">
        <v>123</v>
      </c>
      <c r="J2336" s="20">
        <v>4</v>
      </c>
      <c r="K2336" s="34">
        <v>0</v>
      </c>
      <c r="L2336" s="34">
        <v>3</v>
      </c>
      <c r="M2336" s="19">
        <f>IF(OR(ISBLANK(C2336),C2336=""),"",ROUND((C2336-B2336)*24,2))</f>
        <v>4.92</v>
      </c>
      <c r="N2336" s="39" t="str">
        <f>IF(OR(ISBLANK(C2336),C2336="",M2336=""),"In Progress",IF(M2336&lt;=J2336,"Met","Breached"))</f>
        <v>Breached</v>
      </c>
    </row>
    <row r="2337" ht="19" customHeight="1" spans="1:14" x14ac:dyDescent="0.25">
      <c r="A2337" s="22" t="s">
        <v>2451</v>
      </c>
      <c r="B2337" s="36">
        <v>46140.04583333334</v>
      </c>
      <c r="C2337" s="36">
        <v>46143.56736111111</v>
      </c>
      <c r="D2337" s="22" t="s">
        <v>36</v>
      </c>
      <c r="E2337" s="22" t="s">
        <v>65</v>
      </c>
      <c r="F2337" s="22" t="s">
        <v>43</v>
      </c>
      <c r="G2337" s="22" t="s">
        <v>126</v>
      </c>
      <c r="H2337" s="22" t="s">
        <v>59</v>
      </c>
      <c r="I2337" s="22" t="s">
        <v>111</v>
      </c>
      <c r="J2337" s="23">
        <v>48</v>
      </c>
      <c r="K2337" s="37">
        <v>0</v>
      </c>
      <c r="M2337" s="22">
        <f>IF(OR(ISBLANK(C2337),C2337=""),"",ROUND((C2337-B2337)*24,2))</f>
        <v>84.52</v>
      </c>
      <c r="N2337" s="38" t="str">
        <f>IF(OR(ISBLANK(C2337),C2337="",M2337=""),"In Progress",IF(M2337&lt;=J2337,"Met","Breached"))</f>
        <v>Breached</v>
      </c>
    </row>
    <row r="2338" ht="19" customHeight="1" spans="1:14" x14ac:dyDescent="0.25">
      <c r="A2338" s="19" t="s">
        <v>2452</v>
      </c>
      <c r="B2338" s="33">
        <v>45788.79722222222</v>
      </c>
      <c r="C2338" s="33">
        <v>45791.93680555555</v>
      </c>
      <c r="D2338" s="19" t="s">
        <v>33</v>
      </c>
      <c r="E2338" s="19" t="s">
        <v>65</v>
      </c>
      <c r="F2338" s="19" t="s">
        <v>43</v>
      </c>
      <c r="G2338" s="19" t="s">
        <v>121</v>
      </c>
      <c r="H2338" s="19" t="s">
        <v>63</v>
      </c>
      <c r="I2338" s="19" t="s">
        <v>123</v>
      </c>
      <c r="J2338" s="20">
        <v>48</v>
      </c>
      <c r="K2338" s="34">
        <v>0</v>
      </c>
      <c r="M2338" s="19">
        <f>IF(OR(ISBLANK(C2338),C2338=""),"",ROUND((C2338-B2338)*24,2))</f>
        <v>75.35</v>
      </c>
      <c r="N2338" s="39" t="str">
        <f>IF(OR(ISBLANK(C2338),C2338="",M2338=""),"In Progress",IF(M2338&lt;=J2338,"Met","Breached"))</f>
        <v>Breached</v>
      </c>
    </row>
    <row r="2339" ht="19" customHeight="1" spans="1:14" x14ac:dyDescent="0.25">
      <c r="A2339" s="22" t="s">
        <v>2453</v>
      </c>
      <c r="B2339" s="36">
        <v>45830.68680555555</v>
      </c>
      <c r="C2339" s="36">
        <v>45831.19652777778</v>
      </c>
      <c r="D2339" s="22" t="s">
        <v>33</v>
      </c>
      <c r="E2339" s="22" t="s">
        <v>61</v>
      </c>
      <c r="F2339" s="22" t="s">
        <v>45</v>
      </c>
      <c r="G2339" s="22" t="s">
        <v>113</v>
      </c>
      <c r="H2339" s="22" t="s">
        <v>63</v>
      </c>
      <c r="I2339" s="22" t="s">
        <v>123</v>
      </c>
      <c r="J2339" s="23">
        <v>12</v>
      </c>
      <c r="K2339" s="37">
        <v>0</v>
      </c>
      <c r="M2339" s="22">
        <f>IF(OR(ISBLANK(C2339),C2339=""),"",ROUND((C2339-B2339)*24,2))</f>
        <v>12.23</v>
      </c>
      <c r="N2339" s="38" t="str">
        <f>IF(OR(ISBLANK(C2339),C2339="",M2339=""),"In Progress",IF(M2339&lt;=J2339,"Met","Breached"))</f>
        <v>Breached</v>
      </c>
    </row>
    <row r="2340" ht="19" customHeight="1" spans="1:14" x14ac:dyDescent="0.25">
      <c r="A2340" s="19" t="s">
        <v>2454</v>
      </c>
      <c r="B2340" s="33">
        <v>46060.52222222222</v>
      </c>
      <c r="C2340" s="33">
        <v>46062.89791666667</v>
      </c>
      <c r="D2340" s="19" t="s">
        <v>33</v>
      </c>
      <c r="E2340" s="19" t="s">
        <v>65</v>
      </c>
      <c r="F2340" s="19" t="s">
        <v>34</v>
      </c>
      <c r="G2340" s="19" t="s">
        <v>110</v>
      </c>
      <c r="H2340" s="19" t="s">
        <v>63</v>
      </c>
      <c r="I2340" s="19" t="s">
        <v>114</v>
      </c>
      <c r="J2340" s="20">
        <v>48</v>
      </c>
      <c r="K2340" s="34">
        <v>0</v>
      </c>
      <c r="L2340" s="34">
        <v>4</v>
      </c>
      <c r="M2340" s="19">
        <f>IF(OR(ISBLANK(C2340),C2340=""),"",ROUND((C2340-B2340)*24,2))</f>
        <v>57.02</v>
      </c>
      <c r="N2340" s="39" t="str">
        <f>IF(OR(ISBLANK(C2340),C2340="",M2340=""),"In Progress",IF(M2340&lt;=J2340,"Met","Breached"))</f>
        <v>Breached</v>
      </c>
    </row>
    <row r="2341" ht="19" customHeight="1" spans="1:14" x14ac:dyDescent="0.25">
      <c r="A2341" s="22" t="s">
        <v>2455</v>
      </c>
      <c r="B2341" s="36">
        <v>45759.59166666667</v>
      </c>
      <c r="C2341" s="36">
        <v>45762.992361111115</v>
      </c>
      <c r="D2341" s="22" t="s">
        <v>36</v>
      </c>
      <c r="E2341" s="22" t="s">
        <v>65</v>
      </c>
      <c r="F2341" s="22" t="s">
        <v>43</v>
      </c>
      <c r="G2341" s="22" t="s">
        <v>116</v>
      </c>
      <c r="H2341" s="22" t="s">
        <v>59</v>
      </c>
      <c r="I2341" s="22" t="s">
        <v>108</v>
      </c>
      <c r="J2341" s="23">
        <v>48</v>
      </c>
      <c r="K2341" s="37">
        <v>0</v>
      </c>
      <c r="L2341" s="37">
        <v>1</v>
      </c>
      <c r="M2341" s="22">
        <f>IF(OR(ISBLANK(C2341),C2341=""),"",ROUND((C2341-B2341)*24,2))</f>
        <v>81.62</v>
      </c>
      <c r="N2341" s="38" t="str">
        <f>IF(OR(ISBLANK(C2341),C2341="",M2341=""),"In Progress",IF(M2341&lt;=J2341,"Met","Breached"))</f>
        <v>Breached</v>
      </c>
    </row>
    <row r="2342" ht="19" customHeight="1" spans="1:14" x14ac:dyDescent="0.25">
      <c r="A2342" s="19" t="s">
        <v>2456</v>
      </c>
      <c r="B2342" s="33">
        <v>46116.48888888889</v>
      </c>
      <c r="C2342" s="33">
        <v>46117.14722222222</v>
      </c>
      <c r="D2342" s="19" t="s">
        <v>33</v>
      </c>
      <c r="E2342" s="19" t="s">
        <v>61</v>
      </c>
      <c r="F2342" s="19" t="s">
        <v>37</v>
      </c>
      <c r="G2342" s="19" t="s">
        <v>110</v>
      </c>
      <c r="H2342" s="19" t="s">
        <v>59</v>
      </c>
      <c r="I2342" s="19" t="s">
        <v>147</v>
      </c>
      <c r="J2342" s="20">
        <v>12</v>
      </c>
      <c r="K2342" s="34">
        <v>0</v>
      </c>
      <c r="L2342" s="34">
        <v>1</v>
      </c>
      <c r="M2342" s="19">
        <f>IF(OR(ISBLANK(C2342),C2342=""),"",ROUND((C2342-B2342)*24,2))</f>
        <v>15.8</v>
      </c>
      <c r="N2342" s="39" t="str">
        <f>IF(OR(ISBLANK(C2342),C2342="",M2342=""),"In Progress",IF(M2342&lt;=J2342,"Met","Breached"))</f>
        <v>Breached</v>
      </c>
    </row>
    <row r="2343" ht="19" customHeight="1" spans="1:14" x14ac:dyDescent="0.25">
      <c r="A2343" s="22" t="s">
        <v>2457</v>
      </c>
      <c r="B2343" s="36">
        <v>46073.7375</v>
      </c>
      <c r="C2343" s="36">
        <v>46074.63541666667</v>
      </c>
      <c r="D2343" s="22" t="s">
        <v>36</v>
      </c>
      <c r="E2343" s="22" t="s">
        <v>61</v>
      </c>
      <c r="F2343" s="22" t="s">
        <v>40</v>
      </c>
      <c r="G2343" s="22" t="s">
        <v>121</v>
      </c>
      <c r="H2343" s="22" t="s">
        <v>67</v>
      </c>
      <c r="I2343" s="22" t="s">
        <v>111</v>
      </c>
      <c r="J2343" s="23">
        <v>12</v>
      </c>
      <c r="K2343" s="37">
        <v>0</v>
      </c>
      <c r="L2343" s="37">
        <v>3</v>
      </c>
      <c r="M2343" s="22">
        <f>IF(OR(ISBLANK(C2343),C2343=""),"",ROUND((C2343-B2343)*24,2))</f>
        <v>21.55</v>
      </c>
      <c r="N2343" s="38" t="str">
        <f>IF(OR(ISBLANK(C2343),C2343="",M2343=""),"In Progress",IF(M2343&lt;=J2343,"Met","Breached"))</f>
        <v>Breached</v>
      </c>
    </row>
    <row r="2344" ht="19" customHeight="1" spans="1:14" x14ac:dyDescent="0.25">
      <c r="A2344" s="19" t="s">
        <v>2458</v>
      </c>
      <c r="B2344" s="33">
        <v>45743.600694444445</v>
      </c>
      <c r="C2344" s="33">
        <v>45744.24444444444</v>
      </c>
      <c r="D2344" s="19" t="s">
        <v>33</v>
      </c>
      <c r="E2344" s="19" t="s">
        <v>61</v>
      </c>
      <c r="F2344" s="19" t="s">
        <v>43</v>
      </c>
      <c r="G2344" s="19" t="s">
        <v>126</v>
      </c>
      <c r="H2344" s="19" t="s">
        <v>59</v>
      </c>
      <c r="I2344" s="19" t="s">
        <v>111</v>
      </c>
      <c r="J2344" s="20">
        <v>12</v>
      </c>
      <c r="K2344" s="34">
        <v>0</v>
      </c>
      <c r="M2344" s="19">
        <f>IF(OR(ISBLANK(C2344),C2344=""),"",ROUND((C2344-B2344)*24,2))</f>
        <v>15.45</v>
      </c>
      <c r="N2344" s="39" t="str">
        <f>IF(OR(ISBLANK(C2344),C2344="",M2344=""),"In Progress",IF(M2344&lt;=J2344,"Met","Breached"))</f>
        <v>Breached</v>
      </c>
    </row>
    <row r="2345" ht="19" customHeight="1" spans="1:14" x14ac:dyDescent="0.25">
      <c r="A2345" s="22" t="s">
        <v>2459</v>
      </c>
      <c r="B2345" s="36">
        <v>45949.205555555556</v>
      </c>
      <c r="C2345" s="36">
        <v>45951.33333333333</v>
      </c>
      <c r="D2345" s="22" t="s">
        <v>36</v>
      </c>
      <c r="E2345" s="22" t="s">
        <v>65</v>
      </c>
      <c r="F2345" s="22" t="s">
        <v>34</v>
      </c>
      <c r="G2345" s="22" t="s">
        <v>110</v>
      </c>
      <c r="H2345" s="22" t="s">
        <v>63</v>
      </c>
      <c r="I2345" s="22" t="s">
        <v>111</v>
      </c>
      <c r="J2345" s="23">
        <v>48</v>
      </c>
      <c r="K2345" s="37">
        <v>0</v>
      </c>
      <c r="L2345" s="37">
        <v>2</v>
      </c>
      <c r="M2345" s="22">
        <f>IF(OR(ISBLANK(C2345),C2345=""),"",ROUND((C2345-B2345)*24,2))</f>
        <v>51.07</v>
      </c>
      <c r="N2345" s="38" t="str">
        <f>IF(OR(ISBLANK(C2345),C2345="",M2345=""),"In Progress",IF(M2345&lt;=J2345,"Met","Breached"))</f>
        <v>Breached</v>
      </c>
    </row>
    <row r="2346" ht="19" customHeight="1" spans="1:14" x14ac:dyDescent="0.25">
      <c r="A2346" s="19" t="s">
        <v>2460</v>
      </c>
      <c r="B2346" s="33">
        <v>46201.86597222222</v>
      </c>
      <c r="C2346" s="33">
        <v>46205.29375</v>
      </c>
      <c r="D2346" s="19" t="s">
        <v>36</v>
      </c>
      <c r="E2346" s="19" t="s">
        <v>65</v>
      </c>
      <c r="F2346" s="19" t="s">
        <v>45</v>
      </c>
      <c r="G2346" s="19" t="s">
        <v>63</v>
      </c>
      <c r="H2346" s="19" t="s">
        <v>59</v>
      </c>
      <c r="I2346" s="19" t="s">
        <v>147</v>
      </c>
      <c r="J2346" s="20">
        <v>48</v>
      </c>
      <c r="K2346" s="34">
        <v>0</v>
      </c>
      <c r="M2346" s="19">
        <f>IF(OR(ISBLANK(C2346),C2346=""),"",ROUND((C2346-B2346)*24,2))</f>
        <v>82.27</v>
      </c>
      <c r="N2346" s="39" t="str">
        <f>IF(OR(ISBLANK(C2346),C2346="",M2346=""),"In Progress",IF(M2346&lt;=J2346,"Met","Breached"))</f>
        <v>Breached</v>
      </c>
    </row>
    <row r="2347" ht="19" customHeight="1" spans="1:14" x14ac:dyDescent="0.25">
      <c r="A2347" s="22" t="s">
        <v>2461</v>
      </c>
      <c r="B2347" s="36">
        <v>45890.040972222225</v>
      </c>
      <c r="D2347" s="22" t="s">
        <v>39</v>
      </c>
      <c r="E2347" s="22" t="s">
        <v>69</v>
      </c>
      <c r="F2347" s="22" t="s">
        <v>43</v>
      </c>
      <c r="G2347" s="22" t="s">
        <v>121</v>
      </c>
      <c r="H2347" s="22" t="s">
        <v>71</v>
      </c>
      <c r="I2347" s="22" t="s">
        <v>111</v>
      </c>
      <c r="J2347" s="23">
        <v>120</v>
      </c>
      <c r="K2347" s="37">
        <v>0</v>
      </c>
      <c r="M2347" s="22" t="str">
        <f>IF(OR(ISBLANK(C2347),C2347=""),"",ROUND((C2347-B2347)*24,2))</f>
        <v/>
      </c>
      <c r="N2347" s="22" t="str">
        <f>IF(OR(ISBLANK(C2347),C2347="",M2347=""),"In Progress",IF(M2347&lt;=J2347,"Met","Breached"))</f>
        <v>In Progress</v>
      </c>
    </row>
    <row r="2348" ht="19" customHeight="1" spans="1:14" x14ac:dyDescent="0.25">
      <c r="A2348" s="19" t="s">
        <v>2462</v>
      </c>
      <c r="B2348" s="33">
        <v>45754.294444444444</v>
      </c>
      <c r="C2348" s="33">
        <v>45758.08263888889</v>
      </c>
      <c r="D2348" s="19" t="s">
        <v>33</v>
      </c>
      <c r="E2348" s="19" t="s">
        <v>69</v>
      </c>
      <c r="F2348" s="19" t="s">
        <v>40</v>
      </c>
      <c r="G2348" s="19" t="s">
        <v>110</v>
      </c>
      <c r="H2348" s="19" t="s">
        <v>59</v>
      </c>
      <c r="I2348" s="19" t="s">
        <v>111</v>
      </c>
      <c r="J2348" s="20">
        <v>120</v>
      </c>
      <c r="K2348" s="34">
        <v>0</v>
      </c>
      <c r="M2348" s="19">
        <f>IF(OR(ISBLANK(C2348),C2348=""),"",ROUND((C2348-B2348)*24,2))</f>
        <v>90.92</v>
      </c>
      <c r="N2348" s="35" t="str">
        <f>IF(OR(ISBLANK(C2348),C2348="",M2348=""),"In Progress",IF(M2348&lt;=J2348,"Met","Breached"))</f>
        <v>Met</v>
      </c>
    </row>
    <row r="2349" ht="19" customHeight="1" spans="1:14" x14ac:dyDescent="0.25">
      <c r="A2349" s="22" t="s">
        <v>2463</v>
      </c>
      <c r="B2349" s="36">
        <v>45882.82777777778</v>
      </c>
      <c r="D2349" s="22" t="s">
        <v>39</v>
      </c>
      <c r="E2349" s="22" t="s">
        <v>69</v>
      </c>
      <c r="F2349" s="22" t="s">
        <v>40</v>
      </c>
      <c r="G2349" s="22" t="s">
        <v>126</v>
      </c>
      <c r="H2349" s="22" t="s">
        <v>63</v>
      </c>
      <c r="I2349" s="22" t="s">
        <v>111</v>
      </c>
      <c r="J2349" s="23">
        <v>120</v>
      </c>
      <c r="K2349" s="37">
        <v>0</v>
      </c>
      <c r="M2349" s="22" t="str">
        <f>IF(OR(ISBLANK(C2349),C2349=""),"",ROUND((C2349-B2349)*24,2))</f>
        <v/>
      </c>
      <c r="N2349" s="22" t="str">
        <f>IF(OR(ISBLANK(C2349),C2349="",M2349=""),"In Progress",IF(M2349&lt;=J2349,"Met","Breached"))</f>
        <v>In Progress</v>
      </c>
    </row>
    <row r="2350" ht="19" customHeight="1" spans="1:14" x14ac:dyDescent="0.25">
      <c r="A2350" s="19" t="s">
        <v>2464</v>
      </c>
      <c r="B2350" s="33">
        <v>45981.99375</v>
      </c>
      <c r="C2350" s="33">
        <v>45982.64375</v>
      </c>
      <c r="D2350" s="19" t="s">
        <v>33</v>
      </c>
      <c r="E2350" s="19" t="s">
        <v>65</v>
      </c>
      <c r="F2350" s="19" t="s">
        <v>34</v>
      </c>
      <c r="G2350" s="19" t="s">
        <v>126</v>
      </c>
      <c r="H2350" s="19" t="s">
        <v>63</v>
      </c>
      <c r="I2350" s="19" t="s">
        <v>108</v>
      </c>
      <c r="J2350" s="20">
        <v>48</v>
      </c>
      <c r="K2350" s="34">
        <v>0</v>
      </c>
      <c r="L2350" s="34">
        <v>2</v>
      </c>
      <c r="M2350" s="19">
        <f>IF(OR(ISBLANK(C2350),C2350=""),"",ROUND((C2350-B2350)*24,2))</f>
        <v>15.6</v>
      </c>
      <c r="N2350" s="35" t="str">
        <f>IF(OR(ISBLANK(C2350),C2350="",M2350=""),"In Progress",IF(M2350&lt;=J2350,"Met","Breached"))</f>
        <v>Met</v>
      </c>
    </row>
    <row r="2351" ht="19" customHeight="1" spans="1:14" x14ac:dyDescent="0.25">
      <c r="A2351" s="22" t="s">
        <v>2465</v>
      </c>
      <c r="B2351" s="36">
        <v>46278.26388888889</v>
      </c>
      <c r="D2351" s="22" t="s">
        <v>42</v>
      </c>
      <c r="E2351" s="22" t="s">
        <v>65</v>
      </c>
      <c r="F2351" s="22" t="s">
        <v>43</v>
      </c>
      <c r="G2351" s="22" t="s">
        <v>63</v>
      </c>
      <c r="H2351" s="22" t="s">
        <v>59</v>
      </c>
      <c r="I2351" s="22" t="s">
        <v>114</v>
      </c>
      <c r="J2351" s="23">
        <v>48</v>
      </c>
      <c r="K2351" s="37">
        <v>0</v>
      </c>
      <c r="M2351" s="22" t="str">
        <f>IF(OR(ISBLANK(C2351),C2351=""),"",ROUND((C2351-B2351)*24,2))</f>
        <v/>
      </c>
      <c r="N2351" s="22" t="str">
        <f>IF(OR(ISBLANK(C2351),C2351="",M2351=""),"In Progress",IF(M2351&lt;=J2351,"Met","Breached"))</f>
        <v>In Progress</v>
      </c>
    </row>
    <row r="2352" ht="19" customHeight="1" spans="1:14" x14ac:dyDescent="0.25">
      <c r="A2352" s="19" t="s">
        <v>2466</v>
      </c>
      <c r="B2352" s="33">
        <v>45978.45277777778</v>
      </c>
      <c r="C2352" s="33">
        <v>45981.79305555555</v>
      </c>
      <c r="D2352" s="19" t="s">
        <v>36</v>
      </c>
      <c r="E2352" s="19" t="s">
        <v>65</v>
      </c>
      <c r="F2352" s="19" t="s">
        <v>34</v>
      </c>
      <c r="G2352" s="19" t="s">
        <v>126</v>
      </c>
      <c r="H2352" s="19" t="s">
        <v>59</v>
      </c>
      <c r="I2352" s="19" t="s">
        <v>147</v>
      </c>
      <c r="J2352" s="20">
        <v>48</v>
      </c>
      <c r="K2352" s="34">
        <v>0</v>
      </c>
      <c r="M2352" s="19">
        <f>IF(OR(ISBLANK(C2352),C2352=""),"",ROUND((C2352-B2352)*24,2))</f>
        <v>80.17</v>
      </c>
      <c r="N2352" s="39" t="str">
        <f>IF(OR(ISBLANK(C2352),C2352="",M2352=""),"In Progress",IF(M2352&lt;=J2352,"Met","Breached"))</f>
        <v>Breached</v>
      </c>
    </row>
    <row r="2353" ht="19" customHeight="1" spans="1:14" x14ac:dyDescent="0.25">
      <c r="A2353" s="22" t="s">
        <v>2467</v>
      </c>
      <c r="B2353" s="36">
        <v>45836.072222222225</v>
      </c>
      <c r="D2353" s="22" t="s">
        <v>39</v>
      </c>
      <c r="E2353" s="22" t="s">
        <v>69</v>
      </c>
      <c r="F2353" s="22" t="s">
        <v>34</v>
      </c>
      <c r="G2353" s="22" t="s">
        <v>110</v>
      </c>
      <c r="H2353" s="22" t="s">
        <v>59</v>
      </c>
      <c r="I2353" s="22" t="s">
        <v>123</v>
      </c>
      <c r="J2353" s="23">
        <v>120</v>
      </c>
      <c r="K2353" s="37">
        <v>0</v>
      </c>
      <c r="M2353" s="22" t="str">
        <f>IF(OR(ISBLANK(C2353),C2353=""),"",ROUND((C2353-B2353)*24,2))</f>
        <v/>
      </c>
      <c r="N2353" s="22" t="str">
        <f>IF(OR(ISBLANK(C2353),C2353="",M2353=""),"In Progress",IF(M2353&lt;=J2353,"Met","Breached"))</f>
        <v>In Progress</v>
      </c>
    </row>
    <row r="2354" ht="19" customHeight="1" spans="1:14" x14ac:dyDescent="0.25">
      <c r="A2354" s="19" t="s">
        <v>2468</v>
      </c>
      <c r="B2354" s="33">
        <v>45728.072222222225</v>
      </c>
      <c r="C2354" s="33">
        <v>45730.53263888889</v>
      </c>
      <c r="D2354" s="19" t="s">
        <v>33</v>
      </c>
      <c r="E2354" s="19" t="s">
        <v>65</v>
      </c>
      <c r="F2354" s="19" t="s">
        <v>45</v>
      </c>
      <c r="G2354" s="19" t="s">
        <v>113</v>
      </c>
      <c r="H2354" s="19" t="s">
        <v>59</v>
      </c>
      <c r="I2354" s="19" t="s">
        <v>117</v>
      </c>
      <c r="J2354" s="20">
        <v>48</v>
      </c>
      <c r="K2354" s="34">
        <v>0</v>
      </c>
      <c r="L2354" s="34">
        <v>4</v>
      </c>
      <c r="M2354" s="19">
        <f>IF(OR(ISBLANK(C2354),C2354=""),"",ROUND((C2354-B2354)*24,2))</f>
        <v>59.05</v>
      </c>
      <c r="N2354" s="39" t="str">
        <f>IF(OR(ISBLANK(C2354),C2354="",M2354=""),"In Progress",IF(M2354&lt;=J2354,"Met","Breached"))</f>
        <v>Breached</v>
      </c>
    </row>
    <row r="2355" ht="19" customHeight="1" spans="1:14" x14ac:dyDescent="0.25">
      <c r="A2355" s="22" t="s">
        <v>2469</v>
      </c>
      <c r="B2355" s="36">
        <v>46243.648611111115</v>
      </c>
      <c r="D2355" s="22" t="s">
        <v>42</v>
      </c>
      <c r="E2355" s="22" t="s">
        <v>69</v>
      </c>
      <c r="F2355" s="22" t="s">
        <v>40</v>
      </c>
      <c r="G2355" s="22" t="s">
        <v>63</v>
      </c>
      <c r="H2355" s="22" t="s">
        <v>67</v>
      </c>
      <c r="I2355" s="22" t="s">
        <v>108</v>
      </c>
      <c r="J2355" s="23">
        <v>120</v>
      </c>
      <c r="K2355" s="37">
        <v>0</v>
      </c>
      <c r="M2355" s="22" t="str">
        <f>IF(OR(ISBLANK(C2355),C2355=""),"",ROUND((C2355-B2355)*24,2))</f>
        <v/>
      </c>
      <c r="N2355" s="22" t="str">
        <f>IF(OR(ISBLANK(C2355),C2355="",M2355=""),"In Progress",IF(M2355&lt;=J2355,"Met","Breached"))</f>
        <v>In Progress</v>
      </c>
    </row>
    <row r="2356" ht="19" customHeight="1" spans="1:14" x14ac:dyDescent="0.25">
      <c r="A2356" s="19" t="s">
        <v>2470</v>
      </c>
      <c r="B2356" s="33">
        <v>46138.6375</v>
      </c>
      <c r="C2356" s="33">
        <v>46147.25347222222</v>
      </c>
      <c r="D2356" s="19" t="s">
        <v>33</v>
      </c>
      <c r="E2356" s="19" t="s">
        <v>69</v>
      </c>
      <c r="F2356" s="19" t="s">
        <v>43</v>
      </c>
      <c r="G2356" s="19" t="s">
        <v>126</v>
      </c>
      <c r="H2356" s="19" t="s">
        <v>71</v>
      </c>
      <c r="I2356" s="19" t="s">
        <v>108</v>
      </c>
      <c r="J2356" s="20">
        <v>120</v>
      </c>
      <c r="K2356" s="34">
        <v>0</v>
      </c>
      <c r="L2356" s="34">
        <v>2</v>
      </c>
      <c r="M2356" s="19">
        <f>IF(OR(ISBLANK(C2356),C2356=""),"",ROUND((C2356-B2356)*24,2))</f>
        <v>206.78</v>
      </c>
      <c r="N2356" s="39" t="str">
        <f>IF(OR(ISBLANK(C2356),C2356="",M2356=""),"In Progress",IF(M2356&lt;=J2356,"Met","Breached"))</f>
        <v>Breached</v>
      </c>
    </row>
    <row r="2357" ht="19" customHeight="1" spans="1:14" x14ac:dyDescent="0.25">
      <c r="A2357" s="22" t="s">
        <v>2471</v>
      </c>
      <c r="B2357" s="36">
        <v>46019.99375</v>
      </c>
      <c r="C2357" s="36">
        <v>46023.29236111111</v>
      </c>
      <c r="D2357" s="22" t="s">
        <v>36</v>
      </c>
      <c r="E2357" s="22" t="s">
        <v>65</v>
      </c>
      <c r="F2357" s="22" t="s">
        <v>34</v>
      </c>
      <c r="G2357" s="22" t="s">
        <v>116</v>
      </c>
      <c r="H2357" s="22" t="s">
        <v>59</v>
      </c>
      <c r="I2357" s="22" t="s">
        <v>108</v>
      </c>
      <c r="J2357" s="23">
        <v>48</v>
      </c>
      <c r="K2357" s="37">
        <v>0</v>
      </c>
      <c r="L2357" s="37">
        <v>2</v>
      </c>
      <c r="M2357" s="22">
        <f>IF(OR(ISBLANK(C2357),C2357=""),"",ROUND((C2357-B2357)*24,2))</f>
        <v>79.17</v>
      </c>
      <c r="N2357" s="38" t="str">
        <f>IF(OR(ISBLANK(C2357),C2357="",M2357=""),"In Progress",IF(M2357&lt;=J2357,"Met","Breached"))</f>
        <v>Breached</v>
      </c>
    </row>
    <row r="2358" ht="19" customHeight="1" spans="1:14" x14ac:dyDescent="0.25">
      <c r="A2358" s="19" t="s">
        <v>2472</v>
      </c>
      <c r="B2358" s="33">
        <v>46048.04166666667</v>
      </c>
      <c r="C2358" s="33">
        <v>46055.972916666666</v>
      </c>
      <c r="D2358" s="19" t="s">
        <v>36</v>
      </c>
      <c r="E2358" s="19" t="s">
        <v>69</v>
      </c>
      <c r="F2358" s="19" t="s">
        <v>45</v>
      </c>
      <c r="G2358" s="19" t="s">
        <v>113</v>
      </c>
      <c r="H2358" s="19" t="s">
        <v>59</v>
      </c>
      <c r="I2358" s="19" t="s">
        <v>114</v>
      </c>
      <c r="J2358" s="20">
        <v>120</v>
      </c>
      <c r="K2358" s="34">
        <v>0</v>
      </c>
      <c r="M2358" s="19">
        <f>IF(OR(ISBLANK(C2358),C2358=""),"",ROUND((C2358-B2358)*24,2))</f>
        <v>190.35</v>
      </c>
      <c r="N2358" s="39" t="str">
        <f>IF(OR(ISBLANK(C2358),C2358="",M2358=""),"In Progress",IF(M2358&lt;=J2358,"Met","Breached"))</f>
        <v>Breached</v>
      </c>
    </row>
    <row r="2359" ht="19" customHeight="1" spans="1:14" x14ac:dyDescent="0.25">
      <c r="A2359" s="22" t="s">
        <v>2473</v>
      </c>
      <c r="B2359" s="36">
        <v>46057.069444444445</v>
      </c>
      <c r="C2359" s="36">
        <v>46062.84097222222</v>
      </c>
      <c r="D2359" s="22" t="s">
        <v>33</v>
      </c>
      <c r="E2359" s="22" t="s">
        <v>69</v>
      </c>
      <c r="F2359" s="22" t="s">
        <v>45</v>
      </c>
      <c r="G2359" s="22" t="s">
        <v>63</v>
      </c>
      <c r="H2359" s="22" t="s">
        <v>63</v>
      </c>
      <c r="I2359" s="22" t="s">
        <v>147</v>
      </c>
      <c r="J2359" s="23">
        <v>120</v>
      </c>
      <c r="K2359" s="37">
        <v>0</v>
      </c>
      <c r="M2359" s="22">
        <f>IF(OR(ISBLANK(C2359),C2359=""),"",ROUND((C2359-B2359)*24,2))</f>
        <v>138.52</v>
      </c>
      <c r="N2359" s="38" t="str">
        <f>IF(OR(ISBLANK(C2359),C2359="",M2359=""),"In Progress",IF(M2359&lt;=J2359,"Met","Breached"))</f>
        <v>Breached</v>
      </c>
    </row>
    <row r="2360" ht="19" customHeight="1" spans="1:14" x14ac:dyDescent="0.25">
      <c r="A2360" s="19" t="s">
        <v>2474</v>
      </c>
      <c r="B2360" s="33">
        <v>46148.64791666667</v>
      </c>
      <c r="C2360" s="33">
        <v>46149.26944444445</v>
      </c>
      <c r="D2360" s="19" t="s">
        <v>36</v>
      </c>
      <c r="E2360" s="19" t="s">
        <v>61</v>
      </c>
      <c r="F2360" s="19" t="s">
        <v>37</v>
      </c>
      <c r="G2360" s="19" t="s">
        <v>121</v>
      </c>
      <c r="H2360" s="19" t="s">
        <v>63</v>
      </c>
      <c r="I2360" s="19" t="s">
        <v>117</v>
      </c>
      <c r="J2360" s="20">
        <v>12</v>
      </c>
      <c r="K2360" s="34">
        <v>0</v>
      </c>
      <c r="M2360" s="19">
        <f>IF(OR(ISBLANK(C2360),C2360=""),"",ROUND((C2360-B2360)*24,2))</f>
        <v>14.92</v>
      </c>
      <c r="N2360" s="39" t="str">
        <f>IF(OR(ISBLANK(C2360),C2360="",M2360=""),"In Progress",IF(M2360&lt;=J2360,"Met","Breached"))</f>
        <v>Breached</v>
      </c>
    </row>
    <row r="2361" ht="19" customHeight="1" spans="1:14" x14ac:dyDescent="0.25">
      <c r="A2361" s="22" t="s">
        <v>2475</v>
      </c>
      <c r="B2361" s="36">
        <v>46037.080555555556</v>
      </c>
      <c r="C2361" s="36">
        <v>46037.9</v>
      </c>
      <c r="D2361" s="22" t="s">
        <v>33</v>
      </c>
      <c r="E2361" s="22" t="s">
        <v>65</v>
      </c>
      <c r="F2361" s="22" t="s">
        <v>37</v>
      </c>
      <c r="G2361" s="22" t="s">
        <v>116</v>
      </c>
      <c r="H2361" s="22" t="s">
        <v>63</v>
      </c>
      <c r="I2361" s="22" t="s">
        <v>147</v>
      </c>
      <c r="J2361" s="23">
        <v>48</v>
      </c>
      <c r="K2361" s="37">
        <v>0</v>
      </c>
      <c r="L2361" s="37">
        <v>2</v>
      </c>
      <c r="M2361" s="22">
        <f>IF(OR(ISBLANK(C2361),C2361=""),"",ROUND((C2361-B2361)*24,2))</f>
        <v>19.67</v>
      </c>
      <c r="N2361" s="40" t="str">
        <f>IF(OR(ISBLANK(C2361),C2361="",M2361=""),"In Progress",IF(M2361&lt;=J2361,"Met","Breached"))</f>
        <v>Met</v>
      </c>
    </row>
    <row r="2362" ht="19" customHeight="1" spans="1:14" x14ac:dyDescent="0.25">
      <c r="A2362" s="19" t="s">
        <v>2476</v>
      </c>
      <c r="B2362" s="33">
        <v>46178.84236111111</v>
      </c>
      <c r="C2362" s="33">
        <v>46187.49861111111</v>
      </c>
      <c r="D2362" s="19" t="s">
        <v>33</v>
      </c>
      <c r="E2362" s="19" t="s">
        <v>69</v>
      </c>
      <c r="F2362" s="19" t="s">
        <v>37</v>
      </c>
      <c r="G2362" s="19" t="s">
        <v>116</v>
      </c>
      <c r="H2362" s="19" t="s">
        <v>59</v>
      </c>
      <c r="I2362" s="19" t="s">
        <v>108</v>
      </c>
      <c r="J2362" s="20">
        <v>120</v>
      </c>
      <c r="K2362" s="34">
        <v>0</v>
      </c>
      <c r="L2362" s="34">
        <v>1</v>
      </c>
      <c r="M2362" s="19">
        <f>IF(OR(ISBLANK(C2362),C2362=""),"",ROUND((C2362-B2362)*24,2))</f>
        <v>207.75</v>
      </c>
      <c r="N2362" s="39" t="str">
        <f>IF(OR(ISBLANK(C2362),C2362="",M2362=""),"In Progress",IF(M2362&lt;=J2362,"Met","Breached"))</f>
        <v>Breached</v>
      </c>
    </row>
    <row r="2363" ht="19" customHeight="1" spans="1:14" x14ac:dyDescent="0.25">
      <c r="A2363" s="22" t="s">
        <v>2477</v>
      </c>
      <c r="B2363" s="36">
        <v>45709.69930555555</v>
      </c>
      <c r="C2363" s="36">
        <v>45711.71041666667</v>
      </c>
      <c r="D2363" s="22" t="s">
        <v>33</v>
      </c>
      <c r="E2363" s="22" t="s">
        <v>69</v>
      </c>
      <c r="F2363" s="22" t="s">
        <v>37</v>
      </c>
      <c r="G2363" s="22" t="s">
        <v>63</v>
      </c>
      <c r="H2363" s="22" t="s">
        <v>59</v>
      </c>
      <c r="I2363" s="22" t="s">
        <v>114</v>
      </c>
      <c r="J2363" s="23">
        <v>120</v>
      </c>
      <c r="K2363" s="37">
        <v>0</v>
      </c>
      <c r="L2363" s="37">
        <v>5</v>
      </c>
      <c r="M2363" s="22">
        <f>IF(OR(ISBLANK(C2363),C2363=""),"",ROUND((C2363-B2363)*24,2))</f>
        <v>48.27</v>
      </c>
      <c r="N2363" s="40" t="str">
        <f>IF(OR(ISBLANK(C2363),C2363="",M2363=""),"In Progress",IF(M2363&lt;=J2363,"Met","Breached"))</f>
        <v>Met</v>
      </c>
    </row>
    <row r="2364" ht="19" customHeight="1" spans="1:14" x14ac:dyDescent="0.25">
      <c r="A2364" s="19" t="s">
        <v>2478</v>
      </c>
      <c r="B2364" s="33">
        <v>46054.53611111111</v>
      </c>
      <c r="D2364" s="19" t="s">
        <v>39</v>
      </c>
      <c r="E2364" s="19" t="s">
        <v>69</v>
      </c>
      <c r="F2364" s="19" t="s">
        <v>34</v>
      </c>
      <c r="G2364" s="19" t="s">
        <v>121</v>
      </c>
      <c r="H2364" s="19" t="s">
        <v>59</v>
      </c>
      <c r="I2364" s="19" t="s">
        <v>114</v>
      </c>
      <c r="J2364" s="20">
        <v>120</v>
      </c>
      <c r="K2364" s="34">
        <v>0</v>
      </c>
      <c r="M2364" s="19" t="str">
        <f>IF(OR(ISBLANK(C2364),C2364=""),"",ROUND((C2364-B2364)*24,2))</f>
        <v/>
      </c>
      <c r="N2364" s="19" t="str">
        <f>IF(OR(ISBLANK(C2364),C2364="",M2364=""),"In Progress",IF(M2364&lt;=J2364,"Met","Breached"))</f>
        <v>In Progress</v>
      </c>
    </row>
    <row r="2365" ht="19" customHeight="1" spans="1:14" x14ac:dyDescent="0.25">
      <c r="A2365" s="22" t="s">
        <v>2479</v>
      </c>
      <c r="B2365" s="36">
        <v>45948.48055555555</v>
      </c>
      <c r="C2365" s="36">
        <v>45948.92916666667</v>
      </c>
      <c r="D2365" s="22" t="s">
        <v>33</v>
      </c>
      <c r="E2365" s="22" t="s">
        <v>61</v>
      </c>
      <c r="F2365" s="22" t="s">
        <v>34</v>
      </c>
      <c r="G2365" s="22" t="s">
        <v>116</v>
      </c>
      <c r="H2365" s="22" t="s">
        <v>63</v>
      </c>
      <c r="I2365" s="22" t="s">
        <v>117</v>
      </c>
      <c r="J2365" s="23">
        <v>12</v>
      </c>
      <c r="K2365" s="37">
        <v>0</v>
      </c>
      <c r="M2365" s="22">
        <f>IF(OR(ISBLANK(C2365),C2365=""),"",ROUND((C2365-B2365)*24,2))</f>
        <v>10.77</v>
      </c>
      <c r="N2365" s="40" t="str">
        <f>IF(OR(ISBLANK(C2365),C2365="",M2365=""),"In Progress",IF(M2365&lt;=J2365,"Met","Breached"))</f>
        <v>Met</v>
      </c>
    </row>
    <row r="2366" ht="19" customHeight="1" spans="1:14" x14ac:dyDescent="0.25">
      <c r="A2366" s="19" t="s">
        <v>2480</v>
      </c>
      <c r="B2366" s="33">
        <v>46208.82361111111</v>
      </c>
      <c r="C2366" s="33">
        <v>46208.87569444445</v>
      </c>
      <c r="D2366" s="19" t="s">
        <v>36</v>
      </c>
      <c r="E2366" s="19" t="s">
        <v>57</v>
      </c>
      <c r="F2366" s="19" t="s">
        <v>45</v>
      </c>
      <c r="G2366" s="19" t="s">
        <v>113</v>
      </c>
      <c r="H2366" s="19" t="s">
        <v>67</v>
      </c>
      <c r="I2366" s="19" t="s">
        <v>123</v>
      </c>
      <c r="J2366" s="20">
        <v>4</v>
      </c>
      <c r="K2366" s="34">
        <v>0</v>
      </c>
      <c r="L2366" s="34">
        <v>2</v>
      </c>
      <c r="M2366" s="19">
        <f>IF(OR(ISBLANK(C2366),C2366=""),"",ROUND((C2366-B2366)*24,2))</f>
        <v>1.25</v>
      </c>
      <c r="N2366" s="35" t="str">
        <f>IF(OR(ISBLANK(C2366),C2366="",M2366=""),"In Progress",IF(M2366&lt;=J2366,"Met","Breached"))</f>
        <v>Met</v>
      </c>
    </row>
    <row r="2367" ht="19" customHeight="1" spans="1:14" x14ac:dyDescent="0.25">
      <c r="A2367" s="22" t="s">
        <v>2481</v>
      </c>
      <c r="B2367" s="36">
        <v>45972.87638888889</v>
      </c>
      <c r="D2367" s="22" t="s">
        <v>39</v>
      </c>
      <c r="E2367" s="22" t="s">
        <v>65</v>
      </c>
      <c r="F2367" s="22" t="s">
        <v>43</v>
      </c>
      <c r="G2367" s="22" t="s">
        <v>113</v>
      </c>
      <c r="H2367" s="22" t="s">
        <v>63</v>
      </c>
      <c r="I2367" s="22" t="s">
        <v>111</v>
      </c>
      <c r="J2367" s="23">
        <v>48</v>
      </c>
      <c r="K2367" s="37">
        <v>0</v>
      </c>
      <c r="M2367" s="22" t="str">
        <f>IF(OR(ISBLANK(C2367),C2367=""),"",ROUND((C2367-B2367)*24,2))</f>
        <v/>
      </c>
      <c r="N2367" s="22" t="str">
        <f>IF(OR(ISBLANK(C2367),C2367="",M2367=""),"In Progress",IF(M2367&lt;=J2367,"Met","Breached"))</f>
        <v>In Progress</v>
      </c>
    </row>
    <row r="2368" ht="19" customHeight="1" spans="1:14" x14ac:dyDescent="0.25">
      <c r="A2368" s="19" t="s">
        <v>2482</v>
      </c>
      <c r="B2368" s="33">
        <v>46139.79513888889</v>
      </c>
      <c r="C2368" s="33">
        <v>46140.02013888889</v>
      </c>
      <c r="D2368" s="19" t="s">
        <v>36</v>
      </c>
      <c r="E2368" s="19" t="s">
        <v>57</v>
      </c>
      <c r="F2368" s="19" t="s">
        <v>37</v>
      </c>
      <c r="G2368" s="19" t="s">
        <v>63</v>
      </c>
      <c r="H2368" s="19" t="s">
        <v>63</v>
      </c>
      <c r="I2368" s="19" t="s">
        <v>111</v>
      </c>
      <c r="J2368" s="20">
        <v>4</v>
      </c>
      <c r="K2368" s="34">
        <v>0</v>
      </c>
      <c r="L2368" s="34">
        <v>2</v>
      </c>
      <c r="M2368" s="19">
        <f>IF(OR(ISBLANK(C2368),C2368=""),"",ROUND((C2368-B2368)*24,2))</f>
        <v>5.4</v>
      </c>
      <c r="N2368" s="39" t="str">
        <f>IF(OR(ISBLANK(C2368),C2368="",M2368=""),"In Progress",IF(M2368&lt;=J2368,"Met","Breached"))</f>
        <v>Breached</v>
      </c>
    </row>
    <row r="2369" ht="19" customHeight="1" spans="1:14" x14ac:dyDescent="0.25">
      <c r="A2369" s="22" t="s">
        <v>2483</v>
      </c>
      <c r="B2369" s="36">
        <v>45939.26736111111</v>
      </c>
      <c r="D2369" s="22" t="s">
        <v>39</v>
      </c>
      <c r="E2369" s="22" t="s">
        <v>65</v>
      </c>
      <c r="F2369" s="22" t="s">
        <v>34</v>
      </c>
      <c r="G2369" s="22" t="s">
        <v>110</v>
      </c>
      <c r="H2369" s="22" t="s">
        <v>59</v>
      </c>
      <c r="I2369" s="22" t="s">
        <v>111</v>
      </c>
      <c r="J2369" s="23">
        <v>48</v>
      </c>
      <c r="K2369" s="37">
        <v>0</v>
      </c>
      <c r="M2369" s="22" t="str">
        <f>IF(OR(ISBLANK(C2369),C2369=""),"",ROUND((C2369-B2369)*24,2))</f>
        <v/>
      </c>
      <c r="N2369" s="22" t="str">
        <f>IF(OR(ISBLANK(C2369),C2369="",M2369=""),"In Progress",IF(M2369&lt;=J2369,"Met","Breached"))</f>
        <v>In Progress</v>
      </c>
    </row>
    <row r="2370" ht="19" customHeight="1" spans="1:14" x14ac:dyDescent="0.25">
      <c r="A2370" s="19" t="s">
        <v>2484</v>
      </c>
      <c r="B2370" s="33">
        <v>46273.992361111115</v>
      </c>
      <c r="D2370" s="19" t="s">
        <v>42</v>
      </c>
      <c r="E2370" s="19" t="s">
        <v>69</v>
      </c>
      <c r="F2370" s="19" t="s">
        <v>34</v>
      </c>
      <c r="G2370" s="19" t="s">
        <v>113</v>
      </c>
      <c r="H2370" s="19" t="s">
        <v>67</v>
      </c>
      <c r="I2370" s="19" t="s">
        <v>114</v>
      </c>
      <c r="J2370" s="20">
        <v>120</v>
      </c>
      <c r="K2370" s="34">
        <v>0</v>
      </c>
      <c r="M2370" s="19" t="str">
        <f>IF(OR(ISBLANK(C2370),C2370=""),"",ROUND((C2370-B2370)*24,2))</f>
        <v/>
      </c>
      <c r="N2370" s="19" t="str">
        <f>IF(OR(ISBLANK(C2370),C2370="",M2370=""),"In Progress",IF(M2370&lt;=J2370,"Met","Breached"))</f>
        <v>In Progress</v>
      </c>
    </row>
    <row r="2371" ht="19" customHeight="1" spans="1:14" x14ac:dyDescent="0.25">
      <c r="A2371" s="22" t="s">
        <v>2485</v>
      </c>
      <c r="B2371" s="36">
        <v>45730.132638888885</v>
      </c>
      <c r="C2371" s="36">
        <v>45734.25</v>
      </c>
      <c r="D2371" s="22" t="s">
        <v>33</v>
      </c>
      <c r="E2371" s="22" t="s">
        <v>69</v>
      </c>
      <c r="F2371" s="22" t="s">
        <v>40</v>
      </c>
      <c r="G2371" s="22" t="s">
        <v>110</v>
      </c>
      <c r="H2371" s="22" t="s">
        <v>63</v>
      </c>
      <c r="I2371" s="22" t="s">
        <v>117</v>
      </c>
      <c r="J2371" s="23">
        <v>120</v>
      </c>
      <c r="K2371" s="37">
        <v>0</v>
      </c>
      <c r="L2371" s="37">
        <v>5</v>
      </c>
      <c r="M2371" s="22">
        <f>IF(OR(ISBLANK(C2371),C2371=""),"",ROUND((C2371-B2371)*24,2))</f>
        <v>98.82</v>
      </c>
      <c r="N2371" s="40" t="str">
        <f>IF(OR(ISBLANK(C2371),C2371="",M2371=""),"In Progress",IF(M2371&lt;=J2371,"Met","Breached"))</f>
        <v>Met</v>
      </c>
    </row>
    <row r="2372" ht="19" customHeight="1" spans="1:14" x14ac:dyDescent="0.25">
      <c r="A2372" s="19" t="s">
        <v>2486</v>
      </c>
      <c r="B2372" s="33">
        <v>46224.01180555555</v>
      </c>
      <c r="D2372" s="19" t="s">
        <v>39</v>
      </c>
      <c r="E2372" s="19" t="s">
        <v>57</v>
      </c>
      <c r="F2372" s="19" t="s">
        <v>34</v>
      </c>
      <c r="G2372" s="19" t="s">
        <v>116</v>
      </c>
      <c r="H2372" s="19" t="s">
        <v>59</v>
      </c>
      <c r="I2372" s="19" t="s">
        <v>108</v>
      </c>
      <c r="J2372" s="20">
        <v>4</v>
      </c>
      <c r="K2372" s="34">
        <v>0</v>
      </c>
      <c r="M2372" s="19" t="str">
        <f>IF(OR(ISBLANK(C2372),C2372=""),"",ROUND((C2372-B2372)*24,2))</f>
        <v/>
      </c>
      <c r="N2372" s="19" t="str">
        <f>IF(OR(ISBLANK(C2372),C2372="",M2372=""),"In Progress",IF(M2372&lt;=J2372,"Met","Breached"))</f>
        <v>In Progress</v>
      </c>
    </row>
    <row r="2373" ht="19" customHeight="1" spans="1:14" x14ac:dyDescent="0.25">
      <c r="A2373" s="22" t="s">
        <v>2487</v>
      </c>
      <c r="B2373" s="36">
        <v>45700.211805555555</v>
      </c>
      <c r="C2373" s="36">
        <v>45700.88958333334</v>
      </c>
      <c r="D2373" s="22" t="s">
        <v>33</v>
      </c>
      <c r="E2373" s="22" t="s">
        <v>61</v>
      </c>
      <c r="F2373" s="22" t="s">
        <v>34</v>
      </c>
      <c r="G2373" s="22" t="s">
        <v>110</v>
      </c>
      <c r="H2373" s="22" t="s">
        <v>71</v>
      </c>
      <c r="I2373" s="22" t="s">
        <v>111</v>
      </c>
      <c r="J2373" s="23">
        <v>12</v>
      </c>
      <c r="K2373" s="37">
        <v>0</v>
      </c>
      <c r="L2373" s="37">
        <v>2</v>
      </c>
      <c r="M2373" s="22">
        <f>IF(OR(ISBLANK(C2373),C2373=""),"",ROUND((C2373-B2373)*24,2))</f>
        <v>16.27</v>
      </c>
      <c r="N2373" s="38" t="str">
        <f>IF(OR(ISBLANK(C2373),C2373="",M2373=""),"In Progress",IF(M2373&lt;=J2373,"Met","Breached"))</f>
        <v>Breached</v>
      </c>
    </row>
    <row r="2374" ht="19" customHeight="1" spans="1:14" x14ac:dyDescent="0.25">
      <c r="A2374" s="19" t="s">
        <v>2488</v>
      </c>
      <c r="B2374" s="33">
        <v>46051.23263888889</v>
      </c>
      <c r="C2374" s="33">
        <v>46052.353472222225</v>
      </c>
      <c r="D2374" s="19" t="s">
        <v>33</v>
      </c>
      <c r="E2374" s="19" t="s">
        <v>65</v>
      </c>
      <c r="F2374" s="19" t="s">
        <v>40</v>
      </c>
      <c r="G2374" s="19" t="s">
        <v>121</v>
      </c>
      <c r="H2374" s="19" t="s">
        <v>67</v>
      </c>
      <c r="I2374" s="19" t="s">
        <v>123</v>
      </c>
      <c r="J2374" s="20">
        <v>48</v>
      </c>
      <c r="K2374" s="34">
        <v>1</v>
      </c>
      <c r="L2374" s="34">
        <v>2</v>
      </c>
      <c r="M2374" s="19">
        <f>IF(OR(ISBLANK(C2374),C2374=""),"",ROUND((C2374-B2374)*24,2))</f>
        <v>26.9</v>
      </c>
      <c r="N2374" s="35" t="str">
        <f>IF(OR(ISBLANK(C2374),C2374="",M2374=""),"In Progress",IF(M2374&lt;=J2374,"Met","Breached"))</f>
        <v>Met</v>
      </c>
    </row>
    <row r="2375" ht="19" customHeight="1" spans="1:14" x14ac:dyDescent="0.25">
      <c r="A2375" s="22" t="s">
        <v>2489</v>
      </c>
      <c r="B2375" s="36">
        <v>46167.13055555556</v>
      </c>
      <c r="C2375" s="36">
        <v>46167.73263888889</v>
      </c>
      <c r="D2375" s="22" t="s">
        <v>33</v>
      </c>
      <c r="E2375" s="22" t="s">
        <v>65</v>
      </c>
      <c r="F2375" s="22" t="s">
        <v>45</v>
      </c>
      <c r="G2375" s="22" t="s">
        <v>126</v>
      </c>
      <c r="H2375" s="22" t="s">
        <v>67</v>
      </c>
      <c r="I2375" s="22" t="s">
        <v>123</v>
      </c>
      <c r="J2375" s="23">
        <v>48</v>
      </c>
      <c r="K2375" s="37">
        <v>0</v>
      </c>
      <c r="L2375" s="37">
        <v>2</v>
      </c>
      <c r="M2375" s="22">
        <f>IF(OR(ISBLANK(C2375),C2375=""),"",ROUND((C2375-B2375)*24,2))</f>
        <v>14.45</v>
      </c>
      <c r="N2375" s="40" t="str">
        <f>IF(OR(ISBLANK(C2375),C2375="",M2375=""),"In Progress",IF(M2375&lt;=J2375,"Met","Breached"))</f>
        <v>Met</v>
      </c>
    </row>
    <row r="2376" ht="19" customHeight="1" spans="1:14" x14ac:dyDescent="0.25">
      <c r="A2376" s="19" t="s">
        <v>2490</v>
      </c>
      <c r="B2376" s="33">
        <v>45856.21805555555</v>
      </c>
      <c r="C2376" s="33">
        <v>45857.10833333334</v>
      </c>
      <c r="D2376" s="19" t="s">
        <v>36</v>
      </c>
      <c r="E2376" s="19" t="s">
        <v>61</v>
      </c>
      <c r="F2376" s="19" t="s">
        <v>43</v>
      </c>
      <c r="G2376" s="19" t="s">
        <v>63</v>
      </c>
      <c r="H2376" s="19" t="s">
        <v>59</v>
      </c>
      <c r="I2376" s="19" t="s">
        <v>114</v>
      </c>
      <c r="J2376" s="20">
        <v>12</v>
      </c>
      <c r="K2376" s="34">
        <v>0</v>
      </c>
      <c r="L2376" s="34">
        <v>3</v>
      </c>
      <c r="M2376" s="19">
        <f>IF(OR(ISBLANK(C2376),C2376=""),"",ROUND((C2376-B2376)*24,2))</f>
        <v>21.37</v>
      </c>
      <c r="N2376" s="39" t="str">
        <f>IF(OR(ISBLANK(C2376),C2376="",M2376=""),"In Progress",IF(M2376&lt;=J2376,"Met","Breached"))</f>
        <v>Breached</v>
      </c>
    </row>
    <row r="2377" ht="19" customHeight="1" spans="1:14" x14ac:dyDescent="0.25">
      <c r="A2377" s="22" t="s">
        <v>2491</v>
      </c>
      <c r="B2377" s="36">
        <v>45900.40694444445</v>
      </c>
      <c r="C2377" s="36">
        <v>45908.634722222225</v>
      </c>
      <c r="D2377" s="22" t="s">
        <v>36</v>
      </c>
      <c r="E2377" s="22" t="s">
        <v>69</v>
      </c>
      <c r="F2377" s="22" t="s">
        <v>43</v>
      </c>
      <c r="G2377" s="22" t="s">
        <v>63</v>
      </c>
      <c r="H2377" s="22" t="s">
        <v>63</v>
      </c>
      <c r="I2377" s="22" t="s">
        <v>117</v>
      </c>
      <c r="J2377" s="23">
        <v>120</v>
      </c>
      <c r="K2377" s="37">
        <v>0</v>
      </c>
      <c r="L2377" s="37">
        <v>3</v>
      </c>
      <c r="M2377" s="22">
        <f>IF(OR(ISBLANK(C2377),C2377=""),"",ROUND((C2377-B2377)*24,2))</f>
        <v>197.47</v>
      </c>
      <c r="N2377" s="38" t="str">
        <f>IF(OR(ISBLANK(C2377),C2377="",M2377=""),"In Progress",IF(M2377&lt;=J2377,"Met","Breached"))</f>
        <v>Breached</v>
      </c>
    </row>
    <row r="2378" ht="19" customHeight="1" spans="1:14" x14ac:dyDescent="0.25">
      <c r="A2378" s="19" t="s">
        <v>2492</v>
      </c>
      <c r="B2378" s="33">
        <v>45788.57847222222</v>
      </c>
      <c r="C2378" s="33">
        <v>45790.49722222222</v>
      </c>
      <c r="D2378" s="19" t="s">
        <v>33</v>
      </c>
      <c r="E2378" s="19" t="s">
        <v>69</v>
      </c>
      <c r="F2378" s="19" t="s">
        <v>43</v>
      </c>
      <c r="G2378" s="19" t="s">
        <v>110</v>
      </c>
      <c r="H2378" s="19" t="s">
        <v>59</v>
      </c>
      <c r="I2378" s="19" t="s">
        <v>111</v>
      </c>
      <c r="J2378" s="20">
        <v>120</v>
      </c>
      <c r="K2378" s="34">
        <v>0</v>
      </c>
      <c r="M2378" s="19">
        <f>IF(OR(ISBLANK(C2378),C2378=""),"",ROUND((C2378-B2378)*24,2))</f>
        <v>46.05</v>
      </c>
      <c r="N2378" s="35" t="str">
        <f>IF(OR(ISBLANK(C2378),C2378="",M2378=""),"In Progress",IF(M2378&lt;=J2378,"Met","Breached"))</f>
        <v>Met</v>
      </c>
    </row>
    <row r="2379" ht="19" customHeight="1" spans="1:14" x14ac:dyDescent="0.25">
      <c r="A2379" s="22" t="s">
        <v>2493</v>
      </c>
      <c r="B2379" s="36">
        <v>46206.73472222222</v>
      </c>
      <c r="C2379" s="36">
        <v>46207.00555555556</v>
      </c>
      <c r="D2379" s="22" t="s">
        <v>33</v>
      </c>
      <c r="E2379" s="22" t="s">
        <v>57</v>
      </c>
      <c r="F2379" s="22" t="s">
        <v>37</v>
      </c>
      <c r="G2379" s="22" t="s">
        <v>113</v>
      </c>
      <c r="H2379" s="22" t="s">
        <v>59</v>
      </c>
      <c r="I2379" s="22" t="s">
        <v>117</v>
      </c>
      <c r="J2379" s="23">
        <v>4</v>
      </c>
      <c r="K2379" s="37">
        <v>0</v>
      </c>
      <c r="L2379" s="37">
        <v>4</v>
      </c>
      <c r="M2379" s="22">
        <f>IF(OR(ISBLANK(C2379),C2379=""),"",ROUND((C2379-B2379)*24,2))</f>
        <v>6.5</v>
      </c>
      <c r="N2379" s="38" t="str">
        <f>IF(OR(ISBLANK(C2379),C2379="",M2379=""),"In Progress",IF(M2379&lt;=J2379,"Met","Breached"))</f>
        <v>Breached</v>
      </c>
    </row>
    <row r="2380" ht="19" customHeight="1" spans="1:14" x14ac:dyDescent="0.25">
      <c r="A2380" s="19" t="s">
        <v>2494</v>
      </c>
      <c r="B2380" s="33">
        <v>46272.961111111115</v>
      </c>
      <c r="C2380" s="33">
        <v>46273.804861111115</v>
      </c>
      <c r="D2380" s="19" t="s">
        <v>36</v>
      </c>
      <c r="E2380" s="19" t="s">
        <v>61</v>
      </c>
      <c r="F2380" s="19" t="s">
        <v>37</v>
      </c>
      <c r="G2380" s="19" t="s">
        <v>110</v>
      </c>
      <c r="H2380" s="19" t="s">
        <v>67</v>
      </c>
      <c r="I2380" s="19" t="s">
        <v>147</v>
      </c>
      <c r="J2380" s="20">
        <v>12</v>
      </c>
      <c r="K2380" s="34">
        <v>0</v>
      </c>
      <c r="M2380" s="19">
        <f>IF(OR(ISBLANK(C2380),C2380=""),"",ROUND((C2380-B2380)*24,2))</f>
        <v>20.25</v>
      </c>
      <c r="N2380" s="39" t="str">
        <f>IF(OR(ISBLANK(C2380),C2380="",M2380=""),"In Progress",IF(M2380&lt;=J2380,"Met","Breached"))</f>
        <v>Breached</v>
      </c>
    </row>
    <row r="2381" ht="19" customHeight="1" spans="1:14" x14ac:dyDescent="0.25">
      <c r="A2381" s="22" t="s">
        <v>2495</v>
      </c>
      <c r="B2381" s="36">
        <v>46019.40486111111</v>
      </c>
      <c r="C2381" s="36">
        <v>46021.320138888885</v>
      </c>
      <c r="D2381" s="22" t="s">
        <v>36</v>
      </c>
      <c r="E2381" s="22" t="s">
        <v>69</v>
      </c>
      <c r="F2381" s="22" t="s">
        <v>37</v>
      </c>
      <c r="G2381" s="22" t="s">
        <v>126</v>
      </c>
      <c r="H2381" s="22" t="s">
        <v>71</v>
      </c>
      <c r="I2381" s="22" t="s">
        <v>111</v>
      </c>
      <c r="J2381" s="23">
        <v>120</v>
      </c>
      <c r="K2381" s="37">
        <v>0</v>
      </c>
      <c r="L2381" s="37">
        <v>5</v>
      </c>
      <c r="M2381" s="22">
        <f>IF(OR(ISBLANK(C2381),C2381=""),"",ROUND((C2381-B2381)*24,2))</f>
        <v>45.97</v>
      </c>
      <c r="N2381" s="40" t="str">
        <f>IF(OR(ISBLANK(C2381),C2381="",M2381=""),"In Progress",IF(M2381&lt;=J2381,"Met","Breached"))</f>
        <v>Met</v>
      </c>
    </row>
    <row r="2382" ht="19" customHeight="1" spans="1:14" x14ac:dyDescent="0.25">
      <c r="A2382" s="19" t="s">
        <v>2496</v>
      </c>
      <c r="B2382" s="33">
        <v>46029.25555555556</v>
      </c>
      <c r="D2382" s="19" t="s">
        <v>39</v>
      </c>
      <c r="E2382" s="19" t="s">
        <v>61</v>
      </c>
      <c r="F2382" s="19" t="s">
        <v>43</v>
      </c>
      <c r="G2382" s="19" t="s">
        <v>121</v>
      </c>
      <c r="H2382" s="19" t="s">
        <v>63</v>
      </c>
      <c r="I2382" s="19" t="s">
        <v>111</v>
      </c>
      <c r="J2382" s="20">
        <v>12</v>
      </c>
      <c r="K2382" s="34">
        <v>0</v>
      </c>
      <c r="M2382" s="19" t="str">
        <f>IF(OR(ISBLANK(C2382),C2382=""),"",ROUND((C2382-B2382)*24,2))</f>
        <v/>
      </c>
      <c r="N2382" s="19" t="str">
        <f>IF(OR(ISBLANK(C2382),C2382="",M2382=""),"In Progress",IF(M2382&lt;=J2382,"Met","Breached"))</f>
        <v>In Progress</v>
      </c>
    </row>
    <row r="2383" ht="19" customHeight="1" spans="1:14" x14ac:dyDescent="0.25">
      <c r="A2383" s="22" t="s">
        <v>2497</v>
      </c>
      <c r="B2383" s="36">
        <v>45875.21736111111</v>
      </c>
      <c r="C2383" s="36">
        <v>45876.44791666667</v>
      </c>
      <c r="D2383" s="22" t="s">
        <v>36</v>
      </c>
      <c r="E2383" s="22" t="s">
        <v>65</v>
      </c>
      <c r="F2383" s="22" t="s">
        <v>45</v>
      </c>
      <c r="G2383" s="22" t="s">
        <v>121</v>
      </c>
      <c r="H2383" s="22" t="s">
        <v>59</v>
      </c>
      <c r="I2383" s="22" t="s">
        <v>123</v>
      </c>
      <c r="J2383" s="23">
        <v>48</v>
      </c>
      <c r="K2383" s="37">
        <v>0</v>
      </c>
      <c r="M2383" s="22">
        <f>IF(OR(ISBLANK(C2383),C2383=""),"",ROUND((C2383-B2383)*24,2))</f>
        <v>29.53</v>
      </c>
      <c r="N2383" s="40" t="str">
        <f>IF(OR(ISBLANK(C2383),C2383="",M2383=""),"In Progress",IF(M2383&lt;=J2383,"Met","Breached"))</f>
        <v>Met</v>
      </c>
    </row>
    <row r="2384" ht="19" customHeight="1" spans="1:14" x14ac:dyDescent="0.25">
      <c r="A2384" s="19" t="s">
        <v>2498</v>
      </c>
      <c r="B2384" s="33">
        <v>45997.021527777775</v>
      </c>
      <c r="C2384" s="33">
        <v>45999.881944444445</v>
      </c>
      <c r="D2384" s="19" t="s">
        <v>33</v>
      </c>
      <c r="E2384" s="19" t="s">
        <v>65</v>
      </c>
      <c r="F2384" s="19" t="s">
        <v>40</v>
      </c>
      <c r="G2384" s="19" t="s">
        <v>116</v>
      </c>
      <c r="H2384" s="19" t="s">
        <v>71</v>
      </c>
      <c r="I2384" s="19" t="s">
        <v>108</v>
      </c>
      <c r="J2384" s="20">
        <v>48</v>
      </c>
      <c r="K2384" s="34">
        <v>0</v>
      </c>
      <c r="L2384" s="34">
        <v>5</v>
      </c>
      <c r="M2384" s="19">
        <f>IF(OR(ISBLANK(C2384),C2384=""),"",ROUND((C2384-B2384)*24,2))</f>
        <v>68.65</v>
      </c>
      <c r="N2384" s="39" t="str">
        <f>IF(OR(ISBLANK(C2384),C2384="",M2384=""),"In Progress",IF(M2384&lt;=J2384,"Met","Breached"))</f>
        <v>Breached</v>
      </c>
    </row>
    <row r="2385" ht="19" customHeight="1" spans="1:14" x14ac:dyDescent="0.25">
      <c r="A2385" s="22" t="s">
        <v>2499</v>
      </c>
      <c r="B2385" s="36">
        <v>46284.231944444444</v>
      </c>
      <c r="C2385" s="36">
        <v>46285.64097222222</v>
      </c>
      <c r="D2385" s="22" t="s">
        <v>36</v>
      </c>
      <c r="E2385" s="22" t="s">
        <v>65</v>
      </c>
      <c r="F2385" s="22" t="s">
        <v>40</v>
      </c>
      <c r="G2385" s="22" t="s">
        <v>63</v>
      </c>
      <c r="H2385" s="22" t="s">
        <v>59</v>
      </c>
      <c r="I2385" s="22" t="s">
        <v>114</v>
      </c>
      <c r="J2385" s="23">
        <v>48</v>
      </c>
      <c r="K2385" s="37">
        <v>0</v>
      </c>
      <c r="L2385" s="37">
        <v>5</v>
      </c>
      <c r="M2385" s="22">
        <f>IF(OR(ISBLANK(C2385),C2385=""),"",ROUND((C2385-B2385)*24,2))</f>
        <v>33.82</v>
      </c>
      <c r="N2385" s="40" t="str">
        <f>IF(OR(ISBLANK(C2385),C2385="",M2385=""),"In Progress",IF(M2385&lt;=J2385,"Met","Breached"))</f>
        <v>Met</v>
      </c>
    </row>
    <row r="2386" ht="19" customHeight="1" spans="1:14" x14ac:dyDescent="0.25">
      <c r="A2386" s="19" t="s">
        <v>2500</v>
      </c>
      <c r="B2386" s="33">
        <v>46218.143055555556</v>
      </c>
      <c r="C2386" s="33">
        <v>46221.183333333334</v>
      </c>
      <c r="D2386" s="19" t="s">
        <v>33</v>
      </c>
      <c r="E2386" s="19" t="s">
        <v>65</v>
      </c>
      <c r="F2386" s="19" t="s">
        <v>40</v>
      </c>
      <c r="G2386" s="19" t="s">
        <v>121</v>
      </c>
      <c r="H2386" s="19" t="s">
        <v>63</v>
      </c>
      <c r="I2386" s="19" t="s">
        <v>108</v>
      </c>
      <c r="J2386" s="20">
        <v>48</v>
      </c>
      <c r="K2386" s="34">
        <v>1</v>
      </c>
      <c r="L2386" s="34">
        <v>3</v>
      </c>
      <c r="M2386" s="19">
        <f>IF(OR(ISBLANK(C2386),C2386=""),"",ROUND((C2386-B2386)*24,2))</f>
        <v>72.97</v>
      </c>
      <c r="N2386" s="39" t="str">
        <f>IF(OR(ISBLANK(C2386),C2386="",M2386=""),"In Progress",IF(M2386&lt;=J2386,"Met","Breached"))</f>
        <v>Breached</v>
      </c>
    </row>
    <row r="2387" ht="19" customHeight="1" spans="1:14" x14ac:dyDescent="0.25">
      <c r="A2387" s="22" t="s">
        <v>2501</v>
      </c>
      <c r="B2387" s="36">
        <v>45719.65</v>
      </c>
      <c r="C2387" s="36">
        <v>45719.99166666667</v>
      </c>
      <c r="D2387" s="22" t="s">
        <v>33</v>
      </c>
      <c r="E2387" s="22" t="s">
        <v>61</v>
      </c>
      <c r="F2387" s="22" t="s">
        <v>43</v>
      </c>
      <c r="G2387" s="22" t="s">
        <v>110</v>
      </c>
      <c r="H2387" s="22" t="s">
        <v>71</v>
      </c>
      <c r="I2387" s="22" t="s">
        <v>111</v>
      </c>
      <c r="J2387" s="23">
        <v>12</v>
      </c>
      <c r="K2387" s="37">
        <v>0</v>
      </c>
      <c r="L2387" s="37">
        <v>5</v>
      </c>
      <c r="M2387" s="22">
        <f>IF(OR(ISBLANK(C2387),C2387=""),"",ROUND((C2387-B2387)*24,2))</f>
        <v>8.2</v>
      </c>
      <c r="N2387" s="40" t="str">
        <f>IF(OR(ISBLANK(C2387),C2387="",M2387=""),"In Progress",IF(M2387&lt;=J2387,"Met","Breached"))</f>
        <v>Met</v>
      </c>
    </row>
    <row r="2388" ht="19" customHeight="1" spans="1:14" x14ac:dyDescent="0.25">
      <c r="A2388" s="19" t="s">
        <v>2502</v>
      </c>
      <c r="B2388" s="33">
        <v>45780.75555555556</v>
      </c>
      <c r="C2388" s="33">
        <v>45783.14166666666</v>
      </c>
      <c r="D2388" s="19" t="s">
        <v>33</v>
      </c>
      <c r="E2388" s="19" t="s">
        <v>65</v>
      </c>
      <c r="F2388" s="19" t="s">
        <v>37</v>
      </c>
      <c r="G2388" s="19" t="s">
        <v>126</v>
      </c>
      <c r="H2388" s="19" t="s">
        <v>63</v>
      </c>
      <c r="I2388" s="19" t="s">
        <v>114</v>
      </c>
      <c r="J2388" s="20">
        <v>48</v>
      </c>
      <c r="K2388" s="34">
        <v>1</v>
      </c>
      <c r="M2388" s="19">
        <f>IF(OR(ISBLANK(C2388),C2388=""),"",ROUND((C2388-B2388)*24,2))</f>
        <v>57.27</v>
      </c>
      <c r="N2388" s="39" t="str">
        <f>IF(OR(ISBLANK(C2388),C2388="",M2388=""),"In Progress",IF(M2388&lt;=J2388,"Met","Breached"))</f>
        <v>Breached</v>
      </c>
    </row>
    <row r="2389" ht="19" customHeight="1" spans="1:14" x14ac:dyDescent="0.25">
      <c r="A2389" s="22" t="s">
        <v>2503</v>
      </c>
      <c r="B2389" s="36">
        <v>46099.23472222222</v>
      </c>
      <c r="C2389" s="36">
        <v>46102.768055555556</v>
      </c>
      <c r="D2389" s="22" t="s">
        <v>33</v>
      </c>
      <c r="E2389" s="22" t="s">
        <v>69</v>
      </c>
      <c r="F2389" s="22" t="s">
        <v>34</v>
      </c>
      <c r="G2389" s="22" t="s">
        <v>126</v>
      </c>
      <c r="H2389" s="22" t="s">
        <v>59</v>
      </c>
      <c r="I2389" s="22" t="s">
        <v>117</v>
      </c>
      <c r="J2389" s="23">
        <v>120</v>
      </c>
      <c r="K2389" s="37">
        <v>0</v>
      </c>
      <c r="L2389" s="37">
        <v>1</v>
      </c>
      <c r="M2389" s="22">
        <f>IF(OR(ISBLANK(C2389),C2389=""),"",ROUND((C2389-B2389)*24,2))</f>
        <v>84.8</v>
      </c>
      <c r="N2389" s="40" t="str">
        <f>IF(OR(ISBLANK(C2389),C2389="",M2389=""),"In Progress",IF(M2389&lt;=J2389,"Met","Breached"))</f>
        <v>Met</v>
      </c>
    </row>
    <row r="2390" ht="19" customHeight="1" spans="1:14" x14ac:dyDescent="0.25">
      <c r="A2390" s="19" t="s">
        <v>2504</v>
      </c>
      <c r="B2390" s="33">
        <v>46232.27777777778</v>
      </c>
      <c r="C2390" s="33">
        <v>46233.89166666666</v>
      </c>
      <c r="D2390" s="19" t="s">
        <v>33</v>
      </c>
      <c r="E2390" s="19" t="s">
        <v>65</v>
      </c>
      <c r="F2390" s="19" t="s">
        <v>34</v>
      </c>
      <c r="G2390" s="19" t="s">
        <v>110</v>
      </c>
      <c r="H2390" s="19" t="s">
        <v>59</v>
      </c>
      <c r="I2390" s="19" t="s">
        <v>111</v>
      </c>
      <c r="J2390" s="20">
        <v>48</v>
      </c>
      <c r="K2390" s="34">
        <v>0</v>
      </c>
      <c r="L2390" s="34">
        <v>5</v>
      </c>
      <c r="M2390" s="19">
        <f>IF(OR(ISBLANK(C2390),C2390=""),"",ROUND((C2390-B2390)*24,2))</f>
        <v>38.73</v>
      </c>
      <c r="N2390" s="35" t="str">
        <f>IF(OR(ISBLANK(C2390),C2390="",M2390=""),"In Progress",IF(M2390&lt;=J2390,"Met","Breached"))</f>
        <v>Met</v>
      </c>
    </row>
    <row r="2391" ht="19" customHeight="1" spans="1:14" x14ac:dyDescent="0.25">
      <c r="A2391" s="22" t="s">
        <v>2505</v>
      </c>
      <c r="B2391" s="36">
        <v>45762.77847222222</v>
      </c>
      <c r="C2391" s="36">
        <v>45765.02916666667</v>
      </c>
      <c r="D2391" s="22" t="s">
        <v>36</v>
      </c>
      <c r="E2391" s="22" t="s">
        <v>65</v>
      </c>
      <c r="F2391" s="22" t="s">
        <v>43</v>
      </c>
      <c r="G2391" s="22" t="s">
        <v>110</v>
      </c>
      <c r="H2391" s="22" t="s">
        <v>71</v>
      </c>
      <c r="I2391" s="22" t="s">
        <v>114</v>
      </c>
      <c r="J2391" s="23">
        <v>48</v>
      </c>
      <c r="K2391" s="37">
        <v>0</v>
      </c>
      <c r="L2391" s="37">
        <v>4</v>
      </c>
      <c r="M2391" s="22">
        <f>IF(OR(ISBLANK(C2391),C2391=""),"",ROUND((C2391-B2391)*24,2))</f>
        <v>54.02</v>
      </c>
      <c r="N2391" s="38" t="str">
        <f>IF(OR(ISBLANK(C2391),C2391="",M2391=""),"In Progress",IF(M2391&lt;=J2391,"Met","Breached"))</f>
        <v>Breached</v>
      </c>
    </row>
    <row r="2392" ht="19" customHeight="1" spans="1:14" x14ac:dyDescent="0.25">
      <c r="A2392" s="19" t="s">
        <v>2506</v>
      </c>
      <c r="B2392" s="33">
        <v>45788.54791666666</v>
      </c>
      <c r="C2392" s="33">
        <v>45794.21041666667</v>
      </c>
      <c r="D2392" s="19" t="s">
        <v>33</v>
      </c>
      <c r="E2392" s="19" t="s">
        <v>69</v>
      </c>
      <c r="F2392" s="19" t="s">
        <v>45</v>
      </c>
      <c r="G2392" s="19" t="s">
        <v>113</v>
      </c>
      <c r="H2392" s="19" t="s">
        <v>63</v>
      </c>
      <c r="I2392" s="19" t="s">
        <v>147</v>
      </c>
      <c r="J2392" s="20">
        <v>120</v>
      </c>
      <c r="K2392" s="34">
        <v>0</v>
      </c>
      <c r="L2392" s="34">
        <v>2</v>
      </c>
      <c r="M2392" s="19">
        <f>IF(OR(ISBLANK(C2392),C2392=""),"",ROUND((C2392-B2392)*24,2))</f>
        <v>135.9</v>
      </c>
      <c r="N2392" s="39" t="str">
        <f>IF(OR(ISBLANK(C2392),C2392="",M2392=""),"In Progress",IF(M2392&lt;=J2392,"Met","Breached"))</f>
        <v>Breached</v>
      </c>
    </row>
    <row r="2393" ht="19" customHeight="1" spans="1:14" x14ac:dyDescent="0.25">
      <c r="A2393" s="22" t="s">
        <v>2507</v>
      </c>
      <c r="B2393" s="36">
        <v>45870.66180555556</v>
      </c>
      <c r="C2393" s="36">
        <v>45871.475</v>
      </c>
      <c r="D2393" s="22" t="s">
        <v>33</v>
      </c>
      <c r="E2393" s="22" t="s">
        <v>61</v>
      </c>
      <c r="F2393" s="22" t="s">
        <v>45</v>
      </c>
      <c r="G2393" s="22" t="s">
        <v>126</v>
      </c>
      <c r="H2393" s="22" t="s">
        <v>67</v>
      </c>
      <c r="I2393" s="22" t="s">
        <v>117</v>
      </c>
      <c r="J2393" s="23">
        <v>12</v>
      </c>
      <c r="K2393" s="37">
        <v>0</v>
      </c>
      <c r="L2393" s="37">
        <v>5</v>
      </c>
      <c r="M2393" s="22">
        <f>IF(OR(ISBLANK(C2393),C2393=""),"",ROUND((C2393-B2393)*24,2))</f>
        <v>19.52</v>
      </c>
      <c r="N2393" s="38" t="str">
        <f>IF(OR(ISBLANK(C2393),C2393="",M2393=""),"In Progress",IF(M2393&lt;=J2393,"Met","Breached"))</f>
        <v>Breached</v>
      </c>
    </row>
    <row r="2394" ht="19" customHeight="1" spans="1:14" x14ac:dyDescent="0.25">
      <c r="A2394" s="19" t="s">
        <v>2508</v>
      </c>
      <c r="B2394" s="33">
        <v>46103.464583333334</v>
      </c>
      <c r="D2394" s="19" t="s">
        <v>39</v>
      </c>
      <c r="E2394" s="19" t="s">
        <v>65</v>
      </c>
      <c r="F2394" s="19" t="s">
        <v>40</v>
      </c>
      <c r="G2394" s="19" t="s">
        <v>121</v>
      </c>
      <c r="H2394" s="19" t="s">
        <v>63</v>
      </c>
      <c r="I2394" s="19" t="s">
        <v>123</v>
      </c>
      <c r="J2394" s="20">
        <v>48</v>
      </c>
      <c r="K2394" s="34">
        <v>0</v>
      </c>
      <c r="M2394" s="19" t="str">
        <f>IF(OR(ISBLANK(C2394),C2394=""),"",ROUND((C2394-B2394)*24,2))</f>
        <v/>
      </c>
      <c r="N2394" s="19" t="str">
        <f>IF(OR(ISBLANK(C2394),C2394="",M2394=""),"In Progress",IF(M2394&lt;=J2394,"Met","Breached"))</f>
        <v>In Progress</v>
      </c>
    </row>
    <row r="2395" ht="19" customHeight="1" spans="1:14" x14ac:dyDescent="0.25">
      <c r="A2395" s="22" t="s">
        <v>2509</v>
      </c>
      <c r="B2395" s="36">
        <v>45791.78611111111</v>
      </c>
      <c r="D2395" s="22" t="s">
        <v>39</v>
      </c>
      <c r="E2395" s="22" t="s">
        <v>65</v>
      </c>
      <c r="F2395" s="22" t="s">
        <v>40</v>
      </c>
      <c r="G2395" s="22" t="s">
        <v>121</v>
      </c>
      <c r="H2395" s="22" t="s">
        <v>59</v>
      </c>
      <c r="I2395" s="22" t="s">
        <v>117</v>
      </c>
      <c r="J2395" s="23">
        <v>48</v>
      </c>
      <c r="K2395" s="37">
        <v>0</v>
      </c>
      <c r="M2395" s="22" t="str">
        <f>IF(OR(ISBLANK(C2395),C2395=""),"",ROUND((C2395-B2395)*24,2))</f>
        <v/>
      </c>
      <c r="N2395" s="22" t="str">
        <f>IF(OR(ISBLANK(C2395),C2395="",M2395=""),"In Progress",IF(M2395&lt;=J2395,"Met","Breached"))</f>
        <v>In Progress</v>
      </c>
    </row>
    <row r="2396" ht="19" customHeight="1" spans="1:14" x14ac:dyDescent="0.25">
      <c r="A2396" s="19" t="s">
        <v>2510</v>
      </c>
      <c r="B2396" s="33">
        <v>45823.66736111111</v>
      </c>
      <c r="D2396" s="19" t="s">
        <v>39</v>
      </c>
      <c r="E2396" s="19" t="s">
        <v>65</v>
      </c>
      <c r="F2396" s="19" t="s">
        <v>34</v>
      </c>
      <c r="G2396" s="19" t="s">
        <v>110</v>
      </c>
      <c r="H2396" s="19" t="s">
        <v>63</v>
      </c>
      <c r="I2396" s="19" t="s">
        <v>147</v>
      </c>
      <c r="J2396" s="20">
        <v>48</v>
      </c>
      <c r="K2396" s="34">
        <v>0</v>
      </c>
      <c r="M2396" s="19" t="str">
        <f>IF(OR(ISBLANK(C2396),C2396=""),"",ROUND((C2396-B2396)*24,2))</f>
        <v/>
      </c>
      <c r="N2396" s="19" t="str">
        <f>IF(OR(ISBLANK(C2396),C2396="",M2396=""),"In Progress",IF(M2396&lt;=J2396,"Met","Breached"))</f>
        <v>In Progress</v>
      </c>
    </row>
    <row r="2397" ht="19" customHeight="1" spans="1:14" x14ac:dyDescent="0.25">
      <c r="A2397" s="22" t="s">
        <v>2511</v>
      </c>
      <c r="B2397" s="36">
        <v>45698.73472222222</v>
      </c>
      <c r="D2397" s="22" t="s">
        <v>42</v>
      </c>
      <c r="E2397" s="22" t="s">
        <v>61</v>
      </c>
      <c r="F2397" s="22" t="s">
        <v>43</v>
      </c>
      <c r="G2397" s="22" t="s">
        <v>116</v>
      </c>
      <c r="H2397" s="22" t="s">
        <v>71</v>
      </c>
      <c r="I2397" s="22" t="s">
        <v>114</v>
      </c>
      <c r="J2397" s="23">
        <v>12</v>
      </c>
      <c r="K2397" s="37">
        <v>0</v>
      </c>
      <c r="M2397" s="22" t="str">
        <f>IF(OR(ISBLANK(C2397),C2397=""),"",ROUND((C2397-B2397)*24,2))</f>
        <v/>
      </c>
      <c r="N2397" s="22" t="str">
        <f>IF(OR(ISBLANK(C2397),C2397="",M2397=""),"In Progress",IF(M2397&lt;=J2397,"Met","Breached"))</f>
        <v>In Progress</v>
      </c>
    </row>
    <row r="2398" ht="19" customHeight="1" spans="1:14" x14ac:dyDescent="0.25">
      <c r="A2398" s="19" t="s">
        <v>2512</v>
      </c>
      <c r="B2398" s="33">
        <v>46004.42916666667</v>
      </c>
      <c r="C2398" s="33">
        <v>46005.09444444445</v>
      </c>
      <c r="D2398" s="19" t="s">
        <v>33</v>
      </c>
      <c r="E2398" s="19" t="s">
        <v>61</v>
      </c>
      <c r="F2398" s="19" t="s">
        <v>37</v>
      </c>
      <c r="G2398" s="19" t="s">
        <v>63</v>
      </c>
      <c r="H2398" s="19" t="s">
        <v>63</v>
      </c>
      <c r="I2398" s="19" t="s">
        <v>108</v>
      </c>
      <c r="J2398" s="20">
        <v>12</v>
      </c>
      <c r="K2398" s="34">
        <v>0</v>
      </c>
      <c r="L2398" s="34">
        <v>3</v>
      </c>
      <c r="M2398" s="19">
        <f>IF(OR(ISBLANK(C2398),C2398=""),"",ROUND((C2398-B2398)*24,2))</f>
        <v>15.97</v>
      </c>
      <c r="N2398" s="39" t="str">
        <f>IF(OR(ISBLANK(C2398),C2398="",M2398=""),"In Progress",IF(M2398&lt;=J2398,"Met","Breached"))</f>
        <v>Breached</v>
      </c>
    </row>
    <row r="2399" ht="19" customHeight="1" spans="1:14" x14ac:dyDescent="0.25">
      <c r="A2399" s="22" t="s">
        <v>2513</v>
      </c>
      <c r="B2399" s="36">
        <v>45739.350694444445</v>
      </c>
      <c r="C2399" s="36">
        <v>45746.59861111111</v>
      </c>
      <c r="D2399" s="22" t="s">
        <v>33</v>
      </c>
      <c r="E2399" s="22" t="s">
        <v>69</v>
      </c>
      <c r="F2399" s="22" t="s">
        <v>37</v>
      </c>
      <c r="G2399" s="22" t="s">
        <v>126</v>
      </c>
      <c r="H2399" s="22" t="s">
        <v>59</v>
      </c>
      <c r="I2399" s="22" t="s">
        <v>147</v>
      </c>
      <c r="J2399" s="23">
        <v>120</v>
      </c>
      <c r="K2399" s="37">
        <v>0</v>
      </c>
      <c r="L2399" s="37">
        <v>4</v>
      </c>
      <c r="M2399" s="22">
        <f>IF(OR(ISBLANK(C2399),C2399=""),"",ROUND((C2399-B2399)*24,2))</f>
        <v>173.95</v>
      </c>
      <c r="N2399" s="38" t="str">
        <f>IF(OR(ISBLANK(C2399),C2399="",M2399=""),"In Progress",IF(M2399&lt;=J2399,"Met","Breached"))</f>
        <v>Breached</v>
      </c>
    </row>
    <row r="2400" ht="19" customHeight="1" spans="1:14" x14ac:dyDescent="0.25">
      <c r="A2400" s="19" t="s">
        <v>2514</v>
      </c>
      <c r="B2400" s="33">
        <v>46079.65416666667</v>
      </c>
      <c r="C2400" s="33">
        <v>46085.12152777778</v>
      </c>
      <c r="D2400" s="19" t="s">
        <v>33</v>
      </c>
      <c r="E2400" s="19" t="s">
        <v>69</v>
      </c>
      <c r="F2400" s="19" t="s">
        <v>40</v>
      </c>
      <c r="G2400" s="19" t="s">
        <v>110</v>
      </c>
      <c r="H2400" s="19" t="s">
        <v>63</v>
      </c>
      <c r="I2400" s="19" t="s">
        <v>147</v>
      </c>
      <c r="J2400" s="20">
        <v>120</v>
      </c>
      <c r="K2400" s="34">
        <v>0</v>
      </c>
      <c r="L2400" s="34">
        <v>4</v>
      </c>
      <c r="M2400" s="19">
        <f>IF(OR(ISBLANK(C2400),C2400=""),"",ROUND((C2400-B2400)*24,2))</f>
        <v>131.22</v>
      </c>
      <c r="N2400" s="39" t="str">
        <f>IF(OR(ISBLANK(C2400),C2400="",M2400=""),"In Progress",IF(M2400&lt;=J2400,"Met","Breached"))</f>
        <v>Breached</v>
      </c>
    </row>
    <row r="2401" ht="19" customHeight="1" spans="1:14" x14ac:dyDescent="0.25">
      <c r="A2401" s="22" t="s">
        <v>2515</v>
      </c>
      <c r="B2401" s="36">
        <v>46064.398611111115</v>
      </c>
      <c r="D2401" s="22" t="s">
        <v>39</v>
      </c>
      <c r="E2401" s="22" t="s">
        <v>61</v>
      </c>
      <c r="F2401" s="22" t="s">
        <v>45</v>
      </c>
      <c r="G2401" s="22" t="s">
        <v>116</v>
      </c>
      <c r="H2401" s="22" t="s">
        <v>63</v>
      </c>
      <c r="I2401" s="22" t="s">
        <v>123</v>
      </c>
      <c r="J2401" s="23">
        <v>12</v>
      </c>
      <c r="K2401" s="37">
        <v>0</v>
      </c>
      <c r="M2401" s="22" t="str">
        <f>IF(OR(ISBLANK(C2401),C2401=""),"",ROUND((C2401-B2401)*24,2))</f>
        <v/>
      </c>
      <c r="N2401" s="22" t="str">
        <f>IF(OR(ISBLANK(C2401),C2401="",M2401=""),"In Progress",IF(M2401&lt;=J2401,"Met","Breached"))</f>
        <v>In Progress</v>
      </c>
    </row>
    <row r="2402" ht="19" customHeight="1" spans="1:14" x14ac:dyDescent="0.25">
      <c r="A2402" s="19" t="s">
        <v>2516</v>
      </c>
      <c r="B2402" s="33">
        <v>46206.29583333334</v>
      </c>
      <c r="C2402" s="33">
        <v>46208.11319444445</v>
      </c>
      <c r="D2402" s="19" t="s">
        <v>33</v>
      </c>
      <c r="E2402" s="19" t="s">
        <v>65</v>
      </c>
      <c r="F2402" s="19" t="s">
        <v>37</v>
      </c>
      <c r="G2402" s="19" t="s">
        <v>63</v>
      </c>
      <c r="H2402" s="19" t="s">
        <v>67</v>
      </c>
      <c r="I2402" s="19" t="s">
        <v>147</v>
      </c>
      <c r="J2402" s="20">
        <v>48</v>
      </c>
      <c r="K2402" s="34">
        <v>0</v>
      </c>
      <c r="L2402" s="34">
        <v>2</v>
      </c>
      <c r="M2402" s="19">
        <f>IF(OR(ISBLANK(C2402),C2402=""),"",ROUND((C2402-B2402)*24,2))</f>
        <v>43.62</v>
      </c>
      <c r="N2402" s="35" t="str">
        <f>IF(OR(ISBLANK(C2402),C2402="",M2402=""),"In Progress",IF(M2402&lt;=J2402,"Met","Breached"))</f>
        <v>Met</v>
      </c>
    </row>
    <row r="2403" ht="19" customHeight="1" spans="1:14" x14ac:dyDescent="0.25">
      <c r="A2403" s="22" t="s">
        <v>2517</v>
      </c>
      <c r="B2403" s="36">
        <v>46285.48055555555</v>
      </c>
      <c r="C2403" s="36">
        <v>46290.64791666667</v>
      </c>
      <c r="D2403" s="22" t="s">
        <v>36</v>
      </c>
      <c r="E2403" s="22" t="s">
        <v>69</v>
      </c>
      <c r="F2403" s="22" t="s">
        <v>40</v>
      </c>
      <c r="G2403" s="22" t="s">
        <v>63</v>
      </c>
      <c r="H2403" s="22" t="s">
        <v>59</v>
      </c>
      <c r="I2403" s="22" t="s">
        <v>147</v>
      </c>
      <c r="J2403" s="23">
        <v>120</v>
      </c>
      <c r="K2403" s="37">
        <v>0</v>
      </c>
      <c r="L2403" s="37">
        <v>3</v>
      </c>
      <c r="M2403" s="22">
        <f>IF(OR(ISBLANK(C2403),C2403=""),"",ROUND((C2403-B2403)*24,2))</f>
        <v>124.02</v>
      </c>
      <c r="N2403" s="38" t="str">
        <f>IF(OR(ISBLANK(C2403),C2403="",M2403=""),"In Progress",IF(M2403&lt;=J2403,"Met","Breached"))</f>
        <v>Breached</v>
      </c>
    </row>
    <row r="2404" ht="19" customHeight="1" spans="1:14" x14ac:dyDescent="0.25">
      <c r="A2404" s="19" t="s">
        <v>2518</v>
      </c>
      <c r="B2404" s="33">
        <v>46054.677777777775</v>
      </c>
      <c r="C2404" s="33">
        <v>46058.53194444445</v>
      </c>
      <c r="D2404" s="19" t="s">
        <v>33</v>
      </c>
      <c r="E2404" s="19" t="s">
        <v>69</v>
      </c>
      <c r="F2404" s="19" t="s">
        <v>37</v>
      </c>
      <c r="G2404" s="19" t="s">
        <v>110</v>
      </c>
      <c r="H2404" s="19" t="s">
        <v>59</v>
      </c>
      <c r="I2404" s="19" t="s">
        <v>117</v>
      </c>
      <c r="J2404" s="20">
        <v>120</v>
      </c>
      <c r="K2404" s="34">
        <v>0</v>
      </c>
      <c r="L2404" s="34">
        <v>4</v>
      </c>
      <c r="M2404" s="19">
        <f>IF(OR(ISBLANK(C2404),C2404=""),"",ROUND((C2404-B2404)*24,2))</f>
        <v>92.5</v>
      </c>
      <c r="N2404" s="35" t="str">
        <f>IF(OR(ISBLANK(C2404),C2404="",M2404=""),"In Progress",IF(M2404&lt;=J2404,"Met","Breached"))</f>
        <v>Met</v>
      </c>
    </row>
    <row r="2405" ht="19" customHeight="1" spans="1:14" x14ac:dyDescent="0.25">
      <c r="A2405" s="22" t="s">
        <v>2519</v>
      </c>
      <c r="B2405" s="36">
        <v>46234.84027777778</v>
      </c>
      <c r="C2405" s="36">
        <v>46235.20625</v>
      </c>
      <c r="D2405" s="22" t="s">
        <v>36</v>
      </c>
      <c r="E2405" s="22" t="s">
        <v>61</v>
      </c>
      <c r="F2405" s="22" t="s">
        <v>37</v>
      </c>
      <c r="G2405" s="22" t="s">
        <v>63</v>
      </c>
      <c r="H2405" s="22" t="s">
        <v>59</v>
      </c>
      <c r="I2405" s="22" t="s">
        <v>108</v>
      </c>
      <c r="J2405" s="23">
        <v>12</v>
      </c>
      <c r="K2405" s="37">
        <v>0</v>
      </c>
      <c r="L2405" s="37">
        <v>3</v>
      </c>
      <c r="M2405" s="22">
        <f>IF(OR(ISBLANK(C2405),C2405=""),"",ROUND((C2405-B2405)*24,2))</f>
        <v>8.78</v>
      </c>
      <c r="N2405" s="40" t="str">
        <f>IF(OR(ISBLANK(C2405),C2405="",M2405=""),"In Progress",IF(M2405&lt;=J2405,"Met","Breached"))</f>
        <v>Met</v>
      </c>
    </row>
    <row r="2406" ht="19" customHeight="1" spans="1:14" x14ac:dyDescent="0.25">
      <c r="A2406" s="19" t="s">
        <v>2520</v>
      </c>
      <c r="B2406" s="33">
        <v>46235.48263888889</v>
      </c>
      <c r="C2406" s="33">
        <v>46235.99722222222</v>
      </c>
      <c r="D2406" s="19" t="s">
        <v>36</v>
      </c>
      <c r="E2406" s="19" t="s">
        <v>61</v>
      </c>
      <c r="F2406" s="19" t="s">
        <v>34</v>
      </c>
      <c r="G2406" s="19" t="s">
        <v>110</v>
      </c>
      <c r="H2406" s="19" t="s">
        <v>67</v>
      </c>
      <c r="I2406" s="19" t="s">
        <v>114</v>
      </c>
      <c r="J2406" s="20">
        <v>12</v>
      </c>
      <c r="K2406" s="34">
        <v>0</v>
      </c>
      <c r="M2406" s="19">
        <f>IF(OR(ISBLANK(C2406),C2406=""),"",ROUND((C2406-B2406)*24,2))</f>
        <v>12.35</v>
      </c>
      <c r="N2406" s="39" t="str">
        <f>IF(OR(ISBLANK(C2406),C2406="",M2406=""),"In Progress",IF(M2406&lt;=J2406,"Met","Breached"))</f>
        <v>Breached</v>
      </c>
    </row>
    <row r="2407" ht="19" customHeight="1" spans="1:14" x14ac:dyDescent="0.25">
      <c r="A2407" s="22" t="s">
        <v>2521</v>
      </c>
      <c r="B2407" s="36">
        <v>46245.79513888889</v>
      </c>
      <c r="C2407" s="36">
        <v>46246.68194444444</v>
      </c>
      <c r="D2407" s="22" t="s">
        <v>33</v>
      </c>
      <c r="E2407" s="22" t="s">
        <v>61</v>
      </c>
      <c r="F2407" s="22" t="s">
        <v>40</v>
      </c>
      <c r="G2407" s="22" t="s">
        <v>110</v>
      </c>
      <c r="H2407" s="22" t="s">
        <v>59</v>
      </c>
      <c r="I2407" s="22" t="s">
        <v>123</v>
      </c>
      <c r="J2407" s="23">
        <v>12</v>
      </c>
      <c r="K2407" s="37">
        <v>0</v>
      </c>
      <c r="L2407" s="37">
        <v>5</v>
      </c>
      <c r="M2407" s="22">
        <f>IF(OR(ISBLANK(C2407),C2407=""),"",ROUND((C2407-B2407)*24,2))</f>
        <v>21.28</v>
      </c>
      <c r="N2407" s="38" t="str">
        <f>IF(OR(ISBLANK(C2407),C2407="",M2407=""),"In Progress",IF(M2407&lt;=J2407,"Met","Breached"))</f>
        <v>Breached</v>
      </c>
    </row>
    <row r="2408" ht="19" customHeight="1" spans="1:14" x14ac:dyDescent="0.25">
      <c r="A2408" s="19" t="s">
        <v>2522</v>
      </c>
      <c r="B2408" s="33">
        <v>46092.62708333333</v>
      </c>
      <c r="C2408" s="33">
        <v>46095.89444444445</v>
      </c>
      <c r="D2408" s="19" t="s">
        <v>33</v>
      </c>
      <c r="E2408" s="19" t="s">
        <v>65</v>
      </c>
      <c r="F2408" s="19" t="s">
        <v>45</v>
      </c>
      <c r="G2408" s="19" t="s">
        <v>121</v>
      </c>
      <c r="H2408" s="19" t="s">
        <v>63</v>
      </c>
      <c r="I2408" s="19" t="s">
        <v>123</v>
      </c>
      <c r="J2408" s="20">
        <v>48</v>
      </c>
      <c r="K2408" s="34">
        <v>1</v>
      </c>
      <c r="L2408" s="34">
        <v>1</v>
      </c>
      <c r="M2408" s="19">
        <f>IF(OR(ISBLANK(C2408),C2408=""),"",ROUND((C2408-B2408)*24,2))</f>
        <v>78.42</v>
      </c>
      <c r="N2408" s="39" t="str">
        <f>IF(OR(ISBLANK(C2408),C2408="",M2408=""),"In Progress",IF(M2408&lt;=J2408,"Met","Breached"))</f>
        <v>Breached</v>
      </c>
    </row>
    <row r="2409" ht="19" customHeight="1" spans="1:14" x14ac:dyDescent="0.25">
      <c r="A2409" s="22" t="s">
        <v>2523</v>
      </c>
      <c r="B2409" s="36">
        <v>46156.90416666667</v>
      </c>
      <c r="C2409" s="36">
        <v>46158.2625</v>
      </c>
      <c r="D2409" s="22" t="s">
        <v>33</v>
      </c>
      <c r="E2409" s="22" t="s">
        <v>65</v>
      </c>
      <c r="F2409" s="22" t="s">
        <v>45</v>
      </c>
      <c r="G2409" s="22" t="s">
        <v>116</v>
      </c>
      <c r="H2409" s="22" t="s">
        <v>67</v>
      </c>
      <c r="I2409" s="22" t="s">
        <v>111</v>
      </c>
      <c r="J2409" s="23">
        <v>48</v>
      </c>
      <c r="K2409" s="37">
        <v>1</v>
      </c>
      <c r="M2409" s="22">
        <f>IF(OR(ISBLANK(C2409),C2409=""),"",ROUND((C2409-B2409)*24,2))</f>
        <v>32.6</v>
      </c>
      <c r="N2409" s="40" t="str">
        <f>IF(OR(ISBLANK(C2409),C2409="",M2409=""),"In Progress",IF(M2409&lt;=J2409,"Met","Breached"))</f>
        <v>Met</v>
      </c>
    </row>
    <row r="2410" ht="19" customHeight="1" spans="1:14" x14ac:dyDescent="0.25">
      <c r="A2410" s="19" t="s">
        <v>2524</v>
      </c>
      <c r="B2410" s="33">
        <v>46041.99513888889</v>
      </c>
      <c r="C2410" s="33">
        <v>46042.34444444445</v>
      </c>
      <c r="D2410" s="19" t="s">
        <v>33</v>
      </c>
      <c r="E2410" s="19" t="s">
        <v>61</v>
      </c>
      <c r="F2410" s="19" t="s">
        <v>37</v>
      </c>
      <c r="G2410" s="19" t="s">
        <v>113</v>
      </c>
      <c r="H2410" s="19" t="s">
        <v>63</v>
      </c>
      <c r="I2410" s="19" t="s">
        <v>111</v>
      </c>
      <c r="J2410" s="20">
        <v>12</v>
      </c>
      <c r="K2410" s="34">
        <v>0</v>
      </c>
      <c r="L2410" s="34">
        <v>4</v>
      </c>
      <c r="M2410" s="19">
        <f>IF(OR(ISBLANK(C2410),C2410=""),"",ROUND((C2410-B2410)*24,2))</f>
        <v>8.38</v>
      </c>
      <c r="N2410" s="35" t="str">
        <f>IF(OR(ISBLANK(C2410),C2410="",M2410=""),"In Progress",IF(M2410&lt;=J2410,"Met","Breached"))</f>
        <v>Met</v>
      </c>
    </row>
    <row r="2411" ht="19" customHeight="1" spans="1:14" x14ac:dyDescent="0.25">
      <c r="A2411" s="22" t="s">
        <v>2525</v>
      </c>
      <c r="B2411" s="36">
        <v>45910.86041666666</v>
      </c>
      <c r="C2411" s="36">
        <v>45912.31458333333</v>
      </c>
      <c r="D2411" s="22" t="s">
        <v>33</v>
      </c>
      <c r="E2411" s="22" t="s">
        <v>65</v>
      </c>
      <c r="F2411" s="22" t="s">
        <v>45</v>
      </c>
      <c r="G2411" s="22" t="s">
        <v>113</v>
      </c>
      <c r="H2411" s="22" t="s">
        <v>59</v>
      </c>
      <c r="I2411" s="22" t="s">
        <v>147</v>
      </c>
      <c r="J2411" s="23">
        <v>48</v>
      </c>
      <c r="K2411" s="37">
        <v>0</v>
      </c>
      <c r="L2411" s="37">
        <v>1</v>
      </c>
      <c r="M2411" s="22">
        <f>IF(OR(ISBLANK(C2411),C2411=""),"",ROUND((C2411-B2411)*24,2))</f>
        <v>34.9</v>
      </c>
      <c r="N2411" s="40" t="str">
        <f>IF(OR(ISBLANK(C2411),C2411="",M2411=""),"In Progress",IF(M2411&lt;=J2411,"Met","Breached"))</f>
        <v>Met</v>
      </c>
    </row>
    <row r="2412" ht="19" customHeight="1" spans="1:14" x14ac:dyDescent="0.25">
      <c r="A2412" s="19" t="s">
        <v>2526</v>
      </c>
      <c r="B2412" s="33">
        <v>45843.165972222225</v>
      </c>
      <c r="C2412" s="33">
        <v>45845.52222222222</v>
      </c>
      <c r="D2412" s="19" t="s">
        <v>33</v>
      </c>
      <c r="E2412" s="19" t="s">
        <v>65</v>
      </c>
      <c r="F2412" s="19" t="s">
        <v>45</v>
      </c>
      <c r="G2412" s="19" t="s">
        <v>63</v>
      </c>
      <c r="H2412" s="19" t="s">
        <v>59</v>
      </c>
      <c r="I2412" s="19" t="s">
        <v>117</v>
      </c>
      <c r="J2412" s="20">
        <v>48</v>
      </c>
      <c r="K2412" s="34">
        <v>0</v>
      </c>
      <c r="L2412" s="34">
        <v>5</v>
      </c>
      <c r="M2412" s="19">
        <f>IF(OR(ISBLANK(C2412),C2412=""),"",ROUND((C2412-B2412)*24,2))</f>
        <v>56.55</v>
      </c>
      <c r="N2412" s="39" t="str">
        <f>IF(OR(ISBLANK(C2412),C2412="",M2412=""),"In Progress",IF(M2412&lt;=J2412,"Met","Breached"))</f>
        <v>Breached</v>
      </c>
    </row>
    <row r="2413" ht="19" customHeight="1" spans="1:14" x14ac:dyDescent="0.25">
      <c r="A2413" s="22" t="s">
        <v>2527</v>
      </c>
      <c r="B2413" s="36">
        <v>45706.445138888885</v>
      </c>
      <c r="C2413" s="36">
        <v>45708.79513888889</v>
      </c>
      <c r="D2413" s="22" t="s">
        <v>36</v>
      </c>
      <c r="E2413" s="22" t="s">
        <v>65</v>
      </c>
      <c r="F2413" s="22" t="s">
        <v>43</v>
      </c>
      <c r="G2413" s="22" t="s">
        <v>110</v>
      </c>
      <c r="H2413" s="22" t="s">
        <v>59</v>
      </c>
      <c r="I2413" s="22" t="s">
        <v>123</v>
      </c>
      <c r="J2413" s="23">
        <v>48</v>
      </c>
      <c r="K2413" s="37">
        <v>0</v>
      </c>
      <c r="L2413" s="37">
        <v>2</v>
      </c>
      <c r="M2413" s="22">
        <f>IF(OR(ISBLANK(C2413),C2413=""),"",ROUND((C2413-B2413)*24,2))</f>
        <v>56.4</v>
      </c>
      <c r="N2413" s="38" t="str">
        <f>IF(OR(ISBLANK(C2413),C2413="",M2413=""),"In Progress",IF(M2413&lt;=J2413,"Met","Breached"))</f>
        <v>Breached</v>
      </c>
    </row>
    <row r="2414" ht="19" customHeight="1" spans="1:14" x14ac:dyDescent="0.25">
      <c r="A2414" s="19" t="s">
        <v>2528</v>
      </c>
      <c r="B2414" s="33">
        <v>45933.95972222222</v>
      </c>
      <c r="C2414" s="33">
        <v>45936.38055555556</v>
      </c>
      <c r="D2414" s="19" t="s">
        <v>33</v>
      </c>
      <c r="E2414" s="19" t="s">
        <v>65</v>
      </c>
      <c r="F2414" s="19" t="s">
        <v>40</v>
      </c>
      <c r="G2414" s="19" t="s">
        <v>110</v>
      </c>
      <c r="H2414" s="19" t="s">
        <v>63</v>
      </c>
      <c r="I2414" s="19" t="s">
        <v>147</v>
      </c>
      <c r="J2414" s="20">
        <v>48</v>
      </c>
      <c r="K2414" s="34">
        <v>0</v>
      </c>
      <c r="M2414" s="19">
        <f>IF(OR(ISBLANK(C2414),C2414=""),"",ROUND((C2414-B2414)*24,2))</f>
        <v>58.1</v>
      </c>
      <c r="N2414" s="39" t="str">
        <f>IF(OR(ISBLANK(C2414),C2414="",M2414=""),"In Progress",IF(M2414&lt;=J2414,"Met","Breached"))</f>
        <v>Breached</v>
      </c>
    </row>
    <row r="2415" ht="19" customHeight="1" spans="1:14" x14ac:dyDescent="0.25">
      <c r="A2415" s="22" t="s">
        <v>2529</v>
      </c>
      <c r="B2415" s="36">
        <v>46073.30763888889</v>
      </c>
      <c r="C2415" s="36">
        <v>46080.84930555556</v>
      </c>
      <c r="D2415" s="22" t="s">
        <v>36</v>
      </c>
      <c r="E2415" s="22" t="s">
        <v>69</v>
      </c>
      <c r="F2415" s="22" t="s">
        <v>40</v>
      </c>
      <c r="G2415" s="22" t="s">
        <v>63</v>
      </c>
      <c r="H2415" s="22" t="s">
        <v>59</v>
      </c>
      <c r="I2415" s="22" t="s">
        <v>123</v>
      </c>
      <c r="J2415" s="23">
        <v>120</v>
      </c>
      <c r="K2415" s="37">
        <v>0</v>
      </c>
      <c r="L2415" s="37">
        <v>2</v>
      </c>
      <c r="M2415" s="22">
        <f>IF(OR(ISBLANK(C2415),C2415=""),"",ROUND((C2415-B2415)*24,2))</f>
        <v>181</v>
      </c>
      <c r="N2415" s="38" t="str">
        <f>IF(OR(ISBLANK(C2415),C2415="",M2415=""),"In Progress",IF(M2415&lt;=J2415,"Met","Breached"))</f>
        <v>Breached</v>
      </c>
    </row>
    <row r="2416" ht="19" customHeight="1" spans="1:14" x14ac:dyDescent="0.25">
      <c r="A2416" s="19" t="s">
        <v>2530</v>
      </c>
      <c r="B2416" s="33">
        <v>46081.525</v>
      </c>
      <c r="C2416" s="33">
        <v>46084.25277777778</v>
      </c>
      <c r="D2416" s="19" t="s">
        <v>36</v>
      </c>
      <c r="E2416" s="19" t="s">
        <v>65</v>
      </c>
      <c r="F2416" s="19" t="s">
        <v>40</v>
      </c>
      <c r="G2416" s="19" t="s">
        <v>116</v>
      </c>
      <c r="H2416" s="19" t="s">
        <v>59</v>
      </c>
      <c r="I2416" s="19" t="s">
        <v>108</v>
      </c>
      <c r="J2416" s="20">
        <v>48</v>
      </c>
      <c r="K2416" s="34">
        <v>0</v>
      </c>
      <c r="L2416" s="34">
        <v>4</v>
      </c>
      <c r="M2416" s="19">
        <f>IF(OR(ISBLANK(C2416),C2416=""),"",ROUND((C2416-B2416)*24,2))</f>
        <v>65.47</v>
      </c>
      <c r="N2416" s="39" t="str">
        <f>IF(OR(ISBLANK(C2416),C2416="",M2416=""),"In Progress",IF(M2416&lt;=J2416,"Met","Breached"))</f>
        <v>Breached</v>
      </c>
    </row>
    <row r="2417" ht="19" customHeight="1" spans="1:14" x14ac:dyDescent="0.25">
      <c r="A2417" s="22" t="s">
        <v>2531</v>
      </c>
      <c r="B2417" s="36">
        <v>45706.06180555555</v>
      </c>
      <c r="C2417" s="36">
        <v>45706.53125</v>
      </c>
      <c r="D2417" s="22" t="s">
        <v>33</v>
      </c>
      <c r="E2417" s="22" t="s">
        <v>61</v>
      </c>
      <c r="F2417" s="22" t="s">
        <v>45</v>
      </c>
      <c r="G2417" s="22" t="s">
        <v>116</v>
      </c>
      <c r="H2417" s="22" t="s">
        <v>67</v>
      </c>
      <c r="I2417" s="22" t="s">
        <v>123</v>
      </c>
      <c r="J2417" s="23">
        <v>12</v>
      </c>
      <c r="K2417" s="37">
        <v>0</v>
      </c>
      <c r="L2417" s="37">
        <v>3</v>
      </c>
      <c r="M2417" s="22">
        <f>IF(OR(ISBLANK(C2417),C2417=""),"",ROUND((C2417-B2417)*24,2))</f>
        <v>11.27</v>
      </c>
      <c r="N2417" s="40" t="str">
        <f>IF(OR(ISBLANK(C2417),C2417="",M2417=""),"In Progress",IF(M2417&lt;=J2417,"Met","Breached"))</f>
        <v>Met</v>
      </c>
    </row>
    <row r="2418" ht="19" customHeight="1" spans="1:14" x14ac:dyDescent="0.25">
      <c r="A2418" s="19" t="s">
        <v>2532</v>
      </c>
      <c r="B2418" s="33">
        <v>45727.96527777778</v>
      </c>
      <c r="D2418" s="19" t="s">
        <v>39</v>
      </c>
      <c r="E2418" s="19" t="s">
        <v>61</v>
      </c>
      <c r="F2418" s="19" t="s">
        <v>43</v>
      </c>
      <c r="G2418" s="19" t="s">
        <v>126</v>
      </c>
      <c r="H2418" s="19" t="s">
        <v>59</v>
      </c>
      <c r="I2418" s="19" t="s">
        <v>114</v>
      </c>
      <c r="J2418" s="20">
        <v>12</v>
      </c>
      <c r="K2418" s="34">
        <v>0</v>
      </c>
      <c r="M2418" s="19" t="str">
        <f>IF(OR(ISBLANK(C2418),C2418=""),"",ROUND((C2418-B2418)*24,2))</f>
        <v/>
      </c>
      <c r="N2418" s="19" t="str">
        <f>IF(OR(ISBLANK(C2418),C2418="",M2418=""),"In Progress",IF(M2418&lt;=J2418,"Met","Breached"))</f>
        <v>In Progress</v>
      </c>
    </row>
    <row r="2419" ht="19" customHeight="1" spans="1:14" x14ac:dyDescent="0.25">
      <c r="A2419" s="22" t="s">
        <v>2533</v>
      </c>
      <c r="B2419" s="36">
        <v>45868.46666666667</v>
      </c>
      <c r="C2419" s="36">
        <v>45869.00625</v>
      </c>
      <c r="D2419" s="22" t="s">
        <v>33</v>
      </c>
      <c r="E2419" s="22" t="s">
        <v>61</v>
      </c>
      <c r="F2419" s="22" t="s">
        <v>40</v>
      </c>
      <c r="G2419" s="22" t="s">
        <v>121</v>
      </c>
      <c r="H2419" s="22" t="s">
        <v>59</v>
      </c>
      <c r="I2419" s="22" t="s">
        <v>117</v>
      </c>
      <c r="J2419" s="23">
        <v>12</v>
      </c>
      <c r="K2419" s="37">
        <v>0</v>
      </c>
      <c r="M2419" s="22">
        <f>IF(OR(ISBLANK(C2419),C2419=""),"",ROUND((C2419-B2419)*24,2))</f>
        <v>12.95</v>
      </c>
      <c r="N2419" s="38" t="str">
        <f>IF(OR(ISBLANK(C2419),C2419="",M2419=""),"In Progress",IF(M2419&lt;=J2419,"Met","Breached"))</f>
        <v>Breached</v>
      </c>
    </row>
    <row r="2420" ht="19" customHeight="1" spans="1:14" x14ac:dyDescent="0.25">
      <c r="A2420" s="19" t="s">
        <v>2534</v>
      </c>
      <c r="B2420" s="33">
        <v>46216.44791666667</v>
      </c>
      <c r="C2420" s="33">
        <v>46224.47361111111</v>
      </c>
      <c r="D2420" s="19" t="s">
        <v>33</v>
      </c>
      <c r="E2420" s="19" t="s">
        <v>69</v>
      </c>
      <c r="F2420" s="19" t="s">
        <v>43</v>
      </c>
      <c r="G2420" s="19" t="s">
        <v>113</v>
      </c>
      <c r="H2420" s="19" t="s">
        <v>67</v>
      </c>
      <c r="I2420" s="19" t="s">
        <v>114</v>
      </c>
      <c r="J2420" s="20">
        <v>120</v>
      </c>
      <c r="K2420" s="34">
        <v>0</v>
      </c>
      <c r="M2420" s="19">
        <f>IF(OR(ISBLANK(C2420),C2420=""),"",ROUND((C2420-B2420)*24,2))</f>
        <v>192.62</v>
      </c>
      <c r="N2420" s="39" t="str">
        <f>IF(OR(ISBLANK(C2420),C2420="",M2420=""),"In Progress",IF(M2420&lt;=J2420,"Met","Breached"))</f>
        <v>Breached</v>
      </c>
    </row>
    <row r="2421" ht="19" customHeight="1" spans="1:14" x14ac:dyDescent="0.25">
      <c r="A2421" s="22" t="s">
        <v>2535</v>
      </c>
      <c r="B2421" s="36">
        <v>46119.49097222222</v>
      </c>
      <c r="C2421" s="36">
        <v>46122.57847222222</v>
      </c>
      <c r="D2421" s="22" t="s">
        <v>36</v>
      </c>
      <c r="E2421" s="22" t="s">
        <v>65</v>
      </c>
      <c r="F2421" s="22" t="s">
        <v>37</v>
      </c>
      <c r="G2421" s="22" t="s">
        <v>63</v>
      </c>
      <c r="H2421" s="22" t="s">
        <v>63</v>
      </c>
      <c r="I2421" s="22" t="s">
        <v>117</v>
      </c>
      <c r="J2421" s="23">
        <v>48</v>
      </c>
      <c r="K2421" s="37">
        <v>0</v>
      </c>
      <c r="M2421" s="22">
        <f>IF(OR(ISBLANK(C2421),C2421=""),"",ROUND((C2421-B2421)*24,2))</f>
        <v>74.1</v>
      </c>
      <c r="N2421" s="38" t="str">
        <f>IF(OR(ISBLANK(C2421),C2421="",M2421=""),"In Progress",IF(M2421&lt;=J2421,"Met","Breached"))</f>
        <v>Breached</v>
      </c>
    </row>
    <row r="2422" ht="19" customHeight="1" spans="1:14" x14ac:dyDescent="0.25">
      <c r="A2422" s="19" t="s">
        <v>2536</v>
      </c>
      <c r="B2422" s="33">
        <v>46273.195138888885</v>
      </c>
      <c r="C2422" s="33">
        <v>46275.55763888889</v>
      </c>
      <c r="D2422" s="19" t="s">
        <v>36</v>
      </c>
      <c r="E2422" s="19" t="s">
        <v>65</v>
      </c>
      <c r="F2422" s="19" t="s">
        <v>34</v>
      </c>
      <c r="G2422" s="19" t="s">
        <v>113</v>
      </c>
      <c r="H2422" s="19" t="s">
        <v>63</v>
      </c>
      <c r="I2422" s="19" t="s">
        <v>123</v>
      </c>
      <c r="J2422" s="20">
        <v>48</v>
      </c>
      <c r="K2422" s="34">
        <v>0</v>
      </c>
      <c r="M2422" s="19">
        <f>IF(OR(ISBLANK(C2422),C2422=""),"",ROUND((C2422-B2422)*24,2))</f>
        <v>56.7</v>
      </c>
      <c r="N2422" s="39" t="str">
        <f>IF(OR(ISBLANK(C2422),C2422="",M2422=""),"In Progress",IF(M2422&lt;=J2422,"Met","Breached"))</f>
        <v>Breached</v>
      </c>
    </row>
    <row r="2423" ht="19" customHeight="1" spans="1:14" x14ac:dyDescent="0.25">
      <c r="A2423" s="22" t="s">
        <v>2537</v>
      </c>
      <c r="B2423" s="36">
        <v>45743.30138888889</v>
      </c>
      <c r="D2423" s="22" t="s">
        <v>42</v>
      </c>
      <c r="E2423" s="22" t="s">
        <v>65</v>
      </c>
      <c r="F2423" s="22" t="s">
        <v>45</v>
      </c>
      <c r="G2423" s="22" t="s">
        <v>126</v>
      </c>
      <c r="H2423" s="22" t="s">
        <v>63</v>
      </c>
      <c r="I2423" s="22" t="s">
        <v>108</v>
      </c>
      <c r="J2423" s="23">
        <v>48</v>
      </c>
      <c r="K2423" s="37">
        <v>0</v>
      </c>
      <c r="M2423" s="22" t="str">
        <f>IF(OR(ISBLANK(C2423),C2423=""),"",ROUND((C2423-B2423)*24,2))</f>
        <v/>
      </c>
      <c r="N2423" s="22" t="str">
        <f>IF(OR(ISBLANK(C2423),C2423="",M2423=""),"In Progress",IF(M2423&lt;=J2423,"Met","Breached"))</f>
        <v>In Progress</v>
      </c>
    </row>
    <row r="2424" ht="19" customHeight="1" spans="1:14" x14ac:dyDescent="0.25">
      <c r="A2424" s="19" t="s">
        <v>2538</v>
      </c>
      <c r="B2424" s="33">
        <v>46166.92291666666</v>
      </c>
      <c r="C2424" s="33">
        <v>46167.71666666667</v>
      </c>
      <c r="D2424" s="19" t="s">
        <v>33</v>
      </c>
      <c r="E2424" s="19" t="s">
        <v>61</v>
      </c>
      <c r="F2424" s="19" t="s">
        <v>37</v>
      </c>
      <c r="G2424" s="19" t="s">
        <v>63</v>
      </c>
      <c r="H2424" s="19" t="s">
        <v>59</v>
      </c>
      <c r="I2424" s="19" t="s">
        <v>114</v>
      </c>
      <c r="J2424" s="20">
        <v>12</v>
      </c>
      <c r="K2424" s="34">
        <v>0</v>
      </c>
      <c r="L2424" s="34">
        <v>2</v>
      </c>
      <c r="M2424" s="19">
        <f>IF(OR(ISBLANK(C2424),C2424=""),"",ROUND((C2424-B2424)*24,2))</f>
        <v>19.05</v>
      </c>
      <c r="N2424" s="39" t="str">
        <f>IF(OR(ISBLANK(C2424),C2424="",M2424=""),"In Progress",IF(M2424&lt;=J2424,"Met","Breached"))</f>
        <v>Breached</v>
      </c>
    </row>
    <row r="2425" ht="19" customHeight="1" spans="1:14" x14ac:dyDescent="0.25">
      <c r="A2425" s="22" t="s">
        <v>2539</v>
      </c>
      <c r="B2425" s="36">
        <v>45695.56736111111</v>
      </c>
      <c r="C2425" s="36">
        <v>45698.13611111111</v>
      </c>
      <c r="D2425" s="22" t="s">
        <v>36</v>
      </c>
      <c r="E2425" s="22" t="s">
        <v>69</v>
      </c>
      <c r="F2425" s="22" t="s">
        <v>40</v>
      </c>
      <c r="G2425" s="22" t="s">
        <v>110</v>
      </c>
      <c r="H2425" s="22" t="s">
        <v>59</v>
      </c>
      <c r="I2425" s="22" t="s">
        <v>117</v>
      </c>
      <c r="J2425" s="23">
        <v>120</v>
      </c>
      <c r="K2425" s="37">
        <v>0</v>
      </c>
      <c r="L2425" s="37">
        <v>4</v>
      </c>
      <c r="M2425" s="22">
        <f>IF(OR(ISBLANK(C2425),C2425=""),"",ROUND((C2425-B2425)*24,2))</f>
        <v>61.65</v>
      </c>
      <c r="N2425" s="40" t="str">
        <f>IF(OR(ISBLANK(C2425),C2425="",M2425=""),"In Progress",IF(M2425&lt;=J2425,"Met","Breached"))</f>
        <v>Met</v>
      </c>
    </row>
    <row r="2426" ht="19" customHeight="1" spans="1:14" x14ac:dyDescent="0.25">
      <c r="A2426" s="19" t="s">
        <v>2540</v>
      </c>
      <c r="B2426" s="33">
        <v>46225.75347222222</v>
      </c>
      <c r="C2426" s="33">
        <v>46226.58472222222</v>
      </c>
      <c r="D2426" s="19" t="s">
        <v>36</v>
      </c>
      <c r="E2426" s="19" t="s">
        <v>61</v>
      </c>
      <c r="F2426" s="19" t="s">
        <v>37</v>
      </c>
      <c r="G2426" s="19" t="s">
        <v>116</v>
      </c>
      <c r="H2426" s="19" t="s">
        <v>59</v>
      </c>
      <c r="I2426" s="19" t="s">
        <v>147</v>
      </c>
      <c r="J2426" s="20">
        <v>12</v>
      </c>
      <c r="K2426" s="34">
        <v>0</v>
      </c>
      <c r="L2426" s="34">
        <v>3</v>
      </c>
      <c r="M2426" s="19">
        <f>IF(OR(ISBLANK(C2426),C2426=""),"",ROUND((C2426-B2426)*24,2))</f>
        <v>19.95</v>
      </c>
      <c r="N2426" s="39" t="str">
        <f>IF(OR(ISBLANK(C2426),C2426="",M2426=""),"In Progress",IF(M2426&lt;=J2426,"Met","Breached"))</f>
        <v>Breached</v>
      </c>
    </row>
    <row r="2427" ht="19" customHeight="1" spans="1:14" x14ac:dyDescent="0.25">
      <c r="A2427" s="22" t="s">
        <v>2541</v>
      </c>
      <c r="B2427" s="36">
        <v>45823.24930555555</v>
      </c>
      <c r="C2427" s="36">
        <v>45829.06041666667</v>
      </c>
      <c r="D2427" s="22" t="s">
        <v>33</v>
      </c>
      <c r="E2427" s="22" t="s">
        <v>69</v>
      </c>
      <c r="F2427" s="22" t="s">
        <v>37</v>
      </c>
      <c r="G2427" s="22" t="s">
        <v>121</v>
      </c>
      <c r="H2427" s="22" t="s">
        <v>67</v>
      </c>
      <c r="I2427" s="22" t="s">
        <v>114</v>
      </c>
      <c r="J2427" s="23">
        <v>120</v>
      </c>
      <c r="K2427" s="37">
        <v>1</v>
      </c>
      <c r="L2427" s="37">
        <v>5</v>
      </c>
      <c r="M2427" s="22">
        <f>IF(OR(ISBLANK(C2427),C2427=""),"",ROUND((C2427-B2427)*24,2))</f>
        <v>139.47</v>
      </c>
      <c r="N2427" s="38" t="str">
        <f>IF(OR(ISBLANK(C2427),C2427="",M2427=""),"In Progress",IF(M2427&lt;=J2427,"Met","Breached"))</f>
        <v>Breached</v>
      </c>
    </row>
    <row r="2428" ht="19" customHeight="1" spans="1:14" x14ac:dyDescent="0.25">
      <c r="A2428" s="19" t="s">
        <v>2542</v>
      </c>
      <c r="B2428" s="33">
        <v>46115.49097222222</v>
      </c>
      <c r="C2428" s="33">
        <v>46115.868055555555</v>
      </c>
      <c r="D2428" s="19" t="s">
        <v>33</v>
      </c>
      <c r="E2428" s="19" t="s">
        <v>61</v>
      </c>
      <c r="F2428" s="19" t="s">
        <v>37</v>
      </c>
      <c r="G2428" s="19" t="s">
        <v>121</v>
      </c>
      <c r="H2428" s="19" t="s">
        <v>67</v>
      </c>
      <c r="I2428" s="19" t="s">
        <v>111</v>
      </c>
      <c r="J2428" s="20">
        <v>12</v>
      </c>
      <c r="K2428" s="34">
        <v>0</v>
      </c>
      <c r="L2428" s="34">
        <v>4</v>
      </c>
      <c r="M2428" s="19">
        <f>IF(OR(ISBLANK(C2428),C2428=""),"",ROUND((C2428-B2428)*24,2))</f>
        <v>9.05</v>
      </c>
      <c r="N2428" s="35" t="str">
        <f>IF(OR(ISBLANK(C2428),C2428="",M2428=""),"In Progress",IF(M2428&lt;=J2428,"Met","Breached"))</f>
        <v>Met</v>
      </c>
    </row>
    <row r="2429" ht="19" customHeight="1" spans="1:14" x14ac:dyDescent="0.25">
      <c r="A2429" s="22" t="s">
        <v>2543</v>
      </c>
      <c r="B2429" s="36">
        <v>45929.799305555556</v>
      </c>
      <c r="C2429" s="36">
        <v>45930.79513888889</v>
      </c>
      <c r="D2429" s="22" t="s">
        <v>33</v>
      </c>
      <c r="E2429" s="22" t="s">
        <v>65</v>
      </c>
      <c r="F2429" s="22" t="s">
        <v>43</v>
      </c>
      <c r="G2429" s="22" t="s">
        <v>126</v>
      </c>
      <c r="H2429" s="22" t="s">
        <v>63</v>
      </c>
      <c r="I2429" s="22" t="s">
        <v>114</v>
      </c>
      <c r="J2429" s="23">
        <v>48</v>
      </c>
      <c r="K2429" s="37">
        <v>0</v>
      </c>
      <c r="L2429" s="37">
        <v>4</v>
      </c>
      <c r="M2429" s="22">
        <f>IF(OR(ISBLANK(C2429),C2429=""),"",ROUND((C2429-B2429)*24,2))</f>
        <v>23.9</v>
      </c>
      <c r="N2429" s="40" t="str">
        <f>IF(OR(ISBLANK(C2429),C2429="",M2429=""),"In Progress",IF(M2429&lt;=J2429,"Met","Breached"))</f>
        <v>Met</v>
      </c>
    </row>
    <row r="2430" ht="19" customHeight="1" spans="1:14" x14ac:dyDescent="0.25">
      <c r="A2430" s="19" t="s">
        <v>2544</v>
      </c>
      <c r="B2430" s="33">
        <v>45868.52291666667</v>
      </c>
      <c r="C2430" s="33">
        <v>45869.33541666667</v>
      </c>
      <c r="D2430" s="19" t="s">
        <v>36</v>
      </c>
      <c r="E2430" s="19" t="s">
        <v>61</v>
      </c>
      <c r="F2430" s="19" t="s">
        <v>45</v>
      </c>
      <c r="G2430" s="19" t="s">
        <v>116</v>
      </c>
      <c r="H2430" s="19" t="s">
        <v>63</v>
      </c>
      <c r="I2430" s="19" t="s">
        <v>114</v>
      </c>
      <c r="J2430" s="20">
        <v>12</v>
      </c>
      <c r="K2430" s="34">
        <v>0</v>
      </c>
      <c r="L2430" s="34">
        <v>1</v>
      </c>
      <c r="M2430" s="19">
        <f>IF(OR(ISBLANK(C2430),C2430=""),"",ROUND((C2430-B2430)*24,2))</f>
        <v>19.5</v>
      </c>
      <c r="N2430" s="39" t="str">
        <f>IF(OR(ISBLANK(C2430),C2430="",M2430=""),"In Progress",IF(M2430&lt;=J2430,"Met","Breached"))</f>
        <v>Breached</v>
      </c>
    </row>
    <row r="2431" ht="19" customHeight="1" spans="1:14" x14ac:dyDescent="0.25">
      <c r="A2431" s="22" t="s">
        <v>2545</v>
      </c>
      <c r="B2431" s="36">
        <v>46114.5625</v>
      </c>
      <c r="C2431" s="36">
        <v>46117.28333333333</v>
      </c>
      <c r="D2431" s="22" t="s">
        <v>33</v>
      </c>
      <c r="E2431" s="22" t="s">
        <v>65</v>
      </c>
      <c r="F2431" s="22" t="s">
        <v>40</v>
      </c>
      <c r="G2431" s="22" t="s">
        <v>110</v>
      </c>
      <c r="H2431" s="22" t="s">
        <v>59</v>
      </c>
      <c r="I2431" s="22" t="s">
        <v>111</v>
      </c>
      <c r="J2431" s="23">
        <v>48</v>
      </c>
      <c r="K2431" s="37">
        <v>0</v>
      </c>
      <c r="L2431" s="37">
        <v>2</v>
      </c>
      <c r="M2431" s="22">
        <f>IF(OR(ISBLANK(C2431),C2431=""),"",ROUND((C2431-B2431)*24,2))</f>
        <v>65.3</v>
      </c>
      <c r="N2431" s="38" t="str">
        <f>IF(OR(ISBLANK(C2431),C2431="",M2431=""),"In Progress",IF(M2431&lt;=J2431,"Met","Breached"))</f>
        <v>Breached</v>
      </c>
    </row>
    <row r="2432" ht="19" customHeight="1" spans="1:14" x14ac:dyDescent="0.25">
      <c r="A2432" s="19" t="s">
        <v>2546</v>
      </c>
      <c r="B2432" s="33">
        <v>45802.679861111115</v>
      </c>
      <c r="D2432" s="19" t="s">
        <v>39</v>
      </c>
      <c r="E2432" s="19" t="s">
        <v>65</v>
      </c>
      <c r="F2432" s="19" t="s">
        <v>45</v>
      </c>
      <c r="G2432" s="19" t="s">
        <v>121</v>
      </c>
      <c r="H2432" s="19" t="s">
        <v>59</v>
      </c>
      <c r="I2432" s="19" t="s">
        <v>114</v>
      </c>
      <c r="J2432" s="20">
        <v>48</v>
      </c>
      <c r="K2432" s="34">
        <v>0</v>
      </c>
      <c r="M2432" s="19" t="str">
        <f>IF(OR(ISBLANK(C2432),C2432=""),"",ROUND((C2432-B2432)*24,2))</f>
        <v/>
      </c>
      <c r="N2432" s="19" t="str">
        <f>IF(OR(ISBLANK(C2432),C2432="",M2432=""),"In Progress",IF(M2432&lt;=J2432,"Met","Breached"))</f>
        <v>In Progress</v>
      </c>
    </row>
    <row r="2433" ht="19" customHeight="1" spans="1:14" x14ac:dyDescent="0.25">
      <c r="A2433" s="22" t="s">
        <v>2547</v>
      </c>
      <c r="B2433" s="36">
        <v>45759.316666666666</v>
      </c>
      <c r="C2433" s="36">
        <v>45761.80416666667</v>
      </c>
      <c r="D2433" s="22" t="s">
        <v>36</v>
      </c>
      <c r="E2433" s="22" t="s">
        <v>65</v>
      </c>
      <c r="F2433" s="22" t="s">
        <v>40</v>
      </c>
      <c r="G2433" s="22" t="s">
        <v>113</v>
      </c>
      <c r="H2433" s="22" t="s">
        <v>59</v>
      </c>
      <c r="I2433" s="22" t="s">
        <v>111</v>
      </c>
      <c r="J2433" s="23">
        <v>48</v>
      </c>
      <c r="K2433" s="37">
        <v>0</v>
      </c>
      <c r="L2433" s="37">
        <v>2</v>
      </c>
      <c r="M2433" s="22">
        <f>IF(OR(ISBLANK(C2433),C2433=""),"",ROUND((C2433-B2433)*24,2))</f>
        <v>59.7</v>
      </c>
      <c r="N2433" s="38" t="str">
        <f>IF(OR(ISBLANK(C2433),C2433="",M2433=""),"In Progress",IF(M2433&lt;=J2433,"Met","Breached"))</f>
        <v>Breached</v>
      </c>
    </row>
    <row r="2434" ht="19" customHeight="1" spans="1:14" x14ac:dyDescent="0.25">
      <c r="A2434" s="19" t="s">
        <v>2548</v>
      </c>
      <c r="B2434" s="33">
        <v>46266.44652777778</v>
      </c>
      <c r="C2434" s="33">
        <v>46267.53680555556</v>
      </c>
      <c r="D2434" s="19" t="s">
        <v>36</v>
      </c>
      <c r="E2434" s="19" t="s">
        <v>65</v>
      </c>
      <c r="F2434" s="19" t="s">
        <v>34</v>
      </c>
      <c r="G2434" s="19" t="s">
        <v>116</v>
      </c>
      <c r="H2434" s="19" t="s">
        <v>71</v>
      </c>
      <c r="I2434" s="19" t="s">
        <v>147</v>
      </c>
      <c r="J2434" s="20">
        <v>48</v>
      </c>
      <c r="K2434" s="34">
        <v>0</v>
      </c>
      <c r="L2434" s="34">
        <v>3</v>
      </c>
      <c r="M2434" s="19">
        <f>IF(OR(ISBLANK(C2434),C2434=""),"",ROUND((C2434-B2434)*24,2))</f>
        <v>26.17</v>
      </c>
      <c r="N2434" s="35" t="str">
        <f>IF(OR(ISBLANK(C2434),C2434="",M2434=""),"In Progress",IF(M2434&lt;=J2434,"Met","Breached"))</f>
        <v>Met</v>
      </c>
    </row>
    <row r="2435" ht="19" customHeight="1" spans="1:14" x14ac:dyDescent="0.25">
      <c r="A2435" s="22" t="s">
        <v>2549</v>
      </c>
      <c r="B2435" s="36">
        <v>45855.78194444445</v>
      </c>
      <c r="C2435" s="36">
        <v>45856.06319444445</v>
      </c>
      <c r="D2435" s="22" t="s">
        <v>33</v>
      </c>
      <c r="E2435" s="22" t="s">
        <v>61</v>
      </c>
      <c r="F2435" s="22" t="s">
        <v>43</v>
      </c>
      <c r="G2435" s="22" t="s">
        <v>113</v>
      </c>
      <c r="H2435" s="22" t="s">
        <v>59</v>
      </c>
      <c r="I2435" s="22" t="s">
        <v>114</v>
      </c>
      <c r="J2435" s="23">
        <v>12</v>
      </c>
      <c r="K2435" s="37">
        <v>0</v>
      </c>
      <c r="L2435" s="37">
        <v>3</v>
      </c>
      <c r="M2435" s="22">
        <f>IF(OR(ISBLANK(C2435),C2435=""),"",ROUND((C2435-B2435)*24,2))</f>
        <v>6.75</v>
      </c>
      <c r="N2435" s="40" t="str">
        <f>IF(OR(ISBLANK(C2435),C2435="",M2435=""),"In Progress",IF(M2435&lt;=J2435,"Met","Breached"))</f>
        <v>Met</v>
      </c>
    </row>
    <row r="2436" ht="19" customHeight="1" spans="1:14" x14ac:dyDescent="0.25">
      <c r="A2436" s="19" t="s">
        <v>2550</v>
      </c>
      <c r="B2436" s="33">
        <v>45788.728472222225</v>
      </c>
      <c r="D2436" s="19" t="s">
        <v>42</v>
      </c>
      <c r="E2436" s="19" t="s">
        <v>69</v>
      </c>
      <c r="F2436" s="19" t="s">
        <v>45</v>
      </c>
      <c r="G2436" s="19" t="s">
        <v>63</v>
      </c>
      <c r="H2436" s="19" t="s">
        <v>63</v>
      </c>
      <c r="I2436" s="19" t="s">
        <v>147</v>
      </c>
      <c r="J2436" s="20">
        <v>120</v>
      </c>
      <c r="K2436" s="34">
        <v>0</v>
      </c>
      <c r="M2436" s="19" t="str">
        <f>IF(OR(ISBLANK(C2436),C2436=""),"",ROUND((C2436-B2436)*24,2))</f>
        <v/>
      </c>
      <c r="N2436" s="19" t="str">
        <f>IF(OR(ISBLANK(C2436),C2436="",M2436=""),"In Progress",IF(M2436&lt;=J2436,"Met","Breached"))</f>
        <v>In Progress</v>
      </c>
    </row>
    <row r="2437" ht="19" customHeight="1" spans="1:14" x14ac:dyDescent="0.25">
      <c r="A2437" s="22" t="s">
        <v>2551</v>
      </c>
      <c r="B2437" s="36">
        <v>45688.669444444444</v>
      </c>
      <c r="C2437" s="36">
        <v>45691.736805555556</v>
      </c>
      <c r="D2437" s="22" t="s">
        <v>36</v>
      </c>
      <c r="E2437" s="22" t="s">
        <v>65</v>
      </c>
      <c r="F2437" s="22" t="s">
        <v>40</v>
      </c>
      <c r="G2437" s="22" t="s">
        <v>113</v>
      </c>
      <c r="H2437" s="22" t="s">
        <v>59</v>
      </c>
      <c r="I2437" s="22" t="s">
        <v>111</v>
      </c>
      <c r="J2437" s="23">
        <v>48</v>
      </c>
      <c r="K2437" s="37">
        <v>0</v>
      </c>
      <c r="L2437" s="37">
        <v>1</v>
      </c>
      <c r="M2437" s="22">
        <f>IF(OR(ISBLANK(C2437),C2437=""),"",ROUND((C2437-B2437)*24,2))</f>
        <v>73.62</v>
      </c>
      <c r="N2437" s="38" t="str">
        <f>IF(OR(ISBLANK(C2437),C2437="",M2437=""),"In Progress",IF(M2437&lt;=J2437,"Met","Breached"))</f>
        <v>Breached</v>
      </c>
    </row>
    <row r="2438" ht="19" customHeight="1" spans="1:14" x14ac:dyDescent="0.25">
      <c r="A2438" s="19" t="s">
        <v>2552</v>
      </c>
      <c r="B2438" s="33">
        <v>46275.08263888889</v>
      </c>
      <c r="D2438" s="19" t="s">
        <v>39</v>
      </c>
      <c r="E2438" s="19" t="s">
        <v>61</v>
      </c>
      <c r="F2438" s="19" t="s">
        <v>37</v>
      </c>
      <c r="G2438" s="19" t="s">
        <v>121</v>
      </c>
      <c r="H2438" s="19" t="s">
        <v>59</v>
      </c>
      <c r="I2438" s="19" t="s">
        <v>111</v>
      </c>
      <c r="J2438" s="20">
        <v>12</v>
      </c>
      <c r="K2438" s="34">
        <v>0</v>
      </c>
      <c r="M2438" s="19" t="str">
        <f>IF(OR(ISBLANK(C2438),C2438=""),"",ROUND((C2438-B2438)*24,2))</f>
        <v/>
      </c>
      <c r="N2438" s="19" t="str">
        <f>IF(OR(ISBLANK(C2438),C2438="",M2438=""),"In Progress",IF(M2438&lt;=J2438,"Met","Breached"))</f>
        <v>In Progress</v>
      </c>
    </row>
    <row r="2439" ht="19" customHeight="1" spans="1:14" x14ac:dyDescent="0.25">
      <c r="A2439" s="22" t="s">
        <v>2553</v>
      </c>
      <c r="B2439" s="36">
        <v>45862.15277777778</v>
      </c>
      <c r="C2439" s="36">
        <v>45863.08819444444</v>
      </c>
      <c r="D2439" s="22" t="s">
        <v>33</v>
      </c>
      <c r="E2439" s="22" t="s">
        <v>65</v>
      </c>
      <c r="F2439" s="22" t="s">
        <v>45</v>
      </c>
      <c r="G2439" s="22" t="s">
        <v>126</v>
      </c>
      <c r="H2439" s="22" t="s">
        <v>67</v>
      </c>
      <c r="I2439" s="22" t="s">
        <v>123</v>
      </c>
      <c r="J2439" s="23">
        <v>48</v>
      </c>
      <c r="K2439" s="37">
        <v>0</v>
      </c>
      <c r="M2439" s="22">
        <f>IF(OR(ISBLANK(C2439),C2439=""),"",ROUND((C2439-B2439)*24,2))</f>
        <v>22.45</v>
      </c>
      <c r="N2439" s="40" t="str">
        <f>IF(OR(ISBLANK(C2439),C2439="",M2439=""),"In Progress",IF(M2439&lt;=J2439,"Met","Breached"))</f>
        <v>Met</v>
      </c>
    </row>
    <row r="2440" ht="19" customHeight="1" spans="1:14" x14ac:dyDescent="0.25">
      <c r="A2440" s="19" t="s">
        <v>2554</v>
      </c>
      <c r="B2440" s="33">
        <v>46246.73472222222</v>
      </c>
      <c r="C2440" s="33">
        <v>46248.31805555556</v>
      </c>
      <c r="D2440" s="19" t="s">
        <v>36</v>
      </c>
      <c r="E2440" s="19" t="s">
        <v>65</v>
      </c>
      <c r="F2440" s="19" t="s">
        <v>40</v>
      </c>
      <c r="G2440" s="19" t="s">
        <v>113</v>
      </c>
      <c r="H2440" s="19" t="s">
        <v>63</v>
      </c>
      <c r="I2440" s="19" t="s">
        <v>117</v>
      </c>
      <c r="J2440" s="20">
        <v>48</v>
      </c>
      <c r="K2440" s="34">
        <v>0</v>
      </c>
      <c r="L2440" s="34">
        <v>2</v>
      </c>
      <c r="M2440" s="19">
        <f>IF(OR(ISBLANK(C2440),C2440=""),"",ROUND((C2440-B2440)*24,2))</f>
        <v>38</v>
      </c>
      <c r="N2440" s="35" t="str">
        <f>IF(OR(ISBLANK(C2440),C2440="",M2440=""),"In Progress",IF(M2440&lt;=J2440,"Met","Breached"))</f>
        <v>Met</v>
      </c>
    </row>
    <row r="2441" ht="19" customHeight="1" spans="1:14" x14ac:dyDescent="0.25">
      <c r="A2441" s="22" t="s">
        <v>2555</v>
      </c>
      <c r="B2441" s="36">
        <v>45724.12430555555</v>
      </c>
      <c r="C2441" s="36">
        <v>45724.913888888885</v>
      </c>
      <c r="D2441" s="22" t="s">
        <v>33</v>
      </c>
      <c r="E2441" s="22" t="s">
        <v>65</v>
      </c>
      <c r="F2441" s="22" t="s">
        <v>45</v>
      </c>
      <c r="G2441" s="22" t="s">
        <v>126</v>
      </c>
      <c r="H2441" s="22" t="s">
        <v>67</v>
      </c>
      <c r="I2441" s="22" t="s">
        <v>117</v>
      </c>
      <c r="J2441" s="23">
        <v>48</v>
      </c>
      <c r="K2441" s="37">
        <v>0</v>
      </c>
      <c r="L2441" s="37">
        <v>2</v>
      </c>
      <c r="M2441" s="22">
        <f>IF(OR(ISBLANK(C2441),C2441=""),"",ROUND((C2441-B2441)*24,2))</f>
        <v>18.95</v>
      </c>
      <c r="N2441" s="40" t="str">
        <f>IF(OR(ISBLANK(C2441),C2441="",M2441=""),"In Progress",IF(M2441&lt;=J2441,"Met","Breached"))</f>
        <v>Met</v>
      </c>
    </row>
    <row r="2442" ht="19" customHeight="1" spans="1:14" x14ac:dyDescent="0.25">
      <c r="A2442" s="19" t="s">
        <v>2556</v>
      </c>
      <c r="B2442" s="33">
        <v>46169.07847222222</v>
      </c>
      <c r="C2442" s="33">
        <v>46171.6</v>
      </c>
      <c r="D2442" s="19" t="s">
        <v>33</v>
      </c>
      <c r="E2442" s="19" t="s">
        <v>65</v>
      </c>
      <c r="F2442" s="19" t="s">
        <v>45</v>
      </c>
      <c r="G2442" s="19" t="s">
        <v>63</v>
      </c>
      <c r="H2442" s="19" t="s">
        <v>63</v>
      </c>
      <c r="I2442" s="19" t="s">
        <v>108</v>
      </c>
      <c r="J2442" s="20">
        <v>48</v>
      </c>
      <c r="K2442" s="34">
        <v>0</v>
      </c>
      <c r="L2442" s="34">
        <v>3</v>
      </c>
      <c r="M2442" s="19">
        <f>IF(OR(ISBLANK(C2442),C2442=""),"",ROUND((C2442-B2442)*24,2))</f>
        <v>60.52</v>
      </c>
      <c r="N2442" s="39" t="str">
        <f>IF(OR(ISBLANK(C2442),C2442="",M2442=""),"In Progress",IF(M2442&lt;=J2442,"Met","Breached"))</f>
        <v>Breached</v>
      </c>
    </row>
    <row r="2443" ht="19" customHeight="1" spans="1:14" x14ac:dyDescent="0.25">
      <c r="A2443" s="22" t="s">
        <v>2557</v>
      </c>
      <c r="B2443" s="36">
        <v>45952.22986111111</v>
      </c>
      <c r="D2443" s="22" t="s">
        <v>39</v>
      </c>
      <c r="E2443" s="22" t="s">
        <v>65</v>
      </c>
      <c r="F2443" s="22" t="s">
        <v>45</v>
      </c>
      <c r="G2443" s="22" t="s">
        <v>121</v>
      </c>
      <c r="H2443" s="22" t="s">
        <v>63</v>
      </c>
      <c r="I2443" s="22" t="s">
        <v>111</v>
      </c>
      <c r="J2443" s="23">
        <v>48</v>
      </c>
      <c r="K2443" s="37">
        <v>0</v>
      </c>
      <c r="M2443" s="22" t="str">
        <f>IF(OR(ISBLANK(C2443),C2443=""),"",ROUND((C2443-B2443)*24,2))</f>
        <v/>
      </c>
      <c r="N2443" s="22" t="str">
        <f>IF(OR(ISBLANK(C2443),C2443="",M2443=""),"In Progress",IF(M2443&lt;=J2443,"Met","Breached"))</f>
        <v>In Progress</v>
      </c>
    </row>
    <row r="2444" ht="19" customHeight="1" spans="1:14" x14ac:dyDescent="0.25">
      <c r="A2444" s="19" t="s">
        <v>2558</v>
      </c>
      <c r="B2444" s="33">
        <v>46113.26666666666</v>
      </c>
      <c r="C2444" s="33">
        <v>46114.66666666667</v>
      </c>
      <c r="D2444" s="19" t="s">
        <v>36</v>
      </c>
      <c r="E2444" s="19" t="s">
        <v>65</v>
      </c>
      <c r="F2444" s="19" t="s">
        <v>37</v>
      </c>
      <c r="G2444" s="19" t="s">
        <v>121</v>
      </c>
      <c r="H2444" s="19" t="s">
        <v>59</v>
      </c>
      <c r="I2444" s="19" t="s">
        <v>147</v>
      </c>
      <c r="J2444" s="20">
        <v>48</v>
      </c>
      <c r="K2444" s="34">
        <v>0</v>
      </c>
      <c r="L2444" s="34">
        <v>4</v>
      </c>
      <c r="M2444" s="19">
        <f>IF(OR(ISBLANK(C2444),C2444=""),"",ROUND((C2444-B2444)*24,2))</f>
        <v>33.6</v>
      </c>
      <c r="N2444" s="35" t="str">
        <f>IF(OR(ISBLANK(C2444),C2444="",M2444=""),"In Progress",IF(M2444&lt;=J2444,"Met","Breached"))</f>
        <v>Met</v>
      </c>
    </row>
    <row r="2445" ht="19" customHeight="1" spans="1:14" x14ac:dyDescent="0.25">
      <c r="A2445" s="22" t="s">
        <v>2559</v>
      </c>
      <c r="B2445" s="36">
        <v>46283.07777777778</v>
      </c>
      <c r="D2445" s="22" t="s">
        <v>42</v>
      </c>
      <c r="E2445" s="22" t="s">
        <v>65</v>
      </c>
      <c r="F2445" s="22" t="s">
        <v>37</v>
      </c>
      <c r="G2445" s="22" t="s">
        <v>121</v>
      </c>
      <c r="H2445" s="22" t="s">
        <v>59</v>
      </c>
      <c r="I2445" s="22" t="s">
        <v>111</v>
      </c>
      <c r="J2445" s="23">
        <v>48</v>
      </c>
      <c r="K2445" s="37">
        <v>0</v>
      </c>
      <c r="M2445" s="22" t="str">
        <f>IF(OR(ISBLANK(C2445),C2445=""),"",ROUND((C2445-B2445)*24,2))</f>
        <v/>
      </c>
      <c r="N2445" s="22" t="str">
        <f>IF(OR(ISBLANK(C2445),C2445="",M2445=""),"In Progress",IF(M2445&lt;=J2445,"Met","Breached"))</f>
        <v>In Progress</v>
      </c>
    </row>
    <row r="2446" ht="19" customHeight="1" spans="1:14" x14ac:dyDescent="0.25">
      <c r="A2446" s="19" t="s">
        <v>2560</v>
      </c>
      <c r="B2446" s="33">
        <v>45960.19236111111</v>
      </c>
      <c r="C2446" s="33">
        <v>45962.51111111111</v>
      </c>
      <c r="D2446" s="19" t="s">
        <v>33</v>
      </c>
      <c r="E2446" s="19" t="s">
        <v>65</v>
      </c>
      <c r="F2446" s="19" t="s">
        <v>37</v>
      </c>
      <c r="G2446" s="19" t="s">
        <v>110</v>
      </c>
      <c r="H2446" s="19" t="s">
        <v>59</v>
      </c>
      <c r="I2446" s="19" t="s">
        <v>114</v>
      </c>
      <c r="J2446" s="20">
        <v>48</v>
      </c>
      <c r="K2446" s="34">
        <v>1</v>
      </c>
      <c r="L2446" s="34">
        <v>4</v>
      </c>
      <c r="M2446" s="19">
        <f>IF(OR(ISBLANK(C2446),C2446=""),"",ROUND((C2446-B2446)*24,2))</f>
        <v>55.65</v>
      </c>
      <c r="N2446" s="39" t="str">
        <f>IF(OR(ISBLANK(C2446),C2446="",M2446=""),"In Progress",IF(M2446&lt;=J2446,"Met","Breached"))</f>
        <v>Breached</v>
      </c>
    </row>
    <row r="2447" ht="19" customHeight="1" spans="1:14" x14ac:dyDescent="0.25">
      <c r="A2447" s="22" t="s">
        <v>2561</v>
      </c>
      <c r="B2447" s="36">
        <v>45776.25138888889</v>
      </c>
      <c r="C2447" s="36">
        <v>45776.51666666666</v>
      </c>
      <c r="D2447" s="22" t="s">
        <v>33</v>
      </c>
      <c r="E2447" s="22" t="s">
        <v>57</v>
      </c>
      <c r="F2447" s="22" t="s">
        <v>40</v>
      </c>
      <c r="G2447" s="22" t="s">
        <v>116</v>
      </c>
      <c r="H2447" s="22" t="s">
        <v>71</v>
      </c>
      <c r="I2447" s="22" t="s">
        <v>147</v>
      </c>
      <c r="J2447" s="23">
        <v>4</v>
      </c>
      <c r="K2447" s="37">
        <v>0</v>
      </c>
      <c r="L2447" s="37">
        <v>2</v>
      </c>
      <c r="M2447" s="22">
        <f>IF(OR(ISBLANK(C2447),C2447=""),"",ROUND((C2447-B2447)*24,2))</f>
        <v>6.37</v>
      </c>
      <c r="N2447" s="38" t="str">
        <f>IF(OR(ISBLANK(C2447),C2447="",M2447=""),"In Progress",IF(M2447&lt;=J2447,"Met","Breached"))</f>
        <v>Breached</v>
      </c>
    </row>
    <row r="2448" ht="19" customHeight="1" spans="1:14" x14ac:dyDescent="0.25">
      <c r="A2448" s="19" t="s">
        <v>2562</v>
      </c>
      <c r="B2448" s="33">
        <v>45724.084027777775</v>
      </c>
      <c r="D2448" s="19" t="s">
        <v>39</v>
      </c>
      <c r="E2448" s="19" t="s">
        <v>65</v>
      </c>
      <c r="F2448" s="19" t="s">
        <v>43</v>
      </c>
      <c r="G2448" s="19" t="s">
        <v>113</v>
      </c>
      <c r="H2448" s="19" t="s">
        <v>59</v>
      </c>
      <c r="I2448" s="19" t="s">
        <v>117</v>
      </c>
      <c r="J2448" s="20">
        <v>48</v>
      </c>
      <c r="K2448" s="34">
        <v>0</v>
      </c>
      <c r="M2448" s="19" t="str">
        <f>IF(OR(ISBLANK(C2448),C2448=""),"",ROUND((C2448-B2448)*24,2))</f>
        <v/>
      </c>
      <c r="N2448" s="19" t="str">
        <f>IF(OR(ISBLANK(C2448),C2448="",M2448=""),"In Progress",IF(M2448&lt;=J2448,"Met","Breached"))</f>
        <v>In Progress</v>
      </c>
    </row>
    <row r="2449" ht="19" customHeight="1" spans="1:14" x14ac:dyDescent="0.25">
      <c r="A2449" s="22" t="s">
        <v>2563</v>
      </c>
      <c r="B2449" s="36">
        <v>45988.63958333334</v>
      </c>
      <c r="D2449" s="22" t="s">
        <v>42</v>
      </c>
      <c r="E2449" s="22" t="s">
        <v>65</v>
      </c>
      <c r="F2449" s="22" t="s">
        <v>40</v>
      </c>
      <c r="G2449" s="22" t="s">
        <v>63</v>
      </c>
      <c r="H2449" s="22" t="s">
        <v>63</v>
      </c>
      <c r="I2449" s="22" t="s">
        <v>117</v>
      </c>
      <c r="J2449" s="23">
        <v>48</v>
      </c>
      <c r="K2449" s="37">
        <v>0</v>
      </c>
      <c r="M2449" s="22" t="str">
        <f>IF(OR(ISBLANK(C2449),C2449=""),"",ROUND((C2449-B2449)*24,2))</f>
        <v/>
      </c>
      <c r="N2449" s="22" t="str">
        <f>IF(OR(ISBLANK(C2449),C2449="",M2449=""),"In Progress",IF(M2449&lt;=J2449,"Met","Breached"))</f>
        <v>In Progress</v>
      </c>
    </row>
    <row r="2450" ht="19" customHeight="1" spans="1:14" x14ac:dyDescent="0.25">
      <c r="A2450" s="19" t="s">
        <v>2564</v>
      </c>
      <c r="B2450" s="33">
        <v>45980.74930555555</v>
      </c>
      <c r="D2450" s="19" t="s">
        <v>39</v>
      </c>
      <c r="E2450" s="19" t="s">
        <v>69</v>
      </c>
      <c r="F2450" s="19" t="s">
        <v>37</v>
      </c>
      <c r="G2450" s="19" t="s">
        <v>116</v>
      </c>
      <c r="H2450" s="19" t="s">
        <v>59</v>
      </c>
      <c r="I2450" s="19" t="s">
        <v>147</v>
      </c>
      <c r="J2450" s="20">
        <v>120</v>
      </c>
      <c r="K2450" s="34">
        <v>0</v>
      </c>
      <c r="M2450" s="19" t="str">
        <f>IF(OR(ISBLANK(C2450),C2450=""),"",ROUND((C2450-B2450)*24,2))</f>
        <v/>
      </c>
      <c r="N2450" s="19" t="str">
        <f>IF(OR(ISBLANK(C2450),C2450="",M2450=""),"In Progress",IF(M2450&lt;=J2450,"Met","Breached"))</f>
        <v>In Progress</v>
      </c>
    </row>
    <row r="2451" ht="19" customHeight="1" spans="1:14" x14ac:dyDescent="0.25">
      <c r="A2451" s="22" t="s">
        <v>2565</v>
      </c>
      <c r="B2451" s="36">
        <v>46188.913888888885</v>
      </c>
      <c r="C2451" s="36">
        <v>46192.111805555556</v>
      </c>
      <c r="D2451" s="22" t="s">
        <v>33</v>
      </c>
      <c r="E2451" s="22" t="s">
        <v>65</v>
      </c>
      <c r="F2451" s="22" t="s">
        <v>43</v>
      </c>
      <c r="G2451" s="22" t="s">
        <v>126</v>
      </c>
      <c r="H2451" s="22" t="s">
        <v>71</v>
      </c>
      <c r="I2451" s="22" t="s">
        <v>117</v>
      </c>
      <c r="J2451" s="23">
        <v>48</v>
      </c>
      <c r="K2451" s="37">
        <v>0</v>
      </c>
      <c r="M2451" s="22">
        <f>IF(OR(ISBLANK(C2451),C2451=""),"",ROUND((C2451-B2451)*24,2))</f>
        <v>76.75</v>
      </c>
      <c r="N2451" s="38" t="str">
        <f>IF(OR(ISBLANK(C2451),C2451="",M2451=""),"In Progress",IF(M2451&lt;=J2451,"Met","Breached"))</f>
        <v>Breached</v>
      </c>
    </row>
    <row r="2452" ht="19" customHeight="1" spans="1:14" x14ac:dyDescent="0.25">
      <c r="A2452" s="19" t="s">
        <v>2566</v>
      </c>
      <c r="B2452" s="33">
        <v>46153.02222222222</v>
      </c>
      <c r="C2452" s="33">
        <v>46153.80069444445</v>
      </c>
      <c r="D2452" s="19" t="s">
        <v>33</v>
      </c>
      <c r="E2452" s="19" t="s">
        <v>61</v>
      </c>
      <c r="F2452" s="19" t="s">
        <v>34</v>
      </c>
      <c r="G2452" s="19" t="s">
        <v>116</v>
      </c>
      <c r="H2452" s="19" t="s">
        <v>59</v>
      </c>
      <c r="I2452" s="19" t="s">
        <v>123</v>
      </c>
      <c r="J2452" s="20">
        <v>12</v>
      </c>
      <c r="K2452" s="34">
        <v>0</v>
      </c>
      <c r="L2452" s="34">
        <v>4</v>
      </c>
      <c r="M2452" s="19">
        <f>IF(OR(ISBLANK(C2452),C2452=""),"",ROUND((C2452-B2452)*24,2))</f>
        <v>18.68</v>
      </c>
      <c r="N2452" s="39" t="str">
        <f>IF(OR(ISBLANK(C2452),C2452="",M2452=""),"In Progress",IF(M2452&lt;=J2452,"Met","Breached"))</f>
        <v>Breached</v>
      </c>
    </row>
    <row r="2453" ht="19" customHeight="1" spans="1:14" x14ac:dyDescent="0.25">
      <c r="A2453" s="22" t="s">
        <v>2567</v>
      </c>
      <c r="B2453" s="36">
        <v>45689.92708333333</v>
      </c>
      <c r="C2453" s="36">
        <v>45690.66111111111</v>
      </c>
      <c r="D2453" s="22" t="s">
        <v>33</v>
      </c>
      <c r="E2453" s="22" t="s">
        <v>65</v>
      </c>
      <c r="F2453" s="22" t="s">
        <v>34</v>
      </c>
      <c r="G2453" s="22" t="s">
        <v>121</v>
      </c>
      <c r="H2453" s="22" t="s">
        <v>63</v>
      </c>
      <c r="I2453" s="22" t="s">
        <v>123</v>
      </c>
      <c r="J2453" s="23">
        <v>48</v>
      </c>
      <c r="K2453" s="37">
        <v>0</v>
      </c>
      <c r="L2453" s="37">
        <v>5</v>
      </c>
      <c r="M2453" s="22">
        <f>IF(OR(ISBLANK(C2453),C2453=""),"",ROUND((C2453-B2453)*24,2))</f>
        <v>17.62</v>
      </c>
      <c r="N2453" s="40" t="str">
        <f>IF(OR(ISBLANK(C2453),C2453="",M2453=""),"In Progress",IF(M2453&lt;=J2453,"Met","Breached"))</f>
        <v>Met</v>
      </c>
    </row>
    <row r="2454" ht="19" customHeight="1" spans="1:14" x14ac:dyDescent="0.25">
      <c r="A2454" s="19" t="s">
        <v>2568</v>
      </c>
      <c r="B2454" s="33">
        <v>45748.4375</v>
      </c>
      <c r="D2454" s="19" t="s">
        <v>39</v>
      </c>
      <c r="E2454" s="19" t="s">
        <v>65</v>
      </c>
      <c r="F2454" s="19" t="s">
        <v>45</v>
      </c>
      <c r="G2454" s="19" t="s">
        <v>113</v>
      </c>
      <c r="H2454" s="19" t="s">
        <v>67</v>
      </c>
      <c r="I2454" s="19" t="s">
        <v>114</v>
      </c>
      <c r="J2454" s="20">
        <v>48</v>
      </c>
      <c r="K2454" s="34">
        <v>0</v>
      </c>
      <c r="M2454" s="19" t="str">
        <f>IF(OR(ISBLANK(C2454),C2454=""),"",ROUND((C2454-B2454)*24,2))</f>
        <v/>
      </c>
      <c r="N2454" s="19" t="str">
        <f>IF(OR(ISBLANK(C2454),C2454="",M2454=""),"In Progress",IF(M2454&lt;=J2454,"Met","Breached"))</f>
        <v>In Progress</v>
      </c>
    </row>
    <row r="2455" ht="19" customHeight="1" spans="1:14" x14ac:dyDescent="0.25">
      <c r="A2455" s="22" t="s">
        <v>2569</v>
      </c>
      <c r="B2455" s="36">
        <v>45713.10277777778</v>
      </c>
      <c r="D2455" s="22" t="s">
        <v>39</v>
      </c>
      <c r="E2455" s="22" t="s">
        <v>57</v>
      </c>
      <c r="F2455" s="22" t="s">
        <v>34</v>
      </c>
      <c r="G2455" s="22" t="s">
        <v>113</v>
      </c>
      <c r="H2455" s="22" t="s">
        <v>59</v>
      </c>
      <c r="I2455" s="22" t="s">
        <v>108</v>
      </c>
      <c r="J2455" s="23">
        <v>4</v>
      </c>
      <c r="K2455" s="37">
        <v>0</v>
      </c>
      <c r="M2455" s="22" t="str">
        <f>IF(OR(ISBLANK(C2455),C2455=""),"",ROUND((C2455-B2455)*24,2))</f>
        <v/>
      </c>
      <c r="N2455" s="22" t="str">
        <f>IF(OR(ISBLANK(C2455),C2455="",M2455=""),"In Progress",IF(M2455&lt;=J2455,"Met","Breached"))</f>
        <v>In Progress</v>
      </c>
    </row>
    <row r="2456" ht="19" customHeight="1" spans="1:14" x14ac:dyDescent="0.25">
      <c r="A2456" s="19" t="s">
        <v>2570</v>
      </c>
      <c r="B2456" s="33">
        <v>45957.103472222225</v>
      </c>
      <c r="C2456" s="33">
        <v>45957.45763888889</v>
      </c>
      <c r="D2456" s="19" t="s">
        <v>33</v>
      </c>
      <c r="E2456" s="19" t="s">
        <v>61</v>
      </c>
      <c r="F2456" s="19" t="s">
        <v>45</v>
      </c>
      <c r="G2456" s="19" t="s">
        <v>113</v>
      </c>
      <c r="H2456" s="19" t="s">
        <v>67</v>
      </c>
      <c r="I2456" s="19" t="s">
        <v>108</v>
      </c>
      <c r="J2456" s="20">
        <v>12</v>
      </c>
      <c r="K2456" s="34">
        <v>0</v>
      </c>
      <c r="L2456" s="34">
        <v>2</v>
      </c>
      <c r="M2456" s="19">
        <f>IF(OR(ISBLANK(C2456),C2456=""),"",ROUND((C2456-B2456)*24,2))</f>
        <v>8.5</v>
      </c>
      <c r="N2456" s="35" t="str">
        <f>IF(OR(ISBLANK(C2456),C2456="",M2456=""),"In Progress",IF(M2456&lt;=J2456,"Met","Breached"))</f>
        <v>Met</v>
      </c>
    </row>
    <row r="2457" ht="19" customHeight="1" spans="1:14" x14ac:dyDescent="0.25">
      <c r="A2457" s="22" t="s">
        <v>2571</v>
      </c>
      <c r="B2457" s="36">
        <v>46154.705555555556</v>
      </c>
      <c r="C2457" s="36">
        <v>46157.09236111111</v>
      </c>
      <c r="D2457" s="22" t="s">
        <v>33</v>
      </c>
      <c r="E2457" s="22" t="s">
        <v>65</v>
      </c>
      <c r="F2457" s="22" t="s">
        <v>40</v>
      </c>
      <c r="G2457" s="22" t="s">
        <v>126</v>
      </c>
      <c r="H2457" s="22" t="s">
        <v>67</v>
      </c>
      <c r="I2457" s="22" t="s">
        <v>111</v>
      </c>
      <c r="J2457" s="23">
        <v>48</v>
      </c>
      <c r="K2457" s="37">
        <v>0</v>
      </c>
      <c r="M2457" s="22">
        <f>IF(OR(ISBLANK(C2457),C2457=""),"",ROUND((C2457-B2457)*24,2))</f>
        <v>57.28</v>
      </c>
      <c r="N2457" s="38" t="str">
        <f>IF(OR(ISBLANK(C2457),C2457="",M2457=""),"In Progress",IF(M2457&lt;=J2457,"Met","Breached"))</f>
        <v>Breached</v>
      </c>
    </row>
    <row r="2458" ht="19" customHeight="1" spans="1:14" x14ac:dyDescent="0.25">
      <c r="A2458" s="19" t="s">
        <v>2572</v>
      </c>
      <c r="B2458" s="33">
        <v>46159.33194444445</v>
      </c>
      <c r="C2458" s="33">
        <v>46162.7375</v>
      </c>
      <c r="D2458" s="19" t="s">
        <v>36</v>
      </c>
      <c r="E2458" s="19" t="s">
        <v>65</v>
      </c>
      <c r="F2458" s="19" t="s">
        <v>34</v>
      </c>
      <c r="G2458" s="19" t="s">
        <v>116</v>
      </c>
      <c r="H2458" s="19" t="s">
        <v>63</v>
      </c>
      <c r="I2458" s="19" t="s">
        <v>108</v>
      </c>
      <c r="J2458" s="20">
        <v>48</v>
      </c>
      <c r="K2458" s="34">
        <v>0</v>
      </c>
      <c r="L2458" s="34">
        <v>4</v>
      </c>
      <c r="M2458" s="19">
        <f>IF(OR(ISBLANK(C2458),C2458=""),"",ROUND((C2458-B2458)*24,2))</f>
        <v>81.73</v>
      </c>
      <c r="N2458" s="39" t="str">
        <f>IF(OR(ISBLANK(C2458),C2458="",M2458=""),"In Progress",IF(M2458&lt;=J2458,"Met","Breached"))</f>
        <v>Breached</v>
      </c>
    </row>
    <row r="2459" ht="19" customHeight="1" spans="1:14" x14ac:dyDescent="0.25">
      <c r="A2459" s="22" t="s">
        <v>2573</v>
      </c>
      <c r="B2459" s="36">
        <v>45663.847916666666</v>
      </c>
      <c r="C2459" s="36">
        <v>45666.757638888885</v>
      </c>
      <c r="D2459" s="22" t="s">
        <v>36</v>
      </c>
      <c r="E2459" s="22" t="s">
        <v>65</v>
      </c>
      <c r="F2459" s="22" t="s">
        <v>45</v>
      </c>
      <c r="G2459" s="22" t="s">
        <v>126</v>
      </c>
      <c r="H2459" s="22" t="s">
        <v>63</v>
      </c>
      <c r="I2459" s="22" t="s">
        <v>108</v>
      </c>
      <c r="J2459" s="23">
        <v>48</v>
      </c>
      <c r="K2459" s="37">
        <v>0</v>
      </c>
      <c r="L2459" s="37">
        <v>2</v>
      </c>
      <c r="M2459" s="22">
        <f>IF(OR(ISBLANK(C2459),C2459=""),"",ROUND((C2459-B2459)*24,2))</f>
        <v>69.83</v>
      </c>
      <c r="N2459" s="38" t="str">
        <f>IF(OR(ISBLANK(C2459),C2459="",M2459=""),"In Progress",IF(M2459&lt;=J2459,"Met","Breached"))</f>
        <v>Breached</v>
      </c>
    </row>
    <row r="2460" ht="19" customHeight="1" spans="1:14" x14ac:dyDescent="0.25">
      <c r="A2460" s="19" t="s">
        <v>2574</v>
      </c>
      <c r="B2460" s="33">
        <v>46081.44375</v>
      </c>
      <c r="C2460" s="33">
        <v>46082.14236111111</v>
      </c>
      <c r="D2460" s="19" t="s">
        <v>36</v>
      </c>
      <c r="E2460" s="19" t="s">
        <v>61</v>
      </c>
      <c r="F2460" s="19" t="s">
        <v>45</v>
      </c>
      <c r="G2460" s="19" t="s">
        <v>121</v>
      </c>
      <c r="H2460" s="19" t="s">
        <v>63</v>
      </c>
      <c r="I2460" s="19" t="s">
        <v>117</v>
      </c>
      <c r="J2460" s="20">
        <v>12</v>
      </c>
      <c r="K2460" s="34">
        <v>0</v>
      </c>
      <c r="L2460" s="34">
        <v>3</v>
      </c>
      <c r="M2460" s="19">
        <f>IF(OR(ISBLANK(C2460),C2460=""),"",ROUND((C2460-B2460)*24,2))</f>
        <v>16.77</v>
      </c>
      <c r="N2460" s="39" t="str">
        <f>IF(OR(ISBLANK(C2460),C2460="",M2460=""),"In Progress",IF(M2460&lt;=J2460,"Met","Breached"))</f>
        <v>Breached</v>
      </c>
    </row>
    <row r="2461" ht="19" customHeight="1" spans="1:14" x14ac:dyDescent="0.25">
      <c r="A2461" s="22" t="s">
        <v>2575</v>
      </c>
      <c r="B2461" s="36">
        <v>46160.71041666667</v>
      </c>
      <c r="D2461" s="22" t="s">
        <v>39</v>
      </c>
      <c r="E2461" s="22" t="s">
        <v>65</v>
      </c>
      <c r="F2461" s="22" t="s">
        <v>43</v>
      </c>
      <c r="G2461" s="22" t="s">
        <v>113</v>
      </c>
      <c r="H2461" s="22" t="s">
        <v>63</v>
      </c>
      <c r="I2461" s="22" t="s">
        <v>117</v>
      </c>
      <c r="J2461" s="23">
        <v>48</v>
      </c>
      <c r="K2461" s="37">
        <v>0</v>
      </c>
      <c r="M2461" s="22" t="str">
        <f>IF(OR(ISBLANK(C2461),C2461=""),"",ROUND((C2461-B2461)*24,2))</f>
        <v/>
      </c>
      <c r="N2461" s="22" t="str">
        <f>IF(OR(ISBLANK(C2461),C2461="",M2461=""),"In Progress",IF(M2461&lt;=J2461,"Met","Breached"))</f>
        <v>In Progress</v>
      </c>
    </row>
    <row r="2462" ht="19" customHeight="1" spans="1:14" x14ac:dyDescent="0.25">
      <c r="A2462" s="19" t="s">
        <v>2576</v>
      </c>
      <c r="B2462" s="33">
        <v>45996.679861111115</v>
      </c>
      <c r="C2462" s="33">
        <v>45998.74652777778</v>
      </c>
      <c r="D2462" s="19" t="s">
        <v>33</v>
      </c>
      <c r="E2462" s="19" t="s">
        <v>65</v>
      </c>
      <c r="F2462" s="19" t="s">
        <v>43</v>
      </c>
      <c r="G2462" s="19" t="s">
        <v>116</v>
      </c>
      <c r="H2462" s="19" t="s">
        <v>59</v>
      </c>
      <c r="I2462" s="19" t="s">
        <v>114</v>
      </c>
      <c r="J2462" s="20">
        <v>48</v>
      </c>
      <c r="K2462" s="34">
        <v>0</v>
      </c>
      <c r="L2462" s="34">
        <v>4</v>
      </c>
      <c r="M2462" s="19">
        <f>IF(OR(ISBLANK(C2462),C2462=""),"",ROUND((C2462-B2462)*24,2))</f>
        <v>49.6</v>
      </c>
      <c r="N2462" s="39" t="str">
        <f>IF(OR(ISBLANK(C2462),C2462="",M2462=""),"In Progress",IF(M2462&lt;=J2462,"Met","Breached"))</f>
        <v>Breached</v>
      </c>
    </row>
    <row r="2463" ht="19" customHeight="1" spans="1:14" x14ac:dyDescent="0.25">
      <c r="A2463" s="22" t="s">
        <v>2577</v>
      </c>
      <c r="B2463" s="36">
        <v>46187.74375</v>
      </c>
      <c r="C2463" s="36">
        <v>46195.37569444445</v>
      </c>
      <c r="D2463" s="22" t="s">
        <v>33</v>
      </c>
      <c r="E2463" s="22" t="s">
        <v>69</v>
      </c>
      <c r="F2463" s="22" t="s">
        <v>43</v>
      </c>
      <c r="G2463" s="22" t="s">
        <v>126</v>
      </c>
      <c r="H2463" s="22" t="s">
        <v>63</v>
      </c>
      <c r="I2463" s="22" t="s">
        <v>117</v>
      </c>
      <c r="J2463" s="23">
        <v>120</v>
      </c>
      <c r="K2463" s="37">
        <v>0</v>
      </c>
      <c r="L2463" s="37">
        <v>1</v>
      </c>
      <c r="M2463" s="22">
        <f>IF(OR(ISBLANK(C2463),C2463=""),"",ROUND((C2463-B2463)*24,2))</f>
        <v>183.17</v>
      </c>
      <c r="N2463" s="38" t="str">
        <f>IF(OR(ISBLANK(C2463),C2463="",M2463=""),"In Progress",IF(M2463&lt;=J2463,"Met","Breached"))</f>
        <v>Breached</v>
      </c>
    </row>
    <row r="2464" ht="19" customHeight="1" spans="1:14" x14ac:dyDescent="0.25">
      <c r="A2464" s="19" t="s">
        <v>2578</v>
      </c>
      <c r="B2464" s="33">
        <v>45913.52847222222</v>
      </c>
      <c r="C2464" s="33">
        <v>45915.40625</v>
      </c>
      <c r="D2464" s="19" t="s">
        <v>33</v>
      </c>
      <c r="E2464" s="19" t="s">
        <v>65</v>
      </c>
      <c r="F2464" s="19" t="s">
        <v>34</v>
      </c>
      <c r="G2464" s="19" t="s">
        <v>121</v>
      </c>
      <c r="H2464" s="19" t="s">
        <v>67</v>
      </c>
      <c r="I2464" s="19" t="s">
        <v>114</v>
      </c>
      <c r="J2464" s="20">
        <v>48</v>
      </c>
      <c r="K2464" s="34">
        <v>0</v>
      </c>
      <c r="M2464" s="19">
        <f>IF(OR(ISBLANK(C2464),C2464=""),"",ROUND((C2464-B2464)*24,2))</f>
        <v>45.07</v>
      </c>
      <c r="N2464" s="35" t="str">
        <f>IF(OR(ISBLANK(C2464),C2464="",M2464=""),"In Progress",IF(M2464&lt;=J2464,"Met","Breached"))</f>
        <v>Met</v>
      </c>
    </row>
    <row r="2465" ht="19" customHeight="1" spans="1:14" x14ac:dyDescent="0.25">
      <c r="A2465" s="22" t="s">
        <v>2579</v>
      </c>
      <c r="B2465" s="36">
        <v>45875.15972222222</v>
      </c>
      <c r="C2465" s="36">
        <v>45878.36111111111</v>
      </c>
      <c r="D2465" s="22" t="s">
        <v>33</v>
      </c>
      <c r="E2465" s="22" t="s">
        <v>65</v>
      </c>
      <c r="F2465" s="22" t="s">
        <v>37</v>
      </c>
      <c r="G2465" s="22" t="s">
        <v>121</v>
      </c>
      <c r="H2465" s="22" t="s">
        <v>71</v>
      </c>
      <c r="I2465" s="22" t="s">
        <v>111</v>
      </c>
      <c r="J2465" s="23">
        <v>48</v>
      </c>
      <c r="K2465" s="37">
        <v>0</v>
      </c>
      <c r="L2465" s="37">
        <v>5</v>
      </c>
      <c r="M2465" s="22">
        <f>IF(OR(ISBLANK(C2465),C2465=""),"",ROUND((C2465-B2465)*24,2))</f>
        <v>76.83</v>
      </c>
      <c r="N2465" s="38" t="str">
        <f>IF(OR(ISBLANK(C2465),C2465="",M2465=""),"In Progress",IF(M2465&lt;=J2465,"Met","Breached"))</f>
        <v>Breached</v>
      </c>
    </row>
    <row r="2466" ht="19" customHeight="1" spans="1:14" x14ac:dyDescent="0.25">
      <c r="A2466" s="19" t="s">
        <v>2580</v>
      </c>
      <c r="B2466" s="33">
        <v>46126.88402777778</v>
      </c>
      <c r="C2466" s="33">
        <v>46127.30069444445</v>
      </c>
      <c r="D2466" s="19" t="s">
        <v>33</v>
      </c>
      <c r="E2466" s="19" t="s">
        <v>61</v>
      </c>
      <c r="F2466" s="19" t="s">
        <v>37</v>
      </c>
      <c r="G2466" s="19" t="s">
        <v>63</v>
      </c>
      <c r="H2466" s="19" t="s">
        <v>59</v>
      </c>
      <c r="I2466" s="19" t="s">
        <v>123</v>
      </c>
      <c r="J2466" s="20">
        <v>12</v>
      </c>
      <c r="K2466" s="34">
        <v>1</v>
      </c>
      <c r="L2466" s="34">
        <v>3</v>
      </c>
      <c r="M2466" s="19">
        <f>IF(OR(ISBLANK(C2466),C2466=""),"",ROUND((C2466-B2466)*24,2))</f>
        <v>10</v>
      </c>
      <c r="N2466" s="35" t="str">
        <f>IF(OR(ISBLANK(C2466),C2466="",M2466=""),"In Progress",IF(M2466&lt;=J2466,"Met","Breached"))</f>
        <v>Met</v>
      </c>
    </row>
    <row r="2467" ht="19" customHeight="1" spans="1:14" x14ac:dyDescent="0.25">
      <c r="A2467" s="22" t="s">
        <v>2581</v>
      </c>
      <c r="B2467" s="36">
        <v>45742.53333333333</v>
      </c>
      <c r="C2467" s="36">
        <v>45744.65972222222</v>
      </c>
      <c r="D2467" s="22" t="s">
        <v>33</v>
      </c>
      <c r="E2467" s="22" t="s">
        <v>65</v>
      </c>
      <c r="F2467" s="22" t="s">
        <v>43</v>
      </c>
      <c r="G2467" s="22" t="s">
        <v>110</v>
      </c>
      <c r="H2467" s="22" t="s">
        <v>59</v>
      </c>
      <c r="I2467" s="22" t="s">
        <v>123</v>
      </c>
      <c r="J2467" s="23">
        <v>48</v>
      </c>
      <c r="K2467" s="37">
        <v>0</v>
      </c>
      <c r="L2467" s="37">
        <v>1</v>
      </c>
      <c r="M2467" s="22">
        <f>IF(OR(ISBLANK(C2467),C2467=""),"",ROUND((C2467-B2467)*24,2))</f>
        <v>51.03</v>
      </c>
      <c r="N2467" s="38" t="str">
        <f>IF(OR(ISBLANK(C2467),C2467="",M2467=""),"In Progress",IF(M2467&lt;=J2467,"Met","Breached"))</f>
        <v>Breached</v>
      </c>
    </row>
    <row r="2468" ht="19" customHeight="1" spans="1:14" x14ac:dyDescent="0.25">
      <c r="A2468" s="19" t="s">
        <v>2582</v>
      </c>
      <c r="B2468" s="33">
        <v>46130.61944444444</v>
      </c>
      <c r="D2468" s="19" t="s">
        <v>39</v>
      </c>
      <c r="E2468" s="19" t="s">
        <v>65</v>
      </c>
      <c r="F2468" s="19" t="s">
        <v>37</v>
      </c>
      <c r="G2468" s="19" t="s">
        <v>116</v>
      </c>
      <c r="H2468" s="19" t="s">
        <v>63</v>
      </c>
      <c r="I2468" s="19" t="s">
        <v>108</v>
      </c>
      <c r="J2468" s="20">
        <v>48</v>
      </c>
      <c r="K2468" s="34">
        <v>0</v>
      </c>
      <c r="M2468" s="19" t="str">
        <f>IF(OR(ISBLANK(C2468),C2468=""),"",ROUND((C2468-B2468)*24,2))</f>
        <v/>
      </c>
      <c r="N2468" s="19" t="str">
        <f>IF(OR(ISBLANK(C2468),C2468="",M2468=""),"In Progress",IF(M2468&lt;=J2468,"Met","Breached"))</f>
        <v>In Progress</v>
      </c>
    </row>
    <row r="2469" ht="19" customHeight="1" spans="1:14" x14ac:dyDescent="0.25">
      <c r="A2469" s="22" t="s">
        <v>2583</v>
      </c>
      <c r="B2469" s="36">
        <v>45999.27986111111</v>
      </c>
      <c r="D2469" s="22" t="s">
        <v>39</v>
      </c>
      <c r="E2469" s="22" t="s">
        <v>69</v>
      </c>
      <c r="F2469" s="22" t="s">
        <v>37</v>
      </c>
      <c r="G2469" s="22" t="s">
        <v>121</v>
      </c>
      <c r="H2469" s="22" t="s">
        <v>71</v>
      </c>
      <c r="I2469" s="22" t="s">
        <v>108</v>
      </c>
      <c r="J2469" s="23">
        <v>120</v>
      </c>
      <c r="K2469" s="37">
        <v>0</v>
      </c>
      <c r="M2469" s="22" t="str">
        <f>IF(OR(ISBLANK(C2469),C2469=""),"",ROUND((C2469-B2469)*24,2))</f>
        <v/>
      </c>
      <c r="N2469" s="22" t="str">
        <f>IF(OR(ISBLANK(C2469),C2469="",M2469=""),"In Progress",IF(M2469&lt;=J2469,"Met","Breached"))</f>
        <v>In Progress</v>
      </c>
    </row>
    <row r="2470" ht="19" customHeight="1" spans="1:14" x14ac:dyDescent="0.25">
      <c r="A2470" s="19" t="s">
        <v>2584</v>
      </c>
      <c r="B2470" s="33">
        <v>45858.478472222225</v>
      </c>
      <c r="C2470" s="33">
        <v>45859.132638888885</v>
      </c>
      <c r="D2470" s="19" t="s">
        <v>33</v>
      </c>
      <c r="E2470" s="19" t="s">
        <v>65</v>
      </c>
      <c r="F2470" s="19" t="s">
        <v>45</v>
      </c>
      <c r="G2470" s="19" t="s">
        <v>110</v>
      </c>
      <c r="H2470" s="19" t="s">
        <v>59</v>
      </c>
      <c r="I2470" s="19" t="s">
        <v>147</v>
      </c>
      <c r="J2470" s="20">
        <v>48</v>
      </c>
      <c r="K2470" s="34">
        <v>0</v>
      </c>
      <c r="L2470" s="34">
        <v>1</v>
      </c>
      <c r="M2470" s="19">
        <f>IF(OR(ISBLANK(C2470),C2470=""),"",ROUND((C2470-B2470)*24,2))</f>
        <v>15.7</v>
      </c>
      <c r="N2470" s="35" t="str">
        <f>IF(OR(ISBLANK(C2470),C2470="",M2470=""),"In Progress",IF(M2470&lt;=J2470,"Met","Breached"))</f>
        <v>Met</v>
      </c>
    </row>
    <row r="2471" ht="19" customHeight="1" spans="1:14" x14ac:dyDescent="0.25">
      <c r="A2471" s="22" t="s">
        <v>2585</v>
      </c>
      <c r="B2471" s="36">
        <v>46013.745833333334</v>
      </c>
      <c r="C2471" s="36">
        <v>46014.04375</v>
      </c>
      <c r="D2471" s="22" t="s">
        <v>36</v>
      </c>
      <c r="E2471" s="22" t="s">
        <v>61</v>
      </c>
      <c r="F2471" s="22" t="s">
        <v>45</v>
      </c>
      <c r="G2471" s="22" t="s">
        <v>113</v>
      </c>
      <c r="H2471" s="22" t="s">
        <v>63</v>
      </c>
      <c r="I2471" s="22" t="s">
        <v>108</v>
      </c>
      <c r="J2471" s="23">
        <v>12</v>
      </c>
      <c r="K2471" s="37">
        <v>0</v>
      </c>
      <c r="L2471" s="37">
        <v>5</v>
      </c>
      <c r="M2471" s="22">
        <f>IF(OR(ISBLANK(C2471),C2471=""),"",ROUND((C2471-B2471)*24,2))</f>
        <v>7.15</v>
      </c>
      <c r="N2471" s="40" t="str">
        <f>IF(OR(ISBLANK(C2471),C2471="",M2471=""),"In Progress",IF(M2471&lt;=J2471,"Met","Breached"))</f>
        <v>Met</v>
      </c>
    </row>
    <row r="2472" ht="19" customHeight="1" spans="1:14" x14ac:dyDescent="0.25">
      <c r="A2472" s="19" t="s">
        <v>2586</v>
      </c>
      <c r="B2472" s="33">
        <v>46045.10972222222</v>
      </c>
      <c r="C2472" s="33">
        <v>46047.37430555555</v>
      </c>
      <c r="D2472" s="19" t="s">
        <v>33</v>
      </c>
      <c r="E2472" s="19" t="s">
        <v>69</v>
      </c>
      <c r="F2472" s="19" t="s">
        <v>34</v>
      </c>
      <c r="G2472" s="19" t="s">
        <v>113</v>
      </c>
      <c r="H2472" s="19" t="s">
        <v>59</v>
      </c>
      <c r="I2472" s="19" t="s">
        <v>111</v>
      </c>
      <c r="J2472" s="20">
        <v>120</v>
      </c>
      <c r="K2472" s="34">
        <v>0</v>
      </c>
      <c r="L2472" s="34">
        <v>3</v>
      </c>
      <c r="M2472" s="19">
        <f>IF(OR(ISBLANK(C2472),C2472=""),"",ROUND((C2472-B2472)*24,2))</f>
        <v>54.35</v>
      </c>
      <c r="N2472" s="35" t="str">
        <f>IF(OR(ISBLANK(C2472),C2472="",M2472=""),"In Progress",IF(M2472&lt;=J2472,"Met","Breached"))</f>
        <v>Met</v>
      </c>
    </row>
    <row r="2473" ht="19" customHeight="1" spans="1:14" x14ac:dyDescent="0.25">
      <c r="A2473" s="22" t="s">
        <v>2587</v>
      </c>
      <c r="B2473" s="36">
        <v>45773.15625</v>
      </c>
      <c r="D2473" s="22" t="s">
        <v>42</v>
      </c>
      <c r="E2473" s="22" t="s">
        <v>65</v>
      </c>
      <c r="F2473" s="22" t="s">
        <v>40</v>
      </c>
      <c r="G2473" s="22" t="s">
        <v>63</v>
      </c>
      <c r="H2473" s="22" t="s">
        <v>59</v>
      </c>
      <c r="I2473" s="22" t="s">
        <v>117</v>
      </c>
      <c r="J2473" s="23">
        <v>48</v>
      </c>
      <c r="K2473" s="37">
        <v>0</v>
      </c>
      <c r="M2473" s="22" t="str">
        <f>IF(OR(ISBLANK(C2473),C2473=""),"",ROUND((C2473-B2473)*24,2))</f>
        <v/>
      </c>
      <c r="N2473" s="22" t="str">
        <f>IF(OR(ISBLANK(C2473),C2473="",M2473=""),"In Progress",IF(M2473&lt;=J2473,"Met","Breached"))</f>
        <v>In Progress</v>
      </c>
    </row>
    <row r="2474" ht="19" customHeight="1" spans="1:14" x14ac:dyDescent="0.25">
      <c r="A2474" s="19" t="s">
        <v>2588</v>
      </c>
      <c r="B2474" s="33">
        <v>45920.87847222222</v>
      </c>
      <c r="C2474" s="33">
        <v>45921.59930555556</v>
      </c>
      <c r="D2474" s="19" t="s">
        <v>33</v>
      </c>
      <c r="E2474" s="19" t="s">
        <v>61</v>
      </c>
      <c r="F2474" s="19" t="s">
        <v>34</v>
      </c>
      <c r="G2474" s="19" t="s">
        <v>113</v>
      </c>
      <c r="H2474" s="19" t="s">
        <v>71</v>
      </c>
      <c r="I2474" s="19" t="s">
        <v>111</v>
      </c>
      <c r="J2474" s="20">
        <v>12</v>
      </c>
      <c r="K2474" s="34">
        <v>0</v>
      </c>
      <c r="L2474" s="34">
        <v>2</v>
      </c>
      <c r="M2474" s="19">
        <f>IF(OR(ISBLANK(C2474),C2474=""),"",ROUND((C2474-B2474)*24,2))</f>
        <v>17.3</v>
      </c>
      <c r="N2474" s="39" t="str">
        <f>IF(OR(ISBLANK(C2474),C2474="",M2474=""),"In Progress",IF(M2474&lt;=J2474,"Met","Breached"))</f>
        <v>Breached</v>
      </c>
    </row>
    <row r="2475" ht="19" customHeight="1" spans="1:14" x14ac:dyDescent="0.25">
      <c r="A2475" s="22" t="s">
        <v>2589</v>
      </c>
      <c r="B2475" s="36">
        <v>45663.88055555556</v>
      </c>
      <c r="C2475" s="36">
        <v>45664.28680555556</v>
      </c>
      <c r="D2475" s="22" t="s">
        <v>33</v>
      </c>
      <c r="E2475" s="22" t="s">
        <v>61</v>
      </c>
      <c r="F2475" s="22" t="s">
        <v>37</v>
      </c>
      <c r="G2475" s="22" t="s">
        <v>121</v>
      </c>
      <c r="H2475" s="22" t="s">
        <v>59</v>
      </c>
      <c r="I2475" s="22" t="s">
        <v>147</v>
      </c>
      <c r="J2475" s="23">
        <v>12</v>
      </c>
      <c r="K2475" s="37">
        <v>0</v>
      </c>
      <c r="M2475" s="22">
        <f>IF(OR(ISBLANK(C2475),C2475=""),"",ROUND((C2475-B2475)*24,2))</f>
        <v>9.75</v>
      </c>
      <c r="N2475" s="40" t="str">
        <f>IF(OR(ISBLANK(C2475),C2475="",M2475=""),"In Progress",IF(M2475&lt;=J2475,"Met","Breached"))</f>
        <v>Met</v>
      </c>
    </row>
    <row r="2476" ht="19" customHeight="1" spans="1:14" x14ac:dyDescent="0.25">
      <c r="A2476" s="19" t="s">
        <v>2590</v>
      </c>
      <c r="B2476" s="33">
        <v>46270.43541666667</v>
      </c>
      <c r="C2476" s="33">
        <v>46271.05208333333</v>
      </c>
      <c r="D2476" s="19" t="s">
        <v>33</v>
      </c>
      <c r="E2476" s="19" t="s">
        <v>61</v>
      </c>
      <c r="F2476" s="19" t="s">
        <v>37</v>
      </c>
      <c r="G2476" s="19" t="s">
        <v>113</v>
      </c>
      <c r="H2476" s="19" t="s">
        <v>59</v>
      </c>
      <c r="I2476" s="19" t="s">
        <v>117</v>
      </c>
      <c r="J2476" s="20">
        <v>12</v>
      </c>
      <c r="K2476" s="34">
        <v>0</v>
      </c>
      <c r="M2476" s="19">
        <f>IF(OR(ISBLANK(C2476),C2476=""),"",ROUND((C2476-B2476)*24,2))</f>
        <v>14.8</v>
      </c>
      <c r="N2476" s="39" t="str">
        <f>IF(OR(ISBLANK(C2476),C2476="",M2476=""),"In Progress",IF(M2476&lt;=J2476,"Met","Breached"))</f>
        <v>Breached</v>
      </c>
    </row>
    <row r="2477" ht="19" customHeight="1" spans="1:14" x14ac:dyDescent="0.25">
      <c r="A2477" s="22" t="s">
        <v>2591</v>
      </c>
      <c r="B2477" s="36">
        <v>45718.538194444445</v>
      </c>
      <c r="C2477" s="36">
        <v>45720.22361111111</v>
      </c>
      <c r="D2477" s="22" t="s">
        <v>33</v>
      </c>
      <c r="E2477" s="22" t="s">
        <v>69</v>
      </c>
      <c r="F2477" s="22" t="s">
        <v>40</v>
      </c>
      <c r="G2477" s="22" t="s">
        <v>113</v>
      </c>
      <c r="H2477" s="22" t="s">
        <v>59</v>
      </c>
      <c r="I2477" s="22" t="s">
        <v>117</v>
      </c>
      <c r="J2477" s="23">
        <v>120</v>
      </c>
      <c r="K2477" s="37">
        <v>0</v>
      </c>
      <c r="L2477" s="37">
        <v>3</v>
      </c>
      <c r="M2477" s="22">
        <f>IF(OR(ISBLANK(C2477),C2477=""),"",ROUND((C2477-B2477)*24,2))</f>
        <v>40.45</v>
      </c>
      <c r="N2477" s="40" t="str">
        <f>IF(OR(ISBLANK(C2477),C2477="",M2477=""),"In Progress",IF(M2477&lt;=J2477,"Met","Breached"))</f>
        <v>Met</v>
      </c>
    </row>
    <row r="2478" ht="19" customHeight="1" spans="1:14" x14ac:dyDescent="0.25">
      <c r="A2478" s="19" t="s">
        <v>2592</v>
      </c>
      <c r="B2478" s="33">
        <v>46084.73402777778</v>
      </c>
      <c r="C2478" s="33">
        <v>46087.27569444444</v>
      </c>
      <c r="D2478" s="19" t="s">
        <v>36</v>
      </c>
      <c r="E2478" s="19" t="s">
        <v>65</v>
      </c>
      <c r="F2478" s="19" t="s">
        <v>40</v>
      </c>
      <c r="G2478" s="19" t="s">
        <v>121</v>
      </c>
      <c r="H2478" s="19" t="s">
        <v>63</v>
      </c>
      <c r="I2478" s="19" t="s">
        <v>147</v>
      </c>
      <c r="J2478" s="20">
        <v>48</v>
      </c>
      <c r="K2478" s="34">
        <v>1</v>
      </c>
      <c r="L2478" s="34">
        <v>1</v>
      </c>
      <c r="M2478" s="19">
        <f>IF(OR(ISBLANK(C2478),C2478=""),"",ROUND((C2478-B2478)*24,2))</f>
        <v>61</v>
      </c>
      <c r="N2478" s="39" t="str">
        <f>IF(OR(ISBLANK(C2478),C2478="",M2478=""),"In Progress",IF(M2478&lt;=J2478,"Met","Breached"))</f>
        <v>Breached</v>
      </c>
    </row>
    <row r="2479" ht="19" customHeight="1" spans="1:14" x14ac:dyDescent="0.25">
      <c r="A2479" s="22" t="s">
        <v>2593</v>
      </c>
      <c r="B2479" s="36">
        <v>45695.3</v>
      </c>
      <c r="C2479" s="36">
        <v>45702.75902777778</v>
      </c>
      <c r="D2479" s="22" t="s">
        <v>33</v>
      </c>
      <c r="E2479" s="22" t="s">
        <v>69</v>
      </c>
      <c r="F2479" s="22" t="s">
        <v>43</v>
      </c>
      <c r="G2479" s="22" t="s">
        <v>110</v>
      </c>
      <c r="H2479" s="22" t="s">
        <v>71</v>
      </c>
      <c r="I2479" s="22" t="s">
        <v>108</v>
      </c>
      <c r="J2479" s="23">
        <v>120</v>
      </c>
      <c r="K2479" s="37">
        <v>0</v>
      </c>
      <c r="L2479" s="37">
        <v>1</v>
      </c>
      <c r="M2479" s="22">
        <f>IF(OR(ISBLANK(C2479),C2479=""),"",ROUND((C2479-B2479)*24,2))</f>
        <v>179.02</v>
      </c>
      <c r="N2479" s="38" t="str">
        <f>IF(OR(ISBLANK(C2479),C2479="",M2479=""),"In Progress",IF(M2479&lt;=J2479,"Met","Breached"))</f>
        <v>Breached</v>
      </c>
    </row>
    <row r="2480" ht="19" customHeight="1" spans="1:14" x14ac:dyDescent="0.25">
      <c r="A2480" s="19" t="s">
        <v>2594</v>
      </c>
      <c r="B2480" s="33">
        <v>45972.35902777778</v>
      </c>
      <c r="C2480" s="33">
        <v>45972.79236111111</v>
      </c>
      <c r="D2480" s="19" t="s">
        <v>33</v>
      </c>
      <c r="E2480" s="19" t="s">
        <v>61</v>
      </c>
      <c r="F2480" s="19" t="s">
        <v>45</v>
      </c>
      <c r="G2480" s="19" t="s">
        <v>126</v>
      </c>
      <c r="H2480" s="19" t="s">
        <v>59</v>
      </c>
      <c r="I2480" s="19" t="s">
        <v>108</v>
      </c>
      <c r="J2480" s="20">
        <v>12</v>
      </c>
      <c r="K2480" s="34">
        <v>0</v>
      </c>
      <c r="L2480" s="34">
        <v>4</v>
      </c>
      <c r="M2480" s="19">
        <f>IF(OR(ISBLANK(C2480),C2480=""),"",ROUND((C2480-B2480)*24,2))</f>
        <v>10.4</v>
      </c>
      <c r="N2480" s="35" t="str">
        <f>IF(OR(ISBLANK(C2480),C2480="",M2480=""),"In Progress",IF(M2480&lt;=J2480,"Met","Breached"))</f>
        <v>Met</v>
      </c>
    </row>
    <row r="2481" ht="19" customHeight="1" spans="1:14" x14ac:dyDescent="0.25">
      <c r="A2481" s="22" t="s">
        <v>2595</v>
      </c>
      <c r="B2481" s="36">
        <v>45988.01597222222</v>
      </c>
      <c r="C2481" s="36">
        <v>45988.22708333333</v>
      </c>
      <c r="D2481" s="22" t="s">
        <v>33</v>
      </c>
      <c r="E2481" s="22" t="s">
        <v>61</v>
      </c>
      <c r="F2481" s="22" t="s">
        <v>37</v>
      </c>
      <c r="G2481" s="22" t="s">
        <v>110</v>
      </c>
      <c r="H2481" s="22" t="s">
        <v>59</v>
      </c>
      <c r="I2481" s="22" t="s">
        <v>108</v>
      </c>
      <c r="J2481" s="23">
        <v>12</v>
      </c>
      <c r="K2481" s="37">
        <v>0</v>
      </c>
      <c r="L2481" s="37">
        <v>4</v>
      </c>
      <c r="M2481" s="22">
        <f>IF(OR(ISBLANK(C2481),C2481=""),"",ROUND((C2481-B2481)*24,2))</f>
        <v>5.07</v>
      </c>
      <c r="N2481" s="40" t="str">
        <f>IF(OR(ISBLANK(C2481),C2481="",M2481=""),"In Progress",IF(M2481&lt;=J2481,"Met","Breached"))</f>
        <v>Met</v>
      </c>
    </row>
    <row r="2482" ht="19" customHeight="1" spans="1:14" x14ac:dyDescent="0.25">
      <c r="A2482" s="19" t="s">
        <v>2596</v>
      </c>
      <c r="B2482" s="33">
        <v>45699.56805555556</v>
      </c>
      <c r="D2482" s="19" t="s">
        <v>39</v>
      </c>
      <c r="E2482" s="19" t="s">
        <v>69</v>
      </c>
      <c r="F2482" s="19" t="s">
        <v>40</v>
      </c>
      <c r="G2482" s="19" t="s">
        <v>126</v>
      </c>
      <c r="H2482" s="19" t="s">
        <v>71</v>
      </c>
      <c r="I2482" s="19" t="s">
        <v>123</v>
      </c>
      <c r="J2482" s="20">
        <v>120</v>
      </c>
      <c r="K2482" s="34">
        <v>0</v>
      </c>
      <c r="M2482" s="19" t="str">
        <f>IF(OR(ISBLANK(C2482),C2482=""),"",ROUND((C2482-B2482)*24,2))</f>
        <v/>
      </c>
      <c r="N2482" s="19" t="str">
        <f>IF(OR(ISBLANK(C2482),C2482="",M2482=""),"In Progress",IF(M2482&lt;=J2482,"Met","Breached"))</f>
        <v>In Progress</v>
      </c>
    </row>
    <row r="2483" ht="19" customHeight="1" spans="1:14" x14ac:dyDescent="0.25">
      <c r="A2483" s="22" t="s">
        <v>2597</v>
      </c>
      <c r="B2483" s="36">
        <v>46087.288888888885</v>
      </c>
      <c r="C2483" s="36">
        <v>46089.79375</v>
      </c>
      <c r="D2483" s="22" t="s">
        <v>36</v>
      </c>
      <c r="E2483" s="22" t="s">
        <v>69</v>
      </c>
      <c r="F2483" s="22" t="s">
        <v>34</v>
      </c>
      <c r="G2483" s="22" t="s">
        <v>126</v>
      </c>
      <c r="H2483" s="22" t="s">
        <v>63</v>
      </c>
      <c r="I2483" s="22" t="s">
        <v>123</v>
      </c>
      <c r="J2483" s="23">
        <v>120</v>
      </c>
      <c r="K2483" s="37">
        <v>1</v>
      </c>
      <c r="M2483" s="22">
        <f>IF(OR(ISBLANK(C2483),C2483=""),"",ROUND((C2483-B2483)*24,2))</f>
        <v>60.12</v>
      </c>
      <c r="N2483" s="40" t="str">
        <f>IF(OR(ISBLANK(C2483),C2483="",M2483=""),"In Progress",IF(M2483&lt;=J2483,"Met","Breached"))</f>
        <v>Met</v>
      </c>
    </row>
    <row r="2484" ht="19" customHeight="1" spans="1:14" x14ac:dyDescent="0.25">
      <c r="A2484" s="19" t="s">
        <v>2598</v>
      </c>
      <c r="B2484" s="33">
        <v>45750.59513888889</v>
      </c>
      <c r="C2484" s="33">
        <v>45751.40138888889</v>
      </c>
      <c r="D2484" s="19" t="s">
        <v>33</v>
      </c>
      <c r="E2484" s="19" t="s">
        <v>61</v>
      </c>
      <c r="F2484" s="19" t="s">
        <v>45</v>
      </c>
      <c r="G2484" s="19" t="s">
        <v>110</v>
      </c>
      <c r="H2484" s="19" t="s">
        <v>67</v>
      </c>
      <c r="I2484" s="19" t="s">
        <v>108</v>
      </c>
      <c r="J2484" s="20">
        <v>12</v>
      </c>
      <c r="K2484" s="34">
        <v>0</v>
      </c>
      <c r="L2484" s="34">
        <v>4</v>
      </c>
      <c r="M2484" s="19">
        <f>IF(OR(ISBLANK(C2484),C2484=""),"",ROUND((C2484-B2484)*24,2))</f>
        <v>19.35</v>
      </c>
      <c r="N2484" s="39" t="str">
        <f>IF(OR(ISBLANK(C2484),C2484="",M2484=""),"In Progress",IF(M2484&lt;=J2484,"Met","Breached"))</f>
        <v>Breached</v>
      </c>
    </row>
    <row r="2485" ht="19" customHeight="1" spans="1:14" x14ac:dyDescent="0.25">
      <c r="A2485" s="22" t="s">
        <v>2599</v>
      </c>
      <c r="B2485" s="36">
        <v>45893.134722222225</v>
      </c>
      <c r="C2485" s="36">
        <v>45893.42361111111</v>
      </c>
      <c r="D2485" s="22" t="s">
        <v>33</v>
      </c>
      <c r="E2485" s="22" t="s">
        <v>57</v>
      </c>
      <c r="F2485" s="22" t="s">
        <v>45</v>
      </c>
      <c r="G2485" s="22" t="s">
        <v>113</v>
      </c>
      <c r="H2485" s="22" t="s">
        <v>71</v>
      </c>
      <c r="I2485" s="22" t="s">
        <v>114</v>
      </c>
      <c r="J2485" s="23">
        <v>4</v>
      </c>
      <c r="K2485" s="37">
        <v>0</v>
      </c>
      <c r="L2485" s="37">
        <v>3</v>
      </c>
      <c r="M2485" s="22">
        <f>IF(OR(ISBLANK(C2485),C2485=""),"",ROUND((C2485-B2485)*24,2))</f>
        <v>6.93</v>
      </c>
      <c r="N2485" s="38" t="str">
        <f>IF(OR(ISBLANK(C2485),C2485="",M2485=""),"In Progress",IF(M2485&lt;=J2485,"Met","Breached"))</f>
        <v>Breached</v>
      </c>
    </row>
    <row r="2486" ht="19" customHeight="1" spans="1:14" x14ac:dyDescent="0.25">
      <c r="A2486" s="19" t="s">
        <v>2600</v>
      </c>
      <c r="B2486" s="33">
        <v>46188.788888888885</v>
      </c>
      <c r="C2486" s="33">
        <v>46191.59305555555</v>
      </c>
      <c r="D2486" s="19" t="s">
        <v>33</v>
      </c>
      <c r="E2486" s="19" t="s">
        <v>65</v>
      </c>
      <c r="F2486" s="19" t="s">
        <v>34</v>
      </c>
      <c r="G2486" s="19" t="s">
        <v>121</v>
      </c>
      <c r="H2486" s="19" t="s">
        <v>59</v>
      </c>
      <c r="I2486" s="19" t="s">
        <v>123</v>
      </c>
      <c r="J2486" s="20">
        <v>48</v>
      </c>
      <c r="K2486" s="34">
        <v>0</v>
      </c>
      <c r="L2486" s="34">
        <v>4</v>
      </c>
      <c r="M2486" s="19">
        <f>IF(OR(ISBLANK(C2486),C2486=""),"",ROUND((C2486-B2486)*24,2))</f>
        <v>67.3</v>
      </c>
      <c r="N2486" s="39" t="str">
        <f>IF(OR(ISBLANK(C2486),C2486="",M2486=""),"In Progress",IF(M2486&lt;=J2486,"Met","Breached"))</f>
        <v>Breached</v>
      </c>
    </row>
    <row r="2487" ht="19" customHeight="1" spans="1:14" x14ac:dyDescent="0.25">
      <c r="A2487" s="22" t="s">
        <v>2601</v>
      </c>
      <c r="B2487" s="36">
        <v>46253.38333333333</v>
      </c>
      <c r="C2487" s="36">
        <v>46257.01597222222</v>
      </c>
      <c r="D2487" s="22" t="s">
        <v>33</v>
      </c>
      <c r="E2487" s="22" t="s">
        <v>69</v>
      </c>
      <c r="F2487" s="22" t="s">
        <v>40</v>
      </c>
      <c r="G2487" s="22" t="s">
        <v>63</v>
      </c>
      <c r="H2487" s="22" t="s">
        <v>63</v>
      </c>
      <c r="I2487" s="22" t="s">
        <v>108</v>
      </c>
      <c r="J2487" s="23">
        <v>120</v>
      </c>
      <c r="K2487" s="37">
        <v>0</v>
      </c>
      <c r="L2487" s="37">
        <v>1</v>
      </c>
      <c r="M2487" s="22">
        <f>IF(OR(ISBLANK(C2487),C2487=""),"",ROUND((C2487-B2487)*24,2))</f>
        <v>87.18</v>
      </c>
      <c r="N2487" s="40" t="str">
        <f>IF(OR(ISBLANK(C2487),C2487="",M2487=""),"In Progress",IF(M2487&lt;=J2487,"Met","Breached"))</f>
        <v>Met</v>
      </c>
    </row>
    <row r="2488" ht="19" customHeight="1" spans="1:14" x14ac:dyDescent="0.25">
      <c r="A2488" s="19" t="s">
        <v>2602</v>
      </c>
      <c r="B2488" s="33">
        <v>45919.16805555555</v>
      </c>
      <c r="C2488" s="33">
        <v>45919.625</v>
      </c>
      <c r="D2488" s="19" t="s">
        <v>33</v>
      </c>
      <c r="E2488" s="19" t="s">
        <v>61</v>
      </c>
      <c r="F2488" s="19" t="s">
        <v>43</v>
      </c>
      <c r="G2488" s="19" t="s">
        <v>113</v>
      </c>
      <c r="H2488" s="19" t="s">
        <v>59</v>
      </c>
      <c r="I2488" s="19" t="s">
        <v>117</v>
      </c>
      <c r="J2488" s="20">
        <v>12</v>
      </c>
      <c r="K2488" s="34">
        <v>0</v>
      </c>
      <c r="L2488" s="34">
        <v>1</v>
      </c>
      <c r="M2488" s="19">
        <f>IF(OR(ISBLANK(C2488),C2488=""),"",ROUND((C2488-B2488)*24,2))</f>
        <v>10.97</v>
      </c>
      <c r="N2488" s="35" t="str">
        <f>IF(OR(ISBLANK(C2488),C2488="",M2488=""),"In Progress",IF(M2488&lt;=J2488,"Met","Breached"))</f>
        <v>Met</v>
      </c>
    </row>
    <row r="2489" ht="19" customHeight="1" spans="1:14" x14ac:dyDescent="0.25">
      <c r="A2489" s="22" t="s">
        <v>2603</v>
      </c>
      <c r="B2489" s="36">
        <v>46282</v>
      </c>
      <c r="C2489" s="36">
        <v>46282.429861111115</v>
      </c>
      <c r="D2489" s="22" t="s">
        <v>33</v>
      </c>
      <c r="E2489" s="22" t="s">
        <v>61</v>
      </c>
      <c r="F2489" s="22" t="s">
        <v>34</v>
      </c>
      <c r="G2489" s="22" t="s">
        <v>126</v>
      </c>
      <c r="H2489" s="22" t="s">
        <v>71</v>
      </c>
      <c r="I2489" s="22" t="s">
        <v>114</v>
      </c>
      <c r="J2489" s="23">
        <v>12</v>
      </c>
      <c r="K2489" s="37">
        <v>0</v>
      </c>
      <c r="L2489" s="37">
        <v>1</v>
      </c>
      <c r="M2489" s="22">
        <f>IF(OR(ISBLANK(C2489),C2489=""),"",ROUND((C2489-B2489)*24,2))</f>
        <v>10.32</v>
      </c>
      <c r="N2489" s="40" t="str">
        <f>IF(OR(ISBLANK(C2489),C2489="",M2489=""),"In Progress",IF(M2489&lt;=J2489,"Met","Breached"))</f>
        <v>Met</v>
      </c>
    </row>
    <row r="2490" ht="19" customHeight="1" spans="1:14" x14ac:dyDescent="0.25">
      <c r="A2490" s="19" t="s">
        <v>2604</v>
      </c>
      <c r="B2490" s="33">
        <v>46081.53611111111</v>
      </c>
      <c r="C2490" s="33">
        <v>46084.60972222222</v>
      </c>
      <c r="D2490" s="19" t="s">
        <v>36</v>
      </c>
      <c r="E2490" s="19" t="s">
        <v>65</v>
      </c>
      <c r="F2490" s="19" t="s">
        <v>43</v>
      </c>
      <c r="G2490" s="19" t="s">
        <v>121</v>
      </c>
      <c r="H2490" s="19" t="s">
        <v>67</v>
      </c>
      <c r="I2490" s="19" t="s">
        <v>147</v>
      </c>
      <c r="J2490" s="20">
        <v>48</v>
      </c>
      <c r="K2490" s="34">
        <v>0</v>
      </c>
      <c r="L2490" s="34">
        <v>3</v>
      </c>
      <c r="M2490" s="19">
        <f>IF(OR(ISBLANK(C2490),C2490=""),"",ROUND((C2490-B2490)*24,2))</f>
        <v>73.77</v>
      </c>
      <c r="N2490" s="39" t="str">
        <f>IF(OR(ISBLANK(C2490),C2490="",M2490=""),"In Progress",IF(M2490&lt;=J2490,"Met","Breached"))</f>
        <v>Breached</v>
      </c>
    </row>
    <row r="2491" ht="19" customHeight="1" spans="1:14" x14ac:dyDescent="0.25">
      <c r="A2491" s="22" t="s">
        <v>2605</v>
      </c>
      <c r="B2491" s="36">
        <v>45798.32638888889</v>
      </c>
      <c r="C2491" s="36">
        <v>45803.850694444445</v>
      </c>
      <c r="D2491" s="22" t="s">
        <v>33</v>
      </c>
      <c r="E2491" s="22" t="s">
        <v>69</v>
      </c>
      <c r="F2491" s="22" t="s">
        <v>34</v>
      </c>
      <c r="G2491" s="22" t="s">
        <v>63</v>
      </c>
      <c r="H2491" s="22" t="s">
        <v>59</v>
      </c>
      <c r="I2491" s="22" t="s">
        <v>111</v>
      </c>
      <c r="J2491" s="23">
        <v>120</v>
      </c>
      <c r="K2491" s="37">
        <v>0</v>
      </c>
      <c r="L2491" s="37">
        <v>3</v>
      </c>
      <c r="M2491" s="22">
        <f>IF(OR(ISBLANK(C2491),C2491=""),"",ROUND((C2491-B2491)*24,2))</f>
        <v>132.58</v>
      </c>
      <c r="N2491" s="38" t="str">
        <f>IF(OR(ISBLANK(C2491),C2491="",M2491=""),"In Progress",IF(M2491&lt;=J2491,"Met","Breached"))</f>
        <v>Breached</v>
      </c>
    </row>
    <row r="2492" ht="19" customHeight="1" spans="1:14" x14ac:dyDescent="0.25">
      <c r="A2492" s="19" t="s">
        <v>2606</v>
      </c>
      <c r="B2492" s="33">
        <v>45996.89375</v>
      </c>
      <c r="C2492" s="33">
        <v>45997.1625</v>
      </c>
      <c r="D2492" s="19" t="s">
        <v>36</v>
      </c>
      <c r="E2492" s="19" t="s">
        <v>61</v>
      </c>
      <c r="F2492" s="19" t="s">
        <v>43</v>
      </c>
      <c r="G2492" s="19" t="s">
        <v>126</v>
      </c>
      <c r="H2492" s="19" t="s">
        <v>59</v>
      </c>
      <c r="I2492" s="19" t="s">
        <v>108</v>
      </c>
      <c r="J2492" s="20">
        <v>12</v>
      </c>
      <c r="K2492" s="34">
        <v>0</v>
      </c>
      <c r="L2492" s="34">
        <v>5</v>
      </c>
      <c r="M2492" s="19">
        <f>IF(OR(ISBLANK(C2492),C2492=""),"",ROUND((C2492-B2492)*24,2))</f>
        <v>6.45</v>
      </c>
      <c r="N2492" s="35" t="str">
        <f>IF(OR(ISBLANK(C2492),C2492="",M2492=""),"In Progress",IF(M2492&lt;=J2492,"Met","Breached"))</f>
        <v>Met</v>
      </c>
    </row>
    <row r="2493" ht="19" customHeight="1" spans="1:14" x14ac:dyDescent="0.25">
      <c r="A2493" s="22" t="s">
        <v>2607</v>
      </c>
      <c r="B2493" s="36">
        <v>45709.54305555555</v>
      </c>
      <c r="C2493" s="36">
        <v>45710.34305555555</v>
      </c>
      <c r="D2493" s="22" t="s">
        <v>33</v>
      </c>
      <c r="E2493" s="22" t="s">
        <v>65</v>
      </c>
      <c r="F2493" s="22" t="s">
        <v>34</v>
      </c>
      <c r="G2493" s="22" t="s">
        <v>63</v>
      </c>
      <c r="H2493" s="22" t="s">
        <v>67</v>
      </c>
      <c r="I2493" s="22" t="s">
        <v>114</v>
      </c>
      <c r="J2493" s="23">
        <v>48</v>
      </c>
      <c r="K2493" s="37">
        <v>0</v>
      </c>
      <c r="M2493" s="22">
        <f>IF(OR(ISBLANK(C2493),C2493=""),"",ROUND((C2493-B2493)*24,2))</f>
        <v>19.2</v>
      </c>
      <c r="N2493" s="40" t="str">
        <f>IF(OR(ISBLANK(C2493),C2493="",M2493=""),"In Progress",IF(M2493&lt;=J2493,"Met","Breached"))</f>
        <v>Met</v>
      </c>
    </row>
    <row r="2494" ht="19" customHeight="1" spans="1:14" x14ac:dyDescent="0.25">
      <c r="A2494" s="19" t="s">
        <v>2608</v>
      </c>
      <c r="B2494" s="33">
        <v>45775.28333333333</v>
      </c>
      <c r="C2494" s="33">
        <v>45777.37708333333</v>
      </c>
      <c r="D2494" s="19" t="s">
        <v>33</v>
      </c>
      <c r="E2494" s="19" t="s">
        <v>65</v>
      </c>
      <c r="F2494" s="19" t="s">
        <v>34</v>
      </c>
      <c r="G2494" s="19" t="s">
        <v>113</v>
      </c>
      <c r="H2494" s="19" t="s">
        <v>63</v>
      </c>
      <c r="I2494" s="19" t="s">
        <v>114</v>
      </c>
      <c r="J2494" s="20">
        <v>48</v>
      </c>
      <c r="K2494" s="34">
        <v>0</v>
      </c>
      <c r="L2494" s="34">
        <v>2</v>
      </c>
      <c r="M2494" s="19">
        <f>IF(OR(ISBLANK(C2494),C2494=""),"",ROUND((C2494-B2494)*24,2))</f>
        <v>50.25</v>
      </c>
      <c r="N2494" s="39" t="str">
        <f>IF(OR(ISBLANK(C2494),C2494="",M2494=""),"In Progress",IF(M2494&lt;=J2494,"Met","Breached"))</f>
        <v>Breached</v>
      </c>
    </row>
    <row r="2495" ht="19" customHeight="1" spans="1:14" x14ac:dyDescent="0.25">
      <c r="A2495" s="22" t="s">
        <v>2609</v>
      </c>
      <c r="B2495" s="36">
        <v>46128.46527777778</v>
      </c>
      <c r="C2495" s="36">
        <v>46130.35972222222</v>
      </c>
      <c r="D2495" s="22" t="s">
        <v>36</v>
      </c>
      <c r="E2495" s="22" t="s">
        <v>65</v>
      </c>
      <c r="F2495" s="22" t="s">
        <v>37</v>
      </c>
      <c r="G2495" s="22" t="s">
        <v>121</v>
      </c>
      <c r="H2495" s="22" t="s">
        <v>63</v>
      </c>
      <c r="I2495" s="22" t="s">
        <v>111</v>
      </c>
      <c r="J2495" s="23">
        <v>48</v>
      </c>
      <c r="K2495" s="37">
        <v>0</v>
      </c>
      <c r="L2495" s="37">
        <v>4</v>
      </c>
      <c r="M2495" s="22">
        <f>IF(OR(ISBLANK(C2495),C2495=""),"",ROUND((C2495-B2495)*24,2))</f>
        <v>45.47</v>
      </c>
      <c r="N2495" s="40" t="str">
        <f>IF(OR(ISBLANK(C2495),C2495="",M2495=""),"In Progress",IF(M2495&lt;=J2495,"Met","Breached"))</f>
        <v>Met</v>
      </c>
    </row>
    <row r="2496" ht="19" customHeight="1" spans="1:14" x14ac:dyDescent="0.25">
      <c r="A2496" s="19" t="s">
        <v>2610</v>
      </c>
      <c r="B2496" s="33">
        <v>46062.879166666666</v>
      </c>
      <c r="C2496" s="33">
        <v>46065.731944444444</v>
      </c>
      <c r="D2496" s="19" t="s">
        <v>33</v>
      </c>
      <c r="E2496" s="19" t="s">
        <v>65</v>
      </c>
      <c r="F2496" s="19" t="s">
        <v>40</v>
      </c>
      <c r="G2496" s="19" t="s">
        <v>113</v>
      </c>
      <c r="H2496" s="19" t="s">
        <v>59</v>
      </c>
      <c r="I2496" s="19" t="s">
        <v>108</v>
      </c>
      <c r="J2496" s="20">
        <v>48</v>
      </c>
      <c r="K2496" s="34">
        <v>0</v>
      </c>
      <c r="L2496" s="34">
        <v>5</v>
      </c>
      <c r="M2496" s="19">
        <f>IF(OR(ISBLANK(C2496),C2496=""),"",ROUND((C2496-B2496)*24,2))</f>
        <v>68.47</v>
      </c>
      <c r="N2496" s="39" t="str">
        <f>IF(OR(ISBLANK(C2496),C2496="",M2496=""),"In Progress",IF(M2496&lt;=J2496,"Met","Breached"))</f>
        <v>Breached</v>
      </c>
    </row>
    <row r="2497" ht="19" customHeight="1" spans="1:14" x14ac:dyDescent="0.25">
      <c r="A2497" s="22" t="s">
        <v>2611</v>
      </c>
      <c r="B2497" s="36">
        <v>45712.47916666667</v>
      </c>
      <c r="C2497" s="36">
        <v>45718.06458333333</v>
      </c>
      <c r="D2497" s="22" t="s">
        <v>33</v>
      </c>
      <c r="E2497" s="22" t="s">
        <v>69</v>
      </c>
      <c r="F2497" s="22" t="s">
        <v>43</v>
      </c>
      <c r="G2497" s="22" t="s">
        <v>63</v>
      </c>
      <c r="H2497" s="22" t="s">
        <v>59</v>
      </c>
      <c r="I2497" s="22" t="s">
        <v>114</v>
      </c>
      <c r="J2497" s="23">
        <v>120</v>
      </c>
      <c r="K2497" s="37">
        <v>0</v>
      </c>
      <c r="L2497" s="37">
        <v>4</v>
      </c>
      <c r="M2497" s="22">
        <f>IF(OR(ISBLANK(C2497),C2497=""),"",ROUND((C2497-B2497)*24,2))</f>
        <v>134.05</v>
      </c>
      <c r="N2497" s="38" t="str">
        <f>IF(OR(ISBLANK(C2497),C2497="",M2497=""),"In Progress",IF(M2497&lt;=J2497,"Met","Breached"))</f>
        <v>Breached</v>
      </c>
    </row>
    <row r="2498" ht="19" customHeight="1" spans="1:14" x14ac:dyDescent="0.25">
      <c r="A2498" s="19" t="s">
        <v>2612</v>
      </c>
      <c r="B2498" s="33">
        <v>46169.04722222222</v>
      </c>
      <c r="C2498" s="33">
        <v>46171.231944444444</v>
      </c>
      <c r="D2498" s="19" t="s">
        <v>33</v>
      </c>
      <c r="E2498" s="19" t="s">
        <v>65</v>
      </c>
      <c r="F2498" s="19" t="s">
        <v>43</v>
      </c>
      <c r="G2498" s="19" t="s">
        <v>121</v>
      </c>
      <c r="H2498" s="19" t="s">
        <v>71</v>
      </c>
      <c r="I2498" s="19" t="s">
        <v>123</v>
      </c>
      <c r="J2498" s="20">
        <v>48</v>
      </c>
      <c r="K2498" s="34">
        <v>0</v>
      </c>
      <c r="L2498" s="34">
        <v>3</v>
      </c>
      <c r="M2498" s="19">
        <f>IF(OR(ISBLANK(C2498),C2498=""),"",ROUND((C2498-B2498)*24,2))</f>
        <v>52.43</v>
      </c>
      <c r="N2498" s="39" t="str">
        <f>IF(OR(ISBLANK(C2498),C2498="",M2498=""),"In Progress",IF(M2498&lt;=J2498,"Met","Breached"))</f>
        <v>Breached</v>
      </c>
    </row>
    <row r="2499" ht="19" customHeight="1" spans="1:14" x14ac:dyDescent="0.25">
      <c r="A2499" s="22" t="s">
        <v>2613</v>
      </c>
      <c r="B2499" s="36">
        <v>45830.61388888889</v>
      </c>
      <c r="C2499" s="36">
        <v>45830.76666666666</v>
      </c>
      <c r="D2499" s="22" t="s">
        <v>33</v>
      </c>
      <c r="E2499" s="22" t="s">
        <v>61</v>
      </c>
      <c r="F2499" s="22" t="s">
        <v>40</v>
      </c>
      <c r="G2499" s="22" t="s">
        <v>121</v>
      </c>
      <c r="H2499" s="22" t="s">
        <v>59</v>
      </c>
      <c r="I2499" s="22" t="s">
        <v>123</v>
      </c>
      <c r="J2499" s="23">
        <v>12</v>
      </c>
      <c r="K2499" s="37">
        <v>0</v>
      </c>
      <c r="L2499" s="37">
        <v>2</v>
      </c>
      <c r="M2499" s="22">
        <f>IF(OR(ISBLANK(C2499),C2499=""),"",ROUND((C2499-B2499)*24,2))</f>
        <v>3.67</v>
      </c>
      <c r="N2499" s="40" t="str">
        <f>IF(OR(ISBLANK(C2499),C2499="",M2499=""),"In Progress",IF(M2499&lt;=J2499,"Met","Breached"))</f>
        <v>Met</v>
      </c>
    </row>
    <row r="2500" ht="19" customHeight="1" spans="1:14" x14ac:dyDescent="0.25">
      <c r="A2500" s="19" t="s">
        <v>2614</v>
      </c>
      <c r="B2500" s="33">
        <v>45679.93611111111</v>
      </c>
      <c r="C2500" s="33">
        <v>45680.736805555556</v>
      </c>
      <c r="D2500" s="19" t="s">
        <v>36</v>
      </c>
      <c r="E2500" s="19" t="s">
        <v>61</v>
      </c>
      <c r="F2500" s="19" t="s">
        <v>45</v>
      </c>
      <c r="G2500" s="19" t="s">
        <v>121</v>
      </c>
      <c r="H2500" s="19" t="s">
        <v>59</v>
      </c>
      <c r="I2500" s="19" t="s">
        <v>114</v>
      </c>
      <c r="J2500" s="20">
        <v>12</v>
      </c>
      <c r="K2500" s="34">
        <v>0</v>
      </c>
      <c r="L2500" s="34">
        <v>3</v>
      </c>
      <c r="M2500" s="19">
        <f>IF(OR(ISBLANK(C2500),C2500=""),"",ROUND((C2500-B2500)*24,2))</f>
        <v>19.22</v>
      </c>
      <c r="N2500" s="39" t="str">
        <f>IF(OR(ISBLANK(C2500),C2500="",M2500=""),"In Progress",IF(M2500&lt;=J2500,"Met","Breached"))</f>
        <v>Breached</v>
      </c>
    </row>
    <row r="2501" ht="19" customHeight="1" spans="1:14" x14ac:dyDescent="0.25">
      <c r="A2501" s="22" t="s">
        <v>2615</v>
      </c>
      <c r="B2501" s="36">
        <v>45804.04652777778</v>
      </c>
      <c r="C2501" s="36">
        <v>45807.20694444445</v>
      </c>
      <c r="D2501" s="22" t="s">
        <v>33</v>
      </c>
      <c r="E2501" s="22" t="s">
        <v>65</v>
      </c>
      <c r="F2501" s="22" t="s">
        <v>43</v>
      </c>
      <c r="G2501" s="22" t="s">
        <v>121</v>
      </c>
      <c r="H2501" s="22" t="s">
        <v>71</v>
      </c>
      <c r="I2501" s="22" t="s">
        <v>111</v>
      </c>
      <c r="J2501" s="23">
        <v>48</v>
      </c>
      <c r="K2501" s="37">
        <v>0</v>
      </c>
      <c r="M2501" s="22">
        <f>IF(OR(ISBLANK(C2501),C2501=""),"",ROUND((C2501-B2501)*24,2))</f>
        <v>75.85</v>
      </c>
      <c r="N2501" s="38" t="str">
        <f>IF(OR(ISBLANK(C2501),C2501="",M2501=""),"In Progress",IF(M2501&lt;=J2501,"Met","Breached"))</f>
        <v>Breached</v>
      </c>
    </row>
    <row r="2502" ht="19" customHeight="1" spans="1:14" x14ac:dyDescent="0.25">
      <c r="A2502" s="19" t="s">
        <v>2616</v>
      </c>
      <c r="B2502" s="33">
        <v>45970.361805555556</v>
      </c>
      <c r="C2502" s="33">
        <v>45971.97083333333</v>
      </c>
      <c r="D2502" s="19" t="s">
        <v>36</v>
      </c>
      <c r="E2502" s="19" t="s">
        <v>69</v>
      </c>
      <c r="F2502" s="19" t="s">
        <v>40</v>
      </c>
      <c r="G2502" s="19" t="s">
        <v>121</v>
      </c>
      <c r="H2502" s="19" t="s">
        <v>59</v>
      </c>
      <c r="I2502" s="19" t="s">
        <v>123</v>
      </c>
      <c r="J2502" s="20">
        <v>120</v>
      </c>
      <c r="K2502" s="34">
        <v>0</v>
      </c>
      <c r="L2502" s="34">
        <v>5</v>
      </c>
      <c r="M2502" s="19">
        <f>IF(OR(ISBLANK(C2502),C2502=""),"",ROUND((C2502-B2502)*24,2))</f>
        <v>38.62</v>
      </c>
      <c r="N2502" s="35" t="str">
        <f>IF(OR(ISBLANK(C2502),C2502="",M2502=""),"In Progress",IF(M2502&lt;=J2502,"Met","Breached"))</f>
        <v>Met</v>
      </c>
    </row>
    <row r="2503" ht="19" customHeight="1" spans="1:14" x14ac:dyDescent="0.25">
      <c r="A2503" s="22" t="s">
        <v>2617</v>
      </c>
      <c r="B2503" s="36">
        <v>46043.25138888889</v>
      </c>
      <c r="C2503" s="36">
        <v>46047.44791666667</v>
      </c>
      <c r="D2503" s="22" t="s">
        <v>33</v>
      </c>
      <c r="E2503" s="22" t="s">
        <v>69</v>
      </c>
      <c r="F2503" s="22" t="s">
        <v>43</v>
      </c>
      <c r="G2503" s="22" t="s">
        <v>113</v>
      </c>
      <c r="H2503" s="22" t="s">
        <v>59</v>
      </c>
      <c r="I2503" s="22" t="s">
        <v>147</v>
      </c>
      <c r="J2503" s="23">
        <v>120</v>
      </c>
      <c r="K2503" s="37">
        <v>0</v>
      </c>
      <c r="L2503" s="37">
        <v>4</v>
      </c>
      <c r="M2503" s="22">
        <f>IF(OR(ISBLANK(C2503),C2503=""),"",ROUND((C2503-B2503)*24,2))</f>
        <v>100.72</v>
      </c>
      <c r="N2503" s="40" t="str">
        <f>IF(OR(ISBLANK(C2503),C2503="",M2503=""),"In Progress",IF(M2503&lt;=J2503,"Met","Breached"))</f>
        <v>Met</v>
      </c>
    </row>
    <row r="2504" ht="19" customHeight="1" spans="1:14" x14ac:dyDescent="0.25">
      <c r="A2504" s="19" t="s">
        <v>2618</v>
      </c>
      <c r="B2504" s="33">
        <v>45989.38680555555</v>
      </c>
      <c r="D2504" s="19" t="s">
        <v>42</v>
      </c>
      <c r="E2504" s="19" t="s">
        <v>61</v>
      </c>
      <c r="F2504" s="19" t="s">
        <v>37</v>
      </c>
      <c r="G2504" s="19" t="s">
        <v>63</v>
      </c>
      <c r="H2504" s="19" t="s">
        <v>59</v>
      </c>
      <c r="I2504" s="19" t="s">
        <v>117</v>
      </c>
      <c r="J2504" s="20">
        <v>12</v>
      </c>
      <c r="K2504" s="34">
        <v>0</v>
      </c>
      <c r="M2504" s="19" t="str">
        <f>IF(OR(ISBLANK(C2504),C2504=""),"",ROUND((C2504-B2504)*24,2))</f>
        <v/>
      </c>
      <c r="N2504" s="19" t="str">
        <f>IF(OR(ISBLANK(C2504),C2504="",M2504=""),"In Progress",IF(M2504&lt;=J2504,"Met","Breached"))</f>
        <v>In Progress</v>
      </c>
    </row>
    <row r="2505" ht="19" customHeight="1" spans="1:14" x14ac:dyDescent="0.25">
      <c r="A2505" s="22" t="s">
        <v>2619</v>
      </c>
      <c r="B2505" s="36">
        <v>46250.42638888889</v>
      </c>
      <c r="C2505" s="36">
        <v>46250.88333333333</v>
      </c>
      <c r="D2505" s="22" t="s">
        <v>36</v>
      </c>
      <c r="E2505" s="22" t="s">
        <v>61</v>
      </c>
      <c r="F2505" s="22" t="s">
        <v>45</v>
      </c>
      <c r="G2505" s="22" t="s">
        <v>113</v>
      </c>
      <c r="H2505" s="22" t="s">
        <v>67</v>
      </c>
      <c r="I2505" s="22" t="s">
        <v>117</v>
      </c>
      <c r="J2505" s="23">
        <v>12</v>
      </c>
      <c r="K2505" s="37">
        <v>0</v>
      </c>
      <c r="L2505" s="37">
        <v>4</v>
      </c>
      <c r="M2505" s="22">
        <f>IF(OR(ISBLANK(C2505),C2505=""),"",ROUND((C2505-B2505)*24,2))</f>
        <v>10.97</v>
      </c>
      <c r="N2505" s="40" t="str">
        <f>IF(OR(ISBLANK(C2505),C2505="",M2505=""),"In Progress",IF(M2505&lt;=J2505,"Met","Breached"))</f>
        <v>Met</v>
      </c>
    </row>
    <row r="2506" ht="19" customHeight="1" spans="1:14" x14ac:dyDescent="0.25">
      <c r="A2506" s="19" t="s">
        <v>2620</v>
      </c>
      <c r="B2506" s="33">
        <v>45764.33263888889</v>
      </c>
      <c r="C2506" s="33">
        <v>45766.754166666666</v>
      </c>
      <c r="D2506" s="19" t="s">
        <v>36</v>
      </c>
      <c r="E2506" s="19" t="s">
        <v>65</v>
      </c>
      <c r="F2506" s="19" t="s">
        <v>40</v>
      </c>
      <c r="G2506" s="19" t="s">
        <v>63</v>
      </c>
      <c r="H2506" s="19" t="s">
        <v>63</v>
      </c>
      <c r="I2506" s="19" t="s">
        <v>147</v>
      </c>
      <c r="J2506" s="20">
        <v>48</v>
      </c>
      <c r="K2506" s="34">
        <v>0</v>
      </c>
      <c r="M2506" s="19">
        <f>IF(OR(ISBLANK(C2506),C2506=""),"",ROUND((C2506-B2506)*24,2))</f>
        <v>58.12</v>
      </c>
      <c r="N2506" s="39" t="str">
        <f>IF(OR(ISBLANK(C2506),C2506="",M2506=""),"In Progress",IF(M2506&lt;=J2506,"Met","Breached"))</f>
        <v>Breached</v>
      </c>
    </row>
    <row r="2507" ht="19" customHeight="1" spans="1:14" x14ac:dyDescent="0.25">
      <c r="A2507" s="22" t="s">
        <v>2621</v>
      </c>
      <c r="B2507" s="36">
        <v>46286.16875</v>
      </c>
      <c r="C2507" s="36">
        <v>46288.268055555556</v>
      </c>
      <c r="D2507" s="22" t="s">
        <v>36</v>
      </c>
      <c r="E2507" s="22" t="s">
        <v>65</v>
      </c>
      <c r="F2507" s="22" t="s">
        <v>40</v>
      </c>
      <c r="G2507" s="22" t="s">
        <v>113</v>
      </c>
      <c r="H2507" s="22" t="s">
        <v>63</v>
      </c>
      <c r="I2507" s="22" t="s">
        <v>111</v>
      </c>
      <c r="J2507" s="23">
        <v>48</v>
      </c>
      <c r="K2507" s="37">
        <v>0</v>
      </c>
      <c r="M2507" s="22">
        <f>IF(OR(ISBLANK(C2507),C2507=""),"",ROUND((C2507-B2507)*24,2))</f>
        <v>50.38</v>
      </c>
      <c r="N2507" s="38" t="str">
        <f>IF(OR(ISBLANK(C2507),C2507="",M2507=""),"In Progress",IF(M2507&lt;=J2507,"Met","Breached"))</f>
        <v>Breached</v>
      </c>
    </row>
    <row r="2508" ht="19" customHeight="1" spans="1:14" x14ac:dyDescent="0.25">
      <c r="A2508" s="19" t="s">
        <v>2622</v>
      </c>
      <c r="B2508" s="33">
        <v>45855.398611111115</v>
      </c>
      <c r="D2508" s="19" t="s">
        <v>42</v>
      </c>
      <c r="E2508" s="19" t="s">
        <v>65</v>
      </c>
      <c r="F2508" s="19" t="s">
        <v>43</v>
      </c>
      <c r="G2508" s="19" t="s">
        <v>110</v>
      </c>
      <c r="H2508" s="19" t="s">
        <v>59</v>
      </c>
      <c r="I2508" s="19" t="s">
        <v>114</v>
      </c>
      <c r="J2508" s="20">
        <v>48</v>
      </c>
      <c r="K2508" s="34">
        <v>0</v>
      </c>
      <c r="M2508" s="19" t="str">
        <f>IF(OR(ISBLANK(C2508),C2508=""),"",ROUND((C2508-B2508)*24,2))</f>
        <v/>
      </c>
      <c r="N2508" s="19" t="str">
        <f>IF(OR(ISBLANK(C2508),C2508="",M2508=""),"In Progress",IF(M2508&lt;=J2508,"Met","Breached"))</f>
        <v>In Progress</v>
      </c>
    </row>
    <row r="2509" ht="19" customHeight="1" spans="1:14" x14ac:dyDescent="0.25">
      <c r="A2509" s="22" t="s">
        <v>2623</v>
      </c>
      <c r="B2509" s="36">
        <v>46282.54027777778</v>
      </c>
      <c r="D2509" s="22" t="s">
        <v>39</v>
      </c>
      <c r="E2509" s="22" t="s">
        <v>65</v>
      </c>
      <c r="F2509" s="22" t="s">
        <v>40</v>
      </c>
      <c r="G2509" s="22" t="s">
        <v>126</v>
      </c>
      <c r="H2509" s="22" t="s">
        <v>67</v>
      </c>
      <c r="I2509" s="22" t="s">
        <v>147</v>
      </c>
      <c r="J2509" s="23">
        <v>48</v>
      </c>
      <c r="K2509" s="37">
        <v>0</v>
      </c>
      <c r="M2509" s="22" t="str">
        <f>IF(OR(ISBLANK(C2509),C2509=""),"",ROUND((C2509-B2509)*24,2))</f>
        <v/>
      </c>
      <c r="N2509" s="22" t="str">
        <f>IF(OR(ISBLANK(C2509),C2509="",M2509=""),"In Progress",IF(M2509&lt;=J2509,"Met","Breached"))</f>
        <v>In Progress</v>
      </c>
    </row>
    <row r="2510" ht="19" customHeight="1" spans="1:14" x14ac:dyDescent="0.25">
      <c r="A2510" s="19" t="s">
        <v>2624</v>
      </c>
      <c r="B2510" s="33">
        <v>45797.85625</v>
      </c>
      <c r="C2510" s="33">
        <v>45802.44097222222</v>
      </c>
      <c r="D2510" s="19" t="s">
        <v>36</v>
      </c>
      <c r="E2510" s="19" t="s">
        <v>69</v>
      </c>
      <c r="F2510" s="19" t="s">
        <v>40</v>
      </c>
      <c r="G2510" s="19" t="s">
        <v>126</v>
      </c>
      <c r="H2510" s="19" t="s">
        <v>63</v>
      </c>
      <c r="I2510" s="19" t="s">
        <v>114</v>
      </c>
      <c r="J2510" s="20">
        <v>120</v>
      </c>
      <c r="K2510" s="34">
        <v>0</v>
      </c>
      <c r="L2510" s="34">
        <v>5</v>
      </c>
      <c r="M2510" s="19">
        <f>IF(OR(ISBLANK(C2510),C2510=""),"",ROUND((C2510-B2510)*24,2))</f>
        <v>110.03</v>
      </c>
      <c r="N2510" s="35" t="str">
        <f>IF(OR(ISBLANK(C2510),C2510="",M2510=""),"In Progress",IF(M2510&lt;=J2510,"Met","Breached"))</f>
        <v>Met</v>
      </c>
    </row>
    <row r="2511" ht="19" customHeight="1" spans="1:14" x14ac:dyDescent="0.25">
      <c r="A2511" s="22" t="s">
        <v>2625</v>
      </c>
      <c r="B2511" s="36">
        <v>45872.57708333334</v>
      </c>
      <c r="C2511" s="36">
        <v>45872.75069444445</v>
      </c>
      <c r="D2511" s="22" t="s">
        <v>36</v>
      </c>
      <c r="E2511" s="22" t="s">
        <v>61</v>
      </c>
      <c r="F2511" s="22" t="s">
        <v>45</v>
      </c>
      <c r="G2511" s="22" t="s">
        <v>126</v>
      </c>
      <c r="H2511" s="22" t="s">
        <v>63</v>
      </c>
      <c r="I2511" s="22" t="s">
        <v>117</v>
      </c>
      <c r="J2511" s="23">
        <v>12</v>
      </c>
      <c r="K2511" s="37">
        <v>0</v>
      </c>
      <c r="M2511" s="22">
        <f>IF(OR(ISBLANK(C2511),C2511=""),"",ROUND((C2511-B2511)*24,2))</f>
        <v>4.17</v>
      </c>
      <c r="N2511" s="40" t="str">
        <f>IF(OR(ISBLANK(C2511),C2511="",M2511=""),"In Progress",IF(M2511&lt;=J2511,"Met","Breached"))</f>
        <v>Met</v>
      </c>
    </row>
    <row r="2512" ht="19" customHeight="1" spans="1:14" x14ac:dyDescent="0.25">
      <c r="A2512" s="19" t="s">
        <v>2626</v>
      </c>
      <c r="B2512" s="33">
        <v>45819.49652777778</v>
      </c>
      <c r="D2512" s="19" t="s">
        <v>42</v>
      </c>
      <c r="E2512" s="19" t="s">
        <v>65</v>
      </c>
      <c r="F2512" s="19" t="s">
        <v>45</v>
      </c>
      <c r="G2512" s="19" t="s">
        <v>110</v>
      </c>
      <c r="H2512" s="19" t="s">
        <v>59</v>
      </c>
      <c r="I2512" s="19" t="s">
        <v>147</v>
      </c>
      <c r="J2512" s="20">
        <v>48</v>
      </c>
      <c r="K2512" s="34">
        <v>0</v>
      </c>
      <c r="M2512" s="19" t="str">
        <f>IF(OR(ISBLANK(C2512),C2512=""),"",ROUND((C2512-B2512)*24,2))</f>
        <v/>
      </c>
      <c r="N2512" s="19" t="str">
        <f>IF(OR(ISBLANK(C2512),C2512="",M2512=""),"In Progress",IF(M2512&lt;=J2512,"Met","Breached"))</f>
        <v>In Progress</v>
      </c>
    </row>
    <row r="2513" ht="19" customHeight="1" spans="1:14" x14ac:dyDescent="0.25">
      <c r="A2513" s="22" t="s">
        <v>2627</v>
      </c>
      <c r="B2513" s="36">
        <v>46148.368055555555</v>
      </c>
      <c r="C2513" s="36">
        <v>46148.82083333333</v>
      </c>
      <c r="D2513" s="22" t="s">
        <v>33</v>
      </c>
      <c r="E2513" s="22" t="s">
        <v>61</v>
      </c>
      <c r="F2513" s="22" t="s">
        <v>43</v>
      </c>
      <c r="G2513" s="22" t="s">
        <v>121</v>
      </c>
      <c r="H2513" s="22" t="s">
        <v>71</v>
      </c>
      <c r="I2513" s="22" t="s">
        <v>117</v>
      </c>
      <c r="J2513" s="23">
        <v>12</v>
      </c>
      <c r="K2513" s="37">
        <v>1</v>
      </c>
      <c r="L2513" s="37">
        <v>3</v>
      </c>
      <c r="M2513" s="22">
        <f>IF(OR(ISBLANK(C2513),C2513=""),"",ROUND((C2513-B2513)*24,2))</f>
        <v>10.87</v>
      </c>
      <c r="N2513" s="40" t="str">
        <f>IF(OR(ISBLANK(C2513),C2513="",M2513=""),"In Progress",IF(M2513&lt;=J2513,"Met","Breached"))</f>
        <v>Met</v>
      </c>
    </row>
    <row r="2514" ht="19" customHeight="1" spans="1:14" x14ac:dyDescent="0.25">
      <c r="A2514" s="19" t="s">
        <v>2628</v>
      </c>
      <c r="B2514" s="33">
        <v>45808.36597222222</v>
      </c>
      <c r="C2514" s="33">
        <v>45811.08472222222</v>
      </c>
      <c r="D2514" s="19" t="s">
        <v>33</v>
      </c>
      <c r="E2514" s="19" t="s">
        <v>69</v>
      </c>
      <c r="F2514" s="19" t="s">
        <v>43</v>
      </c>
      <c r="G2514" s="19" t="s">
        <v>63</v>
      </c>
      <c r="H2514" s="19" t="s">
        <v>71</v>
      </c>
      <c r="I2514" s="19" t="s">
        <v>114</v>
      </c>
      <c r="J2514" s="20">
        <v>120</v>
      </c>
      <c r="K2514" s="34">
        <v>0</v>
      </c>
      <c r="L2514" s="34">
        <v>1</v>
      </c>
      <c r="M2514" s="19">
        <f>IF(OR(ISBLANK(C2514),C2514=""),"",ROUND((C2514-B2514)*24,2))</f>
        <v>65.25</v>
      </c>
      <c r="N2514" s="35" t="str">
        <f>IF(OR(ISBLANK(C2514),C2514="",M2514=""),"In Progress",IF(M2514&lt;=J2514,"Met","Breached"))</f>
        <v>Met</v>
      </c>
    </row>
    <row r="2515" ht="19" customHeight="1" spans="1:14" x14ac:dyDescent="0.25">
      <c r="A2515" s="22" t="s">
        <v>2629</v>
      </c>
      <c r="B2515" s="36">
        <v>46169.42638888889</v>
      </c>
      <c r="C2515" s="36">
        <v>46172.57638888889</v>
      </c>
      <c r="D2515" s="22" t="s">
        <v>36</v>
      </c>
      <c r="E2515" s="22" t="s">
        <v>69</v>
      </c>
      <c r="F2515" s="22" t="s">
        <v>34</v>
      </c>
      <c r="G2515" s="22" t="s">
        <v>63</v>
      </c>
      <c r="H2515" s="22" t="s">
        <v>71</v>
      </c>
      <c r="I2515" s="22" t="s">
        <v>114</v>
      </c>
      <c r="J2515" s="23">
        <v>120</v>
      </c>
      <c r="K2515" s="37">
        <v>0</v>
      </c>
      <c r="L2515" s="37">
        <v>1</v>
      </c>
      <c r="M2515" s="22">
        <f>IF(OR(ISBLANK(C2515),C2515=""),"",ROUND((C2515-B2515)*24,2))</f>
        <v>75.6</v>
      </c>
      <c r="N2515" s="40" t="str">
        <f>IF(OR(ISBLANK(C2515),C2515="",M2515=""),"In Progress",IF(M2515&lt;=J2515,"Met","Breached"))</f>
        <v>Met</v>
      </c>
    </row>
    <row r="2516" ht="19" customHeight="1" spans="1:14" x14ac:dyDescent="0.25">
      <c r="A2516" s="19" t="s">
        <v>2630</v>
      </c>
      <c r="B2516" s="33">
        <v>46240.37638888889</v>
      </c>
      <c r="C2516" s="33">
        <v>46243.927777777775</v>
      </c>
      <c r="D2516" s="19" t="s">
        <v>36</v>
      </c>
      <c r="E2516" s="19" t="s">
        <v>65</v>
      </c>
      <c r="F2516" s="19" t="s">
        <v>37</v>
      </c>
      <c r="G2516" s="19" t="s">
        <v>126</v>
      </c>
      <c r="H2516" s="19" t="s">
        <v>63</v>
      </c>
      <c r="I2516" s="19" t="s">
        <v>147</v>
      </c>
      <c r="J2516" s="20">
        <v>48</v>
      </c>
      <c r="K2516" s="34">
        <v>0</v>
      </c>
      <c r="L2516" s="34">
        <v>2</v>
      </c>
      <c r="M2516" s="19">
        <f>IF(OR(ISBLANK(C2516),C2516=""),"",ROUND((C2516-B2516)*24,2))</f>
        <v>85.23</v>
      </c>
      <c r="N2516" s="39" t="str">
        <f>IF(OR(ISBLANK(C2516),C2516="",M2516=""),"In Progress",IF(M2516&lt;=J2516,"Met","Breached"))</f>
        <v>Breached</v>
      </c>
    </row>
    <row r="2517" ht="19" customHeight="1" spans="1:14" x14ac:dyDescent="0.25">
      <c r="A2517" s="22" t="s">
        <v>2631</v>
      </c>
      <c r="B2517" s="36">
        <v>45930.475694444445</v>
      </c>
      <c r="C2517" s="36">
        <v>45930.76527777778</v>
      </c>
      <c r="D2517" s="22" t="s">
        <v>33</v>
      </c>
      <c r="E2517" s="22" t="s">
        <v>57</v>
      </c>
      <c r="F2517" s="22" t="s">
        <v>37</v>
      </c>
      <c r="G2517" s="22" t="s">
        <v>63</v>
      </c>
      <c r="H2517" s="22" t="s">
        <v>63</v>
      </c>
      <c r="I2517" s="22" t="s">
        <v>108</v>
      </c>
      <c r="J2517" s="23">
        <v>4</v>
      </c>
      <c r="K2517" s="37">
        <v>0</v>
      </c>
      <c r="L2517" s="37">
        <v>5</v>
      </c>
      <c r="M2517" s="22">
        <f>IF(OR(ISBLANK(C2517),C2517=""),"",ROUND((C2517-B2517)*24,2))</f>
        <v>6.95</v>
      </c>
      <c r="N2517" s="38" t="str">
        <f>IF(OR(ISBLANK(C2517),C2517="",M2517=""),"In Progress",IF(M2517&lt;=J2517,"Met","Breached"))</f>
        <v>Breached</v>
      </c>
    </row>
    <row r="2518" ht="19" customHeight="1" spans="1:14" x14ac:dyDescent="0.25">
      <c r="A2518" s="19" t="s">
        <v>2632</v>
      </c>
      <c r="B2518" s="33">
        <v>46069.44791666667</v>
      </c>
      <c r="C2518" s="33">
        <v>46070.04583333334</v>
      </c>
      <c r="D2518" s="19" t="s">
        <v>33</v>
      </c>
      <c r="E2518" s="19" t="s">
        <v>61</v>
      </c>
      <c r="F2518" s="19" t="s">
        <v>37</v>
      </c>
      <c r="G2518" s="19" t="s">
        <v>121</v>
      </c>
      <c r="H2518" s="19" t="s">
        <v>71</v>
      </c>
      <c r="I2518" s="19" t="s">
        <v>108</v>
      </c>
      <c r="J2518" s="20">
        <v>12</v>
      </c>
      <c r="K2518" s="34">
        <v>0</v>
      </c>
      <c r="M2518" s="19">
        <f>IF(OR(ISBLANK(C2518),C2518=""),"",ROUND((C2518-B2518)*24,2))</f>
        <v>14.35</v>
      </c>
      <c r="N2518" s="39" t="str">
        <f>IF(OR(ISBLANK(C2518),C2518="",M2518=""),"In Progress",IF(M2518&lt;=J2518,"Met","Breached"))</f>
        <v>Breached</v>
      </c>
    </row>
    <row r="2519" ht="19" customHeight="1" spans="1:14" x14ac:dyDescent="0.25">
      <c r="A2519" s="22" t="s">
        <v>2633</v>
      </c>
      <c r="B2519" s="36">
        <v>45822.336111111115</v>
      </c>
      <c r="C2519" s="36">
        <v>45825.17916666667</v>
      </c>
      <c r="D2519" s="22" t="s">
        <v>33</v>
      </c>
      <c r="E2519" s="22" t="s">
        <v>65</v>
      </c>
      <c r="F2519" s="22" t="s">
        <v>43</v>
      </c>
      <c r="G2519" s="22" t="s">
        <v>121</v>
      </c>
      <c r="H2519" s="22" t="s">
        <v>63</v>
      </c>
      <c r="I2519" s="22" t="s">
        <v>123</v>
      </c>
      <c r="J2519" s="23">
        <v>48</v>
      </c>
      <c r="K2519" s="37">
        <v>0</v>
      </c>
      <c r="L2519" s="37">
        <v>5</v>
      </c>
      <c r="M2519" s="22">
        <f>IF(OR(ISBLANK(C2519),C2519=""),"",ROUND((C2519-B2519)*24,2))</f>
        <v>68.23</v>
      </c>
      <c r="N2519" s="38" t="str">
        <f>IF(OR(ISBLANK(C2519),C2519="",M2519=""),"In Progress",IF(M2519&lt;=J2519,"Met","Breached"))</f>
        <v>Breached</v>
      </c>
    </row>
    <row r="2520" ht="19" customHeight="1" spans="1:14" x14ac:dyDescent="0.25">
      <c r="A2520" s="19" t="s">
        <v>2634</v>
      </c>
      <c r="B2520" s="33">
        <v>46034.62222222222</v>
      </c>
      <c r="D2520" s="19" t="s">
        <v>39</v>
      </c>
      <c r="E2520" s="19" t="s">
        <v>61</v>
      </c>
      <c r="F2520" s="19" t="s">
        <v>45</v>
      </c>
      <c r="G2520" s="19" t="s">
        <v>116</v>
      </c>
      <c r="H2520" s="19" t="s">
        <v>67</v>
      </c>
      <c r="I2520" s="19" t="s">
        <v>123</v>
      </c>
      <c r="J2520" s="20">
        <v>12</v>
      </c>
      <c r="K2520" s="34">
        <v>0</v>
      </c>
      <c r="M2520" s="19" t="str">
        <f>IF(OR(ISBLANK(C2520),C2520=""),"",ROUND((C2520-B2520)*24,2))</f>
        <v/>
      </c>
      <c r="N2520" s="19" t="str">
        <f>IF(OR(ISBLANK(C2520),C2520="",M2520=""),"In Progress",IF(M2520&lt;=J2520,"Met","Breached"))</f>
        <v>In Progress</v>
      </c>
    </row>
    <row r="2521" ht="19" customHeight="1" spans="1:14" x14ac:dyDescent="0.25">
      <c r="A2521" s="22" t="s">
        <v>2635</v>
      </c>
      <c r="B2521" s="36">
        <v>45729.74930555555</v>
      </c>
      <c r="D2521" s="22" t="s">
        <v>42</v>
      </c>
      <c r="E2521" s="22" t="s">
        <v>65</v>
      </c>
      <c r="F2521" s="22" t="s">
        <v>34</v>
      </c>
      <c r="G2521" s="22" t="s">
        <v>110</v>
      </c>
      <c r="H2521" s="22" t="s">
        <v>59</v>
      </c>
      <c r="I2521" s="22" t="s">
        <v>108</v>
      </c>
      <c r="J2521" s="23">
        <v>48</v>
      </c>
      <c r="K2521" s="37">
        <v>0</v>
      </c>
      <c r="M2521" s="22" t="str">
        <f>IF(OR(ISBLANK(C2521),C2521=""),"",ROUND((C2521-B2521)*24,2))</f>
        <v/>
      </c>
      <c r="N2521" s="22" t="str">
        <f>IF(OR(ISBLANK(C2521),C2521="",M2521=""),"In Progress",IF(M2521&lt;=J2521,"Met","Breached"))</f>
        <v>In Progress</v>
      </c>
    </row>
    <row r="2522" ht="19" customHeight="1" spans="1:14" x14ac:dyDescent="0.25">
      <c r="A2522" s="19" t="s">
        <v>2636</v>
      </c>
      <c r="B2522" s="33">
        <v>45761.1125</v>
      </c>
      <c r="C2522" s="33">
        <v>45766.20347222222</v>
      </c>
      <c r="D2522" s="19" t="s">
        <v>33</v>
      </c>
      <c r="E2522" s="19" t="s">
        <v>69</v>
      </c>
      <c r="F2522" s="19" t="s">
        <v>37</v>
      </c>
      <c r="G2522" s="19" t="s">
        <v>116</v>
      </c>
      <c r="H2522" s="19" t="s">
        <v>63</v>
      </c>
      <c r="I2522" s="19" t="s">
        <v>108</v>
      </c>
      <c r="J2522" s="20">
        <v>120</v>
      </c>
      <c r="K2522" s="34">
        <v>0</v>
      </c>
      <c r="M2522" s="19">
        <f>IF(OR(ISBLANK(C2522),C2522=""),"",ROUND((C2522-B2522)*24,2))</f>
        <v>122.18</v>
      </c>
      <c r="N2522" s="39" t="str">
        <f>IF(OR(ISBLANK(C2522),C2522="",M2522=""),"In Progress",IF(M2522&lt;=J2522,"Met","Breached"))</f>
        <v>Breached</v>
      </c>
    </row>
    <row r="2523" ht="19" customHeight="1" spans="1:14" x14ac:dyDescent="0.25">
      <c r="A2523" s="22" t="s">
        <v>2637</v>
      </c>
      <c r="B2523" s="36">
        <v>46215.47430555556</v>
      </c>
      <c r="D2523" s="22" t="s">
        <v>39</v>
      </c>
      <c r="E2523" s="22" t="s">
        <v>61</v>
      </c>
      <c r="F2523" s="22" t="s">
        <v>43</v>
      </c>
      <c r="G2523" s="22" t="s">
        <v>121</v>
      </c>
      <c r="H2523" s="22" t="s">
        <v>59</v>
      </c>
      <c r="I2523" s="22" t="s">
        <v>147</v>
      </c>
      <c r="J2523" s="23">
        <v>12</v>
      </c>
      <c r="K2523" s="37">
        <v>0</v>
      </c>
      <c r="M2523" s="22" t="str">
        <f>IF(OR(ISBLANK(C2523),C2523=""),"",ROUND((C2523-B2523)*24,2))</f>
        <v/>
      </c>
      <c r="N2523" s="22" t="str">
        <f>IF(OR(ISBLANK(C2523),C2523="",M2523=""),"In Progress",IF(M2523&lt;=J2523,"Met","Breached"))</f>
        <v>In Progress</v>
      </c>
    </row>
    <row r="2524" ht="19" customHeight="1" spans="1:14" x14ac:dyDescent="0.25">
      <c r="A2524" s="19" t="s">
        <v>2638</v>
      </c>
      <c r="B2524" s="33">
        <v>46072.052777777775</v>
      </c>
      <c r="C2524" s="33">
        <v>46073.9875</v>
      </c>
      <c r="D2524" s="19" t="s">
        <v>33</v>
      </c>
      <c r="E2524" s="19" t="s">
        <v>65</v>
      </c>
      <c r="F2524" s="19" t="s">
        <v>37</v>
      </c>
      <c r="G2524" s="19" t="s">
        <v>126</v>
      </c>
      <c r="H2524" s="19" t="s">
        <v>63</v>
      </c>
      <c r="I2524" s="19" t="s">
        <v>111</v>
      </c>
      <c r="J2524" s="20">
        <v>48</v>
      </c>
      <c r="K2524" s="34">
        <v>0</v>
      </c>
      <c r="L2524" s="34">
        <v>1</v>
      </c>
      <c r="M2524" s="19">
        <f>IF(OR(ISBLANK(C2524),C2524=""),"",ROUND((C2524-B2524)*24,2))</f>
        <v>46.43</v>
      </c>
      <c r="N2524" s="35" t="str">
        <f>IF(OR(ISBLANK(C2524),C2524="",M2524=""),"In Progress",IF(M2524&lt;=J2524,"Met","Breached"))</f>
        <v>Met</v>
      </c>
    </row>
    <row r="2525" ht="19" customHeight="1" spans="1:14" x14ac:dyDescent="0.25">
      <c r="A2525" s="22" t="s">
        <v>2639</v>
      </c>
      <c r="B2525" s="36">
        <v>45691.256944444445</v>
      </c>
      <c r="D2525" s="22" t="s">
        <v>39</v>
      </c>
      <c r="E2525" s="22" t="s">
        <v>65</v>
      </c>
      <c r="F2525" s="22" t="s">
        <v>45</v>
      </c>
      <c r="G2525" s="22" t="s">
        <v>126</v>
      </c>
      <c r="H2525" s="22" t="s">
        <v>67</v>
      </c>
      <c r="I2525" s="22" t="s">
        <v>114</v>
      </c>
      <c r="J2525" s="23">
        <v>48</v>
      </c>
      <c r="K2525" s="37">
        <v>0</v>
      </c>
      <c r="M2525" s="22" t="str">
        <f>IF(OR(ISBLANK(C2525),C2525=""),"",ROUND((C2525-B2525)*24,2))</f>
        <v/>
      </c>
      <c r="N2525" s="22" t="str">
        <f>IF(OR(ISBLANK(C2525),C2525="",M2525=""),"In Progress",IF(M2525&lt;=J2525,"Met","Breached"))</f>
        <v>In Progress</v>
      </c>
    </row>
    <row r="2526" ht="19" customHeight="1" spans="1:14" x14ac:dyDescent="0.25">
      <c r="A2526" s="19" t="s">
        <v>2640</v>
      </c>
      <c r="B2526" s="33">
        <v>46087.93194444444</v>
      </c>
      <c r="C2526" s="33">
        <v>46096.35972222222</v>
      </c>
      <c r="D2526" s="19" t="s">
        <v>36</v>
      </c>
      <c r="E2526" s="19" t="s">
        <v>69</v>
      </c>
      <c r="F2526" s="19" t="s">
        <v>45</v>
      </c>
      <c r="G2526" s="19" t="s">
        <v>126</v>
      </c>
      <c r="H2526" s="19" t="s">
        <v>71</v>
      </c>
      <c r="I2526" s="19" t="s">
        <v>117</v>
      </c>
      <c r="J2526" s="20">
        <v>120</v>
      </c>
      <c r="K2526" s="34">
        <v>0</v>
      </c>
      <c r="M2526" s="19">
        <f>IF(OR(ISBLANK(C2526),C2526=""),"",ROUND((C2526-B2526)*24,2))</f>
        <v>202.27</v>
      </c>
      <c r="N2526" s="39" t="str">
        <f>IF(OR(ISBLANK(C2526),C2526="",M2526=""),"In Progress",IF(M2526&lt;=J2526,"Met","Breached"))</f>
        <v>Breached</v>
      </c>
    </row>
    <row r="2527" ht="19" customHeight="1" spans="1:14" x14ac:dyDescent="0.25">
      <c r="A2527" s="22" t="s">
        <v>2641</v>
      </c>
      <c r="B2527" s="36">
        <v>45882.55208333333</v>
      </c>
      <c r="C2527" s="36">
        <v>45882.92569444445</v>
      </c>
      <c r="D2527" s="22" t="s">
        <v>36</v>
      </c>
      <c r="E2527" s="22" t="s">
        <v>61</v>
      </c>
      <c r="F2527" s="22" t="s">
        <v>34</v>
      </c>
      <c r="G2527" s="22" t="s">
        <v>116</v>
      </c>
      <c r="H2527" s="22" t="s">
        <v>59</v>
      </c>
      <c r="I2527" s="22" t="s">
        <v>123</v>
      </c>
      <c r="J2527" s="23">
        <v>12</v>
      </c>
      <c r="K2527" s="37">
        <v>0</v>
      </c>
      <c r="M2527" s="22">
        <f>IF(OR(ISBLANK(C2527),C2527=""),"",ROUND((C2527-B2527)*24,2))</f>
        <v>8.97</v>
      </c>
      <c r="N2527" s="40" t="str">
        <f>IF(OR(ISBLANK(C2527),C2527="",M2527=""),"In Progress",IF(M2527&lt;=J2527,"Met","Breached"))</f>
        <v>Met</v>
      </c>
    </row>
    <row r="2528" ht="19" customHeight="1" spans="1:14" x14ac:dyDescent="0.25">
      <c r="A2528" s="19" t="s">
        <v>2642</v>
      </c>
      <c r="B2528" s="33">
        <v>45659.9875</v>
      </c>
      <c r="C2528" s="33">
        <v>45660.5</v>
      </c>
      <c r="D2528" s="19" t="s">
        <v>36</v>
      </c>
      <c r="E2528" s="19" t="s">
        <v>61</v>
      </c>
      <c r="F2528" s="19" t="s">
        <v>45</v>
      </c>
      <c r="G2528" s="19" t="s">
        <v>121</v>
      </c>
      <c r="H2528" s="19" t="s">
        <v>63</v>
      </c>
      <c r="I2528" s="19" t="s">
        <v>117</v>
      </c>
      <c r="J2528" s="20">
        <v>12</v>
      </c>
      <c r="K2528" s="34">
        <v>0</v>
      </c>
      <c r="L2528" s="34">
        <v>4</v>
      </c>
      <c r="M2528" s="19">
        <f>IF(OR(ISBLANK(C2528),C2528=""),"",ROUND((C2528-B2528)*24,2))</f>
        <v>12.3</v>
      </c>
      <c r="N2528" s="39" t="str">
        <f>IF(OR(ISBLANK(C2528),C2528="",M2528=""),"In Progress",IF(M2528&lt;=J2528,"Met","Breached"))</f>
        <v>Breached</v>
      </c>
    </row>
    <row r="2529" ht="19" customHeight="1" spans="1:14" x14ac:dyDescent="0.25">
      <c r="A2529" s="22" t="s">
        <v>2643</v>
      </c>
      <c r="B2529" s="36">
        <v>46089.48333333334</v>
      </c>
      <c r="C2529" s="36">
        <v>46090.194444444445</v>
      </c>
      <c r="D2529" s="22" t="s">
        <v>36</v>
      </c>
      <c r="E2529" s="22" t="s">
        <v>61</v>
      </c>
      <c r="F2529" s="22" t="s">
        <v>37</v>
      </c>
      <c r="G2529" s="22" t="s">
        <v>110</v>
      </c>
      <c r="H2529" s="22" t="s">
        <v>71</v>
      </c>
      <c r="I2529" s="22" t="s">
        <v>123</v>
      </c>
      <c r="J2529" s="23">
        <v>12</v>
      </c>
      <c r="K2529" s="37">
        <v>0</v>
      </c>
      <c r="L2529" s="37">
        <v>2</v>
      </c>
      <c r="M2529" s="22">
        <f>IF(OR(ISBLANK(C2529),C2529=""),"",ROUND((C2529-B2529)*24,2))</f>
        <v>17.07</v>
      </c>
      <c r="N2529" s="38" t="str">
        <f>IF(OR(ISBLANK(C2529),C2529="",M2529=""),"In Progress",IF(M2529&lt;=J2529,"Met","Breached"))</f>
        <v>Breached</v>
      </c>
    </row>
    <row r="2530" ht="19" customHeight="1" spans="1:14" x14ac:dyDescent="0.25">
      <c r="A2530" s="19" t="s">
        <v>2644</v>
      </c>
      <c r="B2530" s="33">
        <v>45921.76458333334</v>
      </c>
      <c r="C2530" s="33">
        <v>45922.34861111111</v>
      </c>
      <c r="D2530" s="19" t="s">
        <v>36</v>
      </c>
      <c r="E2530" s="19" t="s">
        <v>61</v>
      </c>
      <c r="F2530" s="19" t="s">
        <v>45</v>
      </c>
      <c r="G2530" s="19" t="s">
        <v>116</v>
      </c>
      <c r="H2530" s="19" t="s">
        <v>59</v>
      </c>
      <c r="I2530" s="19" t="s">
        <v>111</v>
      </c>
      <c r="J2530" s="20">
        <v>12</v>
      </c>
      <c r="K2530" s="34">
        <v>0</v>
      </c>
      <c r="L2530" s="34">
        <v>2</v>
      </c>
      <c r="M2530" s="19">
        <f>IF(OR(ISBLANK(C2530),C2530=""),"",ROUND((C2530-B2530)*24,2))</f>
        <v>14.02</v>
      </c>
      <c r="N2530" s="39" t="str">
        <f>IF(OR(ISBLANK(C2530),C2530="",M2530=""),"In Progress",IF(M2530&lt;=J2530,"Met","Breached"))</f>
        <v>Breached</v>
      </c>
    </row>
    <row r="2531" ht="19" customHeight="1" spans="1:14" x14ac:dyDescent="0.25">
      <c r="A2531" s="22" t="s">
        <v>2645</v>
      </c>
      <c r="B2531" s="36">
        <v>45878.19236111111</v>
      </c>
      <c r="C2531" s="36">
        <v>45879.15486111111</v>
      </c>
      <c r="D2531" s="22" t="s">
        <v>33</v>
      </c>
      <c r="E2531" s="22" t="s">
        <v>65</v>
      </c>
      <c r="F2531" s="22" t="s">
        <v>34</v>
      </c>
      <c r="G2531" s="22" t="s">
        <v>116</v>
      </c>
      <c r="H2531" s="22" t="s">
        <v>59</v>
      </c>
      <c r="I2531" s="22" t="s">
        <v>111</v>
      </c>
      <c r="J2531" s="23">
        <v>48</v>
      </c>
      <c r="K2531" s="37">
        <v>0</v>
      </c>
      <c r="L2531" s="37">
        <v>5</v>
      </c>
      <c r="M2531" s="22">
        <f>IF(OR(ISBLANK(C2531),C2531=""),"",ROUND((C2531-B2531)*24,2))</f>
        <v>23.1</v>
      </c>
      <c r="N2531" s="40" t="str">
        <f>IF(OR(ISBLANK(C2531),C2531="",M2531=""),"In Progress",IF(M2531&lt;=J2531,"Met","Breached"))</f>
        <v>Met</v>
      </c>
    </row>
    <row r="2532" ht="19" customHeight="1" spans="1:14" x14ac:dyDescent="0.25">
      <c r="A2532" s="19" t="s">
        <v>2646</v>
      </c>
      <c r="B2532" s="33">
        <v>46070.586111111115</v>
      </c>
      <c r="D2532" s="19" t="s">
        <v>39</v>
      </c>
      <c r="E2532" s="19" t="s">
        <v>65</v>
      </c>
      <c r="F2532" s="19" t="s">
        <v>43</v>
      </c>
      <c r="G2532" s="19" t="s">
        <v>63</v>
      </c>
      <c r="H2532" s="19" t="s">
        <v>59</v>
      </c>
      <c r="I2532" s="19" t="s">
        <v>108</v>
      </c>
      <c r="J2532" s="20">
        <v>48</v>
      </c>
      <c r="K2532" s="34">
        <v>0</v>
      </c>
      <c r="M2532" s="19" t="str">
        <f>IF(OR(ISBLANK(C2532),C2532=""),"",ROUND((C2532-B2532)*24,2))</f>
        <v/>
      </c>
      <c r="N2532" s="19" t="str">
        <f>IF(OR(ISBLANK(C2532),C2532="",M2532=""),"In Progress",IF(M2532&lt;=J2532,"Met","Breached"))</f>
        <v>In Progress</v>
      </c>
    </row>
    <row r="2533" ht="19" customHeight="1" spans="1:14" x14ac:dyDescent="0.25">
      <c r="A2533" s="22" t="s">
        <v>2647</v>
      </c>
      <c r="B2533" s="36">
        <v>46233.37847222222</v>
      </c>
      <c r="C2533" s="36">
        <v>46233.57291666667</v>
      </c>
      <c r="D2533" s="22" t="s">
        <v>33</v>
      </c>
      <c r="E2533" s="22" t="s">
        <v>57</v>
      </c>
      <c r="F2533" s="22" t="s">
        <v>45</v>
      </c>
      <c r="G2533" s="22" t="s">
        <v>113</v>
      </c>
      <c r="H2533" s="22" t="s">
        <v>63</v>
      </c>
      <c r="I2533" s="22" t="s">
        <v>108</v>
      </c>
      <c r="J2533" s="23">
        <v>4</v>
      </c>
      <c r="K2533" s="37">
        <v>0</v>
      </c>
      <c r="L2533" s="37">
        <v>2</v>
      </c>
      <c r="M2533" s="22">
        <f>IF(OR(ISBLANK(C2533),C2533=""),"",ROUND((C2533-B2533)*24,2))</f>
        <v>4.67</v>
      </c>
      <c r="N2533" s="38" t="str">
        <f>IF(OR(ISBLANK(C2533),C2533="",M2533=""),"In Progress",IF(M2533&lt;=J2533,"Met","Breached"))</f>
        <v>Breached</v>
      </c>
    </row>
    <row r="2534" ht="19" customHeight="1" spans="1:14" x14ac:dyDescent="0.25">
      <c r="A2534" s="19" t="s">
        <v>2648</v>
      </c>
      <c r="B2534" s="33">
        <v>45718.490277777775</v>
      </c>
      <c r="C2534" s="33">
        <v>45719.086111111115</v>
      </c>
      <c r="D2534" s="19" t="s">
        <v>33</v>
      </c>
      <c r="E2534" s="19" t="s">
        <v>61</v>
      </c>
      <c r="F2534" s="19" t="s">
        <v>34</v>
      </c>
      <c r="G2534" s="19" t="s">
        <v>110</v>
      </c>
      <c r="H2534" s="19" t="s">
        <v>59</v>
      </c>
      <c r="I2534" s="19" t="s">
        <v>123</v>
      </c>
      <c r="J2534" s="20">
        <v>12</v>
      </c>
      <c r="K2534" s="34">
        <v>0</v>
      </c>
      <c r="L2534" s="34">
        <v>4</v>
      </c>
      <c r="M2534" s="19">
        <f>IF(OR(ISBLANK(C2534),C2534=""),"",ROUND((C2534-B2534)*24,2))</f>
        <v>14.3</v>
      </c>
      <c r="N2534" s="39" t="str">
        <f>IF(OR(ISBLANK(C2534),C2534="",M2534=""),"In Progress",IF(M2534&lt;=J2534,"Met","Breached"))</f>
        <v>Breached</v>
      </c>
    </row>
    <row r="2535" ht="19" customHeight="1" spans="1:14" x14ac:dyDescent="0.25">
      <c r="A2535" s="22" t="s">
        <v>2649</v>
      </c>
      <c r="B2535" s="36">
        <v>45788.98055555555</v>
      </c>
      <c r="C2535" s="36">
        <v>45789.191666666666</v>
      </c>
      <c r="D2535" s="22" t="s">
        <v>33</v>
      </c>
      <c r="E2535" s="22" t="s">
        <v>61</v>
      </c>
      <c r="F2535" s="22" t="s">
        <v>43</v>
      </c>
      <c r="G2535" s="22" t="s">
        <v>116</v>
      </c>
      <c r="H2535" s="22" t="s">
        <v>59</v>
      </c>
      <c r="I2535" s="22" t="s">
        <v>108</v>
      </c>
      <c r="J2535" s="23">
        <v>12</v>
      </c>
      <c r="K2535" s="37">
        <v>0</v>
      </c>
      <c r="M2535" s="22">
        <f>IF(OR(ISBLANK(C2535),C2535=""),"",ROUND((C2535-B2535)*24,2))</f>
        <v>5.07</v>
      </c>
      <c r="N2535" s="40" t="str">
        <f>IF(OR(ISBLANK(C2535),C2535="",M2535=""),"In Progress",IF(M2535&lt;=J2535,"Met","Breached"))</f>
        <v>Met</v>
      </c>
    </row>
    <row r="2536" ht="19" customHeight="1" spans="1:14" x14ac:dyDescent="0.25">
      <c r="A2536" s="19" t="s">
        <v>2650</v>
      </c>
      <c r="B2536" s="33">
        <v>45784.18125</v>
      </c>
      <c r="D2536" s="19" t="s">
        <v>39</v>
      </c>
      <c r="E2536" s="19" t="s">
        <v>65</v>
      </c>
      <c r="F2536" s="19" t="s">
        <v>37</v>
      </c>
      <c r="G2536" s="19" t="s">
        <v>126</v>
      </c>
      <c r="H2536" s="19" t="s">
        <v>63</v>
      </c>
      <c r="I2536" s="19" t="s">
        <v>123</v>
      </c>
      <c r="J2536" s="20">
        <v>48</v>
      </c>
      <c r="K2536" s="34">
        <v>0</v>
      </c>
      <c r="M2536" s="19" t="str">
        <f>IF(OR(ISBLANK(C2536),C2536=""),"",ROUND((C2536-B2536)*24,2))</f>
        <v/>
      </c>
      <c r="N2536" s="19" t="str">
        <f>IF(OR(ISBLANK(C2536),C2536="",M2536=""),"In Progress",IF(M2536&lt;=J2536,"Met","Breached"))</f>
        <v>In Progress</v>
      </c>
    </row>
    <row r="2537" ht="19" customHeight="1" spans="1:14" x14ac:dyDescent="0.25">
      <c r="A2537" s="22" t="s">
        <v>2651</v>
      </c>
      <c r="B2537" s="36">
        <v>46049.63402777778</v>
      </c>
      <c r="C2537" s="36">
        <v>46051.736805555556</v>
      </c>
      <c r="D2537" s="22" t="s">
        <v>36</v>
      </c>
      <c r="E2537" s="22" t="s">
        <v>65</v>
      </c>
      <c r="F2537" s="22" t="s">
        <v>40</v>
      </c>
      <c r="G2537" s="22" t="s">
        <v>126</v>
      </c>
      <c r="H2537" s="22" t="s">
        <v>63</v>
      </c>
      <c r="I2537" s="22" t="s">
        <v>147</v>
      </c>
      <c r="J2537" s="23">
        <v>48</v>
      </c>
      <c r="K2537" s="37">
        <v>0</v>
      </c>
      <c r="L2537" s="37">
        <v>5</v>
      </c>
      <c r="M2537" s="22">
        <f>IF(OR(ISBLANK(C2537),C2537=""),"",ROUND((C2537-B2537)*24,2))</f>
        <v>50.47</v>
      </c>
      <c r="N2537" s="38" t="str">
        <f>IF(OR(ISBLANK(C2537),C2537="",M2537=""),"In Progress",IF(M2537&lt;=J2537,"Met","Breached"))</f>
        <v>Breached</v>
      </c>
    </row>
    <row r="2538" ht="19" customHeight="1" spans="1:14" x14ac:dyDescent="0.25">
      <c r="A2538" s="19" t="s">
        <v>2652</v>
      </c>
      <c r="B2538" s="33">
        <v>45694.981944444444</v>
      </c>
      <c r="C2538" s="33">
        <v>45696.51458333334</v>
      </c>
      <c r="D2538" s="19" t="s">
        <v>33</v>
      </c>
      <c r="E2538" s="19" t="s">
        <v>65</v>
      </c>
      <c r="F2538" s="19" t="s">
        <v>37</v>
      </c>
      <c r="G2538" s="19" t="s">
        <v>113</v>
      </c>
      <c r="H2538" s="19" t="s">
        <v>59</v>
      </c>
      <c r="I2538" s="19" t="s">
        <v>111</v>
      </c>
      <c r="J2538" s="20">
        <v>48</v>
      </c>
      <c r="K2538" s="34">
        <v>0</v>
      </c>
      <c r="L2538" s="34">
        <v>4</v>
      </c>
      <c r="M2538" s="19">
        <f>IF(OR(ISBLANK(C2538),C2538=""),"",ROUND((C2538-B2538)*24,2))</f>
        <v>36.78</v>
      </c>
      <c r="N2538" s="35" t="str">
        <f>IF(OR(ISBLANK(C2538),C2538="",M2538=""),"In Progress",IF(M2538&lt;=J2538,"Met","Breached"))</f>
        <v>Met</v>
      </c>
    </row>
    <row r="2539" ht="19" customHeight="1" spans="1:14" x14ac:dyDescent="0.25">
      <c r="A2539" s="22" t="s">
        <v>2653</v>
      </c>
      <c r="B2539" s="36">
        <v>45707.43402777778</v>
      </c>
      <c r="D2539" s="22" t="s">
        <v>39</v>
      </c>
      <c r="E2539" s="22" t="s">
        <v>69</v>
      </c>
      <c r="F2539" s="22" t="s">
        <v>45</v>
      </c>
      <c r="G2539" s="22" t="s">
        <v>113</v>
      </c>
      <c r="H2539" s="22" t="s">
        <v>67</v>
      </c>
      <c r="I2539" s="22" t="s">
        <v>111</v>
      </c>
      <c r="J2539" s="23">
        <v>120</v>
      </c>
      <c r="K2539" s="37">
        <v>0</v>
      </c>
      <c r="M2539" s="22" t="str">
        <f>IF(OR(ISBLANK(C2539),C2539=""),"",ROUND((C2539-B2539)*24,2))</f>
        <v/>
      </c>
      <c r="N2539" s="22" t="str">
        <f>IF(OR(ISBLANK(C2539),C2539="",M2539=""),"In Progress",IF(M2539&lt;=J2539,"Met","Breached"))</f>
        <v>In Progress</v>
      </c>
    </row>
    <row r="2540" ht="19" customHeight="1" spans="1:14" x14ac:dyDescent="0.25">
      <c r="A2540" s="19" t="s">
        <v>2654</v>
      </c>
      <c r="B2540" s="33">
        <v>46248.54513888889</v>
      </c>
      <c r="C2540" s="33">
        <v>46251.31388888889</v>
      </c>
      <c r="D2540" s="19" t="s">
        <v>33</v>
      </c>
      <c r="E2540" s="19" t="s">
        <v>65</v>
      </c>
      <c r="F2540" s="19" t="s">
        <v>40</v>
      </c>
      <c r="G2540" s="19" t="s">
        <v>116</v>
      </c>
      <c r="H2540" s="19" t="s">
        <v>67</v>
      </c>
      <c r="I2540" s="19" t="s">
        <v>111</v>
      </c>
      <c r="J2540" s="20">
        <v>48</v>
      </c>
      <c r="K2540" s="34">
        <v>0</v>
      </c>
      <c r="L2540" s="34">
        <v>1</v>
      </c>
      <c r="M2540" s="19">
        <f>IF(OR(ISBLANK(C2540),C2540=""),"",ROUND((C2540-B2540)*24,2))</f>
        <v>66.45</v>
      </c>
      <c r="N2540" s="39" t="str">
        <f>IF(OR(ISBLANK(C2540),C2540="",M2540=""),"In Progress",IF(M2540&lt;=J2540,"Met","Breached"))</f>
        <v>Breached</v>
      </c>
    </row>
    <row r="2541" ht="19" customHeight="1" spans="1:14" x14ac:dyDescent="0.25">
      <c r="A2541" s="22" t="s">
        <v>2655</v>
      </c>
      <c r="B2541" s="36">
        <v>45814.37986111111</v>
      </c>
      <c r="C2541" s="36">
        <v>45817.90069444444</v>
      </c>
      <c r="D2541" s="22" t="s">
        <v>33</v>
      </c>
      <c r="E2541" s="22" t="s">
        <v>65</v>
      </c>
      <c r="F2541" s="22" t="s">
        <v>43</v>
      </c>
      <c r="G2541" s="22" t="s">
        <v>63</v>
      </c>
      <c r="H2541" s="22" t="s">
        <v>71</v>
      </c>
      <c r="I2541" s="22" t="s">
        <v>108</v>
      </c>
      <c r="J2541" s="23">
        <v>48</v>
      </c>
      <c r="K2541" s="37">
        <v>0</v>
      </c>
      <c r="M2541" s="22">
        <f>IF(OR(ISBLANK(C2541),C2541=""),"",ROUND((C2541-B2541)*24,2))</f>
        <v>84.5</v>
      </c>
      <c r="N2541" s="38" t="str">
        <f>IF(OR(ISBLANK(C2541),C2541="",M2541=""),"In Progress",IF(M2541&lt;=J2541,"Met","Breached"))</f>
        <v>Breached</v>
      </c>
    </row>
    <row r="2542" ht="19" customHeight="1" spans="1:14" x14ac:dyDescent="0.25">
      <c r="A2542" s="19" t="s">
        <v>2656</v>
      </c>
      <c r="B2542" s="33">
        <v>46280.60416666667</v>
      </c>
      <c r="C2542" s="33">
        <v>46280.785416666666</v>
      </c>
      <c r="D2542" s="19" t="s">
        <v>33</v>
      </c>
      <c r="E2542" s="19" t="s">
        <v>61</v>
      </c>
      <c r="F2542" s="19" t="s">
        <v>34</v>
      </c>
      <c r="G2542" s="19" t="s">
        <v>126</v>
      </c>
      <c r="H2542" s="19" t="s">
        <v>59</v>
      </c>
      <c r="I2542" s="19" t="s">
        <v>117</v>
      </c>
      <c r="J2542" s="20">
        <v>12</v>
      </c>
      <c r="K2542" s="34">
        <v>0</v>
      </c>
      <c r="L2542" s="34">
        <v>3</v>
      </c>
      <c r="M2542" s="19">
        <f>IF(OR(ISBLANK(C2542),C2542=""),"",ROUND((C2542-B2542)*24,2))</f>
        <v>4.35</v>
      </c>
      <c r="N2542" s="35" t="str">
        <f>IF(OR(ISBLANK(C2542),C2542="",M2542=""),"In Progress",IF(M2542&lt;=J2542,"Met","Breached"))</f>
        <v>Met</v>
      </c>
    </row>
    <row r="2543" ht="19" customHeight="1" spans="1:14" x14ac:dyDescent="0.25">
      <c r="A2543" s="22" t="s">
        <v>2657</v>
      </c>
      <c r="B2543" s="36">
        <v>46074.02847222222</v>
      </c>
      <c r="C2543" s="36">
        <v>46074.88333333333</v>
      </c>
      <c r="D2543" s="22" t="s">
        <v>33</v>
      </c>
      <c r="E2543" s="22" t="s">
        <v>65</v>
      </c>
      <c r="F2543" s="22" t="s">
        <v>43</v>
      </c>
      <c r="G2543" s="22" t="s">
        <v>121</v>
      </c>
      <c r="H2543" s="22" t="s">
        <v>63</v>
      </c>
      <c r="I2543" s="22" t="s">
        <v>111</v>
      </c>
      <c r="J2543" s="23">
        <v>48</v>
      </c>
      <c r="K2543" s="37">
        <v>0</v>
      </c>
      <c r="M2543" s="22">
        <f>IF(OR(ISBLANK(C2543),C2543=""),"",ROUND((C2543-B2543)*24,2))</f>
        <v>20.52</v>
      </c>
      <c r="N2543" s="40" t="str">
        <f>IF(OR(ISBLANK(C2543),C2543="",M2543=""),"In Progress",IF(M2543&lt;=J2543,"Met","Breached"))</f>
        <v>Met</v>
      </c>
    </row>
    <row r="2544" ht="19" customHeight="1" spans="1:14" x14ac:dyDescent="0.25">
      <c r="A2544" s="19" t="s">
        <v>2658</v>
      </c>
      <c r="B2544" s="33">
        <v>45858.12222222222</v>
      </c>
      <c r="C2544" s="33">
        <v>45858.882638888885</v>
      </c>
      <c r="D2544" s="19" t="s">
        <v>33</v>
      </c>
      <c r="E2544" s="19" t="s">
        <v>65</v>
      </c>
      <c r="F2544" s="19" t="s">
        <v>34</v>
      </c>
      <c r="G2544" s="19" t="s">
        <v>110</v>
      </c>
      <c r="H2544" s="19" t="s">
        <v>59</v>
      </c>
      <c r="I2544" s="19" t="s">
        <v>117</v>
      </c>
      <c r="J2544" s="20">
        <v>48</v>
      </c>
      <c r="K2544" s="34">
        <v>0</v>
      </c>
      <c r="L2544" s="34">
        <v>3</v>
      </c>
      <c r="M2544" s="19">
        <f>IF(OR(ISBLANK(C2544),C2544=""),"",ROUND((C2544-B2544)*24,2))</f>
        <v>18.25</v>
      </c>
      <c r="N2544" s="35" t="str">
        <f>IF(OR(ISBLANK(C2544),C2544="",M2544=""),"In Progress",IF(M2544&lt;=J2544,"Met","Breached"))</f>
        <v>Met</v>
      </c>
    </row>
    <row r="2545" ht="19" customHeight="1" spans="1:14" x14ac:dyDescent="0.25">
      <c r="A2545" s="22" t="s">
        <v>2659</v>
      </c>
      <c r="B2545" s="36">
        <v>45724.37569444445</v>
      </c>
      <c r="C2545" s="36">
        <v>45726.82986111111</v>
      </c>
      <c r="D2545" s="22" t="s">
        <v>33</v>
      </c>
      <c r="E2545" s="22" t="s">
        <v>65</v>
      </c>
      <c r="F2545" s="22" t="s">
        <v>34</v>
      </c>
      <c r="G2545" s="22" t="s">
        <v>63</v>
      </c>
      <c r="H2545" s="22" t="s">
        <v>67</v>
      </c>
      <c r="I2545" s="22" t="s">
        <v>117</v>
      </c>
      <c r="J2545" s="23">
        <v>48</v>
      </c>
      <c r="K2545" s="37">
        <v>0</v>
      </c>
      <c r="L2545" s="37">
        <v>5</v>
      </c>
      <c r="M2545" s="22">
        <f>IF(OR(ISBLANK(C2545),C2545=""),"",ROUND((C2545-B2545)*24,2))</f>
        <v>58.9</v>
      </c>
      <c r="N2545" s="38" t="str">
        <f>IF(OR(ISBLANK(C2545),C2545="",M2545=""),"In Progress",IF(M2545&lt;=J2545,"Met","Breached"))</f>
        <v>Breached</v>
      </c>
    </row>
    <row r="2546" ht="19" customHeight="1" spans="1:14" x14ac:dyDescent="0.25">
      <c r="A2546" s="19" t="s">
        <v>2660</v>
      </c>
      <c r="B2546" s="33">
        <v>45927.709027777775</v>
      </c>
      <c r="C2546" s="33">
        <v>45930.59722222222</v>
      </c>
      <c r="D2546" s="19" t="s">
        <v>36</v>
      </c>
      <c r="E2546" s="19" t="s">
        <v>65</v>
      </c>
      <c r="F2546" s="19" t="s">
        <v>40</v>
      </c>
      <c r="G2546" s="19" t="s">
        <v>110</v>
      </c>
      <c r="H2546" s="19" t="s">
        <v>59</v>
      </c>
      <c r="I2546" s="19" t="s">
        <v>123</v>
      </c>
      <c r="J2546" s="20">
        <v>48</v>
      </c>
      <c r="K2546" s="34">
        <v>0</v>
      </c>
      <c r="L2546" s="34">
        <v>2</v>
      </c>
      <c r="M2546" s="19">
        <f>IF(OR(ISBLANK(C2546),C2546=""),"",ROUND((C2546-B2546)*24,2))</f>
        <v>69.32</v>
      </c>
      <c r="N2546" s="39" t="str">
        <f>IF(OR(ISBLANK(C2546),C2546="",M2546=""),"In Progress",IF(M2546&lt;=J2546,"Met","Breached"))</f>
        <v>Breached</v>
      </c>
    </row>
    <row r="2547" ht="19" customHeight="1" spans="1:14" x14ac:dyDescent="0.25">
      <c r="A2547" s="22" t="s">
        <v>2661</v>
      </c>
      <c r="B2547" s="36">
        <v>45886.30347222222</v>
      </c>
      <c r="C2547" s="36">
        <v>45887.45347222222</v>
      </c>
      <c r="D2547" s="22" t="s">
        <v>36</v>
      </c>
      <c r="E2547" s="22" t="s">
        <v>65</v>
      </c>
      <c r="F2547" s="22" t="s">
        <v>34</v>
      </c>
      <c r="G2547" s="22" t="s">
        <v>110</v>
      </c>
      <c r="H2547" s="22" t="s">
        <v>63</v>
      </c>
      <c r="I2547" s="22" t="s">
        <v>123</v>
      </c>
      <c r="J2547" s="23">
        <v>48</v>
      </c>
      <c r="K2547" s="37">
        <v>0</v>
      </c>
      <c r="L2547" s="37">
        <v>2</v>
      </c>
      <c r="M2547" s="22">
        <f>IF(OR(ISBLANK(C2547),C2547=""),"",ROUND((C2547-B2547)*24,2))</f>
        <v>27.6</v>
      </c>
      <c r="N2547" s="40" t="str">
        <f>IF(OR(ISBLANK(C2547),C2547="",M2547=""),"In Progress",IF(M2547&lt;=J2547,"Met","Breached"))</f>
        <v>Met</v>
      </c>
    </row>
    <row r="2548" ht="19" customHeight="1" spans="1:14" x14ac:dyDescent="0.25">
      <c r="A2548" s="19" t="s">
        <v>2662</v>
      </c>
      <c r="B2548" s="33">
        <v>46134.775</v>
      </c>
      <c r="C2548" s="33">
        <v>46136.89097222222</v>
      </c>
      <c r="D2548" s="19" t="s">
        <v>36</v>
      </c>
      <c r="E2548" s="19" t="s">
        <v>69</v>
      </c>
      <c r="F2548" s="19" t="s">
        <v>34</v>
      </c>
      <c r="G2548" s="19" t="s">
        <v>126</v>
      </c>
      <c r="H2548" s="19" t="s">
        <v>71</v>
      </c>
      <c r="I2548" s="19" t="s">
        <v>114</v>
      </c>
      <c r="J2548" s="20">
        <v>120</v>
      </c>
      <c r="K2548" s="34">
        <v>0</v>
      </c>
      <c r="L2548" s="34">
        <v>3</v>
      </c>
      <c r="M2548" s="19">
        <f>IF(OR(ISBLANK(C2548),C2548=""),"",ROUND((C2548-B2548)*24,2))</f>
        <v>50.78</v>
      </c>
      <c r="N2548" s="35" t="str">
        <f>IF(OR(ISBLANK(C2548),C2548="",M2548=""),"In Progress",IF(M2548&lt;=J2548,"Met","Breached"))</f>
        <v>Met</v>
      </c>
    </row>
    <row r="2549" ht="19" customHeight="1" spans="1:14" x14ac:dyDescent="0.25">
      <c r="A2549" s="22" t="s">
        <v>2663</v>
      </c>
      <c r="B2549" s="36">
        <v>45795.48333333334</v>
      </c>
      <c r="D2549" s="22" t="s">
        <v>39</v>
      </c>
      <c r="E2549" s="22" t="s">
        <v>65</v>
      </c>
      <c r="F2549" s="22" t="s">
        <v>40</v>
      </c>
      <c r="G2549" s="22" t="s">
        <v>113</v>
      </c>
      <c r="H2549" s="22" t="s">
        <v>63</v>
      </c>
      <c r="I2549" s="22" t="s">
        <v>123</v>
      </c>
      <c r="J2549" s="23">
        <v>48</v>
      </c>
      <c r="K2549" s="37">
        <v>0</v>
      </c>
      <c r="M2549" s="22" t="str">
        <f>IF(OR(ISBLANK(C2549),C2549=""),"",ROUND((C2549-B2549)*24,2))</f>
        <v/>
      </c>
      <c r="N2549" s="22" t="str">
        <f>IF(OR(ISBLANK(C2549),C2549="",M2549=""),"In Progress",IF(M2549&lt;=J2549,"Met","Breached"))</f>
        <v>In Progress</v>
      </c>
    </row>
    <row r="2550" ht="19" customHeight="1" spans="1:14" x14ac:dyDescent="0.25">
      <c r="A2550" s="19" t="s">
        <v>2664</v>
      </c>
      <c r="B2550" s="33">
        <v>46216.07083333333</v>
      </c>
      <c r="C2550" s="33">
        <v>46216.3125</v>
      </c>
      <c r="D2550" s="19" t="s">
        <v>33</v>
      </c>
      <c r="E2550" s="19" t="s">
        <v>57</v>
      </c>
      <c r="F2550" s="19" t="s">
        <v>34</v>
      </c>
      <c r="G2550" s="19" t="s">
        <v>113</v>
      </c>
      <c r="H2550" s="19" t="s">
        <v>59</v>
      </c>
      <c r="I2550" s="19" t="s">
        <v>147</v>
      </c>
      <c r="J2550" s="20">
        <v>4</v>
      </c>
      <c r="K2550" s="34">
        <v>1</v>
      </c>
      <c r="L2550" s="34">
        <v>3</v>
      </c>
      <c r="M2550" s="19">
        <f>IF(OR(ISBLANK(C2550),C2550=""),"",ROUND((C2550-B2550)*24,2))</f>
        <v>5.8</v>
      </c>
      <c r="N2550" s="39" t="str">
        <f>IF(OR(ISBLANK(C2550),C2550="",M2550=""),"In Progress",IF(M2550&lt;=J2550,"Met","Breached"))</f>
        <v>Breached</v>
      </c>
    </row>
    <row r="2551" ht="19" customHeight="1" spans="1:14" x14ac:dyDescent="0.25">
      <c r="A2551" s="22" t="s">
        <v>2665</v>
      </c>
      <c r="B2551" s="36">
        <v>45810.736805555556</v>
      </c>
      <c r="C2551" s="36">
        <v>45817.006944444445</v>
      </c>
      <c r="D2551" s="22" t="s">
        <v>36</v>
      </c>
      <c r="E2551" s="22" t="s">
        <v>69</v>
      </c>
      <c r="F2551" s="22" t="s">
        <v>43</v>
      </c>
      <c r="G2551" s="22" t="s">
        <v>113</v>
      </c>
      <c r="H2551" s="22" t="s">
        <v>67</v>
      </c>
      <c r="I2551" s="22" t="s">
        <v>108</v>
      </c>
      <c r="J2551" s="23">
        <v>120</v>
      </c>
      <c r="K2551" s="37">
        <v>0</v>
      </c>
      <c r="L2551" s="37">
        <v>3</v>
      </c>
      <c r="M2551" s="22">
        <f>IF(OR(ISBLANK(C2551),C2551=""),"",ROUND((C2551-B2551)*24,2))</f>
        <v>150.48</v>
      </c>
      <c r="N2551" s="38" t="str">
        <f>IF(OR(ISBLANK(C2551),C2551="",M2551=""),"In Progress",IF(M2551&lt;=J2551,"Met","Breached"))</f>
        <v>Breached</v>
      </c>
    </row>
    <row r="2552" ht="19" customHeight="1" spans="1:14" x14ac:dyDescent="0.25">
      <c r="A2552" s="19" t="s">
        <v>2666</v>
      </c>
      <c r="B2552" s="33">
        <v>45873.131944444445</v>
      </c>
      <c r="D2552" s="19" t="s">
        <v>39</v>
      </c>
      <c r="E2552" s="19" t="s">
        <v>65</v>
      </c>
      <c r="F2552" s="19" t="s">
        <v>43</v>
      </c>
      <c r="G2552" s="19" t="s">
        <v>63</v>
      </c>
      <c r="H2552" s="19" t="s">
        <v>63</v>
      </c>
      <c r="I2552" s="19" t="s">
        <v>108</v>
      </c>
      <c r="J2552" s="20">
        <v>48</v>
      </c>
      <c r="K2552" s="34">
        <v>0</v>
      </c>
      <c r="M2552" s="19" t="str">
        <f>IF(OR(ISBLANK(C2552),C2552=""),"",ROUND((C2552-B2552)*24,2))</f>
        <v/>
      </c>
      <c r="N2552" s="19" t="str">
        <f>IF(OR(ISBLANK(C2552),C2552="",M2552=""),"In Progress",IF(M2552&lt;=J2552,"Met","Breached"))</f>
        <v>In Progress</v>
      </c>
    </row>
    <row r="2553" ht="19" customHeight="1" spans="1:14" x14ac:dyDescent="0.25">
      <c r="A2553" s="22" t="s">
        <v>2667</v>
      </c>
      <c r="B2553" s="36">
        <v>45704.80902777778</v>
      </c>
      <c r="C2553" s="36">
        <v>45704.981944444444</v>
      </c>
      <c r="D2553" s="22" t="s">
        <v>33</v>
      </c>
      <c r="E2553" s="22" t="s">
        <v>57</v>
      </c>
      <c r="F2553" s="22" t="s">
        <v>37</v>
      </c>
      <c r="G2553" s="22" t="s">
        <v>121</v>
      </c>
      <c r="H2553" s="22" t="s">
        <v>59</v>
      </c>
      <c r="I2553" s="22" t="s">
        <v>123</v>
      </c>
      <c r="J2553" s="23">
        <v>4</v>
      </c>
      <c r="K2553" s="37">
        <v>0</v>
      </c>
      <c r="L2553" s="37">
        <v>5</v>
      </c>
      <c r="M2553" s="22">
        <f>IF(OR(ISBLANK(C2553),C2553=""),"",ROUND((C2553-B2553)*24,2))</f>
        <v>4.15</v>
      </c>
      <c r="N2553" s="38" t="str">
        <f>IF(OR(ISBLANK(C2553),C2553="",M2553=""),"In Progress",IF(M2553&lt;=J2553,"Met","Breached"))</f>
        <v>Breached</v>
      </c>
    </row>
    <row r="2554" ht="19" customHeight="1" spans="1:14" x14ac:dyDescent="0.25">
      <c r="A2554" s="19" t="s">
        <v>2668</v>
      </c>
      <c r="B2554" s="33">
        <v>45880.34722222222</v>
      </c>
      <c r="D2554" s="19" t="s">
        <v>39</v>
      </c>
      <c r="E2554" s="19" t="s">
        <v>61</v>
      </c>
      <c r="F2554" s="19" t="s">
        <v>34</v>
      </c>
      <c r="G2554" s="19" t="s">
        <v>110</v>
      </c>
      <c r="H2554" s="19" t="s">
        <v>59</v>
      </c>
      <c r="I2554" s="19" t="s">
        <v>147</v>
      </c>
      <c r="J2554" s="20">
        <v>12</v>
      </c>
      <c r="K2554" s="34">
        <v>0</v>
      </c>
      <c r="M2554" s="19" t="str">
        <f>IF(OR(ISBLANK(C2554),C2554=""),"",ROUND((C2554-B2554)*24,2))</f>
        <v/>
      </c>
      <c r="N2554" s="19" t="str">
        <f>IF(OR(ISBLANK(C2554),C2554="",M2554=""),"In Progress",IF(M2554&lt;=J2554,"Met","Breached"))</f>
        <v>In Progress</v>
      </c>
    </row>
    <row r="2555" ht="19" customHeight="1" spans="1:14" x14ac:dyDescent="0.25">
      <c r="A2555" s="22" t="s">
        <v>2669</v>
      </c>
      <c r="B2555" s="36">
        <v>45926.518055555556</v>
      </c>
      <c r="C2555" s="36">
        <v>45927.55347222222</v>
      </c>
      <c r="D2555" s="22" t="s">
        <v>33</v>
      </c>
      <c r="E2555" s="22" t="s">
        <v>65</v>
      </c>
      <c r="F2555" s="22" t="s">
        <v>43</v>
      </c>
      <c r="G2555" s="22" t="s">
        <v>113</v>
      </c>
      <c r="H2555" s="22" t="s">
        <v>63</v>
      </c>
      <c r="I2555" s="22" t="s">
        <v>147</v>
      </c>
      <c r="J2555" s="23">
        <v>48</v>
      </c>
      <c r="K2555" s="37">
        <v>0</v>
      </c>
      <c r="L2555" s="37">
        <v>2</v>
      </c>
      <c r="M2555" s="22">
        <f>IF(OR(ISBLANK(C2555),C2555=""),"",ROUND((C2555-B2555)*24,2))</f>
        <v>24.85</v>
      </c>
      <c r="N2555" s="40" t="str">
        <f>IF(OR(ISBLANK(C2555),C2555="",M2555=""),"In Progress",IF(M2555&lt;=J2555,"Met","Breached"))</f>
        <v>Met</v>
      </c>
    </row>
    <row r="2556" ht="19" customHeight="1" spans="1:14" x14ac:dyDescent="0.25">
      <c r="A2556" s="19" t="s">
        <v>2670</v>
      </c>
      <c r="B2556" s="33">
        <v>46205.288888888885</v>
      </c>
      <c r="C2556" s="33">
        <v>46208.29513888889</v>
      </c>
      <c r="D2556" s="19" t="s">
        <v>33</v>
      </c>
      <c r="E2556" s="19" t="s">
        <v>65</v>
      </c>
      <c r="F2556" s="19" t="s">
        <v>43</v>
      </c>
      <c r="G2556" s="19" t="s">
        <v>63</v>
      </c>
      <c r="H2556" s="19" t="s">
        <v>59</v>
      </c>
      <c r="I2556" s="19" t="s">
        <v>147</v>
      </c>
      <c r="J2556" s="20">
        <v>48</v>
      </c>
      <c r="K2556" s="34">
        <v>0</v>
      </c>
      <c r="L2556" s="34">
        <v>1</v>
      </c>
      <c r="M2556" s="19">
        <f>IF(OR(ISBLANK(C2556),C2556=""),"",ROUND((C2556-B2556)*24,2))</f>
        <v>72.15</v>
      </c>
      <c r="N2556" s="39" t="str">
        <f>IF(OR(ISBLANK(C2556),C2556="",M2556=""),"In Progress",IF(M2556&lt;=J2556,"Met","Breached"))</f>
        <v>Breached</v>
      </c>
    </row>
    <row r="2557" ht="19" customHeight="1" spans="1:14" x14ac:dyDescent="0.25">
      <c r="A2557" s="22" t="s">
        <v>2671</v>
      </c>
      <c r="B2557" s="36">
        <v>45844.01180555555</v>
      </c>
      <c r="C2557" s="36">
        <v>45846.0625</v>
      </c>
      <c r="D2557" s="22" t="s">
        <v>36</v>
      </c>
      <c r="E2557" s="22" t="s">
        <v>69</v>
      </c>
      <c r="F2557" s="22" t="s">
        <v>34</v>
      </c>
      <c r="G2557" s="22" t="s">
        <v>116</v>
      </c>
      <c r="H2557" s="22" t="s">
        <v>63</v>
      </c>
      <c r="I2557" s="22" t="s">
        <v>147</v>
      </c>
      <c r="J2557" s="23">
        <v>120</v>
      </c>
      <c r="K2557" s="37">
        <v>0</v>
      </c>
      <c r="L2557" s="37">
        <v>1</v>
      </c>
      <c r="M2557" s="22">
        <f>IF(OR(ISBLANK(C2557),C2557=""),"",ROUND((C2557-B2557)*24,2))</f>
        <v>49.22</v>
      </c>
      <c r="N2557" s="40" t="str">
        <f>IF(OR(ISBLANK(C2557),C2557="",M2557=""),"In Progress",IF(M2557&lt;=J2557,"Met","Breached"))</f>
        <v>Met</v>
      </c>
    </row>
    <row r="2558" ht="19" customHeight="1" spans="1:14" x14ac:dyDescent="0.25">
      <c r="A2558" s="19" t="s">
        <v>2672</v>
      </c>
      <c r="B2558" s="33">
        <v>46114.67916666667</v>
      </c>
      <c r="C2558" s="33">
        <v>46115.09861111111</v>
      </c>
      <c r="D2558" s="19" t="s">
        <v>33</v>
      </c>
      <c r="E2558" s="19" t="s">
        <v>61</v>
      </c>
      <c r="F2558" s="19" t="s">
        <v>37</v>
      </c>
      <c r="G2558" s="19" t="s">
        <v>116</v>
      </c>
      <c r="H2558" s="19" t="s">
        <v>67</v>
      </c>
      <c r="I2558" s="19" t="s">
        <v>111</v>
      </c>
      <c r="J2558" s="20">
        <v>12</v>
      </c>
      <c r="K2558" s="34">
        <v>0</v>
      </c>
      <c r="M2558" s="19">
        <f>IF(OR(ISBLANK(C2558),C2558=""),"",ROUND((C2558-B2558)*24,2))</f>
        <v>10.07</v>
      </c>
      <c r="N2558" s="35" t="str">
        <f>IF(OR(ISBLANK(C2558),C2558="",M2558=""),"In Progress",IF(M2558&lt;=J2558,"Met","Breached"))</f>
        <v>Met</v>
      </c>
    </row>
    <row r="2559" ht="19" customHeight="1" spans="1:14" x14ac:dyDescent="0.25">
      <c r="A2559" s="22" t="s">
        <v>2673</v>
      </c>
      <c r="B2559" s="36">
        <v>46086.48611111111</v>
      </c>
      <c r="C2559" s="36">
        <v>46094.34444444445</v>
      </c>
      <c r="D2559" s="22" t="s">
        <v>36</v>
      </c>
      <c r="E2559" s="22" t="s">
        <v>69</v>
      </c>
      <c r="F2559" s="22" t="s">
        <v>45</v>
      </c>
      <c r="G2559" s="22" t="s">
        <v>126</v>
      </c>
      <c r="H2559" s="22" t="s">
        <v>59</v>
      </c>
      <c r="I2559" s="22" t="s">
        <v>111</v>
      </c>
      <c r="J2559" s="23">
        <v>120</v>
      </c>
      <c r="K2559" s="37">
        <v>0</v>
      </c>
      <c r="L2559" s="37">
        <v>1</v>
      </c>
      <c r="M2559" s="22">
        <f>IF(OR(ISBLANK(C2559),C2559=""),"",ROUND((C2559-B2559)*24,2))</f>
        <v>188.6</v>
      </c>
      <c r="N2559" s="38" t="str">
        <f>IF(OR(ISBLANK(C2559),C2559="",M2559=""),"In Progress",IF(M2559&lt;=J2559,"Met","Breached"))</f>
        <v>Breached</v>
      </c>
    </row>
    <row r="2560" ht="19" customHeight="1" spans="1:14" x14ac:dyDescent="0.25">
      <c r="A2560" s="19" t="s">
        <v>2674</v>
      </c>
      <c r="B2560" s="33">
        <v>45759.7875</v>
      </c>
      <c r="C2560" s="33">
        <v>45761.59583333333</v>
      </c>
      <c r="D2560" s="19" t="s">
        <v>33</v>
      </c>
      <c r="E2560" s="19" t="s">
        <v>65</v>
      </c>
      <c r="F2560" s="19" t="s">
        <v>43</v>
      </c>
      <c r="G2560" s="19" t="s">
        <v>126</v>
      </c>
      <c r="H2560" s="19" t="s">
        <v>59</v>
      </c>
      <c r="I2560" s="19" t="s">
        <v>117</v>
      </c>
      <c r="J2560" s="20">
        <v>48</v>
      </c>
      <c r="K2560" s="34">
        <v>0</v>
      </c>
      <c r="L2560" s="34">
        <v>1</v>
      </c>
      <c r="M2560" s="19">
        <f>IF(OR(ISBLANK(C2560),C2560=""),"",ROUND((C2560-B2560)*24,2))</f>
        <v>43.4</v>
      </c>
      <c r="N2560" s="35" t="str">
        <f>IF(OR(ISBLANK(C2560),C2560="",M2560=""),"In Progress",IF(M2560&lt;=J2560,"Met","Breached"))</f>
        <v>Met</v>
      </c>
    </row>
    <row r="2561" ht="19" customHeight="1" spans="1:14" x14ac:dyDescent="0.25">
      <c r="A2561" s="22" t="s">
        <v>2675</v>
      </c>
      <c r="B2561" s="36">
        <v>45917.35486111111</v>
      </c>
      <c r="C2561" s="36">
        <v>45919.36319444445</v>
      </c>
      <c r="D2561" s="22" t="s">
        <v>33</v>
      </c>
      <c r="E2561" s="22" t="s">
        <v>65</v>
      </c>
      <c r="F2561" s="22" t="s">
        <v>40</v>
      </c>
      <c r="G2561" s="22" t="s">
        <v>63</v>
      </c>
      <c r="H2561" s="22" t="s">
        <v>63</v>
      </c>
      <c r="I2561" s="22" t="s">
        <v>123</v>
      </c>
      <c r="J2561" s="23">
        <v>48</v>
      </c>
      <c r="K2561" s="37">
        <v>0</v>
      </c>
      <c r="L2561" s="37">
        <v>2</v>
      </c>
      <c r="M2561" s="22">
        <f>IF(OR(ISBLANK(C2561),C2561=""),"",ROUND((C2561-B2561)*24,2))</f>
        <v>48.2</v>
      </c>
      <c r="N2561" s="38" t="str">
        <f>IF(OR(ISBLANK(C2561),C2561="",M2561=""),"In Progress",IF(M2561&lt;=J2561,"Met","Breached"))</f>
        <v>Breached</v>
      </c>
    </row>
    <row r="2562" ht="19" customHeight="1" spans="1:14" x14ac:dyDescent="0.25">
      <c r="A2562" s="19" t="s">
        <v>2676</v>
      </c>
      <c r="B2562" s="33">
        <v>45986.13055555556</v>
      </c>
      <c r="C2562" s="33">
        <v>45989.231944444444</v>
      </c>
      <c r="D2562" s="19" t="s">
        <v>36</v>
      </c>
      <c r="E2562" s="19" t="s">
        <v>65</v>
      </c>
      <c r="F2562" s="19" t="s">
        <v>45</v>
      </c>
      <c r="G2562" s="19" t="s">
        <v>126</v>
      </c>
      <c r="H2562" s="19" t="s">
        <v>71</v>
      </c>
      <c r="I2562" s="19" t="s">
        <v>114</v>
      </c>
      <c r="J2562" s="20">
        <v>48</v>
      </c>
      <c r="K2562" s="34">
        <v>0</v>
      </c>
      <c r="M2562" s="19">
        <f>IF(OR(ISBLANK(C2562),C2562=""),"",ROUND((C2562-B2562)*24,2))</f>
        <v>74.43</v>
      </c>
      <c r="N2562" s="39" t="str">
        <f>IF(OR(ISBLANK(C2562),C2562="",M2562=""),"In Progress",IF(M2562&lt;=J2562,"Met","Breached"))</f>
        <v>Breached</v>
      </c>
    </row>
    <row r="2563" ht="19" customHeight="1" spans="1:14" x14ac:dyDescent="0.25">
      <c r="A2563" s="22" t="s">
        <v>2677</v>
      </c>
      <c r="B2563" s="36">
        <v>45904.9375</v>
      </c>
      <c r="C2563" s="36">
        <v>45905.52013888889</v>
      </c>
      <c r="D2563" s="22" t="s">
        <v>33</v>
      </c>
      <c r="E2563" s="22" t="s">
        <v>61</v>
      </c>
      <c r="F2563" s="22" t="s">
        <v>45</v>
      </c>
      <c r="G2563" s="22" t="s">
        <v>116</v>
      </c>
      <c r="H2563" s="22" t="s">
        <v>59</v>
      </c>
      <c r="I2563" s="22" t="s">
        <v>123</v>
      </c>
      <c r="J2563" s="23">
        <v>12</v>
      </c>
      <c r="K2563" s="37">
        <v>0</v>
      </c>
      <c r="L2563" s="37">
        <v>2</v>
      </c>
      <c r="M2563" s="22">
        <f>IF(OR(ISBLANK(C2563),C2563=""),"",ROUND((C2563-B2563)*24,2))</f>
        <v>13.98</v>
      </c>
      <c r="N2563" s="38" t="str">
        <f>IF(OR(ISBLANK(C2563),C2563="",M2563=""),"In Progress",IF(M2563&lt;=J2563,"Met","Breached"))</f>
        <v>Breached</v>
      </c>
    </row>
    <row r="2564" ht="19" customHeight="1" spans="1:14" x14ac:dyDescent="0.25">
      <c r="A2564" s="19" t="s">
        <v>2678</v>
      </c>
      <c r="B2564" s="33">
        <v>46178.76666666666</v>
      </c>
      <c r="C2564" s="33">
        <v>46183.89375</v>
      </c>
      <c r="D2564" s="19" t="s">
        <v>33</v>
      </c>
      <c r="E2564" s="19" t="s">
        <v>69</v>
      </c>
      <c r="F2564" s="19" t="s">
        <v>37</v>
      </c>
      <c r="G2564" s="19" t="s">
        <v>110</v>
      </c>
      <c r="H2564" s="19" t="s">
        <v>59</v>
      </c>
      <c r="I2564" s="19" t="s">
        <v>117</v>
      </c>
      <c r="J2564" s="20">
        <v>120</v>
      </c>
      <c r="K2564" s="34">
        <v>1</v>
      </c>
      <c r="L2564" s="34">
        <v>5</v>
      </c>
      <c r="M2564" s="19">
        <f>IF(OR(ISBLANK(C2564),C2564=""),"",ROUND((C2564-B2564)*24,2))</f>
        <v>123.05</v>
      </c>
      <c r="N2564" s="39" t="str">
        <f>IF(OR(ISBLANK(C2564),C2564="",M2564=""),"In Progress",IF(M2564&lt;=J2564,"Met","Breached"))</f>
        <v>Breached</v>
      </c>
    </row>
    <row r="2565" ht="19" customHeight="1" spans="1:14" x14ac:dyDescent="0.25">
      <c r="A2565" s="22" t="s">
        <v>2679</v>
      </c>
      <c r="B2565" s="36">
        <v>45858.77222222222</v>
      </c>
      <c r="C2565" s="36">
        <v>45858.992361111115</v>
      </c>
      <c r="D2565" s="22" t="s">
        <v>33</v>
      </c>
      <c r="E2565" s="22" t="s">
        <v>57</v>
      </c>
      <c r="F2565" s="22" t="s">
        <v>34</v>
      </c>
      <c r="G2565" s="22" t="s">
        <v>116</v>
      </c>
      <c r="H2565" s="22" t="s">
        <v>63</v>
      </c>
      <c r="I2565" s="22" t="s">
        <v>111</v>
      </c>
      <c r="J2565" s="23">
        <v>4</v>
      </c>
      <c r="K2565" s="37">
        <v>0</v>
      </c>
      <c r="L2565" s="37">
        <v>3</v>
      </c>
      <c r="M2565" s="22">
        <f>IF(OR(ISBLANK(C2565),C2565=""),"",ROUND((C2565-B2565)*24,2))</f>
        <v>5.28</v>
      </c>
      <c r="N2565" s="38" t="str">
        <f>IF(OR(ISBLANK(C2565),C2565="",M2565=""),"In Progress",IF(M2565&lt;=J2565,"Met","Breached"))</f>
        <v>Breached</v>
      </c>
    </row>
    <row r="2566" ht="19" customHeight="1" spans="1:14" x14ac:dyDescent="0.25">
      <c r="A2566" s="19" t="s">
        <v>2680</v>
      </c>
      <c r="B2566" s="33">
        <v>45838.95277777778</v>
      </c>
      <c r="D2566" s="19" t="s">
        <v>42</v>
      </c>
      <c r="E2566" s="19" t="s">
        <v>69</v>
      </c>
      <c r="F2566" s="19" t="s">
        <v>37</v>
      </c>
      <c r="G2566" s="19" t="s">
        <v>63</v>
      </c>
      <c r="H2566" s="19" t="s">
        <v>67</v>
      </c>
      <c r="I2566" s="19" t="s">
        <v>108</v>
      </c>
      <c r="J2566" s="20">
        <v>120</v>
      </c>
      <c r="K2566" s="34">
        <v>0</v>
      </c>
      <c r="M2566" s="19" t="str">
        <f>IF(OR(ISBLANK(C2566),C2566=""),"",ROUND((C2566-B2566)*24,2))</f>
        <v/>
      </c>
      <c r="N2566" s="19" t="str">
        <f>IF(OR(ISBLANK(C2566),C2566="",M2566=""),"In Progress",IF(M2566&lt;=J2566,"Met","Breached"))</f>
        <v>In Progress</v>
      </c>
    </row>
    <row r="2567" ht="19" customHeight="1" spans="1:14" x14ac:dyDescent="0.25">
      <c r="A2567" s="22" t="s">
        <v>2681</v>
      </c>
      <c r="B2567" s="36">
        <v>46019.43819444445</v>
      </c>
      <c r="C2567" s="36">
        <v>46020.540972222225</v>
      </c>
      <c r="D2567" s="22" t="s">
        <v>36</v>
      </c>
      <c r="E2567" s="22" t="s">
        <v>65</v>
      </c>
      <c r="F2567" s="22" t="s">
        <v>37</v>
      </c>
      <c r="G2567" s="22" t="s">
        <v>110</v>
      </c>
      <c r="H2567" s="22" t="s">
        <v>59</v>
      </c>
      <c r="I2567" s="22" t="s">
        <v>108</v>
      </c>
      <c r="J2567" s="23">
        <v>48</v>
      </c>
      <c r="K2567" s="37">
        <v>0</v>
      </c>
      <c r="L2567" s="37">
        <v>2</v>
      </c>
      <c r="M2567" s="22">
        <f>IF(OR(ISBLANK(C2567),C2567=""),"",ROUND((C2567-B2567)*24,2))</f>
        <v>26.47</v>
      </c>
      <c r="N2567" s="40" t="str">
        <f>IF(OR(ISBLANK(C2567),C2567="",M2567=""),"In Progress",IF(M2567&lt;=J2567,"Met","Breached"))</f>
        <v>Met</v>
      </c>
    </row>
    <row r="2568" ht="19" customHeight="1" spans="1:14" x14ac:dyDescent="0.25">
      <c r="A2568" s="19" t="s">
        <v>2682</v>
      </c>
      <c r="B2568" s="33">
        <v>45924.14791666667</v>
      </c>
      <c r="C2568" s="33">
        <v>45925.96736111111</v>
      </c>
      <c r="D2568" s="19" t="s">
        <v>33</v>
      </c>
      <c r="E2568" s="19" t="s">
        <v>65</v>
      </c>
      <c r="F2568" s="19" t="s">
        <v>45</v>
      </c>
      <c r="G2568" s="19" t="s">
        <v>116</v>
      </c>
      <c r="H2568" s="19" t="s">
        <v>63</v>
      </c>
      <c r="I2568" s="19" t="s">
        <v>111</v>
      </c>
      <c r="J2568" s="20">
        <v>48</v>
      </c>
      <c r="K2568" s="34">
        <v>0</v>
      </c>
      <c r="L2568" s="34">
        <v>5</v>
      </c>
      <c r="M2568" s="19">
        <f>IF(OR(ISBLANK(C2568),C2568=""),"",ROUND((C2568-B2568)*24,2))</f>
        <v>43.67</v>
      </c>
      <c r="N2568" s="35" t="str">
        <f>IF(OR(ISBLANK(C2568),C2568="",M2568=""),"In Progress",IF(M2568&lt;=J2568,"Met","Breached"))</f>
        <v>Met</v>
      </c>
    </row>
    <row r="2569" ht="19" customHeight="1" spans="1:14" x14ac:dyDescent="0.25">
      <c r="A2569" s="22" t="s">
        <v>2683</v>
      </c>
      <c r="B2569" s="36">
        <v>45774.83819444444</v>
      </c>
      <c r="D2569" s="22" t="s">
        <v>42</v>
      </c>
      <c r="E2569" s="22" t="s">
        <v>69</v>
      </c>
      <c r="F2569" s="22" t="s">
        <v>34</v>
      </c>
      <c r="G2569" s="22" t="s">
        <v>121</v>
      </c>
      <c r="H2569" s="22" t="s">
        <v>67</v>
      </c>
      <c r="I2569" s="22" t="s">
        <v>123</v>
      </c>
      <c r="J2569" s="23">
        <v>120</v>
      </c>
      <c r="K2569" s="37">
        <v>0</v>
      </c>
      <c r="M2569" s="22" t="str">
        <f>IF(OR(ISBLANK(C2569),C2569=""),"",ROUND((C2569-B2569)*24,2))</f>
        <v/>
      </c>
      <c r="N2569" s="22" t="str">
        <f>IF(OR(ISBLANK(C2569),C2569="",M2569=""),"In Progress",IF(M2569&lt;=J2569,"Met","Breached"))</f>
        <v>In Progress</v>
      </c>
    </row>
    <row r="2570" ht="19" customHeight="1" spans="1:14" x14ac:dyDescent="0.25">
      <c r="A2570" s="19" t="s">
        <v>2684</v>
      </c>
      <c r="B2570" s="33">
        <v>46122.92569444445</v>
      </c>
      <c r="D2570" s="19" t="s">
        <v>39</v>
      </c>
      <c r="E2570" s="19" t="s">
        <v>65</v>
      </c>
      <c r="F2570" s="19" t="s">
        <v>34</v>
      </c>
      <c r="G2570" s="19" t="s">
        <v>121</v>
      </c>
      <c r="H2570" s="19" t="s">
        <v>63</v>
      </c>
      <c r="I2570" s="19" t="s">
        <v>108</v>
      </c>
      <c r="J2570" s="20">
        <v>48</v>
      </c>
      <c r="K2570" s="34">
        <v>0</v>
      </c>
      <c r="M2570" s="19" t="str">
        <f>IF(OR(ISBLANK(C2570),C2570=""),"",ROUND((C2570-B2570)*24,2))</f>
        <v/>
      </c>
      <c r="N2570" s="19" t="str">
        <f>IF(OR(ISBLANK(C2570),C2570="",M2570=""),"In Progress",IF(M2570&lt;=J2570,"Met","Breached"))</f>
        <v>In Progress</v>
      </c>
    </row>
    <row r="2571" ht="19" customHeight="1" spans="1:14" x14ac:dyDescent="0.25">
      <c r="A2571" s="22" t="s">
        <v>2685</v>
      </c>
      <c r="B2571" s="36">
        <v>45989.72777777778</v>
      </c>
      <c r="C2571" s="36">
        <v>45990.93472222222</v>
      </c>
      <c r="D2571" s="22" t="s">
        <v>33</v>
      </c>
      <c r="E2571" s="22" t="s">
        <v>65</v>
      </c>
      <c r="F2571" s="22" t="s">
        <v>45</v>
      </c>
      <c r="G2571" s="22" t="s">
        <v>126</v>
      </c>
      <c r="H2571" s="22" t="s">
        <v>63</v>
      </c>
      <c r="I2571" s="22" t="s">
        <v>117</v>
      </c>
      <c r="J2571" s="23">
        <v>48</v>
      </c>
      <c r="K2571" s="37">
        <v>0</v>
      </c>
      <c r="L2571" s="37">
        <v>2</v>
      </c>
      <c r="M2571" s="22">
        <f>IF(OR(ISBLANK(C2571),C2571=""),"",ROUND((C2571-B2571)*24,2))</f>
        <v>28.97</v>
      </c>
      <c r="N2571" s="40" t="str">
        <f>IF(OR(ISBLANK(C2571),C2571="",M2571=""),"In Progress",IF(M2571&lt;=J2571,"Met","Breached"))</f>
        <v>Met</v>
      </c>
    </row>
    <row r="2572" ht="19" customHeight="1" spans="1:14" x14ac:dyDescent="0.25">
      <c r="A2572" s="19" t="s">
        <v>2686</v>
      </c>
      <c r="B2572" s="33">
        <v>46106.45694444445</v>
      </c>
      <c r="C2572" s="33">
        <v>46109.580555555556</v>
      </c>
      <c r="D2572" s="19" t="s">
        <v>33</v>
      </c>
      <c r="E2572" s="19" t="s">
        <v>69</v>
      </c>
      <c r="F2572" s="19" t="s">
        <v>40</v>
      </c>
      <c r="G2572" s="19" t="s">
        <v>116</v>
      </c>
      <c r="H2572" s="19" t="s">
        <v>71</v>
      </c>
      <c r="I2572" s="19" t="s">
        <v>117</v>
      </c>
      <c r="J2572" s="20">
        <v>120</v>
      </c>
      <c r="K2572" s="34">
        <v>0</v>
      </c>
      <c r="M2572" s="19">
        <f>IF(OR(ISBLANK(C2572),C2572=""),"",ROUND((C2572-B2572)*24,2))</f>
        <v>74.97</v>
      </c>
      <c r="N2572" s="35" t="str">
        <f>IF(OR(ISBLANK(C2572),C2572="",M2572=""),"In Progress",IF(M2572&lt;=J2572,"Met","Breached"))</f>
        <v>Met</v>
      </c>
    </row>
    <row r="2573" ht="19" customHeight="1" spans="1:14" x14ac:dyDescent="0.25">
      <c r="A2573" s="22" t="s">
        <v>2687</v>
      </c>
      <c r="B2573" s="36">
        <v>46141.70416666666</v>
      </c>
      <c r="C2573" s="36">
        <v>46145.425</v>
      </c>
      <c r="D2573" s="22" t="s">
        <v>33</v>
      </c>
      <c r="E2573" s="22" t="s">
        <v>69</v>
      </c>
      <c r="F2573" s="22" t="s">
        <v>45</v>
      </c>
      <c r="G2573" s="22" t="s">
        <v>116</v>
      </c>
      <c r="H2573" s="22" t="s">
        <v>59</v>
      </c>
      <c r="I2573" s="22" t="s">
        <v>108</v>
      </c>
      <c r="J2573" s="23">
        <v>120</v>
      </c>
      <c r="K2573" s="37">
        <v>0</v>
      </c>
      <c r="L2573" s="37">
        <v>1</v>
      </c>
      <c r="M2573" s="22">
        <f>IF(OR(ISBLANK(C2573),C2573=""),"",ROUND((C2573-B2573)*24,2))</f>
        <v>89.3</v>
      </c>
      <c r="N2573" s="40" t="str">
        <f>IF(OR(ISBLANK(C2573),C2573="",M2573=""),"In Progress",IF(M2573&lt;=J2573,"Met","Breached"))</f>
        <v>Met</v>
      </c>
    </row>
    <row r="2574" ht="19" customHeight="1" spans="1:14" x14ac:dyDescent="0.25">
      <c r="A2574" s="19" t="s">
        <v>2688</v>
      </c>
      <c r="B2574" s="33">
        <v>46203.90625</v>
      </c>
      <c r="C2574" s="33">
        <v>46210.86041666666</v>
      </c>
      <c r="D2574" s="19" t="s">
        <v>36</v>
      </c>
      <c r="E2574" s="19" t="s">
        <v>69</v>
      </c>
      <c r="F2574" s="19" t="s">
        <v>45</v>
      </c>
      <c r="G2574" s="19" t="s">
        <v>116</v>
      </c>
      <c r="H2574" s="19" t="s">
        <v>59</v>
      </c>
      <c r="I2574" s="19" t="s">
        <v>123</v>
      </c>
      <c r="J2574" s="20">
        <v>120</v>
      </c>
      <c r="K2574" s="34">
        <v>0</v>
      </c>
      <c r="L2574" s="34">
        <v>1</v>
      </c>
      <c r="M2574" s="19">
        <f>IF(OR(ISBLANK(C2574),C2574=""),"",ROUND((C2574-B2574)*24,2))</f>
        <v>166.9</v>
      </c>
      <c r="N2574" s="39" t="str">
        <f>IF(OR(ISBLANK(C2574),C2574="",M2574=""),"In Progress",IF(M2574&lt;=J2574,"Met","Breached"))</f>
        <v>Breached</v>
      </c>
    </row>
    <row r="2575" ht="19" customHeight="1" spans="1:14" x14ac:dyDescent="0.25">
      <c r="A2575" s="22" t="s">
        <v>2689</v>
      </c>
      <c r="B2575" s="36">
        <v>45906.01736111111</v>
      </c>
      <c r="C2575" s="36">
        <v>45906.09652777778</v>
      </c>
      <c r="D2575" s="22" t="s">
        <v>33</v>
      </c>
      <c r="E2575" s="22" t="s">
        <v>57</v>
      </c>
      <c r="F2575" s="22" t="s">
        <v>43</v>
      </c>
      <c r="G2575" s="22" t="s">
        <v>126</v>
      </c>
      <c r="H2575" s="22" t="s">
        <v>63</v>
      </c>
      <c r="I2575" s="22" t="s">
        <v>114</v>
      </c>
      <c r="J2575" s="23">
        <v>4</v>
      </c>
      <c r="K2575" s="37">
        <v>0</v>
      </c>
      <c r="L2575" s="37">
        <v>3</v>
      </c>
      <c r="M2575" s="22">
        <f>IF(OR(ISBLANK(C2575),C2575=""),"",ROUND((C2575-B2575)*24,2))</f>
        <v>1.9</v>
      </c>
      <c r="N2575" s="40" t="str">
        <f>IF(OR(ISBLANK(C2575),C2575="",M2575=""),"In Progress",IF(M2575&lt;=J2575,"Met","Breached"))</f>
        <v>Met</v>
      </c>
    </row>
    <row r="2576" ht="19" customHeight="1" spans="1:14" x14ac:dyDescent="0.25">
      <c r="A2576" s="19" t="s">
        <v>2690</v>
      </c>
      <c r="B2576" s="33">
        <v>46166.82291666667</v>
      </c>
      <c r="C2576" s="33">
        <v>46169.888194444444</v>
      </c>
      <c r="D2576" s="19" t="s">
        <v>33</v>
      </c>
      <c r="E2576" s="19" t="s">
        <v>65</v>
      </c>
      <c r="F2576" s="19" t="s">
        <v>45</v>
      </c>
      <c r="G2576" s="19" t="s">
        <v>116</v>
      </c>
      <c r="H2576" s="19" t="s">
        <v>59</v>
      </c>
      <c r="I2576" s="19" t="s">
        <v>147</v>
      </c>
      <c r="J2576" s="20">
        <v>48</v>
      </c>
      <c r="K2576" s="34">
        <v>0</v>
      </c>
      <c r="L2576" s="34">
        <v>2</v>
      </c>
      <c r="M2576" s="19">
        <f>IF(OR(ISBLANK(C2576),C2576=""),"",ROUND((C2576-B2576)*24,2))</f>
        <v>73.57</v>
      </c>
      <c r="N2576" s="39" t="str">
        <f>IF(OR(ISBLANK(C2576),C2576="",M2576=""),"In Progress",IF(M2576&lt;=J2576,"Met","Breached"))</f>
        <v>Breached</v>
      </c>
    </row>
    <row r="2577" ht="19" customHeight="1" spans="1:14" x14ac:dyDescent="0.25">
      <c r="A2577" s="22" t="s">
        <v>2691</v>
      </c>
      <c r="B2577" s="36">
        <v>46160.11666666667</v>
      </c>
      <c r="C2577" s="36">
        <v>46162.674305555556</v>
      </c>
      <c r="D2577" s="22" t="s">
        <v>33</v>
      </c>
      <c r="E2577" s="22" t="s">
        <v>65</v>
      </c>
      <c r="F2577" s="22" t="s">
        <v>43</v>
      </c>
      <c r="G2577" s="22" t="s">
        <v>116</v>
      </c>
      <c r="H2577" s="22" t="s">
        <v>71</v>
      </c>
      <c r="I2577" s="22" t="s">
        <v>147</v>
      </c>
      <c r="J2577" s="23">
        <v>48</v>
      </c>
      <c r="K2577" s="37">
        <v>0</v>
      </c>
      <c r="L2577" s="37">
        <v>3</v>
      </c>
      <c r="M2577" s="22">
        <f>IF(OR(ISBLANK(C2577),C2577=""),"",ROUND((C2577-B2577)*24,2))</f>
        <v>61.38</v>
      </c>
      <c r="N2577" s="38" t="str">
        <f>IF(OR(ISBLANK(C2577),C2577="",M2577=""),"In Progress",IF(M2577&lt;=J2577,"Met","Breached"))</f>
        <v>Breached</v>
      </c>
    </row>
    <row r="2578" ht="19" customHeight="1" spans="1:14" x14ac:dyDescent="0.25">
      <c r="A2578" s="19" t="s">
        <v>2692</v>
      </c>
      <c r="B2578" s="33">
        <v>45897.768055555556</v>
      </c>
      <c r="D2578" s="19" t="s">
        <v>39</v>
      </c>
      <c r="E2578" s="19" t="s">
        <v>61</v>
      </c>
      <c r="F2578" s="19" t="s">
        <v>45</v>
      </c>
      <c r="G2578" s="19" t="s">
        <v>63</v>
      </c>
      <c r="H2578" s="19" t="s">
        <v>59</v>
      </c>
      <c r="I2578" s="19" t="s">
        <v>117</v>
      </c>
      <c r="J2578" s="20">
        <v>12</v>
      </c>
      <c r="K2578" s="34">
        <v>0</v>
      </c>
      <c r="M2578" s="19" t="str">
        <f>IF(OR(ISBLANK(C2578),C2578=""),"",ROUND((C2578-B2578)*24,2))</f>
        <v/>
      </c>
      <c r="N2578" s="19" t="str">
        <f>IF(OR(ISBLANK(C2578),C2578="",M2578=""),"In Progress",IF(M2578&lt;=J2578,"Met","Breached"))</f>
        <v>In Progress</v>
      </c>
    </row>
    <row r="2579" ht="19" customHeight="1" spans="1:14" x14ac:dyDescent="0.25">
      <c r="A2579" s="22" t="s">
        <v>2693</v>
      </c>
      <c r="B2579" s="36">
        <v>45789.10902777778</v>
      </c>
      <c r="C2579" s="36">
        <v>45792.16111111111</v>
      </c>
      <c r="D2579" s="22" t="s">
        <v>33</v>
      </c>
      <c r="E2579" s="22" t="s">
        <v>65</v>
      </c>
      <c r="F2579" s="22" t="s">
        <v>43</v>
      </c>
      <c r="G2579" s="22" t="s">
        <v>63</v>
      </c>
      <c r="H2579" s="22" t="s">
        <v>67</v>
      </c>
      <c r="I2579" s="22" t="s">
        <v>123</v>
      </c>
      <c r="J2579" s="23">
        <v>48</v>
      </c>
      <c r="K2579" s="37">
        <v>0</v>
      </c>
      <c r="L2579" s="37">
        <v>3</v>
      </c>
      <c r="M2579" s="22">
        <f>IF(OR(ISBLANK(C2579),C2579=""),"",ROUND((C2579-B2579)*24,2))</f>
        <v>73.25</v>
      </c>
      <c r="N2579" s="38" t="str">
        <f>IF(OR(ISBLANK(C2579),C2579="",M2579=""),"In Progress",IF(M2579&lt;=J2579,"Met","Breached"))</f>
        <v>Breached</v>
      </c>
    </row>
    <row r="2580" ht="19" customHeight="1" spans="1:14" x14ac:dyDescent="0.25">
      <c r="A2580" s="19" t="s">
        <v>2694</v>
      </c>
      <c r="B2580" s="33">
        <v>46008.23333333334</v>
      </c>
      <c r="D2580" s="19" t="s">
        <v>39</v>
      </c>
      <c r="E2580" s="19" t="s">
        <v>69</v>
      </c>
      <c r="F2580" s="19" t="s">
        <v>37</v>
      </c>
      <c r="G2580" s="19" t="s">
        <v>116</v>
      </c>
      <c r="H2580" s="19" t="s">
        <v>63</v>
      </c>
      <c r="I2580" s="19" t="s">
        <v>108</v>
      </c>
      <c r="J2580" s="20">
        <v>120</v>
      </c>
      <c r="K2580" s="34">
        <v>0</v>
      </c>
      <c r="M2580" s="19" t="str">
        <f>IF(OR(ISBLANK(C2580),C2580=""),"",ROUND((C2580-B2580)*24,2))</f>
        <v/>
      </c>
      <c r="N2580" s="19" t="str">
        <f>IF(OR(ISBLANK(C2580),C2580="",M2580=""),"In Progress",IF(M2580&lt;=J2580,"Met","Breached"))</f>
        <v>In Progress</v>
      </c>
    </row>
    <row r="2581" ht="19" customHeight="1" spans="1:14" x14ac:dyDescent="0.25">
      <c r="A2581" s="22" t="s">
        <v>2695</v>
      </c>
      <c r="B2581" s="36">
        <v>45949.57361111111</v>
      </c>
      <c r="C2581" s="36">
        <v>45950.06180555555</v>
      </c>
      <c r="D2581" s="22" t="s">
        <v>33</v>
      </c>
      <c r="E2581" s="22" t="s">
        <v>61</v>
      </c>
      <c r="F2581" s="22" t="s">
        <v>43</v>
      </c>
      <c r="G2581" s="22" t="s">
        <v>110</v>
      </c>
      <c r="H2581" s="22" t="s">
        <v>63</v>
      </c>
      <c r="I2581" s="22" t="s">
        <v>108</v>
      </c>
      <c r="J2581" s="23">
        <v>12</v>
      </c>
      <c r="K2581" s="37">
        <v>0</v>
      </c>
      <c r="L2581" s="37">
        <v>2</v>
      </c>
      <c r="M2581" s="22">
        <f>IF(OR(ISBLANK(C2581),C2581=""),"",ROUND((C2581-B2581)*24,2))</f>
        <v>11.72</v>
      </c>
      <c r="N2581" s="40" t="str">
        <f>IF(OR(ISBLANK(C2581),C2581="",M2581=""),"In Progress",IF(M2581&lt;=J2581,"Met","Breached"))</f>
        <v>Met</v>
      </c>
    </row>
    <row r="2582" ht="19" customHeight="1" spans="1:14" x14ac:dyDescent="0.25">
      <c r="A2582" s="19" t="s">
        <v>2696</v>
      </c>
      <c r="B2582" s="33">
        <v>46042.47777777778</v>
      </c>
      <c r="D2582" s="19" t="s">
        <v>42</v>
      </c>
      <c r="E2582" s="19" t="s">
        <v>65</v>
      </c>
      <c r="F2582" s="19" t="s">
        <v>37</v>
      </c>
      <c r="G2582" s="19" t="s">
        <v>126</v>
      </c>
      <c r="H2582" s="19" t="s">
        <v>59</v>
      </c>
      <c r="I2582" s="19" t="s">
        <v>123</v>
      </c>
      <c r="J2582" s="20">
        <v>48</v>
      </c>
      <c r="K2582" s="34">
        <v>0</v>
      </c>
      <c r="M2582" s="19" t="str">
        <f>IF(OR(ISBLANK(C2582),C2582=""),"",ROUND((C2582-B2582)*24,2))</f>
        <v/>
      </c>
      <c r="N2582" s="19" t="str">
        <f>IF(OR(ISBLANK(C2582),C2582="",M2582=""),"In Progress",IF(M2582&lt;=J2582,"Met","Breached"))</f>
        <v>In Progress</v>
      </c>
    </row>
    <row r="2583" ht="19" customHeight="1" spans="1:14" x14ac:dyDescent="0.25">
      <c r="A2583" s="22" t="s">
        <v>2697</v>
      </c>
      <c r="B2583" s="36">
        <v>46239.20486111111</v>
      </c>
      <c r="C2583" s="36">
        <v>46239.50347222222</v>
      </c>
      <c r="D2583" s="22" t="s">
        <v>33</v>
      </c>
      <c r="E2583" s="22" t="s">
        <v>57</v>
      </c>
      <c r="F2583" s="22" t="s">
        <v>43</v>
      </c>
      <c r="G2583" s="22" t="s">
        <v>121</v>
      </c>
      <c r="H2583" s="22" t="s">
        <v>63</v>
      </c>
      <c r="I2583" s="22" t="s">
        <v>117</v>
      </c>
      <c r="J2583" s="23">
        <v>4</v>
      </c>
      <c r="K2583" s="37">
        <v>0</v>
      </c>
      <c r="L2583" s="37">
        <v>3</v>
      </c>
      <c r="M2583" s="22">
        <f>IF(OR(ISBLANK(C2583),C2583=""),"",ROUND((C2583-B2583)*24,2))</f>
        <v>7.17</v>
      </c>
      <c r="N2583" s="38" t="str">
        <f>IF(OR(ISBLANK(C2583),C2583="",M2583=""),"In Progress",IF(M2583&lt;=J2583,"Met","Breached"))</f>
        <v>Breached</v>
      </c>
    </row>
    <row r="2584" ht="19" customHeight="1" spans="1:14" x14ac:dyDescent="0.25">
      <c r="A2584" s="19" t="s">
        <v>2698</v>
      </c>
      <c r="B2584" s="33">
        <v>46080.555555555555</v>
      </c>
      <c r="D2584" s="19" t="s">
        <v>42</v>
      </c>
      <c r="E2584" s="19" t="s">
        <v>65</v>
      </c>
      <c r="F2584" s="19" t="s">
        <v>37</v>
      </c>
      <c r="G2584" s="19" t="s">
        <v>116</v>
      </c>
      <c r="H2584" s="19" t="s">
        <v>71</v>
      </c>
      <c r="I2584" s="19" t="s">
        <v>108</v>
      </c>
      <c r="J2584" s="20">
        <v>48</v>
      </c>
      <c r="K2584" s="34">
        <v>0</v>
      </c>
      <c r="M2584" s="19" t="str">
        <f>IF(OR(ISBLANK(C2584),C2584=""),"",ROUND((C2584-B2584)*24,2))</f>
        <v/>
      </c>
      <c r="N2584" s="19" t="str">
        <f>IF(OR(ISBLANK(C2584),C2584="",M2584=""),"In Progress",IF(M2584&lt;=J2584,"Met","Breached"))</f>
        <v>In Progress</v>
      </c>
    </row>
    <row r="2585" ht="19" customHeight="1" spans="1:14" x14ac:dyDescent="0.25">
      <c r="A2585" s="22" t="s">
        <v>2699</v>
      </c>
      <c r="B2585" s="36">
        <v>45957.125</v>
      </c>
      <c r="C2585" s="36">
        <v>45960.5</v>
      </c>
      <c r="D2585" s="22" t="s">
        <v>33</v>
      </c>
      <c r="E2585" s="22" t="s">
        <v>65</v>
      </c>
      <c r="F2585" s="22" t="s">
        <v>37</v>
      </c>
      <c r="G2585" s="22" t="s">
        <v>63</v>
      </c>
      <c r="H2585" s="22" t="s">
        <v>63</v>
      </c>
      <c r="I2585" s="22" t="s">
        <v>108</v>
      </c>
      <c r="J2585" s="23">
        <v>48</v>
      </c>
      <c r="K2585" s="37">
        <v>0</v>
      </c>
      <c r="L2585" s="37">
        <v>1</v>
      </c>
      <c r="M2585" s="22">
        <f>IF(OR(ISBLANK(C2585),C2585=""),"",ROUND((C2585-B2585)*24,2))</f>
        <v>81</v>
      </c>
      <c r="N2585" s="38" t="str">
        <f>IF(OR(ISBLANK(C2585),C2585="",M2585=""),"In Progress",IF(M2585&lt;=J2585,"Met","Breached"))</f>
        <v>Breached</v>
      </c>
    </row>
    <row r="2586" ht="19" customHeight="1" spans="1:14" x14ac:dyDescent="0.25">
      <c r="A2586" s="19" t="s">
        <v>2700</v>
      </c>
      <c r="B2586" s="33">
        <v>46000.018055555556</v>
      </c>
      <c r="C2586" s="33">
        <v>46000.53263888889</v>
      </c>
      <c r="D2586" s="19" t="s">
        <v>36</v>
      </c>
      <c r="E2586" s="19" t="s">
        <v>61</v>
      </c>
      <c r="F2586" s="19" t="s">
        <v>45</v>
      </c>
      <c r="G2586" s="19" t="s">
        <v>110</v>
      </c>
      <c r="H2586" s="19" t="s">
        <v>59</v>
      </c>
      <c r="I2586" s="19" t="s">
        <v>123</v>
      </c>
      <c r="J2586" s="20">
        <v>12</v>
      </c>
      <c r="K2586" s="34">
        <v>1</v>
      </c>
      <c r="L2586" s="34">
        <v>1</v>
      </c>
      <c r="M2586" s="19">
        <f>IF(OR(ISBLANK(C2586),C2586=""),"",ROUND((C2586-B2586)*24,2))</f>
        <v>12.35</v>
      </c>
      <c r="N2586" s="39" t="str">
        <f>IF(OR(ISBLANK(C2586),C2586="",M2586=""),"In Progress",IF(M2586&lt;=J2586,"Met","Breached"))</f>
        <v>Breached</v>
      </c>
    </row>
    <row r="2587" ht="19" customHeight="1" spans="1:14" x14ac:dyDescent="0.25">
      <c r="A2587" s="22" t="s">
        <v>2701</v>
      </c>
      <c r="B2587" s="36">
        <v>45665.26736111111</v>
      </c>
      <c r="C2587" s="36">
        <v>45665.40486111111</v>
      </c>
      <c r="D2587" s="22" t="s">
        <v>36</v>
      </c>
      <c r="E2587" s="22" t="s">
        <v>57</v>
      </c>
      <c r="F2587" s="22" t="s">
        <v>40</v>
      </c>
      <c r="G2587" s="22" t="s">
        <v>121</v>
      </c>
      <c r="H2587" s="22" t="s">
        <v>71</v>
      </c>
      <c r="I2587" s="22" t="s">
        <v>147</v>
      </c>
      <c r="J2587" s="23">
        <v>4</v>
      </c>
      <c r="K2587" s="37">
        <v>0</v>
      </c>
      <c r="L2587" s="37">
        <v>4</v>
      </c>
      <c r="M2587" s="22">
        <f>IF(OR(ISBLANK(C2587),C2587=""),"",ROUND((C2587-B2587)*24,2))</f>
        <v>3.3</v>
      </c>
      <c r="N2587" s="40" t="str">
        <f>IF(OR(ISBLANK(C2587),C2587="",M2587=""),"In Progress",IF(M2587&lt;=J2587,"Met","Breached"))</f>
        <v>Met</v>
      </c>
    </row>
    <row r="2588" ht="19" customHeight="1" spans="1:14" x14ac:dyDescent="0.25">
      <c r="A2588" s="19" t="s">
        <v>2702</v>
      </c>
      <c r="B2588" s="33">
        <v>46245.61944444444</v>
      </c>
      <c r="C2588" s="33">
        <v>46246.92083333334</v>
      </c>
      <c r="D2588" s="19" t="s">
        <v>33</v>
      </c>
      <c r="E2588" s="19" t="s">
        <v>65</v>
      </c>
      <c r="F2588" s="19" t="s">
        <v>43</v>
      </c>
      <c r="G2588" s="19" t="s">
        <v>116</v>
      </c>
      <c r="H2588" s="19" t="s">
        <v>59</v>
      </c>
      <c r="I2588" s="19" t="s">
        <v>117</v>
      </c>
      <c r="J2588" s="20">
        <v>48</v>
      </c>
      <c r="K2588" s="34">
        <v>0</v>
      </c>
      <c r="L2588" s="34">
        <v>2</v>
      </c>
      <c r="M2588" s="19">
        <f>IF(OR(ISBLANK(C2588),C2588=""),"",ROUND((C2588-B2588)*24,2))</f>
        <v>31.23</v>
      </c>
      <c r="N2588" s="35" t="str">
        <f>IF(OR(ISBLANK(C2588),C2588="",M2588=""),"In Progress",IF(M2588&lt;=J2588,"Met","Breached"))</f>
        <v>Met</v>
      </c>
    </row>
    <row r="2589" ht="19" customHeight="1" spans="1:14" x14ac:dyDescent="0.25">
      <c r="A2589" s="22" t="s">
        <v>2703</v>
      </c>
      <c r="B2589" s="36">
        <v>46199.04236111111</v>
      </c>
      <c r="C2589" s="36">
        <v>46199.27291666667</v>
      </c>
      <c r="D2589" s="22" t="s">
        <v>33</v>
      </c>
      <c r="E2589" s="22" t="s">
        <v>61</v>
      </c>
      <c r="F2589" s="22" t="s">
        <v>37</v>
      </c>
      <c r="G2589" s="22" t="s">
        <v>126</v>
      </c>
      <c r="H2589" s="22" t="s">
        <v>59</v>
      </c>
      <c r="I2589" s="22" t="s">
        <v>123</v>
      </c>
      <c r="J2589" s="23">
        <v>12</v>
      </c>
      <c r="K2589" s="37">
        <v>0</v>
      </c>
      <c r="L2589" s="37">
        <v>2</v>
      </c>
      <c r="M2589" s="22">
        <f>IF(OR(ISBLANK(C2589),C2589=""),"",ROUND((C2589-B2589)*24,2))</f>
        <v>5.53</v>
      </c>
      <c r="N2589" s="40" t="str">
        <f>IF(OR(ISBLANK(C2589),C2589="",M2589=""),"In Progress",IF(M2589&lt;=J2589,"Met","Breached"))</f>
        <v>Met</v>
      </c>
    </row>
    <row r="2590" ht="19" customHeight="1" spans="1:14" x14ac:dyDescent="0.25">
      <c r="A2590" s="19" t="s">
        <v>2704</v>
      </c>
      <c r="B2590" s="33">
        <v>45920.97777777778</v>
      </c>
      <c r="C2590" s="33">
        <v>45921.19861111111</v>
      </c>
      <c r="D2590" s="19" t="s">
        <v>33</v>
      </c>
      <c r="E2590" s="19" t="s">
        <v>61</v>
      </c>
      <c r="F2590" s="19" t="s">
        <v>37</v>
      </c>
      <c r="G2590" s="19" t="s">
        <v>126</v>
      </c>
      <c r="H2590" s="19" t="s">
        <v>67</v>
      </c>
      <c r="I2590" s="19" t="s">
        <v>114</v>
      </c>
      <c r="J2590" s="20">
        <v>12</v>
      </c>
      <c r="K2590" s="34">
        <v>0</v>
      </c>
      <c r="L2590" s="34">
        <v>5</v>
      </c>
      <c r="M2590" s="19">
        <f>IF(OR(ISBLANK(C2590),C2590=""),"",ROUND((C2590-B2590)*24,2))</f>
        <v>5.3</v>
      </c>
      <c r="N2590" s="35" t="str">
        <f>IF(OR(ISBLANK(C2590),C2590="",M2590=""),"In Progress",IF(M2590&lt;=J2590,"Met","Breached"))</f>
        <v>Met</v>
      </c>
    </row>
    <row r="2591" ht="19" customHeight="1" spans="1:14" x14ac:dyDescent="0.25">
      <c r="A2591" s="22" t="s">
        <v>2705</v>
      </c>
      <c r="B2591" s="36">
        <v>45662.78194444445</v>
      </c>
      <c r="C2591" s="36">
        <v>45662.96736111111</v>
      </c>
      <c r="D2591" s="22" t="s">
        <v>33</v>
      </c>
      <c r="E2591" s="22" t="s">
        <v>57</v>
      </c>
      <c r="F2591" s="22" t="s">
        <v>40</v>
      </c>
      <c r="G2591" s="22" t="s">
        <v>110</v>
      </c>
      <c r="H2591" s="22" t="s">
        <v>59</v>
      </c>
      <c r="I2591" s="22" t="s">
        <v>123</v>
      </c>
      <c r="J2591" s="23">
        <v>4</v>
      </c>
      <c r="K2591" s="37">
        <v>0</v>
      </c>
      <c r="L2591" s="37">
        <v>5</v>
      </c>
      <c r="M2591" s="22">
        <f>IF(OR(ISBLANK(C2591),C2591=""),"",ROUND((C2591-B2591)*24,2))</f>
        <v>4.45</v>
      </c>
      <c r="N2591" s="38" t="str">
        <f>IF(OR(ISBLANK(C2591),C2591="",M2591=""),"In Progress",IF(M2591&lt;=J2591,"Met","Breached"))</f>
        <v>Breached</v>
      </c>
    </row>
    <row r="2592" ht="19" customHeight="1" spans="1:14" x14ac:dyDescent="0.25">
      <c r="A2592" s="19" t="s">
        <v>2706</v>
      </c>
      <c r="B2592" s="33">
        <v>46235.85902777778</v>
      </c>
      <c r="C2592" s="33">
        <v>46238.134722222225</v>
      </c>
      <c r="D2592" s="19" t="s">
        <v>36</v>
      </c>
      <c r="E2592" s="19" t="s">
        <v>65</v>
      </c>
      <c r="F2592" s="19" t="s">
        <v>43</v>
      </c>
      <c r="G2592" s="19" t="s">
        <v>121</v>
      </c>
      <c r="H2592" s="19" t="s">
        <v>59</v>
      </c>
      <c r="I2592" s="19" t="s">
        <v>108</v>
      </c>
      <c r="J2592" s="20">
        <v>48</v>
      </c>
      <c r="K2592" s="34">
        <v>0</v>
      </c>
      <c r="L2592" s="34">
        <v>5</v>
      </c>
      <c r="M2592" s="19">
        <f>IF(OR(ISBLANK(C2592),C2592=""),"",ROUND((C2592-B2592)*24,2))</f>
        <v>54.62</v>
      </c>
      <c r="N2592" s="39" t="str">
        <f>IF(OR(ISBLANK(C2592),C2592="",M2592=""),"In Progress",IF(M2592&lt;=J2592,"Met","Breached"))</f>
        <v>Breached</v>
      </c>
    </row>
    <row r="2593" ht="19" customHeight="1" spans="1:14" x14ac:dyDescent="0.25">
      <c r="A2593" s="22" t="s">
        <v>2707</v>
      </c>
      <c r="B2593" s="36">
        <v>45749.23541666666</v>
      </c>
      <c r="C2593" s="36">
        <v>45750.08263888889</v>
      </c>
      <c r="D2593" s="22" t="s">
        <v>36</v>
      </c>
      <c r="E2593" s="22" t="s">
        <v>61</v>
      </c>
      <c r="F2593" s="22" t="s">
        <v>34</v>
      </c>
      <c r="G2593" s="22" t="s">
        <v>121</v>
      </c>
      <c r="H2593" s="22" t="s">
        <v>63</v>
      </c>
      <c r="I2593" s="22" t="s">
        <v>111</v>
      </c>
      <c r="J2593" s="23">
        <v>12</v>
      </c>
      <c r="K2593" s="37">
        <v>0</v>
      </c>
      <c r="L2593" s="37">
        <v>4</v>
      </c>
      <c r="M2593" s="22">
        <f>IF(OR(ISBLANK(C2593),C2593=""),"",ROUND((C2593-B2593)*24,2))</f>
        <v>20.33</v>
      </c>
      <c r="N2593" s="38" t="str">
        <f>IF(OR(ISBLANK(C2593),C2593="",M2593=""),"In Progress",IF(M2593&lt;=J2593,"Met","Breached"))</f>
        <v>Breached</v>
      </c>
    </row>
    <row r="2594" ht="19" customHeight="1" spans="1:14" x14ac:dyDescent="0.25">
      <c r="A2594" s="19" t="s">
        <v>2708</v>
      </c>
      <c r="B2594" s="33">
        <v>46266.18958333333</v>
      </c>
      <c r="C2594" s="33">
        <v>46271.21319444444</v>
      </c>
      <c r="D2594" s="19" t="s">
        <v>33</v>
      </c>
      <c r="E2594" s="19" t="s">
        <v>69</v>
      </c>
      <c r="F2594" s="19" t="s">
        <v>45</v>
      </c>
      <c r="G2594" s="19" t="s">
        <v>116</v>
      </c>
      <c r="H2594" s="19" t="s">
        <v>59</v>
      </c>
      <c r="I2594" s="19" t="s">
        <v>117</v>
      </c>
      <c r="J2594" s="20">
        <v>120</v>
      </c>
      <c r="K2594" s="34">
        <v>0</v>
      </c>
      <c r="M2594" s="19">
        <f>IF(OR(ISBLANK(C2594),C2594=""),"",ROUND((C2594-B2594)*24,2))</f>
        <v>120.57</v>
      </c>
      <c r="N2594" s="39" t="str">
        <f>IF(OR(ISBLANK(C2594),C2594="",M2594=""),"In Progress",IF(M2594&lt;=J2594,"Met","Breached"))</f>
        <v>Breached</v>
      </c>
    </row>
    <row r="2595" ht="19" customHeight="1" spans="1:14" x14ac:dyDescent="0.25">
      <c r="A2595" s="22" t="s">
        <v>2709</v>
      </c>
      <c r="B2595" s="36">
        <v>46283.87569444445</v>
      </c>
      <c r="C2595" s="36">
        <v>46290.98611111111</v>
      </c>
      <c r="D2595" s="22" t="s">
        <v>33</v>
      </c>
      <c r="E2595" s="22" t="s">
        <v>69</v>
      </c>
      <c r="F2595" s="22" t="s">
        <v>45</v>
      </c>
      <c r="G2595" s="22" t="s">
        <v>63</v>
      </c>
      <c r="H2595" s="22" t="s">
        <v>63</v>
      </c>
      <c r="I2595" s="22" t="s">
        <v>147</v>
      </c>
      <c r="J2595" s="23">
        <v>120</v>
      </c>
      <c r="K2595" s="37">
        <v>0</v>
      </c>
      <c r="L2595" s="37">
        <v>2</v>
      </c>
      <c r="M2595" s="22">
        <f>IF(OR(ISBLANK(C2595),C2595=""),"",ROUND((C2595-B2595)*24,2))</f>
        <v>170.65</v>
      </c>
      <c r="N2595" s="38" t="str">
        <f>IF(OR(ISBLANK(C2595),C2595="",M2595=""),"In Progress",IF(M2595&lt;=J2595,"Met","Breached"))</f>
        <v>Breached</v>
      </c>
    </row>
    <row r="2596" ht="19" customHeight="1" spans="1:14" x14ac:dyDescent="0.25">
      <c r="A2596" s="19" t="s">
        <v>2710</v>
      </c>
      <c r="B2596" s="33">
        <v>46201.03958333333</v>
      </c>
      <c r="C2596" s="33">
        <v>46202.209027777775</v>
      </c>
      <c r="D2596" s="19" t="s">
        <v>36</v>
      </c>
      <c r="E2596" s="19" t="s">
        <v>65</v>
      </c>
      <c r="F2596" s="19" t="s">
        <v>34</v>
      </c>
      <c r="G2596" s="19" t="s">
        <v>116</v>
      </c>
      <c r="H2596" s="19" t="s">
        <v>71</v>
      </c>
      <c r="I2596" s="19" t="s">
        <v>147</v>
      </c>
      <c r="J2596" s="20">
        <v>48</v>
      </c>
      <c r="K2596" s="34">
        <v>0</v>
      </c>
      <c r="L2596" s="34">
        <v>4</v>
      </c>
      <c r="M2596" s="19">
        <f>IF(OR(ISBLANK(C2596),C2596=""),"",ROUND((C2596-B2596)*24,2))</f>
        <v>28.07</v>
      </c>
      <c r="N2596" s="35" t="str">
        <f>IF(OR(ISBLANK(C2596),C2596="",M2596=""),"In Progress",IF(M2596&lt;=J2596,"Met","Breached"))</f>
        <v>Met</v>
      </c>
    </row>
    <row r="2597" ht="19" customHeight="1" spans="1:14" x14ac:dyDescent="0.25">
      <c r="A2597" s="22" t="s">
        <v>2711</v>
      </c>
      <c r="B2597" s="36">
        <v>45833.39166666666</v>
      </c>
      <c r="D2597" s="22" t="s">
        <v>42</v>
      </c>
      <c r="E2597" s="22" t="s">
        <v>65</v>
      </c>
      <c r="F2597" s="22" t="s">
        <v>34</v>
      </c>
      <c r="G2597" s="22" t="s">
        <v>110</v>
      </c>
      <c r="H2597" s="22" t="s">
        <v>63</v>
      </c>
      <c r="I2597" s="22" t="s">
        <v>123</v>
      </c>
      <c r="J2597" s="23">
        <v>48</v>
      </c>
      <c r="K2597" s="37">
        <v>0</v>
      </c>
      <c r="M2597" s="22" t="str">
        <f>IF(OR(ISBLANK(C2597),C2597=""),"",ROUND((C2597-B2597)*24,2))</f>
        <v/>
      </c>
      <c r="N2597" s="22" t="str">
        <f>IF(OR(ISBLANK(C2597),C2597="",M2597=""),"In Progress",IF(M2597&lt;=J2597,"Met","Breached"))</f>
        <v>In Progress</v>
      </c>
    </row>
    <row r="2598" ht="19" customHeight="1" spans="1:14" x14ac:dyDescent="0.25">
      <c r="A2598" s="19" t="s">
        <v>2712</v>
      </c>
      <c r="B2598" s="33">
        <v>46171.32847222222</v>
      </c>
      <c r="C2598" s="33">
        <v>46171.71666666667</v>
      </c>
      <c r="D2598" s="19" t="s">
        <v>33</v>
      </c>
      <c r="E2598" s="19" t="s">
        <v>61</v>
      </c>
      <c r="F2598" s="19" t="s">
        <v>43</v>
      </c>
      <c r="G2598" s="19" t="s">
        <v>126</v>
      </c>
      <c r="H2598" s="19" t="s">
        <v>67</v>
      </c>
      <c r="I2598" s="19" t="s">
        <v>111</v>
      </c>
      <c r="J2598" s="20">
        <v>12</v>
      </c>
      <c r="K2598" s="34">
        <v>0</v>
      </c>
      <c r="L2598" s="34">
        <v>5</v>
      </c>
      <c r="M2598" s="19">
        <f>IF(OR(ISBLANK(C2598),C2598=""),"",ROUND((C2598-B2598)*24,2))</f>
        <v>9.32</v>
      </c>
      <c r="N2598" s="35" t="str">
        <f>IF(OR(ISBLANK(C2598),C2598="",M2598=""),"In Progress",IF(M2598&lt;=J2598,"Met","Breached"))</f>
        <v>Met</v>
      </c>
    </row>
    <row r="2599" ht="19" customHeight="1" spans="1:14" x14ac:dyDescent="0.25">
      <c r="A2599" s="22" t="s">
        <v>2713</v>
      </c>
      <c r="B2599" s="36">
        <v>45910.1625</v>
      </c>
      <c r="C2599" s="36">
        <v>45913.10833333334</v>
      </c>
      <c r="D2599" s="22" t="s">
        <v>33</v>
      </c>
      <c r="E2599" s="22" t="s">
        <v>65</v>
      </c>
      <c r="F2599" s="22" t="s">
        <v>40</v>
      </c>
      <c r="G2599" s="22" t="s">
        <v>110</v>
      </c>
      <c r="H2599" s="22" t="s">
        <v>67</v>
      </c>
      <c r="I2599" s="22" t="s">
        <v>117</v>
      </c>
      <c r="J2599" s="23">
        <v>48</v>
      </c>
      <c r="K2599" s="37">
        <v>0</v>
      </c>
      <c r="M2599" s="22">
        <f>IF(OR(ISBLANK(C2599),C2599=""),"",ROUND((C2599-B2599)*24,2))</f>
        <v>70.7</v>
      </c>
      <c r="N2599" s="38" t="str">
        <f>IF(OR(ISBLANK(C2599),C2599="",M2599=""),"In Progress",IF(M2599&lt;=J2599,"Met","Breached"))</f>
        <v>Breached</v>
      </c>
    </row>
    <row r="2600" ht="19" customHeight="1" spans="1:14" x14ac:dyDescent="0.25">
      <c r="A2600" s="19" t="s">
        <v>2714</v>
      </c>
      <c r="B2600" s="33">
        <v>46154.53472222222</v>
      </c>
      <c r="C2600" s="33">
        <v>46155.39375</v>
      </c>
      <c r="D2600" s="19" t="s">
        <v>33</v>
      </c>
      <c r="E2600" s="19" t="s">
        <v>61</v>
      </c>
      <c r="F2600" s="19" t="s">
        <v>34</v>
      </c>
      <c r="G2600" s="19" t="s">
        <v>126</v>
      </c>
      <c r="H2600" s="19" t="s">
        <v>63</v>
      </c>
      <c r="I2600" s="19" t="s">
        <v>147</v>
      </c>
      <c r="J2600" s="20">
        <v>12</v>
      </c>
      <c r="K2600" s="34">
        <v>1</v>
      </c>
      <c r="L2600" s="34">
        <v>5</v>
      </c>
      <c r="M2600" s="19">
        <f>IF(OR(ISBLANK(C2600),C2600=""),"",ROUND((C2600-B2600)*24,2))</f>
        <v>20.62</v>
      </c>
      <c r="N2600" s="39" t="str">
        <f>IF(OR(ISBLANK(C2600),C2600="",M2600=""),"In Progress",IF(M2600&lt;=J2600,"Met","Breached"))</f>
        <v>Breached</v>
      </c>
    </row>
    <row r="2601" ht="19" customHeight="1" spans="1:14" x14ac:dyDescent="0.25">
      <c r="A2601" s="22" t="s">
        <v>2715</v>
      </c>
      <c r="B2601" s="36">
        <v>46138.944444444445</v>
      </c>
      <c r="C2601" s="36">
        <v>46142.861805555556</v>
      </c>
      <c r="D2601" s="22" t="s">
        <v>33</v>
      </c>
      <c r="E2601" s="22" t="s">
        <v>69</v>
      </c>
      <c r="F2601" s="22" t="s">
        <v>34</v>
      </c>
      <c r="G2601" s="22" t="s">
        <v>113</v>
      </c>
      <c r="H2601" s="22" t="s">
        <v>59</v>
      </c>
      <c r="I2601" s="22" t="s">
        <v>147</v>
      </c>
      <c r="J2601" s="23">
        <v>120</v>
      </c>
      <c r="K2601" s="37">
        <v>0</v>
      </c>
      <c r="M2601" s="22">
        <f>IF(OR(ISBLANK(C2601),C2601=""),"",ROUND((C2601-B2601)*24,2))</f>
        <v>94.02</v>
      </c>
      <c r="N2601" s="40" t="str">
        <f>IF(OR(ISBLANK(C2601),C2601="",M2601=""),"In Progress",IF(M2601&lt;=J2601,"Met","Breached"))</f>
        <v>Met</v>
      </c>
    </row>
    <row r="2602" ht="19" customHeight="1" spans="1:14" x14ac:dyDescent="0.25">
      <c r="A2602" s="19" t="s">
        <v>2716</v>
      </c>
      <c r="B2602" s="33">
        <v>45925.96805555555</v>
      </c>
      <c r="C2602" s="33">
        <v>45926.56527777778</v>
      </c>
      <c r="D2602" s="19" t="s">
        <v>33</v>
      </c>
      <c r="E2602" s="19" t="s">
        <v>61</v>
      </c>
      <c r="F2602" s="19" t="s">
        <v>37</v>
      </c>
      <c r="G2602" s="19" t="s">
        <v>126</v>
      </c>
      <c r="H2602" s="19" t="s">
        <v>63</v>
      </c>
      <c r="I2602" s="19" t="s">
        <v>108</v>
      </c>
      <c r="J2602" s="20">
        <v>12</v>
      </c>
      <c r="K2602" s="34">
        <v>0</v>
      </c>
      <c r="L2602" s="34">
        <v>3</v>
      </c>
      <c r="M2602" s="19">
        <f>IF(OR(ISBLANK(C2602),C2602=""),"",ROUND((C2602-B2602)*24,2))</f>
        <v>14.33</v>
      </c>
      <c r="N2602" s="39" t="str">
        <f>IF(OR(ISBLANK(C2602),C2602="",M2602=""),"In Progress",IF(M2602&lt;=J2602,"Met","Breached"))</f>
        <v>Breached</v>
      </c>
    </row>
    <row r="2603" ht="19" customHeight="1" spans="1:14" x14ac:dyDescent="0.25">
      <c r="A2603" s="22" t="s">
        <v>2717</v>
      </c>
      <c r="B2603" s="36">
        <v>45712.44861111111</v>
      </c>
      <c r="C2603" s="36">
        <v>45715.17569444445</v>
      </c>
      <c r="D2603" s="22" t="s">
        <v>36</v>
      </c>
      <c r="E2603" s="22" t="s">
        <v>65</v>
      </c>
      <c r="F2603" s="22" t="s">
        <v>45</v>
      </c>
      <c r="G2603" s="22" t="s">
        <v>63</v>
      </c>
      <c r="H2603" s="22" t="s">
        <v>59</v>
      </c>
      <c r="I2603" s="22" t="s">
        <v>114</v>
      </c>
      <c r="J2603" s="23">
        <v>48</v>
      </c>
      <c r="K2603" s="37">
        <v>0</v>
      </c>
      <c r="M2603" s="22">
        <f>IF(OR(ISBLANK(C2603),C2603=""),"",ROUND((C2603-B2603)*24,2))</f>
        <v>65.45</v>
      </c>
      <c r="N2603" s="38" t="str">
        <f>IF(OR(ISBLANK(C2603),C2603="",M2603=""),"In Progress",IF(M2603&lt;=J2603,"Met","Breached"))</f>
        <v>Breached</v>
      </c>
    </row>
    <row r="2604" ht="19" customHeight="1" spans="1:14" x14ac:dyDescent="0.25">
      <c r="A2604" s="19" t="s">
        <v>2718</v>
      </c>
      <c r="B2604" s="33">
        <v>45938.09583333333</v>
      </c>
      <c r="C2604" s="33">
        <v>45942.40069444444</v>
      </c>
      <c r="D2604" s="19" t="s">
        <v>36</v>
      </c>
      <c r="E2604" s="19" t="s">
        <v>69</v>
      </c>
      <c r="F2604" s="19" t="s">
        <v>45</v>
      </c>
      <c r="G2604" s="19" t="s">
        <v>110</v>
      </c>
      <c r="H2604" s="19" t="s">
        <v>59</v>
      </c>
      <c r="I2604" s="19" t="s">
        <v>108</v>
      </c>
      <c r="J2604" s="20">
        <v>120</v>
      </c>
      <c r="K2604" s="34">
        <v>0</v>
      </c>
      <c r="M2604" s="19">
        <f>IF(OR(ISBLANK(C2604),C2604=""),"",ROUND((C2604-B2604)*24,2))</f>
        <v>103.32</v>
      </c>
      <c r="N2604" s="35" t="str">
        <f>IF(OR(ISBLANK(C2604),C2604="",M2604=""),"In Progress",IF(M2604&lt;=J2604,"Met","Breached"))</f>
        <v>Met</v>
      </c>
    </row>
    <row r="2605" ht="19" customHeight="1" spans="1:14" x14ac:dyDescent="0.25">
      <c r="A2605" s="22" t="s">
        <v>2719</v>
      </c>
      <c r="B2605" s="36">
        <v>46127.024305555555</v>
      </c>
      <c r="C2605" s="36">
        <v>46127.31805555556</v>
      </c>
      <c r="D2605" s="22" t="s">
        <v>36</v>
      </c>
      <c r="E2605" s="22" t="s">
        <v>57</v>
      </c>
      <c r="F2605" s="22" t="s">
        <v>40</v>
      </c>
      <c r="G2605" s="22" t="s">
        <v>121</v>
      </c>
      <c r="H2605" s="22" t="s">
        <v>59</v>
      </c>
      <c r="I2605" s="22" t="s">
        <v>108</v>
      </c>
      <c r="J2605" s="23">
        <v>4</v>
      </c>
      <c r="K2605" s="37">
        <v>1</v>
      </c>
      <c r="L2605" s="37">
        <v>2</v>
      </c>
      <c r="M2605" s="22">
        <f>IF(OR(ISBLANK(C2605),C2605=""),"",ROUND((C2605-B2605)*24,2))</f>
        <v>7.05</v>
      </c>
      <c r="N2605" s="38" t="str">
        <f>IF(OR(ISBLANK(C2605),C2605="",M2605=""),"In Progress",IF(M2605&lt;=J2605,"Met","Breached"))</f>
        <v>Breached</v>
      </c>
    </row>
    <row r="2606" ht="19" customHeight="1" spans="1:14" x14ac:dyDescent="0.25">
      <c r="A2606" s="19" t="s">
        <v>2720</v>
      </c>
      <c r="B2606" s="33">
        <v>45813.38402777778</v>
      </c>
      <c r="C2606" s="33">
        <v>45813.589583333334</v>
      </c>
      <c r="D2606" s="19" t="s">
        <v>36</v>
      </c>
      <c r="E2606" s="19" t="s">
        <v>57</v>
      </c>
      <c r="F2606" s="19" t="s">
        <v>45</v>
      </c>
      <c r="G2606" s="19" t="s">
        <v>110</v>
      </c>
      <c r="H2606" s="19" t="s">
        <v>67</v>
      </c>
      <c r="I2606" s="19" t="s">
        <v>111</v>
      </c>
      <c r="J2606" s="20">
        <v>4</v>
      </c>
      <c r="K2606" s="34">
        <v>0</v>
      </c>
      <c r="L2606" s="34">
        <v>3</v>
      </c>
      <c r="M2606" s="19">
        <f>IF(OR(ISBLANK(C2606),C2606=""),"",ROUND((C2606-B2606)*24,2))</f>
        <v>4.93</v>
      </c>
      <c r="N2606" s="39" t="str">
        <f>IF(OR(ISBLANK(C2606),C2606="",M2606=""),"In Progress",IF(M2606&lt;=J2606,"Met","Breached"))</f>
        <v>Breached</v>
      </c>
    </row>
    <row r="2607" ht="19" customHeight="1" spans="1:14" x14ac:dyDescent="0.25">
      <c r="A2607" s="22" t="s">
        <v>2721</v>
      </c>
      <c r="B2607" s="36">
        <v>46002.50277777778</v>
      </c>
      <c r="C2607" s="36">
        <v>46005.93263888889</v>
      </c>
      <c r="D2607" s="22" t="s">
        <v>33</v>
      </c>
      <c r="E2607" s="22" t="s">
        <v>65</v>
      </c>
      <c r="F2607" s="22" t="s">
        <v>45</v>
      </c>
      <c r="G2607" s="22" t="s">
        <v>113</v>
      </c>
      <c r="H2607" s="22" t="s">
        <v>59</v>
      </c>
      <c r="I2607" s="22" t="s">
        <v>117</v>
      </c>
      <c r="J2607" s="23">
        <v>48</v>
      </c>
      <c r="K2607" s="37">
        <v>0</v>
      </c>
      <c r="L2607" s="37">
        <v>5</v>
      </c>
      <c r="M2607" s="22">
        <f>IF(OR(ISBLANK(C2607),C2607=""),"",ROUND((C2607-B2607)*24,2))</f>
        <v>82.32</v>
      </c>
      <c r="N2607" s="38" t="str">
        <f>IF(OR(ISBLANK(C2607),C2607="",M2607=""),"In Progress",IF(M2607&lt;=J2607,"Met","Breached"))</f>
        <v>Breached</v>
      </c>
    </row>
    <row r="2608" ht="19" customHeight="1" spans="1:14" x14ac:dyDescent="0.25">
      <c r="A2608" s="19" t="s">
        <v>2722</v>
      </c>
      <c r="B2608" s="33">
        <v>46199.17013888889</v>
      </c>
      <c r="C2608" s="33">
        <v>46206.15763888889</v>
      </c>
      <c r="D2608" s="19" t="s">
        <v>36</v>
      </c>
      <c r="E2608" s="19" t="s">
        <v>69</v>
      </c>
      <c r="F2608" s="19" t="s">
        <v>43</v>
      </c>
      <c r="G2608" s="19" t="s">
        <v>116</v>
      </c>
      <c r="H2608" s="19" t="s">
        <v>59</v>
      </c>
      <c r="I2608" s="19" t="s">
        <v>147</v>
      </c>
      <c r="J2608" s="20">
        <v>120</v>
      </c>
      <c r="K2608" s="34">
        <v>1</v>
      </c>
      <c r="L2608" s="34">
        <v>3</v>
      </c>
      <c r="M2608" s="19">
        <f>IF(OR(ISBLANK(C2608),C2608=""),"",ROUND((C2608-B2608)*24,2))</f>
        <v>167.7</v>
      </c>
      <c r="N2608" s="39" t="str">
        <f>IF(OR(ISBLANK(C2608),C2608="",M2608=""),"In Progress",IF(M2608&lt;=J2608,"Met","Breached"))</f>
        <v>Breached</v>
      </c>
    </row>
    <row r="2609" ht="19" customHeight="1" spans="1:14" x14ac:dyDescent="0.25">
      <c r="A2609" s="22" t="s">
        <v>2723</v>
      </c>
      <c r="B2609" s="36">
        <v>46072.24652777778</v>
      </c>
      <c r="D2609" s="22" t="s">
        <v>42</v>
      </c>
      <c r="E2609" s="22" t="s">
        <v>69</v>
      </c>
      <c r="F2609" s="22" t="s">
        <v>40</v>
      </c>
      <c r="G2609" s="22" t="s">
        <v>63</v>
      </c>
      <c r="H2609" s="22" t="s">
        <v>59</v>
      </c>
      <c r="I2609" s="22" t="s">
        <v>114</v>
      </c>
      <c r="J2609" s="23">
        <v>120</v>
      </c>
      <c r="K2609" s="37">
        <v>0</v>
      </c>
      <c r="M2609" s="22" t="str">
        <f>IF(OR(ISBLANK(C2609),C2609=""),"",ROUND((C2609-B2609)*24,2))</f>
        <v/>
      </c>
      <c r="N2609" s="22" t="str">
        <f>IF(OR(ISBLANK(C2609),C2609="",M2609=""),"In Progress",IF(M2609&lt;=J2609,"Met","Breached"))</f>
        <v>In Progress</v>
      </c>
    </row>
    <row r="2610" ht="19" customHeight="1" spans="1:14" x14ac:dyDescent="0.25">
      <c r="A2610" s="19" t="s">
        <v>2724</v>
      </c>
      <c r="B2610" s="33">
        <v>46204.14722222222</v>
      </c>
      <c r="C2610" s="33">
        <v>46204.48819444445</v>
      </c>
      <c r="D2610" s="19" t="s">
        <v>36</v>
      </c>
      <c r="E2610" s="19" t="s">
        <v>61</v>
      </c>
      <c r="F2610" s="19" t="s">
        <v>45</v>
      </c>
      <c r="G2610" s="19" t="s">
        <v>63</v>
      </c>
      <c r="H2610" s="19" t="s">
        <v>59</v>
      </c>
      <c r="I2610" s="19" t="s">
        <v>108</v>
      </c>
      <c r="J2610" s="20">
        <v>12</v>
      </c>
      <c r="K2610" s="34">
        <v>1</v>
      </c>
      <c r="L2610" s="34">
        <v>2</v>
      </c>
      <c r="M2610" s="19">
        <f>IF(OR(ISBLANK(C2610),C2610=""),"",ROUND((C2610-B2610)*24,2))</f>
        <v>8.18</v>
      </c>
      <c r="N2610" s="35" t="str">
        <f>IF(OR(ISBLANK(C2610),C2610="",M2610=""),"In Progress",IF(M2610&lt;=J2610,"Met","Breached"))</f>
        <v>Met</v>
      </c>
    </row>
    <row r="2611" ht="19" customHeight="1" spans="1:14" x14ac:dyDescent="0.25">
      <c r="A2611" s="22" t="s">
        <v>2725</v>
      </c>
      <c r="B2611" s="36">
        <v>46009.33333333333</v>
      </c>
      <c r="C2611" s="36">
        <v>46010.37291666667</v>
      </c>
      <c r="D2611" s="22" t="s">
        <v>36</v>
      </c>
      <c r="E2611" s="22" t="s">
        <v>65</v>
      </c>
      <c r="F2611" s="22" t="s">
        <v>37</v>
      </c>
      <c r="G2611" s="22" t="s">
        <v>63</v>
      </c>
      <c r="H2611" s="22" t="s">
        <v>67</v>
      </c>
      <c r="I2611" s="22" t="s">
        <v>114</v>
      </c>
      <c r="J2611" s="23">
        <v>48</v>
      </c>
      <c r="K2611" s="37">
        <v>0</v>
      </c>
      <c r="L2611" s="37">
        <v>4</v>
      </c>
      <c r="M2611" s="22">
        <f>IF(OR(ISBLANK(C2611),C2611=""),"",ROUND((C2611-B2611)*24,2))</f>
        <v>24.95</v>
      </c>
      <c r="N2611" s="40" t="str">
        <f>IF(OR(ISBLANK(C2611),C2611="",M2611=""),"In Progress",IF(M2611&lt;=J2611,"Met","Breached"))</f>
        <v>Met</v>
      </c>
    </row>
    <row r="2612" ht="19" customHeight="1" spans="1:14" x14ac:dyDescent="0.25">
      <c r="A2612" s="19" t="s">
        <v>2726</v>
      </c>
      <c r="B2612" s="33">
        <v>45860.71666666667</v>
      </c>
      <c r="C2612" s="33">
        <v>45861.57638888889</v>
      </c>
      <c r="D2612" s="19" t="s">
        <v>33</v>
      </c>
      <c r="E2612" s="19" t="s">
        <v>65</v>
      </c>
      <c r="F2612" s="19" t="s">
        <v>45</v>
      </c>
      <c r="G2612" s="19" t="s">
        <v>116</v>
      </c>
      <c r="H2612" s="19" t="s">
        <v>59</v>
      </c>
      <c r="I2612" s="19" t="s">
        <v>123</v>
      </c>
      <c r="J2612" s="20">
        <v>48</v>
      </c>
      <c r="K2612" s="34">
        <v>0</v>
      </c>
      <c r="L2612" s="34">
        <v>2</v>
      </c>
      <c r="M2612" s="19">
        <f>IF(OR(ISBLANK(C2612),C2612=""),"",ROUND((C2612-B2612)*24,2))</f>
        <v>20.63</v>
      </c>
      <c r="N2612" s="35" t="str">
        <f>IF(OR(ISBLANK(C2612),C2612="",M2612=""),"In Progress",IF(M2612&lt;=J2612,"Met","Breached"))</f>
        <v>Met</v>
      </c>
    </row>
    <row r="2613" ht="19" customHeight="1" spans="1:14" x14ac:dyDescent="0.25">
      <c r="A2613" s="22" t="s">
        <v>2727</v>
      </c>
      <c r="B2613" s="36">
        <v>45958.33125</v>
      </c>
      <c r="C2613" s="36">
        <v>45961.40763888889</v>
      </c>
      <c r="D2613" s="22" t="s">
        <v>33</v>
      </c>
      <c r="E2613" s="22" t="s">
        <v>65</v>
      </c>
      <c r="F2613" s="22" t="s">
        <v>40</v>
      </c>
      <c r="G2613" s="22" t="s">
        <v>110</v>
      </c>
      <c r="H2613" s="22" t="s">
        <v>59</v>
      </c>
      <c r="I2613" s="22" t="s">
        <v>147</v>
      </c>
      <c r="J2613" s="23">
        <v>48</v>
      </c>
      <c r="K2613" s="37">
        <v>0</v>
      </c>
      <c r="L2613" s="37">
        <v>2</v>
      </c>
      <c r="M2613" s="22">
        <f>IF(OR(ISBLANK(C2613),C2613=""),"",ROUND((C2613-B2613)*24,2))</f>
        <v>73.83</v>
      </c>
      <c r="N2613" s="38" t="str">
        <f>IF(OR(ISBLANK(C2613),C2613="",M2613=""),"In Progress",IF(M2613&lt;=J2613,"Met","Breached"))</f>
        <v>Breached</v>
      </c>
    </row>
    <row r="2614" ht="19" customHeight="1" spans="1:14" x14ac:dyDescent="0.25">
      <c r="A2614" s="19" t="s">
        <v>2728</v>
      </c>
      <c r="B2614" s="33">
        <v>46089.225694444445</v>
      </c>
      <c r="C2614" s="33">
        <v>46095.69236111111</v>
      </c>
      <c r="D2614" s="19" t="s">
        <v>33</v>
      </c>
      <c r="E2614" s="19" t="s">
        <v>69</v>
      </c>
      <c r="F2614" s="19" t="s">
        <v>40</v>
      </c>
      <c r="G2614" s="19" t="s">
        <v>126</v>
      </c>
      <c r="H2614" s="19" t="s">
        <v>67</v>
      </c>
      <c r="I2614" s="19" t="s">
        <v>114</v>
      </c>
      <c r="J2614" s="20">
        <v>120</v>
      </c>
      <c r="K2614" s="34">
        <v>0</v>
      </c>
      <c r="L2614" s="34">
        <v>1</v>
      </c>
      <c r="M2614" s="19">
        <f>IF(OR(ISBLANK(C2614),C2614=""),"",ROUND((C2614-B2614)*24,2))</f>
        <v>155.2</v>
      </c>
      <c r="N2614" s="39" t="str">
        <f>IF(OR(ISBLANK(C2614),C2614="",M2614=""),"In Progress",IF(M2614&lt;=J2614,"Met","Breached"))</f>
        <v>Breached</v>
      </c>
    </row>
    <row r="2615" ht="19" customHeight="1" spans="1:14" x14ac:dyDescent="0.25">
      <c r="A2615" s="22" t="s">
        <v>2729</v>
      </c>
      <c r="B2615" s="36">
        <v>45953.82708333334</v>
      </c>
      <c r="C2615" s="36">
        <v>45962.694444444445</v>
      </c>
      <c r="D2615" s="22" t="s">
        <v>33</v>
      </c>
      <c r="E2615" s="22" t="s">
        <v>69</v>
      </c>
      <c r="F2615" s="22" t="s">
        <v>45</v>
      </c>
      <c r="G2615" s="22" t="s">
        <v>63</v>
      </c>
      <c r="H2615" s="22" t="s">
        <v>71</v>
      </c>
      <c r="I2615" s="22" t="s">
        <v>111</v>
      </c>
      <c r="J2615" s="23">
        <v>120</v>
      </c>
      <c r="K2615" s="37">
        <v>1</v>
      </c>
      <c r="L2615" s="37">
        <v>4</v>
      </c>
      <c r="M2615" s="22">
        <f>IF(OR(ISBLANK(C2615),C2615=""),"",ROUND((C2615-B2615)*24,2))</f>
        <v>212.82</v>
      </c>
      <c r="N2615" s="38" t="str">
        <f>IF(OR(ISBLANK(C2615),C2615="",M2615=""),"In Progress",IF(M2615&lt;=J2615,"Met","Breached"))</f>
        <v>Breached</v>
      </c>
    </row>
    <row r="2616" ht="19" customHeight="1" spans="1:14" x14ac:dyDescent="0.25">
      <c r="A2616" s="19" t="s">
        <v>2730</v>
      </c>
      <c r="B2616" s="33">
        <v>45852.7875</v>
      </c>
      <c r="D2616" s="19" t="s">
        <v>39</v>
      </c>
      <c r="E2616" s="19" t="s">
        <v>61</v>
      </c>
      <c r="F2616" s="19" t="s">
        <v>37</v>
      </c>
      <c r="G2616" s="19" t="s">
        <v>116</v>
      </c>
      <c r="H2616" s="19" t="s">
        <v>59</v>
      </c>
      <c r="I2616" s="19" t="s">
        <v>111</v>
      </c>
      <c r="J2616" s="20">
        <v>12</v>
      </c>
      <c r="K2616" s="34">
        <v>0</v>
      </c>
      <c r="M2616" s="19" t="str">
        <f>IF(OR(ISBLANK(C2616),C2616=""),"",ROUND((C2616-B2616)*24,2))</f>
        <v/>
      </c>
      <c r="N2616" s="19" t="str">
        <f>IF(OR(ISBLANK(C2616),C2616="",M2616=""),"In Progress",IF(M2616&lt;=J2616,"Met","Breached"))</f>
        <v>In Progress</v>
      </c>
    </row>
    <row r="2617" ht="19" customHeight="1" spans="1:14" x14ac:dyDescent="0.25">
      <c r="A2617" s="22" t="s">
        <v>2731</v>
      </c>
      <c r="B2617" s="36">
        <v>46024.34930555556</v>
      </c>
      <c r="D2617" s="22" t="s">
        <v>39</v>
      </c>
      <c r="E2617" s="22" t="s">
        <v>65</v>
      </c>
      <c r="F2617" s="22" t="s">
        <v>45</v>
      </c>
      <c r="G2617" s="22" t="s">
        <v>126</v>
      </c>
      <c r="H2617" s="22" t="s">
        <v>59</v>
      </c>
      <c r="I2617" s="22" t="s">
        <v>123</v>
      </c>
      <c r="J2617" s="23">
        <v>48</v>
      </c>
      <c r="K2617" s="37">
        <v>0</v>
      </c>
      <c r="M2617" s="22" t="str">
        <f>IF(OR(ISBLANK(C2617),C2617=""),"",ROUND((C2617-B2617)*24,2))</f>
        <v/>
      </c>
      <c r="N2617" s="22" t="str">
        <f>IF(OR(ISBLANK(C2617),C2617="",M2617=""),"In Progress",IF(M2617&lt;=J2617,"Met","Breached"))</f>
        <v>In Progress</v>
      </c>
    </row>
    <row r="2618" ht="19" customHeight="1" spans="1:14" x14ac:dyDescent="0.25">
      <c r="A2618" s="19" t="s">
        <v>2732</v>
      </c>
      <c r="B2618" s="33">
        <v>45769.04722222222</v>
      </c>
      <c r="C2618" s="33">
        <v>45770.0375</v>
      </c>
      <c r="D2618" s="19" t="s">
        <v>33</v>
      </c>
      <c r="E2618" s="19" t="s">
        <v>65</v>
      </c>
      <c r="F2618" s="19" t="s">
        <v>45</v>
      </c>
      <c r="G2618" s="19" t="s">
        <v>113</v>
      </c>
      <c r="H2618" s="19" t="s">
        <v>63</v>
      </c>
      <c r="I2618" s="19" t="s">
        <v>108</v>
      </c>
      <c r="J2618" s="20">
        <v>48</v>
      </c>
      <c r="K2618" s="34">
        <v>1</v>
      </c>
      <c r="L2618" s="34">
        <v>1</v>
      </c>
      <c r="M2618" s="19">
        <f>IF(OR(ISBLANK(C2618),C2618=""),"",ROUND((C2618-B2618)*24,2))</f>
        <v>23.77</v>
      </c>
      <c r="N2618" s="35" t="str">
        <f>IF(OR(ISBLANK(C2618),C2618="",M2618=""),"In Progress",IF(M2618&lt;=J2618,"Met","Breached"))</f>
        <v>Met</v>
      </c>
    </row>
    <row r="2619" ht="19" customHeight="1" spans="1:14" x14ac:dyDescent="0.25">
      <c r="A2619" s="22" t="s">
        <v>2733</v>
      </c>
      <c r="B2619" s="36">
        <v>45799.695138888885</v>
      </c>
      <c r="C2619" s="36">
        <v>45799.81736111111</v>
      </c>
      <c r="D2619" s="22" t="s">
        <v>36</v>
      </c>
      <c r="E2619" s="22" t="s">
        <v>57</v>
      </c>
      <c r="F2619" s="22" t="s">
        <v>43</v>
      </c>
      <c r="G2619" s="22" t="s">
        <v>121</v>
      </c>
      <c r="H2619" s="22" t="s">
        <v>71</v>
      </c>
      <c r="I2619" s="22" t="s">
        <v>114</v>
      </c>
      <c r="J2619" s="23">
        <v>4</v>
      </c>
      <c r="K2619" s="37">
        <v>0</v>
      </c>
      <c r="L2619" s="37">
        <v>4</v>
      </c>
      <c r="M2619" s="22">
        <f>IF(OR(ISBLANK(C2619),C2619=""),"",ROUND((C2619-B2619)*24,2))</f>
        <v>2.93</v>
      </c>
      <c r="N2619" s="40" t="str">
        <f>IF(OR(ISBLANK(C2619),C2619="",M2619=""),"In Progress",IF(M2619&lt;=J2619,"Met","Breached"))</f>
        <v>Met</v>
      </c>
    </row>
    <row r="2620" ht="19" customHeight="1" spans="1:14" x14ac:dyDescent="0.25">
      <c r="A2620" s="19" t="s">
        <v>2734</v>
      </c>
      <c r="B2620" s="33">
        <v>45782.05694444444</v>
      </c>
      <c r="C2620" s="33">
        <v>45788.50555555556</v>
      </c>
      <c r="D2620" s="19" t="s">
        <v>33</v>
      </c>
      <c r="E2620" s="19" t="s">
        <v>69</v>
      </c>
      <c r="F2620" s="19" t="s">
        <v>43</v>
      </c>
      <c r="G2620" s="19" t="s">
        <v>116</v>
      </c>
      <c r="H2620" s="19" t="s">
        <v>71</v>
      </c>
      <c r="I2620" s="19" t="s">
        <v>108</v>
      </c>
      <c r="J2620" s="20">
        <v>120</v>
      </c>
      <c r="K2620" s="34">
        <v>0</v>
      </c>
      <c r="L2620" s="34">
        <v>4</v>
      </c>
      <c r="M2620" s="19">
        <f>IF(OR(ISBLANK(C2620),C2620=""),"",ROUND((C2620-B2620)*24,2))</f>
        <v>154.77</v>
      </c>
      <c r="N2620" s="39" t="str">
        <f>IF(OR(ISBLANK(C2620),C2620="",M2620=""),"In Progress",IF(M2620&lt;=J2620,"Met","Breached"))</f>
        <v>Breached</v>
      </c>
    </row>
    <row r="2621" ht="19" customHeight="1" spans="1:14" x14ac:dyDescent="0.25">
      <c r="A2621" s="22" t="s">
        <v>2735</v>
      </c>
      <c r="B2621" s="36">
        <v>46240.92222222222</v>
      </c>
      <c r="C2621" s="36">
        <v>46242.81736111111</v>
      </c>
      <c r="D2621" s="22" t="s">
        <v>33</v>
      </c>
      <c r="E2621" s="22" t="s">
        <v>65</v>
      </c>
      <c r="F2621" s="22" t="s">
        <v>34</v>
      </c>
      <c r="G2621" s="22" t="s">
        <v>121</v>
      </c>
      <c r="H2621" s="22" t="s">
        <v>67</v>
      </c>
      <c r="I2621" s="22" t="s">
        <v>108</v>
      </c>
      <c r="J2621" s="23">
        <v>48</v>
      </c>
      <c r="K2621" s="37">
        <v>0</v>
      </c>
      <c r="M2621" s="22">
        <f>IF(OR(ISBLANK(C2621),C2621=""),"",ROUND((C2621-B2621)*24,2))</f>
        <v>45.48</v>
      </c>
      <c r="N2621" s="40" t="str">
        <f>IF(OR(ISBLANK(C2621),C2621="",M2621=""),"In Progress",IF(M2621&lt;=J2621,"Met","Breached"))</f>
        <v>Met</v>
      </c>
    </row>
    <row r="2622" ht="19" customHeight="1" spans="1:14" x14ac:dyDescent="0.25">
      <c r="A2622" s="19" t="s">
        <v>2736</v>
      </c>
      <c r="B2622" s="33">
        <v>45829.572222222225</v>
      </c>
      <c r="D2622" s="19" t="s">
        <v>39</v>
      </c>
      <c r="E2622" s="19" t="s">
        <v>69</v>
      </c>
      <c r="F2622" s="19" t="s">
        <v>45</v>
      </c>
      <c r="G2622" s="19" t="s">
        <v>63</v>
      </c>
      <c r="H2622" s="19" t="s">
        <v>67</v>
      </c>
      <c r="I2622" s="19" t="s">
        <v>147</v>
      </c>
      <c r="J2622" s="20">
        <v>120</v>
      </c>
      <c r="K2622" s="34">
        <v>0</v>
      </c>
      <c r="M2622" s="19" t="str">
        <f>IF(OR(ISBLANK(C2622),C2622=""),"",ROUND((C2622-B2622)*24,2))</f>
        <v/>
      </c>
      <c r="N2622" s="19" t="str">
        <f>IF(OR(ISBLANK(C2622),C2622="",M2622=""),"In Progress",IF(M2622&lt;=J2622,"Met","Breached"))</f>
        <v>In Progress</v>
      </c>
    </row>
    <row r="2623" ht="19" customHeight="1" spans="1:14" x14ac:dyDescent="0.25">
      <c r="A2623" s="22" t="s">
        <v>2737</v>
      </c>
      <c r="B2623" s="36">
        <v>46115.43958333333</v>
      </c>
      <c r="C2623" s="36">
        <v>46115.56180555555</v>
      </c>
      <c r="D2623" s="22" t="s">
        <v>33</v>
      </c>
      <c r="E2623" s="22" t="s">
        <v>57</v>
      </c>
      <c r="F2623" s="22" t="s">
        <v>37</v>
      </c>
      <c r="G2623" s="22" t="s">
        <v>126</v>
      </c>
      <c r="H2623" s="22" t="s">
        <v>59</v>
      </c>
      <c r="I2623" s="22" t="s">
        <v>123</v>
      </c>
      <c r="J2623" s="23">
        <v>4</v>
      </c>
      <c r="K2623" s="37">
        <v>0</v>
      </c>
      <c r="L2623" s="37">
        <v>1</v>
      </c>
      <c r="M2623" s="22">
        <f>IF(OR(ISBLANK(C2623),C2623=""),"",ROUND((C2623-B2623)*24,2))</f>
        <v>2.93</v>
      </c>
      <c r="N2623" s="40" t="str">
        <f>IF(OR(ISBLANK(C2623),C2623="",M2623=""),"In Progress",IF(M2623&lt;=J2623,"Met","Breached"))</f>
        <v>Met</v>
      </c>
    </row>
    <row r="2624" ht="19" customHeight="1" spans="1:14" x14ac:dyDescent="0.25">
      <c r="A2624" s="19" t="s">
        <v>2738</v>
      </c>
      <c r="B2624" s="33">
        <v>45905.88055555556</v>
      </c>
      <c r="C2624" s="33">
        <v>45906.04791666666</v>
      </c>
      <c r="D2624" s="19" t="s">
        <v>36</v>
      </c>
      <c r="E2624" s="19" t="s">
        <v>57</v>
      </c>
      <c r="F2624" s="19" t="s">
        <v>37</v>
      </c>
      <c r="G2624" s="19" t="s">
        <v>63</v>
      </c>
      <c r="H2624" s="19" t="s">
        <v>63</v>
      </c>
      <c r="I2624" s="19" t="s">
        <v>111</v>
      </c>
      <c r="J2624" s="20">
        <v>4</v>
      </c>
      <c r="K2624" s="34">
        <v>0</v>
      </c>
      <c r="L2624" s="34">
        <v>5</v>
      </c>
      <c r="M2624" s="19">
        <f>IF(OR(ISBLANK(C2624),C2624=""),"",ROUND((C2624-B2624)*24,2))</f>
        <v>4.02</v>
      </c>
      <c r="N2624" s="39" t="str">
        <f>IF(OR(ISBLANK(C2624),C2624="",M2624=""),"In Progress",IF(M2624&lt;=J2624,"Met","Breached"))</f>
        <v>Breached</v>
      </c>
    </row>
    <row r="2625" ht="19" customHeight="1" spans="1:14" x14ac:dyDescent="0.25">
      <c r="A2625" s="22" t="s">
        <v>2739</v>
      </c>
      <c r="B2625" s="36">
        <v>46260.61388888889</v>
      </c>
      <c r="C2625" s="36">
        <v>46266.861805555556</v>
      </c>
      <c r="D2625" s="22" t="s">
        <v>33</v>
      </c>
      <c r="E2625" s="22" t="s">
        <v>69</v>
      </c>
      <c r="F2625" s="22" t="s">
        <v>45</v>
      </c>
      <c r="G2625" s="22" t="s">
        <v>121</v>
      </c>
      <c r="H2625" s="22" t="s">
        <v>59</v>
      </c>
      <c r="I2625" s="22" t="s">
        <v>123</v>
      </c>
      <c r="J2625" s="23">
        <v>120</v>
      </c>
      <c r="K2625" s="37">
        <v>1</v>
      </c>
      <c r="L2625" s="37">
        <v>5</v>
      </c>
      <c r="M2625" s="22">
        <f>IF(OR(ISBLANK(C2625),C2625=""),"",ROUND((C2625-B2625)*24,2))</f>
        <v>149.95</v>
      </c>
      <c r="N2625" s="38" t="str">
        <f>IF(OR(ISBLANK(C2625),C2625="",M2625=""),"In Progress",IF(M2625&lt;=J2625,"Met","Breached"))</f>
        <v>Breached</v>
      </c>
    </row>
    <row r="2626" ht="19" customHeight="1" spans="1:14" x14ac:dyDescent="0.25">
      <c r="A2626" s="19" t="s">
        <v>2740</v>
      </c>
      <c r="B2626" s="33">
        <v>45862.600694444445</v>
      </c>
      <c r="D2626" s="19" t="s">
        <v>39</v>
      </c>
      <c r="E2626" s="19" t="s">
        <v>61</v>
      </c>
      <c r="F2626" s="19" t="s">
        <v>37</v>
      </c>
      <c r="G2626" s="19" t="s">
        <v>126</v>
      </c>
      <c r="H2626" s="19" t="s">
        <v>59</v>
      </c>
      <c r="I2626" s="19" t="s">
        <v>147</v>
      </c>
      <c r="J2626" s="20">
        <v>12</v>
      </c>
      <c r="K2626" s="34">
        <v>0</v>
      </c>
      <c r="M2626" s="19" t="str">
        <f>IF(OR(ISBLANK(C2626),C2626=""),"",ROUND((C2626-B2626)*24,2))</f>
        <v/>
      </c>
      <c r="N2626" s="19" t="str">
        <f>IF(OR(ISBLANK(C2626),C2626="",M2626=""),"In Progress",IF(M2626&lt;=J2626,"Met","Breached"))</f>
        <v>In Progress</v>
      </c>
    </row>
    <row r="2627" ht="19" customHeight="1" spans="1:14" x14ac:dyDescent="0.25">
      <c r="A2627" s="22" t="s">
        <v>2741</v>
      </c>
      <c r="B2627" s="36">
        <v>45852.69861111111</v>
      </c>
      <c r="C2627" s="36">
        <v>45853.07847222222</v>
      </c>
      <c r="D2627" s="22" t="s">
        <v>33</v>
      </c>
      <c r="E2627" s="22" t="s">
        <v>61</v>
      </c>
      <c r="F2627" s="22" t="s">
        <v>40</v>
      </c>
      <c r="G2627" s="22" t="s">
        <v>126</v>
      </c>
      <c r="H2627" s="22" t="s">
        <v>59</v>
      </c>
      <c r="I2627" s="22" t="s">
        <v>123</v>
      </c>
      <c r="J2627" s="23">
        <v>12</v>
      </c>
      <c r="K2627" s="37">
        <v>0</v>
      </c>
      <c r="L2627" s="37">
        <v>1</v>
      </c>
      <c r="M2627" s="22">
        <f>IF(OR(ISBLANK(C2627),C2627=""),"",ROUND((C2627-B2627)*24,2))</f>
        <v>9.12</v>
      </c>
      <c r="N2627" s="40" t="str">
        <f>IF(OR(ISBLANK(C2627),C2627="",M2627=""),"In Progress",IF(M2627&lt;=J2627,"Met","Breached"))</f>
        <v>Met</v>
      </c>
    </row>
    <row r="2628" ht="19" customHeight="1" spans="1:14" x14ac:dyDescent="0.25">
      <c r="A2628" s="19" t="s">
        <v>2742</v>
      </c>
      <c r="B2628" s="33">
        <v>46083.48472222222</v>
      </c>
      <c r="D2628" s="19" t="s">
        <v>39</v>
      </c>
      <c r="E2628" s="19" t="s">
        <v>69</v>
      </c>
      <c r="F2628" s="19" t="s">
        <v>43</v>
      </c>
      <c r="G2628" s="19" t="s">
        <v>63</v>
      </c>
      <c r="H2628" s="19" t="s">
        <v>71</v>
      </c>
      <c r="I2628" s="19" t="s">
        <v>117</v>
      </c>
      <c r="J2628" s="20">
        <v>120</v>
      </c>
      <c r="K2628" s="34">
        <v>0</v>
      </c>
      <c r="M2628" s="19" t="str">
        <f>IF(OR(ISBLANK(C2628),C2628=""),"",ROUND((C2628-B2628)*24,2))</f>
        <v/>
      </c>
      <c r="N2628" s="19" t="str">
        <f>IF(OR(ISBLANK(C2628),C2628="",M2628=""),"In Progress",IF(M2628&lt;=J2628,"Met","Breached"))</f>
        <v>In Progress</v>
      </c>
    </row>
    <row r="2629" ht="19" customHeight="1" spans="1:14" x14ac:dyDescent="0.25">
      <c r="A2629" s="22" t="s">
        <v>2743</v>
      </c>
      <c r="B2629" s="36">
        <v>46168.57708333334</v>
      </c>
      <c r="C2629" s="36">
        <v>46171.825</v>
      </c>
      <c r="D2629" s="22" t="s">
        <v>33</v>
      </c>
      <c r="E2629" s="22" t="s">
        <v>65</v>
      </c>
      <c r="F2629" s="22" t="s">
        <v>34</v>
      </c>
      <c r="G2629" s="22" t="s">
        <v>113</v>
      </c>
      <c r="H2629" s="22" t="s">
        <v>59</v>
      </c>
      <c r="I2629" s="22" t="s">
        <v>114</v>
      </c>
      <c r="J2629" s="23">
        <v>48</v>
      </c>
      <c r="K2629" s="37">
        <v>0</v>
      </c>
      <c r="L2629" s="37">
        <v>1</v>
      </c>
      <c r="M2629" s="22">
        <f>IF(OR(ISBLANK(C2629),C2629=""),"",ROUND((C2629-B2629)*24,2))</f>
        <v>77.95</v>
      </c>
      <c r="N2629" s="38" t="str">
        <f>IF(OR(ISBLANK(C2629),C2629="",M2629=""),"In Progress",IF(M2629&lt;=J2629,"Met","Breached"))</f>
        <v>Breached</v>
      </c>
    </row>
    <row r="2630" ht="19" customHeight="1" spans="1:14" x14ac:dyDescent="0.25">
      <c r="A2630" s="19" t="s">
        <v>2744</v>
      </c>
      <c r="B2630" s="33">
        <v>45705.12847222222</v>
      </c>
      <c r="C2630" s="33">
        <v>45707.87847222222</v>
      </c>
      <c r="D2630" s="19" t="s">
        <v>33</v>
      </c>
      <c r="E2630" s="19" t="s">
        <v>65</v>
      </c>
      <c r="F2630" s="19" t="s">
        <v>34</v>
      </c>
      <c r="G2630" s="19" t="s">
        <v>110</v>
      </c>
      <c r="H2630" s="19" t="s">
        <v>59</v>
      </c>
      <c r="I2630" s="19" t="s">
        <v>111</v>
      </c>
      <c r="J2630" s="20">
        <v>48</v>
      </c>
      <c r="K2630" s="34">
        <v>1</v>
      </c>
      <c r="M2630" s="19">
        <f>IF(OR(ISBLANK(C2630),C2630=""),"",ROUND((C2630-B2630)*24,2))</f>
        <v>66</v>
      </c>
      <c r="N2630" s="39" t="str">
        <f>IF(OR(ISBLANK(C2630),C2630="",M2630=""),"In Progress",IF(M2630&lt;=J2630,"Met","Breached"))</f>
        <v>Breached</v>
      </c>
    </row>
    <row r="2631" ht="19" customHeight="1" spans="1:14" x14ac:dyDescent="0.25">
      <c r="A2631" s="22" t="s">
        <v>2745</v>
      </c>
      <c r="B2631" s="36">
        <v>46023.54236111111</v>
      </c>
      <c r="C2631" s="36">
        <v>46024.02569444444</v>
      </c>
      <c r="D2631" s="22" t="s">
        <v>33</v>
      </c>
      <c r="E2631" s="22" t="s">
        <v>61</v>
      </c>
      <c r="F2631" s="22" t="s">
        <v>43</v>
      </c>
      <c r="G2631" s="22" t="s">
        <v>126</v>
      </c>
      <c r="H2631" s="22" t="s">
        <v>63</v>
      </c>
      <c r="I2631" s="22" t="s">
        <v>111</v>
      </c>
      <c r="J2631" s="23">
        <v>12</v>
      </c>
      <c r="K2631" s="37">
        <v>0</v>
      </c>
      <c r="M2631" s="22">
        <f>IF(OR(ISBLANK(C2631),C2631=""),"",ROUND((C2631-B2631)*24,2))</f>
        <v>11.6</v>
      </c>
      <c r="N2631" s="40" t="str">
        <f>IF(OR(ISBLANK(C2631),C2631="",M2631=""),"In Progress",IF(M2631&lt;=J2631,"Met","Breached"))</f>
        <v>Met</v>
      </c>
    </row>
    <row r="2632" ht="19" customHeight="1" spans="1:14" x14ac:dyDescent="0.25">
      <c r="A2632" s="19" t="s">
        <v>2746</v>
      </c>
      <c r="B2632" s="33">
        <v>46052.02083333333</v>
      </c>
      <c r="D2632" s="19" t="s">
        <v>39</v>
      </c>
      <c r="E2632" s="19" t="s">
        <v>61</v>
      </c>
      <c r="F2632" s="19" t="s">
        <v>40</v>
      </c>
      <c r="G2632" s="19" t="s">
        <v>126</v>
      </c>
      <c r="H2632" s="19" t="s">
        <v>59</v>
      </c>
      <c r="I2632" s="19" t="s">
        <v>114</v>
      </c>
      <c r="J2632" s="20">
        <v>12</v>
      </c>
      <c r="K2632" s="34">
        <v>0</v>
      </c>
      <c r="M2632" s="19" t="str">
        <f>IF(OR(ISBLANK(C2632),C2632=""),"",ROUND((C2632-B2632)*24,2))</f>
        <v/>
      </c>
      <c r="N2632" s="19" t="str">
        <f>IF(OR(ISBLANK(C2632),C2632="",M2632=""),"In Progress",IF(M2632&lt;=J2632,"Met","Breached"))</f>
        <v>In Progress</v>
      </c>
    </row>
    <row r="2633" ht="19" customHeight="1" spans="1:14" x14ac:dyDescent="0.25">
      <c r="A2633" s="22" t="s">
        <v>2747</v>
      </c>
      <c r="B2633" s="36">
        <v>46180.523611111115</v>
      </c>
      <c r="C2633" s="36">
        <v>46180.90555555555</v>
      </c>
      <c r="D2633" s="22" t="s">
        <v>33</v>
      </c>
      <c r="E2633" s="22" t="s">
        <v>61</v>
      </c>
      <c r="F2633" s="22" t="s">
        <v>34</v>
      </c>
      <c r="G2633" s="22" t="s">
        <v>126</v>
      </c>
      <c r="H2633" s="22" t="s">
        <v>63</v>
      </c>
      <c r="I2633" s="22" t="s">
        <v>123</v>
      </c>
      <c r="J2633" s="23">
        <v>12</v>
      </c>
      <c r="K2633" s="37">
        <v>0</v>
      </c>
      <c r="M2633" s="22">
        <f>IF(OR(ISBLANK(C2633),C2633=""),"",ROUND((C2633-B2633)*24,2))</f>
        <v>9.17</v>
      </c>
      <c r="N2633" s="40" t="str">
        <f>IF(OR(ISBLANK(C2633),C2633="",M2633=""),"In Progress",IF(M2633&lt;=J2633,"Met","Breached"))</f>
        <v>Met</v>
      </c>
    </row>
    <row r="2634" ht="19" customHeight="1" spans="1:14" x14ac:dyDescent="0.25">
      <c r="A2634" s="19" t="s">
        <v>2748</v>
      </c>
      <c r="B2634" s="33">
        <v>46078.947222222225</v>
      </c>
      <c r="C2634" s="33">
        <v>46082.40277777778</v>
      </c>
      <c r="D2634" s="19" t="s">
        <v>36</v>
      </c>
      <c r="E2634" s="19" t="s">
        <v>65</v>
      </c>
      <c r="F2634" s="19" t="s">
        <v>45</v>
      </c>
      <c r="G2634" s="19" t="s">
        <v>121</v>
      </c>
      <c r="H2634" s="19" t="s">
        <v>71</v>
      </c>
      <c r="I2634" s="19" t="s">
        <v>117</v>
      </c>
      <c r="J2634" s="20">
        <v>48</v>
      </c>
      <c r="K2634" s="34">
        <v>0</v>
      </c>
      <c r="L2634" s="34">
        <v>4</v>
      </c>
      <c r="M2634" s="19">
        <f>IF(OR(ISBLANK(C2634),C2634=""),"",ROUND((C2634-B2634)*24,2))</f>
        <v>82.93</v>
      </c>
      <c r="N2634" s="39" t="str">
        <f>IF(OR(ISBLANK(C2634),C2634="",M2634=""),"In Progress",IF(M2634&lt;=J2634,"Met","Breached"))</f>
        <v>Breached</v>
      </c>
    </row>
    <row r="2635" ht="19" customHeight="1" spans="1:14" x14ac:dyDescent="0.25">
      <c r="A2635" s="22" t="s">
        <v>2749</v>
      </c>
      <c r="B2635" s="36">
        <v>45810.955555555556</v>
      </c>
      <c r="C2635" s="36">
        <v>45812.6625</v>
      </c>
      <c r="D2635" s="22" t="s">
        <v>33</v>
      </c>
      <c r="E2635" s="22" t="s">
        <v>65</v>
      </c>
      <c r="F2635" s="22" t="s">
        <v>43</v>
      </c>
      <c r="G2635" s="22" t="s">
        <v>126</v>
      </c>
      <c r="H2635" s="22" t="s">
        <v>63</v>
      </c>
      <c r="I2635" s="22" t="s">
        <v>117</v>
      </c>
      <c r="J2635" s="23">
        <v>48</v>
      </c>
      <c r="K2635" s="37">
        <v>0</v>
      </c>
      <c r="L2635" s="37">
        <v>2</v>
      </c>
      <c r="M2635" s="22">
        <f>IF(OR(ISBLANK(C2635),C2635=""),"",ROUND((C2635-B2635)*24,2))</f>
        <v>40.97</v>
      </c>
      <c r="N2635" s="40" t="str">
        <f>IF(OR(ISBLANK(C2635),C2635="",M2635=""),"In Progress",IF(M2635&lt;=J2635,"Met","Breached"))</f>
        <v>Met</v>
      </c>
    </row>
    <row r="2636" ht="19" customHeight="1" spans="1:14" x14ac:dyDescent="0.25">
      <c r="A2636" s="19" t="s">
        <v>2750</v>
      </c>
      <c r="B2636" s="33">
        <v>45941.97152777778</v>
      </c>
      <c r="D2636" s="19" t="s">
        <v>39</v>
      </c>
      <c r="E2636" s="19" t="s">
        <v>65</v>
      </c>
      <c r="F2636" s="19" t="s">
        <v>43</v>
      </c>
      <c r="G2636" s="19" t="s">
        <v>126</v>
      </c>
      <c r="H2636" s="19" t="s">
        <v>59</v>
      </c>
      <c r="I2636" s="19" t="s">
        <v>123</v>
      </c>
      <c r="J2636" s="20">
        <v>48</v>
      </c>
      <c r="K2636" s="34">
        <v>0</v>
      </c>
      <c r="M2636" s="19" t="str">
        <f>IF(OR(ISBLANK(C2636),C2636=""),"",ROUND((C2636-B2636)*24,2))</f>
        <v/>
      </c>
      <c r="N2636" s="19" t="str">
        <f>IF(OR(ISBLANK(C2636),C2636="",M2636=""),"In Progress",IF(M2636&lt;=J2636,"Met","Breached"))</f>
        <v>In Progress</v>
      </c>
    </row>
    <row r="2637" ht="19" customHeight="1" spans="1:14" x14ac:dyDescent="0.25">
      <c r="A2637" s="22" t="s">
        <v>2751</v>
      </c>
      <c r="B2637" s="36">
        <v>45913.021527777775</v>
      </c>
      <c r="C2637" s="36">
        <v>45915.836805555555</v>
      </c>
      <c r="D2637" s="22" t="s">
        <v>33</v>
      </c>
      <c r="E2637" s="22" t="s">
        <v>69</v>
      </c>
      <c r="F2637" s="22" t="s">
        <v>37</v>
      </c>
      <c r="G2637" s="22" t="s">
        <v>113</v>
      </c>
      <c r="H2637" s="22" t="s">
        <v>67</v>
      </c>
      <c r="I2637" s="22" t="s">
        <v>111</v>
      </c>
      <c r="J2637" s="23">
        <v>120</v>
      </c>
      <c r="K2637" s="37">
        <v>0</v>
      </c>
      <c r="M2637" s="22">
        <f>IF(OR(ISBLANK(C2637),C2637=""),"",ROUND((C2637-B2637)*24,2))</f>
        <v>67.57</v>
      </c>
      <c r="N2637" s="40" t="str">
        <f>IF(OR(ISBLANK(C2637),C2637="",M2637=""),"In Progress",IF(M2637&lt;=J2637,"Met","Breached"))</f>
        <v>Met</v>
      </c>
    </row>
    <row r="2638" ht="19" customHeight="1" spans="1:14" x14ac:dyDescent="0.25">
      <c r="A2638" s="19" t="s">
        <v>2752</v>
      </c>
      <c r="B2638" s="33">
        <v>46020.50833333333</v>
      </c>
      <c r="C2638" s="33">
        <v>46022.51180555555</v>
      </c>
      <c r="D2638" s="19" t="s">
        <v>36</v>
      </c>
      <c r="E2638" s="19" t="s">
        <v>65</v>
      </c>
      <c r="F2638" s="19" t="s">
        <v>34</v>
      </c>
      <c r="G2638" s="19" t="s">
        <v>121</v>
      </c>
      <c r="H2638" s="19" t="s">
        <v>71</v>
      </c>
      <c r="I2638" s="19" t="s">
        <v>114</v>
      </c>
      <c r="J2638" s="20">
        <v>48</v>
      </c>
      <c r="K2638" s="34">
        <v>0</v>
      </c>
      <c r="L2638" s="34">
        <v>5</v>
      </c>
      <c r="M2638" s="19">
        <f>IF(OR(ISBLANK(C2638),C2638=""),"",ROUND((C2638-B2638)*24,2))</f>
        <v>48.08</v>
      </c>
      <c r="N2638" s="39" t="str">
        <f>IF(OR(ISBLANK(C2638),C2638="",M2638=""),"In Progress",IF(M2638&lt;=J2638,"Met","Breached"))</f>
        <v>Breached</v>
      </c>
    </row>
    <row r="2639" ht="19" customHeight="1" spans="1:14" x14ac:dyDescent="0.25">
      <c r="A2639" s="22" t="s">
        <v>2753</v>
      </c>
      <c r="B2639" s="36">
        <v>46030.29722222222</v>
      </c>
      <c r="C2639" s="36">
        <v>46033.430555555555</v>
      </c>
      <c r="D2639" s="22" t="s">
        <v>33</v>
      </c>
      <c r="E2639" s="22" t="s">
        <v>65</v>
      </c>
      <c r="F2639" s="22" t="s">
        <v>45</v>
      </c>
      <c r="G2639" s="22" t="s">
        <v>110</v>
      </c>
      <c r="H2639" s="22" t="s">
        <v>59</v>
      </c>
      <c r="I2639" s="22" t="s">
        <v>123</v>
      </c>
      <c r="J2639" s="23">
        <v>48</v>
      </c>
      <c r="K2639" s="37">
        <v>0</v>
      </c>
      <c r="L2639" s="37">
        <v>5</v>
      </c>
      <c r="M2639" s="22">
        <f>IF(OR(ISBLANK(C2639),C2639=""),"",ROUND((C2639-B2639)*24,2))</f>
        <v>75.2</v>
      </c>
      <c r="N2639" s="38" t="str">
        <f>IF(OR(ISBLANK(C2639),C2639="",M2639=""),"In Progress",IF(M2639&lt;=J2639,"Met","Breached"))</f>
        <v>Breached</v>
      </c>
    </row>
    <row r="2640" ht="19" customHeight="1" spans="1:14" x14ac:dyDescent="0.25">
      <c r="A2640" s="19" t="s">
        <v>2754</v>
      </c>
      <c r="B2640" s="33">
        <v>45762.429861111115</v>
      </c>
      <c r="C2640" s="33">
        <v>45764.839583333334</v>
      </c>
      <c r="D2640" s="19" t="s">
        <v>36</v>
      </c>
      <c r="E2640" s="19" t="s">
        <v>65</v>
      </c>
      <c r="F2640" s="19" t="s">
        <v>43</v>
      </c>
      <c r="G2640" s="19" t="s">
        <v>110</v>
      </c>
      <c r="H2640" s="19" t="s">
        <v>59</v>
      </c>
      <c r="I2640" s="19" t="s">
        <v>147</v>
      </c>
      <c r="J2640" s="20">
        <v>48</v>
      </c>
      <c r="K2640" s="34">
        <v>0</v>
      </c>
      <c r="M2640" s="19">
        <f>IF(OR(ISBLANK(C2640),C2640=""),"",ROUND((C2640-B2640)*24,2))</f>
        <v>57.83</v>
      </c>
      <c r="N2640" s="39" t="str">
        <f>IF(OR(ISBLANK(C2640),C2640="",M2640=""),"In Progress",IF(M2640&lt;=J2640,"Met","Breached"))</f>
        <v>Breached</v>
      </c>
    </row>
    <row r="2641" ht="19" customHeight="1" spans="1:14" x14ac:dyDescent="0.25">
      <c r="A2641" s="22" t="s">
        <v>2755</v>
      </c>
      <c r="B2641" s="36">
        <v>46009.384722222225</v>
      </c>
      <c r="C2641" s="36">
        <v>46011.78125</v>
      </c>
      <c r="D2641" s="22" t="s">
        <v>36</v>
      </c>
      <c r="E2641" s="22" t="s">
        <v>65</v>
      </c>
      <c r="F2641" s="22" t="s">
        <v>40</v>
      </c>
      <c r="G2641" s="22" t="s">
        <v>126</v>
      </c>
      <c r="H2641" s="22" t="s">
        <v>63</v>
      </c>
      <c r="I2641" s="22" t="s">
        <v>111</v>
      </c>
      <c r="J2641" s="23">
        <v>48</v>
      </c>
      <c r="K2641" s="37">
        <v>0</v>
      </c>
      <c r="L2641" s="37">
        <v>1</v>
      </c>
      <c r="M2641" s="22">
        <f>IF(OR(ISBLANK(C2641),C2641=""),"",ROUND((C2641-B2641)*24,2))</f>
        <v>57.52</v>
      </c>
      <c r="N2641" s="38" t="str">
        <f>IF(OR(ISBLANK(C2641),C2641="",M2641=""),"In Progress",IF(M2641&lt;=J2641,"Met","Breached"))</f>
        <v>Breached</v>
      </c>
    </row>
    <row r="2642" ht="19" customHeight="1" spans="1:14" x14ac:dyDescent="0.25">
      <c r="A2642" s="19" t="s">
        <v>2756</v>
      </c>
      <c r="B2642" s="33">
        <v>45926.07916666666</v>
      </c>
      <c r="C2642" s="33">
        <v>45927.30416666667</v>
      </c>
      <c r="D2642" s="19" t="s">
        <v>33</v>
      </c>
      <c r="E2642" s="19" t="s">
        <v>65</v>
      </c>
      <c r="F2642" s="19" t="s">
        <v>40</v>
      </c>
      <c r="G2642" s="19" t="s">
        <v>126</v>
      </c>
      <c r="H2642" s="19" t="s">
        <v>59</v>
      </c>
      <c r="I2642" s="19" t="s">
        <v>111</v>
      </c>
      <c r="J2642" s="20">
        <v>48</v>
      </c>
      <c r="K2642" s="34">
        <v>0</v>
      </c>
      <c r="M2642" s="19">
        <f>IF(OR(ISBLANK(C2642),C2642=""),"",ROUND((C2642-B2642)*24,2))</f>
        <v>29.4</v>
      </c>
      <c r="N2642" s="35" t="str">
        <f>IF(OR(ISBLANK(C2642),C2642="",M2642=""),"In Progress",IF(M2642&lt;=J2642,"Met","Breached"))</f>
        <v>Met</v>
      </c>
    </row>
    <row r="2643" ht="19" customHeight="1" spans="1:14" x14ac:dyDescent="0.25">
      <c r="A2643" s="22" t="s">
        <v>2757</v>
      </c>
      <c r="B2643" s="36">
        <v>46068.65694444445</v>
      </c>
      <c r="C2643" s="36">
        <v>46069.481944444444</v>
      </c>
      <c r="D2643" s="22" t="s">
        <v>33</v>
      </c>
      <c r="E2643" s="22" t="s">
        <v>61</v>
      </c>
      <c r="F2643" s="22" t="s">
        <v>37</v>
      </c>
      <c r="G2643" s="22" t="s">
        <v>110</v>
      </c>
      <c r="H2643" s="22" t="s">
        <v>71</v>
      </c>
      <c r="I2643" s="22" t="s">
        <v>111</v>
      </c>
      <c r="J2643" s="23">
        <v>12</v>
      </c>
      <c r="K2643" s="37">
        <v>0</v>
      </c>
      <c r="L2643" s="37">
        <v>1</v>
      </c>
      <c r="M2643" s="22">
        <f>IF(OR(ISBLANK(C2643),C2643=""),"",ROUND((C2643-B2643)*24,2))</f>
        <v>19.8</v>
      </c>
      <c r="N2643" s="38" t="str">
        <f>IF(OR(ISBLANK(C2643),C2643="",M2643=""),"In Progress",IF(M2643&lt;=J2643,"Met","Breached"))</f>
        <v>Breached</v>
      </c>
    </row>
    <row r="2644" ht="19" customHeight="1" spans="1:14" x14ac:dyDescent="0.25">
      <c r="A2644" s="19" t="s">
        <v>2758</v>
      </c>
      <c r="B2644" s="33">
        <v>45741.01875</v>
      </c>
      <c r="D2644" s="19" t="s">
        <v>39</v>
      </c>
      <c r="E2644" s="19" t="s">
        <v>65</v>
      </c>
      <c r="F2644" s="19" t="s">
        <v>45</v>
      </c>
      <c r="G2644" s="19" t="s">
        <v>126</v>
      </c>
      <c r="H2644" s="19" t="s">
        <v>59</v>
      </c>
      <c r="I2644" s="19" t="s">
        <v>117</v>
      </c>
      <c r="J2644" s="20">
        <v>48</v>
      </c>
      <c r="K2644" s="34">
        <v>0</v>
      </c>
      <c r="M2644" s="19" t="str">
        <f>IF(OR(ISBLANK(C2644),C2644=""),"",ROUND((C2644-B2644)*24,2))</f>
        <v/>
      </c>
      <c r="N2644" s="19" t="str">
        <f>IF(OR(ISBLANK(C2644),C2644="",M2644=""),"In Progress",IF(M2644&lt;=J2644,"Met","Breached"))</f>
        <v>In Progress</v>
      </c>
    </row>
    <row r="2645" ht="19" customHeight="1" spans="1:14" x14ac:dyDescent="0.25">
      <c r="A2645" s="22" t="s">
        <v>2759</v>
      </c>
      <c r="B2645" s="36">
        <v>45790.652083333334</v>
      </c>
      <c r="D2645" s="22" t="s">
        <v>42</v>
      </c>
      <c r="E2645" s="22" t="s">
        <v>69</v>
      </c>
      <c r="F2645" s="22" t="s">
        <v>43</v>
      </c>
      <c r="G2645" s="22" t="s">
        <v>63</v>
      </c>
      <c r="H2645" s="22" t="s">
        <v>59</v>
      </c>
      <c r="I2645" s="22" t="s">
        <v>123</v>
      </c>
      <c r="J2645" s="23">
        <v>120</v>
      </c>
      <c r="K2645" s="37">
        <v>0</v>
      </c>
      <c r="M2645" s="22" t="str">
        <f>IF(OR(ISBLANK(C2645),C2645=""),"",ROUND((C2645-B2645)*24,2))</f>
        <v/>
      </c>
      <c r="N2645" s="22" t="str">
        <f>IF(OR(ISBLANK(C2645),C2645="",M2645=""),"In Progress",IF(M2645&lt;=J2645,"Met","Breached"))</f>
        <v>In Progress</v>
      </c>
    </row>
    <row r="2646" ht="19" customHeight="1" spans="1:14" x14ac:dyDescent="0.25">
      <c r="A2646" s="19" t="s">
        <v>2760</v>
      </c>
      <c r="B2646" s="33">
        <v>45893.65069444444</v>
      </c>
      <c r="C2646" s="33">
        <v>45901.50555555556</v>
      </c>
      <c r="D2646" s="19" t="s">
        <v>36</v>
      </c>
      <c r="E2646" s="19" t="s">
        <v>69</v>
      </c>
      <c r="F2646" s="19" t="s">
        <v>37</v>
      </c>
      <c r="G2646" s="19" t="s">
        <v>126</v>
      </c>
      <c r="H2646" s="19" t="s">
        <v>59</v>
      </c>
      <c r="I2646" s="19" t="s">
        <v>114</v>
      </c>
      <c r="J2646" s="20">
        <v>120</v>
      </c>
      <c r="K2646" s="34">
        <v>0</v>
      </c>
      <c r="M2646" s="19">
        <f>IF(OR(ISBLANK(C2646),C2646=""),"",ROUND((C2646-B2646)*24,2))</f>
        <v>188.52</v>
      </c>
      <c r="N2646" s="39" t="str">
        <f>IF(OR(ISBLANK(C2646),C2646="",M2646=""),"In Progress",IF(M2646&lt;=J2646,"Met","Breached"))</f>
        <v>Breached</v>
      </c>
    </row>
    <row r="2647" ht="19" customHeight="1" spans="1:14" x14ac:dyDescent="0.25">
      <c r="A2647" s="22" t="s">
        <v>2761</v>
      </c>
      <c r="B2647" s="36">
        <v>46161.21388888889</v>
      </c>
      <c r="D2647" s="22" t="s">
        <v>39</v>
      </c>
      <c r="E2647" s="22" t="s">
        <v>65</v>
      </c>
      <c r="F2647" s="22" t="s">
        <v>43</v>
      </c>
      <c r="G2647" s="22" t="s">
        <v>113</v>
      </c>
      <c r="H2647" s="22" t="s">
        <v>67</v>
      </c>
      <c r="I2647" s="22" t="s">
        <v>117</v>
      </c>
      <c r="J2647" s="23">
        <v>48</v>
      </c>
      <c r="K2647" s="37">
        <v>0</v>
      </c>
      <c r="M2647" s="22" t="str">
        <f>IF(OR(ISBLANK(C2647),C2647=""),"",ROUND((C2647-B2647)*24,2))</f>
        <v/>
      </c>
      <c r="N2647" s="22" t="str">
        <f>IF(OR(ISBLANK(C2647),C2647="",M2647=""),"In Progress",IF(M2647&lt;=J2647,"Met","Breached"))</f>
        <v>In Progress</v>
      </c>
    </row>
    <row r="2648" ht="19" customHeight="1" spans="1:14" x14ac:dyDescent="0.25">
      <c r="A2648" s="19" t="s">
        <v>2762</v>
      </c>
      <c r="B2648" s="33">
        <v>45863.53055555555</v>
      </c>
      <c r="C2648" s="33">
        <v>45866.02013888889</v>
      </c>
      <c r="D2648" s="19" t="s">
        <v>33</v>
      </c>
      <c r="E2648" s="19" t="s">
        <v>65</v>
      </c>
      <c r="F2648" s="19" t="s">
        <v>45</v>
      </c>
      <c r="G2648" s="19" t="s">
        <v>126</v>
      </c>
      <c r="H2648" s="19" t="s">
        <v>67</v>
      </c>
      <c r="I2648" s="19" t="s">
        <v>111</v>
      </c>
      <c r="J2648" s="20">
        <v>48</v>
      </c>
      <c r="K2648" s="34">
        <v>1</v>
      </c>
      <c r="L2648" s="34">
        <v>3</v>
      </c>
      <c r="M2648" s="19">
        <f>IF(OR(ISBLANK(C2648),C2648=""),"",ROUND((C2648-B2648)*24,2))</f>
        <v>59.75</v>
      </c>
      <c r="N2648" s="39" t="str">
        <f>IF(OR(ISBLANK(C2648),C2648="",M2648=""),"In Progress",IF(M2648&lt;=J2648,"Met","Breached"))</f>
        <v>Breached</v>
      </c>
    </row>
    <row r="2649" ht="19" customHeight="1" spans="1:14" x14ac:dyDescent="0.25">
      <c r="A2649" s="22" t="s">
        <v>2763</v>
      </c>
      <c r="B2649" s="36">
        <v>45964.785416666666</v>
      </c>
      <c r="C2649" s="36">
        <v>45966.59166666667</v>
      </c>
      <c r="D2649" s="22" t="s">
        <v>33</v>
      </c>
      <c r="E2649" s="22" t="s">
        <v>65</v>
      </c>
      <c r="F2649" s="22" t="s">
        <v>43</v>
      </c>
      <c r="G2649" s="22" t="s">
        <v>113</v>
      </c>
      <c r="H2649" s="22" t="s">
        <v>59</v>
      </c>
      <c r="I2649" s="22" t="s">
        <v>111</v>
      </c>
      <c r="J2649" s="23">
        <v>48</v>
      </c>
      <c r="K2649" s="37">
        <v>0</v>
      </c>
      <c r="L2649" s="37">
        <v>3</v>
      </c>
      <c r="M2649" s="22">
        <f>IF(OR(ISBLANK(C2649),C2649=""),"",ROUND((C2649-B2649)*24,2))</f>
        <v>43.35</v>
      </c>
      <c r="N2649" s="40" t="str">
        <f>IF(OR(ISBLANK(C2649),C2649="",M2649=""),"In Progress",IF(M2649&lt;=J2649,"Met","Breached"))</f>
        <v>Met</v>
      </c>
    </row>
    <row r="2650" ht="19" customHeight="1" spans="1:14" x14ac:dyDescent="0.25">
      <c r="A2650" s="19" t="s">
        <v>2764</v>
      </c>
      <c r="B2650" s="33">
        <v>46152.268055555556</v>
      </c>
      <c r="C2650" s="33">
        <v>46153.493055555555</v>
      </c>
      <c r="D2650" s="19" t="s">
        <v>33</v>
      </c>
      <c r="E2650" s="19" t="s">
        <v>65</v>
      </c>
      <c r="F2650" s="19" t="s">
        <v>43</v>
      </c>
      <c r="G2650" s="19" t="s">
        <v>63</v>
      </c>
      <c r="H2650" s="19" t="s">
        <v>67</v>
      </c>
      <c r="I2650" s="19" t="s">
        <v>114</v>
      </c>
      <c r="J2650" s="20">
        <v>48</v>
      </c>
      <c r="K2650" s="34">
        <v>0</v>
      </c>
      <c r="L2650" s="34">
        <v>5</v>
      </c>
      <c r="M2650" s="19">
        <f>IF(OR(ISBLANK(C2650),C2650=""),"",ROUND((C2650-B2650)*24,2))</f>
        <v>29.4</v>
      </c>
      <c r="N2650" s="35" t="str">
        <f>IF(OR(ISBLANK(C2650),C2650="",M2650=""),"In Progress",IF(M2650&lt;=J2650,"Met","Breached"))</f>
        <v>Met</v>
      </c>
    </row>
    <row r="2651" ht="19" customHeight="1" spans="1:14" x14ac:dyDescent="0.25">
      <c r="A2651" s="22" t="s">
        <v>2765</v>
      </c>
      <c r="B2651" s="36">
        <v>46015.42152777778</v>
      </c>
      <c r="C2651" s="36">
        <v>46017.419444444444</v>
      </c>
      <c r="D2651" s="22" t="s">
        <v>36</v>
      </c>
      <c r="E2651" s="22" t="s">
        <v>65</v>
      </c>
      <c r="F2651" s="22" t="s">
        <v>34</v>
      </c>
      <c r="G2651" s="22" t="s">
        <v>126</v>
      </c>
      <c r="H2651" s="22" t="s">
        <v>59</v>
      </c>
      <c r="I2651" s="22" t="s">
        <v>108</v>
      </c>
      <c r="J2651" s="23">
        <v>48</v>
      </c>
      <c r="K2651" s="37">
        <v>0</v>
      </c>
      <c r="L2651" s="37">
        <v>1</v>
      </c>
      <c r="M2651" s="22">
        <f>IF(OR(ISBLANK(C2651),C2651=""),"",ROUND((C2651-B2651)*24,2))</f>
        <v>47.95</v>
      </c>
      <c r="N2651" s="40" t="str">
        <f>IF(OR(ISBLANK(C2651),C2651="",M2651=""),"In Progress",IF(M2651&lt;=J2651,"Met","Breached"))</f>
        <v>Met</v>
      </c>
    </row>
    <row r="2652" ht="19" customHeight="1" spans="1:14" x14ac:dyDescent="0.25">
      <c r="A2652" s="19" t="s">
        <v>2766</v>
      </c>
      <c r="B2652" s="33">
        <v>46185.080555555556</v>
      </c>
      <c r="D2652" s="19" t="s">
        <v>42</v>
      </c>
      <c r="E2652" s="19" t="s">
        <v>69</v>
      </c>
      <c r="F2652" s="19" t="s">
        <v>43</v>
      </c>
      <c r="G2652" s="19" t="s">
        <v>110</v>
      </c>
      <c r="H2652" s="19" t="s">
        <v>71</v>
      </c>
      <c r="I2652" s="19" t="s">
        <v>123</v>
      </c>
      <c r="J2652" s="20">
        <v>120</v>
      </c>
      <c r="K2652" s="34">
        <v>0</v>
      </c>
      <c r="M2652" s="19" t="str">
        <f>IF(OR(ISBLANK(C2652),C2652=""),"",ROUND((C2652-B2652)*24,2))</f>
        <v/>
      </c>
      <c r="N2652" s="19" t="str">
        <f>IF(OR(ISBLANK(C2652),C2652="",M2652=""),"In Progress",IF(M2652&lt;=J2652,"Met","Breached"))</f>
        <v>In Progress</v>
      </c>
    </row>
    <row r="2653" ht="19" customHeight="1" spans="1:14" x14ac:dyDescent="0.25">
      <c r="A2653" s="22" t="s">
        <v>2767</v>
      </c>
      <c r="B2653" s="36">
        <v>46222.27777777778</v>
      </c>
      <c r="D2653" s="22" t="s">
        <v>39</v>
      </c>
      <c r="E2653" s="22" t="s">
        <v>61</v>
      </c>
      <c r="F2653" s="22" t="s">
        <v>37</v>
      </c>
      <c r="G2653" s="22" t="s">
        <v>63</v>
      </c>
      <c r="H2653" s="22" t="s">
        <v>63</v>
      </c>
      <c r="I2653" s="22" t="s">
        <v>123</v>
      </c>
      <c r="J2653" s="23">
        <v>12</v>
      </c>
      <c r="K2653" s="37">
        <v>0</v>
      </c>
      <c r="M2653" s="22" t="str">
        <f>IF(OR(ISBLANK(C2653),C2653=""),"",ROUND((C2653-B2653)*24,2))</f>
        <v/>
      </c>
      <c r="N2653" s="22" t="str">
        <f>IF(OR(ISBLANK(C2653),C2653="",M2653=""),"In Progress",IF(M2653&lt;=J2653,"Met","Breached"))</f>
        <v>In Progress</v>
      </c>
    </row>
    <row r="2654" ht="19" customHeight="1" spans="1:14" x14ac:dyDescent="0.25">
      <c r="A2654" s="19" t="s">
        <v>2768</v>
      </c>
      <c r="B2654" s="33">
        <v>45923.39166666666</v>
      </c>
      <c r="C2654" s="33">
        <v>45928.504166666666</v>
      </c>
      <c r="D2654" s="19" t="s">
        <v>33</v>
      </c>
      <c r="E2654" s="19" t="s">
        <v>69</v>
      </c>
      <c r="F2654" s="19" t="s">
        <v>45</v>
      </c>
      <c r="G2654" s="19" t="s">
        <v>121</v>
      </c>
      <c r="H2654" s="19" t="s">
        <v>71</v>
      </c>
      <c r="I2654" s="19" t="s">
        <v>114</v>
      </c>
      <c r="J2654" s="20">
        <v>120</v>
      </c>
      <c r="K2654" s="34">
        <v>0</v>
      </c>
      <c r="L2654" s="34">
        <v>4</v>
      </c>
      <c r="M2654" s="19">
        <f>IF(OR(ISBLANK(C2654),C2654=""),"",ROUND((C2654-B2654)*24,2))</f>
        <v>122.7</v>
      </c>
      <c r="N2654" s="39" t="str">
        <f>IF(OR(ISBLANK(C2654),C2654="",M2654=""),"In Progress",IF(M2654&lt;=J2654,"Met","Breached"))</f>
        <v>Breached</v>
      </c>
    </row>
    <row r="2655" ht="19" customHeight="1" spans="1:14" x14ac:dyDescent="0.25">
      <c r="A2655" s="22" t="s">
        <v>2769</v>
      </c>
      <c r="B2655" s="36">
        <v>46108.77916666667</v>
      </c>
      <c r="C2655" s="36">
        <v>46111.61111111111</v>
      </c>
      <c r="D2655" s="22" t="s">
        <v>36</v>
      </c>
      <c r="E2655" s="22" t="s">
        <v>65</v>
      </c>
      <c r="F2655" s="22" t="s">
        <v>45</v>
      </c>
      <c r="G2655" s="22" t="s">
        <v>121</v>
      </c>
      <c r="H2655" s="22" t="s">
        <v>63</v>
      </c>
      <c r="I2655" s="22" t="s">
        <v>117</v>
      </c>
      <c r="J2655" s="23">
        <v>48</v>
      </c>
      <c r="K2655" s="37">
        <v>0</v>
      </c>
      <c r="M2655" s="22">
        <f>IF(OR(ISBLANK(C2655),C2655=""),"",ROUND((C2655-B2655)*24,2))</f>
        <v>67.97</v>
      </c>
      <c r="N2655" s="38" t="str">
        <f>IF(OR(ISBLANK(C2655),C2655="",M2655=""),"In Progress",IF(M2655&lt;=J2655,"Met","Breached"))</f>
        <v>Breached</v>
      </c>
    </row>
    <row r="2656" ht="19" customHeight="1" spans="1:14" x14ac:dyDescent="0.25">
      <c r="A2656" s="19" t="s">
        <v>2770</v>
      </c>
      <c r="B2656" s="33">
        <v>45832.99097222222</v>
      </c>
      <c r="C2656" s="33">
        <v>45840.76388888889</v>
      </c>
      <c r="D2656" s="19" t="s">
        <v>33</v>
      </c>
      <c r="E2656" s="19" t="s">
        <v>69</v>
      </c>
      <c r="F2656" s="19" t="s">
        <v>37</v>
      </c>
      <c r="G2656" s="19" t="s">
        <v>121</v>
      </c>
      <c r="H2656" s="19" t="s">
        <v>63</v>
      </c>
      <c r="I2656" s="19" t="s">
        <v>108</v>
      </c>
      <c r="J2656" s="20">
        <v>120</v>
      </c>
      <c r="K2656" s="34">
        <v>1</v>
      </c>
      <c r="M2656" s="19">
        <f>IF(OR(ISBLANK(C2656),C2656=""),"",ROUND((C2656-B2656)*24,2))</f>
        <v>186.55</v>
      </c>
      <c r="N2656" s="39" t="str">
        <f>IF(OR(ISBLANK(C2656),C2656="",M2656=""),"In Progress",IF(M2656&lt;=J2656,"Met","Breached"))</f>
        <v>Breached</v>
      </c>
    </row>
    <row r="2657" ht="19" customHeight="1" spans="1:14" x14ac:dyDescent="0.25">
      <c r="A2657" s="22" t="s">
        <v>2771</v>
      </c>
      <c r="B2657" s="36">
        <v>46239.941666666666</v>
      </c>
      <c r="D2657" s="22" t="s">
        <v>39</v>
      </c>
      <c r="E2657" s="22" t="s">
        <v>65</v>
      </c>
      <c r="F2657" s="22" t="s">
        <v>43</v>
      </c>
      <c r="G2657" s="22" t="s">
        <v>113</v>
      </c>
      <c r="H2657" s="22" t="s">
        <v>63</v>
      </c>
      <c r="I2657" s="22" t="s">
        <v>108</v>
      </c>
      <c r="J2657" s="23">
        <v>48</v>
      </c>
      <c r="K2657" s="37">
        <v>0</v>
      </c>
      <c r="M2657" s="22" t="str">
        <f>IF(OR(ISBLANK(C2657),C2657=""),"",ROUND((C2657-B2657)*24,2))</f>
        <v/>
      </c>
      <c r="N2657" s="22" t="str">
        <f>IF(OR(ISBLANK(C2657),C2657="",M2657=""),"In Progress",IF(M2657&lt;=J2657,"Met","Breached"))</f>
        <v>In Progress</v>
      </c>
    </row>
    <row r="2658" ht="19" customHeight="1" spans="1:14" x14ac:dyDescent="0.25">
      <c r="A2658" s="19" t="s">
        <v>2772</v>
      </c>
      <c r="B2658" s="33">
        <v>45991.80208333333</v>
      </c>
      <c r="D2658" s="19" t="s">
        <v>39</v>
      </c>
      <c r="E2658" s="19" t="s">
        <v>69</v>
      </c>
      <c r="F2658" s="19" t="s">
        <v>34</v>
      </c>
      <c r="G2658" s="19" t="s">
        <v>126</v>
      </c>
      <c r="H2658" s="19" t="s">
        <v>59</v>
      </c>
      <c r="I2658" s="19" t="s">
        <v>108</v>
      </c>
      <c r="J2658" s="20">
        <v>120</v>
      </c>
      <c r="K2658" s="34">
        <v>0</v>
      </c>
      <c r="M2658" s="19" t="str">
        <f>IF(OR(ISBLANK(C2658),C2658=""),"",ROUND((C2658-B2658)*24,2))</f>
        <v/>
      </c>
      <c r="N2658" s="19" t="str">
        <f>IF(OR(ISBLANK(C2658),C2658="",M2658=""),"In Progress",IF(M2658&lt;=J2658,"Met","Breached"))</f>
        <v>In Progress</v>
      </c>
    </row>
    <row r="2659" ht="19" customHeight="1" spans="1:14" x14ac:dyDescent="0.25">
      <c r="A2659" s="22" t="s">
        <v>2773</v>
      </c>
      <c r="B2659" s="36">
        <v>46278.52986111111</v>
      </c>
      <c r="D2659" s="22" t="s">
        <v>42</v>
      </c>
      <c r="E2659" s="22" t="s">
        <v>65</v>
      </c>
      <c r="F2659" s="22" t="s">
        <v>37</v>
      </c>
      <c r="G2659" s="22" t="s">
        <v>110</v>
      </c>
      <c r="H2659" s="22" t="s">
        <v>67</v>
      </c>
      <c r="I2659" s="22" t="s">
        <v>147</v>
      </c>
      <c r="J2659" s="23">
        <v>48</v>
      </c>
      <c r="K2659" s="37">
        <v>0</v>
      </c>
      <c r="M2659" s="22" t="str">
        <f>IF(OR(ISBLANK(C2659),C2659=""),"",ROUND((C2659-B2659)*24,2))</f>
        <v/>
      </c>
      <c r="N2659" s="22" t="str">
        <f>IF(OR(ISBLANK(C2659),C2659="",M2659=""),"In Progress",IF(M2659&lt;=J2659,"Met","Breached"))</f>
        <v>In Progress</v>
      </c>
    </row>
    <row r="2660" ht="19" customHeight="1" spans="1:14" x14ac:dyDescent="0.25">
      <c r="A2660" s="19" t="s">
        <v>2774</v>
      </c>
      <c r="B2660" s="33">
        <v>45921.95972222222</v>
      </c>
      <c r="D2660" s="19" t="s">
        <v>39</v>
      </c>
      <c r="E2660" s="19" t="s">
        <v>61</v>
      </c>
      <c r="F2660" s="19" t="s">
        <v>45</v>
      </c>
      <c r="G2660" s="19" t="s">
        <v>121</v>
      </c>
      <c r="H2660" s="19" t="s">
        <v>67</v>
      </c>
      <c r="I2660" s="19" t="s">
        <v>111</v>
      </c>
      <c r="J2660" s="20">
        <v>12</v>
      </c>
      <c r="K2660" s="34">
        <v>0</v>
      </c>
      <c r="M2660" s="19" t="str">
        <f>IF(OR(ISBLANK(C2660),C2660=""),"",ROUND((C2660-B2660)*24,2))</f>
        <v/>
      </c>
      <c r="N2660" s="19" t="str">
        <f>IF(OR(ISBLANK(C2660),C2660="",M2660=""),"In Progress",IF(M2660&lt;=J2660,"Met","Breached"))</f>
        <v>In Progress</v>
      </c>
    </row>
    <row r="2661" ht="19" customHeight="1" spans="1:14" x14ac:dyDescent="0.25">
      <c r="A2661" s="22" t="s">
        <v>2775</v>
      </c>
      <c r="B2661" s="36">
        <v>46252.39236111111</v>
      </c>
      <c r="D2661" s="22" t="s">
        <v>39</v>
      </c>
      <c r="E2661" s="22" t="s">
        <v>69</v>
      </c>
      <c r="F2661" s="22" t="s">
        <v>45</v>
      </c>
      <c r="G2661" s="22" t="s">
        <v>63</v>
      </c>
      <c r="H2661" s="22" t="s">
        <v>59</v>
      </c>
      <c r="I2661" s="22" t="s">
        <v>123</v>
      </c>
      <c r="J2661" s="23">
        <v>120</v>
      </c>
      <c r="K2661" s="37">
        <v>0</v>
      </c>
      <c r="M2661" s="22" t="str">
        <f>IF(OR(ISBLANK(C2661),C2661=""),"",ROUND((C2661-B2661)*24,2))</f>
        <v/>
      </c>
      <c r="N2661" s="22" t="str">
        <f>IF(OR(ISBLANK(C2661),C2661="",M2661=""),"In Progress",IF(M2661&lt;=J2661,"Met","Breached"))</f>
        <v>In Progress</v>
      </c>
    </row>
    <row r="2662" ht="19" customHeight="1" spans="1:14" x14ac:dyDescent="0.25">
      <c r="A2662" s="19" t="s">
        <v>2776</v>
      </c>
      <c r="B2662" s="33">
        <v>45905.55347222222</v>
      </c>
      <c r="C2662" s="33">
        <v>45908.78055555555</v>
      </c>
      <c r="D2662" s="19" t="s">
        <v>33</v>
      </c>
      <c r="E2662" s="19" t="s">
        <v>65</v>
      </c>
      <c r="F2662" s="19" t="s">
        <v>34</v>
      </c>
      <c r="G2662" s="19" t="s">
        <v>63</v>
      </c>
      <c r="H2662" s="19" t="s">
        <v>67</v>
      </c>
      <c r="I2662" s="19" t="s">
        <v>108</v>
      </c>
      <c r="J2662" s="20">
        <v>48</v>
      </c>
      <c r="K2662" s="34">
        <v>0</v>
      </c>
      <c r="M2662" s="19">
        <f>IF(OR(ISBLANK(C2662),C2662=""),"",ROUND((C2662-B2662)*24,2))</f>
        <v>77.45</v>
      </c>
      <c r="N2662" s="39" t="str">
        <f>IF(OR(ISBLANK(C2662),C2662="",M2662=""),"In Progress",IF(M2662&lt;=J2662,"Met","Breached"))</f>
        <v>Breached</v>
      </c>
    </row>
    <row r="2663" ht="19" customHeight="1" spans="1:14" x14ac:dyDescent="0.25">
      <c r="A2663" s="22" t="s">
        <v>2777</v>
      </c>
      <c r="B2663" s="36">
        <v>45844.05763888889</v>
      </c>
      <c r="C2663" s="36">
        <v>45844.62430555555</v>
      </c>
      <c r="D2663" s="22" t="s">
        <v>36</v>
      </c>
      <c r="E2663" s="22" t="s">
        <v>61</v>
      </c>
      <c r="F2663" s="22" t="s">
        <v>40</v>
      </c>
      <c r="G2663" s="22" t="s">
        <v>116</v>
      </c>
      <c r="H2663" s="22" t="s">
        <v>71</v>
      </c>
      <c r="I2663" s="22" t="s">
        <v>147</v>
      </c>
      <c r="J2663" s="23">
        <v>12</v>
      </c>
      <c r="K2663" s="37">
        <v>0</v>
      </c>
      <c r="L2663" s="37">
        <v>5</v>
      </c>
      <c r="M2663" s="22">
        <f>IF(OR(ISBLANK(C2663),C2663=""),"",ROUND((C2663-B2663)*24,2))</f>
        <v>13.6</v>
      </c>
      <c r="N2663" s="38" t="str">
        <f>IF(OR(ISBLANK(C2663),C2663="",M2663=""),"In Progress",IF(M2663&lt;=J2663,"Met","Breached"))</f>
        <v>Breached</v>
      </c>
    </row>
    <row r="2664" ht="19" customHeight="1" spans="1:14" x14ac:dyDescent="0.25">
      <c r="A2664" s="19" t="s">
        <v>2778</v>
      </c>
      <c r="B2664" s="33">
        <v>45778.495833333334</v>
      </c>
      <c r="D2664" s="19" t="s">
        <v>42</v>
      </c>
      <c r="E2664" s="19" t="s">
        <v>65</v>
      </c>
      <c r="F2664" s="19" t="s">
        <v>40</v>
      </c>
      <c r="G2664" s="19" t="s">
        <v>121</v>
      </c>
      <c r="H2664" s="19" t="s">
        <v>59</v>
      </c>
      <c r="I2664" s="19" t="s">
        <v>108</v>
      </c>
      <c r="J2664" s="20">
        <v>48</v>
      </c>
      <c r="K2664" s="34">
        <v>0</v>
      </c>
      <c r="M2664" s="19" t="str">
        <f>IF(OR(ISBLANK(C2664),C2664=""),"",ROUND((C2664-B2664)*24,2))</f>
        <v/>
      </c>
      <c r="N2664" s="19" t="str">
        <f>IF(OR(ISBLANK(C2664),C2664="",M2664=""),"In Progress",IF(M2664&lt;=J2664,"Met","Breached"))</f>
        <v>In Progress</v>
      </c>
    </row>
    <row r="2665" ht="19" customHeight="1" spans="1:14" x14ac:dyDescent="0.25">
      <c r="A2665" s="22" t="s">
        <v>2779</v>
      </c>
      <c r="B2665" s="36">
        <v>46207.06736111111</v>
      </c>
      <c r="C2665" s="36">
        <v>46209.38611111111</v>
      </c>
      <c r="D2665" s="22" t="s">
        <v>33</v>
      </c>
      <c r="E2665" s="22" t="s">
        <v>65</v>
      </c>
      <c r="F2665" s="22" t="s">
        <v>43</v>
      </c>
      <c r="G2665" s="22" t="s">
        <v>126</v>
      </c>
      <c r="H2665" s="22" t="s">
        <v>59</v>
      </c>
      <c r="I2665" s="22" t="s">
        <v>147</v>
      </c>
      <c r="J2665" s="23">
        <v>48</v>
      </c>
      <c r="K2665" s="37">
        <v>0</v>
      </c>
      <c r="L2665" s="37">
        <v>3</v>
      </c>
      <c r="M2665" s="22">
        <f>IF(OR(ISBLANK(C2665),C2665=""),"",ROUND((C2665-B2665)*24,2))</f>
        <v>55.65</v>
      </c>
      <c r="N2665" s="38" t="str">
        <f>IF(OR(ISBLANK(C2665),C2665="",M2665=""),"In Progress",IF(M2665&lt;=J2665,"Met","Breached"))</f>
        <v>Breached</v>
      </c>
    </row>
    <row r="2666" ht="19" customHeight="1" spans="1:14" x14ac:dyDescent="0.25">
      <c r="A2666" s="19" t="s">
        <v>2780</v>
      </c>
      <c r="B2666" s="33">
        <v>46029.75347222222</v>
      </c>
      <c r="C2666" s="33">
        <v>46030.115277777775</v>
      </c>
      <c r="D2666" s="19" t="s">
        <v>33</v>
      </c>
      <c r="E2666" s="19" t="s">
        <v>61</v>
      </c>
      <c r="F2666" s="19" t="s">
        <v>40</v>
      </c>
      <c r="G2666" s="19" t="s">
        <v>63</v>
      </c>
      <c r="H2666" s="19" t="s">
        <v>59</v>
      </c>
      <c r="I2666" s="19" t="s">
        <v>111</v>
      </c>
      <c r="J2666" s="20">
        <v>12</v>
      </c>
      <c r="K2666" s="34">
        <v>0</v>
      </c>
      <c r="L2666" s="34">
        <v>3</v>
      </c>
      <c r="M2666" s="19">
        <f>IF(OR(ISBLANK(C2666),C2666=""),"",ROUND((C2666-B2666)*24,2))</f>
        <v>8.68</v>
      </c>
      <c r="N2666" s="35" t="str">
        <f>IF(OR(ISBLANK(C2666),C2666="",M2666=""),"In Progress",IF(M2666&lt;=J2666,"Met","Breached"))</f>
        <v>Met</v>
      </c>
    </row>
    <row r="2667" ht="19" customHeight="1" spans="1:14" x14ac:dyDescent="0.25">
      <c r="A2667" s="22" t="s">
        <v>2781</v>
      </c>
      <c r="B2667" s="36">
        <v>45989.70833333333</v>
      </c>
      <c r="C2667" s="36">
        <v>45991.2625</v>
      </c>
      <c r="D2667" s="22" t="s">
        <v>36</v>
      </c>
      <c r="E2667" s="22" t="s">
        <v>69</v>
      </c>
      <c r="F2667" s="22" t="s">
        <v>34</v>
      </c>
      <c r="G2667" s="22" t="s">
        <v>63</v>
      </c>
      <c r="H2667" s="22" t="s">
        <v>71</v>
      </c>
      <c r="I2667" s="22" t="s">
        <v>117</v>
      </c>
      <c r="J2667" s="23">
        <v>120</v>
      </c>
      <c r="K2667" s="37">
        <v>0</v>
      </c>
      <c r="L2667" s="37">
        <v>3</v>
      </c>
      <c r="M2667" s="22">
        <f>IF(OR(ISBLANK(C2667),C2667=""),"",ROUND((C2667-B2667)*24,2))</f>
        <v>37.3</v>
      </c>
      <c r="N2667" s="40" t="str">
        <f>IF(OR(ISBLANK(C2667),C2667="",M2667=""),"In Progress",IF(M2667&lt;=J2667,"Met","Breached"))</f>
        <v>Met</v>
      </c>
    </row>
    <row r="2668" ht="19" customHeight="1" spans="1:14" x14ac:dyDescent="0.25">
      <c r="A2668" s="19" t="s">
        <v>2782</v>
      </c>
      <c r="B2668" s="33">
        <v>46003.714583333334</v>
      </c>
      <c r="D2668" s="19" t="s">
        <v>42</v>
      </c>
      <c r="E2668" s="19" t="s">
        <v>61</v>
      </c>
      <c r="F2668" s="19" t="s">
        <v>45</v>
      </c>
      <c r="G2668" s="19" t="s">
        <v>110</v>
      </c>
      <c r="H2668" s="19" t="s">
        <v>67</v>
      </c>
      <c r="I2668" s="19" t="s">
        <v>114</v>
      </c>
      <c r="J2668" s="20">
        <v>12</v>
      </c>
      <c r="K2668" s="34">
        <v>0</v>
      </c>
      <c r="M2668" s="19" t="str">
        <f>IF(OR(ISBLANK(C2668),C2668=""),"",ROUND((C2668-B2668)*24,2))</f>
        <v/>
      </c>
      <c r="N2668" s="19" t="str">
        <f>IF(OR(ISBLANK(C2668),C2668="",M2668=""),"In Progress",IF(M2668&lt;=J2668,"Met","Breached"))</f>
        <v>In Progress</v>
      </c>
    </row>
    <row r="2669" ht="19" customHeight="1" spans="1:14" x14ac:dyDescent="0.25">
      <c r="A2669" s="22" t="s">
        <v>2783</v>
      </c>
      <c r="B2669" s="36">
        <v>46081.07291666667</v>
      </c>
      <c r="C2669" s="36">
        <v>46083.17013888889</v>
      </c>
      <c r="D2669" s="22" t="s">
        <v>36</v>
      </c>
      <c r="E2669" s="22" t="s">
        <v>65</v>
      </c>
      <c r="F2669" s="22" t="s">
        <v>40</v>
      </c>
      <c r="G2669" s="22" t="s">
        <v>116</v>
      </c>
      <c r="H2669" s="22" t="s">
        <v>71</v>
      </c>
      <c r="I2669" s="22" t="s">
        <v>108</v>
      </c>
      <c r="J2669" s="23">
        <v>48</v>
      </c>
      <c r="K2669" s="37">
        <v>0</v>
      </c>
      <c r="L2669" s="37">
        <v>1</v>
      </c>
      <c r="M2669" s="22">
        <f>IF(OR(ISBLANK(C2669),C2669=""),"",ROUND((C2669-B2669)*24,2))</f>
        <v>50.33</v>
      </c>
      <c r="N2669" s="38" t="str">
        <f>IF(OR(ISBLANK(C2669),C2669="",M2669=""),"In Progress",IF(M2669&lt;=J2669,"Met","Breached"))</f>
        <v>Breached</v>
      </c>
    </row>
    <row r="2670" ht="19" customHeight="1" spans="1:14" x14ac:dyDescent="0.25">
      <c r="A2670" s="19" t="s">
        <v>2784</v>
      </c>
      <c r="B2670" s="33">
        <v>46136.43263888889</v>
      </c>
      <c r="C2670" s="33">
        <v>46137.1125</v>
      </c>
      <c r="D2670" s="19" t="s">
        <v>33</v>
      </c>
      <c r="E2670" s="19" t="s">
        <v>61</v>
      </c>
      <c r="F2670" s="19" t="s">
        <v>40</v>
      </c>
      <c r="G2670" s="19" t="s">
        <v>63</v>
      </c>
      <c r="H2670" s="19" t="s">
        <v>71</v>
      </c>
      <c r="I2670" s="19" t="s">
        <v>123</v>
      </c>
      <c r="J2670" s="20">
        <v>12</v>
      </c>
      <c r="K2670" s="34">
        <v>0</v>
      </c>
      <c r="L2670" s="34">
        <v>3</v>
      </c>
      <c r="M2670" s="19">
        <f>IF(OR(ISBLANK(C2670),C2670=""),"",ROUND((C2670-B2670)*24,2))</f>
        <v>16.32</v>
      </c>
      <c r="N2670" s="39" t="str">
        <f>IF(OR(ISBLANK(C2670),C2670="",M2670=""),"In Progress",IF(M2670&lt;=J2670,"Met","Breached"))</f>
        <v>Breached</v>
      </c>
    </row>
    <row r="2671" ht="19" customHeight="1" spans="1:14" x14ac:dyDescent="0.25">
      <c r="A2671" s="22" t="s">
        <v>2785</v>
      </c>
      <c r="B2671" s="36">
        <v>46242.65972222222</v>
      </c>
      <c r="C2671" s="36">
        <v>46244.15694444445</v>
      </c>
      <c r="D2671" s="22" t="s">
        <v>33</v>
      </c>
      <c r="E2671" s="22" t="s">
        <v>65</v>
      </c>
      <c r="F2671" s="22" t="s">
        <v>37</v>
      </c>
      <c r="G2671" s="22" t="s">
        <v>121</v>
      </c>
      <c r="H2671" s="22" t="s">
        <v>59</v>
      </c>
      <c r="I2671" s="22" t="s">
        <v>108</v>
      </c>
      <c r="J2671" s="23">
        <v>48</v>
      </c>
      <c r="K2671" s="37">
        <v>0</v>
      </c>
      <c r="L2671" s="37">
        <v>1</v>
      </c>
      <c r="M2671" s="22">
        <f>IF(OR(ISBLANK(C2671),C2671=""),"",ROUND((C2671-B2671)*24,2))</f>
        <v>35.93</v>
      </c>
      <c r="N2671" s="40" t="str">
        <f>IF(OR(ISBLANK(C2671),C2671="",M2671=""),"In Progress",IF(M2671&lt;=J2671,"Met","Breached"))</f>
        <v>Met</v>
      </c>
    </row>
    <row r="2672" ht="19" customHeight="1" spans="1:14" x14ac:dyDescent="0.25">
      <c r="A2672" s="19" t="s">
        <v>2786</v>
      </c>
      <c r="B2672" s="33">
        <v>46002.18263888889</v>
      </c>
      <c r="C2672" s="33">
        <v>46002.402083333334</v>
      </c>
      <c r="D2672" s="19" t="s">
        <v>36</v>
      </c>
      <c r="E2672" s="19" t="s">
        <v>57</v>
      </c>
      <c r="F2672" s="19" t="s">
        <v>45</v>
      </c>
      <c r="G2672" s="19" t="s">
        <v>63</v>
      </c>
      <c r="H2672" s="19" t="s">
        <v>71</v>
      </c>
      <c r="I2672" s="19" t="s">
        <v>123</v>
      </c>
      <c r="J2672" s="20">
        <v>4</v>
      </c>
      <c r="K2672" s="34">
        <v>0</v>
      </c>
      <c r="L2672" s="34">
        <v>3</v>
      </c>
      <c r="M2672" s="19">
        <f>IF(OR(ISBLANK(C2672),C2672=""),"",ROUND((C2672-B2672)*24,2))</f>
        <v>5.27</v>
      </c>
      <c r="N2672" s="39" t="str">
        <f>IF(OR(ISBLANK(C2672),C2672="",M2672=""),"In Progress",IF(M2672&lt;=J2672,"Met","Breached"))</f>
        <v>Breached</v>
      </c>
    </row>
    <row r="2673" ht="19" customHeight="1" spans="1:14" x14ac:dyDescent="0.25">
      <c r="A2673" s="22" t="s">
        <v>2787</v>
      </c>
      <c r="B2673" s="36">
        <v>46089.81736111111</v>
      </c>
      <c r="C2673" s="36">
        <v>46092.325694444444</v>
      </c>
      <c r="D2673" s="22" t="s">
        <v>33</v>
      </c>
      <c r="E2673" s="22" t="s">
        <v>65</v>
      </c>
      <c r="F2673" s="22" t="s">
        <v>37</v>
      </c>
      <c r="G2673" s="22" t="s">
        <v>110</v>
      </c>
      <c r="H2673" s="22" t="s">
        <v>59</v>
      </c>
      <c r="I2673" s="22" t="s">
        <v>147</v>
      </c>
      <c r="J2673" s="23">
        <v>48</v>
      </c>
      <c r="K2673" s="37">
        <v>0</v>
      </c>
      <c r="L2673" s="37">
        <v>4</v>
      </c>
      <c r="M2673" s="22">
        <f>IF(OR(ISBLANK(C2673),C2673=""),"",ROUND((C2673-B2673)*24,2))</f>
        <v>60.2</v>
      </c>
      <c r="N2673" s="38" t="str">
        <f>IF(OR(ISBLANK(C2673),C2673="",M2673=""),"In Progress",IF(M2673&lt;=J2673,"Met","Breached"))</f>
        <v>Breached</v>
      </c>
    </row>
    <row r="2674" ht="19" customHeight="1" spans="1:14" x14ac:dyDescent="0.25">
      <c r="A2674" s="19" t="s">
        <v>2788</v>
      </c>
      <c r="B2674" s="33">
        <v>45744.771527777775</v>
      </c>
      <c r="C2674" s="33">
        <v>45745.30763888889</v>
      </c>
      <c r="D2674" s="19" t="s">
        <v>36</v>
      </c>
      <c r="E2674" s="19" t="s">
        <v>61</v>
      </c>
      <c r="F2674" s="19" t="s">
        <v>37</v>
      </c>
      <c r="G2674" s="19" t="s">
        <v>113</v>
      </c>
      <c r="H2674" s="19" t="s">
        <v>59</v>
      </c>
      <c r="I2674" s="19" t="s">
        <v>108</v>
      </c>
      <c r="J2674" s="20">
        <v>12</v>
      </c>
      <c r="K2674" s="34">
        <v>0</v>
      </c>
      <c r="M2674" s="19">
        <f>IF(OR(ISBLANK(C2674),C2674=""),"",ROUND((C2674-B2674)*24,2))</f>
        <v>12.87</v>
      </c>
      <c r="N2674" s="39" t="str">
        <f>IF(OR(ISBLANK(C2674),C2674="",M2674=""),"In Progress",IF(M2674&lt;=J2674,"Met","Breached"))</f>
        <v>Breached</v>
      </c>
    </row>
    <row r="2675" ht="19" customHeight="1" spans="1:14" x14ac:dyDescent="0.25">
      <c r="A2675" s="22" t="s">
        <v>2789</v>
      </c>
      <c r="B2675" s="36">
        <v>45891.36875</v>
      </c>
      <c r="C2675" s="36">
        <v>45900.05208333333</v>
      </c>
      <c r="D2675" s="22" t="s">
        <v>36</v>
      </c>
      <c r="E2675" s="22" t="s">
        <v>69</v>
      </c>
      <c r="F2675" s="22" t="s">
        <v>34</v>
      </c>
      <c r="G2675" s="22" t="s">
        <v>121</v>
      </c>
      <c r="H2675" s="22" t="s">
        <v>63</v>
      </c>
      <c r="I2675" s="22" t="s">
        <v>108</v>
      </c>
      <c r="J2675" s="23">
        <v>120</v>
      </c>
      <c r="K2675" s="37">
        <v>0</v>
      </c>
      <c r="L2675" s="37">
        <v>5</v>
      </c>
      <c r="M2675" s="22">
        <f>IF(OR(ISBLANK(C2675),C2675=""),"",ROUND((C2675-B2675)*24,2))</f>
        <v>208.4</v>
      </c>
      <c r="N2675" s="38" t="str">
        <f>IF(OR(ISBLANK(C2675),C2675="",M2675=""),"In Progress",IF(M2675&lt;=J2675,"Met","Breached"))</f>
        <v>Breached</v>
      </c>
    </row>
    <row r="2676" ht="19" customHeight="1" spans="1:14" x14ac:dyDescent="0.25">
      <c r="A2676" s="19" t="s">
        <v>2790</v>
      </c>
      <c r="B2676" s="33">
        <v>45899.09930555556</v>
      </c>
      <c r="C2676" s="33">
        <v>45901.56875</v>
      </c>
      <c r="D2676" s="19" t="s">
        <v>36</v>
      </c>
      <c r="E2676" s="19" t="s">
        <v>65</v>
      </c>
      <c r="F2676" s="19" t="s">
        <v>43</v>
      </c>
      <c r="G2676" s="19" t="s">
        <v>113</v>
      </c>
      <c r="H2676" s="19" t="s">
        <v>59</v>
      </c>
      <c r="I2676" s="19" t="s">
        <v>147</v>
      </c>
      <c r="J2676" s="20">
        <v>48</v>
      </c>
      <c r="K2676" s="34">
        <v>0</v>
      </c>
      <c r="L2676" s="34">
        <v>1</v>
      </c>
      <c r="M2676" s="19">
        <f>IF(OR(ISBLANK(C2676),C2676=""),"",ROUND((C2676-B2676)*24,2))</f>
        <v>59.27</v>
      </c>
      <c r="N2676" s="39" t="str">
        <f>IF(OR(ISBLANK(C2676),C2676="",M2676=""),"In Progress",IF(M2676&lt;=J2676,"Met","Breached"))</f>
        <v>Breached</v>
      </c>
    </row>
    <row r="2677" ht="19" customHeight="1" spans="1:14" x14ac:dyDescent="0.25">
      <c r="A2677" s="22" t="s">
        <v>2791</v>
      </c>
      <c r="B2677" s="36">
        <v>46128.245833333334</v>
      </c>
      <c r="C2677" s="36">
        <v>46128.99444444444</v>
      </c>
      <c r="D2677" s="22" t="s">
        <v>36</v>
      </c>
      <c r="E2677" s="22" t="s">
        <v>61</v>
      </c>
      <c r="F2677" s="22" t="s">
        <v>37</v>
      </c>
      <c r="G2677" s="22" t="s">
        <v>113</v>
      </c>
      <c r="H2677" s="22" t="s">
        <v>63</v>
      </c>
      <c r="I2677" s="22" t="s">
        <v>117</v>
      </c>
      <c r="J2677" s="23">
        <v>12</v>
      </c>
      <c r="K2677" s="37">
        <v>0</v>
      </c>
      <c r="L2677" s="37">
        <v>3</v>
      </c>
      <c r="M2677" s="22">
        <f>IF(OR(ISBLANK(C2677),C2677=""),"",ROUND((C2677-B2677)*24,2))</f>
        <v>17.97</v>
      </c>
      <c r="N2677" s="38" t="str">
        <f>IF(OR(ISBLANK(C2677),C2677="",M2677=""),"In Progress",IF(M2677&lt;=J2677,"Met","Breached"))</f>
        <v>Breached</v>
      </c>
    </row>
    <row r="2678" ht="19" customHeight="1" spans="1:14" x14ac:dyDescent="0.25">
      <c r="A2678" s="19" t="s">
        <v>2792</v>
      </c>
      <c r="B2678" s="33">
        <v>45865.11111111111</v>
      </c>
      <c r="C2678" s="33">
        <v>45866.20763888889</v>
      </c>
      <c r="D2678" s="19" t="s">
        <v>36</v>
      </c>
      <c r="E2678" s="19" t="s">
        <v>65</v>
      </c>
      <c r="F2678" s="19" t="s">
        <v>45</v>
      </c>
      <c r="G2678" s="19" t="s">
        <v>116</v>
      </c>
      <c r="H2678" s="19" t="s">
        <v>59</v>
      </c>
      <c r="I2678" s="19" t="s">
        <v>123</v>
      </c>
      <c r="J2678" s="20">
        <v>48</v>
      </c>
      <c r="K2678" s="34">
        <v>0</v>
      </c>
      <c r="L2678" s="34">
        <v>2</v>
      </c>
      <c r="M2678" s="19">
        <f>IF(OR(ISBLANK(C2678),C2678=""),"",ROUND((C2678-B2678)*24,2))</f>
        <v>26.32</v>
      </c>
      <c r="N2678" s="35" t="str">
        <f>IF(OR(ISBLANK(C2678),C2678="",M2678=""),"In Progress",IF(M2678&lt;=J2678,"Met","Breached"))</f>
        <v>Met</v>
      </c>
    </row>
    <row r="2679" ht="19" customHeight="1" spans="1:14" x14ac:dyDescent="0.25">
      <c r="A2679" s="22" t="s">
        <v>2793</v>
      </c>
      <c r="B2679" s="36">
        <v>45778.42708333333</v>
      </c>
      <c r="C2679" s="36">
        <v>45780.92569444445</v>
      </c>
      <c r="D2679" s="22" t="s">
        <v>33</v>
      </c>
      <c r="E2679" s="22" t="s">
        <v>69</v>
      </c>
      <c r="F2679" s="22" t="s">
        <v>34</v>
      </c>
      <c r="G2679" s="22" t="s">
        <v>116</v>
      </c>
      <c r="H2679" s="22" t="s">
        <v>71</v>
      </c>
      <c r="I2679" s="22" t="s">
        <v>123</v>
      </c>
      <c r="J2679" s="23">
        <v>120</v>
      </c>
      <c r="K2679" s="37">
        <v>0</v>
      </c>
      <c r="M2679" s="22">
        <f>IF(OR(ISBLANK(C2679),C2679=""),"",ROUND((C2679-B2679)*24,2))</f>
        <v>59.97</v>
      </c>
      <c r="N2679" s="40" t="str">
        <f>IF(OR(ISBLANK(C2679),C2679="",M2679=""),"In Progress",IF(M2679&lt;=J2679,"Met","Breached"))</f>
        <v>Met</v>
      </c>
    </row>
    <row r="2680" ht="19" customHeight="1" spans="1:14" x14ac:dyDescent="0.25">
      <c r="A2680" s="19" t="s">
        <v>2794</v>
      </c>
      <c r="B2680" s="33">
        <v>46148.214583333334</v>
      </c>
      <c r="C2680" s="33">
        <v>46148.95486111111</v>
      </c>
      <c r="D2680" s="19" t="s">
        <v>36</v>
      </c>
      <c r="E2680" s="19" t="s">
        <v>61</v>
      </c>
      <c r="F2680" s="19" t="s">
        <v>43</v>
      </c>
      <c r="G2680" s="19" t="s">
        <v>121</v>
      </c>
      <c r="H2680" s="19" t="s">
        <v>63</v>
      </c>
      <c r="I2680" s="19" t="s">
        <v>117</v>
      </c>
      <c r="J2680" s="20">
        <v>12</v>
      </c>
      <c r="K2680" s="34">
        <v>0</v>
      </c>
      <c r="L2680" s="34">
        <v>4</v>
      </c>
      <c r="M2680" s="19">
        <f>IF(OR(ISBLANK(C2680),C2680=""),"",ROUND((C2680-B2680)*24,2))</f>
        <v>17.77</v>
      </c>
      <c r="N2680" s="39" t="str">
        <f>IF(OR(ISBLANK(C2680),C2680="",M2680=""),"In Progress",IF(M2680&lt;=J2680,"Met","Breached"))</f>
        <v>Breached</v>
      </c>
    </row>
    <row r="2681" ht="19" customHeight="1" spans="1:14" x14ac:dyDescent="0.25">
      <c r="A2681" s="22" t="s">
        <v>2795</v>
      </c>
      <c r="B2681" s="36">
        <v>45793.31319444445</v>
      </c>
      <c r="D2681" s="22" t="s">
        <v>39</v>
      </c>
      <c r="E2681" s="22" t="s">
        <v>65</v>
      </c>
      <c r="F2681" s="22" t="s">
        <v>43</v>
      </c>
      <c r="G2681" s="22" t="s">
        <v>121</v>
      </c>
      <c r="H2681" s="22" t="s">
        <v>63</v>
      </c>
      <c r="I2681" s="22" t="s">
        <v>111</v>
      </c>
      <c r="J2681" s="23">
        <v>48</v>
      </c>
      <c r="K2681" s="37">
        <v>0</v>
      </c>
      <c r="M2681" s="22" t="str">
        <f>IF(OR(ISBLANK(C2681),C2681=""),"",ROUND((C2681-B2681)*24,2))</f>
        <v/>
      </c>
      <c r="N2681" s="22" t="str">
        <f>IF(OR(ISBLANK(C2681),C2681="",M2681=""),"In Progress",IF(M2681&lt;=J2681,"Met","Breached"))</f>
        <v>In Progress</v>
      </c>
    </row>
    <row r="2682" ht="19" customHeight="1" spans="1:14" x14ac:dyDescent="0.25">
      <c r="A2682" s="19" t="s">
        <v>2796</v>
      </c>
      <c r="B2682" s="33">
        <v>46086.52638888889</v>
      </c>
      <c r="C2682" s="33">
        <v>46086.924305555556</v>
      </c>
      <c r="D2682" s="19" t="s">
        <v>33</v>
      </c>
      <c r="E2682" s="19" t="s">
        <v>61</v>
      </c>
      <c r="F2682" s="19" t="s">
        <v>34</v>
      </c>
      <c r="G2682" s="19" t="s">
        <v>113</v>
      </c>
      <c r="H2682" s="19" t="s">
        <v>59</v>
      </c>
      <c r="I2682" s="19" t="s">
        <v>111</v>
      </c>
      <c r="J2682" s="20">
        <v>12</v>
      </c>
      <c r="K2682" s="34">
        <v>0</v>
      </c>
      <c r="L2682" s="34">
        <v>1</v>
      </c>
      <c r="M2682" s="19">
        <f>IF(OR(ISBLANK(C2682),C2682=""),"",ROUND((C2682-B2682)*24,2))</f>
        <v>9.55</v>
      </c>
      <c r="N2682" s="35" t="str">
        <f>IF(OR(ISBLANK(C2682),C2682="",M2682=""),"In Progress",IF(M2682&lt;=J2682,"Met","Breached"))</f>
        <v>Met</v>
      </c>
    </row>
    <row r="2683" ht="19" customHeight="1" spans="1:14" x14ac:dyDescent="0.25">
      <c r="A2683" s="22" t="s">
        <v>2797</v>
      </c>
      <c r="B2683" s="36">
        <v>46207.61944444444</v>
      </c>
      <c r="D2683" s="22" t="s">
        <v>39</v>
      </c>
      <c r="E2683" s="22" t="s">
        <v>65</v>
      </c>
      <c r="F2683" s="22" t="s">
        <v>45</v>
      </c>
      <c r="G2683" s="22" t="s">
        <v>126</v>
      </c>
      <c r="H2683" s="22" t="s">
        <v>59</v>
      </c>
      <c r="I2683" s="22" t="s">
        <v>123</v>
      </c>
      <c r="J2683" s="23">
        <v>48</v>
      </c>
      <c r="K2683" s="37">
        <v>0</v>
      </c>
      <c r="M2683" s="22" t="str">
        <f>IF(OR(ISBLANK(C2683),C2683=""),"",ROUND((C2683-B2683)*24,2))</f>
        <v/>
      </c>
      <c r="N2683" s="22" t="str">
        <f>IF(OR(ISBLANK(C2683),C2683="",M2683=""),"In Progress",IF(M2683&lt;=J2683,"Met","Breached"))</f>
        <v>In Progress</v>
      </c>
    </row>
    <row r="2684" ht="19" customHeight="1" spans="1:14" x14ac:dyDescent="0.25">
      <c r="A2684" s="19" t="s">
        <v>2798</v>
      </c>
      <c r="B2684" s="33">
        <v>45945.23125</v>
      </c>
      <c r="D2684" s="19" t="s">
        <v>39</v>
      </c>
      <c r="E2684" s="19" t="s">
        <v>57</v>
      </c>
      <c r="F2684" s="19" t="s">
        <v>43</v>
      </c>
      <c r="G2684" s="19" t="s">
        <v>116</v>
      </c>
      <c r="H2684" s="19" t="s">
        <v>63</v>
      </c>
      <c r="I2684" s="19" t="s">
        <v>117</v>
      </c>
      <c r="J2684" s="20">
        <v>4</v>
      </c>
      <c r="K2684" s="34">
        <v>0</v>
      </c>
      <c r="M2684" s="19" t="str">
        <f>IF(OR(ISBLANK(C2684),C2684=""),"",ROUND((C2684-B2684)*24,2))</f>
        <v/>
      </c>
      <c r="N2684" s="19" t="str">
        <f>IF(OR(ISBLANK(C2684),C2684="",M2684=""),"In Progress",IF(M2684&lt;=J2684,"Met","Breached"))</f>
        <v>In Progress</v>
      </c>
    </row>
    <row r="2685" ht="19" customHeight="1" spans="1:14" x14ac:dyDescent="0.25">
      <c r="A2685" s="22" t="s">
        <v>2799</v>
      </c>
      <c r="B2685" s="36">
        <v>45760.325694444444</v>
      </c>
      <c r="C2685" s="36">
        <v>45761.58888888889</v>
      </c>
      <c r="D2685" s="22" t="s">
        <v>33</v>
      </c>
      <c r="E2685" s="22" t="s">
        <v>65</v>
      </c>
      <c r="F2685" s="22" t="s">
        <v>40</v>
      </c>
      <c r="G2685" s="22" t="s">
        <v>113</v>
      </c>
      <c r="H2685" s="22" t="s">
        <v>59</v>
      </c>
      <c r="I2685" s="22" t="s">
        <v>123</v>
      </c>
      <c r="J2685" s="23">
        <v>48</v>
      </c>
      <c r="K2685" s="37">
        <v>0</v>
      </c>
      <c r="L2685" s="37">
        <v>2</v>
      </c>
      <c r="M2685" s="22">
        <f>IF(OR(ISBLANK(C2685),C2685=""),"",ROUND((C2685-B2685)*24,2))</f>
        <v>30.32</v>
      </c>
      <c r="N2685" s="40" t="str">
        <f>IF(OR(ISBLANK(C2685),C2685="",M2685=""),"In Progress",IF(M2685&lt;=J2685,"Met","Breached"))</f>
        <v>Met</v>
      </c>
    </row>
    <row r="2686" ht="19" customHeight="1" spans="1:14" x14ac:dyDescent="0.25">
      <c r="A2686" s="19" t="s">
        <v>2800</v>
      </c>
      <c r="B2686" s="33">
        <v>45760.82777777778</v>
      </c>
      <c r="C2686" s="33">
        <v>45761.46319444444</v>
      </c>
      <c r="D2686" s="19" t="s">
        <v>33</v>
      </c>
      <c r="E2686" s="19" t="s">
        <v>61</v>
      </c>
      <c r="F2686" s="19" t="s">
        <v>40</v>
      </c>
      <c r="G2686" s="19" t="s">
        <v>116</v>
      </c>
      <c r="H2686" s="19" t="s">
        <v>63</v>
      </c>
      <c r="I2686" s="19" t="s">
        <v>117</v>
      </c>
      <c r="J2686" s="20">
        <v>12</v>
      </c>
      <c r="K2686" s="34">
        <v>0</v>
      </c>
      <c r="L2686" s="34">
        <v>1</v>
      </c>
      <c r="M2686" s="19">
        <f>IF(OR(ISBLANK(C2686),C2686=""),"",ROUND((C2686-B2686)*24,2))</f>
        <v>15.25</v>
      </c>
      <c r="N2686" s="39" t="str">
        <f>IF(OR(ISBLANK(C2686),C2686="",M2686=""),"In Progress",IF(M2686&lt;=J2686,"Met","Breached"))</f>
        <v>Breached</v>
      </c>
    </row>
    <row r="2687" ht="19" customHeight="1" spans="1:14" x14ac:dyDescent="0.25">
      <c r="A2687" s="22" t="s">
        <v>2801</v>
      </c>
      <c r="B2687" s="36">
        <v>45918.32083333333</v>
      </c>
      <c r="D2687" s="22" t="s">
        <v>39</v>
      </c>
      <c r="E2687" s="22" t="s">
        <v>61</v>
      </c>
      <c r="F2687" s="22" t="s">
        <v>45</v>
      </c>
      <c r="G2687" s="22" t="s">
        <v>121</v>
      </c>
      <c r="H2687" s="22" t="s">
        <v>63</v>
      </c>
      <c r="I2687" s="22" t="s">
        <v>114</v>
      </c>
      <c r="J2687" s="23">
        <v>12</v>
      </c>
      <c r="K2687" s="37">
        <v>0</v>
      </c>
      <c r="M2687" s="22" t="str">
        <f>IF(OR(ISBLANK(C2687),C2687=""),"",ROUND((C2687-B2687)*24,2))</f>
        <v/>
      </c>
      <c r="N2687" s="22" t="str">
        <f>IF(OR(ISBLANK(C2687),C2687="",M2687=""),"In Progress",IF(M2687&lt;=J2687,"Met","Breached"))</f>
        <v>In Progress</v>
      </c>
    </row>
    <row r="2688" ht="19" customHeight="1" spans="1:14" x14ac:dyDescent="0.25">
      <c r="A2688" s="19" t="s">
        <v>2802</v>
      </c>
      <c r="B2688" s="33">
        <v>46013.56111111111</v>
      </c>
      <c r="C2688" s="33">
        <v>46019.58263888889</v>
      </c>
      <c r="D2688" s="19" t="s">
        <v>33</v>
      </c>
      <c r="E2688" s="19" t="s">
        <v>69</v>
      </c>
      <c r="F2688" s="19" t="s">
        <v>43</v>
      </c>
      <c r="G2688" s="19" t="s">
        <v>126</v>
      </c>
      <c r="H2688" s="19" t="s">
        <v>59</v>
      </c>
      <c r="I2688" s="19" t="s">
        <v>123</v>
      </c>
      <c r="J2688" s="20">
        <v>120</v>
      </c>
      <c r="K2688" s="34">
        <v>0</v>
      </c>
      <c r="L2688" s="34">
        <v>5</v>
      </c>
      <c r="M2688" s="19">
        <f>IF(OR(ISBLANK(C2688),C2688=""),"",ROUND((C2688-B2688)*24,2))</f>
        <v>144.52</v>
      </c>
      <c r="N2688" s="39" t="str">
        <f>IF(OR(ISBLANK(C2688),C2688="",M2688=""),"In Progress",IF(M2688&lt;=J2688,"Met","Breached"))</f>
        <v>Breached</v>
      </c>
    </row>
    <row r="2689" ht="19" customHeight="1" spans="1:14" x14ac:dyDescent="0.25">
      <c r="A2689" s="22" t="s">
        <v>2803</v>
      </c>
      <c r="B2689" s="36">
        <v>46269.8125</v>
      </c>
      <c r="C2689" s="36">
        <v>46271.53611111111</v>
      </c>
      <c r="D2689" s="22" t="s">
        <v>33</v>
      </c>
      <c r="E2689" s="22" t="s">
        <v>65</v>
      </c>
      <c r="F2689" s="22" t="s">
        <v>37</v>
      </c>
      <c r="G2689" s="22" t="s">
        <v>110</v>
      </c>
      <c r="H2689" s="22" t="s">
        <v>59</v>
      </c>
      <c r="I2689" s="22" t="s">
        <v>117</v>
      </c>
      <c r="J2689" s="23">
        <v>48</v>
      </c>
      <c r="K2689" s="37">
        <v>0</v>
      </c>
      <c r="M2689" s="22">
        <f>IF(OR(ISBLANK(C2689),C2689=""),"",ROUND((C2689-B2689)*24,2))</f>
        <v>41.37</v>
      </c>
      <c r="N2689" s="40" t="str">
        <f>IF(OR(ISBLANK(C2689),C2689="",M2689=""),"In Progress",IF(M2689&lt;=J2689,"Met","Breached"))</f>
        <v>Met</v>
      </c>
    </row>
    <row r="2690" ht="19" customHeight="1" spans="1:14" x14ac:dyDescent="0.25">
      <c r="A2690" s="19" t="s">
        <v>2804</v>
      </c>
      <c r="B2690" s="33">
        <v>45667.521527777775</v>
      </c>
      <c r="C2690" s="33">
        <v>45671.04652777778</v>
      </c>
      <c r="D2690" s="19" t="s">
        <v>33</v>
      </c>
      <c r="E2690" s="19" t="s">
        <v>65</v>
      </c>
      <c r="F2690" s="19" t="s">
        <v>43</v>
      </c>
      <c r="G2690" s="19" t="s">
        <v>116</v>
      </c>
      <c r="H2690" s="19" t="s">
        <v>63</v>
      </c>
      <c r="I2690" s="19" t="s">
        <v>123</v>
      </c>
      <c r="J2690" s="20">
        <v>48</v>
      </c>
      <c r="K2690" s="34">
        <v>1</v>
      </c>
      <c r="M2690" s="19">
        <f>IF(OR(ISBLANK(C2690),C2690=""),"",ROUND((C2690-B2690)*24,2))</f>
        <v>84.6</v>
      </c>
      <c r="N2690" s="39" t="str">
        <f>IF(OR(ISBLANK(C2690),C2690="",M2690=""),"In Progress",IF(M2690&lt;=J2690,"Met","Breached"))</f>
        <v>Breached</v>
      </c>
    </row>
    <row r="2691" ht="19" customHeight="1" spans="1:14" x14ac:dyDescent="0.25">
      <c r="A2691" s="22" t="s">
        <v>2805</v>
      </c>
      <c r="B2691" s="36">
        <v>45736.257638888885</v>
      </c>
      <c r="D2691" s="22" t="s">
        <v>39</v>
      </c>
      <c r="E2691" s="22" t="s">
        <v>69</v>
      </c>
      <c r="F2691" s="22" t="s">
        <v>45</v>
      </c>
      <c r="G2691" s="22" t="s">
        <v>110</v>
      </c>
      <c r="H2691" s="22" t="s">
        <v>59</v>
      </c>
      <c r="I2691" s="22" t="s">
        <v>117</v>
      </c>
      <c r="J2691" s="23">
        <v>120</v>
      </c>
      <c r="K2691" s="37">
        <v>0</v>
      </c>
      <c r="M2691" s="22" t="str">
        <f>IF(OR(ISBLANK(C2691),C2691=""),"",ROUND((C2691-B2691)*24,2))</f>
        <v/>
      </c>
      <c r="N2691" s="22" t="str">
        <f>IF(OR(ISBLANK(C2691),C2691="",M2691=""),"In Progress",IF(M2691&lt;=J2691,"Met","Breached"))</f>
        <v>In Progress</v>
      </c>
    </row>
    <row r="2692" ht="19" customHeight="1" spans="1:14" x14ac:dyDescent="0.25">
      <c r="A2692" s="19" t="s">
        <v>2806</v>
      </c>
      <c r="B2692" s="33">
        <v>46173.39722222222</v>
      </c>
      <c r="D2692" s="19" t="s">
        <v>42</v>
      </c>
      <c r="E2692" s="19" t="s">
        <v>69</v>
      </c>
      <c r="F2692" s="19" t="s">
        <v>37</v>
      </c>
      <c r="G2692" s="19" t="s">
        <v>63</v>
      </c>
      <c r="H2692" s="19" t="s">
        <v>63</v>
      </c>
      <c r="I2692" s="19" t="s">
        <v>123</v>
      </c>
      <c r="J2692" s="20">
        <v>120</v>
      </c>
      <c r="K2692" s="34">
        <v>0</v>
      </c>
      <c r="M2692" s="19" t="str">
        <f>IF(OR(ISBLANK(C2692),C2692=""),"",ROUND((C2692-B2692)*24,2))</f>
        <v/>
      </c>
      <c r="N2692" s="19" t="str">
        <f>IF(OR(ISBLANK(C2692),C2692="",M2692=""),"In Progress",IF(M2692&lt;=J2692,"Met","Breached"))</f>
        <v>In Progress</v>
      </c>
    </row>
    <row r="2693" ht="19" customHeight="1" spans="1:14" x14ac:dyDescent="0.25">
      <c r="A2693" s="22" t="s">
        <v>2807</v>
      </c>
      <c r="B2693" s="36">
        <v>46153.83194444445</v>
      </c>
      <c r="C2693" s="36">
        <v>46154.80902777778</v>
      </c>
      <c r="D2693" s="22" t="s">
        <v>33</v>
      </c>
      <c r="E2693" s="22" t="s">
        <v>65</v>
      </c>
      <c r="F2693" s="22" t="s">
        <v>43</v>
      </c>
      <c r="G2693" s="22" t="s">
        <v>110</v>
      </c>
      <c r="H2693" s="22" t="s">
        <v>59</v>
      </c>
      <c r="I2693" s="22" t="s">
        <v>117</v>
      </c>
      <c r="J2693" s="23">
        <v>48</v>
      </c>
      <c r="K2693" s="37">
        <v>0</v>
      </c>
      <c r="M2693" s="22">
        <f>IF(OR(ISBLANK(C2693),C2693=""),"",ROUND((C2693-B2693)*24,2))</f>
        <v>23.45</v>
      </c>
      <c r="N2693" s="40" t="str">
        <f>IF(OR(ISBLANK(C2693),C2693="",M2693=""),"In Progress",IF(M2693&lt;=J2693,"Met","Breached"))</f>
        <v>Met</v>
      </c>
    </row>
    <row r="2694" ht="19" customHeight="1" spans="1:14" x14ac:dyDescent="0.25">
      <c r="A2694" s="19" t="s">
        <v>2808</v>
      </c>
      <c r="B2694" s="33">
        <v>45683.33125</v>
      </c>
      <c r="C2694" s="33">
        <v>45685.79027777778</v>
      </c>
      <c r="D2694" s="19" t="s">
        <v>33</v>
      </c>
      <c r="E2694" s="19" t="s">
        <v>65</v>
      </c>
      <c r="F2694" s="19" t="s">
        <v>34</v>
      </c>
      <c r="G2694" s="19" t="s">
        <v>116</v>
      </c>
      <c r="H2694" s="19" t="s">
        <v>71</v>
      </c>
      <c r="I2694" s="19" t="s">
        <v>114</v>
      </c>
      <c r="J2694" s="20">
        <v>48</v>
      </c>
      <c r="K2694" s="34">
        <v>0</v>
      </c>
      <c r="M2694" s="19">
        <f>IF(OR(ISBLANK(C2694),C2694=""),"",ROUND((C2694-B2694)*24,2))</f>
        <v>59.02</v>
      </c>
      <c r="N2694" s="39" t="str">
        <f>IF(OR(ISBLANK(C2694),C2694="",M2694=""),"In Progress",IF(M2694&lt;=J2694,"Met","Breached"))</f>
        <v>Breached</v>
      </c>
    </row>
    <row r="2695" ht="19" customHeight="1" spans="1:14" x14ac:dyDescent="0.25">
      <c r="A2695" s="22" t="s">
        <v>2809</v>
      </c>
      <c r="B2695" s="36">
        <v>45738.95763888889</v>
      </c>
      <c r="C2695" s="36">
        <v>45741.14722222222</v>
      </c>
      <c r="D2695" s="22" t="s">
        <v>36</v>
      </c>
      <c r="E2695" s="22" t="s">
        <v>65</v>
      </c>
      <c r="F2695" s="22" t="s">
        <v>40</v>
      </c>
      <c r="G2695" s="22" t="s">
        <v>121</v>
      </c>
      <c r="H2695" s="22" t="s">
        <v>59</v>
      </c>
      <c r="I2695" s="22" t="s">
        <v>111</v>
      </c>
      <c r="J2695" s="23">
        <v>48</v>
      </c>
      <c r="K2695" s="37">
        <v>0</v>
      </c>
      <c r="L2695" s="37">
        <v>5</v>
      </c>
      <c r="M2695" s="22">
        <f>IF(OR(ISBLANK(C2695),C2695=""),"",ROUND((C2695-B2695)*24,2))</f>
        <v>52.55</v>
      </c>
      <c r="N2695" s="38" t="str">
        <f>IF(OR(ISBLANK(C2695),C2695="",M2695=""),"In Progress",IF(M2695&lt;=J2695,"Met","Breached"))</f>
        <v>Breached</v>
      </c>
    </row>
    <row r="2696" ht="19" customHeight="1" spans="1:14" x14ac:dyDescent="0.25">
      <c r="A2696" s="19" t="s">
        <v>2810</v>
      </c>
      <c r="B2696" s="33">
        <v>46054.09236111111</v>
      </c>
      <c r="C2696" s="33">
        <v>46057.62430555555</v>
      </c>
      <c r="D2696" s="19" t="s">
        <v>33</v>
      </c>
      <c r="E2696" s="19" t="s">
        <v>65</v>
      </c>
      <c r="F2696" s="19" t="s">
        <v>43</v>
      </c>
      <c r="G2696" s="19" t="s">
        <v>116</v>
      </c>
      <c r="H2696" s="19" t="s">
        <v>67</v>
      </c>
      <c r="I2696" s="19" t="s">
        <v>117</v>
      </c>
      <c r="J2696" s="20">
        <v>48</v>
      </c>
      <c r="K2696" s="34">
        <v>0</v>
      </c>
      <c r="M2696" s="19">
        <f>IF(OR(ISBLANK(C2696),C2696=""),"",ROUND((C2696-B2696)*24,2))</f>
        <v>84.77</v>
      </c>
      <c r="N2696" s="39" t="str">
        <f>IF(OR(ISBLANK(C2696),C2696="",M2696=""),"In Progress",IF(M2696&lt;=J2696,"Met","Breached"))</f>
        <v>Breached</v>
      </c>
    </row>
    <row r="2697" ht="19" customHeight="1" spans="1:14" x14ac:dyDescent="0.25">
      <c r="A2697" s="22" t="s">
        <v>2811</v>
      </c>
      <c r="B2697" s="36">
        <v>45824.39722222222</v>
      </c>
      <c r="C2697" s="36">
        <v>45825.39097222222</v>
      </c>
      <c r="D2697" s="22" t="s">
        <v>36</v>
      </c>
      <c r="E2697" s="22" t="s">
        <v>65</v>
      </c>
      <c r="F2697" s="22" t="s">
        <v>37</v>
      </c>
      <c r="G2697" s="22" t="s">
        <v>126</v>
      </c>
      <c r="H2697" s="22" t="s">
        <v>59</v>
      </c>
      <c r="I2697" s="22" t="s">
        <v>147</v>
      </c>
      <c r="J2697" s="23">
        <v>48</v>
      </c>
      <c r="K2697" s="37">
        <v>0</v>
      </c>
      <c r="L2697" s="37">
        <v>2</v>
      </c>
      <c r="M2697" s="22">
        <f>IF(OR(ISBLANK(C2697),C2697=""),"",ROUND((C2697-B2697)*24,2))</f>
        <v>23.85</v>
      </c>
      <c r="N2697" s="40" t="str">
        <f>IF(OR(ISBLANK(C2697),C2697="",M2697=""),"In Progress",IF(M2697&lt;=J2697,"Met","Breached"))</f>
        <v>Met</v>
      </c>
    </row>
    <row r="2698" ht="19" customHeight="1" spans="1:14" x14ac:dyDescent="0.25">
      <c r="A2698" s="19" t="s">
        <v>2812</v>
      </c>
      <c r="B2698" s="33">
        <v>45837.02986111111</v>
      </c>
      <c r="C2698" s="33">
        <v>45838.89722222222</v>
      </c>
      <c r="D2698" s="19" t="s">
        <v>33</v>
      </c>
      <c r="E2698" s="19" t="s">
        <v>65</v>
      </c>
      <c r="F2698" s="19" t="s">
        <v>43</v>
      </c>
      <c r="G2698" s="19" t="s">
        <v>121</v>
      </c>
      <c r="H2698" s="19" t="s">
        <v>59</v>
      </c>
      <c r="I2698" s="19" t="s">
        <v>147</v>
      </c>
      <c r="J2698" s="20">
        <v>48</v>
      </c>
      <c r="K2698" s="34">
        <v>0</v>
      </c>
      <c r="L2698" s="34">
        <v>1</v>
      </c>
      <c r="M2698" s="19">
        <f>IF(OR(ISBLANK(C2698),C2698=""),"",ROUND((C2698-B2698)*24,2))</f>
        <v>44.82</v>
      </c>
      <c r="N2698" s="35" t="str">
        <f>IF(OR(ISBLANK(C2698),C2698="",M2698=""),"In Progress",IF(M2698&lt;=J2698,"Met","Breached"))</f>
        <v>Met</v>
      </c>
    </row>
    <row r="2699" ht="19" customHeight="1" spans="1:14" x14ac:dyDescent="0.25">
      <c r="A2699" s="22" t="s">
        <v>2813</v>
      </c>
      <c r="B2699" s="36">
        <v>45768.47708333333</v>
      </c>
      <c r="C2699" s="36">
        <v>45769.56180555555</v>
      </c>
      <c r="D2699" s="22" t="s">
        <v>33</v>
      </c>
      <c r="E2699" s="22" t="s">
        <v>65</v>
      </c>
      <c r="F2699" s="22" t="s">
        <v>43</v>
      </c>
      <c r="G2699" s="22" t="s">
        <v>63</v>
      </c>
      <c r="H2699" s="22" t="s">
        <v>67</v>
      </c>
      <c r="I2699" s="22" t="s">
        <v>147</v>
      </c>
      <c r="J2699" s="23">
        <v>48</v>
      </c>
      <c r="K2699" s="37">
        <v>0</v>
      </c>
      <c r="L2699" s="37">
        <v>4</v>
      </c>
      <c r="M2699" s="22">
        <f>IF(OR(ISBLANK(C2699),C2699=""),"",ROUND((C2699-B2699)*24,2))</f>
        <v>26.03</v>
      </c>
      <c r="N2699" s="40" t="str">
        <f>IF(OR(ISBLANK(C2699),C2699="",M2699=""),"In Progress",IF(M2699&lt;=J2699,"Met","Breached"))</f>
        <v>Met</v>
      </c>
    </row>
    <row r="2700" ht="19" customHeight="1" spans="1:14" x14ac:dyDescent="0.25">
      <c r="A2700" s="19" t="s">
        <v>2814</v>
      </c>
      <c r="B2700" s="33">
        <v>45864.25208333333</v>
      </c>
      <c r="D2700" s="19" t="s">
        <v>39</v>
      </c>
      <c r="E2700" s="19" t="s">
        <v>65</v>
      </c>
      <c r="F2700" s="19" t="s">
        <v>37</v>
      </c>
      <c r="G2700" s="19" t="s">
        <v>121</v>
      </c>
      <c r="H2700" s="19" t="s">
        <v>59</v>
      </c>
      <c r="I2700" s="19" t="s">
        <v>123</v>
      </c>
      <c r="J2700" s="20">
        <v>48</v>
      </c>
      <c r="K2700" s="34">
        <v>0</v>
      </c>
      <c r="M2700" s="19" t="str">
        <f>IF(OR(ISBLANK(C2700),C2700=""),"",ROUND((C2700-B2700)*24,2))</f>
        <v/>
      </c>
      <c r="N2700" s="19" t="str">
        <f>IF(OR(ISBLANK(C2700),C2700="",M2700=""),"In Progress",IF(M2700&lt;=J2700,"Met","Breached"))</f>
        <v>In Progress</v>
      </c>
    </row>
    <row r="2701" ht="19" customHeight="1" spans="1:14" x14ac:dyDescent="0.25">
      <c r="A2701" s="22" t="s">
        <v>2815</v>
      </c>
      <c r="B2701" s="36">
        <v>46199.03680555556</v>
      </c>
      <c r="C2701" s="36">
        <v>46202.20208333334</v>
      </c>
      <c r="D2701" s="22" t="s">
        <v>36</v>
      </c>
      <c r="E2701" s="22" t="s">
        <v>65</v>
      </c>
      <c r="F2701" s="22" t="s">
        <v>37</v>
      </c>
      <c r="G2701" s="22" t="s">
        <v>126</v>
      </c>
      <c r="H2701" s="22" t="s">
        <v>59</v>
      </c>
      <c r="I2701" s="22" t="s">
        <v>114</v>
      </c>
      <c r="J2701" s="23">
        <v>48</v>
      </c>
      <c r="K2701" s="37">
        <v>0</v>
      </c>
      <c r="L2701" s="37">
        <v>3</v>
      </c>
      <c r="M2701" s="22">
        <f>IF(OR(ISBLANK(C2701),C2701=""),"",ROUND((C2701-B2701)*24,2))</f>
        <v>75.97</v>
      </c>
      <c r="N2701" s="38" t="str">
        <f>IF(OR(ISBLANK(C2701),C2701="",M2701=""),"In Progress",IF(M2701&lt;=J2701,"Met","Breached"))</f>
        <v>Breached</v>
      </c>
    </row>
    <row r="2702" ht="19" customHeight="1" spans="1:14" x14ac:dyDescent="0.25">
      <c r="A2702" s="19" t="s">
        <v>2816</v>
      </c>
      <c r="B2702" s="33">
        <v>45768.325</v>
      </c>
      <c r="C2702" s="33">
        <v>45769.575</v>
      </c>
      <c r="D2702" s="19" t="s">
        <v>36</v>
      </c>
      <c r="E2702" s="19" t="s">
        <v>65</v>
      </c>
      <c r="F2702" s="19" t="s">
        <v>40</v>
      </c>
      <c r="G2702" s="19" t="s">
        <v>126</v>
      </c>
      <c r="H2702" s="19" t="s">
        <v>67</v>
      </c>
      <c r="I2702" s="19" t="s">
        <v>114</v>
      </c>
      <c r="J2702" s="20">
        <v>48</v>
      </c>
      <c r="K2702" s="34">
        <v>0</v>
      </c>
      <c r="L2702" s="34">
        <v>4</v>
      </c>
      <c r="M2702" s="19">
        <f>IF(OR(ISBLANK(C2702),C2702=""),"",ROUND((C2702-B2702)*24,2))</f>
        <v>30</v>
      </c>
      <c r="N2702" s="35" t="str">
        <f>IF(OR(ISBLANK(C2702),C2702="",M2702=""),"In Progress",IF(M2702&lt;=J2702,"Met","Breached"))</f>
        <v>Met</v>
      </c>
    </row>
    <row r="2703" ht="19" customHeight="1" spans="1:14" x14ac:dyDescent="0.25">
      <c r="A2703" s="22" t="s">
        <v>2817</v>
      </c>
      <c r="B2703" s="36">
        <v>46076.490277777775</v>
      </c>
      <c r="C2703" s="36">
        <v>46083.615277777775</v>
      </c>
      <c r="D2703" s="22" t="s">
        <v>36</v>
      </c>
      <c r="E2703" s="22" t="s">
        <v>69</v>
      </c>
      <c r="F2703" s="22" t="s">
        <v>40</v>
      </c>
      <c r="G2703" s="22" t="s">
        <v>110</v>
      </c>
      <c r="H2703" s="22" t="s">
        <v>63</v>
      </c>
      <c r="I2703" s="22" t="s">
        <v>117</v>
      </c>
      <c r="J2703" s="23">
        <v>120</v>
      </c>
      <c r="K2703" s="37">
        <v>0</v>
      </c>
      <c r="L2703" s="37">
        <v>3</v>
      </c>
      <c r="M2703" s="22">
        <f>IF(OR(ISBLANK(C2703),C2703=""),"",ROUND((C2703-B2703)*24,2))</f>
        <v>171</v>
      </c>
      <c r="N2703" s="38" t="str">
        <f>IF(OR(ISBLANK(C2703),C2703="",M2703=""),"In Progress",IF(M2703&lt;=J2703,"Met","Breached"))</f>
        <v>Breached</v>
      </c>
    </row>
    <row r="2704" ht="19" customHeight="1" spans="1:14" x14ac:dyDescent="0.25">
      <c r="A2704" s="19" t="s">
        <v>2818</v>
      </c>
      <c r="B2704" s="33">
        <v>46184.88888888889</v>
      </c>
      <c r="C2704" s="33">
        <v>46189.49930555555</v>
      </c>
      <c r="D2704" s="19" t="s">
        <v>33</v>
      </c>
      <c r="E2704" s="19" t="s">
        <v>69</v>
      </c>
      <c r="F2704" s="19" t="s">
        <v>40</v>
      </c>
      <c r="G2704" s="19" t="s">
        <v>110</v>
      </c>
      <c r="H2704" s="19" t="s">
        <v>67</v>
      </c>
      <c r="I2704" s="19" t="s">
        <v>114</v>
      </c>
      <c r="J2704" s="20">
        <v>120</v>
      </c>
      <c r="K2704" s="34">
        <v>0</v>
      </c>
      <c r="L2704" s="34">
        <v>1</v>
      </c>
      <c r="M2704" s="19">
        <f>IF(OR(ISBLANK(C2704),C2704=""),"",ROUND((C2704-B2704)*24,2))</f>
        <v>110.65</v>
      </c>
      <c r="N2704" s="35" t="str">
        <f>IF(OR(ISBLANK(C2704),C2704="",M2704=""),"In Progress",IF(M2704&lt;=J2704,"Met","Breached"))</f>
        <v>Met</v>
      </c>
    </row>
    <row r="2705" ht="19" customHeight="1" spans="1:14" x14ac:dyDescent="0.25">
      <c r="A2705" s="22" t="s">
        <v>2819</v>
      </c>
      <c r="B2705" s="36">
        <v>45705.32361111111</v>
      </c>
      <c r="C2705" s="36">
        <v>45706.83819444444</v>
      </c>
      <c r="D2705" s="22" t="s">
        <v>33</v>
      </c>
      <c r="E2705" s="22" t="s">
        <v>65</v>
      </c>
      <c r="F2705" s="22" t="s">
        <v>37</v>
      </c>
      <c r="G2705" s="22" t="s">
        <v>63</v>
      </c>
      <c r="H2705" s="22" t="s">
        <v>59</v>
      </c>
      <c r="I2705" s="22" t="s">
        <v>111</v>
      </c>
      <c r="J2705" s="23">
        <v>48</v>
      </c>
      <c r="K2705" s="37">
        <v>0</v>
      </c>
      <c r="L2705" s="37">
        <v>2</v>
      </c>
      <c r="M2705" s="22">
        <f>IF(OR(ISBLANK(C2705),C2705=""),"",ROUND((C2705-B2705)*24,2))</f>
        <v>36.35</v>
      </c>
      <c r="N2705" s="40" t="str">
        <f>IF(OR(ISBLANK(C2705),C2705="",M2705=""),"In Progress",IF(M2705&lt;=J2705,"Met","Breached"))</f>
        <v>Met</v>
      </c>
    </row>
    <row r="2706" ht="19" customHeight="1" spans="1:14" x14ac:dyDescent="0.25">
      <c r="A2706" s="19" t="s">
        <v>2820</v>
      </c>
      <c r="B2706" s="33">
        <v>46244.83541666667</v>
      </c>
      <c r="C2706" s="33">
        <v>46246.73541666666</v>
      </c>
      <c r="D2706" s="19" t="s">
        <v>36</v>
      </c>
      <c r="E2706" s="19" t="s">
        <v>65</v>
      </c>
      <c r="F2706" s="19" t="s">
        <v>43</v>
      </c>
      <c r="G2706" s="19" t="s">
        <v>113</v>
      </c>
      <c r="H2706" s="19" t="s">
        <v>59</v>
      </c>
      <c r="I2706" s="19" t="s">
        <v>114</v>
      </c>
      <c r="J2706" s="20">
        <v>48</v>
      </c>
      <c r="K2706" s="34">
        <v>0</v>
      </c>
      <c r="L2706" s="34">
        <v>3</v>
      </c>
      <c r="M2706" s="19">
        <f>IF(OR(ISBLANK(C2706),C2706=""),"",ROUND((C2706-B2706)*24,2))</f>
        <v>45.6</v>
      </c>
      <c r="N2706" s="35" t="str">
        <f>IF(OR(ISBLANK(C2706),C2706="",M2706=""),"In Progress",IF(M2706&lt;=J2706,"Met","Breached"))</f>
        <v>Met</v>
      </c>
    </row>
    <row r="2707" ht="19" customHeight="1" spans="1:14" x14ac:dyDescent="0.25">
      <c r="A2707" s="22" t="s">
        <v>2821</v>
      </c>
      <c r="B2707" s="36">
        <v>45701.950694444444</v>
      </c>
      <c r="D2707" s="22" t="s">
        <v>39</v>
      </c>
      <c r="E2707" s="22" t="s">
        <v>57</v>
      </c>
      <c r="F2707" s="22" t="s">
        <v>37</v>
      </c>
      <c r="G2707" s="22" t="s">
        <v>126</v>
      </c>
      <c r="H2707" s="22" t="s">
        <v>59</v>
      </c>
      <c r="I2707" s="22" t="s">
        <v>147</v>
      </c>
      <c r="J2707" s="23">
        <v>4</v>
      </c>
      <c r="K2707" s="37">
        <v>0</v>
      </c>
      <c r="M2707" s="22" t="str">
        <f>IF(OR(ISBLANK(C2707),C2707=""),"",ROUND((C2707-B2707)*24,2))</f>
        <v/>
      </c>
      <c r="N2707" s="22" t="str">
        <f>IF(OR(ISBLANK(C2707),C2707="",M2707=""),"In Progress",IF(M2707&lt;=J2707,"Met","Breached"))</f>
        <v>In Progress</v>
      </c>
    </row>
    <row r="2708" ht="19" customHeight="1" spans="1:14" x14ac:dyDescent="0.25">
      <c r="A2708" s="19" t="s">
        <v>2822</v>
      </c>
      <c r="B2708" s="33">
        <v>45943.290972222225</v>
      </c>
      <c r="D2708" s="19" t="s">
        <v>39</v>
      </c>
      <c r="E2708" s="19" t="s">
        <v>69</v>
      </c>
      <c r="F2708" s="19" t="s">
        <v>37</v>
      </c>
      <c r="G2708" s="19" t="s">
        <v>63</v>
      </c>
      <c r="H2708" s="19" t="s">
        <v>71</v>
      </c>
      <c r="I2708" s="19" t="s">
        <v>123</v>
      </c>
      <c r="J2708" s="20">
        <v>120</v>
      </c>
      <c r="K2708" s="34">
        <v>0</v>
      </c>
      <c r="M2708" s="19" t="str">
        <f>IF(OR(ISBLANK(C2708),C2708=""),"",ROUND((C2708-B2708)*24,2))</f>
        <v/>
      </c>
      <c r="N2708" s="19" t="str">
        <f>IF(OR(ISBLANK(C2708),C2708="",M2708=""),"In Progress",IF(M2708&lt;=J2708,"Met","Breached"))</f>
        <v>In Progress</v>
      </c>
    </row>
    <row r="2709" ht="19" customHeight="1" spans="1:14" x14ac:dyDescent="0.25">
      <c r="A2709" s="22" t="s">
        <v>2823</v>
      </c>
      <c r="B2709" s="36">
        <v>46162.3625</v>
      </c>
      <c r="D2709" s="22" t="s">
        <v>39</v>
      </c>
      <c r="E2709" s="22" t="s">
        <v>69</v>
      </c>
      <c r="F2709" s="22" t="s">
        <v>34</v>
      </c>
      <c r="G2709" s="22" t="s">
        <v>116</v>
      </c>
      <c r="H2709" s="22" t="s">
        <v>63</v>
      </c>
      <c r="I2709" s="22" t="s">
        <v>111</v>
      </c>
      <c r="J2709" s="23">
        <v>120</v>
      </c>
      <c r="K2709" s="37">
        <v>0</v>
      </c>
      <c r="M2709" s="22" t="str">
        <f>IF(OR(ISBLANK(C2709),C2709=""),"",ROUND((C2709-B2709)*24,2))</f>
        <v/>
      </c>
      <c r="N2709" s="22" t="str">
        <f>IF(OR(ISBLANK(C2709),C2709="",M2709=""),"In Progress",IF(M2709&lt;=J2709,"Met","Breached"))</f>
        <v>In Progress</v>
      </c>
    </row>
    <row r="2710" ht="19" customHeight="1" spans="1:14" x14ac:dyDescent="0.25">
      <c r="A2710" s="19" t="s">
        <v>2824</v>
      </c>
      <c r="B2710" s="33">
        <v>45917.65347222222</v>
      </c>
      <c r="C2710" s="33">
        <v>45918.04791666666</v>
      </c>
      <c r="D2710" s="19" t="s">
        <v>33</v>
      </c>
      <c r="E2710" s="19" t="s">
        <v>61</v>
      </c>
      <c r="F2710" s="19" t="s">
        <v>43</v>
      </c>
      <c r="G2710" s="19" t="s">
        <v>121</v>
      </c>
      <c r="H2710" s="19" t="s">
        <v>71</v>
      </c>
      <c r="I2710" s="19" t="s">
        <v>114</v>
      </c>
      <c r="J2710" s="20">
        <v>12</v>
      </c>
      <c r="K2710" s="34">
        <v>0</v>
      </c>
      <c r="M2710" s="19">
        <f>IF(OR(ISBLANK(C2710),C2710=""),"",ROUND((C2710-B2710)*24,2))</f>
        <v>9.47</v>
      </c>
      <c r="N2710" s="35" t="str">
        <f>IF(OR(ISBLANK(C2710),C2710="",M2710=""),"In Progress",IF(M2710&lt;=J2710,"Met","Breached"))</f>
        <v>Met</v>
      </c>
    </row>
    <row r="2711" ht="19" customHeight="1" spans="1:14" x14ac:dyDescent="0.25">
      <c r="A2711" s="22" t="s">
        <v>2825</v>
      </c>
      <c r="B2711" s="36">
        <v>46176.46805555555</v>
      </c>
      <c r="C2711" s="36">
        <v>46176.756944444445</v>
      </c>
      <c r="D2711" s="22" t="s">
        <v>33</v>
      </c>
      <c r="E2711" s="22" t="s">
        <v>61</v>
      </c>
      <c r="F2711" s="22" t="s">
        <v>43</v>
      </c>
      <c r="G2711" s="22" t="s">
        <v>110</v>
      </c>
      <c r="H2711" s="22" t="s">
        <v>71</v>
      </c>
      <c r="I2711" s="22" t="s">
        <v>123</v>
      </c>
      <c r="J2711" s="23">
        <v>12</v>
      </c>
      <c r="K2711" s="37">
        <v>0</v>
      </c>
      <c r="M2711" s="22">
        <f>IF(OR(ISBLANK(C2711),C2711=""),"",ROUND((C2711-B2711)*24,2))</f>
        <v>6.93</v>
      </c>
      <c r="N2711" s="40" t="str">
        <f>IF(OR(ISBLANK(C2711),C2711="",M2711=""),"In Progress",IF(M2711&lt;=J2711,"Met","Breached"))</f>
        <v>Met</v>
      </c>
    </row>
    <row r="2712" ht="19" customHeight="1" spans="1:14" x14ac:dyDescent="0.25">
      <c r="A2712" s="19" t="s">
        <v>2826</v>
      </c>
      <c r="B2712" s="33">
        <v>45850.58194444445</v>
      </c>
      <c r="C2712" s="33">
        <v>45851.87569444445</v>
      </c>
      <c r="D2712" s="19" t="s">
        <v>33</v>
      </c>
      <c r="E2712" s="19" t="s">
        <v>65</v>
      </c>
      <c r="F2712" s="19" t="s">
        <v>37</v>
      </c>
      <c r="G2712" s="19" t="s">
        <v>116</v>
      </c>
      <c r="H2712" s="19" t="s">
        <v>59</v>
      </c>
      <c r="I2712" s="19" t="s">
        <v>147</v>
      </c>
      <c r="J2712" s="20">
        <v>48</v>
      </c>
      <c r="K2712" s="34">
        <v>0</v>
      </c>
      <c r="L2712" s="34">
        <v>4</v>
      </c>
      <c r="M2712" s="19">
        <f>IF(OR(ISBLANK(C2712),C2712=""),"",ROUND((C2712-B2712)*24,2))</f>
        <v>31.05</v>
      </c>
      <c r="N2712" s="35" t="str">
        <f>IF(OR(ISBLANK(C2712),C2712="",M2712=""),"In Progress",IF(M2712&lt;=J2712,"Met","Breached"))</f>
        <v>Met</v>
      </c>
    </row>
    <row r="2713" ht="19" customHeight="1" spans="1:14" x14ac:dyDescent="0.25">
      <c r="A2713" s="22" t="s">
        <v>2827</v>
      </c>
      <c r="B2713" s="36">
        <v>45860.07361111111</v>
      </c>
      <c r="D2713" s="22" t="s">
        <v>39</v>
      </c>
      <c r="E2713" s="22" t="s">
        <v>65</v>
      </c>
      <c r="F2713" s="22" t="s">
        <v>37</v>
      </c>
      <c r="G2713" s="22" t="s">
        <v>110</v>
      </c>
      <c r="H2713" s="22" t="s">
        <v>63</v>
      </c>
      <c r="I2713" s="22" t="s">
        <v>111</v>
      </c>
      <c r="J2713" s="23">
        <v>48</v>
      </c>
      <c r="K2713" s="37">
        <v>0</v>
      </c>
      <c r="M2713" s="22" t="str">
        <f>IF(OR(ISBLANK(C2713),C2713=""),"",ROUND((C2713-B2713)*24,2))</f>
        <v/>
      </c>
      <c r="N2713" s="22" t="str">
        <f>IF(OR(ISBLANK(C2713),C2713="",M2713=""),"In Progress",IF(M2713&lt;=J2713,"Met","Breached"))</f>
        <v>In Progress</v>
      </c>
    </row>
    <row r="2714" ht="19" customHeight="1" spans="1:14" x14ac:dyDescent="0.25">
      <c r="A2714" s="19" t="s">
        <v>2828</v>
      </c>
      <c r="B2714" s="33">
        <v>45748.148611111115</v>
      </c>
      <c r="C2714" s="33">
        <v>45748.37569444445</v>
      </c>
      <c r="D2714" s="19" t="s">
        <v>36</v>
      </c>
      <c r="E2714" s="19" t="s">
        <v>57</v>
      </c>
      <c r="F2714" s="19" t="s">
        <v>34</v>
      </c>
      <c r="G2714" s="19" t="s">
        <v>113</v>
      </c>
      <c r="H2714" s="19" t="s">
        <v>63</v>
      </c>
      <c r="I2714" s="19" t="s">
        <v>147</v>
      </c>
      <c r="J2714" s="20">
        <v>4</v>
      </c>
      <c r="K2714" s="34">
        <v>0</v>
      </c>
      <c r="L2714" s="34">
        <v>4</v>
      </c>
      <c r="M2714" s="19">
        <f>IF(OR(ISBLANK(C2714),C2714=""),"",ROUND((C2714-B2714)*24,2))</f>
        <v>5.45</v>
      </c>
      <c r="N2714" s="39" t="str">
        <f>IF(OR(ISBLANK(C2714),C2714="",M2714=""),"In Progress",IF(M2714&lt;=J2714,"Met","Breached"))</f>
        <v>Breached</v>
      </c>
    </row>
    <row r="2715" ht="19" customHeight="1" spans="1:14" x14ac:dyDescent="0.25">
      <c r="A2715" s="22" t="s">
        <v>2829</v>
      </c>
      <c r="B2715" s="36">
        <v>46230.961111111115</v>
      </c>
      <c r="D2715" s="22" t="s">
        <v>42</v>
      </c>
      <c r="E2715" s="22" t="s">
        <v>61</v>
      </c>
      <c r="F2715" s="22" t="s">
        <v>43</v>
      </c>
      <c r="G2715" s="22" t="s">
        <v>126</v>
      </c>
      <c r="H2715" s="22" t="s">
        <v>59</v>
      </c>
      <c r="I2715" s="22" t="s">
        <v>147</v>
      </c>
      <c r="J2715" s="23">
        <v>12</v>
      </c>
      <c r="K2715" s="37">
        <v>0</v>
      </c>
      <c r="M2715" s="22" t="str">
        <f>IF(OR(ISBLANK(C2715),C2715=""),"",ROUND((C2715-B2715)*24,2))</f>
        <v/>
      </c>
      <c r="N2715" s="22" t="str">
        <f>IF(OR(ISBLANK(C2715),C2715="",M2715=""),"In Progress",IF(M2715&lt;=J2715,"Met","Breached"))</f>
        <v>In Progress</v>
      </c>
    </row>
    <row r="2716" ht="19" customHeight="1" spans="1:14" x14ac:dyDescent="0.25">
      <c r="A2716" s="19" t="s">
        <v>2830</v>
      </c>
      <c r="B2716" s="33">
        <v>45889.964583333334</v>
      </c>
      <c r="C2716" s="33">
        <v>45894.07916666666</v>
      </c>
      <c r="D2716" s="19" t="s">
        <v>36</v>
      </c>
      <c r="E2716" s="19" t="s">
        <v>69</v>
      </c>
      <c r="F2716" s="19" t="s">
        <v>40</v>
      </c>
      <c r="G2716" s="19" t="s">
        <v>110</v>
      </c>
      <c r="H2716" s="19" t="s">
        <v>59</v>
      </c>
      <c r="I2716" s="19" t="s">
        <v>111</v>
      </c>
      <c r="J2716" s="20">
        <v>120</v>
      </c>
      <c r="K2716" s="34">
        <v>1</v>
      </c>
      <c r="M2716" s="19">
        <f>IF(OR(ISBLANK(C2716),C2716=""),"",ROUND((C2716-B2716)*24,2))</f>
        <v>98.75</v>
      </c>
      <c r="N2716" s="35" t="str">
        <f>IF(OR(ISBLANK(C2716),C2716="",M2716=""),"In Progress",IF(M2716&lt;=J2716,"Met","Breached"))</f>
        <v>Met</v>
      </c>
    </row>
    <row r="2717" ht="19" customHeight="1" spans="1:14" x14ac:dyDescent="0.25">
      <c r="A2717" s="22" t="s">
        <v>2831</v>
      </c>
      <c r="B2717" s="36">
        <v>45795.24791666667</v>
      </c>
      <c r="C2717" s="36">
        <v>45796.05069444445</v>
      </c>
      <c r="D2717" s="22" t="s">
        <v>33</v>
      </c>
      <c r="E2717" s="22" t="s">
        <v>61</v>
      </c>
      <c r="F2717" s="22" t="s">
        <v>45</v>
      </c>
      <c r="G2717" s="22" t="s">
        <v>110</v>
      </c>
      <c r="H2717" s="22" t="s">
        <v>63</v>
      </c>
      <c r="I2717" s="22" t="s">
        <v>114</v>
      </c>
      <c r="J2717" s="23">
        <v>12</v>
      </c>
      <c r="K2717" s="37">
        <v>0</v>
      </c>
      <c r="M2717" s="22">
        <f>IF(OR(ISBLANK(C2717),C2717=""),"",ROUND((C2717-B2717)*24,2))</f>
        <v>19.27</v>
      </c>
      <c r="N2717" s="38" t="str">
        <f>IF(OR(ISBLANK(C2717),C2717="",M2717=""),"In Progress",IF(M2717&lt;=J2717,"Met","Breached"))</f>
        <v>Breached</v>
      </c>
    </row>
    <row r="2718" ht="19" customHeight="1" spans="1:14" x14ac:dyDescent="0.25">
      <c r="A2718" s="19" t="s">
        <v>2832</v>
      </c>
      <c r="B2718" s="33">
        <v>45735.638194444444</v>
      </c>
      <c r="C2718" s="33">
        <v>45737.663888888885</v>
      </c>
      <c r="D2718" s="19" t="s">
        <v>33</v>
      </c>
      <c r="E2718" s="19" t="s">
        <v>65</v>
      </c>
      <c r="F2718" s="19" t="s">
        <v>40</v>
      </c>
      <c r="G2718" s="19" t="s">
        <v>113</v>
      </c>
      <c r="H2718" s="19" t="s">
        <v>59</v>
      </c>
      <c r="I2718" s="19" t="s">
        <v>123</v>
      </c>
      <c r="J2718" s="20">
        <v>48</v>
      </c>
      <c r="K2718" s="34">
        <v>0</v>
      </c>
      <c r="L2718" s="34">
        <v>3</v>
      </c>
      <c r="M2718" s="19">
        <f>IF(OR(ISBLANK(C2718),C2718=""),"",ROUND((C2718-B2718)*24,2))</f>
        <v>48.62</v>
      </c>
      <c r="N2718" s="39" t="str">
        <f>IF(OR(ISBLANK(C2718),C2718="",M2718=""),"In Progress",IF(M2718&lt;=J2718,"Met","Breached"))</f>
        <v>Breached</v>
      </c>
    </row>
    <row r="2719" ht="19" customHeight="1" spans="1:14" x14ac:dyDescent="0.25">
      <c r="A2719" s="22" t="s">
        <v>2833</v>
      </c>
      <c r="B2719" s="36">
        <v>46160.475</v>
      </c>
      <c r="C2719" s="36">
        <v>46161.086111111115</v>
      </c>
      <c r="D2719" s="22" t="s">
        <v>36</v>
      </c>
      <c r="E2719" s="22" t="s">
        <v>61</v>
      </c>
      <c r="F2719" s="22" t="s">
        <v>34</v>
      </c>
      <c r="G2719" s="22" t="s">
        <v>63</v>
      </c>
      <c r="H2719" s="22" t="s">
        <v>71</v>
      </c>
      <c r="I2719" s="22" t="s">
        <v>147</v>
      </c>
      <c r="J2719" s="23">
        <v>12</v>
      </c>
      <c r="K2719" s="37">
        <v>1</v>
      </c>
      <c r="L2719" s="37">
        <v>3</v>
      </c>
      <c r="M2719" s="22">
        <f>IF(OR(ISBLANK(C2719),C2719=""),"",ROUND((C2719-B2719)*24,2))</f>
        <v>14.67</v>
      </c>
      <c r="N2719" s="38" t="str">
        <f>IF(OR(ISBLANK(C2719),C2719="",M2719=""),"In Progress",IF(M2719&lt;=J2719,"Met","Breached"))</f>
        <v>Breached</v>
      </c>
    </row>
    <row r="2720" ht="19" customHeight="1" spans="1:14" x14ac:dyDescent="0.25">
      <c r="A2720" s="19" t="s">
        <v>2834</v>
      </c>
      <c r="B2720" s="33">
        <v>46072.07152777778</v>
      </c>
      <c r="C2720" s="33">
        <v>46073.6875</v>
      </c>
      <c r="D2720" s="19" t="s">
        <v>33</v>
      </c>
      <c r="E2720" s="19" t="s">
        <v>65</v>
      </c>
      <c r="F2720" s="19" t="s">
        <v>43</v>
      </c>
      <c r="G2720" s="19" t="s">
        <v>121</v>
      </c>
      <c r="H2720" s="19" t="s">
        <v>59</v>
      </c>
      <c r="I2720" s="19" t="s">
        <v>108</v>
      </c>
      <c r="J2720" s="20">
        <v>48</v>
      </c>
      <c r="K2720" s="34">
        <v>0</v>
      </c>
      <c r="M2720" s="19">
        <f>IF(OR(ISBLANK(C2720),C2720=""),"",ROUND((C2720-B2720)*24,2))</f>
        <v>38.78</v>
      </c>
      <c r="N2720" s="35" t="str">
        <f>IF(OR(ISBLANK(C2720),C2720="",M2720=""),"In Progress",IF(M2720&lt;=J2720,"Met","Breached"))</f>
        <v>Met</v>
      </c>
    </row>
    <row r="2721" ht="19" customHeight="1" spans="1:14" x14ac:dyDescent="0.25">
      <c r="A2721" s="22" t="s">
        <v>2835</v>
      </c>
      <c r="B2721" s="36">
        <v>46038.1625</v>
      </c>
      <c r="C2721" s="36">
        <v>46038.31597222222</v>
      </c>
      <c r="D2721" s="22" t="s">
        <v>33</v>
      </c>
      <c r="E2721" s="22" t="s">
        <v>61</v>
      </c>
      <c r="F2721" s="22" t="s">
        <v>37</v>
      </c>
      <c r="G2721" s="22" t="s">
        <v>121</v>
      </c>
      <c r="H2721" s="22" t="s">
        <v>63</v>
      </c>
      <c r="I2721" s="22" t="s">
        <v>123</v>
      </c>
      <c r="J2721" s="23">
        <v>12</v>
      </c>
      <c r="K2721" s="37">
        <v>0</v>
      </c>
      <c r="L2721" s="37">
        <v>5</v>
      </c>
      <c r="M2721" s="22">
        <f>IF(OR(ISBLANK(C2721),C2721=""),"",ROUND((C2721-B2721)*24,2))</f>
        <v>3.68</v>
      </c>
      <c r="N2721" s="40" t="str">
        <f>IF(OR(ISBLANK(C2721),C2721="",M2721=""),"In Progress",IF(M2721&lt;=J2721,"Met","Breached"))</f>
        <v>Met</v>
      </c>
    </row>
    <row r="2722" ht="19" customHeight="1" spans="1:14" x14ac:dyDescent="0.25">
      <c r="A2722" s="19" t="s">
        <v>2836</v>
      </c>
      <c r="B2722" s="33">
        <v>46220.80208333333</v>
      </c>
      <c r="C2722" s="33">
        <v>46224.638194444444</v>
      </c>
      <c r="D2722" s="19" t="s">
        <v>33</v>
      </c>
      <c r="E2722" s="19" t="s">
        <v>69</v>
      </c>
      <c r="F2722" s="19" t="s">
        <v>40</v>
      </c>
      <c r="G2722" s="19" t="s">
        <v>113</v>
      </c>
      <c r="H2722" s="19" t="s">
        <v>59</v>
      </c>
      <c r="I2722" s="19" t="s">
        <v>111</v>
      </c>
      <c r="J2722" s="20">
        <v>120</v>
      </c>
      <c r="K2722" s="34">
        <v>0</v>
      </c>
      <c r="M2722" s="19">
        <f>IF(OR(ISBLANK(C2722),C2722=""),"",ROUND((C2722-B2722)*24,2))</f>
        <v>92.07</v>
      </c>
      <c r="N2722" s="35" t="str">
        <f>IF(OR(ISBLANK(C2722),C2722="",M2722=""),"In Progress",IF(M2722&lt;=J2722,"Met","Breached"))</f>
        <v>Met</v>
      </c>
    </row>
    <row r="2723" ht="19" customHeight="1" spans="1:14" x14ac:dyDescent="0.25">
      <c r="A2723" s="22" t="s">
        <v>2837</v>
      </c>
      <c r="B2723" s="36">
        <v>45827.527083333334</v>
      </c>
      <c r="C2723" s="36">
        <v>45829.472916666666</v>
      </c>
      <c r="D2723" s="22" t="s">
        <v>36</v>
      </c>
      <c r="E2723" s="22" t="s">
        <v>65</v>
      </c>
      <c r="F2723" s="22" t="s">
        <v>40</v>
      </c>
      <c r="G2723" s="22" t="s">
        <v>126</v>
      </c>
      <c r="H2723" s="22" t="s">
        <v>59</v>
      </c>
      <c r="I2723" s="22" t="s">
        <v>114</v>
      </c>
      <c r="J2723" s="23">
        <v>48</v>
      </c>
      <c r="K2723" s="37">
        <v>0</v>
      </c>
      <c r="M2723" s="22">
        <f>IF(OR(ISBLANK(C2723),C2723=""),"",ROUND((C2723-B2723)*24,2))</f>
        <v>46.7</v>
      </c>
      <c r="N2723" s="40" t="str">
        <f>IF(OR(ISBLANK(C2723),C2723="",M2723=""),"In Progress",IF(M2723&lt;=J2723,"Met","Breached"))</f>
        <v>Met</v>
      </c>
    </row>
    <row r="2724" ht="19" customHeight="1" spans="1:14" x14ac:dyDescent="0.25">
      <c r="A2724" s="19" t="s">
        <v>2838</v>
      </c>
      <c r="B2724" s="33">
        <v>45738.12222222222</v>
      </c>
      <c r="C2724" s="33">
        <v>45741.28263888889</v>
      </c>
      <c r="D2724" s="19" t="s">
        <v>33</v>
      </c>
      <c r="E2724" s="19" t="s">
        <v>65</v>
      </c>
      <c r="F2724" s="19" t="s">
        <v>45</v>
      </c>
      <c r="G2724" s="19" t="s">
        <v>63</v>
      </c>
      <c r="H2724" s="19" t="s">
        <v>71</v>
      </c>
      <c r="I2724" s="19" t="s">
        <v>111</v>
      </c>
      <c r="J2724" s="20">
        <v>48</v>
      </c>
      <c r="K2724" s="34">
        <v>0</v>
      </c>
      <c r="M2724" s="19">
        <f>IF(OR(ISBLANK(C2724),C2724=""),"",ROUND((C2724-B2724)*24,2))</f>
        <v>75.85</v>
      </c>
      <c r="N2724" s="39" t="str">
        <f>IF(OR(ISBLANK(C2724),C2724="",M2724=""),"In Progress",IF(M2724&lt;=J2724,"Met","Breached"))</f>
        <v>Breached</v>
      </c>
    </row>
    <row r="2725" ht="19" customHeight="1" spans="1:14" x14ac:dyDescent="0.25">
      <c r="A2725" s="22" t="s">
        <v>2839</v>
      </c>
      <c r="B2725" s="36">
        <v>45988.83194444445</v>
      </c>
      <c r="D2725" s="22" t="s">
        <v>39</v>
      </c>
      <c r="E2725" s="22" t="s">
        <v>57</v>
      </c>
      <c r="F2725" s="22" t="s">
        <v>37</v>
      </c>
      <c r="G2725" s="22" t="s">
        <v>110</v>
      </c>
      <c r="H2725" s="22" t="s">
        <v>59</v>
      </c>
      <c r="I2725" s="22" t="s">
        <v>111</v>
      </c>
      <c r="J2725" s="23">
        <v>4</v>
      </c>
      <c r="K2725" s="37">
        <v>0</v>
      </c>
      <c r="M2725" s="22" t="str">
        <f>IF(OR(ISBLANK(C2725),C2725=""),"",ROUND((C2725-B2725)*24,2))</f>
        <v/>
      </c>
      <c r="N2725" s="22" t="str">
        <f>IF(OR(ISBLANK(C2725),C2725="",M2725=""),"In Progress",IF(M2725&lt;=J2725,"Met","Breached"))</f>
        <v>In Progress</v>
      </c>
    </row>
    <row r="2726" ht="19" customHeight="1" spans="1:14" x14ac:dyDescent="0.25">
      <c r="A2726" s="19" t="s">
        <v>2840</v>
      </c>
      <c r="B2726" s="33">
        <v>46084.45486111111</v>
      </c>
      <c r="C2726" s="33">
        <v>46087.73263888889</v>
      </c>
      <c r="D2726" s="19" t="s">
        <v>33</v>
      </c>
      <c r="E2726" s="19" t="s">
        <v>65</v>
      </c>
      <c r="F2726" s="19" t="s">
        <v>34</v>
      </c>
      <c r="G2726" s="19" t="s">
        <v>116</v>
      </c>
      <c r="H2726" s="19" t="s">
        <v>59</v>
      </c>
      <c r="I2726" s="19" t="s">
        <v>114</v>
      </c>
      <c r="J2726" s="20">
        <v>48</v>
      </c>
      <c r="K2726" s="34">
        <v>0</v>
      </c>
      <c r="L2726" s="34">
        <v>5</v>
      </c>
      <c r="M2726" s="19">
        <f>IF(OR(ISBLANK(C2726),C2726=""),"",ROUND((C2726-B2726)*24,2))</f>
        <v>78.67</v>
      </c>
      <c r="N2726" s="39" t="str">
        <f>IF(OR(ISBLANK(C2726),C2726="",M2726=""),"In Progress",IF(M2726&lt;=J2726,"Met","Breached"))</f>
        <v>Breached</v>
      </c>
    </row>
    <row r="2727" ht="19" customHeight="1" spans="1:14" x14ac:dyDescent="0.25">
      <c r="A2727" s="22" t="s">
        <v>2841</v>
      </c>
      <c r="B2727" s="36">
        <v>45940.51527777778</v>
      </c>
      <c r="C2727" s="36">
        <v>45940.99513888889</v>
      </c>
      <c r="D2727" s="22" t="s">
        <v>33</v>
      </c>
      <c r="E2727" s="22" t="s">
        <v>61</v>
      </c>
      <c r="F2727" s="22" t="s">
        <v>40</v>
      </c>
      <c r="G2727" s="22" t="s">
        <v>63</v>
      </c>
      <c r="H2727" s="22" t="s">
        <v>59</v>
      </c>
      <c r="I2727" s="22" t="s">
        <v>117</v>
      </c>
      <c r="J2727" s="23">
        <v>12</v>
      </c>
      <c r="K2727" s="37">
        <v>0</v>
      </c>
      <c r="L2727" s="37">
        <v>1</v>
      </c>
      <c r="M2727" s="22">
        <f>IF(OR(ISBLANK(C2727),C2727=""),"",ROUND((C2727-B2727)*24,2))</f>
        <v>11.52</v>
      </c>
      <c r="N2727" s="40" t="str">
        <f>IF(OR(ISBLANK(C2727),C2727="",M2727=""),"In Progress",IF(M2727&lt;=J2727,"Met","Breached"))</f>
        <v>Met</v>
      </c>
    </row>
    <row r="2728" ht="19" customHeight="1" spans="1:14" x14ac:dyDescent="0.25">
      <c r="A2728" s="19" t="s">
        <v>2842</v>
      </c>
      <c r="B2728" s="33">
        <v>46276.43472222222</v>
      </c>
      <c r="C2728" s="33">
        <v>46277.12430555555</v>
      </c>
      <c r="D2728" s="19" t="s">
        <v>36</v>
      </c>
      <c r="E2728" s="19" t="s">
        <v>65</v>
      </c>
      <c r="F2728" s="19" t="s">
        <v>34</v>
      </c>
      <c r="G2728" s="19" t="s">
        <v>116</v>
      </c>
      <c r="H2728" s="19" t="s">
        <v>59</v>
      </c>
      <c r="I2728" s="19" t="s">
        <v>114</v>
      </c>
      <c r="J2728" s="20">
        <v>48</v>
      </c>
      <c r="K2728" s="34">
        <v>0</v>
      </c>
      <c r="L2728" s="34">
        <v>2</v>
      </c>
      <c r="M2728" s="19">
        <f>IF(OR(ISBLANK(C2728),C2728=""),"",ROUND((C2728-B2728)*24,2))</f>
        <v>16.55</v>
      </c>
      <c r="N2728" s="35" t="str">
        <f>IF(OR(ISBLANK(C2728),C2728="",M2728=""),"In Progress",IF(M2728&lt;=J2728,"Met","Breached"))</f>
        <v>Met</v>
      </c>
    </row>
    <row r="2729" ht="19" customHeight="1" spans="1:14" x14ac:dyDescent="0.25">
      <c r="A2729" s="22" t="s">
        <v>2843</v>
      </c>
      <c r="B2729" s="36">
        <v>45893.81736111111</v>
      </c>
      <c r="C2729" s="36">
        <v>45901.52569444444</v>
      </c>
      <c r="D2729" s="22" t="s">
        <v>33</v>
      </c>
      <c r="E2729" s="22" t="s">
        <v>69</v>
      </c>
      <c r="F2729" s="22" t="s">
        <v>40</v>
      </c>
      <c r="G2729" s="22" t="s">
        <v>113</v>
      </c>
      <c r="H2729" s="22" t="s">
        <v>67</v>
      </c>
      <c r="I2729" s="22" t="s">
        <v>114</v>
      </c>
      <c r="J2729" s="23">
        <v>120</v>
      </c>
      <c r="K2729" s="37">
        <v>0</v>
      </c>
      <c r="L2729" s="37">
        <v>5</v>
      </c>
      <c r="M2729" s="22">
        <f>IF(OR(ISBLANK(C2729),C2729=""),"",ROUND((C2729-B2729)*24,2))</f>
        <v>185</v>
      </c>
      <c r="N2729" s="38" t="str">
        <f>IF(OR(ISBLANK(C2729),C2729="",M2729=""),"In Progress",IF(M2729&lt;=J2729,"Met","Breached"))</f>
        <v>Breached</v>
      </c>
    </row>
    <row r="2730" ht="19" customHeight="1" spans="1:14" x14ac:dyDescent="0.25">
      <c r="A2730" s="19" t="s">
        <v>2844</v>
      </c>
      <c r="B2730" s="33">
        <v>46049.52083333333</v>
      </c>
      <c r="C2730" s="33">
        <v>46054.23055555555</v>
      </c>
      <c r="D2730" s="19" t="s">
        <v>36</v>
      </c>
      <c r="E2730" s="19" t="s">
        <v>69</v>
      </c>
      <c r="F2730" s="19" t="s">
        <v>34</v>
      </c>
      <c r="G2730" s="19" t="s">
        <v>121</v>
      </c>
      <c r="H2730" s="19" t="s">
        <v>63</v>
      </c>
      <c r="I2730" s="19" t="s">
        <v>123</v>
      </c>
      <c r="J2730" s="20">
        <v>120</v>
      </c>
      <c r="K2730" s="34">
        <v>0</v>
      </c>
      <c r="L2730" s="34">
        <v>3</v>
      </c>
      <c r="M2730" s="19">
        <f>IF(OR(ISBLANK(C2730),C2730=""),"",ROUND((C2730-B2730)*24,2))</f>
        <v>113.03</v>
      </c>
      <c r="N2730" s="35" t="str">
        <f>IF(OR(ISBLANK(C2730),C2730="",M2730=""),"In Progress",IF(M2730&lt;=J2730,"Met","Breached"))</f>
        <v>Met</v>
      </c>
    </row>
    <row r="2731" ht="19" customHeight="1" spans="1:14" x14ac:dyDescent="0.25">
      <c r="A2731" s="22" t="s">
        <v>2845</v>
      </c>
      <c r="B2731" s="36">
        <v>45696.76736111111</v>
      </c>
      <c r="C2731" s="36">
        <v>45696.98125</v>
      </c>
      <c r="D2731" s="22" t="s">
        <v>36</v>
      </c>
      <c r="E2731" s="22" t="s">
        <v>61</v>
      </c>
      <c r="F2731" s="22" t="s">
        <v>45</v>
      </c>
      <c r="G2731" s="22" t="s">
        <v>110</v>
      </c>
      <c r="H2731" s="22" t="s">
        <v>71</v>
      </c>
      <c r="I2731" s="22" t="s">
        <v>123</v>
      </c>
      <c r="J2731" s="23">
        <v>12</v>
      </c>
      <c r="K2731" s="37">
        <v>0</v>
      </c>
      <c r="M2731" s="22">
        <f>IF(OR(ISBLANK(C2731),C2731=""),"",ROUND((C2731-B2731)*24,2))</f>
        <v>5.13</v>
      </c>
      <c r="N2731" s="40" t="str">
        <f>IF(OR(ISBLANK(C2731),C2731="",M2731=""),"In Progress",IF(M2731&lt;=J2731,"Met","Breached"))</f>
        <v>Met</v>
      </c>
    </row>
    <row r="2732" ht="19" customHeight="1" spans="1:14" x14ac:dyDescent="0.25">
      <c r="A2732" s="19" t="s">
        <v>2846</v>
      </c>
      <c r="B2732" s="33">
        <v>45792.98402777778</v>
      </c>
      <c r="C2732" s="33">
        <v>45794.89097222222</v>
      </c>
      <c r="D2732" s="19" t="s">
        <v>33</v>
      </c>
      <c r="E2732" s="19" t="s">
        <v>65</v>
      </c>
      <c r="F2732" s="19" t="s">
        <v>37</v>
      </c>
      <c r="G2732" s="19" t="s">
        <v>113</v>
      </c>
      <c r="H2732" s="19" t="s">
        <v>59</v>
      </c>
      <c r="I2732" s="19" t="s">
        <v>147</v>
      </c>
      <c r="J2732" s="20">
        <v>48</v>
      </c>
      <c r="K2732" s="34">
        <v>0</v>
      </c>
      <c r="L2732" s="34">
        <v>1</v>
      </c>
      <c r="M2732" s="19">
        <f>IF(OR(ISBLANK(C2732),C2732=""),"",ROUND((C2732-B2732)*24,2))</f>
        <v>45.77</v>
      </c>
      <c r="N2732" s="35" t="str">
        <f>IF(OR(ISBLANK(C2732),C2732="",M2732=""),"In Progress",IF(M2732&lt;=J2732,"Met","Breached"))</f>
        <v>Met</v>
      </c>
    </row>
    <row r="2733" ht="19" customHeight="1" spans="1:14" x14ac:dyDescent="0.25">
      <c r="A2733" s="22" t="s">
        <v>2847</v>
      </c>
      <c r="B2733" s="36">
        <v>45662.5</v>
      </c>
      <c r="C2733" s="36">
        <v>45665.106944444444</v>
      </c>
      <c r="D2733" s="22" t="s">
        <v>33</v>
      </c>
      <c r="E2733" s="22" t="s">
        <v>69</v>
      </c>
      <c r="F2733" s="22" t="s">
        <v>45</v>
      </c>
      <c r="G2733" s="22" t="s">
        <v>126</v>
      </c>
      <c r="H2733" s="22" t="s">
        <v>59</v>
      </c>
      <c r="I2733" s="22" t="s">
        <v>114</v>
      </c>
      <c r="J2733" s="23">
        <v>120</v>
      </c>
      <c r="K2733" s="37">
        <v>0</v>
      </c>
      <c r="L2733" s="37">
        <v>1</v>
      </c>
      <c r="M2733" s="22">
        <f>IF(OR(ISBLANK(C2733),C2733=""),"",ROUND((C2733-B2733)*24,2))</f>
        <v>62.57</v>
      </c>
      <c r="N2733" s="40" t="str">
        <f>IF(OR(ISBLANK(C2733),C2733="",M2733=""),"In Progress",IF(M2733&lt;=J2733,"Met","Breached"))</f>
        <v>Met</v>
      </c>
    </row>
    <row r="2734" ht="19" customHeight="1" spans="1:14" x14ac:dyDescent="0.25">
      <c r="A2734" s="19" t="s">
        <v>2848</v>
      </c>
      <c r="B2734" s="33">
        <v>46013.64583333333</v>
      </c>
      <c r="C2734" s="33">
        <v>46013.96388888889</v>
      </c>
      <c r="D2734" s="19" t="s">
        <v>33</v>
      </c>
      <c r="E2734" s="19" t="s">
        <v>61</v>
      </c>
      <c r="F2734" s="19" t="s">
        <v>34</v>
      </c>
      <c r="G2734" s="19" t="s">
        <v>110</v>
      </c>
      <c r="H2734" s="19" t="s">
        <v>59</v>
      </c>
      <c r="I2734" s="19" t="s">
        <v>111</v>
      </c>
      <c r="J2734" s="20">
        <v>12</v>
      </c>
      <c r="K2734" s="34">
        <v>0</v>
      </c>
      <c r="M2734" s="19">
        <f>IF(OR(ISBLANK(C2734),C2734=""),"",ROUND((C2734-B2734)*24,2))</f>
        <v>7.63</v>
      </c>
      <c r="N2734" s="35" t="str">
        <f>IF(OR(ISBLANK(C2734),C2734="",M2734=""),"In Progress",IF(M2734&lt;=J2734,"Met","Breached"))</f>
        <v>Met</v>
      </c>
    </row>
    <row r="2735" ht="19" customHeight="1" spans="1:14" x14ac:dyDescent="0.25">
      <c r="A2735" s="22" t="s">
        <v>2849</v>
      </c>
      <c r="B2735" s="36">
        <v>45968.17916666667</v>
      </c>
      <c r="D2735" s="22" t="s">
        <v>39</v>
      </c>
      <c r="E2735" s="22" t="s">
        <v>61</v>
      </c>
      <c r="F2735" s="22" t="s">
        <v>40</v>
      </c>
      <c r="G2735" s="22" t="s">
        <v>63</v>
      </c>
      <c r="H2735" s="22" t="s">
        <v>67</v>
      </c>
      <c r="I2735" s="22" t="s">
        <v>108</v>
      </c>
      <c r="J2735" s="23">
        <v>12</v>
      </c>
      <c r="K2735" s="37">
        <v>0</v>
      </c>
      <c r="M2735" s="22" t="str">
        <f>IF(OR(ISBLANK(C2735),C2735=""),"",ROUND((C2735-B2735)*24,2))</f>
        <v/>
      </c>
      <c r="N2735" s="22" t="str">
        <f>IF(OR(ISBLANK(C2735),C2735="",M2735=""),"In Progress",IF(M2735&lt;=J2735,"Met","Breached"))</f>
        <v>In Progress</v>
      </c>
    </row>
    <row r="2736" ht="19" customHeight="1" spans="1:14" x14ac:dyDescent="0.25">
      <c r="A2736" s="19" t="s">
        <v>2850</v>
      </c>
      <c r="B2736" s="33">
        <v>45717.924305555556</v>
      </c>
      <c r="C2736" s="33">
        <v>45721.10625</v>
      </c>
      <c r="D2736" s="19" t="s">
        <v>36</v>
      </c>
      <c r="E2736" s="19" t="s">
        <v>69</v>
      </c>
      <c r="F2736" s="19" t="s">
        <v>40</v>
      </c>
      <c r="G2736" s="19" t="s">
        <v>113</v>
      </c>
      <c r="H2736" s="19" t="s">
        <v>59</v>
      </c>
      <c r="I2736" s="19" t="s">
        <v>123</v>
      </c>
      <c r="J2736" s="20">
        <v>120</v>
      </c>
      <c r="K2736" s="34">
        <v>0</v>
      </c>
      <c r="L2736" s="34">
        <v>2</v>
      </c>
      <c r="M2736" s="19">
        <f>IF(OR(ISBLANK(C2736),C2736=""),"",ROUND((C2736-B2736)*24,2))</f>
        <v>76.37</v>
      </c>
      <c r="N2736" s="35" t="str">
        <f>IF(OR(ISBLANK(C2736),C2736="",M2736=""),"In Progress",IF(M2736&lt;=J2736,"Met","Breached"))</f>
        <v>Met</v>
      </c>
    </row>
    <row r="2737" ht="19" customHeight="1" spans="1:14" x14ac:dyDescent="0.25">
      <c r="A2737" s="22" t="s">
        <v>2851</v>
      </c>
      <c r="B2737" s="36">
        <v>46223.00277777778</v>
      </c>
      <c r="D2737" s="22" t="s">
        <v>39</v>
      </c>
      <c r="E2737" s="22" t="s">
        <v>61</v>
      </c>
      <c r="F2737" s="22" t="s">
        <v>45</v>
      </c>
      <c r="G2737" s="22" t="s">
        <v>63</v>
      </c>
      <c r="H2737" s="22" t="s">
        <v>63</v>
      </c>
      <c r="I2737" s="22" t="s">
        <v>147</v>
      </c>
      <c r="J2737" s="23">
        <v>12</v>
      </c>
      <c r="K2737" s="37">
        <v>0</v>
      </c>
      <c r="M2737" s="22" t="str">
        <f>IF(OR(ISBLANK(C2737),C2737=""),"",ROUND((C2737-B2737)*24,2))</f>
        <v/>
      </c>
      <c r="N2737" s="22" t="str">
        <f>IF(OR(ISBLANK(C2737),C2737="",M2737=""),"In Progress",IF(M2737&lt;=J2737,"Met","Breached"))</f>
        <v>In Progress</v>
      </c>
    </row>
    <row r="2738" ht="19" customHeight="1" spans="1:14" x14ac:dyDescent="0.25">
      <c r="A2738" s="19" t="s">
        <v>2852</v>
      </c>
      <c r="B2738" s="33">
        <v>45974.365277777775</v>
      </c>
      <c r="C2738" s="33">
        <v>45976.398611111115</v>
      </c>
      <c r="D2738" s="19" t="s">
        <v>36</v>
      </c>
      <c r="E2738" s="19" t="s">
        <v>65</v>
      </c>
      <c r="F2738" s="19" t="s">
        <v>34</v>
      </c>
      <c r="G2738" s="19" t="s">
        <v>110</v>
      </c>
      <c r="H2738" s="19" t="s">
        <v>59</v>
      </c>
      <c r="I2738" s="19" t="s">
        <v>111</v>
      </c>
      <c r="J2738" s="20">
        <v>48</v>
      </c>
      <c r="K2738" s="34">
        <v>0</v>
      </c>
      <c r="M2738" s="19">
        <f>IF(OR(ISBLANK(C2738),C2738=""),"",ROUND((C2738-B2738)*24,2))</f>
        <v>48.8</v>
      </c>
      <c r="N2738" s="39" t="str">
        <f>IF(OR(ISBLANK(C2738),C2738="",M2738=""),"In Progress",IF(M2738&lt;=J2738,"Met","Breached"))</f>
        <v>Breached</v>
      </c>
    </row>
    <row r="2739" ht="19" customHeight="1" spans="1:14" x14ac:dyDescent="0.25">
      <c r="A2739" s="22" t="s">
        <v>2853</v>
      </c>
      <c r="B2739" s="36">
        <v>45826.450694444444</v>
      </c>
      <c r="C2739" s="36">
        <v>45827.16527777778</v>
      </c>
      <c r="D2739" s="22" t="s">
        <v>33</v>
      </c>
      <c r="E2739" s="22" t="s">
        <v>61</v>
      </c>
      <c r="F2739" s="22" t="s">
        <v>45</v>
      </c>
      <c r="G2739" s="22" t="s">
        <v>113</v>
      </c>
      <c r="H2739" s="22" t="s">
        <v>63</v>
      </c>
      <c r="I2739" s="22" t="s">
        <v>111</v>
      </c>
      <c r="J2739" s="23">
        <v>12</v>
      </c>
      <c r="K2739" s="37">
        <v>0</v>
      </c>
      <c r="L2739" s="37">
        <v>2</v>
      </c>
      <c r="M2739" s="22">
        <f>IF(OR(ISBLANK(C2739),C2739=""),"",ROUND((C2739-B2739)*24,2))</f>
        <v>17.15</v>
      </c>
      <c r="N2739" s="38" t="str">
        <f>IF(OR(ISBLANK(C2739),C2739="",M2739=""),"In Progress",IF(M2739&lt;=J2739,"Met","Breached"))</f>
        <v>Breached</v>
      </c>
    </row>
    <row r="2740" ht="19" customHeight="1" spans="1:14" x14ac:dyDescent="0.25">
      <c r="A2740" s="19" t="s">
        <v>2854</v>
      </c>
      <c r="B2740" s="33">
        <v>45913.600694444445</v>
      </c>
      <c r="C2740" s="33">
        <v>45922.25902777778</v>
      </c>
      <c r="D2740" s="19" t="s">
        <v>33</v>
      </c>
      <c r="E2740" s="19" t="s">
        <v>69</v>
      </c>
      <c r="F2740" s="19" t="s">
        <v>43</v>
      </c>
      <c r="G2740" s="19" t="s">
        <v>63</v>
      </c>
      <c r="H2740" s="19" t="s">
        <v>59</v>
      </c>
      <c r="I2740" s="19" t="s">
        <v>117</v>
      </c>
      <c r="J2740" s="20">
        <v>120</v>
      </c>
      <c r="K2740" s="34">
        <v>0</v>
      </c>
      <c r="L2740" s="34">
        <v>1</v>
      </c>
      <c r="M2740" s="19">
        <f>IF(OR(ISBLANK(C2740),C2740=""),"",ROUND((C2740-B2740)*24,2))</f>
        <v>207.8</v>
      </c>
      <c r="N2740" s="39" t="str">
        <f>IF(OR(ISBLANK(C2740),C2740="",M2740=""),"In Progress",IF(M2740&lt;=J2740,"Met","Breached"))</f>
        <v>Breached</v>
      </c>
    </row>
    <row r="2741" ht="19" customHeight="1" spans="1:14" x14ac:dyDescent="0.25">
      <c r="A2741" s="22" t="s">
        <v>2855</v>
      </c>
      <c r="B2741" s="36">
        <v>46144.138194444444</v>
      </c>
      <c r="C2741" s="36">
        <v>46144.23402777778</v>
      </c>
      <c r="D2741" s="22" t="s">
        <v>36</v>
      </c>
      <c r="E2741" s="22" t="s">
        <v>57</v>
      </c>
      <c r="F2741" s="22" t="s">
        <v>37</v>
      </c>
      <c r="G2741" s="22" t="s">
        <v>63</v>
      </c>
      <c r="H2741" s="22" t="s">
        <v>71</v>
      </c>
      <c r="I2741" s="22" t="s">
        <v>108</v>
      </c>
      <c r="J2741" s="23">
        <v>4</v>
      </c>
      <c r="K2741" s="37">
        <v>0</v>
      </c>
      <c r="L2741" s="37">
        <v>1</v>
      </c>
      <c r="M2741" s="22">
        <f>IF(OR(ISBLANK(C2741),C2741=""),"",ROUND((C2741-B2741)*24,2))</f>
        <v>2.3</v>
      </c>
      <c r="N2741" s="40" t="str">
        <f>IF(OR(ISBLANK(C2741),C2741="",M2741=""),"In Progress",IF(M2741&lt;=J2741,"Met","Breached"))</f>
        <v>Met</v>
      </c>
    </row>
    <row r="2742" ht="19" customHeight="1" spans="1:14" x14ac:dyDescent="0.25">
      <c r="A2742" s="19" t="s">
        <v>2856</v>
      </c>
      <c r="B2742" s="33">
        <v>45848.1375</v>
      </c>
      <c r="D2742" s="19" t="s">
        <v>42</v>
      </c>
      <c r="E2742" s="19" t="s">
        <v>65</v>
      </c>
      <c r="F2742" s="19" t="s">
        <v>40</v>
      </c>
      <c r="G2742" s="19" t="s">
        <v>63</v>
      </c>
      <c r="H2742" s="19" t="s">
        <v>67</v>
      </c>
      <c r="I2742" s="19" t="s">
        <v>114</v>
      </c>
      <c r="J2742" s="20">
        <v>48</v>
      </c>
      <c r="K2742" s="34">
        <v>0</v>
      </c>
      <c r="M2742" s="19" t="str">
        <f>IF(OR(ISBLANK(C2742),C2742=""),"",ROUND((C2742-B2742)*24,2))</f>
        <v/>
      </c>
      <c r="N2742" s="19" t="str">
        <f>IF(OR(ISBLANK(C2742),C2742="",M2742=""),"In Progress",IF(M2742&lt;=J2742,"Met","Breached"))</f>
        <v>In Progress</v>
      </c>
    </row>
    <row r="2743" ht="19" customHeight="1" spans="1:14" x14ac:dyDescent="0.25">
      <c r="A2743" s="22" t="s">
        <v>2857</v>
      </c>
      <c r="B2743" s="36">
        <v>45934.61388888889</v>
      </c>
      <c r="C2743" s="36">
        <v>45936.35208333333</v>
      </c>
      <c r="D2743" s="22" t="s">
        <v>36</v>
      </c>
      <c r="E2743" s="22" t="s">
        <v>65</v>
      </c>
      <c r="F2743" s="22" t="s">
        <v>40</v>
      </c>
      <c r="G2743" s="22" t="s">
        <v>126</v>
      </c>
      <c r="H2743" s="22" t="s">
        <v>59</v>
      </c>
      <c r="I2743" s="22" t="s">
        <v>147</v>
      </c>
      <c r="J2743" s="23">
        <v>48</v>
      </c>
      <c r="K2743" s="37">
        <v>0</v>
      </c>
      <c r="L2743" s="37">
        <v>1</v>
      </c>
      <c r="M2743" s="22">
        <f>IF(OR(ISBLANK(C2743),C2743=""),"",ROUND((C2743-B2743)*24,2))</f>
        <v>41.72</v>
      </c>
      <c r="N2743" s="40" t="str">
        <f>IF(OR(ISBLANK(C2743),C2743="",M2743=""),"In Progress",IF(M2743&lt;=J2743,"Met","Breached"))</f>
        <v>Met</v>
      </c>
    </row>
    <row r="2744" ht="19" customHeight="1" spans="1:14" x14ac:dyDescent="0.25">
      <c r="A2744" s="19" t="s">
        <v>2858</v>
      </c>
      <c r="B2744" s="33">
        <v>45743.94583333333</v>
      </c>
      <c r="C2744" s="33">
        <v>45746.25902777778</v>
      </c>
      <c r="D2744" s="19" t="s">
        <v>36</v>
      </c>
      <c r="E2744" s="19" t="s">
        <v>65</v>
      </c>
      <c r="F2744" s="19" t="s">
        <v>34</v>
      </c>
      <c r="G2744" s="19" t="s">
        <v>110</v>
      </c>
      <c r="H2744" s="19" t="s">
        <v>59</v>
      </c>
      <c r="I2744" s="19" t="s">
        <v>147</v>
      </c>
      <c r="J2744" s="20">
        <v>48</v>
      </c>
      <c r="K2744" s="34">
        <v>0</v>
      </c>
      <c r="L2744" s="34">
        <v>3</v>
      </c>
      <c r="M2744" s="19">
        <f>IF(OR(ISBLANK(C2744),C2744=""),"",ROUND((C2744-B2744)*24,2))</f>
        <v>55.52</v>
      </c>
      <c r="N2744" s="39" t="str">
        <f>IF(OR(ISBLANK(C2744),C2744="",M2744=""),"In Progress",IF(M2744&lt;=J2744,"Met","Breached"))</f>
        <v>Breached</v>
      </c>
    </row>
    <row r="2745" ht="19" customHeight="1" spans="1:14" x14ac:dyDescent="0.25">
      <c r="A2745" s="22" t="s">
        <v>2859</v>
      </c>
      <c r="B2745" s="36">
        <v>46247.31736111111</v>
      </c>
      <c r="C2745" s="36">
        <v>46248.160416666666</v>
      </c>
      <c r="D2745" s="22" t="s">
        <v>36</v>
      </c>
      <c r="E2745" s="22" t="s">
        <v>65</v>
      </c>
      <c r="F2745" s="22" t="s">
        <v>43</v>
      </c>
      <c r="G2745" s="22" t="s">
        <v>126</v>
      </c>
      <c r="H2745" s="22" t="s">
        <v>59</v>
      </c>
      <c r="I2745" s="22" t="s">
        <v>114</v>
      </c>
      <c r="J2745" s="23">
        <v>48</v>
      </c>
      <c r="K2745" s="37">
        <v>0</v>
      </c>
      <c r="L2745" s="37">
        <v>1</v>
      </c>
      <c r="M2745" s="22">
        <f>IF(OR(ISBLANK(C2745),C2745=""),"",ROUND((C2745-B2745)*24,2))</f>
        <v>20.23</v>
      </c>
      <c r="N2745" s="40" t="str">
        <f>IF(OR(ISBLANK(C2745),C2745="",M2745=""),"In Progress",IF(M2745&lt;=J2745,"Met","Breached"))</f>
        <v>Met</v>
      </c>
    </row>
    <row r="2746" ht="19" customHeight="1" spans="1:14" x14ac:dyDescent="0.25">
      <c r="A2746" s="19" t="s">
        <v>2860</v>
      </c>
      <c r="B2746" s="33">
        <v>45696.461805555555</v>
      </c>
      <c r="C2746" s="33">
        <v>45697.038888888885</v>
      </c>
      <c r="D2746" s="19" t="s">
        <v>36</v>
      </c>
      <c r="E2746" s="19" t="s">
        <v>61</v>
      </c>
      <c r="F2746" s="19" t="s">
        <v>37</v>
      </c>
      <c r="G2746" s="19" t="s">
        <v>116</v>
      </c>
      <c r="H2746" s="19" t="s">
        <v>63</v>
      </c>
      <c r="I2746" s="19" t="s">
        <v>147</v>
      </c>
      <c r="J2746" s="20">
        <v>12</v>
      </c>
      <c r="K2746" s="34">
        <v>0</v>
      </c>
      <c r="L2746" s="34">
        <v>3</v>
      </c>
      <c r="M2746" s="19">
        <f>IF(OR(ISBLANK(C2746),C2746=""),"",ROUND((C2746-B2746)*24,2))</f>
        <v>13.85</v>
      </c>
      <c r="N2746" s="39" t="str">
        <f>IF(OR(ISBLANK(C2746),C2746="",M2746=""),"In Progress",IF(M2746&lt;=J2746,"Met","Breached"))</f>
        <v>Breached</v>
      </c>
    </row>
    <row r="2747" ht="19" customHeight="1" spans="1:14" x14ac:dyDescent="0.25">
      <c r="A2747" s="22" t="s">
        <v>2861</v>
      </c>
      <c r="B2747" s="36">
        <v>45831.26527777778</v>
      </c>
      <c r="C2747" s="36">
        <v>45834.00347222222</v>
      </c>
      <c r="D2747" s="22" t="s">
        <v>36</v>
      </c>
      <c r="E2747" s="22" t="s">
        <v>65</v>
      </c>
      <c r="F2747" s="22" t="s">
        <v>45</v>
      </c>
      <c r="G2747" s="22" t="s">
        <v>116</v>
      </c>
      <c r="H2747" s="22" t="s">
        <v>71</v>
      </c>
      <c r="I2747" s="22" t="s">
        <v>114</v>
      </c>
      <c r="J2747" s="23">
        <v>48</v>
      </c>
      <c r="K2747" s="37">
        <v>1</v>
      </c>
      <c r="M2747" s="22">
        <f>IF(OR(ISBLANK(C2747),C2747=""),"",ROUND((C2747-B2747)*24,2))</f>
        <v>65.72</v>
      </c>
      <c r="N2747" s="38" t="str">
        <f>IF(OR(ISBLANK(C2747),C2747="",M2747=""),"In Progress",IF(M2747&lt;=J2747,"Met","Breached"))</f>
        <v>Breached</v>
      </c>
    </row>
    <row r="2748" ht="19" customHeight="1" spans="1:14" x14ac:dyDescent="0.25">
      <c r="A2748" s="19" t="s">
        <v>2862</v>
      </c>
      <c r="B2748" s="33">
        <v>46122.16736111111</v>
      </c>
      <c r="C2748" s="33">
        <v>46122.356944444444</v>
      </c>
      <c r="D2748" s="19" t="s">
        <v>33</v>
      </c>
      <c r="E2748" s="19" t="s">
        <v>57</v>
      </c>
      <c r="F2748" s="19" t="s">
        <v>37</v>
      </c>
      <c r="G2748" s="19" t="s">
        <v>121</v>
      </c>
      <c r="H2748" s="19" t="s">
        <v>63</v>
      </c>
      <c r="I2748" s="19" t="s">
        <v>114</v>
      </c>
      <c r="J2748" s="20">
        <v>4</v>
      </c>
      <c r="K2748" s="34">
        <v>0</v>
      </c>
      <c r="L2748" s="34">
        <v>1</v>
      </c>
      <c r="M2748" s="19">
        <f>IF(OR(ISBLANK(C2748),C2748=""),"",ROUND((C2748-B2748)*24,2))</f>
        <v>4.55</v>
      </c>
      <c r="N2748" s="39" t="str">
        <f>IF(OR(ISBLANK(C2748),C2748="",M2748=""),"In Progress",IF(M2748&lt;=J2748,"Met","Breached"))</f>
        <v>Breached</v>
      </c>
    </row>
    <row r="2749" ht="19" customHeight="1" spans="1:14" x14ac:dyDescent="0.25">
      <c r="A2749" s="22" t="s">
        <v>2863</v>
      </c>
      <c r="B2749" s="36">
        <v>46128.101388888885</v>
      </c>
      <c r="C2749" s="36">
        <v>46131.24930555555</v>
      </c>
      <c r="D2749" s="22" t="s">
        <v>33</v>
      </c>
      <c r="E2749" s="22" t="s">
        <v>65</v>
      </c>
      <c r="F2749" s="22" t="s">
        <v>34</v>
      </c>
      <c r="G2749" s="22" t="s">
        <v>63</v>
      </c>
      <c r="H2749" s="22" t="s">
        <v>63</v>
      </c>
      <c r="I2749" s="22" t="s">
        <v>108</v>
      </c>
      <c r="J2749" s="23">
        <v>48</v>
      </c>
      <c r="K2749" s="37">
        <v>0</v>
      </c>
      <c r="L2749" s="37">
        <v>5</v>
      </c>
      <c r="M2749" s="22">
        <f>IF(OR(ISBLANK(C2749),C2749=""),"",ROUND((C2749-B2749)*24,2))</f>
        <v>75.55</v>
      </c>
      <c r="N2749" s="38" t="str">
        <f>IF(OR(ISBLANK(C2749),C2749="",M2749=""),"In Progress",IF(M2749&lt;=J2749,"Met","Breached"))</f>
        <v>Breached</v>
      </c>
    </row>
    <row r="2750" ht="19" customHeight="1" spans="1:14" x14ac:dyDescent="0.25">
      <c r="A2750" s="19" t="s">
        <v>2864</v>
      </c>
      <c r="B2750" s="33">
        <v>45684.54375</v>
      </c>
      <c r="C2750" s="33">
        <v>45687.70416666666</v>
      </c>
      <c r="D2750" s="19" t="s">
        <v>33</v>
      </c>
      <c r="E2750" s="19" t="s">
        <v>65</v>
      </c>
      <c r="F2750" s="19" t="s">
        <v>34</v>
      </c>
      <c r="G2750" s="19" t="s">
        <v>113</v>
      </c>
      <c r="H2750" s="19" t="s">
        <v>63</v>
      </c>
      <c r="I2750" s="19" t="s">
        <v>108</v>
      </c>
      <c r="J2750" s="20">
        <v>48</v>
      </c>
      <c r="K2750" s="34">
        <v>0</v>
      </c>
      <c r="L2750" s="34">
        <v>1</v>
      </c>
      <c r="M2750" s="19">
        <f>IF(OR(ISBLANK(C2750),C2750=""),"",ROUND((C2750-B2750)*24,2))</f>
        <v>75.85</v>
      </c>
      <c r="N2750" s="39" t="str">
        <f>IF(OR(ISBLANK(C2750),C2750="",M2750=""),"In Progress",IF(M2750&lt;=J2750,"Met","Breached"))</f>
        <v>Breached</v>
      </c>
    </row>
    <row r="2751" ht="19" customHeight="1" spans="1:14" x14ac:dyDescent="0.25">
      <c r="A2751" s="22" t="s">
        <v>2865</v>
      </c>
      <c r="B2751" s="36">
        <v>45911.75347222222</v>
      </c>
      <c r="C2751" s="36">
        <v>45912.57361111111</v>
      </c>
      <c r="D2751" s="22" t="s">
        <v>33</v>
      </c>
      <c r="E2751" s="22" t="s">
        <v>65</v>
      </c>
      <c r="F2751" s="22" t="s">
        <v>45</v>
      </c>
      <c r="G2751" s="22" t="s">
        <v>126</v>
      </c>
      <c r="H2751" s="22" t="s">
        <v>71</v>
      </c>
      <c r="I2751" s="22" t="s">
        <v>147</v>
      </c>
      <c r="J2751" s="23">
        <v>48</v>
      </c>
      <c r="K2751" s="37">
        <v>0</v>
      </c>
      <c r="L2751" s="37">
        <v>2</v>
      </c>
      <c r="M2751" s="22">
        <f>IF(OR(ISBLANK(C2751),C2751=""),"",ROUND((C2751-B2751)*24,2))</f>
        <v>19.68</v>
      </c>
      <c r="N2751" s="40" t="str">
        <f>IF(OR(ISBLANK(C2751),C2751="",M2751=""),"In Progress",IF(M2751&lt;=J2751,"Met","Breached"))</f>
        <v>Met</v>
      </c>
    </row>
    <row r="2752" ht="19" customHeight="1" spans="1:14" x14ac:dyDescent="0.25">
      <c r="A2752" s="19" t="s">
        <v>2866</v>
      </c>
      <c r="B2752" s="33">
        <v>46193.794444444444</v>
      </c>
      <c r="C2752" s="33">
        <v>46194.64027777778</v>
      </c>
      <c r="D2752" s="19" t="s">
        <v>36</v>
      </c>
      <c r="E2752" s="19" t="s">
        <v>65</v>
      </c>
      <c r="F2752" s="19" t="s">
        <v>43</v>
      </c>
      <c r="G2752" s="19" t="s">
        <v>126</v>
      </c>
      <c r="H2752" s="19" t="s">
        <v>71</v>
      </c>
      <c r="I2752" s="19" t="s">
        <v>114</v>
      </c>
      <c r="J2752" s="20">
        <v>48</v>
      </c>
      <c r="K2752" s="34">
        <v>0</v>
      </c>
      <c r="M2752" s="19">
        <f>IF(OR(ISBLANK(C2752),C2752=""),"",ROUND((C2752-B2752)*24,2))</f>
        <v>20.3</v>
      </c>
      <c r="N2752" s="35" t="str">
        <f>IF(OR(ISBLANK(C2752),C2752="",M2752=""),"In Progress",IF(M2752&lt;=J2752,"Met","Breached"))</f>
        <v>Met</v>
      </c>
    </row>
    <row r="2753" ht="19" customHeight="1" spans="1:14" x14ac:dyDescent="0.25">
      <c r="A2753" s="22" t="s">
        <v>2867</v>
      </c>
      <c r="B2753" s="36">
        <v>46056.759722222225</v>
      </c>
      <c r="C2753" s="36">
        <v>46061.54722222222</v>
      </c>
      <c r="D2753" s="22" t="s">
        <v>33</v>
      </c>
      <c r="E2753" s="22" t="s">
        <v>69</v>
      </c>
      <c r="F2753" s="22" t="s">
        <v>37</v>
      </c>
      <c r="G2753" s="22" t="s">
        <v>113</v>
      </c>
      <c r="H2753" s="22" t="s">
        <v>71</v>
      </c>
      <c r="I2753" s="22" t="s">
        <v>117</v>
      </c>
      <c r="J2753" s="23">
        <v>120</v>
      </c>
      <c r="K2753" s="37">
        <v>0</v>
      </c>
      <c r="L2753" s="37">
        <v>5</v>
      </c>
      <c r="M2753" s="22">
        <f>IF(OR(ISBLANK(C2753),C2753=""),"",ROUND((C2753-B2753)*24,2))</f>
        <v>114.9</v>
      </c>
      <c r="N2753" s="40" t="str">
        <f>IF(OR(ISBLANK(C2753),C2753="",M2753=""),"In Progress",IF(M2753&lt;=J2753,"Met","Breached"))</f>
        <v>Met</v>
      </c>
    </row>
    <row r="2754" ht="19" customHeight="1" spans="1:14" x14ac:dyDescent="0.25">
      <c r="A2754" s="19" t="s">
        <v>2868</v>
      </c>
      <c r="B2754" s="33">
        <v>46168.350694444445</v>
      </c>
      <c r="C2754" s="33">
        <v>46169.51180555555</v>
      </c>
      <c r="D2754" s="19" t="s">
        <v>33</v>
      </c>
      <c r="E2754" s="19" t="s">
        <v>65</v>
      </c>
      <c r="F2754" s="19" t="s">
        <v>37</v>
      </c>
      <c r="G2754" s="19" t="s">
        <v>126</v>
      </c>
      <c r="H2754" s="19" t="s">
        <v>59</v>
      </c>
      <c r="I2754" s="19" t="s">
        <v>147</v>
      </c>
      <c r="J2754" s="20">
        <v>48</v>
      </c>
      <c r="K2754" s="34">
        <v>0</v>
      </c>
      <c r="L2754" s="34">
        <v>4</v>
      </c>
      <c r="M2754" s="19">
        <f>IF(OR(ISBLANK(C2754),C2754=""),"",ROUND((C2754-B2754)*24,2))</f>
        <v>27.87</v>
      </c>
      <c r="N2754" s="35" t="str">
        <f>IF(OR(ISBLANK(C2754),C2754="",M2754=""),"In Progress",IF(M2754&lt;=J2754,"Met","Breached"))</f>
        <v>Met</v>
      </c>
    </row>
    <row r="2755" ht="19" customHeight="1" spans="1:14" x14ac:dyDescent="0.25">
      <c r="A2755" s="22" t="s">
        <v>2869</v>
      </c>
      <c r="B2755" s="36">
        <v>45789.90625</v>
      </c>
      <c r="C2755" s="36">
        <v>45792.3375</v>
      </c>
      <c r="D2755" s="22" t="s">
        <v>33</v>
      </c>
      <c r="E2755" s="22" t="s">
        <v>69</v>
      </c>
      <c r="F2755" s="22" t="s">
        <v>34</v>
      </c>
      <c r="G2755" s="22" t="s">
        <v>110</v>
      </c>
      <c r="H2755" s="22" t="s">
        <v>59</v>
      </c>
      <c r="I2755" s="22" t="s">
        <v>111</v>
      </c>
      <c r="J2755" s="23">
        <v>120</v>
      </c>
      <c r="K2755" s="37">
        <v>0</v>
      </c>
      <c r="L2755" s="37">
        <v>1</v>
      </c>
      <c r="M2755" s="22">
        <f>IF(OR(ISBLANK(C2755),C2755=""),"",ROUND((C2755-B2755)*24,2))</f>
        <v>58.35</v>
      </c>
      <c r="N2755" s="40" t="str">
        <f>IF(OR(ISBLANK(C2755),C2755="",M2755=""),"In Progress",IF(M2755&lt;=J2755,"Met","Breached"))</f>
        <v>Met</v>
      </c>
    </row>
    <row r="2756" ht="19" customHeight="1" spans="1:14" x14ac:dyDescent="0.25">
      <c r="A2756" s="19" t="s">
        <v>2870</v>
      </c>
      <c r="B2756" s="33">
        <v>45798.0125</v>
      </c>
      <c r="C2756" s="33">
        <v>45800.652083333334</v>
      </c>
      <c r="D2756" s="19" t="s">
        <v>33</v>
      </c>
      <c r="E2756" s="19" t="s">
        <v>65</v>
      </c>
      <c r="F2756" s="19" t="s">
        <v>34</v>
      </c>
      <c r="G2756" s="19" t="s">
        <v>126</v>
      </c>
      <c r="H2756" s="19" t="s">
        <v>59</v>
      </c>
      <c r="I2756" s="19" t="s">
        <v>147</v>
      </c>
      <c r="J2756" s="20">
        <v>48</v>
      </c>
      <c r="K2756" s="34">
        <v>0</v>
      </c>
      <c r="L2756" s="34">
        <v>4</v>
      </c>
      <c r="M2756" s="19">
        <f>IF(OR(ISBLANK(C2756),C2756=""),"",ROUND((C2756-B2756)*24,2))</f>
        <v>63.35</v>
      </c>
      <c r="N2756" s="39" t="str">
        <f>IF(OR(ISBLANK(C2756),C2756="",M2756=""),"In Progress",IF(M2756&lt;=J2756,"Met","Breached"))</f>
        <v>Breached</v>
      </c>
    </row>
    <row r="2757" ht="19" customHeight="1" spans="1:14" x14ac:dyDescent="0.25">
      <c r="A2757" s="22" t="s">
        <v>2871</v>
      </c>
      <c r="B2757" s="36">
        <v>46111.726388888885</v>
      </c>
      <c r="C2757" s="36">
        <v>46114.50902777778</v>
      </c>
      <c r="D2757" s="22" t="s">
        <v>33</v>
      </c>
      <c r="E2757" s="22" t="s">
        <v>65</v>
      </c>
      <c r="F2757" s="22" t="s">
        <v>34</v>
      </c>
      <c r="G2757" s="22" t="s">
        <v>116</v>
      </c>
      <c r="H2757" s="22" t="s">
        <v>63</v>
      </c>
      <c r="I2757" s="22" t="s">
        <v>123</v>
      </c>
      <c r="J2757" s="23">
        <v>48</v>
      </c>
      <c r="K2757" s="37">
        <v>0</v>
      </c>
      <c r="L2757" s="37">
        <v>2</v>
      </c>
      <c r="M2757" s="22">
        <f>IF(OR(ISBLANK(C2757),C2757=""),"",ROUND((C2757-B2757)*24,2))</f>
        <v>66.78</v>
      </c>
      <c r="N2757" s="38" t="str">
        <f>IF(OR(ISBLANK(C2757),C2757="",M2757=""),"In Progress",IF(M2757&lt;=J2757,"Met","Breached"))</f>
        <v>Breached</v>
      </c>
    </row>
    <row r="2758" ht="19" customHeight="1" spans="1:14" x14ac:dyDescent="0.25">
      <c r="A2758" s="19" t="s">
        <v>2872</v>
      </c>
      <c r="B2758" s="33">
        <v>45762.884722222225</v>
      </c>
      <c r="D2758" s="19" t="s">
        <v>42</v>
      </c>
      <c r="E2758" s="19" t="s">
        <v>69</v>
      </c>
      <c r="F2758" s="19" t="s">
        <v>37</v>
      </c>
      <c r="G2758" s="19" t="s">
        <v>116</v>
      </c>
      <c r="H2758" s="19" t="s">
        <v>63</v>
      </c>
      <c r="I2758" s="19" t="s">
        <v>117</v>
      </c>
      <c r="J2758" s="20">
        <v>120</v>
      </c>
      <c r="K2758" s="34">
        <v>0</v>
      </c>
      <c r="M2758" s="19" t="str">
        <f>IF(OR(ISBLANK(C2758),C2758=""),"",ROUND((C2758-B2758)*24,2))</f>
        <v/>
      </c>
      <c r="N2758" s="19" t="str">
        <f>IF(OR(ISBLANK(C2758),C2758="",M2758=""),"In Progress",IF(M2758&lt;=J2758,"Met","Breached"))</f>
        <v>In Progress</v>
      </c>
    </row>
    <row r="2759" ht="19" customHeight="1" spans="1:14" x14ac:dyDescent="0.25">
      <c r="A2759" s="22" t="s">
        <v>2873</v>
      </c>
      <c r="B2759" s="36">
        <v>46184.53611111111</v>
      </c>
      <c r="C2759" s="36">
        <v>46189.67222222222</v>
      </c>
      <c r="D2759" s="22" t="s">
        <v>36</v>
      </c>
      <c r="E2759" s="22" t="s">
        <v>69</v>
      </c>
      <c r="F2759" s="22" t="s">
        <v>43</v>
      </c>
      <c r="G2759" s="22" t="s">
        <v>126</v>
      </c>
      <c r="H2759" s="22" t="s">
        <v>59</v>
      </c>
      <c r="I2759" s="22" t="s">
        <v>111</v>
      </c>
      <c r="J2759" s="23">
        <v>120</v>
      </c>
      <c r="K2759" s="37">
        <v>0</v>
      </c>
      <c r="L2759" s="37">
        <v>2</v>
      </c>
      <c r="M2759" s="22">
        <f>IF(OR(ISBLANK(C2759),C2759=""),"",ROUND((C2759-B2759)*24,2))</f>
        <v>123.27</v>
      </c>
      <c r="N2759" s="38" t="str">
        <f>IF(OR(ISBLANK(C2759),C2759="",M2759=""),"In Progress",IF(M2759&lt;=J2759,"Met","Breached"))</f>
        <v>Breached</v>
      </c>
    </row>
    <row r="2760" ht="19" customHeight="1" spans="1:14" x14ac:dyDescent="0.25">
      <c r="A2760" s="19" t="s">
        <v>2874</v>
      </c>
      <c r="B2760" s="33">
        <v>46071.08819444444</v>
      </c>
      <c r="C2760" s="33">
        <v>46071.90972222222</v>
      </c>
      <c r="D2760" s="19" t="s">
        <v>33</v>
      </c>
      <c r="E2760" s="19" t="s">
        <v>61</v>
      </c>
      <c r="F2760" s="19" t="s">
        <v>37</v>
      </c>
      <c r="G2760" s="19" t="s">
        <v>113</v>
      </c>
      <c r="H2760" s="19" t="s">
        <v>59</v>
      </c>
      <c r="I2760" s="19" t="s">
        <v>114</v>
      </c>
      <c r="J2760" s="20">
        <v>12</v>
      </c>
      <c r="K2760" s="34">
        <v>0</v>
      </c>
      <c r="M2760" s="19">
        <f>IF(OR(ISBLANK(C2760),C2760=""),"",ROUND((C2760-B2760)*24,2))</f>
        <v>19.72</v>
      </c>
      <c r="N2760" s="39" t="str">
        <f>IF(OR(ISBLANK(C2760),C2760="",M2760=""),"In Progress",IF(M2760&lt;=J2760,"Met","Breached"))</f>
        <v>Breached</v>
      </c>
    </row>
    <row r="2761" ht="19" customHeight="1" spans="1:14" x14ac:dyDescent="0.25">
      <c r="A2761" s="22" t="s">
        <v>2875</v>
      </c>
      <c r="B2761" s="36">
        <v>45669.03472222222</v>
      </c>
      <c r="D2761" s="22" t="s">
        <v>39</v>
      </c>
      <c r="E2761" s="22" t="s">
        <v>57</v>
      </c>
      <c r="F2761" s="22" t="s">
        <v>45</v>
      </c>
      <c r="G2761" s="22" t="s">
        <v>121</v>
      </c>
      <c r="H2761" s="22" t="s">
        <v>67</v>
      </c>
      <c r="I2761" s="22" t="s">
        <v>117</v>
      </c>
      <c r="J2761" s="23">
        <v>4</v>
      </c>
      <c r="K2761" s="37">
        <v>0</v>
      </c>
      <c r="M2761" s="22" t="str">
        <f>IF(OR(ISBLANK(C2761),C2761=""),"",ROUND((C2761-B2761)*24,2))</f>
        <v/>
      </c>
      <c r="N2761" s="22" t="str">
        <f>IF(OR(ISBLANK(C2761),C2761="",M2761=""),"In Progress",IF(M2761&lt;=J2761,"Met","Breached"))</f>
        <v>In Progress</v>
      </c>
    </row>
    <row r="2762" ht="19" customHeight="1" spans="1:14" x14ac:dyDescent="0.25">
      <c r="A2762" s="19" t="s">
        <v>2876</v>
      </c>
      <c r="B2762" s="33">
        <v>45863.62708333333</v>
      </c>
      <c r="D2762" s="19" t="s">
        <v>39</v>
      </c>
      <c r="E2762" s="19" t="s">
        <v>65</v>
      </c>
      <c r="F2762" s="19" t="s">
        <v>45</v>
      </c>
      <c r="G2762" s="19" t="s">
        <v>116</v>
      </c>
      <c r="H2762" s="19" t="s">
        <v>63</v>
      </c>
      <c r="I2762" s="19" t="s">
        <v>123</v>
      </c>
      <c r="J2762" s="20">
        <v>48</v>
      </c>
      <c r="K2762" s="34">
        <v>0</v>
      </c>
      <c r="M2762" s="19" t="str">
        <f>IF(OR(ISBLANK(C2762),C2762=""),"",ROUND((C2762-B2762)*24,2))</f>
        <v/>
      </c>
      <c r="N2762" s="19" t="str">
        <f>IF(OR(ISBLANK(C2762),C2762="",M2762=""),"In Progress",IF(M2762&lt;=J2762,"Met","Breached"))</f>
        <v>In Progress</v>
      </c>
    </row>
    <row r="2763" ht="19" customHeight="1" spans="1:14" x14ac:dyDescent="0.25">
      <c r="A2763" s="22" t="s">
        <v>2877</v>
      </c>
      <c r="B2763" s="36">
        <v>45667.429861111115</v>
      </c>
      <c r="C2763" s="36">
        <v>45667.66875</v>
      </c>
      <c r="D2763" s="22" t="s">
        <v>33</v>
      </c>
      <c r="E2763" s="22" t="s">
        <v>57</v>
      </c>
      <c r="F2763" s="22" t="s">
        <v>37</v>
      </c>
      <c r="G2763" s="22" t="s">
        <v>121</v>
      </c>
      <c r="H2763" s="22" t="s">
        <v>59</v>
      </c>
      <c r="I2763" s="22" t="s">
        <v>111</v>
      </c>
      <c r="J2763" s="23">
        <v>4</v>
      </c>
      <c r="K2763" s="37">
        <v>0</v>
      </c>
      <c r="L2763" s="37">
        <v>2</v>
      </c>
      <c r="M2763" s="22">
        <f>IF(OR(ISBLANK(C2763),C2763=""),"",ROUND((C2763-B2763)*24,2))</f>
        <v>5.73</v>
      </c>
      <c r="N2763" s="38" t="str">
        <f>IF(OR(ISBLANK(C2763),C2763="",M2763=""),"In Progress",IF(M2763&lt;=J2763,"Met","Breached"))</f>
        <v>Breached</v>
      </c>
    </row>
    <row r="2764" ht="19" customHeight="1" spans="1:14" x14ac:dyDescent="0.25">
      <c r="A2764" s="19" t="s">
        <v>2878</v>
      </c>
      <c r="B2764" s="33">
        <v>45877.73055555555</v>
      </c>
      <c r="C2764" s="33">
        <v>45881.28472222222</v>
      </c>
      <c r="D2764" s="19" t="s">
        <v>33</v>
      </c>
      <c r="E2764" s="19" t="s">
        <v>65</v>
      </c>
      <c r="F2764" s="19" t="s">
        <v>45</v>
      </c>
      <c r="G2764" s="19" t="s">
        <v>121</v>
      </c>
      <c r="H2764" s="19" t="s">
        <v>59</v>
      </c>
      <c r="I2764" s="19" t="s">
        <v>108</v>
      </c>
      <c r="J2764" s="20">
        <v>48</v>
      </c>
      <c r="K2764" s="34">
        <v>0</v>
      </c>
      <c r="M2764" s="19">
        <f>IF(OR(ISBLANK(C2764),C2764=""),"",ROUND((C2764-B2764)*24,2))</f>
        <v>85.3</v>
      </c>
      <c r="N2764" s="39" t="str">
        <f>IF(OR(ISBLANK(C2764),C2764="",M2764=""),"In Progress",IF(M2764&lt;=J2764,"Met","Breached"))</f>
        <v>Breached</v>
      </c>
    </row>
    <row r="2765" ht="19" customHeight="1" spans="1:14" x14ac:dyDescent="0.25">
      <c r="A2765" s="22" t="s">
        <v>2879</v>
      </c>
      <c r="B2765" s="36">
        <v>46211.68125</v>
      </c>
      <c r="C2765" s="36">
        <v>46213.49791666667</v>
      </c>
      <c r="D2765" s="22" t="s">
        <v>36</v>
      </c>
      <c r="E2765" s="22" t="s">
        <v>65</v>
      </c>
      <c r="F2765" s="22" t="s">
        <v>37</v>
      </c>
      <c r="G2765" s="22" t="s">
        <v>116</v>
      </c>
      <c r="H2765" s="22" t="s">
        <v>59</v>
      </c>
      <c r="I2765" s="22" t="s">
        <v>147</v>
      </c>
      <c r="J2765" s="23">
        <v>48</v>
      </c>
      <c r="K2765" s="37">
        <v>0</v>
      </c>
      <c r="M2765" s="22">
        <f>IF(OR(ISBLANK(C2765),C2765=""),"",ROUND((C2765-B2765)*24,2))</f>
        <v>43.6</v>
      </c>
      <c r="N2765" s="40" t="str">
        <f>IF(OR(ISBLANK(C2765),C2765="",M2765=""),"In Progress",IF(M2765&lt;=J2765,"Met","Breached"))</f>
        <v>Met</v>
      </c>
    </row>
    <row r="2766" ht="19" customHeight="1" spans="1:14" x14ac:dyDescent="0.25">
      <c r="A2766" s="19" t="s">
        <v>2880</v>
      </c>
      <c r="B2766" s="33">
        <v>46173.26875</v>
      </c>
      <c r="C2766" s="33">
        <v>46173.45486111111</v>
      </c>
      <c r="D2766" s="19" t="s">
        <v>33</v>
      </c>
      <c r="E2766" s="19" t="s">
        <v>61</v>
      </c>
      <c r="F2766" s="19" t="s">
        <v>37</v>
      </c>
      <c r="G2766" s="19" t="s">
        <v>121</v>
      </c>
      <c r="H2766" s="19" t="s">
        <v>59</v>
      </c>
      <c r="I2766" s="19" t="s">
        <v>108</v>
      </c>
      <c r="J2766" s="20">
        <v>12</v>
      </c>
      <c r="K2766" s="34">
        <v>1</v>
      </c>
      <c r="M2766" s="19">
        <f>IF(OR(ISBLANK(C2766),C2766=""),"",ROUND((C2766-B2766)*24,2))</f>
        <v>4.47</v>
      </c>
      <c r="N2766" s="35" t="str">
        <f>IF(OR(ISBLANK(C2766),C2766="",M2766=""),"In Progress",IF(M2766&lt;=J2766,"Met","Breached"))</f>
        <v>Met</v>
      </c>
    </row>
    <row r="2767" ht="19" customHeight="1" spans="1:14" x14ac:dyDescent="0.25">
      <c r="A2767" s="22" t="s">
        <v>2881</v>
      </c>
      <c r="B2767" s="36">
        <v>46046.6</v>
      </c>
      <c r="C2767" s="36">
        <v>46048.78472222222</v>
      </c>
      <c r="D2767" s="22" t="s">
        <v>33</v>
      </c>
      <c r="E2767" s="22" t="s">
        <v>69</v>
      </c>
      <c r="F2767" s="22" t="s">
        <v>34</v>
      </c>
      <c r="G2767" s="22" t="s">
        <v>63</v>
      </c>
      <c r="H2767" s="22" t="s">
        <v>67</v>
      </c>
      <c r="I2767" s="22" t="s">
        <v>108</v>
      </c>
      <c r="J2767" s="23">
        <v>120</v>
      </c>
      <c r="K2767" s="37">
        <v>0</v>
      </c>
      <c r="M2767" s="22">
        <f>IF(OR(ISBLANK(C2767),C2767=""),"",ROUND((C2767-B2767)*24,2))</f>
        <v>52.43</v>
      </c>
      <c r="N2767" s="40" t="str">
        <f>IF(OR(ISBLANK(C2767),C2767="",M2767=""),"In Progress",IF(M2767&lt;=J2767,"Met","Breached"))</f>
        <v>Met</v>
      </c>
    </row>
    <row r="2768" ht="19" customHeight="1" spans="1:14" x14ac:dyDescent="0.25">
      <c r="A2768" s="19" t="s">
        <v>2882</v>
      </c>
      <c r="B2768" s="33">
        <v>45675.91875</v>
      </c>
      <c r="C2768" s="33">
        <v>45676.618055555555</v>
      </c>
      <c r="D2768" s="19" t="s">
        <v>33</v>
      </c>
      <c r="E2768" s="19" t="s">
        <v>61</v>
      </c>
      <c r="F2768" s="19" t="s">
        <v>40</v>
      </c>
      <c r="G2768" s="19" t="s">
        <v>121</v>
      </c>
      <c r="H2768" s="19" t="s">
        <v>63</v>
      </c>
      <c r="I2768" s="19" t="s">
        <v>123</v>
      </c>
      <c r="J2768" s="20">
        <v>12</v>
      </c>
      <c r="K2768" s="34">
        <v>0</v>
      </c>
      <c r="L2768" s="34">
        <v>3</v>
      </c>
      <c r="M2768" s="19">
        <f>IF(OR(ISBLANK(C2768),C2768=""),"",ROUND((C2768-B2768)*24,2))</f>
        <v>16.78</v>
      </c>
      <c r="N2768" s="39" t="str">
        <f>IF(OR(ISBLANK(C2768),C2768="",M2768=""),"In Progress",IF(M2768&lt;=J2768,"Met","Breached"))</f>
        <v>Breached</v>
      </c>
    </row>
    <row r="2769" ht="19" customHeight="1" spans="1:14" x14ac:dyDescent="0.25">
      <c r="A2769" s="22" t="s">
        <v>2883</v>
      </c>
      <c r="B2769" s="36">
        <v>45914.58194444445</v>
      </c>
      <c r="D2769" s="22" t="s">
        <v>39</v>
      </c>
      <c r="E2769" s="22" t="s">
        <v>61</v>
      </c>
      <c r="F2769" s="22" t="s">
        <v>40</v>
      </c>
      <c r="G2769" s="22" t="s">
        <v>113</v>
      </c>
      <c r="H2769" s="22" t="s">
        <v>71</v>
      </c>
      <c r="I2769" s="22" t="s">
        <v>147</v>
      </c>
      <c r="J2769" s="23">
        <v>12</v>
      </c>
      <c r="K2769" s="37">
        <v>0</v>
      </c>
      <c r="M2769" s="22" t="str">
        <f>IF(OR(ISBLANK(C2769),C2769=""),"",ROUND((C2769-B2769)*24,2))</f>
        <v/>
      </c>
      <c r="N2769" s="22" t="str">
        <f>IF(OR(ISBLANK(C2769),C2769="",M2769=""),"In Progress",IF(M2769&lt;=J2769,"Met","Breached"))</f>
        <v>In Progress</v>
      </c>
    </row>
    <row r="2770" ht="19" customHeight="1" spans="1:14" x14ac:dyDescent="0.25">
      <c r="A2770" s="19" t="s">
        <v>2884</v>
      </c>
      <c r="B2770" s="33">
        <v>45921.30347222222</v>
      </c>
      <c r="C2770" s="33">
        <v>45921.57847222222</v>
      </c>
      <c r="D2770" s="19" t="s">
        <v>36</v>
      </c>
      <c r="E2770" s="19" t="s">
        <v>61</v>
      </c>
      <c r="F2770" s="19" t="s">
        <v>37</v>
      </c>
      <c r="G2770" s="19" t="s">
        <v>110</v>
      </c>
      <c r="H2770" s="19" t="s">
        <v>71</v>
      </c>
      <c r="I2770" s="19" t="s">
        <v>114</v>
      </c>
      <c r="J2770" s="20">
        <v>12</v>
      </c>
      <c r="K2770" s="34">
        <v>0</v>
      </c>
      <c r="L2770" s="34">
        <v>1</v>
      </c>
      <c r="M2770" s="19">
        <f>IF(OR(ISBLANK(C2770),C2770=""),"",ROUND((C2770-B2770)*24,2))</f>
        <v>6.6</v>
      </c>
      <c r="N2770" s="35" t="str">
        <f>IF(OR(ISBLANK(C2770),C2770="",M2770=""),"In Progress",IF(M2770&lt;=J2770,"Met","Breached"))</f>
        <v>Met</v>
      </c>
    </row>
    <row r="2771" ht="19" customHeight="1" spans="1:14" x14ac:dyDescent="0.25">
      <c r="A2771" s="22" t="s">
        <v>2885</v>
      </c>
      <c r="B2771" s="36">
        <v>45806.40486111111</v>
      </c>
      <c r="C2771" s="36">
        <v>45808.674305555556</v>
      </c>
      <c r="D2771" s="22" t="s">
        <v>33</v>
      </c>
      <c r="E2771" s="22" t="s">
        <v>65</v>
      </c>
      <c r="F2771" s="22" t="s">
        <v>40</v>
      </c>
      <c r="G2771" s="22" t="s">
        <v>63</v>
      </c>
      <c r="H2771" s="22" t="s">
        <v>67</v>
      </c>
      <c r="I2771" s="22" t="s">
        <v>123</v>
      </c>
      <c r="J2771" s="23">
        <v>48</v>
      </c>
      <c r="K2771" s="37">
        <v>0</v>
      </c>
      <c r="L2771" s="37">
        <v>2</v>
      </c>
      <c r="M2771" s="22">
        <f>IF(OR(ISBLANK(C2771),C2771=""),"",ROUND((C2771-B2771)*24,2))</f>
        <v>54.47</v>
      </c>
      <c r="N2771" s="38" t="str">
        <f>IF(OR(ISBLANK(C2771),C2771="",M2771=""),"In Progress",IF(M2771&lt;=J2771,"Met","Breached"))</f>
        <v>Breached</v>
      </c>
    </row>
    <row r="2772" ht="19" customHeight="1" spans="1:14" x14ac:dyDescent="0.25">
      <c r="A2772" s="19" t="s">
        <v>2886</v>
      </c>
      <c r="B2772" s="33">
        <v>45781.94305555556</v>
      </c>
      <c r="C2772" s="33">
        <v>45783.26388888889</v>
      </c>
      <c r="D2772" s="19" t="s">
        <v>33</v>
      </c>
      <c r="E2772" s="19" t="s">
        <v>65</v>
      </c>
      <c r="F2772" s="19" t="s">
        <v>34</v>
      </c>
      <c r="G2772" s="19" t="s">
        <v>116</v>
      </c>
      <c r="H2772" s="19" t="s">
        <v>59</v>
      </c>
      <c r="I2772" s="19" t="s">
        <v>108</v>
      </c>
      <c r="J2772" s="20">
        <v>48</v>
      </c>
      <c r="K2772" s="34">
        <v>0</v>
      </c>
      <c r="L2772" s="34">
        <v>1</v>
      </c>
      <c r="M2772" s="19">
        <f>IF(OR(ISBLANK(C2772),C2772=""),"",ROUND((C2772-B2772)*24,2))</f>
        <v>31.7</v>
      </c>
      <c r="N2772" s="35" t="str">
        <f>IF(OR(ISBLANK(C2772),C2772="",M2772=""),"In Progress",IF(M2772&lt;=J2772,"Met","Breached"))</f>
        <v>Met</v>
      </c>
    </row>
    <row r="2773" ht="19" customHeight="1" spans="1:14" x14ac:dyDescent="0.25">
      <c r="A2773" s="22" t="s">
        <v>2887</v>
      </c>
      <c r="B2773" s="36">
        <v>46038.03958333333</v>
      </c>
      <c r="C2773" s="36">
        <v>46044.80138888889</v>
      </c>
      <c r="D2773" s="22" t="s">
        <v>33</v>
      </c>
      <c r="E2773" s="22" t="s">
        <v>69</v>
      </c>
      <c r="F2773" s="22" t="s">
        <v>40</v>
      </c>
      <c r="G2773" s="22" t="s">
        <v>126</v>
      </c>
      <c r="H2773" s="22" t="s">
        <v>67</v>
      </c>
      <c r="I2773" s="22" t="s">
        <v>123</v>
      </c>
      <c r="J2773" s="23">
        <v>120</v>
      </c>
      <c r="K2773" s="37">
        <v>0</v>
      </c>
      <c r="L2773" s="37">
        <v>1</v>
      </c>
      <c r="M2773" s="22">
        <f>IF(OR(ISBLANK(C2773),C2773=""),"",ROUND((C2773-B2773)*24,2))</f>
        <v>162.28</v>
      </c>
      <c r="N2773" s="38" t="str">
        <f>IF(OR(ISBLANK(C2773),C2773="",M2773=""),"In Progress",IF(M2773&lt;=J2773,"Met","Breached"))</f>
        <v>Breached</v>
      </c>
    </row>
    <row r="2774" ht="19" customHeight="1" spans="1:14" x14ac:dyDescent="0.25">
      <c r="A2774" s="19" t="s">
        <v>2888</v>
      </c>
      <c r="B2774" s="33">
        <v>46194.54652777778</v>
      </c>
      <c r="C2774" s="33">
        <v>46195.32430555555</v>
      </c>
      <c r="D2774" s="19" t="s">
        <v>33</v>
      </c>
      <c r="E2774" s="19" t="s">
        <v>61</v>
      </c>
      <c r="F2774" s="19" t="s">
        <v>43</v>
      </c>
      <c r="G2774" s="19" t="s">
        <v>110</v>
      </c>
      <c r="H2774" s="19" t="s">
        <v>59</v>
      </c>
      <c r="I2774" s="19" t="s">
        <v>123</v>
      </c>
      <c r="J2774" s="20">
        <v>12</v>
      </c>
      <c r="K2774" s="34">
        <v>0</v>
      </c>
      <c r="M2774" s="19">
        <f>IF(OR(ISBLANK(C2774),C2774=""),"",ROUND((C2774-B2774)*24,2))</f>
        <v>18.67</v>
      </c>
      <c r="N2774" s="39" t="str">
        <f>IF(OR(ISBLANK(C2774),C2774="",M2774=""),"In Progress",IF(M2774&lt;=J2774,"Met","Breached"))</f>
        <v>Breached</v>
      </c>
    </row>
    <row r="2775" ht="19" customHeight="1" spans="1:14" x14ac:dyDescent="0.25">
      <c r="A2775" s="22" t="s">
        <v>2889</v>
      </c>
      <c r="B2775" s="36">
        <v>45779.618055555555</v>
      </c>
      <c r="D2775" s="22" t="s">
        <v>39</v>
      </c>
      <c r="E2775" s="22" t="s">
        <v>65</v>
      </c>
      <c r="F2775" s="22" t="s">
        <v>45</v>
      </c>
      <c r="G2775" s="22" t="s">
        <v>113</v>
      </c>
      <c r="H2775" s="22" t="s">
        <v>59</v>
      </c>
      <c r="I2775" s="22" t="s">
        <v>147</v>
      </c>
      <c r="J2775" s="23">
        <v>48</v>
      </c>
      <c r="K2775" s="37">
        <v>0</v>
      </c>
      <c r="M2775" s="22" t="str">
        <f>IF(OR(ISBLANK(C2775),C2775=""),"",ROUND((C2775-B2775)*24,2))</f>
        <v/>
      </c>
      <c r="N2775" s="22" t="str">
        <f>IF(OR(ISBLANK(C2775),C2775="",M2775=""),"In Progress",IF(M2775&lt;=J2775,"Met","Breached"))</f>
        <v>In Progress</v>
      </c>
    </row>
    <row r="2776" ht="19" customHeight="1" spans="1:14" x14ac:dyDescent="0.25">
      <c r="A2776" s="19" t="s">
        <v>2890</v>
      </c>
      <c r="B2776" s="33">
        <v>45830.38055555556</v>
      </c>
      <c r="C2776" s="33">
        <v>45831.09861111111</v>
      </c>
      <c r="D2776" s="19" t="s">
        <v>33</v>
      </c>
      <c r="E2776" s="19" t="s">
        <v>61</v>
      </c>
      <c r="F2776" s="19" t="s">
        <v>43</v>
      </c>
      <c r="G2776" s="19" t="s">
        <v>116</v>
      </c>
      <c r="H2776" s="19" t="s">
        <v>59</v>
      </c>
      <c r="I2776" s="19" t="s">
        <v>117</v>
      </c>
      <c r="J2776" s="20">
        <v>12</v>
      </c>
      <c r="K2776" s="34">
        <v>0</v>
      </c>
      <c r="M2776" s="19">
        <f>IF(OR(ISBLANK(C2776),C2776=""),"",ROUND((C2776-B2776)*24,2))</f>
        <v>17.23</v>
      </c>
      <c r="N2776" s="39" t="str">
        <f>IF(OR(ISBLANK(C2776),C2776="",M2776=""),"In Progress",IF(M2776&lt;=J2776,"Met","Breached"))</f>
        <v>Breached</v>
      </c>
    </row>
    <row r="2777" ht="19" customHeight="1" spans="1:14" x14ac:dyDescent="0.25">
      <c r="A2777" s="22" t="s">
        <v>2891</v>
      </c>
      <c r="B2777" s="36">
        <v>46166.20625</v>
      </c>
      <c r="C2777" s="36">
        <v>46168.34583333333</v>
      </c>
      <c r="D2777" s="22" t="s">
        <v>33</v>
      </c>
      <c r="E2777" s="22" t="s">
        <v>65</v>
      </c>
      <c r="F2777" s="22" t="s">
        <v>37</v>
      </c>
      <c r="G2777" s="22" t="s">
        <v>116</v>
      </c>
      <c r="H2777" s="22" t="s">
        <v>63</v>
      </c>
      <c r="I2777" s="22" t="s">
        <v>147</v>
      </c>
      <c r="J2777" s="23">
        <v>48</v>
      </c>
      <c r="K2777" s="37">
        <v>0</v>
      </c>
      <c r="L2777" s="37">
        <v>4</v>
      </c>
      <c r="M2777" s="22">
        <f>IF(OR(ISBLANK(C2777),C2777=""),"",ROUND((C2777-B2777)*24,2))</f>
        <v>51.35</v>
      </c>
      <c r="N2777" s="38" t="str">
        <f>IF(OR(ISBLANK(C2777),C2777="",M2777=""),"In Progress",IF(M2777&lt;=J2777,"Met","Breached"))</f>
        <v>Breached</v>
      </c>
    </row>
    <row r="2778" ht="19" customHeight="1" spans="1:14" x14ac:dyDescent="0.25">
      <c r="A2778" s="19" t="s">
        <v>2892</v>
      </c>
      <c r="B2778" s="33">
        <v>46030.77777777778</v>
      </c>
      <c r="C2778" s="33">
        <v>46030.88125</v>
      </c>
      <c r="D2778" s="19" t="s">
        <v>33</v>
      </c>
      <c r="E2778" s="19" t="s">
        <v>57</v>
      </c>
      <c r="F2778" s="19" t="s">
        <v>45</v>
      </c>
      <c r="G2778" s="19" t="s">
        <v>121</v>
      </c>
      <c r="H2778" s="19" t="s">
        <v>59</v>
      </c>
      <c r="I2778" s="19" t="s">
        <v>108</v>
      </c>
      <c r="J2778" s="20">
        <v>4</v>
      </c>
      <c r="K2778" s="34">
        <v>0</v>
      </c>
      <c r="L2778" s="34">
        <v>5</v>
      </c>
      <c r="M2778" s="19">
        <f>IF(OR(ISBLANK(C2778),C2778=""),"",ROUND((C2778-B2778)*24,2))</f>
        <v>2.48</v>
      </c>
      <c r="N2778" s="35" t="str">
        <f>IF(OR(ISBLANK(C2778),C2778="",M2778=""),"In Progress",IF(M2778&lt;=J2778,"Met","Breached"))</f>
        <v>Met</v>
      </c>
    </row>
    <row r="2779" ht="19" customHeight="1" spans="1:14" x14ac:dyDescent="0.25">
      <c r="A2779" s="22" t="s">
        <v>2893</v>
      </c>
      <c r="B2779" s="36">
        <v>45892.72361111111</v>
      </c>
      <c r="C2779" s="36">
        <v>45892.88055555556</v>
      </c>
      <c r="D2779" s="22" t="s">
        <v>36</v>
      </c>
      <c r="E2779" s="22" t="s">
        <v>61</v>
      </c>
      <c r="F2779" s="22" t="s">
        <v>37</v>
      </c>
      <c r="G2779" s="22" t="s">
        <v>126</v>
      </c>
      <c r="H2779" s="22" t="s">
        <v>71</v>
      </c>
      <c r="I2779" s="22" t="s">
        <v>147</v>
      </c>
      <c r="J2779" s="23">
        <v>12</v>
      </c>
      <c r="K2779" s="37">
        <v>0</v>
      </c>
      <c r="L2779" s="37">
        <v>2</v>
      </c>
      <c r="M2779" s="22">
        <f>IF(OR(ISBLANK(C2779),C2779=""),"",ROUND((C2779-B2779)*24,2))</f>
        <v>3.77</v>
      </c>
      <c r="N2779" s="40" t="str">
        <f>IF(OR(ISBLANK(C2779),C2779="",M2779=""),"In Progress",IF(M2779&lt;=J2779,"Met","Breached"))</f>
        <v>Met</v>
      </c>
    </row>
    <row r="2780" ht="19" customHeight="1" spans="1:14" x14ac:dyDescent="0.25">
      <c r="A2780" s="19" t="s">
        <v>2894</v>
      </c>
      <c r="B2780" s="33">
        <v>46209.07430555555</v>
      </c>
      <c r="C2780" s="33">
        <v>46211.5</v>
      </c>
      <c r="D2780" s="19" t="s">
        <v>33</v>
      </c>
      <c r="E2780" s="19" t="s">
        <v>65</v>
      </c>
      <c r="F2780" s="19" t="s">
        <v>37</v>
      </c>
      <c r="G2780" s="19" t="s">
        <v>116</v>
      </c>
      <c r="H2780" s="19" t="s">
        <v>59</v>
      </c>
      <c r="I2780" s="19" t="s">
        <v>147</v>
      </c>
      <c r="J2780" s="20">
        <v>48</v>
      </c>
      <c r="K2780" s="34">
        <v>0</v>
      </c>
      <c r="M2780" s="19">
        <f>IF(OR(ISBLANK(C2780),C2780=""),"",ROUND((C2780-B2780)*24,2))</f>
        <v>58.22</v>
      </c>
      <c r="N2780" s="39" t="str">
        <f>IF(OR(ISBLANK(C2780),C2780="",M2780=""),"In Progress",IF(M2780&lt;=J2780,"Met","Breached"))</f>
        <v>Breached</v>
      </c>
    </row>
    <row r="2781" ht="19" customHeight="1" spans="1:14" x14ac:dyDescent="0.25">
      <c r="A2781" s="22" t="s">
        <v>2895</v>
      </c>
      <c r="B2781" s="36">
        <v>46174.38125</v>
      </c>
      <c r="D2781" s="22" t="s">
        <v>42</v>
      </c>
      <c r="E2781" s="22" t="s">
        <v>65</v>
      </c>
      <c r="F2781" s="22" t="s">
        <v>34</v>
      </c>
      <c r="G2781" s="22" t="s">
        <v>126</v>
      </c>
      <c r="H2781" s="22" t="s">
        <v>71</v>
      </c>
      <c r="I2781" s="22" t="s">
        <v>108</v>
      </c>
      <c r="J2781" s="23">
        <v>48</v>
      </c>
      <c r="K2781" s="37">
        <v>0</v>
      </c>
      <c r="M2781" s="22" t="str">
        <f>IF(OR(ISBLANK(C2781),C2781=""),"",ROUND((C2781-B2781)*24,2))</f>
        <v/>
      </c>
      <c r="N2781" s="22" t="str">
        <f>IF(OR(ISBLANK(C2781),C2781="",M2781=""),"In Progress",IF(M2781&lt;=J2781,"Met","Breached"))</f>
        <v>In Progress</v>
      </c>
    </row>
    <row r="2782" ht="19" customHeight="1" spans="1:14" x14ac:dyDescent="0.25">
      <c r="A2782" s="19" t="s">
        <v>2896</v>
      </c>
      <c r="B2782" s="33">
        <v>46004.09722222222</v>
      </c>
      <c r="D2782" s="19" t="s">
        <v>42</v>
      </c>
      <c r="E2782" s="19" t="s">
        <v>65</v>
      </c>
      <c r="F2782" s="19" t="s">
        <v>40</v>
      </c>
      <c r="G2782" s="19" t="s">
        <v>113</v>
      </c>
      <c r="H2782" s="19" t="s">
        <v>59</v>
      </c>
      <c r="I2782" s="19" t="s">
        <v>114</v>
      </c>
      <c r="J2782" s="20">
        <v>48</v>
      </c>
      <c r="K2782" s="34">
        <v>0</v>
      </c>
      <c r="M2782" s="19" t="str">
        <f>IF(OR(ISBLANK(C2782),C2782=""),"",ROUND((C2782-B2782)*24,2))</f>
        <v/>
      </c>
      <c r="N2782" s="19" t="str">
        <f>IF(OR(ISBLANK(C2782),C2782="",M2782=""),"In Progress",IF(M2782&lt;=J2782,"Met","Breached"))</f>
        <v>In Progress</v>
      </c>
    </row>
    <row r="2783" ht="19" customHeight="1" spans="1:14" x14ac:dyDescent="0.25">
      <c r="A2783" s="22" t="s">
        <v>2897</v>
      </c>
      <c r="B2783" s="36">
        <v>45781.754166666666</v>
      </c>
      <c r="C2783" s="36">
        <v>45781.81388888889</v>
      </c>
      <c r="D2783" s="22" t="s">
        <v>33</v>
      </c>
      <c r="E2783" s="22" t="s">
        <v>57</v>
      </c>
      <c r="F2783" s="22" t="s">
        <v>43</v>
      </c>
      <c r="G2783" s="22" t="s">
        <v>121</v>
      </c>
      <c r="H2783" s="22" t="s">
        <v>63</v>
      </c>
      <c r="I2783" s="22" t="s">
        <v>147</v>
      </c>
      <c r="J2783" s="23">
        <v>4</v>
      </c>
      <c r="K2783" s="37">
        <v>0</v>
      </c>
      <c r="L2783" s="37">
        <v>5</v>
      </c>
      <c r="M2783" s="22">
        <f>IF(OR(ISBLANK(C2783),C2783=""),"",ROUND((C2783-B2783)*24,2))</f>
        <v>1.43</v>
      </c>
      <c r="N2783" s="40" t="str">
        <f>IF(OR(ISBLANK(C2783),C2783="",M2783=""),"In Progress",IF(M2783&lt;=J2783,"Met","Breached"))</f>
        <v>Met</v>
      </c>
    </row>
    <row r="2784" ht="19" customHeight="1" spans="1:14" x14ac:dyDescent="0.25">
      <c r="A2784" s="19" t="s">
        <v>2898</v>
      </c>
      <c r="B2784" s="33">
        <v>45906.20972222222</v>
      </c>
      <c r="C2784" s="33">
        <v>45906.56319444445</v>
      </c>
      <c r="D2784" s="19" t="s">
        <v>33</v>
      </c>
      <c r="E2784" s="19" t="s">
        <v>61</v>
      </c>
      <c r="F2784" s="19" t="s">
        <v>40</v>
      </c>
      <c r="G2784" s="19" t="s">
        <v>63</v>
      </c>
      <c r="H2784" s="19" t="s">
        <v>59</v>
      </c>
      <c r="I2784" s="19" t="s">
        <v>111</v>
      </c>
      <c r="J2784" s="20">
        <v>12</v>
      </c>
      <c r="K2784" s="34">
        <v>0</v>
      </c>
      <c r="L2784" s="34">
        <v>3</v>
      </c>
      <c r="M2784" s="19">
        <f>IF(OR(ISBLANK(C2784),C2784=""),"",ROUND((C2784-B2784)*24,2))</f>
        <v>8.48</v>
      </c>
      <c r="N2784" s="35" t="str">
        <f>IF(OR(ISBLANK(C2784),C2784="",M2784=""),"In Progress",IF(M2784&lt;=J2784,"Met","Breached"))</f>
        <v>Met</v>
      </c>
    </row>
    <row r="2785" ht="19" customHeight="1" spans="1:14" x14ac:dyDescent="0.25">
      <c r="A2785" s="22" t="s">
        <v>2899</v>
      </c>
      <c r="B2785" s="36">
        <v>46248.08888888889</v>
      </c>
      <c r="C2785" s="36">
        <v>46250.48541666666</v>
      </c>
      <c r="D2785" s="22" t="s">
        <v>33</v>
      </c>
      <c r="E2785" s="22" t="s">
        <v>65</v>
      </c>
      <c r="F2785" s="22" t="s">
        <v>34</v>
      </c>
      <c r="G2785" s="22" t="s">
        <v>110</v>
      </c>
      <c r="H2785" s="22" t="s">
        <v>63</v>
      </c>
      <c r="I2785" s="22" t="s">
        <v>123</v>
      </c>
      <c r="J2785" s="23">
        <v>48</v>
      </c>
      <c r="K2785" s="37">
        <v>0</v>
      </c>
      <c r="M2785" s="22">
        <f>IF(OR(ISBLANK(C2785),C2785=""),"",ROUND((C2785-B2785)*24,2))</f>
        <v>57.52</v>
      </c>
      <c r="N2785" s="38" t="str">
        <f>IF(OR(ISBLANK(C2785),C2785="",M2785=""),"In Progress",IF(M2785&lt;=J2785,"Met","Breached"))</f>
        <v>Breached</v>
      </c>
    </row>
    <row r="2786" ht="19" customHeight="1" spans="1:14" x14ac:dyDescent="0.25">
      <c r="A2786" s="19" t="s">
        <v>2900</v>
      </c>
      <c r="B2786" s="33">
        <v>46226.48125</v>
      </c>
      <c r="C2786" s="33">
        <v>46228.99861111111</v>
      </c>
      <c r="D2786" s="19" t="s">
        <v>33</v>
      </c>
      <c r="E2786" s="19" t="s">
        <v>69</v>
      </c>
      <c r="F2786" s="19" t="s">
        <v>37</v>
      </c>
      <c r="G2786" s="19" t="s">
        <v>110</v>
      </c>
      <c r="H2786" s="19" t="s">
        <v>67</v>
      </c>
      <c r="I2786" s="19" t="s">
        <v>147</v>
      </c>
      <c r="J2786" s="20">
        <v>120</v>
      </c>
      <c r="K2786" s="34">
        <v>0</v>
      </c>
      <c r="L2786" s="34">
        <v>1</v>
      </c>
      <c r="M2786" s="19">
        <f>IF(OR(ISBLANK(C2786),C2786=""),"",ROUND((C2786-B2786)*24,2))</f>
        <v>60.42</v>
      </c>
      <c r="N2786" s="35" t="str">
        <f>IF(OR(ISBLANK(C2786),C2786="",M2786=""),"In Progress",IF(M2786&lt;=J2786,"Met","Breached"))</f>
        <v>Met</v>
      </c>
    </row>
    <row r="2787" ht="19" customHeight="1" spans="1:14" x14ac:dyDescent="0.25">
      <c r="A2787" s="22" t="s">
        <v>2901</v>
      </c>
      <c r="B2787" s="36">
        <v>45704.54791666666</v>
      </c>
      <c r="C2787" s="36">
        <v>45705.64722222222</v>
      </c>
      <c r="D2787" s="22" t="s">
        <v>33</v>
      </c>
      <c r="E2787" s="22" t="s">
        <v>65</v>
      </c>
      <c r="F2787" s="22" t="s">
        <v>45</v>
      </c>
      <c r="G2787" s="22" t="s">
        <v>110</v>
      </c>
      <c r="H2787" s="22" t="s">
        <v>59</v>
      </c>
      <c r="I2787" s="22" t="s">
        <v>114</v>
      </c>
      <c r="J2787" s="23">
        <v>48</v>
      </c>
      <c r="K2787" s="37">
        <v>0</v>
      </c>
      <c r="L2787" s="37">
        <v>4</v>
      </c>
      <c r="M2787" s="22">
        <f>IF(OR(ISBLANK(C2787),C2787=""),"",ROUND((C2787-B2787)*24,2))</f>
        <v>26.38</v>
      </c>
      <c r="N2787" s="40" t="str">
        <f>IF(OR(ISBLANK(C2787),C2787="",M2787=""),"In Progress",IF(M2787&lt;=J2787,"Met","Breached"))</f>
        <v>Met</v>
      </c>
    </row>
    <row r="2788" ht="19" customHeight="1" spans="1:14" x14ac:dyDescent="0.25">
      <c r="A2788" s="19" t="s">
        <v>2902</v>
      </c>
      <c r="B2788" s="33">
        <v>46129.00902777778</v>
      </c>
      <c r="C2788" s="33">
        <v>46129.893055555556</v>
      </c>
      <c r="D2788" s="19" t="s">
        <v>33</v>
      </c>
      <c r="E2788" s="19" t="s">
        <v>61</v>
      </c>
      <c r="F2788" s="19" t="s">
        <v>40</v>
      </c>
      <c r="G2788" s="19" t="s">
        <v>110</v>
      </c>
      <c r="H2788" s="19" t="s">
        <v>63</v>
      </c>
      <c r="I2788" s="19" t="s">
        <v>108</v>
      </c>
      <c r="J2788" s="20">
        <v>12</v>
      </c>
      <c r="K2788" s="34">
        <v>0</v>
      </c>
      <c r="L2788" s="34">
        <v>1</v>
      </c>
      <c r="M2788" s="19">
        <f>IF(OR(ISBLANK(C2788),C2788=""),"",ROUND((C2788-B2788)*24,2))</f>
        <v>21.22</v>
      </c>
      <c r="N2788" s="39" t="str">
        <f>IF(OR(ISBLANK(C2788),C2788="",M2788=""),"In Progress",IF(M2788&lt;=J2788,"Met","Breached"))</f>
        <v>Breached</v>
      </c>
    </row>
    <row r="2789" ht="19" customHeight="1" spans="1:14" x14ac:dyDescent="0.25">
      <c r="A2789" s="22" t="s">
        <v>2903</v>
      </c>
      <c r="B2789" s="36">
        <v>45815.9875</v>
      </c>
      <c r="D2789" s="22" t="s">
        <v>42</v>
      </c>
      <c r="E2789" s="22" t="s">
        <v>65</v>
      </c>
      <c r="F2789" s="22" t="s">
        <v>40</v>
      </c>
      <c r="G2789" s="22" t="s">
        <v>121</v>
      </c>
      <c r="H2789" s="22" t="s">
        <v>59</v>
      </c>
      <c r="I2789" s="22" t="s">
        <v>114</v>
      </c>
      <c r="J2789" s="23">
        <v>48</v>
      </c>
      <c r="K2789" s="37">
        <v>0</v>
      </c>
      <c r="M2789" s="22" t="str">
        <f>IF(OR(ISBLANK(C2789),C2789=""),"",ROUND((C2789-B2789)*24,2))</f>
        <v/>
      </c>
      <c r="N2789" s="22" t="str">
        <f>IF(OR(ISBLANK(C2789),C2789="",M2789=""),"In Progress",IF(M2789&lt;=J2789,"Met","Breached"))</f>
        <v>In Progress</v>
      </c>
    </row>
    <row r="2790" ht="19" customHeight="1" spans="1:14" x14ac:dyDescent="0.25">
      <c r="A2790" s="19" t="s">
        <v>2904</v>
      </c>
      <c r="B2790" s="33">
        <v>46079.32916666666</v>
      </c>
      <c r="C2790" s="33">
        <v>46082.43888888889</v>
      </c>
      <c r="D2790" s="19" t="s">
        <v>36</v>
      </c>
      <c r="E2790" s="19" t="s">
        <v>65</v>
      </c>
      <c r="F2790" s="19" t="s">
        <v>40</v>
      </c>
      <c r="G2790" s="19" t="s">
        <v>110</v>
      </c>
      <c r="H2790" s="19" t="s">
        <v>59</v>
      </c>
      <c r="I2790" s="19" t="s">
        <v>147</v>
      </c>
      <c r="J2790" s="20">
        <v>48</v>
      </c>
      <c r="K2790" s="34">
        <v>0</v>
      </c>
      <c r="L2790" s="34">
        <v>5</v>
      </c>
      <c r="M2790" s="19">
        <f>IF(OR(ISBLANK(C2790),C2790=""),"",ROUND((C2790-B2790)*24,2))</f>
        <v>74.63</v>
      </c>
      <c r="N2790" s="39" t="str">
        <f>IF(OR(ISBLANK(C2790),C2790="",M2790=""),"In Progress",IF(M2790&lt;=J2790,"Met","Breached"))</f>
        <v>Breached</v>
      </c>
    </row>
    <row r="2791" ht="19" customHeight="1" spans="1:14" x14ac:dyDescent="0.25">
      <c r="A2791" s="22" t="s">
        <v>2905</v>
      </c>
      <c r="B2791" s="36">
        <v>45705.044444444444</v>
      </c>
      <c r="C2791" s="36">
        <v>45712.26041666667</v>
      </c>
      <c r="D2791" s="22" t="s">
        <v>33</v>
      </c>
      <c r="E2791" s="22" t="s">
        <v>69</v>
      </c>
      <c r="F2791" s="22" t="s">
        <v>45</v>
      </c>
      <c r="G2791" s="22" t="s">
        <v>63</v>
      </c>
      <c r="H2791" s="22" t="s">
        <v>63</v>
      </c>
      <c r="I2791" s="22" t="s">
        <v>111</v>
      </c>
      <c r="J2791" s="23">
        <v>120</v>
      </c>
      <c r="K2791" s="37">
        <v>0</v>
      </c>
      <c r="M2791" s="22">
        <f>IF(OR(ISBLANK(C2791),C2791=""),"",ROUND((C2791-B2791)*24,2))</f>
        <v>173.18</v>
      </c>
      <c r="N2791" s="38" t="str">
        <f>IF(OR(ISBLANK(C2791),C2791="",M2791=""),"In Progress",IF(M2791&lt;=J2791,"Met","Breached"))</f>
        <v>Breached</v>
      </c>
    </row>
    <row r="2792" ht="19" customHeight="1" spans="1:14" x14ac:dyDescent="0.25">
      <c r="A2792" s="19" t="s">
        <v>2906</v>
      </c>
      <c r="B2792" s="33">
        <v>45965.37708333333</v>
      </c>
      <c r="C2792" s="33">
        <v>45967.78194444445</v>
      </c>
      <c r="D2792" s="19" t="s">
        <v>33</v>
      </c>
      <c r="E2792" s="19" t="s">
        <v>65</v>
      </c>
      <c r="F2792" s="19" t="s">
        <v>37</v>
      </c>
      <c r="G2792" s="19" t="s">
        <v>63</v>
      </c>
      <c r="H2792" s="19" t="s">
        <v>67</v>
      </c>
      <c r="I2792" s="19" t="s">
        <v>111</v>
      </c>
      <c r="J2792" s="20">
        <v>48</v>
      </c>
      <c r="K2792" s="34">
        <v>0</v>
      </c>
      <c r="M2792" s="19">
        <f>IF(OR(ISBLANK(C2792),C2792=""),"",ROUND((C2792-B2792)*24,2))</f>
        <v>57.72</v>
      </c>
      <c r="N2792" s="39" t="str">
        <f>IF(OR(ISBLANK(C2792),C2792="",M2792=""),"In Progress",IF(M2792&lt;=J2792,"Met","Breached"))</f>
        <v>Breached</v>
      </c>
    </row>
    <row r="2793" ht="19" customHeight="1" spans="1:14" x14ac:dyDescent="0.25">
      <c r="A2793" s="22" t="s">
        <v>2907</v>
      </c>
      <c r="B2793" s="36">
        <v>45895.51180555555</v>
      </c>
      <c r="D2793" s="22" t="s">
        <v>39</v>
      </c>
      <c r="E2793" s="22" t="s">
        <v>65</v>
      </c>
      <c r="F2793" s="22" t="s">
        <v>37</v>
      </c>
      <c r="G2793" s="22" t="s">
        <v>121</v>
      </c>
      <c r="H2793" s="22" t="s">
        <v>59</v>
      </c>
      <c r="I2793" s="22" t="s">
        <v>123</v>
      </c>
      <c r="J2793" s="23">
        <v>48</v>
      </c>
      <c r="K2793" s="37">
        <v>0</v>
      </c>
      <c r="M2793" s="22" t="str">
        <f>IF(OR(ISBLANK(C2793),C2793=""),"",ROUND((C2793-B2793)*24,2))</f>
        <v/>
      </c>
      <c r="N2793" s="22" t="str">
        <f>IF(OR(ISBLANK(C2793),C2793="",M2793=""),"In Progress",IF(M2793&lt;=J2793,"Met","Breached"))</f>
        <v>In Progress</v>
      </c>
    </row>
    <row r="2794" ht="19" customHeight="1" spans="1:14" x14ac:dyDescent="0.25">
      <c r="A2794" s="19" t="s">
        <v>2908</v>
      </c>
      <c r="B2794" s="33">
        <v>45918.61041666666</v>
      </c>
      <c r="C2794" s="33">
        <v>45921.49444444444</v>
      </c>
      <c r="D2794" s="19" t="s">
        <v>36</v>
      </c>
      <c r="E2794" s="19" t="s">
        <v>65</v>
      </c>
      <c r="F2794" s="19" t="s">
        <v>45</v>
      </c>
      <c r="G2794" s="19" t="s">
        <v>116</v>
      </c>
      <c r="H2794" s="19" t="s">
        <v>71</v>
      </c>
      <c r="I2794" s="19" t="s">
        <v>123</v>
      </c>
      <c r="J2794" s="20">
        <v>48</v>
      </c>
      <c r="K2794" s="34">
        <v>0</v>
      </c>
      <c r="M2794" s="19">
        <f>IF(OR(ISBLANK(C2794),C2794=""),"",ROUND((C2794-B2794)*24,2))</f>
        <v>69.22</v>
      </c>
      <c r="N2794" s="39" t="str">
        <f>IF(OR(ISBLANK(C2794),C2794="",M2794=""),"In Progress",IF(M2794&lt;=J2794,"Met","Breached"))</f>
        <v>Breached</v>
      </c>
    </row>
    <row r="2795" ht="19" customHeight="1" spans="1:14" x14ac:dyDescent="0.25">
      <c r="A2795" s="22" t="s">
        <v>2909</v>
      </c>
      <c r="B2795" s="36">
        <v>45869.06805555556</v>
      </c>
      <c r="D2795" s="22" t="s">
        <v>39</v>
      </c>
      <c r="E2795" s="22" t="s">
        <v>69</v>
      </c>
      <c r="F2795" s="22" t="s">
        <v>40</v>
      </c>
      <c r="G2795" s="22" t="s">
        <v>126</v>
      </c>
      <c r="H2795" s="22" t="s">
        <v>71</v>
      </c>
      <c r="I2795" s="22" t="s">
        <v>123</v>
      </c>
      <c r="J2795" s="23">
        <v>120</v>
      </c>
      <c r="K2795" s="37">
        <v>0</v>
      </c>
      <c r="M2795" s="22" t="str">
        <f>IF(OR(ISBLANK(C2795),C2795=""),"",ROUND((C2795-B2795)*24,2))</f>
        <v/>
      </c>
      <c r="N2795" s="22" t="str">
        <f>IF(OR(ISBLANK(C2795),C2795="",M2795=""),"In Progress",IF(M2795&lt;=J2795,"Met","Breached"))</f>
        <v>In Progress</v>
      </c>
    </row>
    <row r="2796" ht="19" customHeight="1" spans="1:14" x14ac:dyDescent="0.25">
      <c r="A2796" s="19" t="s">
        <v>2910</v>
      </c>
      <c r="B2796" s="33">
        <v>46172.45277777778</v>
      </c>
      <c r="C2796" s="33">
        <v>46174.71736111111</v>
      </c>
      <c r="D2796" s="19" t="s">
        <v>36</v>
      </c>
      <c r="E2796" s="19" t="s">
        <v>69</v>
      </c>
      <c r="F2796" s="19" t="s">
        <v>43</v>
      </c>
      <c r="G2796" s="19" t="s">
        <v>113</v>
      </c>
      <c r="H2796" s="19" t="s">
        <v>63</v>
      </c>
      <c r="I2796" s="19" t="s">
        <v>108</v>
      </c>
      <c r="J2796" s="20">
        <v>120</v>
      </c>
      <c r="K2796" s="34">
        <v>1</v>
      </c>
      <c r="L2796" s="34">
        <v>4</v>
      </c>
      <c r="M2796" s="19">
        <f>IF(OR(ISBLANK(C2796),C2796=""),"",ROUND((C2796-B2796)*24,2))</f>
        <v>54.35</v>
      </c>
      <c r="N2796" s="35" t="str">
        <f>IF(OR(ISBLANK(C2796),C2796="",M2796=""),"In Progress",IF(M2796&lt;=J2796,"Met","Breached"))</f>
        <v>Met</v>
      </c>
    </row>
    <row r="2797" ht="19" customHeight="1" spans="1:14" x14ac:dyDescent="0.25">
      <c r="A2797" s="22" t="s">
        <v>2911</v>
      </c>
      <c r="B2797" s="36">
        <v>46246.83263888889</v>
      </c>
      <c r="C2797" s="36">
        <v>46254.3875</v>
      </c>
      <c r="D2797" s="22" t="s">
        <v>36</v>
      </c>
      <c r="E2797" s="22" t="s">
        <v>69</v>
      </c>
      <c r="F2797" s="22" t="s">
        <v>40</v>
      </c>
      <c r="G2797" s="22" t="s">
        <v>110</v>
      </c>
      <c r="H2797" s="22" t="s">
        <v>63</v>
      </c>
      <c r="I2797" s="22" t="s">
        <v>123</v>
      </c>
      <c r="J2797" s="23">
        <v>120</v>
      </c>
      <c r="K2797" s="37">
        <v>0</v>
      </c>
      <c r="L2797" s="37">
        <v>3</v>
      </c>
      <c r="M2797" s="22">
        <f>IF(OR(ISBLANK(C2797),C2797=""),"",ROUND((C2797-B2797)*24,2))</f>
        <v>181.32</v>
      </c>
      <c r="N2797" s="38" t="str">
        <f>IF(OR(ISBLANK(C2797),C2797="",M2797=""),"In Progress",IF(M2797&lt;=J2797,"Met","Breached"))</f>
        <v>Breached</v>
      </c>
    </row>
    <row r="2798" ht="19" customHeight="1" spans="1:14" x14ac:dyDescent="0.25">
      <c r="A2798" s="19" t="s">
        <v>2912</v>
      </c>
      <c r="B2798" s="33">
        <v>46282.947222222225</v>
      </c>
      <c r="C2798" s="33">
        <v>46285.12847222222</v>
      </c>
      <c r="D2798" s="19" t="s">
        <v>33</v>
      </c>
      <c r="E2798" s="19" t="s">
        <v>65</v>
      </c>
      <c r="F2798" s="19" t="s">
        <v>37</v>
      </c>
      <c r="G2798" s="19" t="s">
        <v>121</v>
      </c>
      <c r="H2798" s="19" t="s">
        <v>67</v>
      </c>
      <c r="I2798" s="19" t="s">
        <v>117</v>
      </c>
      <c r="J2798" s="20">
        <v>48</v>
      </c>
      <c r="K2798" s="34">
        <v>0</v>
      </c>
      <c r="L2798" s="34">
        <v>4</v>
      </c>
      <c r="M2798" s="19">
        <f>IF(OR(ISBLANK(C2798),C2798=""),"",ROUND((C2798-B2798)*24,2))</f>
        <v>52.35</v>
      </c>
      <c r="N2798" s="39" t="str">
        <f>IF(OR(ISBLANK(C2798),C2798="",M2798=""),"In Progress",IF(M2798&lt;=J2798,"Met","Breached"))</f>
        <v>Breached</v>
      </c>
    </row>
    <row r="2799" ht="19" customHeight="1" spans="1:14" x14ac:dyDescent="0.25">
      <c r="A2799" s="22" t="s">
        <v>2913</v>
      </c>
      <c r="B2799" s="36">
        <v>46263.25486111111</v>
      </c>
      <c r="C2799" s="36">
        <v>46263.5375</v>
      </c>
      <c r="D2799" s="22" t="s">
        <v>33</v>
      </c>
      <c r="E2799" s="22" t="s">
        <v>57</v>
      </c>
      <c r="F2799" s="22" t="s">
        <v>40</v>
      </c>
      <c r="G2799" s="22" t="s">
        <v>113</v>
      </c>
      <c r="H2799" s="22" t="s">
        <v>63</v>
      </c>
      <c r="I2799" s="22" t="s">
        <v>114</v>
      </c>
      <c r="J2799" s="23">
        <v>4</v>
      </c>
      <c r="K2799" s="37">
        <v>0</v>
      </c>
      <c r="L2799" s="37">
        <v>1</v>
      </c>
      <c r="M2799" s="22">
        <f>IF(OR(ISBLANK(C2799),C2799=""),"",ROUND((C2799-B2799)*24,2))</f>
        <v>6.78</v>
      </c>
      <c r="N2799" s="38" t="str">
        <f>IF(OR(ISBLANK(C2799),C2799="",M2799=""),"In Progress",IF(M2799&lt;=J2799,"Met","Breached"))</f>
        <v>Breached</v>
      </c>
    </row>
    <row r="2800" ht="19" customHeight="1" spans="1:14" x14ac:dyDescent="0.25">
      <c r="A2800" s="19" t="s">
        <v>2914</v>
      </c>
      <c r="B2800" s="33">
        <v>45896.447222222225</v>
      </c>
      <c r="C2800" s="33">
        <v>45897.15972222222</v>
      </c>
      <c r="D2800" s="19" t="s">
        <v>33</v>
      </c>
      <c r="E2800" s="19" t="s">
        <v>65</v>
      </c>
      <c r="F2800" s="19" t="s">
        <v>34</v>
      </c>
      <c r="G2800" s="19" t="s">
        <v>110</v>
      </c>
      <c r="H2800" s="19" t="s">
        <v>59</v>
      </c>
      <c r="I2800" s="19" t="s">
        <v>123</v>
      </c>
      <c r="J2800" s="20">
        <v>48</v>
      </c>
      <c r="K2800" s="34">
        <v>0</v>
      </c>
      <c r="L2800" s="34">
        <v>2</v>
      </c>
      <c r="M2800" s="19">
        <f>IF(OR(ISBLANK(C2800),C2800=""),"",ROUND((C2800-B2800)*24,2))</f>
        <v>17.1</v>
      </c>
      <c r="N2800" s="35" t="str">
        <f>IF(OR(ISBLANK(C2800),C2800="",M2800=""),"In Progress",IF(M2800&lt;=J2800,"Met","Breached"))</f>
        <v>Met</v>
      </c>
    </row>
    <row r="2801" ht="19" customHeight="1" spans="1:14" x14ac:dyDescent="0.25">
      <c r="A2801" s="22" t="s">
        <v>2915</v>
      </c>
      <c r="B2801" s="36">
        <v>45694.14791666667</v>
      </c>
      <c r="C2801" s="36">
        <v>45697.37777777778</v>
      </c>
      <c r="D2801" s="22" t="s">
        <v>33</v>
      </c>
      <c r="E2801" s="22" t="s">
        <v>65</v>
      </c>
      <c r="F2801" s="22" t="s">
        <v>34</v>
      </c>
      <c r="G2801" s="22" t="s">
        <v>63</v>
      </c>
      <c r="H2801" s="22" t="s">
        <v>59</v>
      </c>
      <c r="I2801" s="22" t="s">
        <v>108</v>
      </c>
      <c r="J2801" s="23">
        <v>48</v>
      </c>
      <c r="K2801" s="37">
        <v>0</v>
      </c>
      <c r="L2801" s="37">
        <v>5</v>
      </c>
      <c r="M2801" s="22">
        <f>IF(OR(ISBLANK(C2801),C2801=""),"",ROUND((C2801-B2801)*24,2))</f>
        <v>77.52</v>
      </c>
      <c r="N2801" s="38" t="str">
        <f>IF(OR(ISBLANK(C2801),C2801="",M2801=""),"In Progress",IF(M2801&lt;=J2801,"Met","Breached"))</f>
        <v>Breached</v>
      </c>
    </row>
    <row r="2802" ht="19" customHeight="1" spans="1:14" x14ac:dyDescent="0.25">
      <c r="A2802" s="19" t="s">
        <v>2916</v>
      </c>
      <c r="B2802" s="33">
        <v>46015.55138888889</v>
      </c>
      <c r="C2802" s="33">
        <v>46024.5125</v>
      </c>
      <c r="D2802" s="19" t="s">
        <v>33</v>
      </c>
      <c r="E2802" s="19" t="s">
        <v>69</v>
      </c>
      <c r="F2802" s="19" t="s">
        <v>45</v>
      </c>
      <c r="G2802" s="19" t="s">
        <v>110</v>
      </c>
      <c r="H2802" s="19" t="s">
        <v>59</v>
      </c>
      <c r="I2802" s="19" t="s">
        <v>111</v>
      </c>
      <c r="J2802" s="20">
        <v>120</v>
      </c>
      <c r="K2802" s="34">
        <v>0</v>
      </c>
      <c r="M2802" s="19">
        <f>IF(OR(ISBLANK(C2802),C2802=""),"",ROUND((C2802-B2802)*24,2))</f>
        <v>215.07</v>
      </c>
      <c r="N2802" s="39" t="str">
        <f>IF(OR(ISBLANK(C2802),C2802="",M2802=""),"In Progress",IF(M2802&lt;=J2802,"Met","Breached"))</f>
        <v>Breached</v>
      </c>
    </row>
    <row r="2803" ht="19" customHeight="1" spans="1:14" x14ac:dyDescent="0.25">
      <c r="A2803" s="22" t="s">
        <v>2917</v>
      </c>
      <c r="B2803" s="36">
        <v>45857.726388888885</v>
      </c>
      <c r="C2803" s="36">
        <v>45857.99513888889</v>
      </c>
      <c r="D2803" s="22" t="s">
        <v>33</v>
      </c>
      <c r="E2803" s="22" t="s">
        <v>57</v>
      </c>
      <c r="F2803" s="22" t="s">
        <v>45</v>
      </c>
      <c r="G2803" s="22" t="s">
        <v>110</v>
      </c>
      <c r="H2803" s="22" t="s">
        <v>71</v>
      </c>
      <c r="I2803" s="22" t="s">
        <v>123</v>
      </c>
      <c r="J2803" s="23">
        <v>4</v>
      </c>
      <c r="K2803" s="37">
        <v>0</v>
      </c>
      <c r="L2803" s="37">
        <v>4</v>
      </c>
      <c r="M2803" s="22">
        <f>IF(OR(ISBLANK(C2803),C2803=""),"",ROUND((C2803-B2803)*24,2))</f>
        <v>6.45</v>
      </c>
      <c r="N2803" s="38" t="str">
        <f>IF(OR(ISBLANK(C2803),C2803="",M2803=""),"In Progress",IF(M2803&lt;=J2803,"Met","Breached"))</f>
        <v>Breached</v>
      </c>
    </row>
    <row r="2804" ht="19" customHeight="1" spans="1:14" x14ac:dyDescent="0.25">
      <c r="A2804" s="19" t="s">
        <v>2918</v>
      </c>
      <c r="B2804" s="33">
        <v>46236.63402777778</v>
      </c>
      <c r="C2804" s="33">
        <v>46237.17013888889</v>
      </c>
      <c r="D2804" s="19" t="s">
        <v>36</v>
      </c>
      <c r="E2804" s="19" t="s">
        <v>61</v>
      </c>
      <c r="F2804" s="19" t="s">
        <v>45</v>
      </c>
      <c r="G2804" s="19" t="s">
        <v>113</v>
      </c>
      <c r="H2804" s="19" t="s">
        <v>59</v>
      </c>
      <c r="I2804" s="19" t="s">
        <v>114</v>
      </c>
      <c r="J2804" s="20">
        <v>12</v>
      </c>
      <c r="K2804" s="34">
        <v>0</v>
      </c>
      <c r="M2804" s="19">
        <f>IF(OR(ISBLANK(C2804),C2804=""),"",ROUND((C2804-B2804)*24,2))</f>
        <v>12.87</v>
      </c>
      <c r="N2804" s="39" t="str">
        <f>IF(OR(ISBLANK(C2804),C2804="",M2804=""),"In Progress",IF(M2804&lt;=J2804,"Met","Breached"))</f>
        <v>Breached</v>
      </c>
    </row>
    <row r="2805" ht="19" customHeight="1" spans="1:14" x14ac:dyDescent="0.25">
      <c r="A2805" s="22" t="s">
        <v>2919</v>
      </c>
      <c r="B2805" s="36">
        <v>45865.67083333334</v>
      </c>
      <c r="C2805" s="36">
        <v>45874.26875</v>
      </c>
      <c r="D2805" s="22" t="s">
        <v>33</v>
      </c>
      <c r="E2805" s="22" t="s">
        <v>69</v>
      </c>
      <c r="F2805" s="22" t="s">
        <v>37</v>
      </c>
      <c r="G2805" s="22" t="s">
        <v>121</v>
      </c>
      <c r="H2805" s="22" t="s">
        <v>63</v>
      </c>
      <c r="I2805" s="22" t="s">
        <v>147</v>
      </c>
      <c r="J2805" s="23">
        <v>120</v>
      </c>
      <c r="K2805" s="37">
        <v>0</v>
      </c>
      <c r="L2805" s="37">
        <v>3</v>
      </c>
      <c r="M2805" s="22">
        <f>IF(OR(ISBLANK(C2805),C2805=""),"",ROUND((C2805-B2805)*24,2))</f>
        <v>206.35</v>
      </c>
      <c r="N2805" s="38" t="str">
        <f>IF(OR(ISBLANK(C2805),C2805="",M2805=""),"In Progress",IF(M2805&lt;=J2805,"Met","Breached"))</f>
        <v>Breached</v>
      </c>
    </row>
    <row r="2806" ht="19" customHeight="1" spans="1:14" x14ac:dyDescent="0.25">
      <c r="A2806" s="19" t="s">
        <v>2920</v>
      </c>
      <c r="B2806" s="33">
        <v>46089.20277777778</v>
      </c>
      <c r="C2806" s="33">
        <v>46090.35763888889</v>
      </c>
      <c r="D2806" s="19" t="s">
        <v>33</v>
      </c>
      <c r="E2806" s="19" t="s">
        <v>65</v>
      </c>
      <c r="F2806" s="19" t="s">
        <v>34</v>
      </c>
      <c r="G2806" s="19" t="s">
        <v>63</v>
      </c>
      <c r="H2806" s="19" t="s">
        <v>63</v>
      </c>
      <c r="I2806" s="19" t="s">
        <v>108</v>
      </c>
      <c r="J2806" s="20">
        <v>48</v>
      </c>
      <c r="K2806" s="34">
        <v>0</v>
      </c>
      <c r="M2806" s="19">
        <f>IF(OR(ISBLANK(C2806),C2806=""),"",ROUND((C2806-B2806)*24,2))</f>
        <v>27.72</v>
      </c>
      <c r="N2806" s="35" t="str">
        <f>IF(OR(ISBLANK(C2806),C2806="",M2806=""),"In Progress",IF(M2806&lt;=J2806,"Met","Breached"))</f>
        <v>Met</v>
      </c>
    </row>
    <row r="2807" ht="19" customHeight="1" spans="1:14" x14ac:dyDescent="0.25">
      <c r="A2807" s="22" t="s">
        <v>2921</v>
      </c>
      <c r="B2807" s="36">
        <v>45963.049305555556</v>
      </c>
      <c r="C2807" s="36">
        <v>45964.18125</v>
      </c>
      <c r="D2807" s="22" t="s">
        <v>33</v>
      </c>
      <c r="E2807" s="22" t="s">
        <v>65</v>
      </c>
      <c r="F2807" s="22" t="s">
        <v>34</v>
      </c>
      <c r="G2807" s="22" t="s">
        <v>113</v>
      </c>
      <c r="H2807" s="22" t="s">
        <v>59</v>
      </c>
      <c r="I2807" s="22" t="s">
        <v>147</v>
      </c>
      <c r="J2807" s="23">
        <v>48</v>
      </c>
      <c r="K2807" s="37">
        <v>0</v>
      </c>
      <c r="L2807" s="37">
        <v>2</v>
      </c>
      <c r="M2807" s="22">
        <f>IF(OR(ISBLANK(C2807),C2807=""),"",ROUND((C2807-B2807)*24,2))</f>
        <v>27.17</v>
      </c>
      <c r="N2807" s="40" t="str">
        <f>IF(OR(ISBLANK(C2807),C2807="",M2807=""),"In Progress",IF(M2807&lt;=J2807,"Met","Breached"))</f>
        <v>Met</v>
      </c>
    </row>
    <row r="2808" ht="19" customHeight="1" spans="1:14" x14ac:dyDescent="0.25">
      <c r="A2808" s="19" t="s">
        <v>2922</v>
      </c>
      <c r="B2808" s="33">
        <v>46226.10902777778</v>
      </c>
      <c r="C2808" s="33">
        <v>46227.56388888889</v>
      </c>
      <c r="D2808" s="19" t="s">
        <v>33</v>
      </c>
      <c r="E2808" s="19" t="s">
        <v>65</v>
      </c>
      <c r="F2808" s="19" t="s">
        <v>45</v>
      </c>
      <c r="G2808" s="19" t="s">
        <v>63</v>
      </c>
      <c r="H2808" s="19" t="s">
        <v>59</v>
      </c>
      <c r="I2808" s="19" t="s">
        <v>114</v>
      </c>
      <c r="J2808" s="20">
        <v>48</v>
      </c>
      <c r="K2808" s="34">
        <v>0</v>
      </c>
      <c r="L2808" s="34">
        <v>1</v>
      </c>
      <c r="M2808" s="19">
        <f>IF(OR(ISBLANK(C2808),C2808=""),"",ROUND((C2808-B2808)*24,2))</f>
        <v>34.92</v>
      </c>
      <c r="N2808" s="35" t="str">
        <f>IF(OR(ISBLANK(C2808),C2808="",M2808=""),"In Progress",IF(M2808&lt;=J2808,"Met","Breached"))</f>
        <v>Met</v>
      </c>
    </row>
    <row r="2809" ht="19" customHeight="1" spans="1:14" x14ac:dyDescent="0.25">
      <c r="A2809" s="22" t="s">
        <v>2923</v>
      </c>
      <c r="B2809" s="36">
        <v>46107.84097222222</v>
      </c>
      <c r="D2809" s="22" t="s">
        <v>39</v>
      </c>
      <c r="E2809" s="22" t="s">
        <v>69</v>
      </c>
      <c r="F2809" s="22" t="s">
        <v>43</v>
      </c>
      <c r="G2809" s="22" t="s">
        <v>113</v>
      </c>
      <c r="H2809" s="22" t="s">
        <v>59</v>
      </c>
      <c r="I2809" s="22" t="s">
        <v>117</v>
      </c>
      <c r="J2809" s="23">
        <v>120</v>
      </c>
      <c r="K2809" s="37">
        <v>0</v>
      </c>
      <c r="M2809" s="22" t="str">
        <f>IF(OR(ISBLANK(C2809),C2809=""),"",ROUND((C2809-B2809)*24,2))</f>
        <v/>
      </c>
      <c r="N2809" s="22" t="str">
        <f>IF(OR(ISBLANK(C2809),C2809="",M2809=""),"In Progress",IF(M2809&lt;=J2809,"Met","Breached"))</f>
        <v>In Progress</v>
      </c>
    </row>
    <row r="2810" ht="19" customHeight="1" spans="1:14" x14ac:dyDescent="0.25">
      <c r="A2810" s="19" t="s">
        <v>2924</v>
      </c>
      <c r="B2810" s="33">
        <v>46210.74791666667</v>
      </c>
      <c r="C2810" s="33">
        <v>46212.70486111111</v>
      </c>
      <c r="D2810" s="19" t="s">
        <v>36</v>
      </c>
      <c r="E2810" s="19" t="s">
        <v>65</v>
      </c>
      <c r="F2810" s="19" t="s">
        <v>45</v>
      </c>
      <c r="G2810" s="19" t="s">
        <v>110</v>
      </c>
      <c r="H2810" s="19" t="s">
        <v>67</v>
      </c>
      <c r="I2810" s="19" t="s">
        <v>117</v>
      </c>
      <c r="J2810" s="20">
        <v>48</v>
      </c>
      <c r="K2810" s="34">
        <v>0</v>
      </c>
      <c r="M2810" s="19">
        <f>IF(OR(ISBLANK(C2810),C2810=""),"",ROUND((C2810-B2810)*24,2))</f>
        <v>46.97</v>
      </c>
      <c r="N2810" s="35" t="str">
        <f>IF(OR(ISBLANK(C2810),C2810="",M2810=""),"In Progress",IF(M2810&lt;=J2810,"Met","Breached"))</f>
        <v>Met</v>
      </c>
    </row>
    <row r="2811" ht="19" customHeight="1" spans="1:14" x14ac:dyDescent="0.25">
      <c r="A2811" s="22" t="s">
        <v>2925</v>
      </c>
      <c r="B2811" s="36">
        <v>46192.62430555555</v>
      </c>
      <c r="C2811" s="36">
        <v>46195.103472222225</v>
      </c>
      <c r="D2811" s="22" t="s">
        <v>33</v>
      </c>
      <c r="E2811" s="22" t="s">
        <v>65</v>
      </c>
      <c r="F2811" s="22" t="s">
        <v>40</v>
      </c>
      <c r="G2811" s="22" t="s">
        <v>116</v>
      </c>
      <c r="H2811" s="22" t="s">
        <v>67</v>
      </c>
      <c r="I2811" s="22" t="s">
        <v>108</v>
      </c>
      <c r="J2811" s="23">
        <v>48</v>
      </c>
      <c r="K2811" s="37">
        <v>0</v>
      </c>
      <c r="L2811" s="37">
        <v>2</v>
      </c>
      <c r="M2811" s="22">
        <f>IF(OR(ISBLANK(C2811),C2811=""),"",ROUND((C2811-B2811)*24,2))</f>
        <v>59.5</v>
      </c>
      <c r="N2811" s="38" t="str">
        <f>IF(OR(ISBLANK(C2811),C2811="",M2811=""),"In Progress",IF(M2811&lt;=J2811,"Met","Breached"))</f>
        <v>Breached</v>
      </c>
    </row>
    <row r="2812" ht="19" customHeight="1" spans="1:14" x14ac:dyDescent="0.25">
      <c r="A2812" s="19" t="s">
        <v>2926</v>
      </c>
      <c r="B2812" s="33">
        <v>45913.12361111111</v>
      </c>
      <c r="C2812" s="33">
        <v>45915.961805555555</v>
      </c>
      <c r="D2812" s="19" t="s">
        <v>33</v>
      </c>
      <c r="E2812" s="19" t="s">
        <v>65</v>
      </c>
      <c r="F2812" s="19" t="s">
        <v>37</v>
      </c>
      <c r="G2812" s="19" t="s">
        <v>110</v>
      </c>
      <c r="H2812" s="19" t="s">
        <v>63</v>
      </c>
      <c r="I2812" s="19" t="s">
        <v>111</v>
      </c>
      <c r="J2812" s="20">
        <v>48</v>
      </c>
      <c r="K2812" s="34">
        <v>0</v>
      </c>
      <c r="M2812" s="19">
        <f>IF(OR(ISBLANK(C2812),C2812=""),"",ROUND((C2812-B2812)*24,2))</f>
        <v>68.12</v>
      </c>
      <c r="N2812" s="39" t="str">
        <f>IF(OR(ISBLANK(C2812),C2812="",M2812=""),"In Progress",IF(M2812&lt;=J2812,"Met","Breached"))</f>
        <v>Breached</v>
      </c>
    </row>
    <row r="2813" ht="19" customHeight="1" spans="1:14" x14ac:dyDescent="0.25">
      <c r="A2813" s="22" t="s">
        <v>2927</v>
      </c>
      <c r="B2813" s="36">
        <v>46096.81736111111</v>
      </c>
      <c r="D2813" s="22" t="s">
        <v>42</v>
      </c>
      <c r="E2813" s="22" t="s">
        <v>69</v>
      </c>
      <c r="F2813" s="22" t="s">
        <v>37</v>
      </c>
      <c r="G2813" s="22" t="s">
        <v>63</v>
      </c>
      <c r="H2813" s="22" t="s">
        <v>59</v>
      </c>
      <c r="I2813" s="22" t="s">
        <v>123</v>
      </c>
      <c r="J2813" s="23">
        <v>120</v>
      </c>
      <c r="K2813" s="37">
        <v>0</v>
      </c>
      <c r="M2813" s="22" t="str">
        <f>IF(OR(ISBLANK(C2813),C2813=""),"",ROUND((C2813-B2813)*24,2))</f>
        <v/>
      </c>
      <c r="N2813" s="22" t="str">
        <f>IF(OR(ISBLANK(C2813),C2813="",M2813=""),"In Progress",IF(M2813&lt;=J2813,"Met","Breached"))</f>
        <v>In Progress</v>
      </c>
    </row>
    <row r="2814" ht="19" customHeight="1" spans="1:14" x14ac:dyDescent="0.25">
      <c r="A2814" s="19" t="s">
        <v>2928</v>
      </c>
      <c r="B2814" s="33">
        <v>45788.620833333334</v>
      </c>
      <c r="C2814" s="33">
        <v>45789.896527777775</v>
      </c>
      <c r="D2814" s="19" t="s">
        <v>33</v>
      </c>
      <c r="E2814" s="19" t="s">
        <v>65</v>
      </c>
      <c r="F2814" s="19" t="s">
        <v>40</v>
      </c>
      <c r="G2814" s="19" t="s">
        <v>113</v>
      </c>
      <c r="H2814" s="19" t="s">
        <v>59</v>
      </c>
      <c r="I2814" s="19" t="s">
        <v>111</v>
      </c>
      <c r="J2814" s="20">
        <v>48</v>
      </c>
      <c r="K2814" s="34">
        <v>0</v>
      </c>
      <c r="L2814" s="34">
        <v>1</v>
      </c>
      <c r="M2814" s="19">
        <f>IF(OR(ISBLANK(C2814),C2814=""),"",ROUND((C2814-B2814)*24,2))</f>
        <v>30.62</v>
      </c>
      <c r="N2814" s="35" t="str">
        <f>IF(OR(ISBLANK(C2814),C2814="",M2814=""),"In Progress",IF(M2814&lt;=J2814,"Met","Breached"))</f>
        <v>Met</v>
      </c>
    </row>
    <row r="2815" ht="19" customHeight="1" spans="1:14" x14ac:dyDescent="0.25">
      <c r="A2815" s="22" t="s">
        <v>2929</v>
      </c>
      <c r="B2815" s="36">
        <v>46114.61597222222</v>
      </c>
      <c r="C2815" s="36">
        <v>46114.92847222222</v>
      </c>
      <c r="D2815" s="22" t="s">
        <v>33</v>
      </c>
      <c r="E2815" s="22" t="s">
        <v>61</v>
      </c>
      <c r="F2815" s="22" t="s">
        <v>40</v>
      </c>
      <c r="G2815" s="22" t="s">
        <v>116</v>
      </c>
      <c r="H2815" s="22" t="s">
        <v>63</v>
      </c>
      <c r="I2815" s="22" t="s">
        <v>111</v>
      </c>
      <c r="J2815" s="23">
        <v>12</v>
      </c>
      <c r="K2815" s="37">
        <v>0</v>
      </c>
      <c r="L2815" s="37">
        <v>5</v>
      </c>
      <c r="M2815" s="22">
        <f>IF(OR(ISBLANK(C2815),C2815=""),"",ROUND((C2815-B2815)*24,2))</f>
        <v>7.5</v>
      </c>
      <c r="N2815" s="40" t="str">
        <f>IF(OR(ISBLANK(C2815),C2815="",M2815=""),"In Progress",IF(M2815&lt;=J2815,"Met","Breached"))</f>
        <v>Met</v>
      </c>
    </row>
    <row r="2816" ht="19" customHeight="1" spans="1:14" x14ac:dyDescent="0.25">
      <c r="A2816" s="19" t="s">
        <v>2930</v>
      </c>
      <c r="B2816" s="33">
        <v>45946.20486111111</v>
      </c>
      <c r="D2816" s="19" t="s">
        <v>39</v>
      </c>
      <c r="E2816" s="19" t="s">
        <v>65</v>
      </c>
      <c r="F2816" s="19" t="s">
        <v>34</v>
      </c>
      <c r="G2816" s="19" t="s">
        <v>126</v>
      </c>
      <c r="H2816" s="19" t="s">
        <v>59</v>
      </c>
      <c r="I2816" s="19" t="s">
        <v>111</v>
      </c>
      <c r="J2816" s="20">
        <v>48</v>
      </c>
      <c r="K2816" s="34">
        <v>0</v>
      </c>
      <c r="M2816" s="19" t="str">
        <f>IF(OR(ISBLANK(C2816),C2816=""),"",ROUND((C2816-B2816)*24,2))</f>
        <v/>
      </c>
      <c r="N2816" s="19" t="str">
        <f>IF(OR(ISBLANK(C2816),C2816="",M2816=""),"In Progress",IF(M2816&lt;=J2816,"Met","Breached"))</f>
        <v>In Progress</v>
      </c>
    </row>
    <row r="2817" ht="19" customHeight="1" spans="1:14" x14ac:dyDescent="0.25">
      <c r="A2817" s="22" t="s">
        <v>2931</v>
      </c>
      <c r="B2817" s="36">
        <v>46252.195138888885</v>
      </c>
      <c r="C2817" s="36">
        <v>46254.521527777775</v>
      </c>
      <c r="D2817" s="22" t="s">
        <v>36</v>
      </c>
      <c r="E2817" s="22" t="s">
        <v>65</v>
      </c>
      <c r="F2817" s="22" t="s">
        <v>40</v>
      </c>
      <c r="G2817" s="22" t="s">
        <v>113</v>
      </c>
      <c r="H2817" s="22" t="s">
        <v>59</v>
      </c>
      <c r="I2817" s="22" t="s">
        <v>108</v>
      </c>
      <c r="J2817" s="23">
        <v>48</v>
      </c>
      <c r="K2817" s="37">
        <v>0</v>
      </c>
      <c r="L2817" s="37">
        <v>5</v>
      </c>
      <c r="M2817" s="22">
        <f>IF(OR(ISBLANK(C2817),C2817=""),"",ROUND((C2817-B2817)*24,2))</f>
        <v>55.83</v>
      </c>
      <c r="N2817" s="38" t="str">
        <f>IF(OR(ISBLANK(C2817),C2817="",M2817=""),"In Progress",IF(M2817&lt;=J2817,"Met","Breached"))</f>
        <v>Breached</v>
      </c>
    </row>
    <row r="2818" ht="19" customHeight="1" spans="1:14" x14ac:dyDescent="0.25">
      <c r="A2818" s="19" t="s">
        <v>2932</v>
      </c>
      <c r="B2818" s="33">
        <v>45772.12847222222</v>
      </c>
      <c r="C2818" s="33">
        <v>45772.29722222222</v>
      </c>
      <c r="D2818" s="19" t="s">
        <v>33</v>
      </c>
      <c r="E2818" s="19" t="s">
        <v>61</v>
      </c>
      <c r="F2818" s="19" t="s">
        <v>40</v>
      </c>
      <c r="G2818" s="19" t="s">
        <v>121</v>
      </c>
      <c r="H2818" s="19" t="s">
        <v>67</v>
      </c>
      <c r="I2818" s="19" t="s">
        <v>111</v>
      </c>
      <c r="J2818" s="20">
        <v>12</v>
      </c>
      <c r="K2818" s="34">
        <v>0</v>
      </c>
      <c r="L2818" s="34">
        <v>2</v>
      </c>
      <c r="M2818" s="19">
        <f>IF(OR(ISBLANK(C2818),C2818=""),"",ROUND((C2818-B2818)*24,2))</f>
        <v>4.05</v>
      </c>
      <c r="N2818" s="35" t="str">
        <f>IF(OR(ISBLANK(C2818),C2818="",M2818=""),"In Progress",IF(M2818&lt;=J2818,"Met","Breached"))</f>
        <v>Met</v>
      </c>
    </row>
    <row r="2819" ht="19" customHeight="1" spans="1:14" x14ac:dyDescent="0.25">
      <c r="A2819" s="22" t="s">
        <v>2933</v>
      </c>
      <c r="B2819" s="36">
        <v>45807.59861111111</v>
      </c>
      <c r="D2819" s="22" t="s">
        <v>39</v>
      </c>
      <c r="E2819" s="22" t="s">
        <v>61</v>
      </c>
      <c r="F2819" s="22" t="s">
        <v>45</v>
      </c>
      <c r="G2819" s="22" t="s">
        <v>121</v>
      </c>
      <c r="H2819" s="22" t="s">
        <v>59</v>
      </c>
      <c r="I2819" s="22" t="s">
        <v>147</v>
      </c>
      <c r="J2819" s="23">
        <v>12</v>
      </c>
      <c r="K2819" s="37">
        <v>0</v>
      </c>
      <c r="M2819" s="22" t="str">
        <f>IF(OR(ISBLANK(C2819),C2819=""),"",ROUND((C2819-B2819)*24,2))</f>
        <v/>
      </c>
      <c r="N2819" s="22" t="str">
        <f>IF(OR(ISBLANK(C2819),C2819="",M2819=""),"In Progress",IF(M2819&lt;=J2819,"Met","Breached"))</f>
        <v>In Progress</v>
      </c>
    </row>
    <row r="2820" ht="19" customHeight="1" spans="1:14" x14ac:dyDescent="0.25">
      <c r="A2820" s="19" t="s">
        <v>2934</v>
      </c>
      <c r="B2820" s="33">
        <v>45822.54583333334</v>
      </c>
      <c r="C2820" s="33">
        <v>45829.75277777778</v>
      </c>
      <c r="D2820" s="19" t="s">
        <v>36</v>
      </c>
      <c r="E2820" s="19" t="s">
        <v>69</v>
      </c>
      <c r="F2820" s="19" t="s">
        <v>43</v>
      </c>
      <c r="G2820" s="19" t="s">
        <v>121</v>
      </c>
      <c r="H2820" s="19" t="s">
        <v>67</v>
      </c>
      <c r="I2820" s="19" t="s">
        <v>147</v>
      </c>
      <c r="J2820" s="20">
        <v>120</v>
      </c>
      <c r="K2820" s="34">
        <v>0</v>
      </c>
      <c r="M2820" s="19">
        <f>IF(OR(ISBLANK(C2820),C2820=""),"",ROUND((C2820-B2820)*24,2))</f>
        <v>172.97</v>
      </c>
      <c r="N2820" s="39" t="str">
        <f>IF(OR(ISBLANK(C2820),C2820="",M2820=""),"In Progress",IF(M2820&lt;=J2820,"Met","Breached"))</f>
        <v>Breached</v>
      </c>
    </row>
    <row r="2821" ht="19" customHeight="1" spans="1:14" x14ac:dyDescent="0.25">
      <c r="A2821" s="22" t="s">
        <v>2935</v>
      </c>
      <c r="B2821" s="36">
        <v>46076.15833333333</v>
      </c>
      <c r="C2821" s="36">
        <v>46081.080555555556</v>
      </c>
      <c r="D2821" s="22" t="s">
        <v>33</v>
      </c>
      <c r="E2821" s="22" t="s">
        <v>69</v>
      </c>
      <c r="F2821" s="22" t="s">
        <v>40</v>
      </c>
      <c r="G2821" s="22" t="s">
        <v>63</v>
      </c>
      <c r="H2821" s="22" t="s">
        <v>71</v>
      </c>
      <c r="I2821" s="22" t="s">
        <v>111</v>
      </c>
      <c r="J2821" s="23">
        <v>120</v>
      </c>
      <c r="K2821" s="37">
        <v>0</v>
      </c>
      <c r="L2821" s="37">
        <v>5</v>
      </c>
      <c r="M2821" s="22">
        <f>IF(OR(ISBLANK(C2821),C2821=""),"",ROUND((C2821-B2821)*24,2))</f>
        <v>118.13</v>
      </c>
      <c r="N2821" s="40" t="str">
        <f>IF(OR(ISBLANK(C2821),C2821="",M2821=""),"In Progress",IF(M2821&lt;=J2821,"Met","Breached"))</f>
        <v>Met</v>
      </c>
    </row>
    <row r="2822" ht="19" customHeight="1" spans="1:14" x14ac:dyDescent="0.25">
      <c r="A2822" s="19" t="s">
        <v>2936</v>
      </c>
      <c r="B2822" s="33">
        <v>45665.4125</v>
      </c>
      <c r="C2822" s="33">
        <v>45666.38055555556</v>
      </c>
      <c r="D2822" s="19" t="s">
        <v>36</v>
      </c>
      <c r="E2822" s="19" t="s">
        <v>65</v>
      </c>
      <c r="F2822" s="19" t="s">
        <v>37</v>
      </c>
      <c r="G2822" s="19" t="s">
        <v>63</v>
      </c>
      <c r="H2822" s="19" t="s">
        <v>71</v>
      </c>
      <c r="I2822" s="19" t="s">
        <v>108</v>
      </c>
      <c r="J2822" s="20">
        <v>48</v>
      </c>
      <c r="K2822" s="34">
        <v>0</v>
      </c>
      <c r="L2822" s="34">
        <v>3</v>
      </c>
      <c r="M2822" s="19">
        <f>IF(OR(ISBLANK(C2822),C2822=""),"",ROUND((C2822-B2822)*24,2))</f>
        <v>23.23</v>
      </c>
      <c r="N2822" s="35" t="str">
        <f>IF(OR(ISBLANK(C2822),C2822="",M2822=""),"In Progress",IF(M2822&lt;=J2822,"Met","Breached"))</f>
        <v>Met</v>
      </c>
    </row>
    <row r="2823" ht="19" customHeight="1" spans="1:14" x14ac:dyDescent="0.25">
      <c r="A2823" s="22" t="s">
        <v>2937</v>
      </c>
      <c r="B2823" s="36">
        <v>46122.83125</v>
      </c>
      <c r="C2823" s="36">
        <v>46124.61041666666</v>
      </c>
      <c r="D2823" s="22" t="s">
        <v>36</v>
      </c>
      <c r="E2823" s="22" t="s">
        <v>65</v>
      </c>
      <c r="F2823" s="22" t="s">
        <v>43</v>
      </c>
      <c r="G2823" s="22" t="s">
        <v>110</v>
      </c>
      <c r="H2823" s="22" t="s">
        <v>67</v>
      </c>
      <c r="I2823" s="22" t="s">
        <v>123</v>
      </c>
      <c r="J2823" s="23">
        <v>48</v>
      </c>
      <c r="K2823" s="37">
        <v>0</v>
      </c>
      <c r="L2823" s="37">
        <v>1</v>
      </c>
      <c r="M2823" s="22">
        <f>IF(OR(ISBLANK(C2823),C2823=""),"",ROUND((C2823-B2823)*24,2))</f>
        <v>42.7</v>
      </c>
      <c r="N2823" s="40" t="str">
        <f>IF(OR(ISBLANK(C2823),C2823="",M2823=""),"In Progress",IF(M2823&lt;=J2823,"Met","Breached"))</f>
        <v>Met</v>
      </c>
    </row>
    <row r="2824" ht="19" customHeight="1" spans="1:14" x14ac:dyDescent="0.25">
      <c r="A2824" s="19" t="s">
        <v>2938</v>
      </c>
      <c r="B2824" s="33">
        <v>45789.427777777775</v>
      </c>
      <c r="C2824" s="33">
        <v>45789.775</v>
      </c>
      <c r="D2824" s="19" t="s">
        <v>33</v>
      </c>
      <c r="E2824" s="19" t="s">
        <v>61</v>
      </c>
      <c r="F2824" s="19" t="s">
        <v>34</v>
      </c>
      <c r="G2824" s="19" t="s">
        <v>121</v>
      </c>
      <c r="H2824" s="19" t="s">
        <v>67</v>
      </c>
      <c r="I2824" s="19" t="s">
        <v>123</v>
      </c>
      <c r="J2824" s="20">
        <v>12</v>
      </c>
      <c r="K2824" s="34">
        <v>0</v>
      </c>
      <c r="L2824" s="34">
        <v>4</v>
      </c>
      <c r="M2824" s="19">
        <f>IF(OR(ISBLANK(C2824),C2824=""),"",ROUND((C2824-B2824)*24,2))</f>
        <v>8.33</v>
      </c>
      <c r="N2824" s="35" t="str">
        <f>IF(OR(ISBLANK(C2824),C2824="",M2824=""),"In Progress",IF(M2824&lt;=J2824,"Met","Breached"))</f>
        <v>Met</v>
      </c>
    </row>
    <row r="2825" ht="19" customHeight="1" spans="1:14" x14ac:dyDescent="0.25">
      <c r="A2825" s="22" t="s">
        <v>2939</v>
      </c>
      <c r="B2825" s="36">
        <v>46240.66805555555</v>
      </c>
      <c r="C2825" s="36">
        <v>46243.22777777778</v>
      </c>
      <c r="D2825" s="22" t="s">
        <v>33</v>
      </c>
      <c r="E2825" s="22" t="s">
        <v>65</v>
      </c>
      <c r="F2825" s="22" t="s">
        <v>34</v>
      </c>
      <c r="G2825" s="22" t="s">
        <v>113</v>
      </c>
      <c r="H2825" s="22" t="s">
        <v>59</v>
      </c>
      <c r="I2825" s="22" t="s">
        <v>114</v>
      </c>
      <c r="J2825" s="23">
        <v>48</v>
      </c>
      <c r="K2825" s="37">
        <v>0</v>
      </c>
      <c r="L2825" s="37">
        <v>4</v>
      </c>
      <c r="M2825" s="22">
        <f>IF(OR(ISBLANK(C2825),C2825=""),"",ROUND((C2825-B2825)*24,2))</f>
        <v>61.43</v>
      </c>
      <c r="N2825" s="38" t="str">
        <f>IF(OR(ISBLANK(C2825),C2825="",M2825=""),"In Progress",IF(M2825&lt;=J2825,"Met","Breached"))</f>
        <v>Breached</v>
      </c>
    </row>
    <row r="2826" ht="19" customHeight="1" spans="1:14" x14ac:dyDescent="0.25">
      <c r="A2826" s="19" t="s">
        <v>2940</v>
      </c>
      <c r="B2826" s="33">
        <v>46195.66458333333</v>
      </c>
      <c r="D2826" s="19" t="s">
        <v>42</v>
      </c>
      <c r="E2826" s="19" t="s">
        <v>65</v>
      </c>
      <c r="F2826" s="19" t="s">
        <v>40</v>
      </c>
      <c r="G2826" s="19" t="s">
        <v>121</v>
      </c>
      <c r="H2826" s="19" t="s">
        <v>59</v>
      </c>
      <c r="I2826" s="19" t="s">
        <v>123</v>
      </c>
      <c r="J2826" s="20">
        <v>48</v>
      </c>
      <c r="K2826" s="34">
        <v>0</v>
      </c>
      <c r="M2826" s="19" t="str">
        <f>IF(OR(ISBLANK(C2826),C2826=""),"",ROUND((C2826-B2826)*24,2))</f>
        <v/>
      </c>
      <c r="N2826" s="19" t="str">
        <f>IF(OR(ISBLANK(C2826),C2826="",M2826=""),"In Progress",IF(M2826&lt;=J2826,"Met","Breached"))</f>
        <v>In Progress</v>
      </c>
    </row>
    <row r="2827" ht="19" customHeight="1" spans="1:14" x14ac:dyDescent="0.25">
      <c r="A2827" s="22" t="s">
        <v>2941</v>
      </c>
      <c r="B2827" s="36">
        <v>45699.044444444444</v>
      </c>
      <c r="D2827" s="22" t="s">
        <v>39</v>
      </c>
      <c r="E2827" s="22" t="s">
        <v>65</v>
      </c>
      <c r="F2827" s="22" t="s">
        <v>40</v>
      </c>
      <c r="G2827" s="22" t="s">
        <v>63</v>
      </c>
      <c r="H2827" s="22" t="s">
        <v>71</v>
      </c>
      <c r="I2827" s="22" t="s">
        <v>117</v>
      </c>
      <c r="J2827" s="23">
        <v>48</v>
      </c>
      <c r="K2827" s="37">
        <v>0</v>
      </c>
      <c r="M2827" s="22" t="str">
        <f>IF(OR(ISBLANK(C2827),C2827=""),"",ROUND((C2827-B2827)*24,2))</f>
        <v/>
      </c>
      <c r="N2827" s="22" t="str">
        <f>IF(OR(ISBLANK(C2827),C2827="",M2827=""),"In Progress",IF(M2827&lt;=J2827,"Met","Breached"))</f>
        <v>In Progress</v>
      </c>
    </row>
    <row r="2828" ht="19" customHeight="1" spans="1:14" x14ac:dyDescent="0.25">
      <c r="A2828" s="19" t="s">
        <v>2942</v>
      </c>
      <c r="B2828" s="33">
        <v>46032.8375</v>
      </c>
      <c r="C2828" s="33">
        <v>46038.3625</v>
      </c>
      <c r="D2828" s="19" t="s">
        <v>33</v>
      </c>
      <c r="E2828" s="19" t="s">
        <v>69</v>
      </c>
      <c r="F2828" s="19" t="s">
        <v>37</v>
      </c>
      <c r="G2828" s="19" t="s">
        <v>110</v>
      </c>
      <c r="H2828" s="19" t="s">
        <v>59</v>
      </c>
      <c r="I2828" s="19" t="s">
        <v>108</v>
      </c>
      <c r="J2828" s="20">
        <v>120</v>
      </c>
      <c r="K2828" s="34">
        <v>0</v>
      </c>
      <c r="L2828" s="34">
        <v>4</v>
      </c>
      <c r="M2828" s="19">
        <f>IF(OR(ISBLANK(C2828),C2828=""),"",ROUND((C2828-B2828)*24,2))</f>
        <v>132.6</v>
      </c>
      <c r="N2828" s="39" t="str">
        <f>IF(OR(ISBLANK(C2828),C2828="",M2828=""),"In Progress",IF(M2828&lt;=J2828,"Met","Breached"))</f>
        <v>Breached</v>
      </c>
    </row>
    <row r="2829" ht="19" customHeight="1" spans="1:14" x14ac:dyDescent="0.25">
      <c r="A2829" s="22" t="s">
        <v>2943</v>
      </c>
      <c r="B2829" s="36">
        <v>45737.027083333334</v>
      </c>
      <c r="C2829" s="36">
        <v>45737.9</v>
      </c>
      <c r="D2829" s="22" t="s">
        <v>33</v>
      </c>
      <c r="E2829" s="22" t="s">
        <v>61</v>
      </c>
      <c r="F2829" s="22" t="s">
        <v>40</v>
      </c>
      <c r="G2829" s="22" t="s">
        <v>121</v>
      </c>
      <c r="H2829" s="22" t="s">
        <v>59</v>
      </c>
      <c r="I2829" s="22" t="s">
        <v>147</v>
      </c>
      <c r="J2829" s="23">
        <v>12</v>
      </c>
      <c r="K2829" s="37">
        <v>0</v>
      </c>
      <c r="M2829" s="22">
        <f>IF(OR(ISBLANK(C2829),C2829=""),"",ROUND((C2829-B2829)*24,2))</f>
        <v>20.95</v>
      </c>
      <c r="N2829" s="38" t="str">
        <f>IF(OR(ISBLANK(C2829),C2829="",M2829=""),"In Progress",IF(M2829&lt;=J2829,"Met","Breached"))</f>
        <v>Breached</v>
      </c>
    </row>
    <row r="2830" ht="19" customHeight="1" spans="1:14" x14ac:dyDescent="0.25">
      <c r="A2830" s="19" t="s">
        <v>2944</v>
      </c>
      <c r="B2830" s="33">
        <v>46023.61597222222</v>
      </c>
      <c r="D2830" s="19" t="s">
        <v>39</v>
      </c>
      <c r="E2830" s="19" t="s">
        <v>61</v>
      </c>
      <c r="F2830" s="19" t="s">
        <v>40</v>
      </c>
      <c r="G2830" s="19" t="s">
        <v>110</v>
      </c>
      <c r="H2830" s="19" t="s">
        <v>59</v>
      </c>
      <c r="I2830" s="19" t="s">
        <v>114</v>
      </c>
      <c r="J2830" s="20">
        <v>12</v>
      </c>
      <c r="K2830" s="34">
        <v>0</v>
      </c>
      <c r="M2830" s="19" t="str">
        <f>IF(OR(ISBLANK(C2830),C2830=""),"",ROUND((C2830-B2830)*24,2))</f>
        <v/>
      </c>
      <c r="N2830" s="19" t="str">
        <f>IF(OR(ISBLANK(C2830),C2830="",M2830=""),"In Progress",IF(M2830&lt;=J2830,"Met","Breached"))</f>
        <v>In Progress</v>
      </c>
    </row>
    <row r="2831" ht="19" customHeight="1" spans="1:14" x14ac:dyDescent="0.25">
      <c r="A2831" s="22" t="s">
        <v>2945</v>
      </c>
      <c r="B2831" s="36">
        <v>46155.675</v>
      </c>
      <c r="C2831" s="36">
        <v>46156.43194444444</v>
      </c>
      <c r="D2831" s="22" t="s">
        <v>36</v>
      </c>
      <c r="E2831" s="22" t="s">
        <v>65</v>
      </c>
      <c r="F2831" s="22" t="s">
        <v>34</v>
      </c>
      <c r="G2831" s="22" t="s">
        <v>113</v>
      </c>
      <c r="H2831" s="22" t="s">
        <v>71</v>
      </c>
      <c r="I2831" s="22" t="s">
        <v>114</v>
      </c>
      <c r="J2831" s="23">
        <v>48</v>
      </c>
      <c r="K2831" s="37">
        <v>0</v>
      </c>
      <c r="M2831" s="22">
        <f>IF(OR(ISBLANK(C2831),C2831=""),"",ROUND((C2831-B2831)*24,2))</f>
        <v>18.17</v>
      </c>
      <c r="N2831" s="40" t="str">
        <f>IF(OR(ISBLANK(C2831),C2831="",M2831=""),"In Progress",IF(M2831&lt;=J2831,"Met","Breached"))</f>
        <v>Met</v>
      </c>
    </row>
    <row r="2832" ht="19" customHeight="1" spans="1:14" x14ac:dyDescent="0.25">
      <c r="A2832" s="19" t="s">
        <v>2946</v>
      </c>
      <c r="B2832" s="33">
        <v>46052.30694444444</v>
      </c>
      <c r="C2832" s="33">
        <v>46052.67569444445</v>
      </c>
      <c r="D2832" s="19" t="s">
        <v>36</v>
      </c>
      <c r="E2832" s="19" t="s">
        <v>61</v>
      </c>
      <c r="F2832" s="19" t="s">
        <v>37</v>
      </c>
      <c r="G2832" s="19" t="s">
        <v>116</v>
      </c>
      <c r="H2832" s="19" t="s">
        <v>63</v>
      </c>
      <c r="I2832" s="19" t="s">
        <v>123</v>
      </c>
      <c r="J2832" s="20">
        <v>12</v>
      </c>
      <c r="K2832" s="34">
        <v>0</v>
      </c>
      <c r="L2832" s="34">
        <v>4</v>
      </c>
      <c r="M2832" s="19">
        <f>IF(OR(ISBLANK(C2832),C2832=""),"",ROUND((C2832-B2832)*24,2))</f>
        <v>8.85</v>
      </c>
      <c r="N2832" s="35" t="str">
        <f>IF(OR(ISBLANK(C2832),C2832="",M2832=""),"In Progress",IF(M2832&lt;=J2832,"Met","Breached"))</f>
        <v>Met</v>
      </c>
    </row>
    <row r="2833" ht="19" customHeight="1" spans="1:14" x14ac:dyDescent="0.25">
      <c r="A2833" s="22" t="s">
        <v>2947</v>
      </c>
      <c r="B2833" s="36">
        <v>45705.865277777775</v>
      </c>
      <c r="C2833" s="36">
        <v>45706.97361111111</v>
      </c>
      <c r="D2833" s="22" t="s">
        <v>33</v>
      </c>
      <c r="E2833" s="22" t="s">
        <v>65</v>
      </c>
      <c r="F2833" s="22" t="s">
        <v>40</v>
      </c>
      <c r="G2833" s="22" t="s">
        <v>110</v>
      </c>
      <c r="H2833" s="22" t="s">
        <v>59</v>
      </c>
      <c r="I2833" s="22" t="s">
        <v>108</v>
      </c>
      <c r="J2833" s="23">
        <v>48</v>
      </c>
      <c r="K2833" s="37">
        <v>0</v>
      </c>
      <c r="L2833" s="37">
        <v>2</v>
      </c>
      <c r="M2833" s="22">
        <f>IF(OR(ISBLANK(C2833),C2833=""),"",ROUND((C2833-B2833)*24,2))</f>
        <v>26.6</v>
      </c>
      <c r="N2833" s="40" t="str">
        <f>IF(OR(ISBLANK(C2833),C2833="",M2833=""),"In Progress",IF(M2833&lt;=J2833,"Met","Breached"))</f>
        <v>Met</v>
      </c>
    </row>
    <row r="2834" ht="19" customHeight="1" spans="1:14" x14ac:dyDescent="0.25">
      <c r="A2834" s="19" t="s">
        <v>2948</v>
      </c>
      <c r="B2834" s="33">
        <v>45726.86041666666</v>
      </c>
      <c r="C2834" s="33">
        <v>45727.38611111111</v>
      </c>
      <c r="D2834" s="19" t="s">
        <v>36</v>
      </c>
      <c r="E2834" s="19" t="s">
        <v>61</v>
      </c>
      <c r="F2834" s="19" t="s">
        <v>37</v>
      </c>
      <c r="G2834" s="19" t="s">
        <v>126</v>
      </c>
      <c r="H2834" s="19" t="s">
        <v>63</v>
      </c>
      <c r="I2834" s="19" t="s">
        <v>114</v>
      </c>
      <c r="J2834" s="20">
        <v>12</v>
      </c>
      <c r="K2834" s="34">
        <v>0</v>
      </c>
      <c r="M2834" s="19">
        <f>IF(OR(ISBLANK(C2834),C2834=""),"",ROUND((C2834-B2834)*24,2))</f>
        <v>12.62</v>
      </c>
      <c r="N2834" s="39" t="str">
        <f>IF(OR(ISBLANK(C2834),C2834="",M2834=""),"In Progress",IF(M2834&lt;=J2834,"Met","Breached"))</f>
        <v>Breached</v>
      </c>
    </row>
    <row r="2835" ht="19" customHeight="1" spans="1:14" x14ac:dyDescent="0.25">
      <c r="A2835" s="22" t="s">
        <v>2949</v>
      </c>
      <c r="B2835" s="36">
        <v>45989.27986111111</v>
      </c>
      <c r="C2835" s="36">
        <v>45992.08888888889</v>
      </c>
      <c r="D2835" s="22" t="s">
        <v>36</v>
      </c>
      <c r="E2835" s="22" t="s">
        <v>69</v>
      </c>
      <c r="F2835" s="22" t="s">
        <v>34</v>
      </c>
      <c r="G2835" s="22" t="s">
        <v>113</v>
      </c>
      <c r="H2835" s="22" t="s">
        <v>59</v>
      </c>
      <c r="I2835" s="22" t="s">
        <v>147</v>
      </c>
      <c r="J2835" s="23">
        <v>120</v>
      </c>
      <c r="K2835" s="37">
        <v>0</v>
      </c>
      <c r="L2835" s="37">
        <v>2</v>
      </c>
      <c r="M2835" s="22">
        <f>IF(OR(ISBLANK(C2835),C2835=""),"",ROUND((C2835-B2835)*24,2))</f>
        <v>67.42</v>
      </c>
      <c r="N2835" s="40" t="str">
        <f>IF(OR(ISBLANK(C2835),C2835="",M2835=""),"In Progress",IF(M2835&lt;=J2835,"Met","Breached"))</f>
        <v>Met</v>
      </c>
    </row>
    <row r="2836" ht="19" customHeight="1" spans="1:14" x14ac:dyDescent="0.25">
      <c r="A2836" s="19" t="s">
        <v>2950</v>
      </c>
      <c r="B2836" s="33">
        <v>45658.42847222222</v>
      </c>
      <c r="D2836" s="19" t="s">
        <v>39</v>
      </c>
      <c r="E2836" s="19" t="s">
        <v>65</v>
      </c>
      <c r="F2836" s="19" t="s">
        <v>37</v>
      </c>
      <c r="G2836" s="19" t="s">
        <v>116</v>
      </c>
      <c r="H2836" s="19" t="s">
        <v>63</v>
      </c>
      <c r="I2836" s="19" t="s">
        <v>147</v>
      </c>
      <c r="J2836" s="20">
        <v>48</v>
      </c>
      <c r="K2836" s="34">
        <v>0</v>
      </c>
      <c r="M2836" s="19" t="str">
        <f>IF(OR(ISBLANK(C2836),C2836=""),"",ROUND((C2836-B2836)*24,2))</f>
        <v/>
      </c>
      <c r="N2836" s="19" t="str">
        <f>IF(OR(ISBLANK(C2836),C2836="",M2836=""),"In Progress",IF(M2836&lt;=J2836,"Met","Breached"))</f>
        <v>In Progress</v>
      </c>
    </row>
    <row r="2837" ht="19" customHeight="1" spans="1:14" x14ac:dyDescent="0.25">
      <c r="A2837" s="22" t="s">
        <v>2951</v>
      </c>
      <c r="B2837" s="36">
        <v>46241.19375</v>
      </c>
      <c r="C2837" s="36">
        <v>46241.36319444445</v>
      </c>
      <c r="D2837" s="22" t="s">
        <v>33</v>
      </c>
      <c r="E2837" s="22" t="s">
        <v>57</v>
      </c>
      <c r="F2837" s="22" t="s">
        <v>34</v>
      </c>
      <c r="G2837" s="22" t="s">
        <v>121</v>
      </c>
      <c r="H2837" s="22" t="s">
        <v>59</v>
      </c>
      <c r="I2837" s="22" t="s">
        <v>117</v>
      </c>
      <c r="J2837" s="23">
        <v>4</v>
      </c>
      <c r="K2837" s="37">
        <v>0</v>
      </c>
      <c r="L2837" s="37">
        <v>3</v>
      </c>
      <c r="M2837" s="22">
        <f>IF(OR(ISBLANK(C2837),C2837=""),"",ROUND((C2837-B2837)*24,2))</f>
        <v>4.07</v>
      </c>
      <c r="N2837" s="38" t="str">
        <f>IF(OR(ISBLANK(C2837),C2837="",M2837=""),"In Progress",IF(M2837&lt;=J2837,"Met","Breached"))</f>
        <v>Breached</v>
      </c>
    </row>
    <row r="2838" ht="19" customHeight="1" spans="1:14" x14ac:dyDescent="0.25">
      <c r="A2838" s="19" t="s">
        <v>2952</v>
      </c>
      <c r="B2838" s="33">
        <v>45819.44583333333</v>
      </c>
      <c r="C2838" s="33">
        <v>45822.49097222222</v>
      </c>
      <c r="D2838" s="19" t="s">
        <v>33</v>
      </c>
      <c r="E2838" s="19" t="s">
        <v>65</v>
      </c>
      <c r="F2838" s="19" t="s">
        <v>34</v>
      </c>
      <c r="G2838" s="19" t="s">
        <v>110</v>
      </c>
      <c r="H2838" s="19" t="s">
        <v>67</v>
      </c>
      <c r="I2838" s="19" t="s">
        <v>147</v>
      </c>
      <c r="J2838" s="20">
        <v>48</v>
      </c>
      <c r="K2838" s="34">
        <v>0</v>
      </c>
      <c r="M2838" s="19">
        <f>IF(OR(ISBLANK(C2838),C2838=""),"",ROUND((C2838-B2838)*24,2))</f>
        <v>73.08</v>
      </c>
      <c r="N2838" s="39" t="str">
        <f>IF(OR(ISBLANK(C2838),C2838="",M2838=""),"In Progress",IF(M2838&lt;=J2838,"Met","Breached"))</f>
        <v>Breached</v>
      </c>
    </row>
    <row r="2839" ht="19" customHeight="1" spans="1:14" x14ac:dyDescent="0.25">
      <c r="A2839" s="22" t="s">
        <v>2953</v>
      </c>
      <c r="B2839" s="36">
        <v>46225.19027777778</v>
      </c>
      <c r="C2839" s="36">
        <v>46229.288194444445</v>
      </c>
      <c r="D2839" s="22" t="s">
        <v>33</v>
      </c>
      <c r="E2839" s="22" t="s">
        <v>69</v>
      </c>
      <c r="F2839" s="22" t="s">
        <v>45</v>
      </c>
      <c r="G2839" s="22" t="s">
        <v>126</v>
      </c>
      <c r="H2839" s="22" t="s">
        <v>63</v>
      </c>
      <c r="I2839" s="22" t="s">
        <v>147</v>
      </c>
      <c r="J2839" s="23">
        <v>120</v>
      </c>
      <c r="K2839" s="37">
        <v>0</v>
      </c>
      <c r="L2839" s="37">
        <v>3</v>
      </c>
      <c r="M2839" s="22">
        <f>IF(OR(ISBLANK(C2839),C2839=""),"",ROUND((C2839-B2839)*24,2))</f>
        <v>98.35</v>
      </c>
      <c r="N2839" s="40" t="str">
        <f>IF(OR(ISBLANK(C2839),C2839="",M2839=""),"In Progress",IF(M2839&lt;=J2839,"Met","Breached"))</f>
        <v>Met</v>
      </c>
    </row>
    <row r="2840" ht="19" customHeight="1" spans="1:14" x14ac:dyDescent="0.25">
      <c r="A2840" s="19" t="s">
        <v>2954</v>
      </c>
      <c r="B2840" s="33">
        <v>46063.70694444445</v>
      </c>
      <c r="C2840" s="33">
        <v>46070.790972222225</v>
      </c>
      <c r="D2840" s="19" t="s">
        <v>33</v>
      </c>
      <c r="E2840" s="19" t="s">
        <v>69</v>
      </c>
      <c r="F2840" s="19" t="s">
        <v>43</v>
      </c>
      <c r="G2840" s="19" t="s">
        <v>63</v>
      </c>
      <c r="H2840" s="19" t="s">
        <v>59</v>
      </c>
      <c r="I2840" s="19" t="s">
        <v>147</v>
      </c>
      <c r="J2840" s="20">
        <v>120</v>
      </c>
      <c r="K2840" s="34">
        <v>1</v>
      </c>
      <c r="L2840" s="34">
        <v>5</v>
      </c>
      <c r="M2840" s="19">
        <f>IF(OR(ISBLANK(C2840),C2840=""),"",ROUND((C2840-B2840)*24,2))</f>
        <v>170.02</v>
      </c>
      <c r="N2840" s="39" t="str">
        <f>IF(OR(ISBLANK(C2840),C2840="",M2840=""),"In Progress",IF(M2840&lt;=J2840,"Met","Breached"))</f>
        <v>Breached</v>
      </c>
    </row>
    <row r="2841" ht="19" customHeight="1" spans="1:14" x14ac:dyDescent="0.25">
      <c r="A2841" s="22" t="s">
        <v>2955</v>
      </c>
      <c r="B2841" s="36">
        <v>45701.584027777775</v>
      </c>
      <c r="C2841" s="36">
        <v>45701.64722222222</v>
      </c>
      <c r="D2841" s="22" t="s">
        <v>33</v>
      </c>
      <c r="E2841" s="22" t="s">
        <v>57</v>
      </c>
      <c r="F2841" s="22" t="s">
        <v>40</v>
      </c>
      <c r="G2841" s="22" t="s">
        <v>113</v>
      </c>
      <c r="H2841" s="22" t="s">
        <v>59</v>
      </c>
      <c r="I2841" s="22" t="s">
        <v>111</v>
      </c>
      <c r="J2841" s="23">
        <v>4</v>
      </c>
      <c r="K2841" s="37">
        <v>0</v>
      </c>
      <c r="L2841" s="37">
        <v>5</v>
      </c>
      <c r="M2841" s="22">
        <f>IF(OR(ISBLANK(C2841),C2841=""),"",ROUND((C2841-B2841)*24,2))</f>
        <v>1.52</v>
      </c>
      <c r="N2841" s="40" t="str">
        <f>IF(OR(ISBLANK(C2841),C2841="",M2841=""),"In Progress",IF(M2841&lt;=J2841,"Met","Breached"))</f>
        <v>Met</v>
      </c>
    </row>
    <row r="2842" ht="19" customHeight="1" spans="1:14" x14ac:dyDescent="0.25">
      <c r="A2842" s="19" t="s">
        <v>2956</v>
      </c>
      <c r="B2842" s="33">
        <v>45809.70625</v>
      </c>
      <c r="C2842" s="33">
        <v>45814.450694444444</v>
      </c>
      <c r="D2842" s="19" t="s">
        <v>33</v>
      </c>
      <c r="E2842" s="19" t="s">
        <v>69</v>
      </c>
      <c r="F2842" s="19" t="s">
        <v>43</v>
      </c>
      <c r="G2842" s="19" t="s">
        <v>121</v>
      </c>
      <c r="H2842" s="19" t="s">
        <v>59</v>
      </c>
      <c r="I2842" s="19" t="s">
        <v>108</v>
      </c>
      <c r="J2842" s="20">
        <v>120</v>
      </c>
      <c r="K2842" s="34">
        <v>0</v>
      </c>
      <c r="L2842" s="34">
        <v>5</v>
      </c>
      <c r="M2842" s="19">
        <f>IF(OR(ISBLANK(C2842),C2842=""),"",ROUND((C2842-B2842)*24,2))</f>
        <v>113.87</v>
      </c>
      <c r="N2842" s="35" t="str">
        <f>IF(OR(ISBLANK(C2842),C2842="",M2842=""),"In Progress",IF(M2842&lt;=J2842,"Met","Breached"))</f>
        <v>Met</v>
      </c>
    </row>
    <row r="2843" ht="19" customHeight="1" spans="1:14" x14ac:dyDescent="0.25">
      <c r="A2843" s="22" t="s">
        <v>2957</v>
      </c>
      <c r="B2843" s="36">
        <v>46279.68888888889</v>
      </c>
      <c r="C2843" s="36">
        <v>46287.174305555556</v>
      </c>
      <c r="D2843" s="22" t="s">
        <v>33</v>
      </c>
      <c r="E2843" s="22" t="s">
        <v>69</v>
      </c>
      <c r="F2843" s="22" t="s">
        <v>45</v>
      </c>
      <c r="G2843" s="22" t="s">
        <v>116</v>
      </c>
      <c r="H2843" s="22" t="s">
        <v>67</v>
      </c>
      <c r="I2843" s="22" t="s">
        <v>108</v>
      </c>
      <c r="J2843" s="23">
        <v>120</v>
      </c>
      <c r="K2843" s="37">
        <v>0</v>
      </c>
      <c r="L2843" s="37">
        <v>1</v>
      </c>
      <c r="M2843" s="22">
        <f>IF(OR(ISBLANK(C2843),C2843=""),"",ROUND((C2843-B2843)*24,2))</f>
        <v>179.65</v>
      </c>
      <c r="N2843" s="38" t="str">
        <f>IF(OR(ISBLANK(C2843),C2843="",M2843=""),"In Progress",IF(M2843&lt;=J2843,"Met","Breached"))</f>
        <v>Breached</v>
      </c>
    </row>
    <row r="2844" ht="19" customHeight="1" spans="1:14" x14ac:dyDescent="0.25">
      <c r="A2844" s="19" t="s">
        <v>2958</v>
      </c>
      <c r="B2844" s="33">
        <v>45886.54305555555</v>
      </c>
      <c r="C2844" s="33">
        <v>45893.97708333333</v>
      </c>
      <c r="D2844" s="19" t="s">
        <v>33</v>
      </c>
      <c r="E2844" s="19" t="s">
        <v>69</v>
      </c>
      <c r="F2844" s="19" t="s">
        <v>34</v>
      </c>
      <c r="G2844" s="19" t="s">
        <v>63</v>
      </c>
      <c r="H2844" s="19" t="s">
        <v>59</v>
      </c>
      <c r="I2844" s="19" t="s">
        <v>147</v>
      </c>
      <c r="J2844" s="20">
        <v>120</v>
      </c>
      <c r="K2844" s="34">
        <v>0</v>
      </c>
      <c r="L2844" s="34">
        <v>5</v>
      </c>
      <c r="M2844" s="19">
        <f>IF(OR(ISBLANK(C2844),C2844=""),"",ROUND((C2844-B2844)*24,2))</f>
        <v>178.42</v>
      </c>
      <c r="N2844" s="39" t="str">
        <f>IF(OR(ISBLANK(C2844),C2844="",M2844=""),"In Progress",IF(M2844&lt;=J2844,"Met","Breached"))</f>
        <v>Breached</v>
      </c>
    </row>
    <row r="2845" ht="19" customHeight="1" spans="1:14" x14ac:dyDescent="0.25">
      <c r="A2845" s="22" t="s">
        <v>2959</v>
      </c>
      <c r="B2845" s="36">
        <v>45739.59513888889</v>
      </c>
      <c r="D2845" s="22" t="s">
        <v>42</v>
      </c>
      <c r="E2845" s="22" t="s">
        <v>57</v>
      </c>
      <c r="F2845" s="22" t="s">
        <v>43</v>
      </c>
      <c r="G2845" s="22" t="s">
        <v>110</v>
      </c>
      <c r="H2845" s="22" t="s">
        <v>71</v>
      </c>
      <c r="I2845" s="22" t="s">
        <v>108</v>
      </c>
      <c r="J2845" s="23">
        <v>4</v>
      </c>
      <c r="K2845" s="37">
        <v>0</v>
      </c>
      <c r="M2845" s="22" t="str">
        <f>IF(OR(ISBLANK(C2845),C2845=""),"",ROUND((C2845-B2845)*24,2))</f>
        <v/>
      </c>
      <c r="N2845" s="22" t="str">
        <f>IF(OR(ISBLANK(C2845),C2845="",M2845=""),"In Progress",IF(M2845&lt;=J2845,"Met","Breached"))</f>
        <v>In Progress</v>
      </c>
    </row>
    <row r="2846" ht="19" customHeight="1" spans="1:14" x14ac:dyDescent="0.25">
      <c r="A2846" s="19" t="s">
        <v>2960</v>
      </c>
      <c r="B2846" s="33">
        <v>46105.097916666666</v>
      </c>
      <c r="C2846" s="33">
        <v>46107.475694444445</v>
      </c>
      <c r="D2846" s="19" t="s">
        <v>33</v>
      </c>
      <c r="E2846" s="19" t="s">
        <v>69</v>
      </c>
      <c r="F2846" s="19" t="s">
        <v>43</v>
      </c>
      <c r="G2846" s="19" t="s">
        <v>116</v>
      </c>
      <c r="H2846" s="19" t="s">
        <v>59</v>
      </c>
      <c r="I2846" s="19" t="s">
        <v>117</v>
      </c>
      <c r="J2846" s="20">
        <v>120</v>
      </c>
      <c r="K2846" s="34">
        <v>0</v>
      </c>
      <c r="M2846" s="19">
        <f>IF(OR(ISBLANK(C2846),C2846=""),"",ROUND((C2846-B2846)*24,2))</f>
        <v>57.07</v>
      </c>
      <c r="N2846" s="35" t="str">
        <f>IF(OR(ISBLANK(C2846),C2846="",M2846=""),"In Progress",IF(M2846&lt;=J2846,"Met","Breached"))</f>
        <v>Met</v>
      </c>
    </row>
    <row r="2847" ht="19" customHeight="1" spans="1:14" x14ac:dyDescent="0.25">
      <c r="A2847" s="22" t="s">
        <v>2961</v>
      </c>
      <c r="B2847" s="36">
        <v>46276.08125</v>
      </c>
      <c r="C2847" s="36">
        <v>46277.51875</v>
      </c>
      <c r="D2847" s="22" t="s">
        <v>33</v>
      </c>
      <c r="E2847" s="22" t="s">
        <v>65</v>
      </c>
      <c r="F2847" s="22" t="s">
        <v>37</v>
      </c>
      <c r="G2847" s="22" t="s">
        <v>126</v>
      </c>
      <c r="H2847" s="22" t="s">
        <v>63</v>
      </c>
      <c r="I2847" s="22" t="s">
        <v>123</v>
      </c>
      <c r="J2847" s="23">
        <v>48</v>
      </c>
      <c r="K2847" s="37">
        <v>0</v>
      </c>
      <c r="L2847" s="37">
        <v>2</v>
      </c>
      <c r="M2847" s="22">
        <f>IF(OR(ISBLANK(C2847),C2847=""),"",ROUND((C2847-B2847)*24,2))</f>
        <v>34.5</v>
      </c>
      <c r="N2847" s="40" t="str">
        <f>IF(OR(ISBLANK(C2847),C2847="",M2847=""),"In Progress",IF(M2847&lt;=J2847,"Met","Breached"))</f>
        <v>Met</v>
      </c>
    </row>
    <row r="2848" ht="19" customHeight="1" spans="1:14" x14ac:dyDescent="0.25">
      <c r="A2848" s="19" t="s">
        <v>2962</v>
      </c>
      <c r="B2848" s="33">
        <v>46148.42847222222</v>
      </c>
      <c r="C2848" s="33">
        <v>46149.148611111115</v>
      </c>
      <c r="D2848" s="19" t="s">
        <v>33</v>
      </c>
      <c r="E2848" s="19" t="s">
        <v>65</v>
      </c>
      <c r="F2848" s="19" t="s">
        <v>43</v>
      </c>
      <c r="G2848" s="19" t="s">
        <v>63</v>
      </c>
      <c r="H2848" s="19" t="s">
        <v>63</v>
      </c>
      <c r="I2848" s="19" t="s">
        <v>147</v>
      </c>
      <c r="J2848" s="20">
        <v>48</v>
      </c>
      <c r="K2848" s="34">
        <v>0</v>
      </c>
      <c r="L2848" s="34">
        <v>1</v>
      </c>
      <c r="M2848" s="19">
        <f>IF(OR(ISBLANK(C2848),C2848=""),"",ROUND((C2848-B2848)*24,2))</f>
        <v>17.28</v>
      </c>
      <c r="N2848" s="35" t="str">
        <f>IF(OR(ISBLANK(C2848),C2848="",M2848=""),"In Progress",IF(M2848&lt;=J2848,"Met","Breached"))</f>
        <v>Met</v>
      </c>
    </row>
    <row r="2849" ht="19" customHeight="1" spans="1:14" x14ac:dyDescent="0.25">
      <c r="A2849" s="22" t="s">
        <v>2963</v>
      </c>
      <c r="B2849" s="36">
        <v>46138.058333333334</v>
      </c>
      <c r="D2849" s="22" t="s">
        <v>39</v>
      </c>
      <c r="E2849" s="22" t="s">
        <v>65</v>
      </c>
      <c r="F2849" s="22" t="s">
        <v>34</v>
      </c>
      <c r="G2849" s="22" t="s">
        <v>113</v>
      </c>
      <c r="H2849" s="22" t="s">
        <v>59</v>
      </c>
      <c r="I2849" s="22" t="s">
        <v>114</v>
      </c>
      <c r="J2849" s="23">
        <v>48</v>
      </c>
      <c r="K2849" s="37">
        <v>0</v>
      </c>
      <c r="M2849" s="22" t="str">
        <f>IF(OR(ISBLANK(C2849),C2849=""),"",ROUND((C2849-B2849)*24,2))</f>
        <v/>
      </c>
      <c r="N2849" s="22" t="str">
        <f>IF(OR(ISBLANK(C2849),C2849="",M2849=""),"In Progress",IF(M2849&lt;=J2849,"Met","Breached"))</f>
        <v>In Progress</v>
      </c>
    </row>
    <row r="2850" ht="19" customHeight="1" spans="1:14" x14ac:dyDescent="0.25">
      <c r="A2850" s="19" t="s">
        <v>2964</v>
      </c>
      <c r="B2850" s="33">
        <v>45778.040972222225</v>
      </c>
      <c r="D2850" s="19" t="s">
        <v>39</v>
      </c>
      <c r="E2850" s="19" t="s">
        <v>61</v>
      </c>
      <c r="F2850" s="19" t="s">
        <v>34</v>
      </c>
      <c r="G2850" s="19" t="s">
        <v>63</v>
      </c>
      <c r="H2850" s="19" t="s">
        <v>63</v>
      </c>
      <c r="I2850" s="19" t="s">
        <v>111</v>
      </c>
      <c r="J2850" s="20">
        <v>12</v>
      </c>
      <c r="K2850" s="34">
        <v>0</v>
      </c>
      <c r="M2850" s="19" t="str">
        <f>IF(OR(ISBLANK(C2850),C2850=""),"",ROUND((C2850-B2850)*24,2))</f>
        <v/>
      </c>
      <c r="N2850" s="19" t="str">
        <f>IF(OR(ISBLANK(C2850),C2850="",M2850=""),"In Progress",IF(M2850&lt;=J2850,"Met","Breached"))</f>
        <v>In Progress</v>
      </c>
    </row>
    <row r="2851" ht="19" customHeight="1" spans="1:14" x14ac:dyDescent="0.25">
      <c r="A2851" s="22" t="s">
        <v>2965</v>
      </c>
      <c r="B2851" s="36">
        <v>46122.24375</v>
      </c>
      <c r="D2851" s="22" t="s">
        <v>42</v>
      </c>
      <c r="E2851" s="22" t="s">
        <v>69</v>
      </c>
      <c r="F2851" s="22" t="s">
        <v>43</v>
      </c>
      <c r="G2851" s="22" t="s">
        <v>116</v>
      </c>
      <c r="H2851" s="22" t="s">
        <v>63</v>
      </c>
      <c r="I2851" s="22" t="s">
        <v>117</v>
      </c>
      <c r="J2851" s="23">
        <v>120</v>
      </c>
      <c r="K2851" s="37">
        <v>0</v>
      </c>
      <c r="M2851" s="22" t="str">
        <f>IF(OR(ISBLANK(C2851),C2851=""),"",ROUND((C2851-B2851)*24,2))</f>
        <v/>
      </c>
      <c r="N2851" s="22" t="str">
        <f>IF(OR(ISBLANK(C2851),C2851="",M2851=""),"In Progress",IF(M2851&lt;=J2851,"Met","Breached"))</f>
        <v>In Progress</v>
      </c>
    </row>
    <row r="2852" ht="19" customHeight="1" spans="1:14" x14ac:dyDescent="0.25">
      <c r="A2852" s="19" t="s">
        <v>2966</v>
      </c>
      <c r="B2852" s="33">
        <v>46042.10763888889</v>
      </c>
      <c r="C2852" s="33">
        <v>46046.73958333333</v>
      </c>
      <c r="D2852" s="19" t="s">
        <v>33</v>
      </c>
      <c r="E2852" s="19" t="s">
        <v>69</v>
      </c>
      <c r="F2852" s="19" t="s">
        <v>43</v>
      </c>
      <c r="G2852" s="19" t="s">
        <v>121</v>
      </c>
      <c r="H2852" s="19" t="s">
        <v>59</v>
      </c>
      <c r="I2852" s="19" t="s">
        <v>114</v>
      </c>
      <c r="J2852" s="20">
        <v>120</v>
      </c>
      <c r="K2852" s="34">
        <v>0</v>
      </c>
      <c r="L2852" s="34">
        <v>4</v>
      </c>
      <c r="M2852" s="19">
        <f>IF(OR(ISBLANK(C2852),C2852=""),"",ROUND((C2852-B2852)*24,2))</f>
        <v>111.17</v>
      </c>
      <c r="N2852" s="35" t="str">
        <f>IF(OR(ISBLANK(C2852),C2852="",M2852=""),"In Progress",IF(M2852&lt;=J2852,"Met","Breached"))</f>
        <v>Met</v>
      </c>
    </row>
    <row r="2853" ht="19" customHeight="1" spans="1:14" x14ac:dyDescent="0.25">
      <c r="A2853" s="22" t="s">
        <v>2967</v>
      </c>
      <c r="B2853" s="36">
        <v>46108.35625</v>
      </c>
      <c r="C2853" s="36">
        <v>46109.69583333333</v>
      </c>
      <c r="D2853" s="22" t="s">
        <v>33</v>
      </c>
      <c r="E2853" s="22" t="s">
        <v>65</v>
      </c>
      <c r="F2853" s="22" t="s">
        <v>40</v>
      </c>
      <c r="G2853" s="22" t="s">
        <v>63</v>
      </c>
      <c r="H2853" s="22" t="s">
        <v>71</v>
      </c>
      <c r="I2853" s="22" t="s">
        <v>111</v>
      </c>
      <c r="J2853" s="23">
        <v>48</v>
      </c>
      <c r="K2853" s="37">
        <v>0</v>
      </c>
      <c r="L2853" s="37">
        <v>5</v>
      </c>
      <c r="M2853" s="22">
        <f>IF(OR(ISBLANK(C2853),C2853=""),"",ROUND((C2853-B2853)*24,2))</f>
        <v>32.15</v>
      </c>
      <c r="N2853" s="40" t="str">
        <f>IF(OR(ISBLANK(C2853),C2853="",M2853=""),"In Progress",IF(M2853&lt;=J2853,"Met","Breached"))</f>
        <v>Met</v>
      </c>
    </row>
    <row r="2854" ht="19" customHeight="1" spans="1:14" x14ac:dyDescent="0.25">
      <c r="A2854" s="19" t="s">
        <v>2968</v>
      </c>
      <c r="B2854" s="33">
        <v>46056.10763888889</v>
      </c>
      <c r="C2854" s="33">
        <v>46056.80208333333</v>
      </c>
      <c r="D2854" s="19" t="s">
        <v>33</v>
      </c>
      <c r="E2854" s="19" t="s">
        <v>61</v>
      </c>
      <c r="F2854" s="19" t="s">
        <v>34</v>
      </c>
      <c r="G2854" s="19" t="s">
        <v>63</v>
      </c>
      <c r="H2854" s="19" t="s">
        <v>63</v>
      </c>
      <c r="I2854" s="19" t="s">
        <v>114</v>
      </c>
      <c r="J2854" s="20">
        <v>12</v>
      </c>
      <c r="K2854" s="34">
        <v>0</v>
      </c>
      <c r="M2854" s="19">
        <f>IF(OR(ISBLANK(C2854),C2854=""),"",ROUND((C2854-B2854)*24,2))</f>
        <v>16.67</v>
      </c>
      <c r="N2854" s="39" t="str">
        <f>IF(OR(ISBLANK(C2854),C2854="",M2854=""),"In Progress",IF(M2854&lt;=J2854,"Met","Breached"))</f>
        <v>Breached</v>
      </c>
    </row>
    <row r="2855" ht="19" customHeight="1" spans="1:14" x14ac:dyDescent="0.25">
      <c r="A2855" s="22" t="s">
        <v>2969</v>
      </c>
      <c r="B2855" s="36">
        <v>45814.43194444444</v>
      </c>
      <c r="C2855" s="36">
        <v>45816.53472222222</v>
      </c>
      <c r="D2855" s="22" t="s">
        <v>36</v>
      </c>
      <c r="E2855" s="22" t="s">
        <v>65</v>
      </c>
      <c r="F2855" s="22" t="s">
        <v>43</v>
      </c>
      <c r="G2855" s="22" t="s">
        <v>113</v>
      </c>
      <c r="H2855" s="22" t="s">
        <v>67</v>
      </c>
      <c r="I2855" s="22" t="s">
        <v>114</v>
      </c>
      <c r="J2855" s="23">
        <v>48</v>
      </c>
      <c r="K2855" s="37">
        <v>0</v>
      </c>
      <c r="M2855" s="22">
        <f>IF(OR(ISBLANK(C2855),C2855=""),"",ROUND((C2855-B2855)*24,2))</f>
        <v>50.47</v>
      </c>
      <c r="N2855" s="38" t="str">
        <f>IF(OR(ISBLANK(C2855),C2855="",M2855=""),"In Progress",IF(M2855&lt;=J2855,"Met","Breached"))</f>
        <v>Breached</v>
      </c>
    </row>
    <row r="2856" ht="19" customHeight="1" spans="1:14" x14ac:dyDescent="0.25">
      <c r="A2856" s="19" t="s">
        <v>2970</v>
      </c>
      <c r="B2856" s="33">
        <v>45694.61875</v>
      </c>
      <c r="C2856" s="33">
        <v>45695.65069444444</v>
      </c>
      <c r="D2856" s="19" t="s">
        <v>33</v>
      </c>
      <c r="E2856" s="19" t="s">
        <v>65</v>
      </c>
      <c r="F2856" s="19" t="s">
        <v>43</v>
      </c>
      <c r="G2856" s="19" t="s">
        <v>121</v>
      </c>
      <c r="H2856" s="19" t="s">
        <v>67</v>
      </c>
      <c r="I2856" s="19" t="s">
        <v>108</v>
      </c>
      <c r="J2856" s="20">
        <v>48</v>
      </c>
      <c r="K2856" s="34">
        <v>0</v>
      </c>
      <c r="L2856" s="34">
        <v>4</v>
      </c>
      <c r="M2856" s="19">
        <f>IF(OR(ISBLANK(C2856),C2856=""),"",ROUND((C2856-B2856)*24,2))</f>
        <v>24.77</v>
      </c>
      <c r="N2856" s="35" t="str">
        <f>IF(OR(ISBLANK(C2856),C2856="",M2856=""),"In Progress",IF(M2856&lt;=J2856,"Met","Breached"))</f>
        <v>Met</v>
      </c>
    </row>
    <row r="2857" ht="19" customHeight="1" spans="1:14" x14ac:dyDescent="0.25">
      <c r="A2857" s="22" t="s">
        <v>2971</v>
      </c>
      <c r="B2857" s="36">
        <v>46287.09375</v>
      </c>
      <c r="C2857" s="36">
        <v>46289.49513888889</v>
      </c>
      <c r="D2857" s="22" t="s">
        <v>33</v>
      </c>
      <c r="E2857" s="22" t="s">
        <v>69</v>
      </c>
      <c r="F2857" s="22" t="s">
        <v>37</v>
      </c>
      <c r="G2857" s="22" t="s">
        <v>110</v>
      </c>
      <c r="H2857" s="22" t="s">
        <v>63</v>
      </c>
      <c r="I2857" s="22" t="s">
        <v>147</v>
      </c>
      <c r="J2857" s="23">
        <v>120</v>
      </c>
      <c r="K2857" s="37">
        <v>0</v>
      </c>
      <c r="M2857" s="22">
        <f>IF(OR(ISBLANK(C2857),C2857=""),"",ROUND((C2857-B2857)*24,2))</f>
        <v>57.63</v>
      </c>
      <c r="N2857" s="40" t="str">
        <f>IF(OR(ISBLANK(C2857),C2857="",M2857=""),"In Progress",IF(M2857&lt;=J2857,"Met","Breached"))</f>
        <v>Met</v>
      </c>
    </row>
    <row r="2858" ht="19" customHeight="1" spans="1:14" x14ac:dyDescent="0.25">
      <c r="A2858" s="19" t="s">
        <v>2972</v>
      </c>
      <c r="B2858" s="33">
        <v>46163.98611111111</v>
      </c>
      <c r="C2858" s="33">
        <v>46164.243055555555</v>
      </c>
      <c r="D2858" s="19" t="s">
        <v>33</v>
      </c>
      <c r="E2858" s="19" t="s">
        <v>57</v>
      </c>
      <c r="F2858" s="19" t="s">
        <v>34</v>
      </c>
      <c r="G2858" s="19" t="s">
        <v>126</v>
      </c>
      <c r="H2858" s="19" t="s">
        <v>63</v>
      </c>
      <c r="I2858" s="19" t="s">
        <v>108</v>
      </c>
      <c r="J2858" s="20">
        <v>4</v>
      </c>
      <c r="K2858" s="34">
        <v>0</v>
      </c>
      <c r="L2858" s="34">
        <v>5</v>
      </c>
      <c r="M2858" s="19">
        <f>IF(OR(ISBLANK(C2858),C2858=""),"",ROUND((C2858-B2858)*24,2))</f>
        <v>6.17</v>
      </c>
      <c r="N2858" s="39" t="str">
        <f>IF(OR(ISBLANK(C2858),C2858="",M2858=""),"In Progress",IF(M2858&lt;=J2858,"Met","Breached"))</f>
        <v>Breached</v>
      </c>
    </row>
    <row r="2859" ht="19" customHeight="1" spans="1:14" x14ac:dyDescent="0.25">
      <c r="A2859" s="22" t="s">
        <v>2973</v>
      </c>
      <c r="B2859" s="36">
        <v>46253.018055555556</v>
      </c>
      <c r="C2859" s="36">
        <v>46253.40555555555</v>
      </c>
      <c r="D2859" s="22" t="s">
        <v>36</v>
      </c>
      <c r="E2859" s="22" t="s">
        <v>61</v>
      </c>
      <c r="F2859" s="22" t="s">
        <v>43</v>
      </c>
      <c r="G2859" s="22" t="s">
        <v>126</v>
      </c>
      <c r="H2859" s="22" t="s">
        <v>63</v>
      </c>
      <c r="I2859" s="22" t="s">
        <v>123</v>
      </c>
      <c r="J2859" s="23">
        <v>12</v>
      </c>
      <c r="K2859" s="37">
        <v>0</v>
      </c>
      <c r="L2859" s="37">
        <v>3</v>
      </c>
      <c r="M2859" s="22">
        <f>IF(OR(ISBLANK(C2859),C2859=""),"",ROUND((C2859-B2859)*24,2))</f>
        <v>9.3</v>
      </c>
      <c r="N2859" s="40" t="str">
        <f>IF(OR(ISBLANK(C2859),C2859="",M2859=""),"In Progress",IF(M2859&lt;=J2859,"Met","Breached"))</f>
        <v>Met</v>
      </c>
    </row>
    <row r="2860" ht="19" customHeight="1" spans="1:14" x14ac:dyDescent="0.25">
      <c r="A2860" s="19" t="s">
        <v>2974</v>
      </c>
      <c r="B2860" s="33">
        <v>45890.02222222222</v>
      </c>
      <c r="C2860" s="33">
        <v>45892.79791666666</v>
      </c>
      <c r="D2860" s="19" t="s">
        <v>36</v>
      </c>
      <c r="E2860" s="19" t="s">
        <v>65</v>
      </c>
      <c r="F2860" s="19" t="s">
        <v>37</v>
      </c>
      <c r="G2860" s="19" t="s">
        <v>110</v>
      </c>
      <c r="H2860" s="19" t="s">
        <v>59</v>
      </c>
      <c r="I2860" s="19" t="s">
        <v>123</v>
      </c>
      <c r="J2860" s="20">
        <v>48</v>
      </c>
      <c r="K2860" s="34">
        <v>0</v>
      </c>
      <c r="L2860" s="34">
        <v>4</v>
      </c>
      <c r="M2860" s="19">
        <f>IF(OR(ISBLANK(C2860),C2860=""),"",ROUND((C2860-B2860)*24,2))</f>
        <v>66.62</v>
      </c>
      <c r="N2860" s="39" t="str">
        <f>IF(OR(ISBLANK(C2860),C2860="",M2860=""),"In Progress",IF(M2860&lt;=J2860,"Met","Breached"))</f>
        <v>Breached</v>
      </c>
    </row>
    <row r="2861" ht="19" customHeight="1" spans="1:14" x14ac:dyDescent="0.25">
      <c r="A2861" s="22" t="s">
        <v>2975</v>
      </c>
      <c r="B2861" s="36">
        <v>46162.55972222222</v>
      </c>
      <c r="C2861" s="36">
        <v>46163.29375</v>
      </c>
      <c r="D2861" s="22" t="s">
        <v>33</v>
      </c>
      <c r="E2861" s="22" t="s">
        <v>65</v>
      </c>
      <c r="F2861" s="22" t="s">
        <v>34</v>
      </c>
      <c r="G2861" s="22" t="s">
        <v>126</v>
      </c>
      <c r="H2861" s="22" t="s">
        <v>59</v>
      </c>
      <c r="I2861" s="22" t="s">
        <v>114</v>
      </c>
      <c r="J2861" s="23">
        <v>48</v>
      </c>
      <c r="K2861" s="37">
        <v>0</v>
      </c>
      <c r="L2861" s="37">
        <v>3</v>
      </c>
      <c r="M2861" s="22">
        <f>IF(OR(ISBLANK(C2861),C2861=""),"",ROUND((C2861-B2861)*24,2))</f>
        <v>17.62</v>
      </c>
      <c r="N2861" s="40" t="str">
        <f>IF(OR(ISBLANK(C2861),C2861="",M2861=""),"In Progress",IF(M2861&lt;=J2861,"Met","Breached"))</f>
        <v>Met</v>
      </c>
    </row>
    <row r="2862" ht="19" customHeight="1" spans="1:14" x14ac:dyDescent="0.25">
      <c r="A2862" s="19" t="s">
        <v>2976</v>
      </c>
      <c r="B2862" s="33">
        <v>45973.205555555556</v>
      </c>
      <c r="C2862" s="33">
        <v>45973.27847222222</v>
      </c>
      <c r="D2862" s="19" t="s">
        <v>33</v>
      </c>
      <c r="E2862" s="19" t="s">
        <v>57</v>
      </c>
      <c r="F2862" s="19" t="s">
        <v>43</v>
      </c>
      <c r="G2862" s="19" t="s">
        <v>121</v>
      </c>
      <c r="H2862" s="19" t="s">
        <v>59</v>
      </c>
      <c r="I2862" s="19" t="s">
        <v>117</v>
      </c>
      <c r="J2862" s="20">
        <v>4</v>
      </c>
      <c r="K2862" s="34">
        <v>0</v>
      </c>
      <c r="L2862" s="34">
        <v>2</v>
      </c>
      <c r="M2862" s="19">
        <f>IF(OR(ISBLANK(C2862),C2862=""),"",ROUND((C2862-B2862)*24,2))</f>
        <v>1.75</v>
      </c>
      <c r="N2862" s="35" t="str">
        <f>IF(OR(ISBLANK(C2862),C2862="",M2862=""),"In Progress",IF(M2862&lt;=J2862,"Met","Breached"))</f>
        <v>Met</v>
      </c>
    </row>
    <row r="2863" ht="19" customHeight="1" spans="1:14" x14ac:dyDescent="0.25">
      <c r="A2863" s="22" t="s">
        <v>2977</v>
      </c>
      <c r="B2863" s="36">
        <v>45799.05902777778</v>
      </c>
      <c r="C2863" s="36">
        <v>45799.38125</v>
      </c>
      <c r="D2863" s="22" t="s">
        <v>36</v>
      </c>
      <c r="E2863" s="22" t="s">
        <v>61</v>
      </c>
      <c r="F2863" s="22" t="s">
        <v>45</v>
      </c>
      <c r="G2863" s="22" t="s">
        <v>110</v>
      </c>
      <c r="H2863" s="22" t="s">
        <v>63</v>
      </c>
      <c r="I2863" s="22" t="s">
        <v>111</v>
      </c>
      <c r="J2863" s="23">
        <v>12</v>
      </c>
      <c r="K2863" s="37">
        <v>0</v>
      </c>
      <c r="L2863" s="37">
        <v>3</v>
      </c>
      <c r="M2863" s="22">
        <f>IF(OR(ISBLANK(C2863),C2863=""),"",ROUND((C2863-B2863)*24,2))</f>
        <v>7.73</v>
      </c>
      <c r="N2863" s="40" t="str">
        <f>IF(OR(ISBLANK(C2863),C2863="",M2863=""),"In Progress",IF(M2863&lt;=J2863,"Met","Breached"))</f>
        <v>Met</v>
      </c>
    </row>
    <row r="2864" ht="19" customHeight="1" spans="1:14" x14ac:dyDescent="0.25">
      <c r="A2864" s="19" t="s">
        <v>2978</v>
      </c>
      <c r="B2864" s="33">
        <v>45979.33541666667</v>
      </c>
      <c r="C2864" s="33">
        <v>45979.63680555555</v>
      </c>
      <c r="D2864" s="19" t="s">
        <v>33</v>
      </c>
      <c r="E2864" s="19" t="s">
        <v>61</v>
      </c>
      <c r="F2864" s="19" t="s">
        <v>45</v>
      </c>
      <c r="G2864" s="19" t="s">
        <v>113</v>
      </c>
      <c r="H2864" s="19" t="s">
        <v>59</v>
      </c>
      <c r="I2864" s="19" t="s">
        <v>117</v>
      </c>
      <c r="J2864" s="20">
        <v>12</v>
      </c>
      <c r="K2864" s="34">
        <v>0</v>
      </c>
      <c r="L2864" s="34">
        <v>1</v>
      </c>
      <c r="M2864" s="19">
        <f>IF(OR(ISBLANK(C2864),C2864=""),"",ROUND((C2864-B2864)*24,2))</f>
        <v>7.23</v>
      </c>
      <c r="N2864" s="35" t="str">
        <f>IF(OR(ISBLANK(C2864),C2864="",M2864=""),"In Progress",IF(M2864&lt;=J2864,"Met","Breached"))</f>
        <v>Met</v>
      </c>
    </row>
    <row r="2865" ht="19" customHeight="1" spans="1:14" x14ac:dyDescent="0.25">
      <c r="A2865" s="22" t="s">
        <v>2979</v>
      </c>
      <c r="B2865" s="36">
        <v>46119.07916666666</v>
      </c>
      <c r="C2865" s="36">
        <v>46121.320138888885</v>
      </c>
      <c r="D2865" s="22" t="s">
        <v>36</v>
      </c>
      <c r="E2865" s="22" t="s">
        <v>65</v>
      </c>
      <c r="F2865" s="22" t="s">
        <v>45</v>
      </c>
      <c r="G2865" s="22" t="s">
        <v>113</v>
      </c>
      <c r="H2865" s="22" t="s">
        <v>59</v>
      </c>
      <c r="I2865" s="22" t="s">
        <v>147</v>
      </c>
      <c r="J2865" s="23">
        <v>48</v>
      </c>
      <c r="K2865" s="37">
        <v>0</v>
      </c>
      <c r="M2865" s="22">
        <f>IF(OR(ISBLANK(C2865),C2865=""),"",ROUND((C2865-B2865)*24,2))</f>
        <v>53.78</v>
      </c>
      <c r="N2865" s="38" t="str">
        <f>IF(OR(ISBLANK(C2865),C2865="",M2865=""),"In Progress",IF(M2865&lt;=J2865,"Met","Breached"))</f>
        <v>Breached</v>
      </c>
    </row>
    <row r="2866" ht="19" customHeight="1" spans="1:14" x14ac:dyDescent="0.25">
      <c r="A2866" s="19" t="s">
        <v>2980</v>
      </c>
      <c r="B2866" s="33">
        <v>46219.1875</v>
      </c>
      <c r="C2866" s="33">
        <v>46219.929861111115</v>
      </c>
      <c r="D2866" s="19" t="s">
        <v>36</v>
      </c>
      <c r="E2866" s="19" t="s">
        <v>65</v>
      </c>
      <c r="F2866" s="19" t="s">
        <v>34</v>
      </c>
      <c r="G2866" s="19" t="s">
        <v>121</v>
      </c>
      <c r="H2866" s="19" t="s">
        <v>63</v>
      </c>
      <c r="I2866" s="19" t="s">
        <v>114</v>
      </c>
      <c r="J2866" s="20">
        <v>48</v>
      </c>
      <c r="K2866" s="34">
        <v>1</v>
      </c>
      <c r="M2866" s="19">
        <f>IF(OR(ISBLANK(C2866),C2866=""),"",ROUND((C2866-B2866)*24,2))</f>
        <v>17.82</v>
      </c>
      <c r="N2866" s="35" t="str">
        <f>IF(OR(ISBLANK(C2866),C2866="",M2866=""),"In Progress",IF(M2866&lt;=J2866,"Met","Breached"))</f>
        <v>Met</v>
      </c>
    </row>
    <row r="2867" ht="19" customHeight="1" spans="1:14" x14ac:dyDescent="0.25">
      <c r="A2867" s="22" t="s">
        <v>2981</v>
      </c>
      <c r="B2867" s="36">
        <v>46134.06319444445</v>
      </c>
      <c r="C2867" s="36">
        <v>46135.34722222222</v>
      </c>
      <c r="D2867" s="22" t="s">
        <v>33</v>
      </c>
      <c r="E2867" s="22" t="s">
        <v>65</v>
      </c>
      <c r="F2867" s="22" t="s">
        <v>45</v>
      </c>
      <c r="G2867" s="22" t="s">
        <v>110</v>
      </c>
      <c r="H2867" s="22" t="s">
        <v>63</v>
      </c>
      <c r="I2867" s="22" t="s">
        <v>123</v>
      </c>
      <c r="J2867" s="23">
        <v>48</v>
      </c>
      <c r="K2867" s="37">
        <v>0</v>
      </c>
      <c r="M2867" s="22">
        <f>IF(OR(ISBLANK(C2867),C2867=""),"",ROUND((C2867-B2867)*24,2))</f>
        <v>30.82</v>
      </c>
      <c r="N2867" s="40" t="str">
        <f>IF(OR(ISBLANK(C2867),C2867="",M2867=""),"In Progress",IF(M2867&lt;=J2867,"Met","Breached"))</f>
        <v>Met</v>
      </c>
    </row>
    <row r="2868" ht="19" customHeight="1" spans="1:14" x14ac:dyDescent="0.25">
      <c r="A2868" s="19" t="s">
        <v>2982</v>
      </c>
      <c r="B2868" s="33">
        <v>46221.424305555556</v>
      </c>
      <c r="C2868" s="33">
        <v>46221.81805555556</v>
      </c>
      <c r="D2868" s="19" t="s">
        <v>33</v>
      </c>
      <c r="E2868" s="19" t="s">
        <v>61</v>
      </c>
      <c r="F2868" s="19" t="s">
        <v>34</v>
      </c>
      <c r="G2868" s="19" t="s">
        <v>116</v>
      </c>
      <c r="H2868" s="19" t="s">
        <v>59</v>
      </c>
      <c r="I2868" s="19" t="s">
        <v>117</v>
      </c>
      <c r="J2868" s="20">
        <v>12</v>
      </c>
      <c r="K2868" s="34">
        <v>0</v>
      </c>
      <c r="M2868" s="19">
        <f>IF(OR(ISBLANK(C2868),C2868=""),"",ROUND((C2868-B2868)*24,2))</f>
        <v>9.45</v>
      </c>
      <c r="N2868" s="35" t="str">
        <f>IF(OR(ISBLANK(C2868),C2868="",M2868=""),"In Progress",IF(M2868&lt;=J2868,"Met","Breached"))</f>
        <v>Met</v>
      </c>
    </row>
    <row r="2869" ht="19" customHeight="1" spans="1:14" x14ac:dyDescent="0.25">
      <c r="A2869" s="22" t="s">
        <v>2983</v>
      </c>
      <c r="B2869" s="36">
        <v>46085.88680555555</v>
      </c>
      <c r="D2869" s="22" t="s">
        <v>42</v>
      </c>
      <c r="E2869" s="22" t="s">
        <v>69</v>
      </c>
      <c r="F2869" s="22" t="s">
        <v>45</v>
      </c>
      <c r="G2869" s="22" t="s">
        <v>110</v>
      </c>
      <c r="H2869" s="22" t="s">
        <v>59</v>
      </c>
      <c r="I2869" s="22" t="s">
        <v>117</v>
      </c>
      <c r="J2869" s="23">
        <v>120</v>
      </c>
      <c r="K2869" s="37">
        <v>0</v>
      </c>
      <c r="M2869" s="22" t="str">
        <f>IF(OR(ISBLANK(C2869),C2869=""),"",ROUND((C2869-B2869)*24,2))</f>
        <v/>
      </c>
      <c r="N2869" s="22" t="str">
        <f>IF(OR(ISBLANK(C2869),C2869="",M2869=""),"In Progress",IF(M2869&lt;=J2869,"Met","Breached"))</f>
        <v>In Progress</v>
      </c>
    </row>
    <row r="2870" ht="19" customHeight="1" spans="1:14" x14ac:dyDescent="0.25">
      <c r="A2870" s="19" t="s">
        <v>2984</v>
      </c>
      <c r="B2870" s="33">
        <v>46130.98611111111</v>
      </c>
      <c r="D2870" s="19" t="s">
        <v>39</v>
      </c>
      <c r="E2870" s="19" t="s">
        <v>65</v>
      </c>
      <c r="F2870" s="19" t="s">
        <v>40</v>
      </c>
      <c r="G2870" s="19" t="s">
        <v>121</v>
      </c>
      <c r="H2870" s="19" t="s">
        <v>71</v>
      </c>
      <c r="I2870" s="19" t="s">
        <v>111</v>
      </c>
      <c r="J2870" s="20">
        <v>48</v>
      </c>
      <c r="K2870" s="34">
        <v>0</v>
      </c>
      <c r="M2870" s="19" t="str">
        <f>IF(OR(ISBLANK(C2870),C2870=""),"",ROUND((C2870-B2870)*24,2))</f>
        <v/>
      </c>
      <c r="N2870" s="19" t="str">
        <f>IF(OR(ISBLANK(C2870),C2870="",M2870=""),"In Progress",IF(M2870&lt;=J2870,"Met","Breached"))</f>
        <v>In Progress</v>
      </c>
    </row>
    <row r="2871" ht="19" customHeight="1" spans="1:14" x14ac:dyDescent="0.25">
      <c r="A2871" s="22" t="s">
        <v>2985</v>
      </c>
      <c r="B2871" s="36">
        <v>46243.43541666667</v>
      </c>
      <c r="C2871" s="36">
        <v>46244.64236111111</v>
      </c>
      <c r="D2871" s="22" t="s">
        <v>33</v>
      </c>
      <c r="E2871" s="22" t="s">
        <v>65</v>
      </c>
      <c r="F2871" s="22" t="s">
        <v>37</v>
      </c>
      <c r="G2871" s="22" t="s">
        <v>113</v>
      </c>
      <c r="H2871" s="22" t="s">
        <v>71</v>
      </c>
      <c r="I2871" s="22" t="s">
        <v>114</v>
      </c>
      <c r="J2871" s="23">
        <v>48</v>
      </c>
      <c r="K2871" s="37">
        <v>0</v>
      </c>
      <c r="M2871" s="22">
        <f>IF(OR(ISBLANK(C2871),C2871=""),"",ROUND((C2871-B2871)*24,2))</f>
        <v>28.97</v>
      </c>
      <c r="N2871" s="40" t="str">
        <f>IF(OR(ISBLANK(C2871),C2871="",M2871=""),"In Progress",IF(M2871&lt;=J2871,"Met","Breached"))</f>
        <v>Met</v>
      </c>
    </row>
    <row r="2872" ht="19" customHeight="1" spans="1:14" x14ac:dyDescent="0.25">
      <c r="A2872" s="19" t="s">
        <v>2986</v>
      </c>
      <c r="B2872" s="33">
        <v>46193.308333333334</v>
      </c>
      <c r="C2872" s="33">
        <v>46195.04583333334</v>
      </c>
      <c r="D2872" s="19" t="s">
        <v>36</v>
      </c>
      <c r="E2872" s="19" t="s">
        <v>65</v>
      </c>
      <c r="F2872" s="19" t="s">
        <v>43</v>
      </c>
      <c r="G2872" s="19" t="s">
        <v>63</v>
      </c>
      <c r="H2872" s="19" t="s">
        <v>67</v>
      </c>
      <c r="I2872" s="19" t="s">
        <v>147</v>
      </c>
      <c r="J2872" s="20">
        <v>48</v>
      </c>
      <c r="K2872" s="34">
        <v>0</v>
      </c>
      <c r="L2872" s="34">
        <v>3</v>
      </c>
      <c r="M2872" s="19">
        <f>IF(OR(ISBLANK(C2872),C2872=""),"",ROUND((C2872-B2872)*24,2))</f>
        <v>41.7</v>
      </c>
      <c r="N2872" s="35" t="str">
        <f>IF(OR(ISBLANK(C2872),C2872="",M2872=""),"In Progress",IF(M2872&lt;=J2872,"Met","Breached"))</f>
        <v>Met</v>
      </c>
    </row>
    <row r="2873" ht="19" customHeight="1" spans="1:14" x14ac:dyDescent="0.25">
      <c r="A2873" s="22" t="s">
        <v>2987</v>
      </c>
      <c r="B2873" s="36">
        <v>45861.50486111111</v>
      </c>
      <c r="C2873" s="36">
        <v>45861.56180555555</v>
      </c>
      <c r="D2873" s="22" t="s">
        <v>33</v>
      </c>
      <c r="E2873" s="22" t="s">
        <v>57</v>
      </c>
      <c r="F2873" s="22" t="s">
        <v>43</v>
      </c>
      <c r="G2873" s="22" t="s">
        <v>126</v>
      </c>
      <c r="H2873" s="22" t="s">
        <v>59</v>
      </c>
      <c r="I2873" s="22" t="s">
        <v>108</v>
      </c>
      <c r="J2873" s="23">
        <v>4</v>
      </c>
      <c r="K2873" s="37">
        <v>0</v>
      </c>
      <c r="M2873" s="22">
        <f>IF(OR(ISBLANK(C2873),C2873=""),"",ROUND((C2873-B2873)*24,2))</f>
        <v>1.37</v>
      </c>
      <c r="N2873" s="40" t="str">
        <f>IF(OR(ISBLANK(C2873),C2873="",M2873=""),"In Progress",IF(M2873&lt;=J2873,"Met","Breached"))</f>
        <v>Met</v>
      </c>
    </row>
    <row r="2874" ht="19" customHeight="1" spans="1:14" x14ac:dyDescent="0.25">
      <c r="A2874" s="19" t="s">
        <v>2988</v>
      </c>
      <c r="B2874" s="33">
        <v>45791.19861111111</v>
      </c>
      <c r="C2874" s="33">
        <v>45791.43819444445</v>
      </c>
      <c r="D2874" s="19" t="s">
        <v>36</v>
      </c>
      <c r="E2874" s="19" t="s">
        <v>61</v>
      </c>
      <c r="F2874" s="19" t="s">
        <v>45</v>
      </c>
      <c r="G2874" s="19" t="s">
        <v>63</v>
      </c>
      <c r="H2874" s="19" t="s">
        <v>71</v>
      </c>
      <c r="I2874" s="19" t="s">
        <v>114</v>
      </c>
      <c r="J2874" s="20">
        <v>12</v>
      </c>
      <c r="K2874" s="34">
        <v>0</v>
      </c>
      <c r="M2874" s="19">
        <f>IF(OR(ISBLANK(C2874),C2874=""),"",ROUND((C2874-B2874)*24,2))</f>
        <v>5.75</v>
      </c>
      <c r="N2874" s="35" t="str">
        <f>IF(OR(ISBLANK(C2874),C2874="",M2874=""),"In Progress",IF(M2874&lt;=J2874,"Met","Breached"))</f>
        <v>Met</v>
      </c>
    </row>
    <row r="2875" ht="19" customHeight="1" spans="1:14" x14ac:dyDescent="0.25">
      <c r="A2875" s="22" t="s">
        <v>2989</v>
      </c>
      <c r="B2875" s="36">
        <v>46167.97222222222</v>
      </c>
      <c r="D2875" s="22" t="s">
        <v>39</v>
      </c>
      <c r="E2875" s="22" t="s">
        <v>61</v>
      </c>
      <c r="F2875" s="22" t="s">
        <v>43</v>
      </c>
      <c r="G2875" s="22" t="s">
        <v>113</v>
      </c>
      <c r="H2875" s="22" t="s">
        <v>67</v>
      </c>
      <c r="I2875" s="22" t="s">
        <v>111</v>
      </c>
      <c r="J2875" s="23">
        <v>12</v>
      </c>
      <c r="K2875" s="37">
        <v>0</v>
      </c>
      <c r="M2875" s="22" t="str">
        <f>IF(OR(ISBLANK(C2875),C2875=""),"",ROUND((C2875-B2875)*24,2))</f>
        <v/>
      </c>
      <c r="N2875" s="22" t="str">
        <f>IF(OR(ISBLANK(C2875),C2875="",M2875=""),"In Progress",IF(M2875&lt;=J2875,"Met","Breached"))</f>
        <v>In Progress</v>
      </c>
    </row>
    <row r="2876" ht="19" customHeight="1" spans="1:14" x14ac:dyDescent="0.25">
      <c r="A2876" s="19" t="s">
        <v>2990</v>
      </c>
      <c r="B2876" s="33">
        <v>45885.0125</v>
      </c>
      <c r="C2876" s="33">
        <v>45887.64583333333</v>
      </c>
      <c r="D2876" s="19" t="s">
        <v>36</v>
      </c>
      <c r="E2876" s="19" t="s">
        <v>69</v>
      </c>
      <c r="F2876" s="19" t="s">
        <v>34</v>
      </c>
      <c r="G2876" s="19" t="s">
        <v>126</v>
      </c>
      <c r="H2876" s="19" t="s">
        <v>59</v>
      </c>
      <c r="I2876" s="19" t="s">
        <v>147</v>
      </c>
      <c r="J2876" s="20">
        <v>120</v>
      </c>
      <c r="K2876" s="34">
        <v>0</v>
      </c>
      <c r="L2876" s="34">
        <v>2</v>
      </c>
      <c r="M2876" s="19">
        <f>IF(OR(ISBLANK(C2876),C2876=""),"",ROUND((C2876-B2876)*24,2))</f>
        <v>63.2</v>
      </c>
      <c r="N2876" s="35" t="str">
        <f>IF(OR(ISBLANK(C2876),C2876="",M2876=""),"In Progress",IF(M2876&lt;=J2876,"Met","Breached"))</f>
        <v>Met</v>
      </c>
    </row>
    <row r="2877" ht="19" customHeight="1" spans="1:14" x14ac:dyDescent="0.25">
      <c r="A2877" s="22" t="s">
        <v>2991</v>
      </c>
      <c r="B2877" s="36">
        <v>46069.98888888889</v>
      </c>
      <c r="C2877" s="36">
        <v>46071.34166666667</v>
      </c>
      <c r="D2877" s="22" t="s">
        <v>36</v>
      </c>
      <c r="E2877" s="22" t="s">
        <v>65</v>
      </c>
      <c r="F2877" s="22" t="s">
        <v>43</v>
      </c>
      <c r="G2877" s="22" t="s">
        <v>113</v>
      </c>
      <c r="H2877" s="22" t="s">
        <v>59</v>
      </c>
      <c r="I2877" s="22" t="s">
        <v>111</v>
      </c>
      <c r="J2877" s="23">
        <v>48</v>
      </c>
      <c r="K2877" s="37">
        <v>0</v>
      </c>
      <c r="M2877" s="22">
        <f>IF(OR(ISBLANK(C2877),C2877=""),"",ROUND((C2877-B2877)*24,2))</f>
        <v>32.47</v>
      </c>
      <c r="N2877" s="40" t="str">
        <f>IF(OR(ISBLANK(C2877),C2877="",M2877=""),"In Progress",IF(M2877&lt;=J2877,"Met","Breached"))</f>
        <v>Met</v>
      </c>
    </row>
    <row r="2878" ht="19" customHeight="1" spans="1:14" x14ac:dyDescent="0.25">
      <c r="A2878" s="19" t="s">
        <v>2992</v>
      </c>
      <c r="B2878" s="33">
        <v>45724.20625</v>
      </c>
      <c r="C2878" s="33">
        <v>45725.899305555555</v>
      </c>
      <c r="D2878" s="19" t="s">
        <v>36</v>
      </c>
      <c r="E2878" s="19" t="s">
        <v>65</v>
      </c>
      <c r="F2878" s="19" t="s">
        <v>43</v>
      </c>
      <c r="G2878" s="19" t="s">
        <v>121</v>
      </c>
      <c r="H2878" s="19" t="s">
        <v>67</v>
      </c>
      <c r="I2878" s="19" t="s">
        <v>108</v>
      </c>
      <c r="J2878" s="20">
        <v>48</v>
      </c>
      <c r="K2878" s="34">
        <v>1</v>
      </c>
      <c r="L2878" s="34">
        <v>5</v>
      </c>
      <c r="M2878" s="19">
        <f>IF(OR(ISBLANK(C2878),C2878=""),"",ROUND((C2878-B2878)*24,2))</f>
        <v>40.63</v>
      </c>
      <c r="N2878" s="35" t="str">
        <f>IF(OR(ISBLANK(C2878),C2878="",M2878=""),"In Progress",IF(M2878&lt;=J2878,"Met","Breached"))</f>
        <v>Met</v>
      </c>
    </row>
    <row r="2879" ht="19" customHeight="1" spans="1:14" x14ac:dyDescent="0.25">
      <c r="A2879" s="22" t="s">
        <v>2993</v>
      </c>
      <c r="B2879" s="36">
        <v>45984.81527777778</v>
      </c>
      <c r="D2879" s="22" t="s">
        <v>39</v>
      </c>
      <c r="E2879" s="22" t="s">
        <v>65</v>
      </c>
      <c r="F2879" s="22" t="s">
        <v>45</v>
      </c>
      <c r="G2879" s="22" t="s">
        <v>110</v>
      </c>
      <c r="H2879" s="22" t="s">
        <v>59</v>
      </c>
      <c r="I2879" s="22" t="s">
        <v>108</v>
      </c>
      <c r="J2879" s="23">
        <v>48</v>
      </c>
      <c r="K2879" s="37">
        <v>0</v>
      </c>
      <c r="M2879" s="22" t="str">
        <f>IF(OR(ISBLANK(C2879),C2879=""),"",ROUND((C2879-B2879)*24,2))</f>
        <v/>
      </c>
      <c r="N2879" s="22" t="str">
        <f>IF(OR(ISBLANK(C2879),C2879="",M2879=""),"In Progress",IF(M2879&lt;=J2879,"Met","Breached"))</f>
        <v>In Progress</v>
      </c>
    </row>
    <row r="2880" ht="19" customHeight="1" spans="1:14" x14ac:dyDescent="0.25">
      <c r="A2880" s="19" t="s">
        <v>2994</v>
      </c>
      <c r="B2880" s="33">
        <v>46142.35972222222</v>
      </c>
      <c r="C2880" s="33">
        <v>46144.78263888889</v>
      </c>
      <c r="D2880" s="19" t="s">
        <v>36</v>
      </c>
      <c r="E2880" s="19" t="s">
        <v>65</v>
      </c>
      <c r="F2880" s="19" t="s">
        <v>40</v>
      </c>
      <c r="G2880" s="19" t="s">
        <v>63</v>
      </c>
      <c r="H2880" s="19" t="s">
        <v>59</v>
      </c>
      <c r="I2880" s="19" t="s">
        <v>114</v>
      </c>
      <c r="J2880" s="20">
        <v>48</v>
      </c>
      <c r="K2880" s="34">
        <v>0</v>
      </c>
      <c r="M2880" s="19">
        <f>IF(OR(ISBLANK(C2880),C2880=""),"",ROUND((C2880-B2880)*24,2))</f>
        <v>58.15</v>
      </c>
      <c r="N2880" s="39" t="str">
        <f>IF(OR(ISBLANK(C2880),C2880="",M2880=""),"In Progress",IF(M2880&lt;=J2880,"Met","Breached"))</f>
        <v>Breached</v>
      </c>
    </row>
    <row r="2881" ht="19" customHeight="1" spans="1:14" x14ac:dyDescent="0.25">
      <c r="A2881" s="22" t="s">
        <v>2995</v>
      </c>
      <c r="B2881" s="36">
        <v>46003.40694444445</v>
      </c>
      <c r="C2881" s="36">
        <v>46004.138194444444</v>
      </c>
      <c r="D2881" s="22" t="s">
        <v>33</v>
      </c>
      <c r="E2881" s="22" t="s">
        <v>61</v>
      </c>
      <c r="F2881" s="22" t="s">
        <v>37</v>
      </c>
      <c r="G2881" s="22" t="s">
        <v>126</v>
      </c>
      <c r="H2881" s="22" t="s">
        <v>71</v>
      </c>
      <c r="I2881" s="22" t="s">
        <v>108</v>
      </c>
      <c r="J2881" s="23">
        <v>12</v>
      </c>
      <c r="K2881" s="37">
        <v>0</v>
      </c>
      <c r="L2881" s="37">
        <v>3</v>
      </c>
      <c r="M2881" s="22">
        <f>IF(OR(ISBLANK(C2881),C2881=""),"",ROUND((C2881-B2881)*24,2))</f>
        <v>17.55</v>
      </c>
      <c r="N2881" s="38" t="str">
        <f>IF(OR(ISBLANK(C2881),C2881="",M2881=""),"In Progress",IF(M2881&lt;=J2881,"Met","Breached"))</f>
        <v>Breached</v>
      </c>
    </row>
    <row r="2882" ht="19" customHeight="1" spans="1:14" x14ac:dyDescent="0.25">
      <c r="A2882" s="19" t="s">
        <v>2996</v>
      </c>
      <c r="B2882" s="33">
        <v>45710.35</v>
      </c>
      <c r="C2882" s="33">
        <v>45710.6125</v>
      </c>
      <c r="D2882" s="19" t="s">
        <v>33</v>
      </c>
      <c r="E2882" s="19" t="s">
        <v>61</v>
      </c>
      <c r="F2882" s="19" t="s">
        <v>43</v>
      </c>
      <c r="G2882" s="19" t="s">
        <v>63</v>
      </c>
      <c r="H2882" s="19" t="s">
        <v>59</v>
      </c>
      <c r="I2882" s="19" t="s">
        <v>108</v>
      </c>
      <c r="J2882" s="20">
        <v>12</v>
      </c>
      <c r="K2882" s="34">
        <v>0</v>
      </c>
      <c r="L2882" s="34">
        <v>5</v>
      </c>
      <c r="M2882" s="19">
        <f>IF(OR(ISBLANK(C2882),C2882=""),"",ROUND((C2882-B2882)*24,2))</f>
        <v>6.3</v>
      </c>
      <c r="N2882" s="35" t="str">
        <f>IF(OR(ISBLANK(C2882),C2882="",M2882=""),"In Progress",IF(M2882&lt;=J2882,"Met","Breached"))</f>
        <v>Met</v>
      </c>
    </row>
    <row r="2883" ht="19" customHeight="1" spans="1:14" x14ac:dyDescent="0.25">
      <c r="A2883" s="22" t="s">
        <v>2997</v>
      </c>
      <c r="B2883" s="36">
        <v>46232.69236111111</v>
      </c>
      <c r="C2883" s="36">
        <v>46233.53680555556</v>
      </c>
      <c r="D2883" s="22" t="s">
        <v>36</v>
      </c>
      <c r="E2883" s="22" t="s">
        <v>61</v>
      </c>
      <c r="F2883" s="22" t="s">
        <v>40</v>
      </c>
      <c r="G2883" s="22" t="s">
        <v>121</v>
      </c>
      <c r="H2883" s="22" t="s">
        <v>67</v>
      </c>
      <c r="I2883" s="22" t="s">
        <v>117</v>
      </c>
      <c r="J2883" s="23">
        <v>12</v>
      </c>
      <c r="K2883" s="37">
        <v>0</v>
      </c>
      <c r="L2883" s="37">
        <v>2</v>
      </c>
      <c r="M2883" s="22">
        <f>IF(OR(ISBLANK(C2883),C2883=""),"",ROUND((C2883-B2883)*24,2))</f>
        <v>20.27</v>
      </c>
      <c r="N2883" s="38" t="str">
        <f>IF(OR(ISBLANK(C2883),C2883="",M2883=""),"In Progress",IF(M2883&lt;=J2883,"Met","Breached"))</f>
        <v>Breached</v>
      </c>
    </row>
    <row r="2884" ht="19" customHeight="1" spans="1:14" x14ac:dyDescent="0.25">
      <c r="A2884" s="19" t="s">
        <v>2998</v>
      </c>
      <c r="B2884" s="33">
        <v>45739.75555555556</v>
      </c>
      <c r="C2884" s="33">
        <v>45741.34861111111</v>
      </c>
      <c r="D2884" s="19" t="s">
        <v>36</v>
      </c>
      <c r="E2884" s="19" t="s">
        <v>69</v>
      </c>
      <c r="F2884" s="19" t="s">
        <v>45</v>
      </c>
      <c r="G2884" s="19" t="s">
        <v>121</v>
      </c>
      <c r="H2884" s="19" t="s">
        <v>63</v>
      </c>
      <c r="I2884" s="19" t="s">
        <v>147</v>
      </c>
      <c r="J2884" s="20">
        <v>120</v>
      </c>
      <c r="K2884" s="34">
        <v>0</v>
      </c>
      <c r="L2884" s="34">
        <v>3</v>
      </c>
      <c r="M2884" s="19">
        <f>IF(OR(ISBLANK(C2884),C2884=""),"",ROUND((C2884-B2884)*24,2))</f>
        <v>38.23</v>
      </c>
      <c r="N2884" s="35" t="str">
        <f>IF(OR(ISBLANK(C2884),C2884="",M2884=""),"In Progress",IF(M2884&lt;=J2884,"Met","Breached"))</f>
        <v>Met</v>
      </c>
    </row>
    <row r="2885" ht="19" customHeight="1" spans="1:14" x14ac:dyDescent="0.25">
      <c r="A2885" s="22" t="s">
        <v>2999</v>
      </c>
      <c r="B2885" s="36">
        <v>45819.09444444445</v>
      </c>
      <c r="C2885" s="36">
        <v>45821.027083333334</v>
      </c>
      <c r="D2885" s="22" t="s">
        <v>33</v>
      </c>
      <c r="E2885" s="22" t="s">
        <v>69</v>
      </c>
      <c r="F2885" s="22" t="s">
        <v>34</v>
      </c>
      <c r="G2885" s="22" t="s">
        <v>116</v>
      </c>
      <c r="H2885" s="22" t="s">
        <v>59</v>
      </c>
      <c r="I2885" s="22" t="s">
        <v>123</v>
      </c>
      <c r="J2885" s="23">
        <v>120</v>
      </c>
      <c r="K2885" s="37">
        <v>0</v>
      </c>
      <c r="L2885" s="37">
        <v>3</v>
      </c>
      <c r="M2885" s="22">
        <f>IF(OR(ISBLANK(C2885),C2885=""),"",ROUND((C2885-B2885)*24,2))</f>
        <v>46.38</v>
      </c>
      <c r="N2885" s="40" t="str">
        <f>IF(OR(ISBLANK(C2885),C2885="",M2885=""),"In Progress",IF(M2885&lt;=J2885,"Met","Breached"))</f>
        <v>Met</v>
      </c>
    </row>
    <row r="2886" ht="19" customHeight="1" spans="1:14" x14ac:dyDescent="0.25">
      <c r="A2886" s="19" t="s">
        <v>3000</v>
      </c>
      <c r="B2886" s="33">
        <v>45880.78194444445</v>
      </c>
      <c r="C2886" s="33">
        <v>45883.79027777778</v>
      </c>
      <c r="D2886" s="19" t="s">
        <v>33</v>
      </c>
      <c r="E2886" s="19" t="s">
        <v>65</v>
      </c>
      <c r="F2886" s="19" t="s">
        <v>45</v>
      </c>
      <c r="G2886" s="19" t="s">
        <v>110</v>
      </c>
      <c r="H2886" s="19" t="s">
        <v>59</v>
      </c>
      <c r="I2886" s="19" t="s">
        <v>147</v>
      </c>
      <c r="J2886" s="20">
        <v>48</v>
      </c>
      <c r="K2886" s="34">
        <v>0</v>
      </c>
      <c r="L2886" s="34">
        <v>4</v>
      </c>
      <c r="M2886" s="19">
        <f>IF(OR(ISBLANK(C2886),C2886=""),"",ROUND((C2886-B2886)*24,2))</f>
        <v>72.2</v>
      </c>
      <c r="N2886" s="39" t="str">
        <f>IF(OR(ISBLANK(C2886),C2886="",M2886=""),"In Progress",IF(M2886&lt;=J2886,"Met","Breached"))</f>
        <v>Breached</v>
      </c>
    </row>
    <row r="2887" ht="19" customHeight="1" spans="1:14" x14ac:dyDescent="0.25">
      <c r="A2887" s="22" t="s">
        <v>3001</v>
      </c>
      <c r="B2887" s="36">
        <v>46003.68194444444</v>
      </c>
      <c r="C2887" s="36">
        <v>46004.89791666667</v>
      </c>
      <c r="D2887" s="22" t="s">
        <v>33</v>
      </c>
      <c r="E2887" s="22" t="s">
        <v>65</v>
      </c>
      <c r="F2887" s="22" t="s">
        <v>34</v>
      </c>
      <c r="G2887" s="22" t="s">
        <v>113</v>
      </c>
      <c r="H2887" s="22" t="s">
        <v>63</v>
      </c>
      <c r="I2887" s="22" t="s">
        <v>123</v>
      </c>
      <c r="J2887" s="23">
        <v>48</v>
      </c>
      <c r="K2887" s="37">
        <v>0</v>
      </c>
      <c r="M2887" s="22">
        <f>IF(OR(ISBLANK(C2887),C2887=""),"",ROUND((C2887-B2887)*24,2))</f>
        <v>29.18</v>
      </c>
      <c r="N2887" s="40" t="str">
        <f>IF(OR(ISBLANK(C2887),C2887="",M2887=""),"In Progress",IF(M2887&lt;=J2887,"Met","Breached"))</f>
        <v>Met</v>
      </c>
    </row>
    <row r="2888" ht="19" customHeight="1" spans="1:14" x14ac:dyDescent="0.25">
      <c r="A2888" s="19" t="s">
        <v>3002</v>
      </c>
      <c r="B2888" s="33">
        <v>45952.8625</v>
      </c>
      <c r="C2888" s="33">
        <v>45953.72430555556</v>
      </c>
      <c r="D2888" s="19" t="s">
        <v>36</v>
      </c>
      <c r="E2888" s="19" t="s">
        <v>65</v>
      </c>
      <c r="F2888" s="19" t="s">
        <v>34</v>
      </c>
      <c r="G2888" s="19" t="s">
        <v>121</v>
      </c>
      <c r="H2888" s="19" t="s">
        <v>59</v>
      </c>
      <c r="I2888" s="19" t="s">
        <v>111</v>
      </c>
      <c r="J2888" s="20">
        <v>48</v>
      </c>
      <c r="K2888" s="34">
        <v>0</v>
      </c>
      <c r="M2888" s="19">
        <f>IF(OR(ISBLANK(C2888),C2888=""),"",ROUND((C2888-B2888)*24,2))</f>
        <v>20.68</v>
      </c>
      <c r="N2888" s="35" t="str">
        <f>IF(OR(ISBLANK(C2888),C2888="",M2888=""),"In Progress",IF(M2888&lt;=J2888,"Met","Breached"))</f>
        <v>Met</v>
      </c>
    </row>
    <row r="2889" ht="19" customHeight="1" spans="1:14" x14ac:dyDescent="0.25">
      <c r="A2889" s="22" t="s">
        <v>3003</v>
      </c>
      <c r="B2889" s="36">
        <v>45915.15277777778</v>
      </c>
      <c r="D2889" s="22" t="s">
        <v>39</v>
      </c>
      <c r="E2889" s="22" t="s">
        <v>69</v>
      </c>
      <c r="F2889" s="22" t="s">
        <v>34</v>
      </c>
      <c r="G2889" s="22" t="s">
        <v>113</v>
      </c>
      <c r="H2889" s="22" t="s">
        <v>71</v>
      </c>
      <c r="I2889" s="22" t="s">
        <v>108</v>
      </c>
      <c r="J2889" s="23">
        <v>120</v>
      </c>
      <c r="K2889" s="37">
        <v>0</v>
      </c>
      <c r="M2889" s="22" t="str">
        <f>IF(OR(ISBLANK(C2889),C2889=""),"",ROUND((C2889-B2889)*24,2))</f>
        <v/>
      </c>
      <c r="N2889" s="22" t="str">
        <f>IF(OR(ISBLANK(C2889),C2889="",M2889=""),"In Progress",IF(M2889&lt;=J2889,"Met","Breached"))</f>
        <v>In Progress</v>
      </c>
    </row>
    <row r="2890" ht="19" customHeight="1" spans="1:14" x14ac:dyDescent="0.25">
      <c r="A2890" s="19" t="s">
        <v>3004</v>
      </c>
      <c r="B2890" s="33">
        <v>45885.04791666666</v>
      </c>
      <c r="C2890" s="33">
        <v>45887.58263888889</v>
      </c>
      <c r="D2890" s="19" t="s">
        <v>33</v>
      </c>
      <c r="E2890" s="19" t="s">
        <v>65</v>
      </c>
      <c r="F2890" s="19" t="s">
        <v>40</v>
      </c>
      <c r="G2890" s="19" t="s">
        <v>116</v>
      </c>
      <c r="H2890" s="19" t="s">
        <v>59</v>
      </c>
      <c r="I2890" s="19" t="s">
        <v>147</v>
      </c>
      <c r="J2890" s="20">
        <v>48</v>
      </c>
      <c r="K2890" s="34">
        <v>0</v>
      </c>
      <c r="L2890" s="34">
        <v>5</v>
      </c>
      <c r="M2890" s="19">
        <f>IF(OR(ISBLANK(C2890),C2890=""),"",ROUND((C2890-B2890)*24,2))</f>
        <v>60.83</v>
      </c>
      <c r="N2890" s="39" t="str">
        <f>IF(OR(ISBLANK(C2890),C2890="",M2890=""),"In Progress",IF(M2890&lt;=J2890,"Met","Breached"))</f>
        <v>Breached</v>
      </c>
    </row>
    <row r="2891" ht="19" customHeight="1" spans="1:14" x14ac:dyDescent="0.25">
      <c r="A2891" s="22" t="s">
        <v>3005</v>
      </c>
      <c r="B2891" s="36">
        <v>45706.336111111115</v>
      </c>
      <c r="D2891" s="22" t="s">
        <v>39</v>
      </c>
      <c r="E2891" s="22" t="s">
        <v>69</v>
      </c>
      <c r="F2891" s="22" t="s">
        <v>34</v>
      </c>
      <c r="G2891" s="22" t="s">
        <v>113</v>
      </c>
      <c r="H2891" s="22" t="s">
        <v>59</v>
      </c>
      <c r="I2891" s="22" t="s">
        <v>123</v>
      </c>
      <c r="J2891" s="23">
        <v>120</v>
      </c>
      <c r="K2891" s="37">
        <v>0</v>
      </c>
      <c r="M2891" s="22" t="str">
        <f>IF(OR(ISBLANK(C2891),C2891=""),"",ROUND((C2891-B2891)*24,2))</f>
        <v/>
      </c>
      <c r="N2891" s="22" t="str">
        <f>IF(OR(ISBLANK(C2891),C2891="",M2891=""),"In Progress",IF(M2891&lt;=J2891,"Met","Breached"))</f>
        <v>In Progress</v>
      </c>
    </row>
    <row r="2892" ht="19" customHeight="1" spans="1:14" x14ac:dyDescent="0.25">
      <c r="A2892" s="19" t="s">
        <v>3006</v>
      </c>
      <c r="B2892" s="33">
        <v>45906.38541666667</v>
      </c>
      <c r="C2892" s="33">
        <v>45907.09444444445</v>
      </c>
      <c r="D2892" s="19" t="s">
        <v>36</v>
      </c>
      <c r="E2892" s="19" t="s">
        <v>65</v>
      </c>
      <c r="F2892" s="19" t="s">
        <v>45</v>
      </c>
      <c r="G2892" s="19" t="s">
        <v>121</v>
      </c>
      <c r="H2892" s="19" t="s">
        <v>67</v>
      </c>
      <c r="I2892" s="19" t="s">
        <v>117</v>
      </c>
      <c r="J2892" s="20">
        <v>48</v>
      </c>
      <c r="K2892" s="34">
        <v>0</v>
      </c>
      <c r="L2892" s="34">
        <v>1</v>
      </c>
      <c r="M2892" s="19">
        <f>IF(OR(ISBLANK(C2892),C2892=""),"",ROUND((C2892-B2892)*24,2))</f>
        <v>17.02</v>
      </c>
      <c r="N2892" s="35" t="str">
        <f>IF(OR(ISBLANK(C2892),C2892="",M2892=""),"In Progress",IF(M2892&lt;=J2892,"Met","Breached"))</f>
        <v>Met</v>
      </c>
    </row>
    <row r="2893" ht="19" customHeight="1" spans="1:14" x14ac:dyDescent="0.25">
      <c r="A2893" s="22" t="s">
        <v>3007</v>
      </c>
      <c r="B2893" s="36">
        <v>45781.01597222222</v>
      </c>
      <c r="C2893" s="36">
        <v>45783.27847222222</v>
      </c>
      <c r="D2893" s="22" t="s">
        <v>36</v>
      </c>
      <c r="E2893" s="22" t="s">
        <v>65</v>
      </c>
      <c r="F2893" s="22" t="s">
        <v>37</v>
      </c>
      <c r="G2893" s="22" t="s">
        <v>126</v>
      </c>
      <c r="H2893" s="22" t="s">
        <v>63</v>
      </c>
      <c r="I2893" s="22" t="s">
        <v>147</v>
      </c>
      <c r="J2893" s="23">
        <v>48</v>
      </c>
      <c r="K2893" s="37">
        <v>0</v>
      </c>
      <c r="L2893" s="37">
        <v>1</v>
      </c>
      <c r="M2893" s="22">
        <f>IF(OR(ISBLANK(C2893),C2893=""),"",ROUND((C2893-B2893)*24,2))</f>
        <v>54.3</v>
      </c>
      <c r="N2893" s="38" t="str">
        <f>IF(OR(ISBLANK(C2893),C2893="",M2893=""),"In Progress",IF(M2893&lt;=J2893,"Met","Breached"))</f>
        <v>Breached</v>
      </c>
    </row>
    <row r="2894" ht="19" customHeight="1" spans="1:14" x14ac:dyDescent="0.25">
      <c r="A2894" s="19" t="s">
        <v>3008</v>
      </c>
      <c r="B2894" s="33">
        <v>45688.48819444445</v>
      </c>
      <c r="C2894" s="33">
        <v>45689.554861111115</v>
      </c>
      <c r="D2894" s="19" t="s">
        <v>33</v>
      </c>
      <c r="E2894" s="19" t="s">
        <v>65</v>
      </c>
      <c r="F2894" s="19" t="s">
        <v>43</v>
      </c>
      <c r="G2894" s="19" t="s">
        <v>121</v>
      </c>
      <c r="H2894" s="19" t="s">
        <v>67</v>
      </c>
      <c r="I2894" s="19" t="s">
        <v>111</v>
      </c>
      <c r="J2894" s="20">
        <v>48</v>
      </c>
      <c r="K2894" s="34">
        <v>0</v>
      </c>
      <c r="L2894" s="34">
        <v>1</v>
      </c>
      <c r="M2894" s="19">
        <f>IF(OR(ISBLANK(C2894),C2894=""),"",ROUND((C2894-B2894)*24,2))</f>
        <v>25.6</v>
      </c>
      <c r="N2894" s="35" t="str">
        <f>IF(OR(ISBLANK(C2894),C2894="",M2894=""),"In Progress",IF(M2894&lt;=J2894,"Met","Breached"))</f>
        <v>Met</v>
      </c>
    </row>
    <row r="2895" ht="19" customHeight="1" spans="1:14" x14ac:dyDescent="0.25">
      <c r="A2895" s="22" t="s">
        <v>3009</v>
      </c>
      <c r="B2895" s="36">
        <v>46218.32777777778</v>
      </c>
      <c r="C2895" s="36">
        <v>46225.12986111111</v>
      </c>
      <c r="D2895" s="22" t="s">
        <v>33</v>
      </c>
      <c r="E2895" s="22" t="s">
        <v>69</v>
      </c>
      <c r="F2895" s="22" t="s">
        <v>37</v>
      </c>
      <c r="G2895" s="22" t="s">
        <v>110</v>
      </c>
      <c r="H2895" s="22" t="s">
        <v>59</v>
      </c>
      <c r="I2895" s="22" t="s">
        <v>117</v>
      </c>
      <c r="J2895" s="23">
        <v>120</v>
      </c>
      <c r="K2895" s="37">
        <v>0</v>
      </c>
      <c r="L2895" s="37">
        <v>3</v>
      </c>
      <c r="M2895" s="22">
        <f>IF(OR(ISBLANK(C2895),C2895=""),"",ROUND((C2895-B2895)*24,2))</f>
        <v>163.25</v>
      </c>
      <c r="N2895" s="38" t="str">
        <f>IF(OR(ISBLANK(C2895),C2895="",M2895=""),"In Progress",IF(M2895&lt;=J2895,"Met","Breached"))</f>
        <v>Breached</v>
      </c>
    </row>
    <row r="2896" ht="19" customHeight="1" spans="1:14" x14ac:dyDescent="0.25">
      <c r="A2896" s="19" t="s">
        <v>3010</v>
      </c>
      <c r="B2896" s="33">
        <v>46056.072222222225</v>
      </c>
      <c r="C2896" s="33">
        <v>46059.24513888889</v>
      </c>
      <c r="D2896" s="19" t="s">
        <v>33</v>
      </c>
      <c r="E2896" s="19" t="s">
        <v>65</v>
      </c>
      <c r="F2896" s="19" t="s">
        <v>37</v>
      </c>
      <c r="G2896" s="19" t="s">
        <v>116</v>
      </c>
      <c r="H2896" s="19" t="s">
        <v>59</v>
      </c>
      <c r="I2896" s="19" t="s">
        <v>111</v>
      </c>
      <c r="J2896" s="20">
        <v>48</v>
      </c>
      <c r="K2896" s="34">
        <v>0</v>
      </c>
      <c r="L2896" s="34">
        <v>4</v>
      </c>
      <c r="M2896" s="19">
        <f>IF(OR(ISBLANK(C2896),C2896=""),"",ROUND((C2896-B2896)*24,2))</f>
        <v>76.15</v>
      </c>
      <c r="N2896" s="39" t="str">
        <f>IF(OR(ISBLANK(C2896),C2896="",M2896=""),"In Progress",IF(M2896&lt;=J2896,"Met","Breached"))</f>
        <v>Breached</v>
      </c>
    </row>
    <row r="2897" ht="19" customHeight="1" spans="1:14" x14ac:dyDescent="0.25">
      <c r="A2897" s="22" t="s">
        <v>3011</v>
      </c>
      <c r="B2897" s="36">
        <v>46090.50277777778</v>
      </c>
      <c r="D2897" s="22" t="s">
        <v>39</v>
      </c>
      <c r="E2897" s="22" t="s">
        <v>69</v>
      </c>
      <c r="F2897" s="22" t="s">
        <v>40</v>
      </c>
      <c r="G2897" s="22" t="s">
        <v>116</v>
      </c>
      <c r="H2897" s="22" t="s">
        <v>63</v>
      </c>
      <c r="I2897" s="22" t="s">
        <v>147</v>
      </c>
      <c r="J2897" s="23">
        <v>120</v>
      </c>
      <c r="K2897" s="37">
        <v>0</v>
      </c>
      <c r="M2897" s="22" t="str">
        <f>IF(OR(ISBLANK(C2897),C2897=""),"",ROUND((C2897-B2897)*24,2))</f>
        <v/>
      </c>
      <c r="N2897" s="22" t="str">
        <f>IF(OR(ISBLANK(C2897),C2897="",M2897=""),"In Progress",IF(M2897&lt;=J2897,"Met","Breached"))</f>
        <v>In Progress</v>
      </c>
    </row>
    <row r="2898" ht="19" customHeight="1" spans="1:14" x14ac:dyDescent="0.25">
      <c r="A2898" s="19" t="s">
        <v>3012</v>
      </c>
      <c r="B2898" s="33">
        <v>46280.59166666667</v>
      </c>
      <c r="C2898" s="33">
        <v>46285.41111111111</v>
      </c>
      <c r="D2898" s="19" t="s">
        <v>33</v>
      </c>
      <c r="E2898" s="19" t="s">
        <v>69</v>
      </c>
      <c r="F2898" s="19" t="s">
        <v>45</v>
      </c>
      <c r="G2898" s="19" t="s">
        <v>121</v>
      </c>
      <c r="H2898" s="19" t="s">
        <v>63</v>
      </c>
      <c r="I2898" s="19" t="s">
        <v>147</v>
      </c>
      <c r="J2898" s="20">
        <v>120</v>
      </c>
      <c r="K2898" s="34">
        <v>0</v>
      </c>
      <c r="L2898" s="34">
        <v>4</v>
      </c>
      <c r="M2898" s="19">
        <f>IF(OR(ISBLANK(C2898),C2898=""),"",ROUND((C2898-B2898)*24,2))</f>
        <v>115.67</v>
      </c>
      <c r="N2898" s="35" t="str">
        <f>IF(OR(ISBLANK(C2898),C2898="",M2898=""),"In Progress",IF(M2898&lt;=J2898,"Met","Breached"))</f>
        <v>Met</v>
      </c>
    </row>
    <row r="2899" ht="19" customHeight="1" spans="1:14" x14ac:dyDescent="0.25">
      <c r="A2899" s="22" t="s">
        <v>3013</v>
      </c>
      <c r="B2899" s="36">
        <v>46196.10833333334</v>
      </c>
      <c r="D2899" s="22" t="s">
        <v>39</v>
      </c>
      <c r="E2899" s="22" t="s">
        <v>69</v>
      </c>
      <c r="F2899" s="22" t="s">
        <v>37</v>
      </c>
      <c r="G2899" s="22" t="s">
        <v>63</v>
      </c>
      <c r="H2899" s="22" t="s">
        <v>71</v>
      </c>
      <c r="I2899" s="22" t="s">
        <v>108</v>
      </c>
      <c r="J2899" s="23">
        <v>120</v>
      </c>
      <c r="K2899" s="37">
        <v>0</v>
      </c>
      <c r="M2899" s="22" t="str">
        <f>IF(OR(ISBLANK(C2899),C2899=""),"",ROUND((C2899-B2899)*24,2))</f>
        <v/>
      </c>
      <c r="N2899" s="22" t="str">
        <f>IF(OR(ISBLANK(C2899),C2899="",M2899=""),"In Progress",IF(M2899&lt;=J2899,"Met","Breached"))</f>
        <v>In Progress</v>
      </c>
    </row>
    <row r="2900" ht="19" customHeight="1" spans="1:14" x14ac:dyDescent="0.25">
      <c r="A2900" s="19" t="s">
        <v>3014</v>
      </c>
      <c r="B2900" s="33">
        <v>45816.867361111115</v>
      </c>
      <c r="C2900" s="33">
        <v>45817.38611111111</v>
      </c>
      <c r="D2900" s="19" t="s">
        <v>33</v>
      </c>
      <c r="E2900" s="19" t="s">
        <v>61</v>
      </c>
      <c r="F2900" s="19" t="s">
        <v>45</v>
      </c>
      <c r="G2900" s="19" t="s">
        <v>113</v>
      </c>
      <c r="H2900" s="19" t="s">
        <v>59</v>
      </c>
      <c r="I2900" s="19" t="s">
        <v>147</v>
      </c>
      <c r="J2900" s="20">
        <v>12</v>
      </c>
      <c r="K2900" s="34">
        <v>0</v>
      </c>
      <c r="L2900" s="34">
        <v>5</v>
      </c>
      <c r="M2900" s="19">
        <f>IF(OR(ISBLANK(C2900),C2900=""),"",ROUND((C2900-B2900)*24,2))</f>
        <v>12.45</v>
      </c>
      <c r="N2900" s="39" t="str">
        <f>IF(OR(ISBLANK(C2900),C2900="",M2900=""),"In Progress",IF(M2900&lt;=J2900,"Met","Breached"))</f>
        <v>Breached</v>
      </c>
    </row>
    <row r="2901" ht="19" customHeight="1" spans="1:14" x14ac:dyDescent="0.25">
      <c r="A2901" s="22" t="s">
        <v>3015</v>
      </c>
      <c r="B2901" s="36">
        <v>45703.18263888889</v>
      </c>
      <c r="C2901" s="36">
        <v>45710.95138888889</v>
      </c>
      <c r="D2901" s="22" t="s">
        <v>33</v>
      </c>
      <c r="E2901" s="22" t="s">
        <v>69</v>
      </c>
      <c r="F2901" s="22" t="s">
        <v>40</v>
      </c>
      <c r="G2901" s="22" t="s">
        <v>126</v>
      </c>
      <c r="H2901" s="22" t="s">
        <v>63</v>
      </c>
      <c r="I2901" s="22" t="s">
        <v>108</v>
      </c>
      <c r="J2901" s="23">
        <v>120</v>
      </c>
      <c r="K2901" s="37">
        <v>0</v>
      </c>
      <c r="L2901" s="37">
        <v>1</v>
      </c>
      <c r="M2901" s="22">
        <f>IF(OR(ISBLANK(C2901),C2901=""),"",ROUND((C2901-B2901)*24,2))</f>
        <v>186.45</v>
      </c>
      <c r="N2901" s="38" t="str">
        <f>IF(OR(ISBLANK(C2901),C2901="",M2901=""),"In Progress",IF(M2901&lt;=J2901,"Met","Breached"))</f>
        <v>Breached</v>
      </c>
    </row>
    <row r="2902" ht="19" customHeight="1" spans="1:14" x14ac:dyDescent="0.25">
      <c r="A2902" s="19" t="s">
        <v>3016</v>
      </c>
      <c r="B2902" s="33">
        <v>45913.27986111111</v>
      </c>
      <c r="C2902" s="33">
        <v>45916.836805555555</v>
      </c>
      <c r="D2902" s="19" t="s">
        <v>36</v>
      </c>
      <c r="E2902" s="19" t="s">
        <v>65</v>
      </c>
      <c r="F2902" s="19" t="s">
        <v>40</v>
      </c>
      <c r="G2902" s="19" t="s">
        <v>110</v>
      </c>
      <c r="H2902" s="19" t="s">
        <v>67</v>
      </c>
      <c r="I2902" s="19" t="s">
        <v>123</v>
      </c>
      <c r="J2902" s="20">
        <v>48</v>
      </c>
      <c r="K2902" s="34">
        <v>0</v>
      </c>
      <c r="L2902" s="34">
        <v>1</v>
      </c>
      <c r="M2902" s="19">
        <f>IF(OR(ISBLANK(C2902),C2902=""),"",ROUND((C2902-B2902)*24,2))</f>
        <v>85.37</v>
      </c>
      <c r="N2902" s="39" t="str">
        <f>IF(OR(ISBLANK(C2902),C2902="",M2902=""),"In Progress",IF(M2902&lt;=J2902,"Met","Breached"))</f>
        <v>Breached</v>
      </c>
    </row>
    <row r="2903" ht="19" customHeight="1" spans="1:14" x14ac:dyDescent="0.25">
      <c r="A2903" s="22" t="s">
        <v>3017</v>
      </c>
      <c r="B2903" s="36">
        <v>45757.90555555555</v>
      </c>
      <c r="C2903" s="36">
        <v>45758.99375</v>
      </c>
      <c r="D2903" s="22" t="s">
        <v>36</v>
      </c>
      <c r="E2903" s="22" t="s">
        <v>65</v>
      </c>
      <c r="F2903" s="22" t="s">
        <v>34</v>
      </c>
      <c r="G2903" s="22" t="s">
        <v>116</v>
      </c>
      <c r="H2903" s="22" t="s">
        <v>63</v>
      </c>
      <c r="I2903" s="22" t="s">
        <v>114</v>
      </c>
      <c r="J2903" s="23">
        <v>48</v>
      </c>
      <c r="K2903" s="37">
        <v>0</v>
      </c>
      <c r="L2903" s="37">
        <v>1</v>
      </c>
      <c r="M2903" s="22">
        <f>IF(OR(ISBLANK(C2903),C2903=""),"",ROUND((C2903-B2903)*24,2))</f>
        <v>26.12</v>
      </c>
      <c r="N2903" s="40" t="str">
        <f>IF(OR(ISBLANK(C2903),C2903="",M2903=""),"In Progress",IF(M2903&lt;=J2903,"Met","Breached"))</f>
        <v>Met</v>
      </c>
    </row>
    <row r="2904" ht="19" customHeight="1" spans="1:14" x14ac:dyDescent="0.25">
      <c r="A2904" s="19" t="s">
        <v>3018</v>
      </c>
      <c r="B2904" s="33">
        <v>45762.52916666667</v>
      </c>
      <c r="C2904" s="33">
        <v>45763.97083333333</v>
      </c>
      <c r="D2904" s="19" t="s">
        <v>33</v>
      </c>
      <c r="E2904" s="19" t="s">
        <v>65</v>
      </c>
      <c r="F2904" s="19" t="s">
        <v>45</v>
      </c>
      <c r="G2904" s="19" t="s">
        <v>116</v>
      </c>
      <c r="H2904" s="19" t="s">
        <v>71</v>
      </c>
      <c r="I2904" s="19" t="s">
        <v>114</v>
      </c>
      <c r="J2904" s="20">
        <v>48</v>
      </c>
      <c r="K2904" s="34">
        <v>0</v>
      </c>
      <c r="L2904" s="34">
        <v>2</v>
      </c>
      <c r="M2904" s="19">
        <f>IF(OR(ISBLANK(C2904),C2904=""),"",ROUND((C2904-B2904)*24,2))</f>
        <v>34.6</v>
      </c>
      <c r="N2904" s="35" t="str">
        <f>IF(OR(ISBLANK(C2904),C2904="",M2904=""),"In Progress",IF(M2904&lt;=J2904,"Met","Breached"))</f>
        <v>Met</v>
      </c>
    </row>
    <row r="2905" ht="19" customHeight="1" spans="1:14" x14ac:dyDescent="0.25">
      <c r="A2905" s="22" t="s">
        <v>3019</v>
      </c>
      <c r="B2905" s="36">
        <v>46079.785416666666</v>
      </c>
      <c r="D2905" s="22" t="s">
        <v>39</v>
      </c>
      <c r="E2905" s="22" t="s">
        <v>61</v>
      </c>
      <c r="F2905" s="22" t="s">
        <v>34</v>
      </c>
      <c r="G2905" s="22" t="s">
        <v>110</v>
      </c>
      <c r="H2905" s="22" t="s">
        <v>63</v>
      </c>
      <c r="I2905" s="22" t="s">
        <v>108</v>
      </c>
      <c r="J2905" s="23">
        <v>12</v>
      </c>
      <c r="K2905" s="37">
        <v>0</v>
      </c>
      <c r="M2905" s="22" t="str">
        <f>IF(OR(ISBLANK(C2905),C2905=""),"",ROUND((C2905-B2905)*24,2))</f>
        <v/>
      </c>
      <c r="N2905" s="22" t="str">
        <f>IF(OR(ISBLANK(C2905),C2905="",M2905=""),"In Progress",IF(M2905&lt;=J2905,"Met","Breached"))</f>
        <v>In Progress</v>
      </c>
    </row>
    <row r="2906" ht="19" customHeight="1" spans="1:14" x14ac:dyDescent="0.25">
      <c r="A2906" s="19" t="s">
        <v>3020</v>
      </c>
      <c r="B2906" s="33">
        <v>45742.60416666667</v>
      </c>
      <c r="C2906" s="33">
        <v>45743.35763888889</v>
      </c>
      <c r="D2906" s="19" t="s">
        <v>33</v>
      </c>
      <c r="E2906" s="19" t="s">
        <v>61</v>
      </c>
      <c r="F2906" s="19" t="s">
        <v>40</v>
      </c>
      <c r="G2906" s="19" t="s">
        <v>126</v>
      </c>
      <c r="H2906" s="19" t="s">
        <v>59</v>
      </c>
      <c r="I2906" s="19" t="s">
        <v>147</v>
      </c>
      <c r="J2906" s="20">
        <v>12</v>
      </c>
      <c r="K2906" s="34">
        <v>0</v>
      </c>
      <c r="L2906" s="34">
        <v>1</v>
      </c>
      <c r="M2906" s="19">
        <f>IF(OR(ISBLANK(C2906),C2906=""),"",ROUND((C2906-B2906)*24,2))</f>
        <v>18.08</v>
      </c>
      <c r="N2906" s="39" t="str">
        <f>IF(OR(ISBLANK(C2906),C2906="",M2906=""),"In Progress",IF(M2906&lt;=J2906,"Met","Breached"))</f>
        <v>Breached</v>
      </c>
    </row>
    <row r="2907" ht="19" customHeight="1" spans="1:14" x14ac:dyDescent="0.25">
      <c r="A2907" s="22" t="s">
        <v>3021</v>
      </c>
      <c r="B2907" s="36">
        <v>46158.899305555555</v>
      </c>
      <c r="C2907" s="36">
        <v>46162.31736111111</v>
      </c>
      <c r="D2907" s="22" t="s">
        <v>33</v>
      </c>
      <c r="E2907" s="22" t="s">
        <v>69</v>
      </c>
      <c r="F2907" s="22" t="s">
        <v>43</v>
      </c>
      <c r="G2907" s="22" t="s">
        <v>126</v>
      </c>
      <c r="H2907" s="22" t="s">
        <v>63</v>
      </c>
      <c r="I2907" s="22" t="s">
        <v>108</v>
      </c>
      <c r="J2907" s="23">
        <v>120</v>
      </c>
      <c r="K2907" s="37">
        <v>0</v>
      </c>
      <c r="L2907" s="37">
        <v>3</v>
      </c>
      <c r="M2907" s="22">
        <f>IF(OR(ISBLANK(C2907),C2907=""),"",ROUND((C2907-B2907)*24,2))</f>
        <v>82.03</v>
      </c>
      <c r="N2907" s="40" t="str">
        <f>IF(OR(ISBLANK(C2907),C2907="",M2907=""),"In Progress",IF(M2907&lt;=J2907,"Met","Breached"))</f>
        <v>Met</v>
      </c>
    </row>
    <row r="2908" ht="19" customHeight="1" spans="1:14" x14ac:dyDescent="0.25">
      <c r="A2908" s="19" t="s">
        <v>3022</v>
      </c>
      <c r="B2908" s="33">
        <v>46204.893055555556</v>
      </c>
      <c r="C2908" s="33">
        <v>46208.27222222222</v>
      </c>
      <c r="D2908" s="19" t="s">
        <v>33</v>
      </c>
      <c r="E2908" s="19" t="s">
        <v>65</v>
      </c>
      <c r="F2908" s="19" t="s">
        <v>43</v>
      </c>
      <c r="G2908" s="19" t="s">
        <v>113</v>
      </c>
      <c r="H2908" s="19" t="s">
        <v>63</v>
      </c>
      <c r="I2908" s="19" t="s">
        <v>147</v>
      </c>
      <c r="J2908" s="20">
        <v>48</v>
      </c>
      <c r="K2908" s="34">
        <v>0</v>
      </c>
      <c r="L2908" s="34">
        <v>1</v>
      </c>
      <c r="M2908" s="19">
        <f>IF(OR(ISBLANK(C2908),C2908=""),"",ROUND((C2908-B2908)*24,2))</f>
        <v>81.1</v>
      </c>
      <c r="N2908" s="39" t="str">
        <f>IF(OR(ISBLANK(C2908),C2908="",M2908=""),"In Progress",IF(M2908&lt;=J2908,"Met","Breached"))</f>
        <v>Breached</v>
      </c>
    </row>
    <row r="2909" ht="19" customHeight="1" spans="1:14" x14ac:dyDescent="0.25">
      <c r="A2909" s="22" t="s">
        <v>3023</v>
      </c>
      <c r="B2909" s="36">
        <v>45879.31111111111</v>
      </c>
      <c r="C2909" s="36">
        <v>45880.37013888889</v>
      </c>
      <c r="D2909" s="22" t="s">
        <v>33</v>
      </c>
      <c r="E2909" s="22" t="s">
        <v>65</v>
      </c>
      <c r="F2909" s="22" t="s">
        <v>45</v>
      </c>
      <c r="G2909" s="22" t="s">
        <v>113</v>
      </c>
      <c r="H2909" s="22" t="s">
        <v>63</v>
      </c>
      <c r="I2909" s="22" t="s">
        <v>111</v>
      </c>
      <c r="J2909" s="23">
        <v>48</v>
      </c>
      <c r="K2909" s="37">
        <v>0</v>
      </c>
      <c r="L2909" s="37">
        <v>2</v>
      </c>
      <c r="M2909" s="22">
        <f>IF(OR(ISBLANK(C2909),C2909=""),"",ROUND((C2909-B2909)*24,2))</f>
        <v>25.42</v>
      </c>
      <c r="N2909" s="40" t="str">
        <f>IF(OR(ISBLANK(C2909),C2909="",M2909=""),"In Progress",IF(M2909&lt;=J2909,"Met","Breached"))</f>
        <v>Met</v>
      </c>
    </row>
    <row r="2910" ht="19" customHeight="1" spans="1:14" x14ac:dyDescent="0.25">
      <c r="A2910" s="19" t="s">
        <v>3024</v>
      </c>
      <c r="B2910" s="33">
        <v>45720.896527777775</v>
      </c>
      <c r="D2910" s="19" t="s">
        <v>39</v>
      </c>
      <c r="E2910" s="19" t="s">
        <v>57</v>
      </c>
      <c r="F2910" s="19" t="s">
        <v>40</v>
      </c>
      <c r="G2910" s="19" t="s">
        <v>63</v>
      </c>
      <c r="H2910" s="19" t="s">
        <v>59</v>
      </c>
      <c r="I2910" s="19" t="s">
        <v>111</v>
      </c>
      <c r="J2910" s="20">
        <v>4</v>
      </c>
      <c r="K2910" s="34">
        <v>0</v>
      </c>
      <c r="M2910" s="19" t="str">
        <f>IF(OR(ISBLANK(C2910),C2910=""),"",ROUND((C2910-B2910)*24,2))</f>
        <v/>
      </c>
      <c r="N2910" s="19" t="str">
        <f>IF(OR(ISBLANK(C2910),C2910="",M2910=""),"In Progress",IF(M2910&lt;=J2910,"Met","Breached"))</f>
        <v>In Progress</v>
      </c>
    </row>
    <row r="2911" ht="19" customHeight="1" spans="1:14" x14ac:dyDescent="0.25">
      <c r="A2911" s="22" t="s">
        <v>3025</v>
      </c>
      <c r="B2911" s="36">
        <v>45908.66111111111</v>
      </c>
      <c r="C2911" s="36">
        <v>45915.893055555556</v>
      </c>
      <c r="D2911" s="22" t="s">
        <v>36</v>
      </c>
      <c r="E2911" s="22" t="s">
        <v>69</v>
      </c>
      <c r="F2911" s="22" t="s">
        <v>45</v>
      </c>
      <c r="G2911" s="22" t="s">
        <v>113</v>
      </c>
      <c r="H2911" s="22" t="s">
        <v>63</v>
      </c>
      <c r="I2911" s="22" t="s">
        <v>117</v>
      </c>
      <c r="J2911" s="23">
        <v>120</v>
      </c>
      <c r="K2911" s="37">
        <v>0</v>
      </c>
      <c r="L2911" s="37">
        <v>5</v>
      </c>
      <c r="M2911" s="22">
        <f>IF(OR(ISBLANK(C2911),C2911=""),"",ROUND((C2911-B2911)*24,2))</f>
        <v>173.57</v>
      </c>
      <c r="N2911" s="38" t="str">
        <f>IF(OR(ISBLANK(C2911),C2911="",M2911=""),"In Progress",IF(M2911&lt;=J2911,"Met","Breached"))</f>
        <v>Breached</v>
      </c>
    </row>
    <row r="2912" ht="19" customHeight="1" spans="1:14" x14ac:dyDescent="0.25">
      <c r="A2912" s="19" t="s">
        <v>3026</v>
      </c>
      <c r="B2912" s="33">
        <v>45972.972916666666</v>
      </c>
      <c r="C2912" s="33">
        <v>45978.70486111111</v>
      </c>
      <c r="D2912" s="19" t="s">
        <v>36</v>
      </c>
      <c r="E2912" s="19" t="s">
        <v>69</v>
      </c>
      <c r="F2912" s="19" t="s">
        <v>43</v>
      </c>
      <c r="G2912" s="19" t="s">
        <v>126</v>
      </c>
      <c r="H2912" s="19" t="s">
        <v>71</v>
      </c>
      <c r="I2912" s="19" t="s">
        <v>108</v>
      </c>
      <c r="J2912" s="20">
        <v>120</v>
      </c>
      <c r="K2912" s="34">
        <v>0</v>
      </c>
      <c r="M2912" s="19">
        <f>IF(OR(ISBLANK(C2912),C2912=""),"",ROUND((C2912-B2912)*24,2))</f>
        <v>137.57</v>
      </c>
      <c r="N2912" s="39" t="str">
        <f>IF(OR(ISBLANK(C2912),C2912="",M2912=""),"In Progress",IF(M2912&lt;=J2912,"Met","Breached"))</f>
        <v>Breached</v>
      </c>
    </row>
    <row r="2913" ht="19" customHeight="1" spans="1:14" x14ac:dyDescent="0.25">
      <c r="A2913" s="22" t="s">
        <v>3027</v>
      </c>
      <c r="B2913" s="36">
        <v>45736.82986111111</v>
      </c>
      <c r="C2913" s="36">
        <v>45744.322222222225</v>
      </c>
      <c r="D2913" s="22" t="s">
        <v>36</v>
      </c>
      <c r="E2913" s="22" t="s">
        <v>69</v>
      </c>
      <c r="F2913" s="22" t="s">
        <v>43</v>
      </c>
      <c r="G2913" s="22" t="s">
        <v>121</v>
      </c>
      <c r="H2913" s="22" t="s">
        <v>71</v>
      </c>
      <c r="I2913" s="22" t="s">
        <v>123</v>
      </c>
      <c r="J2913" s="23">
        <v>120</v>
      </c>
      <c r="K2913" s="37">
        <v>1</v>
      </c>
      <c r="L2913" s="37">
        <v>4</v>
      </c>
      <c r="M2913" s="22">
        <f>IF(OR(ISBLANK(C2913),C2913=""),"",ROUND((C2913-B2913)*24,2))</f>
        <v>179.82</v>
      </c>
      <c r="N2913" s="38" t="str">
        <f>IF(OR(ISBLANK(C2913),C2913="",M2913=""),"In Progress",IF(M2913&lt;=J2913,"Met","Breached"))</f>
        <v>Breached</v>
      </c>
    </row>
    <row r="2914" ht="19" customHeight="1" spans="1:14" x14ac:dyDescent="0.25">
      <c r="A2914" s="19" t="s">
        <v>3028</v>
      </c>
      <c r="B2914" s="33">
        <v>45813.32638888889</v>
      </c>
      <c r="D2914" s="19" t="s">
        <v>39</v>
      </c>
      <c r="E2914" s="19" t="s">
        <v>69</v>
      </c>
      <c r="F2914" s="19" t="s">
        <v>40</v>
      </c>
      <c r="G2914" s="19" t="s">
        <v>116</v>
      </c>
      <c r="H2914" s="19" t="s">
        <v>63</v>
      </c>
      <c r="I2914" s="19" t="s">
        <v>114</v>
      </c>
      <c r="J2914" s="20">
        <v>120</v>
      </c>
      <c r="K2914" s="34">
        <v>0</v>
      </c>
      <c r="M2914" s="19" t="str">
        <f>IF(OR(ISBLANK(C2914),C2914=""),"",ROUND((C2914-B2914)*24,2))</f>
        <v/>
      </c>
      <c r="N2914" s="19" t="str">
        <f>IF(OR(ISBLANK(C2914),C2914="",M2914=""),"In Progress",IF(M2914&lt;=J2914,"Met","Breached"))</f>
        <v>In Progress</v>
      </c>
    </row>
    <row r="2915" ht="19" customHeight="1" spans="1:14" x14ac:dyDescent="0.25">
      <c r="A2915" s="22" t="s">
        <v>3029</v>
      </c>
      <c r="B2915" s="36">
        <v>46141.57083333333</v>
      </c>
      <c r="D2915" s="22" t="s">
        <v>39</v>
      </c>
      <c r="E2915" s="22" t="s">
        <v>61</v>
      </c>
      <c r="F2915" s="22" t="s">
        <v>45</v>
      </c>
      <c r="G2915" s="22" t="s">
        <v>116</v>
      </c>
      <c r="H2915" s="22" t="s">
        <v>59</v>
      </c>
      <c r="I2915" s="22" t="s">
        <v>147</v>
      </c>
      <c r="J2915" s="23">
        <v>12</v>
      </c>
      <c r="K2915" s="37">
        <v>0</v>
      </c>
      <c r="M2915" s="22" t="str">
        <f>IF(OR(ISBLANK(C2915),C2915=""),"",ROUND((C2915-B2915)*24,2))</f>
        <v/>
      </c>
      <c r="N2915" s="22" t="str">
        <f>IF(OR(ISBLANK(C2915),C2915="",M2915=""),"In Progress",IF(M2915&lt;=J2915,"Met","Breached"))</f>
        <v>In Progress</v>
      </c>
    </row>
    <row r="2916" ht="19" customHeight="1" spans="1:14" x14ac:dyDescent="0.25">
      <c r="A2916" s="19" t="s">
        <v>3030</v>
      </c>
      <c r="B2916" s="33">
        <v>46004.6125</v>
      </c>
      <c r="C2916" s="33">
        <v>46007.43263888889</v>
      </c>
      <c r="D2916" s="19" t="s">
        <v>33</v>
      </c>
      <c r="E2916" s="19" t="s">
        <v>65</v>
      </c>
      <c r="F2916" s="19" t="s">
        <v>40</v>
      </c>
      <c r="G2916" s="19" t="s">
        <v>116</v>
      </c>
      <c r="H2916" s="19" t="s">
        <v>59</v>
      </c>
      <c r="I2916" s="19" t="s">
        <v>114</v>
      </c>
      <c r="J2916" s="20">
        <v>48</v>
      </c>
      <c r="K2916" s="34">
        <v>0</v>
      </c>
      <c r="L2916" s="34">
        <v>4</v>
      </c>
      <c r="M2916" s="19">
        <f>IF(OR(ISBLANK(C2916),C2916=""),"",ROUND((C2916-B2916)*24,2))</f>
        <v>67.68</v>
      </c>
      <c r="N2916" s="39" t="str">
        <f>IF(OR(ISBLANK(C2916),C2916="",M2916=""),"In Progress",IF(M2916&lt;=J2916,"Met","Breached"))</f>
        <v>Breached</v>
      </c>
    </row>
    <row r="2917" ht="19" customHeight="1" spans="1:14" x14ac:dyDescent="0.25">
      <c r="A2917" s="22" t="s">
        <v>3031</v>
      </c>
      <c r="B2917" s="36">
        <v>45946.007638888885</v>
      </c>
      <c r="C2917" s="36">
        <v>45947.58541666667</v>
      </c>
      <c r="D2917" s="22" t="s">
        <v>36</v>
      </c>
      <c r="E2917" s="22" t="s">
        <v>69</v>
      </c>
      <c r="F2917" s="22" t="s">
        <v>45</v>
      </c>
      <c r="G2917" s="22" t="s">
        <v>113</v>
      </c>
      <c r="H2917" s="22" t="s">
        <v>67</v>
      </c>
      <c r="I2917" s="22" t="s">
        <v>111</v>
      </c>
      <c r="J2917" s="23">
        <v>120</v>
      </c>
      <c r="K2917" s="37">
        <v>0</v>
      </c>
      <c r="L2917" s="37">
        <v>1</v>
      </c>
      <c r="M2917" s="22">
        <f>IF(OR(ISBLANK(C2917),C2917=""),"",ROUND((C2917-B2917)*24,2))</f>
        <v>37.87</v>
      </c>
      <c r="N2917" s="40" t="str">
        <f>IF(OR(ISBLANK(C2917),C2917="",M2917=""),"In Progress",IF(M2917&lt;=J2917,"Met","Breached"))</f>
        <v>Met</v>
      </c>
    </row>
    <row r="2918" ht="19" customHeight="1" spans="1:14" x14ac:dyDescent="0.25">
      <c r="A2918" s="19" t="s">
        <v>3032</v>
      </c>
      <c r="B2918" s="33">
        <v>46098.72013888889</v>
      </c>
      <c r="C2918" s="33">
        <v>46100.50347222222</v>
      </c>
      <c r="D2918" s="19" t="s">
        <v>33</v>
      </c>
      <c r="E2918" s="19" t="s">
        <v>65</v>
      </c>
      <c r="F2918" s="19" t="s">
        <v>34</v>
      </c>
      <c r="G2918" s="19" t="s">
        <v>110</v>
      </c>
      <c r="H2918" s="19" t="s">
        <v>59</v>
      </c>
      <c r="I2918" s="19" t="s">
        <v>147</v>
      </c>
      <c r="J2918" s="20">
        <v>48</v>
      </c>
      <c r="K2918" s="34">
        <v>0</v>
      </c>
      <c r="L2918" s="34">
        <v>5</v>
      </c>
      <c r="M2918" s="19">
        <f>IF(OR(ISBLANK(C2918),C2918=""),"",ROUND((C2918-B2918)*24,2))</f>
        <v>42.8</v>
      </c>
      <c r="N2918" s="35" t="str">
        <f>IF(OR(ISBLANK(C2918),C2918="",M2918=""),"In Progress",IF(M2918&lt;=J2918,"Met","Breached"))</f>
        <v>Met</v>
      </c>
    </row>
    <row r="2919" ht="19" customHeight="1" spans="1:14" x14ac:dyDescent="0.25">
      <c r="A2919" s="22" t="s">
        <v>3033</v>
      </c>
      <c r="B2919" s="36">
        <v>45893.52847222222</v>
      </c>
      <c r="D2919" s="22" t="s">
        <v>39</v>
      </c>
      <c r="E2919" s="22" t="s">
        <v>65</v>
      </c>
      <c r="F2919" s="22" t="s">
        <v>40</v>
      </c>
      <c r="G2919" s="22" t="s">
        <v>113</v>
      </c>
      <c r="H2919" s="22" t="s">
        <v>67</v>
      </c>
      <c r="I2919" s="22" t="s">
        <v>111</v>
      </c>
      <c r="J2919" s="23">
        <v>48</v>
      </c>
      <c r="K2919" s="37">
        <v>0</v>
      </c>
      <c r="M2919" s="22" t="str">
        <f>IF(OR(ISBLANK(C2919),C2919=""),"",ROUND((C2919-B2919)*24,2))</f>
        <v/>
      </c>
      <c r="N2919" s="22" t="str">
        <f>IF(OR(ISBLANK(C2919),C2919="",M2919=""),"In Progress",IF(M2919&lt;=J2919,"Met","Breached"))</f>
        <v>In Progress</v>
      </c>
    </row>
    <row r="2920" ht="19" customHeight="1" spans="1:14" x14ac:dyDescent="0.25">
      <c r="A2920" s="19" t="s">
        <v>3034</v>
      </c>
      <c r="B2920" s="33">
        <v>45875.50555555556</v>
      </c>
      <c r="C2920" s="33">
        <v>45877.82430555555</v>
      </c>
      <c r="D2920" s="19" t="s">
        <v>36</v>
      </c>
      <c r="E2920" s="19" t="s">
        <v>65</v>
      </c>
      <c r="F2920" s="19" t="s">
        <v>34</v>
      </c>
      <c r="G2920" s="19" t="s">
        <v>126</v>
      </c>
      <c r="H2920" s="19" t="s">
        <v>59</v>
      </c>
      <c r="I2920" s="19" t="s">
        <v>111</v>
      </c>
      <c r="J2920" s="20">
        <v>48</v>
      </c>
      <c r="K2920" s="34">
        <v>0</v>
      </c>
      <c r="M2920" s="19">
        <f>IF(OR(ISBLANK(C2920),C2920=""),"",ROUND((C2920-B2920)*24,2))</f>
        <v>55.65</v>
      </c>
      <c r="N2920" s="39" t="str">
        <f>IF(OR(ISBLANK(C2920),C2920="",M2920=""),"In Progress",IF(M2920&lt;=J2920,"Met","Breached"))</f>
        <v>Breached</v>
      </c>
    </row>
    <row r="2921" ht="19" customHeight="1" spans="1:14" x14ac:dyDescent="0.25">
      <c r="A2921" s="22" t="s">
        <v>3035</v>
      </c>
      <c r="B2921" s="36">
        <v>45811.674305555556</v>
      </c>
      <c r="C2921" s="36">
        <v>45811.950694444444</v>
      </c>
      <c r="D2921" s="22" t="s">
        <v>33</v>
      </c>
      <c r="E2921" s="22" t="s">
        <v>57</v>
      </c>
      <c r="F2921" s="22" t="s">
        <v>37</v>
      </c>
      <c r="G2921" s="22" t="s">
        <v>126</v>
      </c>
      <c r="H2921" s="22" t="s">
        <v>59</v>
      </c>
      <c r="I2921" s="22" t="s">
        <v>123</v>
      </c>
      <c r="J2921" s="23">
        <v>4</v>
      </c>
      <c r="K2921" s="37">
        <v>0</v>
      </c>
      <c r="M2921" s="22">
        <f>IF(OR(ISBLANK(C2921),C2921=""),"",ROUND((C2921-B2921)*24,2))</f>
        <v>6.63</v>
      </c>
      <c r="N2921" s="38" t="str">
        <f>IF(OR(ISBLANK(C2921),C2921="",M2921=""),"In Progress",IF(M2921&lt;=J2921,"Met","Breached"))</f>
        <v>Breached</v>
      </c>
    </row>
    <row r="2922" ht="19" customHeight="1" spans="1:14" x14ac:dyDescent="0.25">
      <c r="A2922" s="19" t="s">
        <v>3036</v>
      </c>
      <c r="B2922" s="33">
        <v>46131.902083333334</v>
      </c>
      <c r="C2922" s="33">
        <v>46134.37777777778</v>
      </c>
      <c r="D2922" s="19" t="s">
        <v>33</v>
      </c>
      <c r="E2922" s="19" t="s">
        <v>65</v>
      </c>
      <c r="F2922" s="19" t="s">
        <v>45</v>
      </c>
      <c r="G2922" s="19" t="s">
        <v>126</v>
      </c>
      <c r="H2922" s="19" t="s">
        <v>63</v>
      </c>
      <c r="I2922" s="19" t="s">
        <v>111</v>
      </c>
      <c r="J2922" s="20">
        <v>48</v>
      </c>
      <c r="K2922" s="34">
        <v>0</v>
      </c>
      <c r="L2922" s="34">
        <v>1</v>
      </c>
      <c r="M2922" s="19">
        <f>IF(OR(ISBLANK(C2922),C2922=""),"",ROUND((C2922-B2922)*24,2))</f>
        <v>59.42</v>
      </c>
      <c r="N2922" s="39" t="str">
        <f>IF(OR(ISBLANK(C2922),C2922="",M2922=""),"In Progress",IF(M2922&lt;=J2922,"Met","Breached"))</f>
        <v>Breached</v>
      </c>
    </row>
    <row r="2923" ht="19" customHeight="1" spans="1:14" x14ac:dyDescent="0.25">
      <c r="A2923" s="22" t="s">
        <v>3037</v>
      </c>
      <c r="B2923" s="36">
        <v>46087.06458333333</v>
      </c>
      <c r="C2923" s="36">
        <v>46089.40277777778</v>
      </c>
      <c r="D2923" s="22" t="s">
        <v>33</v>
      </c>
      <c r="E2923" s="22" t="s">
        <v>65</v>
      </c>
      <c r="F2923" s="22" t="s">
        <v>43</v>
      </c>
      <c r="G2923" s="22" t="s">
        <v>110</v>
      </c>
      <c r="H2923" s="22" t="s">
        <v>59</v>
      </c>
      <c r="I2923" s="22" t="s">
        <v>117</v>
      </c>
      <c r="J2923" s="23">
        <v>48</v>
      </c>
      <c r="K2923" s="37">
        <v>0</v>
      </c>
      <c r="L2923" s="37">
        <v>3</v>
      </c>
      <c r="M2923" s="22">
        <f>IF(OR(ISBLANK(C2923),C2923=""),"",ROUND((C2923-B2923)*24,2))</f>
        <v>56.12</v>
      </c>
      <c r="N2923" s="38" t="str">
        <f>IF(OR(ISBLANK(C2923),C2923="",M2923=""),"In Progress",IF(M2923&lt;=J2923,"Met","Breached"))</f>
        <v>Breached</v>
      </c>
    </row>
    <row r="2924" ht="19" customHeight="1" spans="1:14" x14ac:dyDescent="0.25">
      <c r="A2924" s="19" t="s">
        <v>3038</v>
      </c>
      <c r="B2924" s="33">
        <v>46089.55763888889</v>
      </c>
      <c r="C2924" s="33">
        <v>46090.20972222222</v>
      </c>
      <c r="D2924" s="19" t="s">
        <v>33</v>
      </c>
      <c r="E2924" s="19" t="s">
        <v>65</v>
      </c>
      <c r="F2924" s="19" t="s">
        <v>40</v>
      </c>
      <c r="G2924" s="19" t="s">
        <v>113</v>
      </c>
      <c r="H2924" s="19" t="s">
        <v>67</v>
      </c>
      <c r="I2924" s="19" t="s">
        <v>117</v>
      </c>
      <c r="J2924" s="20">
        <v>48</v>
      </c>
      <c r="K2924" s="34">
        <v>0</v>
      </c>
      <c r="M2924" s="19">
        <f>IF(OR(ISBLANK(C2924),C2924=""),"",ROUND((C2924-B2924)*24,2))</f>
        <v>15.65</v>
      </c>
      <c r="N2924" s="35" t="str">
        <f>IF(OR(ISBLANK(C2924),C2924="",M2924=""),"In Progress",IF(M2924&lt;=J2924,"Met","Breached"))</f>
        <v>Met</v>
      </c>
    </row>
    <row r="2925" ht="19" customHeight="1" spans="1:14" x14ac:dyDescent="0.25">
      <c r="A2925" s="22" t="s">
        <v>3039</v>
      </c>
      <c r="B2925" s="36">
        <v>45697.775</v>
      </c>
      <c r="C2925" s="36">
        <v>45703.163888888885</v>
      </c>
      <c r="D2925" s="22" t="s">
        <v>33</v>
      </c>
      <c r="E2925" s="22" t="s">
        <v>69</v>
      </c>
      <c r="F2925" s="22" t="s">
        <v>40</v>
      </c>
      <c r="G2925" s="22" t="s">
        <v>63</v>
      </c>
      <c r="H2925" s="22" t="s">
        <v>67</v>
      </c>
      <c r="I2925" s="22" t="s">
        <v>147</v>
      </c>
      <c r="J2925" s="23">
        <v>120</v>
      </c>
      <c r="K2925" s="37">
        <v>0</v>
      </c>
      <c r="L2925" s="37">
        <v>5</v>
      </c>
      <c r="M2925" s="22">
        <f>IF(OR(ISBLANK(C2925),C2925=""),"",ROUND((C2925-B2925)*24,2))</f>
        <v>129.33</v>
      </c>
      <c r="N2925" s="38" t="str">
        <f>IF(OR(ISBLANK(C2925),C2925="",M2925=""),"In Progress",IF(M2925&lt;=J2925,"Met","Breached"))</f>
        <v>Breached</v>
      </c>
    </row>
    <row r="2926" ht="19" customHeight="1" spans="1:14" x14ac:dyDescent="0.25">
      <c r="A2926" s="19" t="s">
        <v>3040</v>
      </c>
      <c r="B2926" s="33">
        <v>45685.89027777778</v>
      </c>
      <c r="C2926" s="33">
        <v>45686.05763888889</v>
      </c>
      <c r="D2926" s="19" t="s">
        <v>36</v>
      </c>
      <c r="E2926" s="19" t="s">
        <v>61</v>
      </c>
      <c r="F2926" s="19" t="s">
        <v>43</v>
      </c>
      <c r="G2926" s="19" t="s">
        <v>113</v>
      </c>
      <c r="H2926" s="19" t="s">
        <v>63</v>
      </c>
      <c r="I2926" s="19" t="s">
        <v>123</v>
      </c>
      <c r="J2926" s="20">
        <v>12</v>
      </c>
      <c r="K2926" s="34">
        <v>0</v>
      </c>
      <c r="L2926" s="34">
        <v>3</v>
      </c>
      <c r="M2926" s="19">
        <f>IF(OR(ISBLANK(C2926),C2926=""),"",ROUND((C2926-B2926)*24,2))</f>
        <v>4.02</v>
      </c>
      <c r="N2926" s="35" t="str">
        <f>IF(OR(ISBLANK(C2926),C2926="",M2926=""),"In Progress",IF(M2926&lt;=J2926,"Met","Breached"))</f>
        <v>Met</v>
      </c>
    </row>
    <row r="2927" ht="19" customHeight="1" spans="1:14" x14ac:dyDescent="0.25">
      <c r="A2927" s="22" t="s">
        <v>3041</v>
      </c>
      <c r="B2927" s="36">
        <v>46235.95694444445</v>
      </c>
      <c r="C2927" s="36">
        <v>46236.226388888885</v>
      </c>
      <c r="D2927" s="22" t="s">
        <v>33</v>
      </c>
      <c r="E2927" s="22" t="s">
        <v>61</v>
      </c>
      <c r="F2927" s="22" t="s">
        <v>43</v>
      </c>
      <c r="G2927" s="22" t="s">
        <v>116</v>
      </c>
      <c r="H2927" s="22" t="s">
        <v>59</v>
      </c>
      <c r="I2927" s="22" t="s">
        <v>108</v>
      </c>
      <c r="J2927" s="23">
        <v>12</v>
      </c>
      <c r="K2927" s="37">
        <v>0</v>
      </c>
      <c r="L2927" s="37">
        <v>3</v>
      </c>
      <c r="M2927" s="22">
        <f>IF(OR(ISBLANK(C2927),C2927=""),"",ROUND((C2927-B2927)*24,2))</f>
        <v>6.47</v>
      </c>
      <c r="N2927" s="40" t="str">
        <f>IF(OR(ISBLANK(C2927),C2927="",M2927=""),"In Progress",IF(M2927&lt;=J2927,"Met","Breached"))</f>
        <v>Met</v>
      </c>
    </row>
    <row r="2928" ht="19" customHeight="1" spans="1:14" x14ac:dyDescent="0.25">
      <c r="A2928" s="19" t="s">
        <v>3042</v>
      </c>
      <c r="B2928" s="33">
        <v>45864.06041666667</v>
      </c>
      <c r="C2928" s="33">
        <v>45866.37777777778</v>
      </c>
      <c r="D2928" s="19" t="s">
        <v>36</v>
      </c>
      <c r="E2928" s="19" t="s">
        <v>65</v>
      </c>
      <c r="F2928" s="19" t="s">
        <v>40</v>
      </c>
      <c r="G2928" s="19" t="s">
        <v>113</v>
      </c>
      <c r="H2928" s="19" t="s">
        <v>63</v>
      </c>
      <c r="I2928" s="19" t="s">
        <v>111</v>
      </c>
      <c r="J2928" s="20">
        <v>48</v>
      </c>
      <c r="K2928" s="34">
        <v>0</v>
      </c>
      <c r="L2928" s="34">
        <v>4</v>
      </c>
      <c r="M2928" s="19">
        <f>IF(OR(ISBLANK(C2928),C2928=""),"",ROUND((C2928-B2928)*24,2))</f>
        <v>55.62</v>
      </c>
      <c r="N2928" s="39" t="str">
        <f>IF(OR(ISBLANK(C2928),C2928="",M2928=""),"In Progress",IF(M2928&lt;=J2928,"Met","Breached"))</f>
        <v>Breached</v>
      </c>
    </row>
    <row r="2929" ht="19" customHeight="1" spans="1:14" x14ac:dyDescent="0.25">
      <c r="A2929" s="22" t="s">
        <v>3043</v>
      </c>
      <c r="B2929" s="36">
        <v>46162.40763888889</v>
      </c>
      <c r="C2929" s="36">
        <v>46165.45208333334</v>
      </c>
      <c r="D2929" s="22" t="s">
        <v>33</v>
      </c>
      <c r="E2929" s="22" t="s">
        <v>69</v>
      </c>
      <c r="F2929" s="22" t="s">
        <v>37</v>
      </c>
      <c r="G2929" s="22" t="s">
        <v>116</v>
      </c>
      <c r="H2929" s="22" t="s">
        <v>59</v>
      </c>
      <c r="I2929" s="22" t="s">
        <v>108</v>
      </c>
      <c r="J2929" s="23">
        <v>120</v>
      </c>
      <c r="K2929" s="37">
        <v>0</v>
      </c>
      <c r="L2929" s="37">
        <v>1</v>
      </c>
      <c r="M2929" s="22">
        <f>IF(OR(ISBLANK(C2929),C2929=""),"",ROUND((C2929-B2929)*24,2))</f>
        <v>73.07</v>
      </c>
      <c r="N2929" s="40" t="str">
        <f>IF(OR(ISBLANK(C2929),C2929="",M2929=""),"In Progress",IF(M2929&lt;=J2929,"Met","Breached"))</f>
        <v>Met</v>
      </c>
    </row>
    <row r="2930" ht="19" customHeight="1" spans="1:14" x14ac:dyDescent="0.25">
      <c r="A2930" s="19" t="s">
        <v>3044</v>
      </c>
      <c r="B2930" s="33">
        <v>45775.34097222222</v>
      </c>
      <c r="C2930" s="33">
        <v>45776.9875</v>
      </c>
      <c r="D2930" s="19" t="s">
        <v>33</v>
      </c>
      <c r="E2930" s="19" t="s">
        <v>65</v>
      </c>
      <c r="F2930" s="19" t="s">
        <v>43</v>
      </c>
      <c r="G2930" s="19" t="s">
        <v>126</v>
      </c>
      <c r="H2930" s="19" t="s">
        <v>63</v>
      </c>
      <c r="I2930" s="19" t="s">
        <v>123</v>
      </c>
      <c r="J2930" s="20">
        <v>48</v>
      </c>
      <c r="K2930" s="34">
        <v>0</v>
      </c>
      <c r="L2930" s="34">
        <v>1</v>
      </c>
      <c r="M2930" s="19">
        <f>IF(OR(ISBLANK(C2930),C2930=""),"",ROUND((C2930-B2930)*24,2))</f>
        <v>39.52</v>
      </c>
      <c r="N2930" s="35" t="str">
        <f>IF(OR(ISBLANK(C2930),C2930="",M2930=""),"In Progress",IF(M2930&lt;=J2930,"Met","Breached"))</f>
        <v>Met</v>
      </c>
    </row>
    <row r="2931" ht="19" customHeight="1" spans="1:14" x14ac:dyDescent="0.25">
      <c r="A2931" s="22" t="s">
        <v>3045</v>
      </c>
      <c r="B2931" s="36">
        <v>46106.129166666666</v>
      </c>
      <c r="C2931" s="36">
        <v>46113.96666666667</v>
      </c>
      <c r="D2931" s="22" t="s">
        <v>33</v>
      </c>
      <c r="E2931" s="22" t="s">
        <v>69</v>
      </c>
      <c r="F2931" s="22" t="s">
        <v>37</v>
      </c>
      <c r="G2931" s="22" t="s">
        <v>126</v>
      </c>
      <c r="H2931" s="22" t="s">
        <v>59</v>
      </c>
      <c r="I2931" s="22" t="s">
        <v>108</v>
      </c>
      <c r="J2931" s="23">
        <v>120</v>
      </c>
      <c r="K2931" s="37">
        <v>0</v>
      </c>
      <c r="L2931" s="37">
        <v>5</v>
      </c>
      <c r="M2931" s="22">
        <f>IF(OR(ISBLANK(C2931),C2931=""),"",ROUND((C2931-B2931)*24,2))</f>
        <v>188.1</v>
      </c>
      <c r="N2931" s="38" t="str">
        <f>IF(OR(ISBLANK(C2931),C2931="",M2931=""),"In Progress",IF(M2931&lt;=J2931,"Met","Breached"))</f>
        <v>Breached</v>
      </c>
    </row>
    <row r="2932" ht="19" customHeight="1" spans="1:14" x14ac:dyDescent="0.25">
      <c r="A2932" s="19" t="s">
        <v>3046</v>
      </c>
      <c r="B2932" s="33">
        <v>46138.1125</v>
      </c>
      <c r="C2932" s="33">
        <v>46141.21527777778</v>
      </c>
      <c r="D2932" s="19" t="s">
        <v>33</v>
      </c>
      <c r="E2932" s="19" t="s">
        <v>65</v>
      </c>
      <c r="F2932" s="19" t="s">
        <v>43</v>
      </c>
      <c r="G2932" s="19" t="s">
        <v>116</v>
      </c>
      <c r="H2932" s="19" t="s">
        <v>67</v>
      </c>
      <c r="I2932" s="19" t="s">
        <v>117</v>
      </c>
      <c r="J2932" s="20">
        <v>48</v>
      </c>
      <c r="K2932" s="34">
        <v>0</v>
      </c>
      <c r="M2932" s="19">
        <f>IF(OR(ISBLANK(C2932),C2932=""),"",ROUND((C2932-B2932)*24,2))</f>
        <v>74.47</v>
      </c>
      <c r="N2932" s="39" t="str">
        <f>IF(OR(ISBLANK(C2932),C2932="",M2932=""),"In Progress",IF(M2932&lt;=J2932,"Met","Breached"))</f>
        <v>Breached</v>
      </c>
    </row>
    <row r="2933" ht="19" customHeight="1" spans="1:14" x14ac:dyDescent="0.25">
      <c r="A2933" s="22" t="s">
        <v>3047</v>
      </c>
      <c r="B2933" s="36">
        <v>46140.51041666667</v>
      </c>
      <c r="C2933" s="36">
        <v>46141.347916666666</v>
      </c>
      <c r="D2933" s="22" t="s">
        <v>33</v>
      </c>
      <c r="E2933" s="22" t="s">
        <v>65</v>
      </c>
      <c r="F2933" s="22" t="s">
        <v>37</v>
      </c>
      <c r="G2933" s="22" t="s">
        <v>116</v>
      </c>
      <c r="H2933" s="22" t="s">
        <v>63</v>
      </c>
      <c r="I2933" s="22" t="s">
        <v>114</v>
      </c>
      <c r="J2933" s="23">
        <v>48</v>
      </c>
      <c r="K2933" s="37">
        <v>0</v>
      </c>
      <c r="L2933" s="37">
        <v>1</v>
      </c>
      <c r="M2933" s="22">
        <f>IF(OR(ISBLANK(C2933),C2933=""),"",ROUND((C2933-B2933)*24,2))</f>
        <v>20.1</v>
      </c>
      <c r="N2933" s="40" t="str">
        <f>IF(OR(ISBLANK(C2933),C2933="",M2933=""),"In Progress",IF(M2933&lt;=J2933,"Met","Breached"))</f>
        <v>Met</v>
      </c>
    </row>
    <row r="2934" ht="19" customHeight="1" spans="1:14" x14ac:dyDescent="0.25">
      <c r="A2934" s="19" t="s">
        <v>3048</v>
      </c>
      <c r="B2934" s="33">
        <v>46233.34722222222</v>
      </c>
      <c r="C2934" s="33">
        <v>46233.955555555556</v>
      </c>
      <c r="D2934" s="19" t="s">
        <v>33</v>
      </c>
      <c r="E2934" s="19" t="s">
        <v>65</v>
      </c>
      <c r="F2934" s="19" t="s">
        <v>37</v>
      </c>
      <c r="G2934" s="19" t="s">
        <v>110</v>
      </c>
      <c r="H2934" s="19" t="s">
        <v>63</v>
      </c>
      <c r="I2934" s="19" t="s">
        <v>117</v>
      </c>
      <c r="J2934" s="20">
        <v>48</v>
      </c>
      <c r="K2934" s="34">
        <v>0</v>
      </c>
      <c r="L2934" s="34">
        <v>5</v>
      </c>
      <c r="M2934" s="19">
        <f>IF(OR(ISBLANK(C2934),C2934=""),"",ROUND((C2934-B2934)*24,2))</f>
        <v>14.6</v>
      </c>
      <c r="N2934" s="35" t="str">
        <f>IF(OR(ISBLANK(C2934),C2934="",M2934=""),"In Progress",IF(M2934&lt;=J2934,"Met","Breached"))</f>
        <v>Met</v>
      </c>
    </row>
    <row r="2935" ht="19" customHeight="1" spans="1:14" x14ac:dyDescent="0.25">
      <c r="A2935" s="22" t="s">
        <v>3049</v>
      </c>
      <c r="B2935" s="36">
        <v>45858.10416666667</v>
      </c>
      <c r="C2935" s="36">
        <v>45865.441666666666</v>
      </c>
      <c r="D2935" s="22" t="s">
        <v>33</v>
      </c>
      <c r="E2935" s="22" t="s">
        <v>69</v>
      </c>
      <c r="F2935" s="22" t="s">
        <v>37</v>
      </c>
      <c r="G2935" s="22" t="s">
        <v>121</v>
      </c>
      <c r="H2935" s="22" t="s">
        <v>59</v>
      </c>
      <c r="I2935" s="22" t="s">
        <v>108</v>
      </c>
      <c r="J2935" s="23">
        <v>120</v>
      </c>
      <c r="K2935" s="37">
        <v>0</v>
      </c>
      <c r="L2935" s="37">
        <v>3</v>
      </c>
      <c r="M2935" s="22">
        <f>IF(OR(ISBLANK(C2935),C2935=""),"",ROUND((C2935-B2935)*24,2))</f>
        <v>176.1</v>
      </c>
      <c r="N2935" s="38" t="str">
        <f>IF(OR(ISBLANK(C2935),C2935="",M2935=""),"In Progress",IF(M2935&lt;=J2935,"Met","Breached"))</f>
        <v>Breached</v>
      </c>
    </row>
    <row r="2936" ht="19" customHeight="1" spans="1:14" x14ac:dyDescent="0.25">
      <c r="A2936" s="19" t="s">
        <v>3050</v>
      </c>
      <c r="B2936" s="33">
        <v>45987.50277777778</v>
      </c>
      <c r="C2936" s="33">
        <v>45988.16527777778</v>
      </c>
      <c r="D2936" s="19" t="s">
        <v>33</v>
      </c>
      <c r="E2936" s="19" t="s">
        <v>61</v>
      </c>
      <c r="F2936" s="19" t="s">
        <v>37</v>
      </c>
      <c r="G2936" s="19" t="s">
        <v>121</v>
      </c>
      <c r="H2936" s="19" t="s">
        <v>67</v>
      </c>
      <c r="I2936" s="19" t="s">
        <v>117</v>
      </c>
      <c r="J2936" s="20">
        <v>12</v>
      </c>
      <c r="K2936" s="34">
        <v>0</v>
      </c>
      <c r="L2936" s="34">
        <v>3</v>
      </c>
      <c r="M2936" s="19">
        <f>IF(OR(ISBLANK(C2936),C2936=""),"",ROUND((C2936-B2936)*24,2))</f>
        <v>15.9</v>
      </c>
      <c r="N2936" s="39" t="str">
        <f>IF(OR(ISBLANK(C2936),C2936="",M2936=""),"In Progress",IF(M2936&lt;=J2936,"Met","Breached"))</f>
        <v>Breached</v>
      </c>
    </row>
    <row r="2937" ht="19" customHeight="1" spans="1:14" x14ac:dyDescent="0.25">
      <c r="A2937" s="22" t="s">
        <v>3051</v>
      </c>
      <c r="B2937" s="36">
        <v>46093.924305555556</v>
      </c>
      <c r="C2937" s="36">
        <v>46095.38680555555</v>
      </c>
      <c r="D2937" s="22" t="s">
        <v>36</v>
      </c>
      <c r="E2937" s="22" t="s">
        <v>65</v>
      </c>
      <c r="F2937" s="22" t="s">
        <v>37</v>
      </c>
      <c r="G2937" s="22" t="s">
        <v>121</v>
      </c>
      <c r="H2937" s="22" t="s">
        <v>71</v>
      </c>
      <c r="I2937" s="22" t="s">
        <v>117</v>
      </c>
      <c r="J2937" s="23">
        <v>48</v>
      </c>
      <c r="K2937" s="37">
        <v>0</v>
      </c>
      <c r="L2937" s="37">
        <v>3</v>
      </c>
      <c r="M2937" s="22">
        <f>IF(OR(ISBLANK(C2937),C2937=""),"",ROUND((C2937-B2937)*24,2))</f>
        <v>35.1</v>
      </c>
      <c r="N2937" s="40" t="str">
        <f>IF(OR(ISBLANK(C2937),C2937="",M2937=""),"In Progress",IF(M2937&lt;=J2937,"Met","Breached"))</f>
        <v>Met</v>
      </c>
    </row>
    <row r="2938" ht="19" customHeight="1" spans="1:14" x14ac:dyDescent="0.25">
      <c r="A2938" s="19" t="s">
        <v>3052</v>
      </c>
      <c r="B2938" s="33">
        <v>46210.70972222222</v>
      </c>
      <c r="D2938" s="19" t="s">
        <v>42</v>
      </c>
      <c r="E2938" s="19" t="s">
        <v>65</v>
      </c>
      <c r="F2938" s="19" t="s">
        <v>43</v>
      </c>
      <c r="G2938" s="19" t="s">
        <v>63</v>
      </c>
      <c r="H2938" s="19" t="s">
        <v>63</v>
      </c>
      <c r="I2938" s="19" t="s">
        <v>117</v>
      </c>
      <c r="J2938" s="20">
        <v>48</v>
      </c>
      <c r="K2938" s="34">
        <v>0</v>
      </c>
      <c r="M2938" s="19" t="str">
        <f>IF(OR(ISBLANK(C2938),C2938=""),"",ROUND((C2938-B2938)*24,2))</f>
        <v/>
      </c>
      <c r="N2938" s="19" t="str">
        <f>IF(OR(ISBLANK(C2938),C2938="",M2938=""),"In Progress",IF(M2938&lt;=J2938,"Met","Breached"))</f>
        <v>In Progress</v>
      </c>
    </row>
    <row r="2939" ht="19" customHeight="1" spans="1:14" x14ac:dyDescent="0.25">
      <c r="A2939" s="22" t="s">
        <v>3053</v>
      </c>
      <c r="B2939" s="36">
        <v>46216.78611111111</v>
      </c>
      <c r="C2939" s="36">
        <v>46217.634722222225</v>
      </c>
      <c r="D2939" s="22" t="s">
        <v>36</v>
      </c>
      <c r="E2939" s="22" t="s">
        <v>61</v>
      </c>
      <c r="F2939" s="22" t="s">
        <v>43</v>
      </c>
      <c r="G2939" s="22" t="s">
        <v>121</v>
      </c>
      <c r="H2939" s="22" t="s">
        <v>67</v>
      </c>
      <c r="I2939" s="22" t="s">
        <v>147</v>
      </c>
      <c r="J2939" s="23">
        <v>12</v>
      </c>
      <c r="K2939" s="37">
        <v>0</v>
      </c>
      <c r="L2939" s="37">
        <v>5</v>
      </c>
      <c r="M2939" s="22">
        <f>IF(OR(ISBLANK(C2939),C2939=""),"",ROUND((C2939-B2939)*24,2))</f>
        <v>20.37</v>
      </c>
      <c r="N2939" s="38" t="str">
        <f>IF(OR(ISBLANK(C2939),C2939="",M2939=""),"In Progress",IF(M2939&lt;=J2939,"Met","Breached"))</f>
        <v>Breached</v>
      </c>
    </row>
    <row r="2940" ht="19" customHeight="1" spans="1:14" x14ac:dyDescent="0.25">
      <c r="A2940" s="19" t="s">
        <v>3054</v>
      </c>
      <c r="B2940" s="33">
        <v>45828.388194444444</v>
      </c>
      <c r="C2940" s="33">
        <v>45830.76597222222</v>
      </c>
      <c r="D2940" s="19" t="s">
        <v>33</v>
      </c>
      <c r="E2940" s="19" t="s">
        <v>65</v>
      </c>
      <c r="F2940" s="19" t="s">
        <v>37</v>
      </c>
      <c r="G2940" s="19" t="s">
        <v>63</v>
      </c>
      <c r="H2940" s="19" t="s">
        <v>67</v>
      </c>
      <c r="I2940" s="19" t="s">
        <v>147</v>
      </c>
      <c r="J2940" s="20">
        <v>48</v>
      </c>
      <c r="K2940" s="34">
        <v>1</v>
      </c>
      <c r="L2940" s="34">
        <v>1</v>
      </c>
      <c r="M2940" s="19">
        <f>IF(OR(ISBLANK(C2940),C2940=""),"",ROUND((C2940-B2940)*24,2))</f>
        <v>57.07</v>
      </c>
      <c r="N2940" s="39" t="str">
        <f>IF(OR(ISBLANK(C2940),C2940="",M2940=""),"In Progress",IF(M2940&lt;=J2940,"Met","Breached"))</f>
        <v>Breached</v>
      </c>
    </row>
    <row r="2941" ht="19" customHeight="1" spans="1:14" x14ac:dyDescent="0.25">
      <c r="A2941" s="22" t="s">
        <v>3055</v>
      </c>
      <c r="B2941" s="36">
        <v>46234.62847222222</v>
      </c>
      <c r="C2941" s="36">
        <v>46241.62222222222</v>
      </c>
      <c r="D2941" s="22" t="s">
        <v>36</v>
      </c>
      <c r="E2941" s="22" t="s">
        <v>69</v>
      </c>
      <c r="F2941" s="22" t="s">
        <v>40</v>
      </c>
      <c r="G2941" s="22" t="s">
        <v>116</v>
      </c>
      <c r="H2941" s="22" t="s">
        <v>71</v>
      </c>
      <c r="I2941" s="22" t="s">
        <v>117</v>
      </c>
      <c r="J2941" s="23">
        <v>120</v>
      </c>
      <c r="K2941" s="37">
        <v>1</v>
      </c>
      <c r="M2941" s="22">
        <f>IF(OR(ISBLANK(C2941),C2941=""),"",ROUND((C2941-B2941)*24,2))</f>
        <v>167.85</v>
      </c>
      <c r="N2941" s="38" t="str">
        <f>IF(OR(ISBLANK(C2941),C2941="",M2941=""),"In Progress",IF(M2941&lt;=J2941,"Met","Breached"))</f>
        <v>Breached</v>
      </c>
    </row>
    <row r="2942" ht="19" customHeight="1" spans="1:14" x14ac:dyDescent="0.25">
      <c r="A2942" s="19" t="s">
        <v>3056</v>
      </c>
      <c r="B2942" s="33">
        <v>45967.77638888889</v>
      </c>
      <c r="C2942" s="33">
        <v>45968.69097222222</v>
      </c>
      <c r="D2942" s="19" t="s">
        <v>36</v>
      </c>
      <c r="E2942" s="19" t="s">
        <v>65</v>
      </c>
      <c r="F2942" s="19" t="s">
        <v>43</v>
      </c>
      <c r="G2942" s="19" t="s">
        <v>121</v>
      </c>
      <c r="H2942" s="19" t="s">
        <v>59</v>
      </c>
      <c r="I2942" s="19" t="s">
        <v>147</v>
      </c>
      <c r="J2942" s="20">
        <v>48</v>
      </c>
      <c r="K2942" s="34">
        <v>0</v>
      </c>
      <c r="L2942" s="34">
        <v>5</v>
      </c>
      <c r="M2942" s="19">
        <f>IF(OR(ISBLANK(C2942),C2942=""),"",ROUND((C2942-B2942)*24,2))</f>
        <v>21.95</v>
      </c>
      <c r="N2942" s="35" t="str">
        <f>IF(OR(ISBLANK(C2942),C2942="",M2942=""),"In Progress",IF(M2942&lt;=J2942,"Met","Breached"))</f>
        <v>Met</v>
      </c>
    </row>
    <row r="2943" ht="19" customHeight="1" spans="1:14" x14ac:dyDescent="0.25">
      <c r="A2943" s="22" t="s">
        <v>3057</v>
      </c>
      <c r="B2943" s="36">
        <v>45711.964583333334</v>
      </c>
      <c r="C2943" s="36">
        <v>45713.15902777778</v>
      </c>
      <c r="D2943" s="22" t="s">
        <v>33</v>
      </c>
      <c r="E2943" s="22" t="s">
        <v>65</v>
      </c>
      <c r="F2943" s="22" t="s">
        <v>43</v>
      </c>
      <c r="G2943" s="22" t="s">
        <v>121</v>
      </c>
      <c r="H2943" s="22" t="s">
        <v>59</v>
      </c>
      <c r="I2943" s="22" t="s">
        <v>117</v>
      </c>
      <c r="J2943" s="23">
        <v>48</v>
      </c>
      <c r="K2943" s="37">
        <v>0</v>
      </c>
      <c r="L2943" s="37">
        <v>1</v>
      </c>
      <c r="M2943" s="22">
        <f>IF(OR(ISBLANK(C2943),C2943=""),"",ROUND((C2943-B2943)*24,2))</f>
        <v>28.67</v>
      </c>
      <c r="N2943" s="40" t="str">
        <f>IF(OR(ISBLANK(C2943),C2943="",M2943=""),"In Progress",IF(M2943&lt;=J2943,"Met","Breached"))</f>
        <v>Met</v>
      </c>
    </row>
    <row r="2944" ht="19" customHeight="1" spans="1:14" x14ac:dyDescent="0.25">
      <c r="A2944" s="19" t="s">
        <v>3058</v>
      </c>
      <c r="B2944" s="33">
        <v>45921.76111111111</v>
      </c>
      <c r="C2944" s="33">
        <v>45923.17847222222</v>
      </c>
      <c r="D2944" s="19" t="s">
        <v>33</v>
      </c>
      <c r="E2944" s="19" t="s">
        <v>65</v>
      </c>
      <c r="F2944" s="19" t="s">
        <v>37</v>
      </c>
      <c r="G2944" s="19" t="s">
        <v>63</v>
      </c>
      <c r="H2944" s="19" t="s">
        <v>59</v>
      </c>
      <c r="I2944" s="19" t="s">
        <v>114</v>
      </c>
      <c r="J2944" s="20">
        <v>48</v>
      </c>
      <c r="K2944" s="34">
        <v>0</v>
      </c>
      <c r="L2944" s="34">
        <v>3</v>
      </c>
      <c r="M2944" s="19">
        <f>IF(OR(ISBLANK(C2944),C2944=""),"",ROUND((C2944-B2944)*24,2))</f>
        <v>34.02</v>
      </c>
      <c r="N2944" s="35" t="str">
        <f>IF(OR(ISBLANK(C2944),C2944="",M2944=""),"In Progress",IF(M2944&lt;=J2944,"Met","Breached"))</f>
        <v>Met</v>
      </c>
    </row>
    <row r="2945" ht="19" customHeight="1" spans="1:14" x14ac:dyDescent="0.25">
      <c r="A2945" s="22" t="s">
        <v>3059</v>
      </c>
      <c r="B2945" s="36">
        <v>45661.07638888889</v>
      </c>
      <c r="C2945" s="36">
        <v>45664.743055555555</v>
      </c>
      <c r="D2945" s="22" t="s">
        <v>33</v>
      </c>
      <c r="E2945" s="22" t="s">
        <v>69</v>
      </c>
      <c r="F2945" s="22" t="s">
        <v>45</v>
      </c>
      <c r="G2945" s="22" t="s">
        <v>126</v>
      </c>
      <c r="H2945" s="22" t="s">
        <v>67</v>
      </c>
      <c r="I2945" s="22" t="s">
        <v>111</v>
      </c>
      <c r="J2945" s="23">
        <v>120</v>
      </c>
      <c r="K2945" s="37">
        <v>0</v>
      </c>
      <c r="M2945" s="22">
        <f>IF(OR(ISBLANK(C2945),C2945=""),"",ROUND((C2945-B2945)*24,2))</f>
        <v>88</v>
      </c>
      <c r="N2945" s="40" t="str">
        <f>IF(OR(ISBLANK(C2945),C2945="",M2945=""),"In Progress",IF(M2945&lt;=J2945,"Met","Breached"))</f>
        <v>Met</v>
      </c>
    </row>
    <row r="2946" ht="19" customHeight="1" spans="1:14" x14ac:dyDescent="0.25">
      <c r="A2946" s="19" t="s">
        <v>3060</v>
      </c>
      <c r="B2946" s="33">
        <v>46260.492361111115</v>
      </c>
      <c r="C2946" s="33">
        <v>46261.13611111111</v>
      </c>
      <c r="D2946" s="19" t="s">
        <v>33</v>
      </c>
      <c r="E2946" s="19" t="s">
        <v>65</v>
      </c>
      <c r="F2946" s="19" t="s">
        <v>43</v>
      </c>
      <c r="G2946" s="19" t="s">
        <v>116</v>
      </c>
      <c r="H2946" s="19" t="s">
        <v>59</v>
      </c>
      <c r="I2946" s="19" t="s">
        <v>114</v>
      </c>
      <c r="J2946" s="20">
        <v>48</v>
      </c>
      <c r="K2946" s="34">
        <v>0</v>
      </c>
      <c r="L2946" s="34">
        <v>3</v>
      </c>
      <c r="M2946" s="19">
        <f>IF(OR(ISBLANK(C2946),C2946=""),"",ROUND((C2946-B2946)*24,2))</f>
        <v>15.45</v>
      </c>
      <c r="N2946" s="35" t="str">
        <f>IF(OR(ISBLANK(C2946),C2946="",M2946=""),"In Progress",IF(M2946&lt;=J2946,"Met","Breached"))</f>
        <v>Met</v>
      </c>
    </row>
    <row r="2947" ht="19" customHeight="1" spans="1:14" x14ac:dyDescent="0.25">
      <c r="A2947" s="22" t="s">
        <v>3061</v>
      </c>
      <c r="B2947" s="36">
        <v>45746.51527777778</v>
      </c>
      <c r="C2947" s="36">
        <v>45750.084027777775</v>
      </c>
      <c r="D2947" s="22" t="s">
        <v>33</v>
      </c>
      <c r="E2947" s="22" t="s">
        <v>65</v>
      </c>
      <c r="F2947" s="22" t="s">
        <v>34</v>
      </c>
      <c r="G2947" s="22" t="s">
        <v>116</v>
      </c>
      <c r="H2947" s="22" t="s">
        <v>67</v>
      </c>
      <c r="I2947" s="22" t="s">
        <v>123</v>
      </c>
      <c r="J2947" s="23">
        <v>48</v>
      </c>
      <c r="K2947" s="37">
        <v>0</v>
      </c>
      <c r="M2947" s="22">
        <f>IF(OR(ISBLANK(C2947),C2947=""),"",ROUND((C2947-B2947)*24,2))</f>
        <v>85.65</v>
      </c>
      <c r="N2947" s="38" t="str">
        <f>IF(OR(ISBLANK(C2947),C2947="",M2947=""),"In Progress",IF(M2947&lt;=J2947,"Met","Breached"))</f>
        <v>Breached</v>
      </c>
    </row>
    <row r="2948" ht="19" customHeight="1" spans="1:14" x14ac:dyDescent="0.25">
      <c r="A2948" s="19" t="s">
        <v>3062</v>
      </c>
      <c r="B2948" s="33">
        <v>46029.339583333334</v>
      </c>
      <c r="C2948" s="33">
        <v>46031.69375</v>
      </c>
      <c r="D2948" s="19" t="s">
        <v>33</v>
      </c>
      <c r="E2948" s="19" t="s">
        <v>65</v>
      </c>
      <c r="F2948" s="19" t="s">
        <v>40</v>
      </c>
      <c r="G2948" s="19" t="s">
        <v>113</v>
      </c>
      <c r="H2948" s="19" t="s">
        <v>67</v>
      </c>
      <c r="I2948" s="19" t="s">
        <v>114</v>
      </c>
      <c r="J2948" s="20">
        <v>48</v>
      </c>
      <c r="K2948" s="34">
        <v>1</v>
      </c>
      <c r="M2948" s="19">
        <f>IF(OR(ISBLANK(C2948),C2948=""),"",ROUND((C2948-B2948)*24,2))</f>
        <v>56.5</v>
      </c>
      <c r="N2948" s="39" t="str">
        <f>IF(OR(ISBLANK(C2948),C2948="",M2948=""),"In Progress",IF(M2948&lt;=J2948,"Met","Breached"))</f>
        <v>Breached</v>
      </c>
    </row>
    <row r="2949" ht="19" customHeight="1" spans="1:14" x14ac:dyDescent="0.25">
      <c r="A2949" s="22" t="s">
        <v>3063</v>
      </c>
      <c r="B2949" s="36">
        <v>46255.33194444445</v>
      </c>
      <c r="C2949" s="36">
        <v>46263.54513888889</v>
      </c>
      <c r="D2949" s="22" t="s">
        <v>33</v>
      </c>
      <c r="E2949" s="22" t="s">
        <v>69</v>
      </c>
      <c r="F2949" s="22" t="s">
        <v>34</v>
      </c>
      <c r="G2949" s="22" t="s">
        <v>116</v>
      </c>
      <c r="H2949" s="22" t="s">
        <v>71</v>
      </c>
      <c r="I2949" s="22" t="s">
        <v>108</v>
      </c>
      <c r="J2949" s="23">
        <v>120</v>
      </c>
      <c r="K2949" s="37">
        <v>0</v>
      </c>
      <c r="M2949" s="22">
        <f>IF(OR(ISBLANK(C2949),C2949=""),"",ROUND((C2949-B2949)*24,2))</f>
        <v>197.12</v>
      </c>
      <c r="N2949" s="38" t="str">
        <f>IF(OR(ISBLANK(C2949),C2949="",M2949=""),"In Progress",IF(M2949&lt;=J2949,"Met","Breached"))</f>
        <v>Breached</v>
      </c>
    </row>
    <row r="2950" ht="19" customHeight="1" spans="1:14" x14ac:dyDescent="0.25">
      <c r="A2950" s="19" t="s">
        <v>3064</v>
      </c>
      <c r="B2950" s="33">
        <v>46079.24791666667</v>
      </c>
      <c r="C2950" s="33">
        <v>46079.86666666667</v>
      </c>
      <c r="D2950" s="19" t="s">
        <v>36</v>
      </c>
      <c r="E2950" s="19" t="s">
        <v>61</v>
      </c>
      <c r="F2950" s="19" t="s">
        <v>43</v>
      </c>
      <c r="G2950" s="19" t="s">
        <v>126</v>
      </c>
      <c r="H2950" s="19" t="s">
        <v>63</v>
      </c>
      <c r="I2950" s="19" t="s">
        <v>147</v>
      </c>
      <c r="J2950" s="20">
        <v>12</v>
      </c>
      <c r="K2950" s="34">
        <v>0</v>
      </c>
      <c r="L2950" s="34">
        <v>2</v>
      </c>
      <c r="M2950" s="19">
        <f>IF(OR(ISBLANK(C2950),C2950=""),"",ROUND((C2950-B2950)*24,2))</f>
        <v>14.85</v>
      </c>
      <c r="N2950" s="39" t="str">
        <f>IF(OR(ISBLANK(C2950),C2950="",M2950=""),"In Progress",IF(M2950&lt;=J2950,"Met","Breached"))</f>
        <v>Breached</v>
      </c>
    </row>
    <row r="2951" ht="19" customHeight="1" spans="1:14" x14ac:dyDescent="0.25">
      <c r="A2951" s="22" t="s">
        <v>3065</v>
      </c>
      <c r="B2951" s="36">
        <v>45994.625</v>
      </c>
      <c r="C2951" s="36">
        <v>46000.961111111115</v>
      </c>
      <c r="D2951" s="22" t="s">
        <v>33</v>
      </c>
      <c r="E2951" s="22" t="s">
        <v>69</v>
      </c>
      <c r="F2951" s="22" t="s">
        <v>34</v>
      </c>
      <c r="G2951" s="22" t="s">
        <v>126</v>
      </c>
      <c r="H2951" s="22" t="s">
        <v>71</v>
      </c>
      <c r="I2951" s="22" t="s">
        <v>114</v>
      </c>
      <c r="J2951" s="23">
        <v>120</v>
      </c>
      <c r="K2951" s="37">
        <v>0</v>
      </c>
      <c r="L2951" s="37">
        <v>4</v>
      </c>
      <c r="M2951" s="22">
        <f>IF(OR(ISBLANK(C2951),C2951=""),"",ROUND((C2951-B2951)*24,2))</f>
        <v>152.07</v>
      </c>
      <c r="N2951" s="38" t="str">
        <f>IF(OR(ISBLANK(C2951),C2951="",M2951=""),"In Progress",IF(M2951&lt;=J2951,"Met","Breached"))</f>
        <v>Breached</v>
      </c>
    </row>
    <row r="2952" ht="19" customHeight="1" spans="1:14" x14ac:dyDescent="0.25">
      <c r="A2952" s="19" t="s">
        <v>3066</v>
      </c>
      <c r="B2952" s="33">
        <v>45726.43611111111</v>
      </c>
      <c r="C2952" s="33">
        <v>45727.22708333333</v>
      </c>
      <c r="D2952" s="19" t="s">
        <v>36</v>
      </c>
      <c r="E2952" s="19" t="s">
        <v>61</v>
      </c>
      <c r="F2952" s="19" t="s">
        <v>37</v>
      </c>
      <c r="G2952" s="19" t="s">
        <v>126</v>
      </c>
      <c r="H2952" s="19" t="s">
        <v>63</v>
      </c>
      <c r="I2952" s="19" t="s">
        <v>111</v>
      </c>
      <c r="J2952" s="20">
        <v>12</v>
      </c>
      <c r="K2952" s="34">
        <v>0</v>
      </c>
      <c r="L2952" s="34">
        <v>5</v>
      </c>
      <c r="M2952" s="19">
        <f>IF(OR(ISBLANK(C2952),C2952=""),"",ROUND((C2952-B2952)*24,2))</f>
        <v>18.98</v>
      </c>
      <c r="N2952" s="39" t="str">
        <f>IF(OR(ISBLANK(C2952),C2952="",M2952=""),"In Progress",IF(M2952&lt;=J2952,"Met","Breached"))</f>
        <v>Breached</v>
      </c>
    </row>
    <row r="2953" ht="19" customHeight="1" spans="1:14" x14ac:dyDescent="0.25">
      <c r="A2953" s="22" t="s">
        <v>3067</v>
      </c>
      <c r="B2953" s="36">
        <v>45945.63958333334</v>
      </c>
      <c r="C2953" s="36">
        <v>45947.55625</v>
      </c>
      <c r="D2953" s="22" t="s">
        <v>36</v>
      </c>
      <c r="E2953" s="22" t="s">
        <v>65</v>
      </c>
      <c r="F2953" s="22" t="s">
        <v>34</v>
      </c>
      <c r="G2953" s="22" t="s">
        <v>63</v>
      </c>
      <c r="H2953" s="22" t="s">
        <v>67</v>
      </c>
      <c r="I2953" s="22" t="s">
        <v>108</v>
      </c>
      <c r="J2953" s="23">
        <v>48</v>
      </c>
      <c r="K2953" s="37">
        <v>1</v>
      </c>
      <c r="L2953" s="37">
        <v>5</v>
      </c>
      <c r="M2953" s="22">
        <f>IF(OR(ISBLANK(C2953),C2953=""),"",ROUND((C2953-B2953)*24,2))</f>
        <v>46</v>
      </c>
      <c r="N2953" s="40" t="str">
        <f>IF(OR(ISBLANK(C2953),C2953="",M2953=""),"In Progress",IF(M2953&lt;=J2953,"Met","Breached"))</f>
        <v>Met</v>
      </c>
    </row>
    <row r="2954" ht="19" customHeight="1" spans="1:14" x14ac:dyDescent="0.25">
      <c r="A2954" s="19" t="s">
        <v>3068</v>
      </c>
      <c r="B2954" s="33">
        <v>45875.37152777778</v>
      </c>
      <c r="C2954" s="33">
        <v>45879.523611111115</v>
      </c>
      <c r="D2954" s="19" t="s">
        <v>33</v>
      </c>
      <c r="E2954" s="19" t="s">
        <v>69</v>
      </c>
      <c r="F2954" s="19" t="s">
        <v>40</v>
      </c>
      <c r="G2954" s="19" t="s">
        <v>126</v>
      </c>
      <c r="H2954" s="19" t="s">
        <v>67</v>
      </c>
      <c r="I2954" s="19" t="s">
        <v>123</v>
      </c>
      <c r="J2954" s="20">
        <v>120</v>
      </c>
      <c r="K2954" s="34">
        <v>0</v>
      </c>
      <c r="L2954" s="34">
        <v>1</v>
      </c>
      <c r="M2954" s="19">
        <f>IF(OR(ISBLANK(C2954),C2954=""),"",ROUND((C2954-B2954)*24,2))</f>
        <v>99.65</v>
      </c>
      <c r="N2954" s="35" t="str">
        <f>IF(OR(ISBLANK(C2954),C2954="",M2954=""),"In Progress",IF(M2954&lt;=J2954,"Met","Breached"))</f>
        <v>Met</v>
      </c>
    </row>
    <row r="2955" ht="19" customHeight="1" spans="1:14" x14ac:dyDescent="0.25">
      <c r="A2955" s="22" t="s">
        <v>3069</v>
      </c>
      <c r="B2955" s="36">
        <v>45910.67569444445</v>
      </c>
      <c r="D2955" s="22" t="s">
        <v>42</v>
      </c>
      <c r="E2955" s="22" t="s">
        <v>57</v>
      </c>
      <c r="F2955" s="22" t="s">
        <v>40</v>
      </c>
      <c r="G2955" s="22" t="s">
        <v>126</v>
      </c>
      <c r="H2955" s="22" t="s">
        <v>59</v>
      </c>
      <c r="I2955" s="22" t="s">
        <v>117</v>
      </c>
      <c r="J2955" s="23">
        <v>4</v>
      </c>
      <c r="K2955" s="37">
        <v>0</v>
      </c>
      <c r="M2955" s="22" t="str">
        <f>IF(OR(ISBLANK(C2955),C2955=""),"",ROUND((C2955-B2955)*24,2))</f>
        <v/>
      </c>
      <c r="N2955" s="22" t="str">
        <f>IF(OR(ISBLANK(C2955),C2955="",M2955=""),"In Progress",IF(M2955&lt;=J2955,"Met","Breached"))</f>
        <v>In Progress</v>
      </c>
    </row>
    <row r="2956" ht="19" customHeight="1" spans="1:14" x14ac:dyDescent="0.25">
      <c r="A2956" s="19" t="s">
        <v>3070</v>
      </c>
      <c r="B2956" s="33">
        <v>46259.60416666667</v>
      </c>
      <c r="C2956" s="33">
        <v>46262.88333333333</v>
      </c>
      <c r="D2956" s="19" t="s">
        <v>33</v>
      </c>
      <c r="E2956" s="19" t="s">
        <v>69</v>
      </c>
      <c r="F2956" s="19" t="s">
        <v>37</v>
      </c>
      <c r="G2956" s="19" t="s">
        <v>113</v>
      </c>
      <c r="H2956" s="19" t="s">
        <v>63</v>
      </c>
      <c r="I2956" s="19" t="s">
        <v>111</v>
      </c>
      <c r="J2956" s="20">
        <v>120</v>
      </c>
      <c r="K2956" s="34">
        <v>0</v>
      </c>
      <c r="L2956" s="34">
        <v>2</v>
      </c>
      <c r="M2956" s="19">
        <f>IF(OR(ISBLANK(C2956),C2956=""),"",ROUND((C2956-B2956)*24,2))</f>
        <v>78.7</v>
      </c>
      <c r="N2956" s="35" t="str">
        <f>IF(OR(ISBLANK(C2956),C2956="",M2956=""),"In Progress",IF(M2956&lt;=J2956,"Met","Breached"))</f>
        <v>Met</v>
      </c>
    </row>
    <row r="2957" ht="19" customHeight="1" spans="1:14" x14ac:dyDescent="0.25">
      <c r="A2957" s="22" t="s">
        <v>3071</v>
      </c>
      <c r="B2957" s="36">
        <v>45853.731944444444</v>
      </c>
      <c r="D2957" s="22" t="s">
        <v>39</v>
      </c>
      <c r="E2957" s="22" t="s">
        <v>69</v>
      </c>
      <c r="F2957" s="22" t="s">
        <v>45</v>
      </c>
      <c r="G2957" s="22" t="s">
        <v>121</v>
      </c>
      <c r="H2957" s="22" t="s">
        <v>59</v>
      </c>
      <c r="I2957" s="22" t="s">
        <v>117</v>
      </c>
      <c r="J2957" s="23">
        <v>120</v>
      </c>
      <c r="K2957" s="37">
        <v>0</v>
      </c>
      <c r="M2957" s="22" t="str">
        <f>IF(OR(ISBLANK(C2957),C2957=""),"",ROUND((C2957-B2957)*24,2))</f>
        <v/>
      </c>
      <c r="N2957" s="22" t="str">
        <f>IF(OR(ISBLANK(C2957),C2957="",M2957=""),"In Progress",IF(M2957&lt;=J2957,"Met","Breached"))</f>
        <v>In Progress</v>
      </c>
    </row>
    <row r="2958" ht="19" customHeight="1" spans="1:14" x14ac:dyDescent="0.25">
      <c r="A2958" s="19" t="s">
        <v>3072</v>
      </c>
      <c r="B2958" s="33">
        <v>45843.367361111115</v>
      </c>
      <c r="C2958" s="33">
        <v>45848.240277777775</v>
      </c>
      <c r="D2958" s="19" t="s">
        <v>36</v>
      </c>
      <c r="E2958" s="19" t="s">
        <v>69</v>
      </c>
      <c r="F2958" s="19" t="s">
        <v>34</v>
      </c>
      <c r="G2958" s="19" t="s">
        <v>116</v>
      </c>
      <c r="H2958" s="19" t="s">
        <v>67</v>
      </c>
      <c r="I2958" s="19" t="s">
        <v>147</v>
      </c>
      <c r="J2958" s="20">
        <v>120</v>
      </c>
      <c r="K2958" s="34">
        <v>0</v>
      </c>
      <c r="L2958" s="34">
        <v>5</v>
      </c>
      <c r="M2958" s="19">
        <f>IF(OR(ISBLANK(C2958),C2958=""),"",ROUND((C2958-B2958)*24,2))</f>
        <v>116.95</v>
      </c>
      <c r="N2958" s="35" t="str">
        <f>IF(OR(ISBLANK(C2958),C2958="",M2958=""),"In Progress",IF(M2958&lt;=J2958,"Met","Breached"))</f>
        <v>Met</v>
      </c>
    </row>
    <row r="2959" ht="19" customHeight="1" spans="1:14" x14ac:dyDescent="0.25">
      <c r="A2959" s="22" t="s">
        <v>3073</v>
      </c>
      <c r="B2959" s="36">
        <v>45695.62222222222</v>
      </c>
      <c r="C2959" s="36">
        <v>45699.37013888889</v>
      </c>
      <c r="D2959" s="22" t="s">
        <v>33</v>
      </c>
      <c r="E2959" s="22" t="s">
        <v>69</v>
      </c>
      <c r="F2959" s="22" t="s">
        <v>43</v>
      </c>
      <c r="G2959" s="22" t="s">
        <v>63</v>
      </c>
      <c r="H2959" s="22" t="s">
        <v>59</v>
      </c>
      <c r="I2959" s="22" t="s">
        <v>147</v>
      </c>
      <c r="J2959" s="23">
        <v>120</v>
      </c>
      <c r="K2959" s="37">
        <v>0</v>
      </c>
      <c r="L2959" s="37">
        <v>4</v>
      </c>
      <c r="M2959" s="22">
        <f>IF(OR(ISBLANK(C2959),C2959=""),"",ROUND((C2959-B2959)*24,2))</f>
        <v>89.95</v>
      </c>
      <c r="N2959" s="40" t="str">
        <f>IF(OR(ISBLANK(C2959),C2959="",M2959=""),"In Progress",IF(M2959&lt;=J2959,"Met","Breached"))</f>
        <v>Met</v>
      </c>
    </row>
    <row r="2960" ht="19" customHeight="1" spans="1:14" x14ac:dyDescent="0.25">
      <c r="A2960" s="19" t="s">
        <v>3074</v>
      </c>
      <c r="B2960" s="33">
        <v>45792.757638888885</v>
      </c>
      <c r="C2960" s="33">
        <v>45799.88541666667</v>
      </c>
      <c r="D2960" s="19" t="s">
        <v>33</v>
      </c>
      <c r="E2960" s="19" t="s">
        <v>69</v>
      </c>
      <c r="F2960" s="19" t="s">
        <v>45</v>
      </c>
      <c r="G2960" s="19" t="s">
        <v>121</v>
      </c>
      <c r="H2960" s="19" t="s">
        <v>63</v>
      </c>
      <c r="I2960" s="19" t="s">
        <v>123</v>
      </c>
      <c r="J2960" s="20">
        <v>120</v>
      </c>
      <c r="K2960" s="34">
        <v>0</v>
      </c>
      <c r="L2960" s="34">
        <v>2</v>
      </c>
      <c r="M2960" s="19">
        <f>IF(OR(ISBLANK(C2960),C2960=""),"",ROUND((C2960-B2960)*24,2))</f>
        <v>171.07</v>
      </c>
      <c r="N2960" s="39" t="str">
        <f>IF(OR(ISBLANK(C2960),C2960="",M2960=""),"In Progress",IF(M2960&lt;=J2960,"Met","Breached"))</f>
        <v>Breached</v>
      </c>
    </row>
    <row r="2961" ht="19" customHeight="1" spans="1:14" x14ac:dyDescent="0.25">
      <c r="A2961" s="22" t="s">
        <v>3075</v>
      </c>
      <c r="B2961" s="36">
        <v>46191.08819444444</v>
      </c>
      <c r="C2961" s="36">
        <v>46191.42222222222</v>
      </c>
      <c r="D2961" s="22" t="s">
        <v>33</v>
      </c>
      <c r="E2961" s="22" t="s">
        <v>61</v>
      </c>
      <c r="F2961" s="22" t="s">
        <v>43</v>
      </c>
      <c r="G2961" s="22" t="s">
        <v>116</v>
      </c>
      <c r="H2961" s="22" t="s">
        <v>59</v>
      </c>
      <c r="I2961" s="22" t="s">
        <v>117</v>
      </c>
      <c r="J2961" s="23">
        <v>12</v>
      </c>
      <c r="K2961" s="37">
        <v>1</v>
      </c>
      <c r="L2961" s="37">
        <v>1</v>
      </c>
      <c r="M2961" s="22">
        <f>IF(OR(ISBLANK(C2961),C2961=""),"",ROUND((C2961-B2961)*24,2))</f>
        <v>8.02</v>
      </c>
      <c r="N2961" s="40" t="str">
        <f>IF(OR(ISBLANK(C2961),C2961="",M2961=""),"In Progress",IF(M2961&lt;=J2961,"Met","Breached"))</f>
        <v>Met</v>
      </c>
    </row>
    <row r="2962" ht="19" customHeight="1" spans="1:14" x14ac:dyDescent="0.25">
      <c r="A2962" s="19" t="s">
        <v>3076</v>
      </c>
      <c r="B2962" s="33">
        <v>46181.82291666667</v>
      </c>
      <c r="C2962" s="33">
        <v>46182.4</v>
      </c>
      <c r="D2962" s="19" t="s">
        <v>33</v>
      </c>
      <c r="E2962" s="19" t="s">
        <v>61</v>
      </c>
      <c r="F2962" s="19" t="s">
        <v>45</v>
      </c>
      <c r="G2962" s="19" t="s">
        <v>126</v>
      </c>
      <c r="H2962" s="19" t="s">
        <v>59</v>
      </c>
      <c r="I2962" s="19" t="s">
        <v>114</v>
      </c>
      <c r="J2962" s="20">
        <v>12</v>
      </c>
      <c r="K2962" s="34">
        <v>0</v>
      </c>
      <c r="L2962" s="34">
        <v>1</v>
      </c>
      <c r="M2962" s="19">
        <f>IF(OR(ISBLANK(C2962),C2962=""),"",ROUND((C2962-B2962)*24,2))</f>
        <v>13.85</v>
      </c>
      <c r="N2962" s="39" t="str">
        <f>IF(OR(ISBLANK(C2962),C2962="",M2962=""),"In Progress",IF(M2962&lt;=J2962,"Met","Breached"))</f>
        <v>Breached</v>
      </c>
    </row>
    <row r="2963" ht="19" customHeight="1" spans="1:14" x14ac:dyDescent="0.25">
      <c r="A2963" s="22" t="s">
        <v>3077</v>
      </c>
      <c r="B2963" s="36">
        <v>46126.90555555555</v>
      </c>
      <c r="C2963" s="36">
        <v>46128.30347222222</v>
      </c>
      <c r="D2963" s="22" t="s">
        <v>36</v>
      </c>
      <c r="E2963" s="22" t="s">
        <v>65</v>
      </c>
      <c r="F2963" s="22" t="s">
        <v>34</v>
      </c>
      <c r="G2963" s="22" t="s">
        <v>110</v>
      </c>
      <c r="H2963" s="22" t="s">
        <v>71</v>
      </c>
      <c r="I2963" s="22" t="s">
        <v>147</v>
      </c>
      <c r="J2963" s="23">
        <v>48</v>
      </c>
      <c r="K2963" s="37">
        <v>0</v>
      </c>
      <c r="L2963" s="37">
        <v>1</v>
      </c>
      <c r="M2963" s="22">
        <f>IF(OR(ISBLANK(C2963),C2963=""),"",ROUND((C2963-B2963)*24,2))</f>
        <v>33.55</v>
      </c>
      <c r="N2963" s="40" t="str">
        <f>IF(OR(ISBLANK(C2963),C2963="",M2963=""),"In Progress",IF(M2963&lt;=J2963,"Met","Breached"))</f>
        <v>Met</v>
      </c>
    </row>
    <row r="2964" ht="19" customHeight="1" spans="1:14" x14ac:dyDescent="0.25">
      <c r="A2964" s="19" t="s">
        <v>3078</v>
      </c>
      <c r="B2964" s="33">
        <v>46034.43194444444</v>
      </c>
      <c r="C2964" s="33">
        <v>46036.523611111115</v>
      </c>
      <c r="D2964" s="19" t="s">
        <v>33</v>
      </c>
      <c r="E2964" s="19" t="s">
        <v>65</v>
      </c>
      <c r="F2964" s="19" t="s">
        <v>37</v>
      </c>
      <c r="G2964" s="19" t="s">
        <v>116</v>
      </c>
      <c r="H2964" s="19" t="s">
        <v>63</v>
      </c>
      <c r="I2964" s="19" t="s">
        <v>117</v>
      </c>
      <c r="J2964" s="20">
        <v>48</v>
      </c>
      <c r="K2964" s="34">
        <v>0</v>
      </c>
      <c r="M2964" s="19">
        <f>IF(OR(ISBLANK(C2964),C2964=""),"",ROUND((C2964-B2964)*24,2))</f>
        <v>50.2</v>
      </c>
      <c r="N2964" s="39" t="str">
        <f>IF(OR(ISBLANK(C2964),C2964="",M2964=""),"In Progress",IF(M2964&lt;=J2964,"Met","Breached"))</f>
        <v>Breached</v>
      </c>
    </row>
    <row r="2965" ht="19" customHeight="1" spans="1:14" x14ac:dyDescent="0.25">
      <c r="A2965" s="22" t="s">
        <v>3079</v>
      </c>
      <c r="B2965" s="36">
        <v>45819.22013888889</v>
      </c>
      <c r="C2965" s="36">
        <v>45820.2625</v>
      </c>
      <c r="D2965" s="22" t="s">
        <v>36</v>
      </c>
      <c r="E2965" s="22" t="s">
        <v>65</v>
      </c>
      <c r="F2965" s="22" t="s">
        <v>34</v>
      </c>
      <c r="G2965" s="22" t="s">
        <v>116</v>
      </c>
      <c r="H2965" s="22" t="s">
        <v>67</v>
      </c>
      <c r="I2965" s="22" t="s">
        <v>123</v>
      </c>
      <c r="J2965" s="23">
        <v>48</v>
      </c>
      <c r="K2965" s="37">
        <v>0</v>
      </c>
      <c r="M2965" s="22">
        <f>IF(OR(ISBLANK(C2965),C2965=""),"",ROUND((C2965-B2965)*24,2))</f>
        <v>25.02</v>
      </c>
      <c r="N2965" s="40" t="str">
        <f>IF(OR(ISBLANK(C2965),C2965="",M2965=""),"In Progress",IF(M2965&lt;=J2965,"Met","Breached"))</f>
        <v>Met</v>
      </c>
    </row>
    <row r="2966" ht="19" customHeight="1" spans="1:14" x14ac:dyDescent="0.25">
      <c r="A2966" s="19" t="s">
        <v>3080</v>
      </c>
      <c r="B2966" s="33">
        <v>46102.978472222225</v>
      </c>
      <c r="D2966" s="19" t="s">
        <v>42</v>
      </c>
      <c r="E2966" s="19" t="s">
        <v>69</v>
      </c>
      <c r="F2966" s="19" t="s">
        <v>40</v>
      </c>
      <c r="G2966" s="19" t="s">
        <v>116</v>
      </c>
      <c r="H2966" s="19" t="s">
        <v>59</v>
      </c>
      <c r="I2966" s="19" t="s">
        <v>117</v>
      </c>
      <c r="J2966" s="20">
        <v>120</v>
      </c>
      <c r="K2966" s="34">
        <v>0</v>
      </c>
      <c r="M2966" s="19" t="str">
        <f>IF(OR(ISBLANK(C2966),C2966=""),"",ROUND((C2966-B2966)*24,2))</f>
        <v/>
      </c>
      <c r="N2966" s="19" t="str">
        <f>IF(OR(ISBLANK(C2966),C2966="",M2966=""),"In Progress",IF(M2966&lt;=J2966,"Met","Breached"))</f>
        <v>In Progress</v>
      </c>
    </row>
    <row r="2967" ht="19" customHeight="1" spans="1:14" x14ac:dyDescent="0.25">
      <c r="A2967" s="22" t="s">
        <v>3081</v>
      </c>
      <c r="B2967" s="36">
        <v>46288.01111111111</v>
      </c>
      <c r="C2967" s="36">
        <v>46290.47222222222</v>
      </c>
      <c r="D2967" s="22" t="s">
        <v>33</v>
      </c>
      <c r="E2967" s="22" t="s">
        <v>65</v>
      </c>
      <c r="F2967" s="22" t="s">
        <v>37</v>
      </c>
      <c r="G2967" s="22" t="s">
        <v>63</v>
      </c>
      <c r="H2967" s="22" t="s">
        <v>67</v>
      </c>
      <c r="I2967" s="22" t="s">
        <v>147</v>
      </c>
      <c r="J2967" s="23">
        <v>48</v>
      </c>
      <c r="K2967" s="37">
        <v>0</v>
      </c>
      <c r="L2967" s="37">
        <v>4</v>
      </c>
      <c r="M2967" s="22">
        <f>IF(OR(ISBLANK(C2967),C2967=""),"",ROUND((C2967-B2967)*24,2))</f>
        <v>59.07</v>
      </c>
      <c r="N2967" s="38" t="str">
        <f>IF(OR(ISBLANK(C2967),C2967="",M2967=""),"In Progress",IF(M2967&lt;=J2967,"Met","Breached"))</f>
        <v>Breached</v>
      </c>
    </row>
    <row r="2968" ht="19" customHeight="1" spans="1:14" x14ac:dyDescent="0.25">
      <c r="A2968" s="19" t="s">
        <v>3082</v>
      </c>
      <c r="B2968" s="33">
        <v>45748.55138888889</v>
      </c>
      <c r="C2968" s="33">
        <v>45749.617361111115</v>
      </c>
      <c r="D2968" s="19" t="s">
        <v>33</v>
      </c>
      <c r="E2968" s="19" t="s">
        <v>65</v>
      </c>
      <c r="F2968" s="19" t="s">
        <v>45</v>
      </c>
      <c r="G2968" s="19" t="s">
        <v>121</v>
      </c>
      <c r="H2968" s="19" t="s">
        <v>71</v>
      </c>
      <c r="I2968" s="19" t="s">
        <v>111</v>
      </c>
      <c r="J2968" s="20">
        <v>48</v>
      </c>
      <c r="K2968" s="34">
        <v>0</v>
      </c>
      <c r="L2968" s="34">
        <v>2</v>
      </c>
      <c r="M2968" s="19">
        <f>IF(OR(ISBLANK(C2968),C2968=""),"",ROUND((C2968-B2968)*24,2))</f>
        <v>25.58</v>
      </c>
      <c r="N2968" s="35" t="str">
        <f>IF(OR(ISBLANK(C2968),C2968="",M2968=""),"In Progress",IF(M2968&lt;=J2968,"Met","Breached"))</f>
        <v>Met</v>
      </c>
    </row>
    <row r="2969" ht="19" customHeight="1" spans="1:14" x14ac:dyDescent="0.25">
      <c r="A2969" s="22" t="s">
        <v>3083</v>
      </c>
      <c r="B2969" s="36">
        <v>45833.95208333334</v>
      </c>
      <c r="C2969" s="36">
        <v>45834.68263888889</v>
      </c>
      <c r="D2969" s="22" t="s">
        <v>33</v>
      </c>
      <c r="E2969" s="22" t="s">
        <v>61</v>
      </c>
      <c r="F2969" s="22" t="s">
        <v>43</v>
      </c>
      <c r="G2969" s="22" t="s">
        <v>121</v>
      </c>
      <c r="H2969" s="22" t="s">
        <v>63</v>
      </c>
      <c r="I2969" s="22" t="s">
        <v>108</v>
      </c>
      <c r="J2969" s="23">
        <v>12</v>
      </c>
      <c r="K2969" s="37">
        <v>0</v>
      </c>
      <c r="L2969" s="37">
        <v>3</v>
      </c>
      <c r="M2969" s="22">
        <f>IF(OR(ISBLANK(C2969),C2969=""),"",ROUND((C2969-B2969)*24,2))</f>
        <v>17.53</v>
      </c>
      <c r="N2969" s="38" t="str">
        <f>IF(OR(ISBLANK(C2969),C2969="",M2969=""),"In Progress",IF(M2969&lt;=J2969,"Met","Breached"))</f>
        <v>Breached</v>
      </c>
    </row>
    <row r="2970" ht="19" customHeight="1" spans="1:14" x14ac:dyDescent="0.25">
      <c r="A2970" s="19" t="s">
        <v>3084</v>
      </c>
      <c r="B2970" s="33">
        <v>46020.59930555556</v>
      </c>
      <c r="C2970" s="33">
        <v>46020.85972222222</v>
      </c>
      <c r="D2970" s="19" t="s">
        <v>33</v>
      </c>
      <c r="E2970" s="19" t="s">
        <v>57</v>
      </c>
      <c r="F2970" s="19" t="s">
        <v>37</v>
      </c>
      <c r="G2970" s="19" t="s">
        <v>113</v>
      </c>
      <c r="H2970" s="19" t="s">
        <v>71</v>
      </c>
      <c r="I2970" s="19" t="s">
        <v>111</v>
      </c>
      <c r="J2970" s="20">
        <v>4</v>
      </c>
      <c r="K2970" s="34">
        <v>0</v>
      </c>
      <c r="M2970" s="19">
        <f>IF(OR(ISBLANK(C2970),C2970=""),"",ROUND((C2970-B2970)*24,2))</f>
        <v>6.25</v>
      </c>
      <c r="N2970" s="39" t="str">
        <f>IF(OR(ISBLANK(C2970),C2970="",M2970=""),"In Progress",IF(M2970&lt;=J2970,"Met","Breached"))</f>
        <v>Breached</v>
      </c>
    </row>
    <row r="2971" ht="19" customHeight="1" spans="1:14" x14ac:dyDescent="0.25">
      <c r="A2971" s="22" t="s">
        <v>3085</v>
      </c>
      <c r="B2971" s="36">
        <v>46072.81527777778</v>
      </c>
      <c r="D2971" s="22" t="s">
        <v>39</v>
      </c>
      <c r="E2971" s="22" t="s">
        <v>65</v>
      </c>
      <c r="F2971" s="22" t="s">
        <v>45</v>
      </c>
      <c r="G2971" s="22" t="s">
        <v>63</v>
      </c>
      <c r="H2971" s="22" t="s">
        <v>71</v>
      </c>
      <c r="I2971" s="22" t="s">
        <v>123</v>
      </c>
      <c r="J2971" s="23">
        <v>48</v>
      </c>
      <c r="K2971" s="37">
        <v>0</v>
      </c>
      <c r="M2971" s="22" t="str">
        <f>IF(OR(ISBLANK(C2971),C2971=""),"",ROUND((C2971-B2971)*24,2))</f>
        <v/>
      </c>
      <c r="N2971" s="22" t="str">
        <f>IF(OR(ISBLANK(C2971),C2971="",M2971=""),"In Progress",IF(M2971&lt;=J2971,"Met","Breached"))</f>
        <v>In Progress</v>
      </c>
    </row>
    <row r="2972" ht="19" customHeight="1" spans="1:14" x14ac:dyDescent="0.25">
      <c r="A2972" s="19" t="s">
        <v>3086</v>
      </c>
      <c r="B2972" s="33">
        <v>45714.759722222225</v>
      </c>
      <c r="C2972" s="33">
        <v>45715.18472222222</v>
      </c>
      <c r="D2972" s="19" t="s">
        <v>33</v>
      </c>
      <c r="E2972" s="19" t="s">
        <v>61</v>
      </c>
      <c r="F2972" s="19" t="s">
        <v>45</v>
      </c>
      <c r="G2972" s="19" t="s">
        <v>121</v>
      </c>
      <c r="H2972" s="19" t="s">
        <v>59</v>
      </c>
      <c r="I2972" s="19" t="s">
        <v>147</v>
      </c>
      <c r="J2972" s="20">
        <v>12</v>
      </c>
      <c r="K2972" s="34">
        <v>0</v>
      </c>
      <c r="L2972" s="34">
        <v>5</v>
      </c>
      <c r="M2972" s="19">
        <f>IF(OR(ISBLANK(C2972),C2972=""),"",ROUND((C2972-B2972)*24,2))</f>
        <v>10.2</v>
      </c>
      <c r="N2972" s="35" t="str">
        <f>IF(OR(ISBLANK(C2972),C2972="",M2972=""),"In Progress",IF(M2972&lt;=J2972,"Met","Breached"))</f>
        <v>Met</v>
      </c>
    </row>
    <row r="2973" ht="19" customHeight="1" spans="1:14" x14ac:dyDescent="0.25">
      <c r="A2973" s="22" t="s">
        <v>3087</v>
      </c>
      <c r="B2973" s="36">
        <v>45827.24791666667</v>
      </c>
      <c r="C2973" s="36">
        <v>45829.37361111111</v>
      </c>
      <c r="D2973" s="22" t="s">
        <v>36</v>
      </c>
      <c r="E2973" s="22" t="s">
        <v>65</v>
      </c>
      <c r="F2973" s="22" t="s">
        <v>40</v>
      </c>
      <c r="G2973" s="22" t="s">
        <v>126</v>
      </c>
      <c r="H2973" s="22" t="s">
        <v>59</v>
      </c>
      <c r="I2973" s="22" t="s">
        <v>108</v>
      </c>
      <c r="J2973" s="23">
        <v>48</v>
      </c>
      <c r="K2973" s="37">
        <v>0</v>
      </c>
      <c r="L2973" s="37">
        <v>4</v>
      </c>
      <c r="M2973" s="22">
        <f>IF(OR(ISBLANK(C2973),C2973=""),"",ROUND((C2973-B2973)*24,2))</f>
        <v>51.02</v>
      </c>
      <c r="N2973" s="38" t="str">
        <f>IF(OR(ISBLANK(C2973),C2973="",M2973=""),"In Progress",IF(M2973&lt;=J2973,"Met","Breached"))</f>
        <v>Breached</v>
      </c>
    </row>
    <row r="2974" ht="19" customHeight="1" spans="1:14" x14ac:dyDescent="0.25">
      <c r="A2974" s="19" t="s">
        <v>3088</v>
      </c>
      <c r="B2974" s="33">
        <v>46014.16736111111</v>
      </c>
      <c r="C2974" s="33">
        <v>46016.51875</v>
      </c>
      <c r="D2974" s="19" t="s">
        <v>33</v>
      </c>
      <c r="E2974" s="19" t="s">
        <v>65</v>
      </c>
      <c r="F2974" s="19" t="s">
        <v>40</v>
      </c>
      <c r="G2974" s="19" t="s">
        <v>63</v>
      </c>
      <c r="H2974" s="19" t="s">
        <v>59</v>
      </c>
      <c r="I2974" s="19" t="s">
        <v>111</v>
      </c>
      <c r="J2974" s="20">
        <v>48</v>
      </c>
      <c r="K2974" s="34">
        <v>0</v>
      </c>
      <c r="L2974" s="34">
        <v>5</v>
      </c>
      <c r="M2974" s="19">
        <f>IF(OR(ISBLANK(C2974),C2974=""),"",ROUND((C2974-B2974)*24,2))</f>
        <v>56.43</v>
      </c>
      <c r="N2974" s="39" t="str">
        <f>IF(OR(ISBLANK(C2974),C2974="",M2974=""),"In Progress",IF(M2974&lt;=J2974,"Met","Breached"))</f>
        <v>Breached</v>
      </c>
    </row>
    <row r="2975" ht="19" customHeight="1" spans="1:14" x14ac:dyDescent="0.25">
      <c r="A2975" s="22" t="s">
        <v>3089</v>
      </c>
      <c r="B2975" s="36">
        <v>46202.42013888889</v>
      </c>
      <c r="C2975" s="36">
        <v>46208.94236111111</v>
      </c>
      <c r="D2975" s="22" t="s">
        <v>33</v>
      </c>
      <c r="E2975" s="22" t="s">
        <v>69</v>
      </c>
      <c r="F2975" s="22" t="s">
        <v>40</v>
      </c>
      <c r="G2975" s="22" t="s">
        <v>121</v>
      </c>
      <c r="H2975" s="22" t="s">
        <v>63</v>
      </c>
      <c r="I2975" s="22" t="s">
        <v>108</v>
      </c>
      <c r="J2975" s="23">
        <v>120</v>
      </c>
      <c r="K2975" s="37">
        <v>0</v>
      </c>
      <c r="M2975" s="22">
        <f>IF(OR(ISBLANK(C2975),C2975=""),"",ROUND((C2975-B2975)*24,2))</f>
        <v>156.53</v>
      </c>
      <c r="N2975" s="38" t="str">
        <f>IF(OR(ISBLANK(C2975),C2975="",M2975=""),"In Progress",IF(M2975&lt;=J2975,"Met","Breached"))</f>
        <v>Breached</v>
      </c>
    </row>
    <row r="2976" ht="19" customHeight="1" spans="1:14" x14ac:dyDescent="0.25">
      <c r="A2976" s="19" t="s">
        <v>3090</v>
      </c>
      <c r="B2976" s="33">
        <v>46233.38958333334</v>
      </c>
      <c r="D2976" s="19" t="s">
        <v>39</v>
      </c>
      <c r="E2976" s="19" t="s">
        <v>61</v>
      </c>
      <c r="F2976" s="19" t="s">
        <v>34</v>
      </c>
      <c r="G2976" s="19" t="s">
        <v>121</v>
      </c>
      <c r="H2976" s="19" t="s">
        <v>67</v>
      </c>
      <c r="I2976" s="19" t="s">
        <v>111</v>
      </c>
      <c r="J2976" s="20">
        <v>12</v>
      </c>
      <c r="K2976" s="34">
        <v>0</v>
      </c>
      <c r="M2976" s="19" t="str">
        <f>IF(OR(ISBLANK(C2976),C2976=""),"",ROUND((C2976-B2976)*24,2))</f>
        <v/>
      </c>
      <c r="N2976" s="19" t="str">
        <f>IF(OR(ISBLANK(C2976),C2976="",M2976=""),"In Progress",IF(M2976&lt;=J2976,"Met","Breached"))</f>
        <v>In Progress</v>
      </c>
    </row>
    <row r="2977" ht="19" customHeight="1" spans="1:14" x14ac:dyDescent="0.25">
      <c r="A2977" s="22" t="s">
        <v>3091</v>
      </c>
      <c r="B2977" s="36">
        <v>45976.183333333334</v>
      </c>
      <c r="C2977" s="36">
        <v>45977.01666666666</v>
      </c>
      <c r="D2977" s="22" t="s">
        <v>33</v>
      </c>
      <c r="E2977" s="22" t="s">
        <v>65</v>
      </c>
      <c r="F2977" s="22" t="s">
        <v>43</v>
      </c>
      <c r="G2977" s="22" t="s">
        <v>116</v>
      </c>
      <c r="H2977" s="22" t="s">
        <v>59</v>
      </c>
      <c r="I2977" s="22" t="s">
        <v>147</v>
      </c>
      <c r="J2977" s="23">
        <v>48</v>
      </c>
      <c r="K2977" s="37">
        <v>0</v>
      </c>
      <c r="M2977" s="22">
        <f>IF(OR(ISBLANK(C2977),C2977=""),"",ROUND((C2977-B2977)*24,2))</f>
        <v>20</v>
      </c>
      <c r="N2977" s="40" t="str">
        <f>IF(OR(ISBLANK(C2977),C2977="",M2977=""),"In Progress",IF(M2977&lt;=J2977,"Met","Breached"))</f>
        <v>Met</v>
      </c>
    </row>
    <row r="2978" ht="19" customHeight="1" spans="1:14" x14ac:dyDescent="0.25">
      <c r="A2978" s="19" t="s">
        <v>3092</v>
      </c>
      <c r="B2978" s="33">
        <v>46047</v>
      </c>
      <c r="C2978" s="33">
        <v>46053.09652777778</v>
      </c>
      <c r="D2978" s="19" t="s">
        <v>33</v>
      </c>
      <c r="E2978" s="19" t="s">
        <v>69</v>
      </c>
      <c r="F2978" s="19" t="s">
        <v>34</v>
      </c>
      <c r="G2978" s="19" t="s">
        <v>113</v>
      </c>
      <c r="H2978" s="19" t="s">
        <v>63</v>
      </c>
      <c r="I2978" s="19" t="s">
        <v>123</v>
      </c>
      <c r="J2978" s="20">
        <v>120</v>
      </c>
      <c r="K2978" s="34">
        <v>0</v>
      </c>
      <c r="M2978" s="19">
        <f>IF(OR(ISBLANK(C2978),C2978=""),"",ROUND((C2978-B2978)*24,2))</f>
        <v>146.32</v>
      </c>
      <c r="N2978" s="39" t="str">
        <f>IF(OR(ISBLANK(C2978),C2978="",M2978=""),"In Progress",IF(M2978&lt;=J2978,"Met","Breached"))</f>
        <v>Breached</v>
      </c>
    </row>
    <row r="2979" ht="19" customHeight="1" spans="1:14" x14ac:dyDescent="0.25">
      <c r="A2979" s="22" t="s">
        <v>3093</v>
      </c>
      <c r="B2979" s="36">
        <v>46144.481944444444</v>
      </c>
      <c r="C2979" s="36">
        <v>46144.95694444445</v>
      </c>
      <c r="D2979" s="22" t="s">
        <v>33</v>
      </c>
      <c r="E2979" s="22" t="s">
        <v>61</v>
      </c>
      <c r="F2979" s="22" t="s">
        <v>34</v>
      </c>
      <c r="G2979" s="22" t="s">
        <v>121</v>
      </c>
      <c r="H2979" s="22" t="s">
        <v>67</v>
      </c>
      <c r="I2979" s="22" t="s">
        <v>114</v>
      </c>
      <c r="J2979" s="23">
        <v>12</v>
      </c>
      <c r="K2979" s="37">
        <v>0</v>
      </c>
      <c r="L2979" s="37">
        <v>3</v>
      </c>
      <c r="M2979" s="22">
        <f>IF(OR(ISBLANK(C2979),C2979=""),"",ROUND((C2979-B2979)*24,2))</f>
        <v>11.4</v>
      </c>
      <c r="N2979" s="40" t="str">
        <f>IF(OR(ISBLANK(C2979),C2979="",M2979=""),"In Progress",IF(M2979&lt;=J2979,"Met","Breached"))</f>
        <v>Met</v>
      </c>
    </row>
    <row r="2980" ht="19" customHeight="1" spans="1:14" x14ac:dyDescent="0.25">
      <c r="A2980" s="19" t="s">
        <v>3094</v>
      </c>
      <c r="B2980" s="33">
        <v>45802.65833333333</v>
      </c>
      <c r="C2980" s="33">
        <v>45803.84375</v>
      </c>
      <c r="D2980" s="19" t="s">
        <v>33</v>
      </c>
      <c r="E2980" s="19" t="s">
        <v>65</v>
      </c>
      <c r="F2980" s="19" t="s">
        <v>43</v>
      </c>
      <c r="G2980" s="19" t="s">
        <v>63</v>
      </c>
      <c r="H2980" s="19" t="s">
        <v>59</v>
      </c>
      <c r="I2980" s="19" t="s">
        <v>114</v>
      </c>
      <c r="J2980" s="20">
        <v>48</v>
      </c>
      <c r="K2980" s="34">
        <v>0</v>
      </c>
      <c r="M2980" s="19">
        <f>IF(OR(ISBLANK(C2980),C2980=""),"",ROUND((C2980-B2980)*24,2))</f>
        <v>28.45</v>
      </c>
      <c r="N2980" s="35" t="str">
        <f>IF(OR(ISBLANK(C2980),C2980="",M2980=""),"In Progress",IF(M2980&lt;=J2980,"Met","Breached"))</f>
        <v>Met</v>
      </c>
    </row>
    <row r="2981" ht="19" customHeight="1" spans="1:14" x14ac:dyDescent="0.25">
      <c r="A2981" s="22" t="s">
        <v>3095</v>
      </c>
      <c r="B2981" s="36">
        <v>45763.01041666667</v>
      </c>
      <c r="C2981" s="36">
        <v>45767.663194444445</v>
      </c>
      <c r="D2981" s="22" t="s">
        <v>33</v>
      </c>
      <c r="E2981" s="22" t="s">
        <v>69</v>
      </c>
      <c r="F2981" s="22" t="s">
        <v>40</v>
      </c>
      <c r="G2981" s="22" t="s">
        <v>113</v>
      </c>
      <c r="H2981" s="22" t="s">
        <v>63</v>
      </c>
      <c r="I2981" s="22" t="s">
        <v>147</v>
      </c>
      <c r="J2981" s="23">
        <v>120</v>
      </c>
      <c r="K2981" s="37">
        <v>1</v>
      </c>
      <c r="L2981" s="37">
        <v>5</v>
      </c>
      <c r="M2981" s="22">
        <f>IF(OR(ISBLANK(C2981),C2981=""),"",ROUND((C2981-B2981)*24,2))</f>
        <v>111.67</v>
      </c>
      <c r="N2981" s="40" t="str">
        <f>IF(OR(ISBLANK(C2981),C2981="",M2981=""),"In Progress",IF(M2981&lt;=J2981,"Met","Breached"))</f>
        <v>Met</v>
      </c>
    </row>
    <row r="2982" ht="19" customHeight="1" spans="1:14" x14ac:dyDescent="0.25">
      <c r="A2982" s="19" t="s">
        <v>3096</v>
      </c>
      <c r="B2982" s="33">
        <v>46234.60416666667</v>
      </c>
      <c r="D2982" s="19" t="s">
        <v>39</v>
      </c>
      <c r="E2982" s="19" t="s">
        <v>61</v>
      </c>
      <c r="F2982" s="19" t="s">
        <v>45</v>
      </c>
      <c r="G2982" s="19" t="s">
        <v>121</v>
      </c>
      <c r="H2982" s="19" t="s">
        <v>63</v>
      </c>
      <c r="I2982" s="19" t="s">
        <v>117</v>
      </c>
      <c r="J2982" s="20">
        <v>12</v>
      </c>
      <c r="K2982" s="34">
        <v>0</v>
      </c>
      <c r="M2982" s="19" t="str">
        <f>IF(OR(ISBLANK(C2982),C2982=""),"",ROUND((C2982-B2982)*24,2))</f>
        <v/>
      </c>
      <c r="N2982" s="19" t="str">
        <f>IF(OR(ISBLANK(C2982),C2982="",M2982=""),"In Progress",IF(M2982&lt;=J2982,"Met","Breached"))</f>
        <v>In Progress</v>
      </c>
    </row>
    <row r="2983" ht="19" customHeight="1" spans="1:14" x14ac:dyDescent="0.25">
      <c r="A2983" s="22" t="s">
        <v>3097</v>
      </c>
      <c r="B2983" s="36">
        <v>46258.256944444445</v>
      </c>
      <c r="D2983" s="22" t="s">
        <v>42</v>
      </c>
      <c r="E2983" s="22" t="s">
        <v>61</v>
      </c>
      <c r="F2983" s="22" t="s">
        <v>37</v>
      </c>
      <c r="G2983" s="22" t="s">
        <v>110</v>
      </c>
      <c r="H2983" s="22" t="s">
        <v>59</v>
      </c>
      <c r="I2983" s="22" t="s">
        <v>114</v>
      </c>
      <c r="J2983" s="23">
        <v>12</v>
      </c>
      <c r="K2983" s="37">
        <v>0</v>
      </c>
      <c r="M2983" s="22" t="str">
        <f>IF(OR(ISBLANK(C2983),C2983=""),"",ROUND((C2983-B2983)*24,2))</f>
        <v/>
      </c>
      <c r="N2983" s="22" t="str">
        <f>IF(OR(ISBLANK(C2983),C2983="",M2983=""),"In Progress",IF(M2983&lt;=J2983,"Met","Breached"))</f>
        <v>In Progress</v>
      </c>
    </row>
    <row r="2984" ht="19" customHeight="1" spans="1:14" x14ac:dyDescent="0.25">
      <c r="A2984" s="19" t="s">
        <v>3098</v>
      </c>
      <c r="B2984" s="33">
        <v>45841.597916666666</v>
      </c>
      <c r="C2984" s="33">
        <v>45847.68541666667</v>
      </c>
      <c r="D2984" s="19" t="s">
        <v>33</v>
      </c>
      <c r="E2984" s="19" t="s">
        <v>69</v>
      </c>
      <c r="F2984" s="19" t="s">
        <v>34</v>
      </c>
      <c r="G2984" s="19" t="s">
        <v>116</v>
      </c>
      <c r="H2984" s="19" t="s">
        <v>59</v>
      </c>
      <c r="I2984" s="19" t="s">
        <v>108</v>
      </c>
      <c r="J2984" s="20">
        <v>120</v>
      </c>
      <c r="K2984" s="34">
        <v>0</v>
      </c>
      <c r="L2984" s="34">
        <v>4</v>
      </c>
      <c r="M2984" s="19">
        <f>IF(OR(ISBLANK(C2984),C2984=""),"",ROUND((C2984-B2984)*24,2))</f>
        <v>146.1</v>
      </c>
      <c r="N2984" s="39" t="str">
        <f>IF(OR(ISBLANK(C2984),C2984="",M2984=""),"In Progress",IF(M2984&lt;=J2984,"Met","Breached"))</f>
        <v>Breached</v>
      </c>
    </row>
    <row r="2985" ht="19" customHeight="1" spans="1:14" x14ac:dyDescent="0.25">
      <c r="A2985" s="22" t="s">
        <v>3099</v>
      </c>
      <c r="B2985" s="36">
        <v>45954.334027777775</v>
      </c>
      <c r="C2985" s="36">
        <v>45961.15555555555</v>
      </c>
      <c r="D2985" s="22" t="s">
        <v>36</v>
      </c>
      <c r="E2985" s="22" t="s">
        <v>69</v>
      </c>
      <c r="F2985" s="22" t="s">
        <v>43</v>
      </c>
      <c r="G2985" s="22" t="s">
        <v>63</v>
      </c>
      <c r="H2985" s="22" t="s">
        <v>63</v>
      </c>
      <c r="I2985" s="22" t="s">
        <v>108</v>
      </c>
      <c r="J2985" s="23">
        <v>120</v>
      </c>
      <c r="K2985" s="37">
        <v>0</v>
      </c>
      <c r="M2985" s="22">
        <f>IF(OR(ISBLANK(C2985),C2985=""),"",ROUND((C2985-B2985)*24,2))</f>
        <v>163.72</v>
      </c>
      <c r="N2985" s="38" t="str">
        <f>IF(OR(ISBLANK(C2985),C2985="",M2985=""),"In Progress",IF(M2985&lt;=J2985,"Met","Breached"))</f>
        <v>Breached</v>
      </c>
    </row>
    <row r="2986" ht="19" customHeight="1" spans="1:14" x14ac:dyDescent="0.25">
      <c r="A2986" s="19" t="s">
        <v>3100</v>
      </c>
      <c r="B2986" s="33">
        <v>45727.49166666667</v>
      </c>
      <c r="C2986" s="33">
        <v>45736.214583333334</v>
      </c>
      <c r="D2986" s="19" t="s">
        <v>33</v>
      </c>
      <c r="E2986" s="19" t="s">
        <v>69</v>
      </c>
      <c r="F2986" s="19" t="s">
        <v>34</v>
      </c>
      <c r="G2986" s="19" t="s">
        <v>110</v>
      </c>
      <c r="H2986" s="19" t="s">
        <v>59</v>
      </c>
      <c r="I2986" s="19" t="s">
        <v>117</v>
      </c>
      <c r="J2986" s="20">
        <v>120</v>
      </c>
      <c r="K2986" s="34">
        <v>0</v>
      </c>
      <c r="L2986" s="34">
        <v>4</v>
      </c>
      <c r="M2986" s="19">
        <f>IF(OR(ISBLANK(C2986),C2986=""),"",ROUND((C2986-B2986)*24,2))</f>
        <v>209.35</v>
      </c>
      <c r="N2986" s="39" t="str">
        <f>IF(OR(ISBLANK(C2986),C2986="",M2986=""),"In Progress",IF(M2986&lt;=J2986,"Met","Breached"))</f>
        <v>Breached</v>
      </c>
    </row>
    <row r="2987" ht="19" customHeight="1" spans="1:14" x14ac:dyDescent="0.25">
      <c r="A2987" s="22" t="s">
        <v>3101</v>
      </c>
      <c r="B2987" s="36">
        <v>45835.25138888889</v>
      </c>
      <c r="C2987" s="36">
        <v>45835.572222222225</v>
      </c>
      <c r="D2987" s="22" t="s">
        <v>33</v>
      </c>
      <c r="E2987" s="22" t="s">
        <v>61</v>
      </c>
      <c r="F2987" s="22" t="s">
        <v>34</v>
      </c>
      <c r="G2987" s="22" t="s">
        <v>63</v>
      </c>
      <c r="H2987" s="22" t="s">
        <v>59</v>
      </c>
      <c r="I2987" s="22" t="s">
        <v>117</v>
      </c>
      <c r="J2987" s="23">
        <v>12</v>
      </c>
      <c r="K2987" s="37">
        <v>0</v>
      </c>
      <c r="L2987" s="37">
        <v>4</v>
      </c>
      <c r="M2987" s="22">
        <f>IF(OR(ISBLANK(C2987),C2987=""),"",ROUND((C2987-B2987)*24,2))</f>
        <v>7.7</v>
      </c>
      <c r="N2987" s="40" t="str">
        <f>IF(OR(ISBLANK(C2987),C2987="",M2987=""),"In Progress",IF(M2987&lt;=J2987,"Met","Breached"))</f>
        <v>Met</v>
      </c>
    </row>
    <row r="2988" ht="19" customHeight="1" spans="1:14" x14ac:dyDescent="0.25">
      <c r="A2988" s="19" t="s">
        <v>3102</v>
      </c>
      <c r="B2988" s="33">
        <v>46261.32708333334</v>
      </c>
      <c r="C2988" s="33">
        <v>46262.20416666666</v>
      </c>
      <c r="D2988" s="19" t="s">
        <v>36</v>
      </c>
      <c r="E2988" s="19" t="s">
        <v>61</v>
      </c>
      <c r="F2988" s="19" t="s">
        <v>34</v>
      </c>
      <c r="G2988" s="19" t="s">
        <v>113</v>
      </c>
      <c r="H2988" s="19" t="s">
        <v>59</v>
      </c>
      <c r="I2988" s="19" t="s">
        <v>108</v>
      </c>
      <c r="J2988" s="20">
        <v>12</v>
      </c>
      <c r="K2988" s="34">
        <v>0</v>
      </c>
      <c r="L2988" s="34">
        <v>5</v>
      </c>
      <c r="M2988" s="19">
        <f>IF(OR(ISBLANK(C2988),C2988=""),"",ROUND((C2988-B2988)*24,2))</f>
        <v>21.05</v>
      </c>
      <c r="N2988" s="39" t="str">
        <f>IF(OR(ISBLANK(C2988),C2988="",M2988=""),"In Progress",IF(M2988&lt;=J2988,"Met","Breached"))</f>
        <v>Breached</v>
      </c>
    </row>
    <row r="2989" ht="19" customHeight="1" spans="1:14" x14ac:dyDescent="0.25">
      <c r="A2989" s="22" t="s">
        <v>3103</v>
      </c>
      <c r="B2989" s="36">
        <v>45849.117361111115</v>
      </c>
      <c r="D2989" s="22" t="s">
        <v>39</v>
      </c>
      <c r="E2989" s="22" t="s">
        <v>65</v>
      </c>
      <c r="F2989" s="22" t="s">
        <v>43</v>
      </c>
      <c r="G2989" s="22" t="s">
        <v>126</v>
      </c>
      <c r="H2989" s="22" t="s">
        <v>59</v>
      </c>
      <c r="I2989" s="22" t="s">
        <v>117</v>
      </c>
      <c r="J2989" s="23">
        <v>48</v>
      </c>
      <c r="K2989" s="37">
        <v>0</v>
      </c>
      <c r="M2989" s="22" t="str">
        <f>IF(OR(ISBLANK(C2989),C2989=""),"",ROUND((C2989-B2989)*24,2))</f>
        <v/>
      </c>
      <c r="N2989" s="22" t="str">
        <f>IF(OR(ISBLANK(C2989),C2989="",M2989=""),"In Progress",IF(M2989&lt;=J2989,"Met","Breached"))</f>
        <v>In Progress</v>
      </c>
    </row>
    <row r="2990" ht="19" customHeight="1" spans="1:14" x14ac:dyDescent="0.25">
      <c r="A2990" s="19" t="s">
        <v>3104</v>
      </c>
      <c r="B2990" s="33">
        <v>45792.60902777778</v>
      </c>
      <c r="C2990" s="33">
        <v>45793.274305555555</v>
      </c>
      <c r="D2990" s="19" t="s">
        <v>36</v>
      </c>
      <c r="E2990" s="19" t="s">
        <v>61</v>
      </c>
      <c r="F2990" s="19" t="s">
        <v>40</v>
      </c>
      <c r="G2990" s="19" t="s">
        <v>126</v>
      </c>
      <c r="H2990" s="19" t="s">
        <v>59</v>
      </c>
      <c r="I2990" s="19" t="s">
        <v>111</v>
      </c>
      <c r="J2990" s="20">
        <v>12</v>
      </c>
      <c r="K2990" s="34">
        <v>0</v>
      </c>
      <c r="L2990" s="34">
        <v>1</v>
      </c>
      <c r="M2990" s="19">
        <f>IF(OR(ISBLANK(C2990),C2990=""),"",ROUND((C2990-B2990)*24,2))</f>
        <v>15.97</v>
      </c>
      <c r="N2990" s="39" t="str">
        <f>IF(OR(ISBLANK(C2990),C2990="",M2990=""),"In Progress",IF(M2990&lt;=J2990,"Met","Breached"))</f>
        <v>Breached</v>
      </c>
    </row>
    <row r="2991" ht="19" customHeight="1" spans="1:14" x14ac:dyDescent="0.25">
      <c r="A2991" s="22" t="s">
        <v>3105</v>
      </c>
      <c r="B2991" s="36">
        <v>45694.3625</v>
      </c>
      <c r="D2991" s="22" t="s">
        <v>39</v>
      </c>
      <c r="E2991" s="22" t="s">
        <v>65</v>
      </c>
      <c r="F2991" s="22" t="s">
        <v>37</v>
      </c>
      <c r="G2991" s="22" t="s">
        <v>116</v>
      </c>
      <c r="H2991" s="22" t="s">
        <v>67</v>
      </c>
      <c r="I2991" s="22" t="s">
        <v>108</v>
      </c>
      <c r="J2991" s="23">
        <v>48</v>
      </c>
      <c r="K2991" s="37">
        <v>0</v>
      </c>
      <c r="M2991" s="22" t="str">
        <f>IF(OR(ISBLANK(C2991),C2991=""),"",ROUND((C2991-B2991)*24,2))</f>
        <v/>
      </c>
      <c r="N2991" s="22" t="str">
        <f>IF(OR(ISBLANK(C2991),C2991="",M2991=""),"In Progress",IF(M2991&lt;=J2991,"Met","Breached"))</f>
        <v>In Progress</v>
      </c>
    </row>
    <row r="2992" ht="19" customHeight="1" spans="1:14" x14ac:dyDescent="0.25">
      <c r="A2992" s="19" t="s">
        <v>3106</v>
      </c>
      <c r="B2992" s="33">
        <v>46138.85486111111</v>
      </c>
      <c r="C2992" s="33">
        <v>46139.33888888889</v>
      </c>
      <c r="D2992" s="19" t="s">
        <v>36</v>
      </c>
      <c r="E2992" s="19" t="s">
        <v>61</v>
      </c>
      <c r="F2992" s="19" t="s">
        <v>40</v>
      </c>
      <c r="G2992" s="19" t="s">
        <v>113</v>
      </c>
      <c r="H2992" s="19" t="s">
        <v>59</v>
      </c>
      <c r="I2992" s="19" t="s">
        <v>147</v>
      </c>
      <c r="J2992" s="20">
        <v>12</v>
      </c>
      <c r="K2992" s="34">
        <v>0</v>
      </c>
      <c r="L2992" s="34">
        <v>2</v>
      </c>
      <c r="M2992" s="19">
        <f>IF(OR(ISBLANK(C2992),C2992=""),"",ROUND((C2992-B2992)*24,2))</f>
        <v>11.62</v>
      </c>
      <c r="N2992" s="35" t="str">
        <f>IF(OR(ISBLANK(C2992),C2992="",M2992=""),"In Progress",IF(M2992&lt;=J2992,"Met","Breached"))</f>
        <v>Met</v>
      </c>
    </row>
    <row r="2993" ht="19" customHeight="1" spans="1:14" x14ac:dyDescent="0.25">
      <c r="A2993" s="22" t="s">
        <v>3107</v>
      </c>
      <c r="B2993" s="36">
        <v>45987.445138888885</v>
      </c>
      <c r="D2993" s="22" t="s">
        <v>39</v>
      </c>
      <c r="E2993" s="22" t="s">
        <v>65</v>
      </c>
      <c r="F2993" s="22" t="s">
        <v>45</v>
      </c>
      <c r="G2993" s="22" t="s">
        <v>126</v>
      </c>
      <c r="H2993" s="22" t="s">
        <v>63</v>
      </c>
      <c r="I2993" s="22" t="s">
        <v>108</v>
      </c>
      <c r="J2993" s="23">
        <v>48</v>
      </c>
      <c r="K2993" s="37">
        <v>0</v>
      </c>
      <c r="M2993" s="22" t="str">
        <f>IF(OR(ISBLANK(C2993),C2993=""),"",ROUND((C2993-B2993)*24,2))</f>
        <v/>
      </c>
      <c r="N2993" s="22" t="str">
        <f>IF(OR(ISBLANK(C2993),C2993="",M2993=""),"In Progress",IF(M2993&lt;=J2993,"Met","Breached"))</f>
        <v>In Progress</v>
      </c>
    </row>
    <row r="2994" ht="19" customHeight="1" spans="1:14" x14ac:dyDescent="0.25">
      <c r="A2994" s="19" t="s">
        <v>3108</v>
      </c>
      <c r="B2994" s="33">
        <v>45891.38055555556</v>
      </c>
      <c r="C2994" s="33">
        <v>45893.76180555555</v>
      </c>
      <c r="D2994" s="19" t="s">
        <v>33</v>
      </c>
      <c r="E2994" s="19" t="s">
        <v>65</v>
      </c>
      <c r="F2994" s="19" t="s">
        <v>37</v>
      </c>
      <c r="G2994" s="19" t="s">
        <v>113</v>
      </c>
      <c r="H2994" s="19" t="s">
        <v>59</v>
      </c>
      <c r="I2994" s="19" t="s">
        <v>108</v>
      </c>
      <c r="J2994" s="20">
        <v>48</v>
      </c>
      <c r="K2994" s="34">
        <v>0</v>
      </c>
      <c r="L2994" s="34">
        <v>4</v>
      </c>
      <c r="M2994" s="19">
        <f>IF(OR(ISBLANK(C2994),C2994=""),"",ROUND((C2994-B2994)*24,2))</f>
        <v>57.15</v>
      </c>
      <c r="N2994" s="39" t="str">
        <f>IF(OR(ISBLANK(C2994),C2994="",M2994=""),"In Progress",IF(M2994&lt;=J2994,"Met","Breached"))</f>
        <v>Breached</v>
      </c>
    </row>
    <row r="2995" ht="19" customHeight="1" spans="1:14" x14ac:dyDescent="0.25">
      <c r="A2995" s="22" t="s">
        <v>3109</v>
      </c>
      <c r="B2995" s="36">
        <v>45715.08194444445</v>
      </c>
      <c r="C2995" s="36">
        <v>45720.433333333334</v>
      </c>
      <c r="D2995" s="22" t="s">
        <v>33</v>
      </c>
      <c r="E2995" s="22" t="s">
        <v>69</v>
      </c>
      <c r="F2995" s="22" t="s">
        <v>37</v>
      </c>
      <c r="G2995" s="22" t="s">
        <v>126</v>
      </c>
      <c r="H2995" s="22" t="s">
        <v>67</v>
      </c>
      <c r="I2995" s="22" t="s">
        <v>147</v>
      </c>
      <c r="J2995" s="23">
        <v>120</v>
      </c>
      <c r="K2995" s="37">
        <v>0</v>
      </c>
      <c r="L2995" s="37">
        <v>3</v>
      </c>
      <c r="M2995" s="22">
        <f>IF(OR(ISBLANK(C2995),C2995=""),"",ROUND((C2995-B2995)*24,2))</f>
        <v>128.43</v>
      </c>
      <c r="N2995" s="38" t="str">
        <f>IF(OR(ISBLANK(C2995),C2995="",M2995=""),"In Progress",IF(M2995&lt;=J2995,"Met","Breached"))</f>
        <v>Breached</v>
      </c>
    </row>
    <row r="2996" ht="19" customHeight="1" spans="1:14" x14ac:dyDescent="0.25">
      <c r="A2996" s="19" t="s">
        <v>3110</v>
      </c>
      <c r="B2996" s="33">
        <v>45810.59513888889</v>
      </c>
      <c r="D2996" s="19" t="s">
        <v>39</v>
      </c>
      <c r="E2996" s="19" t="s">
        <v>61</v>
      </c>
      <c r="F2996" s="19" t="s">
        <v>40</v>
      </c>
      <c r="G2996" s="19" t="s">
        <v>113</v>
      </c>
      <c r="H2996" s="19" t="s">
        <v>59</v>
      </c>
      <c r="I2996" s="19" t="s">
        <v>147</v>
      </c>
      <c r="J2996" s="20">
        <v>12</v>
      </c>
      <c r="K2996" s="34">
        <v>0</v>
      </c>
      <c r="M2996" s="19" t="str">
        <f>IF(OR(ISBLANK(C2996),C2996=""),"",ROUND((C2996-B2996)*24,2))</f>
        <v/>
      </c>
      <c r="N2996" s="19" t="str">
        <f>IF(OR(ISBLANK(C2996),C2996="",M2996=""),"In Progress",IF(M2996&lt;=J2996,"Met","Breached"))</f>
        <v>In Progress</v>
      </c>
    </row>
    <row r="2997" ht="19" customHeight="1" spans="1:14" x14ac:dyDescent="0.25">
      <c r="A2997" s="22" t="s">
        <v>3111</v>
      </c>
      <c r="B2997" s="36">
        <v>46019.18819444445</v>
      </c>
      <c r="C2997" s="36">
        <v>46020.805555555555</v>
      </c>
      <c r="D2997" s="22" t="s">
        <v>33</v>
      </c>
      <c r="E2997" s="22" t="s">
        <v>65</v>
      </c>
      <c r="F2997" s="22" t="s">
        <v>37</v>
      </c>
      <c r="G2997" s="22" t="s">
        <v>121</v>
      </c>
      <c r="H2997" s="22" t="s">
        <v>63</v>
      </c>
      <c r="I2997" s="22" t="s">
        <v>108</v>
      </c>
      <c r="J2997" s="23">
        <v>48</v>
      </c>
      <c r="K2997" s="37">
        <v>0</v>
      </c>
      <c r="M2997" s="22">
        <f>IF(OR(ISBLANK(C2997),C2997=""),"",ROUND((C2997-B2997)*24,2))</f>
        <v>38.82</v>
      </c>
      <c r="N2997" s="40" t="str">
        <f>IF(OR(ISBLANK(C2997),C2997="",M2997=""),"In Progress",IF(M2997&lt;=J2997,"Met","Breached"))</f>
        <v>Met</v>
      </c>
    </row>
    <row r="2998" ht="19" customHeight="1" spans="1:14" x14ac:dyDescent="0.25">
      <c r="A2998" s="19" t="s">
        <v>3112</v>
      </c>
      <c r="B2998" s="33">
        <v>45756.23541666666</v>
      </c>
      <c r="C2998" s="33">
        <v>45756.29652777778</v>
      </c>
      <c r="D2998" s="19" t="s">
        <v>36</v>
      </c>
      <c r="E2998" s="19" t="s">
        <v>57</v>
      </c>
      <c r="F2998" s="19" t="s">
        <v>34</v>
      </c>
      <c r="G2998" s="19" t="s">
        <v>116</v>
      </c>
      <c r="H2998" s="19" t="s">
        <v>63</v>
      </c>
      <c r="I2998" s="19" t="s">
        <v>123</v>
      </c>
      <c r="J2998" s="20">
        <v>4</v>
      </c>
      <c r="K2998" s="34">
        <v>0</v>
      </c>
      <c r="M2998" s="19">
        <f>IF(OR(ISBLANK(C2998),C2998=""),"",ROUND((C2998-B2998)*24,2))</f>
        <v>1.47</v>
      </c>
      <c r="N2998" s="35" t="str">
        <f>IF(OR(ISBLANK(C2998),C2998="",M2998=""),"In Progress",IF(M2998&lt;=J2998,"Met","Breached"))</f>
        <v>Met</v>
      </c>
    </row>
    <row r="2999" ht="19" customHeight="1" spans="1:14" x14ac:dyDescent="0.25">
      <c r="A2999" s="22" t="s">
        <v>3113</v>
      </c>
      <c r="B2999" s="36">
        <v>45713.64097222222</v>
      </c>
      <c r="C2999" s="36">
        <v>45715.09444444445</v>
      </c>
      <c r="D2999" s="22" t="s">
        <v>33</v>
      </c>
      <c r="E2999" s="22" t="s">
        <v>65</v>
      </c>
      <c r="F2999" s="22" t="s">
        <v>34</v>
      </c>
      <c r="G2999" s="22" t="s">
        <v>110</v>
      </c>
      <c r="H2999" s="22" t="s">
        <v>59</v>
      </c>
      <c r="I2999" s="22" t="s">
        <v>114</v>
      </c>
      <c r="J2999" s="23">
        <v>48</v>
      </c>
      <c r="K2999" s="37">
        <v>0</v>
      </c>
      <c r="L2999" s="37">
        <v>2</v>
      </c>
      <c r="M2999" s="22">
        <f>IF(OR(ISBLANK(C2999),C2999=""),"",ROUND((C2999-B2999)*24,2))</f>
        <v>34.88</v>
      </c>
      <c r="N2999" s="40" t="str">
        <f>IF(OR(ISBLANK(C2999),C2999="",M2999=""),"In Progress",IF(M2999&lt;=J2999,"Met","Breached"))</f>
        <v>Met</v>
      </c>
    </row>
    <row r="3000" ht="19" customHeight="1" spans="1:14" x14ac:dyDescent="0.25">
      <c r="A3000" s="19" t="s">
        <v>3114</v>
      </c>
      <c r="B3000" s="33">
        <v>46281.22222222222</v>
      </c>
      <c r="C3000" s="33">
        <v>46284.31875</v>
      </c>
      <c r="D3000" s="19" t="s">
        <v>36</v>
      </c>
      <c r="E3000" s="19" t="s">
        <v>65</v>
      </c>
      <c r="F3000" s="19" t="s">
        <v>37</v>
      </c>
      <c r="G3000" s="19" t="s">
        <v>126</v>
      </c>
      <c r="H3000" s="19" t="s">
        <v>63</v>
      </c>
      <c r="I3000" s="19" t="s">
        <v>108</v>
      </c>
      <c r="J3000" s="20">
        <v>48</v>
      </c>
      <c r="K3000" s="34">
        <v>1</v>
      </c>
      <c r="L3000" s="34">
        <v>3</v>
      </c>
      <c r="M3000" s="19">
        <f>IF(OR(ISBLANK(C3000),C3000=""),"",ROUND((C3000-B3000)*24,2))</f>
        <v>74.32</v>
      </c>
      <c r="N3000" s="39" t="str">
        <f>IF(OR(ISBLANK(C3000),C3000="",M3000=""),"In Progress",IF(M3000&lt;=J3000,"Met","Breached"))</f>
        <v>Breached</v>
      </c>
    </row>
    <row r="3001" ht="19" customHeight="1" spans="1:14" x14ac:dyDescent="0.25">
      <c r="A3001" s="22" t="s">
        <v>3115</v>
      </c>
      <c r="B3001" s="36">
        <v>45945.4875</v>
      </c>
      <c r="C3001" s="36">
        <v>45946.09583333333</v>
      </c>
      <c r="D3001" s="22" t="s">
        <v>33</v>
      </c>
      <c r="E3001" s="22" t="s">
        <v>61</v>
      </c>
      <c r="F3001" s="22" t="s">
        <v>40</v>
      </c>
      <c r="G3001" s="22" t="s">
        <v>113</v>
      </c>
      <c r="H3001" s="22" t="s">
        <v>59</v>
      </c>
      <c r="I3001" s="22" t="s">
        <v>108</v>
      </c>
      <c r="J3001" s="23">
        <v>12</v>
      </c>
      <c r="K3001" s="37">
        <v>0</v>
      </c>
      <c r="L3001" s="37">
        <v>5</v>
      </c>
      <c r="M3001" s="22">
        <f>IF(OR(ISBLANK(C3001),C3001=""),"",ROUND((C3001-B3001)*24,2))</f>
        <v>14.6</v>
      </c>
      <c r="N3001" s="38" t="str">
        <f>IF(OR(ISBLANK(C3001),C3001="",M3001=""),"In Progress",IF(M3001&lt;=J3001,"Met","Breached"))</f>
        <v>Breached</v>
      </c>
    </row>
    <row r="3002" ht="19" customHeight="1" spans="1:14" x14ac:dyDescent="0.25">
      <c r="A3002" s="19" t="s">
        <v>3116</v>
      </c>
      <c r="B3002" s="33">
        <v>45974.39027777778</v>
      </c>
      <c r="C3002" s="33">
        <v>45974.65277777778</v>
      </c>
      <c r="D3002" s="19" t="s">
        <v>33</v>
      </c>
      <c r="E3002" s="19" t="s">
        <v>61</v>
      </c>
      <c r="F3002" s="19" t="s">
        <v>34</v>
      </c>
      <c r="G3002" s="19" t="s">
        <v>113</v>
      </c>
      <c r="H3002" s="19" t="s">
        <v>63</v>
      </c>
      <c r="I3002" s="19" t="s">
        <v>114</v>
      </c>
      <c r="J3002" s="20">
        <v>12</v>
      </c>
      <c r="K3002" s="34">
        <v>0</v>
      </c>
      <c r="L3002" s="34">
        <v>1</v>
      </c>
      <c r="M3002" s="19">
        <f>IF(OR(ISBLANK(C3002),C3002=""),"",ROUND((C3002-B3002)*24,2))</f>
        <v>6.3</v>
      </c>
      <c r="N3002" s="35" t="str">
        <f>IF(OR(ISBLANK(C3002),C3002="",M3002=""),"In Progress",IF(M3002&lt;=J3002,"Met","Breached"))</f>
        <v>Met</v>
      </c>
    </row>
    <row r="3003" ht="19" customHeight="1" spans="1:14" x14ac:dyDescent="0.25">
      <c r="A3003" s="22" t="s">
        <v>3117</v>
      </c>
      <c r="B3003" s="36">
        <v>46263.47708333333</v>
      </c>
      <c r="D3003" s="22" t="s">
        <v>39</v>
      </c>
      <c r="E3003" s="22" t="s">
        <v>65</v>
      </c>
      <c r="F3003" s="22" t="s">
        <v>40</v>
      </c>
      <c r="G3003" s="22" t="s">
        <v>116</v>
      </c>
      <c r="H3003" s="22" t="s">
        <v>59</v>
      </c>
      <c r="I3003" s="22" t="s">
        <v>123</v>
      </c>
      <c r="J3003" s="23">
        <v>48</v>
      </c>
      <c r="K3003" s="37">
        <v>0</v>
      </c>
      <c r="M3003" s="22" t="str">
        <f>IF(OR(ISBLANK(C3003),C3003=""),"",ROUND((C3003-B3003)*24,2))</f>
        <v/>
      </c>
      <c r="N3003" s="22" t="str">
        <f>IF(OR(ISBLANK(C3003),C3003="",M3003=""),"In Progress",IF(M3003&lt;=J3003,"Met","Breached"))</f>
        <v>In Progress</v>
      </c>
    </row>
    <row r="3004" ht="19" customHeight="1" spans="1:14" x14ac:dyDescent="0.25">
      <c r="A3004" s="19" t="s">
        <v>3118</v>
      </c>
      <c r="B3004" s="33">
        <v>46042.34513888889</v>
      </c>
      <c r="C3004" s="33">
        <v>46042.975</v>
      </c>
      <c r="D3004" s="19" t="s">
        <v>36</v>
      </c>
      <c r="E3004" s="19" t="s">
        <v>61</v>
      </c>
      <c r="F3004" s="19" t="s">
        <v>43</v>
      </c>
      <c r="G3004" s="19" t="s">
        <v>113</v>
      </c>
      <c r="H3004" s="19" t="s">
        <v>63</v>
      </c>
      <c r="I3004" s="19" t="s">
        <v>114</v>
      </c>
      <c r="J3004" s="20">
        <v>12</v>
      </c>
      <c r="K3004" s="34">
        <v>0</v>
      </c>
      <c r="L3004" s="34">
        <v>4</v>
      </c>
      <c r="M3004" s="19">
        <f>IF(OR(ISBLANK(C3004),C3004=""),"",ROUND((C3004-B3004)*24,2))</f>
        <v>15.12</v>
      </c>
      <c r="N3004" s="39" t="str">
        <f>IF(OR(ISBLANK(C3004),C3004="",M3004=""),"In Progress",IF(M3004&lt;=J3004,"Met","Breached"))</f>
        <v>Breached</v>
      </c>
    </row>
    <row r="3005" ht="19" customHeight="1" spans="1:14" x14ac:dyDescent="0.25">
      <c r="A3005" s="22" t="s">
        <v>3119</v>
      </c>
      <c r="B3005" s="36">
        <v>45672.37430555555</v>
      </c>
      <c r="D3005" s="22" t="s">
        <v>39</v>
      </c>
      <c r="E3005" s="22" t="s">
        <v>65</v>
      </c>
      <c r="F3005" s="22" t="s">
        <v>40</v>
      </c>
      <c r="G3005" s="22" t="s">
        <v>121</v>
      </c>
      <c r="H3005" s="22" t="s">
        <v>59</v>
      </c>
      <c r="I3005" s="22" t="s">
        <v>111</v>
      </c>
      <c r="J3005" s="23">
        <v>48</v>
      </c>
      <c r="K3005" s="37">
        <v>0</v>
      </c>
      <c r="M3005" s="22" t="str">
        <f>IF(OR(ISBLANK(C3005),C3005=""),"",ROUND((C3005-B3005)*24,2))</f>
        <v/>
      </c>
      <c r="N3005" s="22" t="str">
        <f>IF(OR(ISBLANK(C3005),C3005="",M3005=""),"In Progress",IF(M3005&lt;=J3005,"Met","Breached"))</f>
        <v>In Progress</v>
      </c>
    </row>
    <row r="3006" ht="19" customHeight="1" spans="1:14" x14ac:dyDescent="0.25">
      <c r="A3006" s="19" t="s">
        <v>3120</v>
      </c>
      <c r="B3006" s="33">
        <v>46133.257638888885</v>
      </c>
      <c r="C3006" s="33">
        <v>46134.60902777778</v>
      </c>
      <c r="D3006" s="19" t="s">
        <v>36</v>
      </c>
      <c r="E3006" s="19" t="s">
        <v>65</v>
      </c>
      <c r="F3006" s="19" t="s">
        <v>45</v>
      </c>
      <c r="G3006" s="19" t="s">
        <v>126</v>
      </c>
      <c r="H3006" s="19" t="s">
        <v>63</v>
      </c>
      <c r="I3006" s="19" t="s">
        <v>108</v>
      </c>
      <c r="J3006" s="20">
        <v>48</v>
      </c>
      <c r="K3006" s="34">
        <v>0</v>
      </c>
      <c r="L3006" s="34">
        <v>1</v>
      </c>
      <c r="M3006" s="19">
        <f>IF(OR(ISBLANK(C3006),C3006=""),"",ROUND((C3006-B3006)*24,2))</f>
        <v>32.43</v>
      </c>
      <c r="N3006" s="35" t="str">
        <f>IF(OR(ISBLANK(C3006),C3006="",M3006=""),"In Progress",IF(M3006&lt;=J3006,"Met","Breached"))</f>
        <v>Met</v>
      </c>
    </row>
    <row r="3007" ht="19" customHeight="1" spans="1:14" x14ac:dyDescent="0.25">
      <c r="A3007" s="22" t="s">
        <v>3121</v>
      </c>
      <c r="B3007" s="36">
        <v>46141.00625</v>
      </c>
      <c r="D3007" s="22" t="s">
        <v>42</v>
      </c>
      <c r="E3007" s="22" t="s">
        <v>65</v>
      </c>
      <c r="F3007" s="22" t="s">
        <v>40</v>
      </c>
      <c r="G3007" s="22" t="s">
        <v>121</v>
      </c>
      <c r="H3007" s="22" t="s">
        <v>59</v>
      </c>
      <c r="I3007" s="22" t="s">
        <v>114</v>
      </c>
      <c r="J3007" s="23">
        <v>48</v>
      </c>
      <c r="K3007" s="37">
        <v>0</v>
      </c>
      <c r="M3007" s="22" t="str">
        <f>IF(OR(ISBLANK(C3007),C3007=""),"",ROUND((C3007-B3007)*24,2))</f>
        <v/>
      </c>
      <c r="N3007" s="22" t="str">
        <f>IF(OR(ISBLANK(C3007),C3007="",M3007=""),"In Progress",IF(M3007&lt;=J3007,"Met","Breached"))</f>
        <v>In Progress</v>
      </c>
    </row>
    <row r="3008" ht="19" customHeight="1" spans="1:14" x14ac:dyDescent="0.25">
      <c r="A3008" s="19" t="s">
        <v>3122</v>
      </c>
      <c r="B3008" s="33">
        <v>45745.23958333333</v>
      </c>
      <c r="C3008" s="33">
        <v>45747.44930555555</v>
      </c>
      <c r="D3008" s="19" t="s">
        <v>33</v>
      </c>
      <c r="E3008" s="19" t="s">
        <v>65</v>
      </c>
      <c r="F3008" s="19" t="s">
        <v>40</v>
      </c>
      <c r="G3008" s="19" t="s">
        <v>63</v>
      </c>
      <c r="H3008" s="19" t="s">
        <v>71</v>
      </c>
      <c r="I3008" s="19" t="s">
        <v>114</v>
      </c>
      <c r="J3008" s="20">
        <v>48</v>
      </c>
      <c r="K3008" s="34">
        <v>0</v>
      </c>
      <c r="L3008" s="34">
        <v>1</v>
      </c>
      <c r="M3008" s="19">
        <f>IF(OR(ISBLANK(C3008),C3008=""),"",ROUND((C3008-B3008)*24,2))</f>
        <v>53.03</v>
      </c>
      <c r="N3008" s="39" t="str">
        <f>IF(OR(ISBLANK(C3008),C3008="",M3008=""),"In Progress",IF(M3008&lt;=J3008,"Met","Breached"))</f>
        <v>Breached</v>
      </c>
    </row>
    <row r="3009" ht="19" customHeight="1" spans="1:14" x14ac:dyDescent="0.25">
      <c r="A3009" s="22" t="s">
        <v>3123</v>
      </c>
      <c r="B3009" s="36">
        <v>45863.575</v>
      </c>
      <c r="C3009" s="36">
        <v>45864.45694444445</v>
      </c>
      <c r="D3009" s="22" t="s">
        <v>33</v>
      </c>
      <c r="E3009" s="22" t="s">
        <v>61</v>
      </c>
      <c r="F3009" s="22" t="s">
        <v>45</v>
      </c>
      <c r="G3009" s="22" t="s">
        <v>126</v>
      </c>
      <c r="H3009" s="22" t="s">
        <v>63</v>
      </c>
      <c r="I3009" s="22" t="s">
        <v>117</v>
      </c>
      <c r="J3009" s="23">
        <v>12</v>
      </c>
      <c r="K3009" s="37">
        <v>1</v>
      </c>
      <c r="L3009" s="37">
        <v>5</v>
      </c>
      <c r="M3009" s="22">
        <f>IF(OR(ISBLANK(C3009),C3009=""),"",ROUND((C3009-B3009)*24,2))</f>
        <v>21.17</v>
      </c>
      <c r="N3009" s="38" t="str">
        <f>IF(OR(ISBLANK(C3009),C3009="",M3009=""),"In Progress",IF(M3009&lt;=J3009,"Met","Breached"))</f>
        <v>Breached</v>
      </c>
    </row>
    <row r="3010" ht="19" customHeight="1" spans="1:14" x14ac:dyDescent="0.25">
      <c r="A3010" s="19" t="s">
        <v>3124</v>
      </c>
      <c r="B3010" s="33">
        <v>46194.96875</v>
      </c>
      <c r="C3010" s="33">
        <v>46195.94027777778</v>
      </c>
      <c r="D3010" s="19" t="s">
        <v>33</v>
      </c>
      <c r="E3010" s="19" t="s">
        <v>65</v>
      </c>
      <c r="F3010" s="19" t="s">
        <v>40</v>
      </c>
      <c r="G3010" s="19" t="s">
        <v>116</v>
      </c>
      <c r="H3010" s="19" t="s">
        <v>59</v>
      </c>
      <c r="I3010" s="19" t="s">
        <v>147</v>
      </c>
      <c r="J3010" s="20">
        <v>48</v>
      </c>
      <c r="K3010" s="34">
        <v>0</v>
      </c>
      <c r="L3010" s="34">
        <v>1</v>
      </c>
      <c r="M3010" s="19">
        <f>IF(OR(ISBLANK(C3010),C3010=""),"",ROUND((C3010-B3010)*24,2))</f>
        <v>23.32</v>
      </c>
      <c r="N3010" s="35" t="str">
        <f>IF(OR(ISBLANK(C3010),C3010="",M3010=""),"In Progress",IF(M3010&lt;=J3010,"Met","Breached"))</f>
        <v>Met</v>
      </c>
    </row>
    <row r="3011" ht="19" customHeight="1" spans="1:14" x14ac:dyDescent="0.25">
      <c r="A3011" s="22" t="s">
        <v>3125</v>
      </c>
      <c r="B3011" s="36">
        <v>45875.75625</v>
      </c>
      <c r="C3011" s="36">
        <v>45878.990277777775</v>
      </c>
      <c r="D3011" s="22" t="s">
        <v>33</v>
      </c>
      <c r="E3011" s="22" t="s">
        <v>65</v>
      </c>
      <c r="F3011" s="22" t="s">
        <v>45</v>
      </c>
      <c r="G3011" s="22" t="s">
        <v>110</v>
      </c>
      <c r="H3011" s="22" t="s">
        <v>63</v>
      </c>
      <c r="I3011" s="22" t="s">
        <v>108</v>
      </c>
      <c r="J3011" s="23">
        <v>48</v>
      </c>
      <c r="K3011" s="37">
        <v>0</v>
      </c>
      <c r="L3011" s="37">
        <v>5</v>
      </c>
      <c r="M3011" s="22">
        <f>IF(OR(ISBLANK(C3011),C3011=""),"",ROUND((C3011-B3011)*24,2))</f>
        <v>77.62</v>
      </c>
      <c r="N3011" s="38" t="str">
        <f>IF(OR(ISBLANK(C3011),C3011="",M3011=""),"In Progress",IF(M3011&lt;=J3011,"Met","Breached"))</f>
        <v>Breached</v>
      </c>
    </row>
    <row r="3012" ht="19" customHeight="1" spans="1:14" x14ac:dyDescent="0.25">
      <c r="A3012" s="19" t="s">
        <v>3126</v>
      </c>
      <c r="B3012" s="33">
        <v>46227.299305555556</v>
      </c>
      <c r="C3012" s="33">
        <v>46228.160416666666</v>
      </c>
      <c r="D3012" s="19" t="s">
        <v>33</v>
      </c>
      <c r="E3012" s="19" t="s">
        <v>61</v>
      </c>
      <c r="F3012" s="19" t="s">
        <v>37</v>
      </c>
      <c r="G3012" s="19" t="s">
        <v>113</v>
      </c>
      <c r="H3012" s="19" t="s">
        <v>59</v>
      </c>
      <c r="I3012" s="19" t="s">
        <v>117</v>
      </c>
      <c r="J3012" s="20">
        <v>12</v>
      </c>
      <c r="K3012" s="34">
        <v>0</v>
      </c>
      <c r="L3012" s="34">
        <v>5</v>
      </c>
      <c r="M3012" s="19">
        <f>IF(OR(ISBLANK(C3012),C3012=""),"",ROUND((C3012-B3012)*24,2))</f>
        <v>20.67</v>
      </c>
      <c r="N3012" s="39" t="str">
        <f>IF(OR(ISBLANK(C3012),C3012="",M3012=""),"In Progress",IF(M3012&lt;=J3012,"Met","Breached"))</f>
        <v>Breached</v>
      </c>
    </row>
    <row r="3013" ht="19" customHeight="1" spans="1:14" x14ac:dyDescent="0.25">
      <c r="A3013" s="22" t="s">
        <v>3127</v>
      </c>
      <c r="B3013" s="36">
        <v>45746.927777777775</v>
      </c>
      <c r="C3013" s="36">
        <v>45749.67847222222</v>
      </c>
      <c r="D3013" s="22" t="s">
        <v>33</v>
      </c>
      <c r="E3013" s="22" t="s">
        <v>69</v>
      </c>
      <c r="F3013" s="22" t="s">
        <v>34</v>
      </c>
      <c r="G3013" s="22" t="s">
        <v>121</v>
      </c>
      <c r="H3013" s="22" t="s">
        <v>59</v>
      </c>
      <c r="I3013" s="22" t="s">
        <v>111</v>
      </c>
      <c r="J3013" s="23">
        <v>120</v>
      </c>
      <c r="K3013" s="37">
        <v>0</v>
      </c>
      <c r="M3013" s="22">
        <f>IF(OR(ISBLANK(C3013),C3013=""),"",ROUND((C3013-B3013)*24,2))</f>
        <v>66.02</v>
      </c>
      <c r="N3013" s="40" t="str">
        <f>IF(OR(ISBLANK(C3013),C3013="",M3013=""),"In Progress",IF(M3013&lt;=J3013,"Met","Breached"))</f>
        <v>Met</v>
      </c>
    </row>
    <row r="3014" ht="19" customHeight="1" spans="1:14" x14ac:dyDescent="0.25">
      <c r="A3014" s="19" t="s">
        <v>3128</v>
      </c>
      <c r="B3014" s="33">
        <v>45716.46041666667</v>
      </c>
      <c r="D3014" s="19" t="s">
        <v>39</v>
      </c>
      <c r="E3014" s="19" t="s">
        <v>65</v>
      </c>
      <c r="F3014" s="19" t="s">
        <v>43</v>
      </c>
      <c r="G3014" s="19" t="s">
        <v>110</v>
      </c>
      <c r="H3014" s="19" t="s">
        <v>71</v>
      </c>
      <c r="I3014" s="19" t="s">
        <v>108</v>
      </c>
      <c r="J3014" s="20">
        <v>48</v>
      </c>
      <c r="K3014" s="34">
        <v>0</v>
      </c>
      <c r="M3014" s="19" t="str">
        <f>IF(OR(ISBLANK(C3014),C3014=""),"",ROUND((C3014-B3014)*24,2))</f>
        <v/>
      </c>
      <c r="N3014" s="19" t="str">
        <f>IF(OR(ISBLANK(C3014),C3014="",M3014=""),"In Progress",IF(M3014&lt;=J3014,"Met","Breached"))</f>
        <v>In Progress</v>
      </c>
    </row>
    <row r="3015" ht="19" customHeight="1" spans="1:14" x14ac:dyDescent="0.25">
      <c r="A3015" s="22" t="s">
        <v>3129</v>
      </c>
      <c r="B3015" s="36">
        <v>45757.80208333333</v>
      </c>
      <c r="C3015" s="36">
        <v>45760.14027777778</v>
      </c>
      <c r="D3015" s="22" t="s">
        <v>33</v>
      </c>
      <c r="E3015" s="22" t="s">
        <v>69</v>
      </c>
      <c r="F3015" s="22" t="s">
        <v>45</v>
      </c>
      <c r="G3015" s="22" t="s">
        <v>63</v>
      </c>
      <c r="H3015" s="22" t="s">
        <v>67</v>
      </c>
      <c r="I3015" s="22" t="s">
        <v>111</v>
      </c>
      <c r="J3015" s="23">
        <v>120</v>
      </c>
      <c r="K3015" s="37">
        <v>0</v>
      </c>
      <c r="L3015" s="37">
        <v>4</v>
      </c>
      <c r="M3015" s="22">
        <f>IF(OR(ISBLANK(C3015),C3015=""),"",ROUND((C3015-B3015)*24,2))</f>
        <v>56.12</v>
      </c>
      <c r="N3015" s="40" t="str">
        <f>IF(OR(ISBLANK(C3015),C3015="",M3015=""),"In Progress",IF(M3015&lt;=J3015,"Met","Breached"))</f>
        <v>Met</v>
      </c>
    </row>
    <row r="3016" ht="19" customHeight="1" spans="1:14" x14ac:dyDescent="0.25">
      <c r="A3016" s="19" t="s">
        <v>3130</v>
      </c>
      <c r="B3016" s="33">
        <v>46116.61111111111</v>
      </c>
      <c r="C3016" s="33">
        <v>46117.37638888889</v>
      </c>
      <c r="D3016" s="19" t="s">
        <v>33</v>
      </c>
      <c r="E3016" s="19" t="s">
        <v>61</v>
      </c>
      <c r="F3016" s="19" t="s">
        <v>37</v>
      </c>
      <c r="G3016" s="19" t="s">
        <v>63</v>
      </c>
      <c r="H3016" s="19" t="s">
        <v>59</v>
      </c>
      <c r="I3016" s="19" t="s">
        <v>147</v>
      </c>
      <c r="J3016" s="20">
        <v>12</v>
      </c>
      <c r="K3016" s="34">
        <v>0</v>
      </c>
      <c r="L3016" s="34">
        <v>4</v>
      </c>
      <c r="M3016" s="19">
        <f>IF(OR(ISBLANK(C3016),C3016=""),"",ROUND((C3016-B3016)*24,2))</f>
        <v>18.37</v>
      </c>
      <c r="N3016" s="39" t="str">
        <f>IF(OR(ISBLANK(C3016),C3016="",M3016=""),"In Progress",IF(M3016&lt;=J3016,"Met","Breached"))</f>
        <v>Breached</v>
      </c>
    </row>
    <row r="3017" ht="19" customHeight="1" spans="1:14" x14ac:dyDescent="0.25">
      <c r="A3017" s="22" t="s">
        <v>3131</v>
      </c>
      <c r="B3017" s="36">
        <v>46029.78402777778</v>
      </c>
      <c r="D3017" s="22" t="s">
        <v>42</v>
      </c>
      <c r="E3017" s="22" t="s">
        <v>61</v>
      </c>
      <c r="F3017" s="22" t="s">
        <v>45</v>
      </c>
      <c r="G3017" s="22" t="s">
        <v>126</v>
      </c>
      <c r="H3017" s="22" t="s">
        <v>71</v>
      </c>
      <c r="I3017" s="22" t="s">
        <v>123</v>
      </c>
      <c r="J3017" s="23">
        <v>12</v>
      </c>
      <c r="K3017" s="37">
        <v>0</v>
      </c>
      <c r="M3017" s="22" t="str">
        <f>IF(OR(ISBLANK(C3017),C3017=""),"",ROUND((C3017-B3017)*24,2))</f>
        <v/>
      </c>
      <c r="N3017" s="22" t="str">
        <f>IF(OR(ISBLANK(C3017),C3017="",M3017=""),"In Progress",IF(M3017&lt;=J3017,"Met","Breached"))</f>
        <v>In Progress</v>
      </c>
    </row>
    <row r="3018" ht="19" customHeight="1" spans="1:14" x14ac:dyDescent="0.25">
      <c r="A3018" s="19" t="s">
        <v>3132</v>
      </c>
      <c r="B3018" s="33">
        <v>45713.915972222225</v>
      </c>
      <c r="C3018" s="33">
        <v>45718.38888888889</v>
      </c>
      <c r="D3018" s="19" t="s">
        <v>33</v>
      </c>
      <c r="E3018" s="19" t="s">
        <v>69</v>
      </c>
      <c r="F3018" s="19" t="s">
        <v>34</v>
      </c>
      <c r="G3018" s="19" t="s">
        <v>126</v>
      </c>
      <c r="H3018" s="19" t="s">
        <v>71</v>
      </c>
      <c r="I3018" s="19" t="s">
        <v>147</v>
      </c>
      <c r="J3018" s="20">
        <v>120</v>
      </c>
      <c r="K3018" s="34">
        <v>0</v>
      </c>
      <c r="M3018" s="19">
        <f>IF(OR(ISBLANK(C3018),C3018=""),"",ROUND((C3018-B3018)*24,2))</f>
        <v>107.35</v>
      </c>
      <c r="N3018" s="35" t="str">
        <f>IF(OR(ISBLANK(C3018),C3018="",M3018=""),"In Progress",IF(M3018&lt;=J3018,"Met","Breached"))</f>
        <v>Met</v>
      </c>
    </row>
    <row r="3019" ht="19" customHeight="1" spans="1:14" x14ac:dyDescent="0.25">
      <c r="A3019" s="22" t="s">
        <v>3133</v>
      </c>
      <c r="B3019" s="36">
        <v>45919.021527777775</v>
      </c>
      <c r="C3019" s="36">
        <v>45919.861805555556</v>
      </c>
      <c r="D3019" s="22" t="s">
        <v>36</v>
      </c>
      <c r="E3019" s="22" t="s">
        <v>61</v>
      </c>
      <c r="F3019" s="22" t="s">
        <v>37</v>
      </c>
      <c r="G3019" s="22" t="s">
        <v>113</v>
      </c>
      <c r="H3019" s="22" t="s">
        <v>71</v>
      </c>
      <c r="I3019" s="22" t="s">
        <v>114</v>
      </c>
      <c r="J3019" s="23">
        <v>12</v>
      </c>
      <c r="K3019" s="37">
        <v>0</v>
      </c>
      <c r="L3019" s="37">
        <v>4</v>
      </c>
      <c r="M3019" s="22">
        <f>IF(OR(ISBLANK(C3019),C3019=""),"",ROUND((C3019-B3019)*24,2))</f>
        <v>20.17</v>
      </c>
      <c r="N3019" s="38" t="str">
        <f>IF(OR(ISBLANK(C3019),C3019="",M3019=""),"In Progress",IF(M3019&lt;=J3019,"Met","Breached"))</f>
        <v>Breached</v>
      </c>
    </row>
    <row r="3020" ht="19" customHeight="1" spans="1:14" x14ac:dyDescent="0.25">
      <c r="A3020" s="19" t="s">
        <v>3134</v>
      </c>
      <c r="B3020" s="33">
        <v>45805.12291666667</v>
      </c>
      <c r="C3020" s="33">
        <v>45805.24861111111</v>
      </c>
      <c r="D3020" s="19" t="s">
        <v>36</v>
      </c>
      <c r="E3020" s="19" t="s">
        <v>57</v>
      </c>
      <c r="F3020" s="19" t="s">
        <v>43</v>
      </c>
      <c r="G3020" s="19" t="s">
        <v>121</v>
      </c>
      <c r="H3020" s="19" t="s">
        <v>59</v>
      </c>
      <c r="I3020" s="19" t="s">
        <v>117</v>
      </c>
      <c r="J3020" s="20">
        <v>4</v>
      </c>
      <c r="K3020" s="34">
        <v>0</v>
      </c>
      <c r="M3020" s="19">
        <f>IF(OR(ISBLANK(C3020),C3020=""),"",ROUND((C3020-B3020)*24,2))</f>
        <v>3.02</v>
      </c>
      <c r="N3020" s="35" t="str">
        <f>IF(OR(ISBLANK(C3020),C3020="",M3020=""),"In Progress",IF(M3020&lt;=J3020,"Met","Breached"))</f>
        <v>Met</v>
      </c>
    </row>
    <row r="3021" ht="19" customHeight="1" spans="1:14" x14ac:dyDescent="0.25">
      <c r="A3021" s="22" t="s">
        <v>3135</v>
      </c>
      <c r="B3021" s="36">
        <v>45773.4375</v>
      </c>
      <c r="C3021" s="36">
        <v>45773.89722222222</v>
      </c>
      <c r="D3021" s="22" t="s">
        <v>33</v>
      </c>
      <c r="E3021" s="22" t="s">
        <v>61</v>
      </c>
      <c r="F3021" s="22" t="s">
        <v>43</v>
      </c>
      <c r="G3021" s="22" t="s">
        <v>113</v>
      </c>
      <c r="H3021" s="22" t="s">
        <v>67</v>
      </c>
      <c r="I3021" s="22" t="s">
        <v>108</v>
      </c>
      <c r="J3021" s="23">
        <v>12</v>
      </c>
      <c r="K3021" s="37">
        <v>0</v>
      </c>
      <c r="L3021" s="37">
        <v>5</v>
      </c>
      <c r="M3021" s="22">
        <f>IF(OR(ISBLANK(C3021),C3021=""),"",ROUND((C3021-B3021)*24,2))</f>
        <v>11.03</v>
      </c>
      <c r="N3021" s="40" t="str">
        <f>IF(OR(ISBLANK(C3021),C3021="",M3021=""),"In Progress",IF(M3021&lt;=J3021,"Met","Breached"))</f>
        <v>Met</v>
      </c>
    </row>
    <row r="3022" ht="19" customHeight="1" spans="1:14" x14ac:dyDescent="0.25">
      <c r="A3022" s="19" t="s">
        <v>3136</v>
      </c>
      <c r="B3022" s="33">
        <v>45812.84166666667</v>
      </c>
      <c r="C3022" s="33">
        <v>45814.49166666667</v>
      </c>
      <c r="D3022" s="19" t="s">
        <v>33</v>
      </c>
      <c r="E3022" s="19" t="s">
        <v>69</v>
      </c>
      <c r="F3022" s="19" t="s">
        <v>37</v>
      </c>
      <c r="G3022" s="19" t="s">
        <v>113</v>
      </c>
      <c r="H3022" s="19" t="s">
        <v>71</v>
      </c>
      <c r="I3022" s="19" t="s">
        <v>111</v>
      </c>
      <c r="J3022" s="20">
        <v>120</v>
      </c>
      <c r="K3022" s="34">
        <v>0</v>
      </c>
      <c r="M3022" s="19">
        <f>IF(OR(ISBLANK(C3022),C3022=""),"",ROUND((C3022-B3022)*24,2))</f>
        <v>39.6</v>
      </c>
      <c r="N3022" s="35" t="str">
        <f>IF(OR(ISBLANK(C3022),C3022="",M3022=""),"In Progress",IF(M3022&lt;=J3022,"Met","Breached"))</f>
        <v>Met</v>
      </c>
    </row>
    <row r="3023" ht="19" customHeight="1" spans="1:14" x14ac:dyDescent="0.25">
      <c r="A3023" s="22" t="s">
        <v>3137</v>
      </c>
      <c r="B3023" s="36">
        <v>45765.47152777778</v>
      </c>
      <c r="D3023" s="22" t="s">
        <v>42</v>
      </c>
      <c r="E3023" s="22" t="s">
        <v>57</v>
      </c>
      <c r="F3023" s="22" t="s">
        <v>40</v>
      </c>
      <c r="G3023" s="22" t="s">
        <v>116</v>
      </c>
      <c r="H3023" s="22" t="s">
        <v>67</v>
      </c>
      <c r="I3023" s="22" t="s">
        <v>108</v>
      </c>
      <c r="J3023" s="23">
        <v>4</v>
      </c>
      <c r="K3023" s="37">
        <v>0</v>
      </c>
      <c r="M3023" s="22" t="str">
        <f>IF(OR(ISBLANK(C3023),C3023=""),"",ROUND((C3023-B3023)*24,2))</f>
        <v/>
      </c>
      <c r="N3023" s="22" t="str">
        <f>IF(OR(ISBLANK(C3023),C3023="",M3023=""),"In Progress",IF(M3023&lt;=J3023,"Met","Breached"))</f>
        <v>In Progress</v>
      </c>
    </row>
    <row r="3024" ht="19" customHeight="1" spans="1:14" x14ac:dyDescent="0.25">
      <c r="A3024" s="19" t="s">
        <v>3138</v>
      </c>
      <c r="B3024" s="33">
        <v>45742.73402777778</v>
      </c>
      <c r="D3024" s="19" t="s">
        <v>42</v>
      </c>
      <c r="E3024" s="19" t="s">
        <v>61</v>
      </c>
      <c r="F3024" s="19" t="s">
        <v>34</v>
      </c>
      <c r="G3024" s="19" t="s">
        <v>116</v>
      </c>
      <c r="H3024" s="19" t="s">
        <v>59</v>
      </c>
      <c r="I3024" s="19" t="s">
        <v>117</v>
      </c>
      <c r="J3024" s="20">
        <v>12</v>
      </c>
      <c r="K3024" s="34">
        <v>0</v>
      </c>
      <c r="M3024" s="19" t="str">
        <f>IF(OR(ISBLANK(C3024),C3024=""),"",ROUND((C3024-B3024)*24,2))</f>
        <v/>
      </c>
      <c r="N3024" s="19" t="str">
        <f>IF(OR(ISBLANK(C3024),C3024="",M3024=""),"In Progress",IF(M3024&lt;=J3024,"Met","Breached"))</f>
        <v>In Progress</v>
      </c>
    </row>
    <row r="3025" ht="19" customHeight="1" spans="1:14" x14ac:dyDescent="0.25">
      <c r="A3025" s="22" t="s">
        <v>3139</v>
      </c>
      <c r="B3025" s="36">
        <v>46233.540972222225</v>
      </c>
      <c r="C3025" s="36">
        <v>46235.101388888885</v>
      </c>
      <c r="D3025" s="22" t="s">
        <v>36</v>
      </c>
      <c r="E3025" s="22" t="s">
        <v>69</v>
      </c>
      <c r="F3025" s="22" t="s">
        <v>40</v>
      </c>
      <c r="G3025" s="22" t="s">
        <v>121</v>
      </c>
      <c r="H3025" s="22" t="s">
        <v>59</v>
      </c>
      <c r="I3025" s="22" t="s">
        <v>108</v>
      </c>
      <c r="J3025" s="23">
        <v>120</v>
      </c>
      <c r="K3025" s="37">
        <v>0</v>
      </c>
      <c r="L3025" s="37">
        <v>3</v>
      </c>
      <c r="M3025" s="22">
        <f>IF(OR(ISBLANK(C3025),C3025=""),"",ROUND((C3025-B3025)*24,2))</f>
        <v>37.45</v>
      </c>
      <c r="N3025" s="40" t="str">
        <f>IF(OR(ISBLANK(C3025),C3025="",M3025=""),"In Progress",IF(M3025&lt;=J3025,"Met","Breached"))</f>
        <v>Met</v>
      </c>
    </row>
    <row r="3026" ht="19" customHeight="1" spans="1:14" x14ac:dyDescent="0.25">
      <c r="A3026" s="19" t="s">
        <v>3140</v>
      </c>
      <c r="B3026" s="33">
        <v>45939.51388888889</v>
      </c>
      <c r="C3026" s="33">
        <v>45939.69583333333</v>
      </c>
      <c r="D3026" s="19" t="s">
        <v>36</v>
      </c>
      <c r="E3026" s="19" t="s">
        <v>61</v>
      </c>
      <c r="F3026" s="19" t="s">
        <v>40</v>
      </c>
      <c r="G3026" s="19" t="s">
        <v>113</v>
      </c>
      <c r="H3026" s="19" t="s">
        <v>63</v>
      </c>
      <c r="I3026" s="19" t="s">
        <v>108</v>
      </c>
      <c r="J3026" s="20">
        <v>12</v>
      </c>
      <c r="K3026" s="34">
        <v>0</v>
      </c>
      <c r="L3026" s="34">
        <v>5</v>
      </c>
      <c r="M3026" s="19">
        <f>IF(OR(ISBLANK(C3026),C3026=""),"",ROUND((C3026-B3026)*24,2))</f>
        <v>4.37</v>
      </c>
      <c r="N3026" s="35" t="str">
        <f>IF(OR(ISBLANK(C3026),C3026="",M3026=""),"In Progress",IF(M3026&lt;=J3026,"Met","Breached"))</f>
        <v>Met</v>
      </c>
    </row>
    <row r="3027" ht="19" customHeight="1" spans="1:14" x14ac:dyDescent="0.25">
      <c r="A3027" s="22" t="s">
        <v>3141</v>
      </c>
      <c r="B3027" s="36">
        <v>45831.71805555555</v>
      </c>
      <c r="C3027" s="36">
        <v>45831.91111111111</v>
      </c>
      <c r="D3027" s="22" t="s">
        <v>33</v>
      </c>
      <c r="E3027" s="22" t="s">
        <v>61</v>
      </c>
      <c r="F3027" s="22" t="s">
        <v>34</v>
      </c>
      <c r="G3027" s="22" t="s">
        <v>110</v>
      </c>
      <c r="H3027" s="22" t="s">
        <v>59</v>
      </c>
      <c r="I3027" s="22" t="s">
        <v>108</v>
      </c>
      <c r="J3027" s="23">
        <v>12</v>
      </c>
      <c r="K3027" s="37">
        <v>0</v>
      </c>
      <c r="L3027" s="37">
        <v>5</v>
      </c>
      <c r="M3027" s="22">
        <f>IF(OR(ISBLANK(C3027),C3027=""),"",ROUND((C3027-B3027)*24,2))</f>
        <v>4.63</v>
      </c>
      <c r="N3027" s="40" t="str">
        <f>IF(OR(ISBLANK(C3027),C3027="",M3027=""),"In Progress",IF(M3027&lt;=J3027,"Met","Breached"))</f>
        <v>Met</v>
      </c>
    </row>
    <row r="3028" ht="19" customHeight="1" spans="1:14" x14ac:dyDescent="0.25">
      <c r="A3028" s="19" t="s">
        <v>3142</v>
      </c>
      <c r="B3028" s="33">
        <v>46204.524305555555</v>
      </c>
      <c r="C3028" s="33">
        <v>46205.38333333333</v>
      </c>
      <c r="D3028" s="19" t="s">
        <v>33</v>
      </c>
      <c r="E3028" s="19" t="s">
        <v>65</v>
      </c>
      <c r="F3028" s="19" t="s">
        <v>37</v>
      </c>
      <c r="G3028" s="19" t="s">
        <v>121</v>
      </c>
      <c r="H3028" s="19" t="s">
        <v>63</v>
      </c>
      <c r="I3028" s="19" t="s">
        <v>111</v>
      </c>
      <c r="J3028" s="20">
        <v>48</v>
      </c>
      <c r="K3028" s="34">
        <v>0</v>
      </c>
      <c r="L3028" s="34">
        <v>5</v>
      </c>
      <c r="M3028" s="19">
        <f>IF(OR(ISBLANK(C3028),C3028=""),"",ROUND((C3028-B3028)*24,2))</f>
        <v>20.62</v>
      </c>
      <c r="N3028" s="35" t="str">
        <f>IF(OR(ISBLANK(C3028),C3028="",M3028=""),"In Progress",IF(M3028&lt;=J3028,"Met","Breached"))</f>
        <v>Met</v>
      </c>
    </row>
    <row r="3029" ht="19" customHeight="1" spans="1:14" x14ac:dyDescent="0.25">
      <c r="A3029" s="22" t="s">
        <v>3143</v>
      </c>
      <c r="B3029" s="36">
        <v>45908.884722222225</v>
      </c>
      <c r="D3029" s="22" t="s">
        <v>39</v>
      </c>
      <c r="E3029" s="22" t="s">
        <v>61</v>
      </c>
      <c r="F3029" s="22" t="s">
        <v>43</v>
      </c>
      <c r="G3029" s="22" t="s">
        <v>113</v>
      </c>
      <c r="H3029" s="22" t="s">
        <v>63</v>
      </c>
      <c r="I3029" s="22" t="s">
        <v>117</v>
      </c>
      <c r="J3029" s="23">
        <v>12</v>
      </c>
      <c r="K3029" s="37">
        <v>0</v>
      </c>
      <c r="M3029" s="22" t="str">
        <f>IF(OR(ISBLANK(C3029),C3029=""),"",ROUND((C3029-B3029)*24,2))</f>
        <v/>
      </c>
      <c r="N3029" s="22" t="str">
        <f>IF(OR(ISBLANK(C3029),C3029="",M3029=""),"In Progress",IF(M3029&lt;=J3029,"Met","Breached"))</f>
        <v>In Progress</v>
      </c>
    </row>
    <row r="3030" ht="19" customHeight="1" spans="1:14" x14ac:dyDescent="0.25">
      <c r="A3030" s="19" t="s">
        <v>3144</v>
      </c>
      <c r="B3030" s="33">
        <v>46063.0125</v>
      </c>
      <c r="C3030" s="33">
        <v>46063.35833333334</v>
      </c>
      <c r="D3030" s="19" t="s">
        <v>33</v>
      </c>
      <c r="E3030" s="19" t="s">
        <v>61</v>
      </c>
      <c r="F3030" s="19" t="s">
        <v>34</v>
      </c>
      <c r="G3030" s="19" t="s">
        <v>113</v>
      </c>
      <c r="H3030" s="19" t="s">
        <v>59</v>
      </c>
      <c r="I3030" s="19" t="s">
        <v>108</v>
      </c>
      <c r="J3030" s="20">
        <v>12</v>
      </c>
      <c r="K3030" s="34">
        <v>0</v>
      </c>
      <c r="L3030" s="34">
        <v>1</v>
      </c>
      <c r="M3030" s="19">
        <f>IF(OR(ISBLANK(C3030),C3030=""),"",ROUND((C3030-B3030)*24,2))</f>
        <v>8.3</v>
      </c>
      <c r="N3030" s="35" t="str">
        <f>IF(OR(ISBLANK(C3030),C3030="",M3030=""),"In Progress",IF(M3030&lt;=J3030,"Met","Breached"))</f>
        <v>Met</v>
      </c>
    </row>
    <row r="3031" ht="19" customHeight="1" spans="1:14" x14ac:dyDescent="0.25">
      <c r="A3031" s="22" t="s">
        <v>3145</v>
      </c>
      <c r="B3031" s="36">
        <v>46009.25625</v>
      </c>
      <c r="C3031" s="36">
        <v>46009.615277777775</v>
      </c>
      <c r="D3031" s="22" t="s">
        <v>33</v>
      </c>
      <c r="E3031" s="22" t="s">
        <v>61</v>
      </c>
      <c r="F3031" s="22" t="s">
        <v>45</v>
      </c>
      <c r="G3031" s="22" t="s">
        <v>126</v>
      </c>
      <c r="H3031" s="22" t="s">
        <v>59</v>
      </c>
      <c r="I3031" s="22" t="s">
        <v>147</v>
      </c>
      <c r="J3031" s="23">
        <v>12</v>
      </c>
      <c r="K3031" s="37">
        <v>0</v>
      </c>
      <c r="L3031" s="37">
        <v>2</v>
      </c>
      <c r="M3031" s="22">
        <f>IF(OR(ISBLANK(C3031),C3031=""),"",ROUND((C3031-B3031)*24,2))</f>
        <v>8.62</v>
      </c>
      <c r="N3031" s="40" t="str">
        <f>IF(OR(ISBLANK(C3031),C3031="",M3031=""),"In Progress",IF(M3031&lt;=J3031,"Met","Breached"))</f>
        <v>Met</v>
      </c>
    </row>
    <row r="3032" ht="19" customHeight="1" spans="1:14" x14ac:dyDescent="0.25">
      <c r="A3032" s="19" t="s">
        <v>3146</v>
      </c>
      <c r="B3032" s="33">
        <v>45807.13888888889</v>
      </c>
      <c r="D3032" s="19" t="s">
        <v>39</v>
      </c>
      <c r="E3032" s="19" t="s">
        <v>65</v>
      </c>
      <c r="F3032" s="19" t="s">
        <v>34</v>
      </c>
      <c r="G3032" s="19" t="s">
        <v>126</v>
      </c>
      <c r="H3032" s="19" t="s">
        <v>67</v>
      </c>
      <c r="I3032" s="19" t="s">
        <v>147</v>
      </c>
      <c r="J3032" s="20">
        <v>48</v>
      </c>
      <c r="K3032" s="34">
        <v>0</v>
      </c>
      <c r="M3032" s="19" t="str">
        <f>IF(OR(ISBLANK(C3032),C3032=""),"",ROUND((C3032-B3032)*24,2))</f>
        <v/>
      </c>
      <c r="N3032" s="19" t="str">
        <f>IF(OR(ISBLANK(C3032),C3032="",M3032=""),"In Progress",IF(M3032&lt;=J3032,"Met","Breached"))</f>
        <v>In Progress</v>
      </c>
    </row>
    <row r="3033" ht="19" customHeight="1" spans="1:14" x14ac:dyDescent="0.25">
      <c r="A3033" s="22" t="s">
        <v>3147</v>
      </c>
      <c r="B3033" s="36">
        <v>45897.450694444444</v>
      </c>
      <c r="D3033" s="22" t="s">
        <v>39</v>
      </c>
      <c r="E3033" s="22" t="s">
        <v>57</v>
      </c>
      <c r="F3033" s="22" t="s">
        <v>34</v>
      </c>
      <c r="G3033" s="22" t="s">
        <v>110</v>
      </c>
      <c r="H3033" s="22" t="s">
        <v>59</v>
      </c>
      <c r="I3033" s="22" t="s">
        <v>123</v>
      </c>
      <c r="J3033" s="23">
        <v>4</v>
      </c>
      <c r="K3033" s="37">
        <v>0</v>
      </c>
      <c r="M3033" s="22" t="str">
        <f>IF(OR(ISBLANK(C3033),C3033=""),"",ROUND((C3033-B3033)*24,2))</f>
        <v/>
      </c>
      <c r="N3033" s="22" t="str">
        <f>IF(OR(ISBLANK(C3033),C3033="",M3033=""),"In Progress",IF(M3033&lt;=J3033,"Met","Breached"))</f>
        <v>In Progress</v>
      </c>
    </row>
    <row r="3034" ht="19" customHeight="1" spans="1:14" x14ac:dyDescent="0.25">
      <c r="A3034" s="19" t="s">
        <v>3148</v>
      </c>
      <c r="B3034" s="33">
        <v>45850.05972222222</v>
      </c>
      <c r="C3034" s="33">
        <v>45850.46805555555</v>
      </c>
      <c r="D3034" s="19" t="s">
        <v>33</v>
      </c>
      <c r="E3034" s="19" t="s">
        <v>61</v>
      </c>
      <c r="F3034" s="19" t="s">
        <v>40</v>
      </c>
      <c r="G3034" s="19" t="s">
        <v>126</v>
      </c>
      <c r="H3034" s="19" t="s">
        <v>67</v>
      </c>
      <c r="I3034" s="19" t="s">
        <v>108</v>
      </c>
      <c r="J3034" s="20">
        <v>12</v>
      </c>
      <c r="K3034" s="34">
        <v>0</v>
      </c>
      <c r="L3034" s="34">
        <v>1</v>
      </c>
      <c r="M3034" s="19">
        <f>IF(OR(ISBLANK(C3034),C3034=""),"",ROUND((C3034-B3034)*24,2))</f>
        <v>9.8</v>
      </c>
      <c r="N3034" s="35" t="str">
        <f>IF(OR(ISBLANK(C3034),C3034="",M3034=""),"In Progress",IF(M3034&lt;=J3034,"Met","Breached"))</f>
        <v>Met</v>
      </c>
    </row>
    <row r="3035" ht="19" customHeight="1" spans="1:14" x14ac:dyDescent="0.25">
      <c r="A3035" s="22" t="s">
        <v>3149</v>
      </c>
      <c r="B3035" s="36">
        <v>46208.634722222225</v>
      </c>
      <c r="C3035" s="36">
        <v>46209.96875</v>
      </c>
      <c r="D3035" s="22" t="s">
        <v>33</v>
      </c>
      <c r="E3035" s="22" t="s">
        <v>65</v>
      </c>
      <c r="F3035" s="22" t="s">
        <v>40</v>
      </c>
      <c r="G3035" s="22" t="s">
        <v>63</v>
      </c>
      <c r="H3035" s="22" t="s">
        <v>59</v>
      </c>
      <c r="I3035" s="22" t="s">
        <v>117</v>
      </c>
      <c r="J3035" s="23">
        <v>48</v>
      </c>
      <c r="K3035" s="37">
        <v>1</v>
      </c>
      <c r="L3035" s="37">
        <v>4</v>
      </c>
      <c r="M3035" s="22">
        <f>IF(OR(ISBLANK(C3035),C3035=""),"",ROUND((C3035-B3035)*24,2))</f>
        <v>32.02</v>
      </c>
      <c r="N3035" s="40" t="str">
        <f>IF(OR(ISBLANK(C3035),C3035="",M3035=""),"In Progress",IF(M3035&lt;=J3035,"Met","Breached"))</f>
        <v>Met</v>
      </c>
    </row>
    <row r="3036" ht="19" customHeight="1" spans="1:14" x14ac:dyDescent="0.25">
      <c r="A3036" s="19" t="s">
        <v>3150</v>
      </c>
      <c r="B3036" s="33">
        <v>46182.683333333334</v>
      </c>
      <c r="D3036" s="19" t="s">
        <v>42</v>
      </c>
      <c r="E3036" s="19" t="s">
        <v>61</v>
      </c>
      <c r="F3036" s="19" t="s">
        <v>45</v>
      </c>
      <c r="G3036" s="19" t="s">
        <v>121</v>
      </c>
      <c r="H3036" s="19" t="s">
        <v>71</v>
      </c>
      <c r="I3036" s="19" t="s">
        <v>111</v>
      </c>
      <c r="J3036" s="20">
        <v>12</v>
      </c>
      <c r="K3036" s="34">
        <v>0</v>
      </c>
      <c r="M3036" s="19" t="str">
        <f>IF(OR(ISBLANK(C3036),C3036=""),"",ROUND((C3036-B3036)*24,2))</f>
        <v/>
      </c>
      <c r="N3036" s="19" t="str">
        <f>IF(OR(ISBLANK(C3036),C3036="",M3036=""),"In Progress",IF(M3036&lt;=J3036,"Met","Breached"))</f>
        <v>In Progress</v>
      </c>
    </row>
    <row r="3037" ht="19" customHeight="1" spans="1:14" x14ac:dyDescent="0.25">
      <c r="A3037" s="22" t="s">
        <v>3151</v>
      </c>
      <c r="B3037" s="36">
        <v>45815.33472222222</v>
      </c>
      <c r="C3037" s="36">
        <v>45818.18541666667</v>
      </c>
      <c r="D3037" s="22" t="s">
        <v>33</v>
      </c>
      <c r="E3037" s="22" t="s">
        <v>65</v>
      </c>
      <c r="F3037" s="22" t="s">
        <v>45</v>
      </c>
      <c r="G3037" s="22" t="s">
        <v>110</v>
      </c>
      <c r="H3037" s="22" t="s">
        <v>71</v>
      </c>
      <c r="I3037" s="22" t="s">
        <v>117</v>
      </c>
      <c r="J3037" s="23">
        <v>48</v>
      </c>
      <c r="K3037" s="37">
        <v>0</v>
      </c>
      <c r="L3037" s="37">
        <v>2</v>
      </c>
      <c r="M3037" s="22">
        <f>IF(OR(ISBLANK(C3037),C3037=""),"",ROUND((C3037-B3037)*24,2))</f>
        <v>68.42</v>
      </c>
      <c r="N3037" s="38" t="str">
        <f>IF(OR(ISBLANK(C3037),C3037="",M3037=""),"In Progress",IF(M3037&lt;=J3037,"Met","Breached"))</f>
        <v>Breached</v>
      </c>
    </row>
    <row r="3038" ht="19" customHeight="1" spans="1:14" x14ac:dyDescent="0.25">
      <c r="A3038" s="19" t="s">
        <v>3152</v>
      </c>
      <c r="B3038" s="33">
        <v>46003.319444444445</v>
      </c>
      <c r="C3038" s="33">
        <v>46008.072222222225</v>
      </c>
      <c r="D3038" s="19" t="s">
        <v>33</v>
      </c>
      <c r="E3038" s="19" t="s">
        <v>69</v>
      </c>
      <c r="F3038" s="19" t="s">
        <v>37</v>
      </c>
      <c r="G3038" s="19" t="s">
        <v>113</v>
      </c>
      <c r="H3038" s="19" t="s">
        <v>59</v>
      </c>
      <c r="I3038" s="19" t="s">
        <v>117</v>
      </c>
      <c r="J3038" s="20">
        <v>120</v>
      </c>
      <c r="K3038" s="34">
        <v>1</v>
      </c>
      <c r="L3038" s="34">
        <v>4</v>
      </c>
      <c r="M3038" s="19">
        <f>IF(OR(ISBLANK(C3038),C3038=""),"",ROUND((C3038-B3038)*24,2))</f>
        <v>114.07</v>
      </c>
      <c r="N3038" s="35" t="str">
        <f>IF(OR(ISBLANK(C3038),C3038="",M3038=""),"In Progress",IF(M3038&lt;=J3038,"Met","Breached"))</f>
        <v>Met</v>
      </c>
    </row>
    <row r="3039" ht="19" customHeight="1" spans="1:14" x14ac:dyDescent="0.25">
      <c r="A3039" s="22" t="s">
        <v>3153</v>
      </c>
      <c r="B3039" s="36">
        <v>46043.361805555556</v>
      </c>
      <c r="D3039" s="22" t="s">
        <v>39</v>
      </c>
      <c r="E3039" s="22" t="s">
        <v>69</v>
      </c>
      <c r="F3039" s="22" t="s">
        <v>40</v>
      </c>
      <c r="G3039" s="22" t="s">
        <v>126</v>
      </c>
      <c r="H3039" s="22" t="s">
        <v>63</v>
      </c>
      <c r="I3039" s="22" t="s">
        <v>114</v>
      </c>
      <c r="J3039" s="23">
        <v>120</v>
      </c>
      <c r="K3039" s="37">
        <v>0</v>
      </c>
      <c r="M3039" s="22" t="str">
        <f>IF(OR(ISBLANK(C3039),C3039=""),"",ROUND((C3039-B3039)*24,2))</f>
        <v/>
      </c>
      <c r="N3039" s="22" t="str">
        <f>IF(OR(ISBLANK(C3039),C3039="",M3039=""),"In Progress",IF(M3039&lt;=J3039,"Met","Breached"))</f>
        <v>In Progress</v>
      </c>
    </row>
    <row r="3040" ht="19" customHeight="1" spans="1:14" x14ac:dyDescent="0.25">
      <c r="A3040" s="19" t="s">
        <v>3154</v>
      </c>
      <c r="B3040" s="33">
        <v>45895.22152777778</v>
      </c>
      <c r="D3040" s="19" t="s">
        <v>39</v>
      </c>
      <c r="E3040" s="19" t="s">
        <v>61</v>
      </c>
      <c r="F3040" s="19" t="s">
        <v>34</v>
      </c>
      <c r="G3040" s="19" t="s">
        <v>110</v>
      </c>
      <c r="H3040" s="19" t="s">
        <v>67</v>
      </c>
      <c r="I3040" s="19" t="s">
        <v>147</v>
      </c>
      <c r="J3040" s="20">
        <v>12</v>
      </c>
      <c r="K3040" s="34">
        <v>0</v>
      </c>
      <c r="M3040" s="19" t="str">
        <f>IF(OR(ISBLANK(C3040),C3040=""),"",ROUND((C3040-B3040)*24,2))</f>
        <v/>
      </c>
      <c r="N3040" s="19" t="str">
        <f>IF(OR(ISBLANK(C3040),C3040="",M3040=""),"In Progress",IF(M3040&lt;=J3040,"Met","Breached"))</f>
        <v>In Progress</v>
      </c>
    </row>
    <row r="3041" ht="19" customHeight="1" spans="1:14" x14ac:dyDescent="0.25">
      <c r="A3041" s="22" t="s">
        <v>3155</v>
      </c>
      <c r="B3041" s="36">
        <v>45685.77291666667</v>
      </c>
      <c r="D3041" s="22" t="s">
        <v>42</v>
      </c>
      <c r="E3041" s="22" t="s">
        <v>57</v>
      </c>
      <c r="F3041" s="22" t="s">
        <v>43</v>
      </c>
      <c r="G3041" s="22" t="s">
        <v>116</v>
      </c>
      <c r="H3041" s="22" t="s">
        <v>63</v>
      </c>
      <c r="I3041" s="22" t="s">
        <v>111</v>
      </c>
      <c r="J3041" s="23">
        <v>4</v>
      </c>
      <c r="K3041" s="37">
        <v>0</v>
      </c>
      <c r="M3041" s="22" t="str">
        <f>IF(OR(ISBLANK(C3041),C3041=""),"",ROUND((C3041-B3041)*24,2))</f>
        <v/>
      </c>
      <c r="N3041" s="22" t="str">
        <f>IF(OR(ISBLANK(C3041),C3041="",M3041=""),"In Progress",IF(M3041&lt;=J3041,"Met","Breached"))</f>
        <v>In Progress</v>
      </c>
    </row>
    <row r="3042" ht="19" customHeight="1" spans="1:14" x14ac:dyDescent="0.25">
      <c r="A3042" s="19" t="s">
        <v>3156</v>
      </c>
      <c r="B3042" s="33">
        <v>46034.68611111111</v>
      </c>
      <c r="C3042" s="33">
        <v>46035.10763888889</v>
      </c>
      <c r="D3042" s="19" t="s">
        <v>33</v>
      </c>
      <c r="E3042" s="19" t="s">
        <v>61</v>
      </c>
      <c r="F3042" s="19" t="s">
        <v>43</v>
      </c>
      <c r="G3042" s="19" t="s">
        <v>121</v>
      </c>
      <c r="H3042" s="19" t="s">
        <v>59</v>
      </c>
      <c r="I3042" s="19" t="s">
        <v>108</v>
      </c>
      <c r="J3042" s="20">
        <v>12</v>
      </c>
      <c r="K3042" s="34">
        <v>0</v>
      </c>
      <c r="L3042" s="34">
        <v>2</v>
      </c>
      <c r="M3042" s="19">
        <f>IF(OR(ISBLANK(C3042),C3042=""),"",ROUND((C3042-B3042)*24,2))</f>
        <v>10.12</v>
      </c>
      <c r="N3042" s="35" t="str">
        <f>IF(OR(ISBLANK(C3042),C3042="",M3042=""),"In Progress",IF(M3042&lt;=J3042,"Met","Breached"))</f>
        <v>Met</v>
      </c>
    </row>
    <row r="3043" ht="19" customHeight="1" spans="1:14" x14ac:dyDescent="0.25">
      <c r="A3043" s="22" t="s">
        <v>3157</v>
      </c>
      <c r="B3043" s="36">
        <v>46135.62569444445</v>
      </c>
      <c r="C3043" s="36">
        <v>46137.606944444444</v>
      </c>
      <c r="D3043" s="22" t="s">
        <v>33</v>
      </c>
      <c r="E3043" s="22" t="s">
        <v>65</v>
      </c>
      <c r="F3043" s="22" t="s">
        <v>40</v>
      </c>
      <c r="G3043" s="22" t="s">
        <v>63</v>
      </c>
      <c r="H3043" s="22" t="s">
        <v>71</v>
      </c>
      <c r="I3043" s="22" t="s">
        <v>123</v>
      </c>
      <c r="J3043" s="23">
        <v>48</v>
      </c>
      <c r="K3043" s="37">
        <v>0</v>
      </c>
      <c r="L3043" s="37">
        <v>3</v>
      </c>
      <c r="M3043" s="22">
        <f>IF(OR(ISBLANK(C3043),C3043=""),"",ROUND((C3043-B3043)*24,2))</f>
        <v>47.55</v>
      </c>
      <c r="N3043" s="40" t="str">
        <f>IF(OR(ISBLANK(C3043),C3043="",M3043=""),"In Progress",IF(M3043&lt;=J3043,"Met","Breached"))</f>
        <v>Met</v>
      </c>
    </row>
    <row r="3044" ht="19" customHeight="1" spans="1:14" x14ac:dyDescent="0.25">
      <c r="A3044" s="19" t="s">
        <v>3158</v>
      </c>
      <c r="B3044" s="33">
        <v>45830.518055555556</v>
      </c>
      <c r="D3044" s="19" t="s">
        <v>39</v>
      </c>
      <c r="E3044" s="19" t="s">
        <v>69</v>
      </c>
      <c r="F3044" s="19" t="s">
        <v>37</v>
      </c>
      <c r="G3044" s="19" t="s">
        <v>121</v>
      </c>
      <c r="H3044" s="19" t="s">
        <v>59</v>
      </c>
      <c r="I3044" s="19" t="s">
        <v>114</v>
      </c>
      <c r="J3044" s="20">
        <v>120</v>
      </c>
      <c r="K3044" s="34">
        <v>0</v>
      </c>
      <c r="M3044" s="19" t="str">
        <f>IF(OR(ISBLANK(C3044),C3044=""),"",ROUND((C3044-B3044)*24,2))</f>
        <v/>
      </c>
      <c r="N3044" s="19" t="str">
        <f>IF(OR(ISBLANK(C3044),C3044="",M3044=""),"In Progress",IF(M3044&lt;=J3044,"Met","Breached"))</f>
        <v>In Progress</v>
      </c>
    </row>
    <row r="3045" ht="19" customHeight="1" spans="1:14" x14ac:dyDescent="0.25">
      <c r="A3045" s="22" t="s">
        <v>3159</v>
      </c>
      <c r="B3045" s="36">
        <v>45659.35902777778</v>
      </c>
      <c r="C3045" s="36">
        <v>45667.149305555555</v>
      </c>
      <c r="D3045" s="22" t="s">
        <v>33</v>
      </c>
      <c r="E3045" s="22" t="s">
        <v>69</v>
      </c>
      <c r="F3045" s="22" t="s">
        <v>43</v>
      </c>
      <c r="G3045" s="22" t="s">
        <v>121</v>
      </c>
      <c r="H3045" s="22" t="s">
        <v>67</v>
      </c>
      <c r="I3045" s="22" t="s">
        <v>111</v>
      </c>
      <c r="J3045" s="23">
        <v>120</v>
      </c>
      <c r="K3045" s="37">
        <v>0</v>
      </c>
      <c r="L3045" s="37">
        <v>3</v>
      </c>
      <c r="M3045" s="22">
        <f>IF(OR(ISBLANK(C3045),C3045=""),"",ROUND((C3045-B3045)*24,2))</f>
        <v>186.97</v>
      </c>
      <c r="N3045" s="38" t="str">
        <f>IF(OR(ISBLANK(C3045),C3045="",M3045=""),"In Progress",IF(M3045&lt;=J3045,"Met","Breached"))</f>
        <v>Breached</v>
      </c>
    </row>
    <row r="3046" ht="19" customHeight="1" spans="1:14" x14ac:dyDescent="0.25">
      <c r="A3046" s="19" t="s">
        <v>3160</v>
      </c>
      <c r="B3046" s="33">
        <v>46130.98541666666</v>
      </c>
      <c r="D3046" s="19" t="s">
        <v>42</v>
      </c>
      <c r="E3046" s="19" t="s">
        <v>57</v>
      </c>
      <c r="F3046" s="19" t="s">
        <v>37</v>
      </c>
      <c r="G3046" s="19" t="s">
        <v>113</v>
      </c>
      <c r="H3046" s="19" t="s">
        <v>59</v>
      </c>
      <c r="I3046" s="19" t="s">
        <v>111</v>
      </c>
      <c r="J3046" s="20">
        <v>4</v>
      </c>
      <c r="K3046" s="34">
        <v>0</v>
      </c>
      <c r="M3046" s="19" t="str">
        <f>IF(OR(ISBLANK(C3046),C3046=""),"",ROUND((C3046-B3046)*24,2))</f>
        <v/>
      </c>
      <c r="N3046" s="19" t="str">
        <f>IF(OR(ISBLANK(C3046),C3046="",M3046=""),"In Progress",IF(M3046&lt;=J3046,"Met","Breached"))</f>
        <v>In Progress</v>
      </c>
    </row>
    <row r="3047" ht="19" customHeight="1" spans="1:14" x14ac:dyDescent="0.25">
      <c r="A3047" s="22" t="s">
        <v>3161</v>
      </c>
      <c r="B3047" s="36">
        <v>45803.19375</v>
      </c>
      <c r="D3047" s="22" t="s">
        <v>42</v>
      </c>
      <c r="E3047" s="22" t="s">
        <v>65</v>
      </c>
      <c r="F3047" s="22" t="s">
        <v>37</v>
      </c>
      <c r="G3047" s="22" t="s">
        <v>63</v>
      </c>
      <c r="H3047" s="22" t="s">
        <v>59</v>
      </c>
      <c r="I3047" s="22" t="s">
        <v>114</v>
      </c>
      <c r="J3047" s="23">
        <v>48</v>
      </c>
      <c r="K3047" s="37">
        <v>0</v>
      </c>
      <c r="M3047" s="22" t="str">
        <f>IF(OR(ISBLANK(C3047),C3047=""),"",ROUND((C3047-B3047)*24,2))</f>
        <v/>
      </c>
      <c r="N3047" s="22" t="str">
        <f>IF(OR(ISBLANK(C3047),C3047="",M3047=""),"In Progress",IF(M3047&lt;=J3047,"Met","Breached"))</f>
        <v>In Progress</v>
      </c>
    </row>
    <row r="3048" ht="19" customHeight="1" spans="1:14" x14ac:dyDescent="0.25">
      <c r="A3048" s="19" t="s">
        <v>3162</v>
      </c>
      <c r="B3048" s="33">
        <v>45910.22222222222</v>
      </c>
      <c r="C3048" s="33">
        <v>45910.464583333334</v>
      </c>
      <c r="D3048" s="19" t="s">
        <v>33</v>
      </c>
      <c r="E3048" s="19" t="s">
        <v>61</v>
      </c>
      <c r="F3048" s="19" t="s">
        <v>37</v>
      </c>
      <c r="G3048" s="19" t="s">
        <v>63</v>
      </c>
      <c r="H3048" s="19" t="s">
        <v>71</v>
      </c>
      <c r="I3048" s="19" t="s">
        <v>117</v>
      </c>
      <c r="J3048" s="20">
        <v>12</v>
      </c>
      <c r="K3048" s="34">
        <v>0</v>
      </c>
      <c r="L3048" s="34">
        <v>1</v>
      </c>
      <c r="M3048" s="19">
        <f>IF(OR(ISBLANK(C3048),C3048=""),"",ROUND((C3048-B3048)*24,2))</f>
        <v>5.82</v>
      </c>
      <c r="N3048" s="35" t="str">
        <f>IF(OR(ISBLANK(C3048),C3048="",M3048=""),"In Progress",IF(M3048&lt;=J3048,"Met","Breached"))</f>
        <v>Met</v>
      </c>
    </row>
    <row r="3049" ht="19" customHeight="1" spans="1:14" x14ac:dyDescent="0.25">
      <c r="A3049" s="22" t="s">
        <v>3163</v>
      </c>
      <c r="B3049" s="36">
        <v>46232.81180555555</v>
      </c>
      <c r="C3049" s="36">
        <v>46234.39583333333</v>
      </c>
      <c r="D3049" s="22" t="s">
        <v>36</v>
      </c>
      <c r="E3049" s="22" t="s">
        <v>69</v>
      </c>
      <c r="F3049" s="22" t="s">
        <v>43</v>
      </c>
      <c r="G3049" s="22" t="s">
        <v>63</v>
      </c>
      <c r="H3049" s="22" t="s">
        <v>59</v>
      </c>
      <c r="I3049" s="22" t="s">
        <v>123</v>
      </c>
      <c r="J3049" s="23">
        <v>120</v>
      </c>
      <c r="K3049" s="37">
        <v>0</v>
      </c>
      <c r="L3049" s="37">
        <v>4</v>
      </c>
      <c r="M3049" s="22">
        <f>IF(OR(ISBLANK(C3049),C3049=""),"",ROUND((C3049-B3049)*24,2))</f>
        <v>38.02</v>
      </c>
      <c r="N3049" s="40" t="str">
        <f>IF(OR(ISBLANK(C3049),C3049="",M3049=""),"In Progress",IF(M3049&lt;=J3049,"Met","Breached"))</f>
        <v>Met</v>
      </c>
    </row>
    <row r="3050" ht="19" customHeight="1" spans="1:14" x14ac:dyDescent="0.25">
      <c r="A3050" s="19" t="s">
        <v>3164</v>
      </c>
      <c r="B3050" s="33">
        <v>46217.603472222225</v>
      </c>
      <c r="C3050" s="33">
        <v>46218.14791666667</v>
      </c>
      <c r="D3050" s="19" t="s">
        <v>33</v>
      </c>
      <c r="E3050" s="19" t="s">
        <v>61</v>
      </c>
      <c r="F3050" s="19" t="s">
        <v>45</v>
      </c>
      <c r="G3050" s="19" t="s">
        <v>121</v>
      </c>
      <c r="H3050" s="19" t="s">
        <v>67</v>
      </c>
      <c r="I3050" s="19" t="s">
        <v>123</v>
      </c>
      <c r="J3050" s="20">
        <v>12</v>
      </c>
      <c r="K3050" s="34">
        <v>0</v>
      </c>
      <c r="L3050" s="34">
        <v>3</v>
      </c>
      <c r="M3050" s="19">
        <f>IF(OR(ISBLANK(C3050),C3050=""),"",ROUND((C3050-B3050)*24,2))</f>
        <v>13.07</v>
      </c>
      <c r="N3050" s="39" t="str">
        <f>IF(OR(ISBLANK(C3050),C3050="",M3050=""),"In Progress",IF(M3050&lt;=J3050,"Met","Breached"))</f>
        <v>Breached</v>
      </c>
    </row>
    <row r="3051" ht="19" customHeight="1" spans="1:14" x14ac:dyDescent="0.25">
      <c r="A3051" s="22" t="s">
        <v>3165</v>
      </c>
      <c r="B3051" s="36">
        <v>45745.45486111111</v>
      </c>
      <c r="C3051" s="36">
        <v>45748.55902777778</v>
      </c>
      <c r="D3051" s="22" t="s">
        <v>36</v>
      </c>
      <c r="E3051" s="22" t="s">
        <v>65</v>
      </c>
      <c r="F3051" s="22" t="s">
        <v>37</v>
      </c>
      <c r="G3051" s="22" t="s">
        <v>121</v>
      </c>
      <c r="H3051" s="22" t="s">
        <v>67</v>
      </c>
      <c r="I3051" s="22" t="s">
        <v>123</v>
      </c>
      <c r="J3051" s="23">
        <v>48</v>
      </c>
      <c r="K3051" s="37">
        <v>0</v>
      </c>
      <c r="L3051" s="37">
        <v>3</v>
      </c>
      <c r="M3051" s="22">
        <f>IF(OR(ISBLANK(C3051),C3051=""),"",ROUND((C3051-B3051)*24,2))</f>
        <v>74.5</v>
      </c>
      <c r="N3051" s="38" t="str">
        <f>IF(OR(ISBLANK(C3051),C3051="",M3051=""),"In Progress",IF(M3051&lt;=J3051,"Met","Breached"))</f>
        <v>Breached</v>
      </c>
    </row>
    <row r="3052" ht="19" customHeight="1" spans="1:14" x14ac:dyDescent="0.25">
      <c r="A3052" s="19" t="s">
        <v>3166</v>
      </c>
      <c r="B3052" s="33">
        <v>46163.763194444444</v>
      </c>
      <c r="C3052" s="33">
        <v>46164.65277777778</v>
      </c>
      <c r="D3052" s="19" t="s">
        <v>36</v>
      </c>
      <c r="E3052" s="19" t="s">
        <v>61</v>
      </c>
      <c r="F3052" s="19" t="s">
        <v>34</v>
      </c>
      <c r="G3052" s="19" t="s">
        <v>121</v>
      </c>
      <c r="H3052" s="19" t="s">
        <v>63</v>
      </c>
      <c r="I3052" s="19" t="s">
        <v>111</v>
      </c>
      <c r="J3052" s="20">
        <v>12</v>
      </c>
      <c r="K3052" s="34">
        <v>0</v>
      </c>
      <c r="M3052" s="19">
        <f>IF(OR(ISBLANK(C3052),C3052=""),"",ROUND((C3052-B3052)*24,2))</f>
        <v>21.35</v>
      </c>
      <c r="N3052" s="39" t="str">
        <f>IF(OR(ISBLANK(C3052),C3052="",M3052=""),"In Progress",IF(M3052&lt;=J3052,"Met","Breached"))</f>
        <v>Breached</v>
      </c>
    </row>
    <row r="3053" ht="19" customHeight="1" spans="1:14" x14ac:dyDescent="0.25">
      <c r="A3053" s="22" t="s">
        <v>3167</v>
      </c>
      <c r="B3053" s="36">
        <v>45943.56597222222</v>
      </c>
      <c r="C3053" s="36">
        <v>45946.60208333333</v>
      </c>
      <c r="D3053" s="22" t="s">
        <v>33</v>
      </c>
      <c r="E3053" s="22" t="s">
        <v>65</v>
      </c>
      <c r="F3053" s="22" t="s">
        <v>45</v>
      </c>
      <c r="G3053" s="22" t="s">
        <v>110</v>
      </c>
      <c r="H3053" s="22" t="s">
        <v>59</v>
      </c>
      <c r="I3053" s="22" t="s">
        <v>147</v>
      </c>
      <c r="J3053" s="23">
        <v>48</v>
      </c>
      <c r="K3053" s="37">
        <v>0</v>
      </c>
      <c r="M3053" s="22">
        <f>IF(OR(ISBLANK(C3053),C3053=""),"",ROUND((C3053-B3053)*24,2))</f>
        <v>72.87</v>
      </c>
      <c r="N3053" s="38" t="str">
        <f>IF(OR(ISBLANK(C3053),C3053="",M3053=""),"In Progress",IF(M3053&lt;=J3053,"Met","Breached"))</f>
        <v>Breached</v>
      </c>
    </row>
    <row r="3054" ht="19" customHeight="1" spans="1:14" x14ac:dyDescent="0.25">
      <c r="A3054" s="19" t="s">
        <v>3168</v>
      </c>
      <c r="B3054" s="33">
        <v>45895.93541666667</v>
      </c>
      <c r="C3054" s="33">
        <v>45898.45138888889</v>
      </c>
      <c r="D3054" s="19" t="s">
        <v>33</v>
      </c>
      <c r="E3054" s="19" t="s">
        <v>65</v>
      </c>
      <c r="F3054" s="19" t="s">
        <v>40</v>
      </c>
      <c r="G3054" s="19" t="s">
        <v>110</v>
      </c>
      <c r="H3054" s="19" t="s">
        <v>59</v>
      </c>
      <c r="I3054" s="19" t="s">
        <v>114</v>
      </c>
      <c r="J3054" s="20">
        <v>48</v>
      </c>
      <c r="K3054" s="34">
        <v>0</v>
      </c>
      <c r="M3054" s="19">
        <f>IF(OR(ISBLANK(C3054),C3054=""),"",ROUND((C3054-B3054)*24,2))</f>
        <v>60.38</v>
      </c>
      <c r="N3054" s="39" t="str">
        <f>IF(OR(ISBLANK(C3054),C3054="",M3054=""),"In Progress",IF(M3054&lt;=J3054,"Met","Breached"))</f>
        <v>Breached</v>
      </c>
    </row>
    <row r="3055" ht="19" customHeight="1" spans="1:14" x14ac:dyDescent="0.25">
      <c r="A3055" s="22" t="s">
        <v>3169</v>
      </c>
      <c r="B3055" s="36">
        <v>46000.245833333334</v>
      </c>
      <c r="C3055" s="36">
        <v>46005.84444444445</v>
      </c>
      <c r="D3055" s="22" t="s">
        <v>36</v>
      </c>
      <c r="E3055" s="22" t="s">
        <v>69</v>
      </c>
      <c r="F3055" s="22" t="s">
        <v>37</v>
      </c>
      <c r="G3055" s="22" t="s">
        <v>63</v>
      </c>
      <c r="H3055" s="22" t="s">
        <v>59</v>
      </c>
      <c r="I3055" s="22" t="s">
        <v>147</v>
      </c>
      <c r="J3055" s="23">
        <v>120</v>
      </c>
      <c r="K3055" s="37">
        <v>0</v>
      </c>
      <c r="L3055" s="37">
        <v>3</v>
      </c>
      <c r="M3055" s="22">
        <f>IF(OR(ISBLANK(C3055),C3055=""),"",ROUND((C3055-B3055)*24,2))</f>
        <v>134.37</v>
      </c>
      <c r="N3055" s="38" t="str">
        <f>IF(OR(ISBLANK(C3055),C3055="",M3055=""),"In Progress",IF(M3055&lt;=J3055,"Met","Breached"))</f>
        <v>Breached</v>
      </c>
    </row>
    <row r="3056" ht="19" customHeight="1" spans="1:14" x14ac:dyDescent="0.25">
      <c r="A3056" s="19" t="s">
        <v>3170</v>
      </c>
      <c r="B3056" s="33">
        <v>46117.518055555556</v>
      </c>
      <c r="C3056" s="33">
        <v>46118.763194444444</v>
      </c>
      <c r="D3056" s="19" t="s">
        <v>33</v>
      </c>
      <c r="E3056" s="19" t="s">
        <v>65</v>
      </c>
      <c r="F3056" s="19" t="s">
        <v>43</v>
      </c>
      <c r="G3056" s="19" t="s">
        <v>63</v>
      </c>
      <c r="H3056" s="19" t="s">
        <v>63</v>
      </c>
      <c r="I3056" s="19" t="s">
        <v>108</v>
      </c>
      <c r="J3056" s="20">
        <v>48</v>
      </c>
      <c r="K3056" s="34">
        <v>0</v>
      </c>
      <c r="L3056" s="34">
        <v>2</v>
      </c>
      <c r="M3056" s="19">
        <f>IF(OR(ISBLANK(C3056),C3056=""),"",ROUND((C3056-B3056)*24,2))</f>
        <v>29.88</v>
      </c>
      <c r="N3056" s="35" t="str">
        <f>IF(OR(ISBLANK(C3056),C3056="",M3056=""),"In Progress",IF(M3056&lt;=J3056,"Met","Breached"))</f>
        <v>Met</v>
      </c>
    </row>
    <row r="3057" ht="19" customHeight="1" spans="1:14" x14ac:dyDescent="0.25">
      <c r="A3057" s="22" t="s">
        <v>3171</v>
      </c>
      <c r="B3057" s="36">
        <v>45868.93958333333</v>
      </c>
      <c r="C3057" s="36">
        <v>45870.43194444444</v>
      </c>
      <c r="D3057" s="22" t="s">
        <v>36</v>
      </c>
      <c r="E3057" s="22" t="s">
        <v>65</v>
      </c>
      <c r="F3057" s="22" t="s">
        <v>43</v>
      </c>
      <c r="G3057" s="22" t="s">
        <v>113</v>
      </c>
      <c r="H3057" s="22" t="s">
        <v>59</v>
      </c>
      <c r="I3057" s="22" t="s">
        <v>123</v>
      </c>
      <c r="J3057" s="23">
        <v>48</v>
      </c>
      <c r="K3057" s="37">
        <v>0</v>
      </c>
      <c r="L3057" s="37">
        <v>1</v>
      </c>
      <c r="M3057" s="22">
        <f>IF(OR(ISBLANK(C3057),C3057=""),"",ROUND((C3057-B3057)*24,2))</f>
        <v>35.82</v>
      </c>
      <c r="N3057" s="40" t="str">
        <f>IF(OR(ISBLANK(C3057),C3057="",M3057=""),"In Progress",IF(M3057&lt;=J3057,"Met","Breached"))</f>
        <v>Met</v>
      </c>
    </row>
    <row r="3058" ht="19" customHeight="1" spans="1:14" x14ac:dyDescent="0.25">
      <c r="A3058" s="19" t="s">
        <v>3172</v>
      </c>
      <c r="B3058" s="33">
        <v>45983.97708333333</v>
      </c>
      <c r="C3058" s="33">
        <v>45984.60902777778</v>
      </c>
      <c r="D3058" s="19" t="s">
        <v>33</v>
      </c>
      <c r="E3058" s="19" t="s">
        <v>61</v>
      </c>
      <c r="F3058" s="19" t="s">
        <v>37</v>
      </c>
      <c r="G3058" s="19" t="s">
        <v>116</v>
      </c>
      <c r="H3058" s="19" t="s">
        <v>71</v>
      </c>
      <c r="I3058" s="19" t="s">
        <v>114</v>
      </c>
      <c r="J3058" s="20">
        <v>12</v>
      </c>
      <c r="K3058" s="34">
        <v>0</v>
      </c>
      <c r="M3058" s="19">
        <f>IF(OR(ISBLANK(C3058),C3058=""),"",ROUND((C3058-B3058)*24,2))</f>
        <v>15.17</v>
      </c>
      <c r="N3058" s="39" t="str">
        <f>IF(OR(ISBLANK(C3058),C3058="",M3058=""),"In Progress",IF(M3058&lt;=J3058,"Met","Breached"))</f>
        <v>Breached</v>
      </c>
    </row>
    <row r="3059" ht="19" customHeight="1" spans="1:14" x14ac:dyDescent="0.25">
      <c r="A3059" s="22" t="s">
        <v>3173</v>
      </c>
      <c r="B3059" s="36">
        <v>45856.64375</v>
      </c>
      <c r="D3059" s="22" t="s">
        <v>39</v>
      </c>
      <c r="E3059" s="22" t="s">
        <v>65</v>
      </c>
      <c r="F3059" s="22" t="s">
        <v>34</v>
      </c>
      <c r="G3059" s="22" t="s">
        <v>110</v>
      </c>
      <c r="H3059" s="22" t="s">
        <v>59</v>
      </c>
      <c r="I3059" s="22" t="s">
        <v>114</v>
      </c>
      <c r="J3059" s="23">
        <v>48</v>
      </c>
      <c r="K3059" s="37">
        <v>0</v>
      </c>
      <c r="M3059" s="22" t="str">
        <f>IF(OR(ISBLANK(C3059),C3059=""),"",ROUND((C3059-B3059)*24,2))</f>
        <v/>
      </c>
      <c r="N3059" s="22" t="str">
        <f>IF(OR(ISBLANK(C3059),C3059="",M3059=""),"In Progress",IF(M3059&lt;=J3059,"Met","Breached"))</f>
        <v>In Progress</v>
      </c>
    </row>
    <row r="3060" ht="19" customHeight="1" spans="1:14" x14ac:dyDescent="0.25">
      <c r="A3060" s="19" t="s">
        <v>3174</v>
      </c>
      <c r="B3060" s="33">
        <v>46050.43611111111</v>
      </c>
      <c r="C3060" s="33">
        <v>46052.39027777778</v>
      </c>
      <c r="D3060" s="19" t="s">
        <v>36</v>
      </c>
      <c r="E3060" s="19" t="s">
        <v>65</v>
      </c>
      <c r="F3060" s="19" t="s">
        <v>45</v>
      </c>
      <c r="G3060" s="19" t="s">
        <v>63</v>
      </c>
      <c r="H3060" s="19" t="s">
        <v>59</v>
      </c>
      <c r="I3060" s="19" t="s">
        <v>123</v>
      </c>
      <c r="J3060" s="20">
        <v>48</v>
      </c>
      <c r="K3060" s="34">
        <v>1</v>
      </c>
      <c r="L3060" s="34">
        <v>1</v>
      </c>
      <c r="M3060" s="19">
        <f>IF(OR(ISBLANK(C3060),C3060=""),"",ROUND((C3060-B3060)*24,2))</f>
        <v>46.9</v>
      </c>
      <c r="N3060" s="35" t="str">
        <f>IF(OR(ISBLANK(C3060),C3060="",M3060=""),"In Progress",IF(M3060&lt;=J3060,"Met","Breached"))</f>
        <v>Met</v>
      </c>
    </row>
    <row r="3061" ht="19" customHeight="1" spans="1:14" x14ac:dyDescent="0.25">
      <c r="A3061" s="22" t="s">
        <v>3175</v>
      </c>
      <c r="B3061" s="36">
        <v>45716.60625</v>
      </c>
      <c r="C3061" s="36">
        <v>45717.86041666666</v>
      </c>
      <c r="D3061" s="22" t="s">
        <v>36</v>
      </c>
      <c r="E3061" s="22" t="s">
        <v>65</v>
      </c>
      <c r="F3061" s="22" t="s">
        <v>45</v>
      </c>
      <c r="G3061" s="22" t="s">
        <v>113</v>
      </c>
      <c r="H3061" s="22" t="s">
        <v>59</v>
      </c>
      <c r="I3061" s="22" t="s">
        <v>108</v>
      </c>
      <c r="J3061" s="23">
        <v>48</v>
      </c>
      <c r="K3061" s="37">
        <v>0</v>
      </c>
      <c r="L3061" s="37">
        <v>3</v>
      </c>
      <c r="M3061" s="22">
        <f>IF(OR(ISBLANK(C3061),C3061=""),"",ROUND((C3061-B3061)*24,2))</f>
        <v>30.1</v>
      </c>
      <c r="N3061" s="40" t="str">
        <f>IF(OR(ISBLANK(C3061),C3061="",M3061=""),"In Progress",IF(M3061&lt;=J3061,"Met","Breached"))</f>
        <v>Met</v>
      </c>
    </row>
    <row r="3062" ht="19" customHeight="1" spans="1:14" x14ac:dyDescent="0.25">
      <c r="A3062" s="19" t="s">
        <v>3176</v>
      </c>
      <c r="B3062" s="33">
        <v>45887.92916666667</v>
      </c>
      <c r="C3062" s="33">
        <v>45889.94236111111</v>
      </c>
      <c r="D3062" s="19" t="s">
        <v>33</v>
      </c>
      <c r="E3062" s="19" t="s">
        <v>65</v>
      </c>
      <c r="F3062" s="19" t="s">
        <v>40</v>
      </c>
      <c r="G3062" s="19" t="s">
        <v>116</v>
      </c>
      <c r="H3062" s="19" t="s">
        <v>59</v>
      </c>
      <c r="I3062" s="19" t="s">
        <v>114</v>
      </c>
      <c r="J3062" s="20">
        <v>48</v>
      </c>
      <c r="K3062" s="34">
        <v>0</v>
      </c>
      <c r="L3062" s="34">
        <v>2</v>
      </c>
      <c r="M3062" s="19">
        <f>IF(OR(ISBLANK(C3062),C3062=""),"",ROUND((C3062-B3062)*24,2))</f>
        <v>48.32</v>
      </c>
      <c r="N3062" s="39" t="str">
        <f>IF(OR(ISBLANK(C3062),C3062="",M3062=""),"In Progress",IF(M3062&lt;=J3062,"Met","Breached"))</f>
        <v>Breached</v>
      </c>
    </row>
    <row r="3063" ht="19" customHeight="1" spans="1:14" x14ac:dyDescent="0.25">
      <c r="A3063" s="22" t="s">
        <v>3177</v>
      </c>
      <c r="B3063" s="36">
        <v>46134.68611111111</v>
      </c>
      <c r="C3063" s="36">
        <v>46136.91458333333</v>
      </c>
      <c r="D3063" s="22" t="s">
        <v>36</v>
      </c>
      <c r="E3063" s="22" t="s">
        <v>65</v>
      </c>
      <c r="F3063" s="22" t="s">
        <v>40</v>
      </c>
      <c r="G3063" s="22" t="s">
        <v>113</v>
      </c>
      <c r="H3063" s="22" t="s">
        <v>67</v>
      </c>
      <c r="I3063" s="22" t="s">
        <v>114</v>
      </c>
      <c r="J3063" s="23">
        <v>48</v>
      </c>
      <c r="K3063" s="37">
        <v>0</v>
      </c>
      <c r="L3063" s="37">
        <v>3</v>
      </c>
      <c r="M3063" s="22">
        <f>IF(OR(ISBLANK(C3063),C3063=""),"",ROUND((C3063-B3063)*24,2))</f>
        <v>53.48</v>
      </c>
      <c r="N3063" s="38" t="str">
        <f>IF(OR(ISBLANK(C3063),C3063="",M3063=""),"In Progress",IF(M3063&lt;=J3063,"Met","Breached"))</f>
        <v>Breached</v>
      </c>
    </row>
    <row r="3064" ht="19" customHeight="1" spans="1:14" x14ac:dyDescent="0.25">
      <c r="A3064" s="19" t="s">
        <v>3178</v>
      </c>
      <c r="B3064" s="33">
        <v>46039.82083333333</v>
      </c>
      <c r="C3064" s="33">
        <v>46041.76180555555</v>
      </c>
      <c r="D3064" s="19" t="s">
        <v>33</v>
      </c>
      <c r="E3064" s="19" t="s">
        <v>65</v>
      </c>
      <c r="F3064" s="19" t="s">
        <v>37</v>
      </c>
      <c r="G3064" s="19" t="s">
        <v>116</v>
      </c>
      <c r="H3064" s="19" t="s">
        <v>67</v>
      </c>
      <c r="I3064" s="19" t="s">
        <v>117</v>
      </c>
      <c r="J3064" s="20">
        <v>48</v>
      </c>
      <c r="K3064" s="34">
        <v>0</v>
      </c>
      <c r="L3064" s="34">
        <v>2</v>
      </c>
      <c r="M3064" s="19">
        <f>IF(OR(ISBLANK(C3064),C3064=""),"",ROUND((C3064-B3064)*24,2))</f>
        <v>46.58</v>
      </c>
      <c r="N3064" s="35" t="str">
        <f>IF(OR(ISBLANK(C3064),C3064="",M3064=""),"In Progress",IF(M3064&lt;=J3064,"Met","Breached"))</f>
        <v>Met</v>
      </c>
    </row>
    <row r="3065" ht="19" customHeight="1" spans="1:14" x14ac:dyDescent="0.25">
      <c r="A3065" s="22" t="s">
        <v>3179</v>
      </c>
      <c r="B3065" s="36">
        <v>46003.51458333334</v>
      </c>
      <c r="D3065" s="22" t="s">
        <v>39</v>
      </c>
      <c r="E3065" s="22" t="s">
        <v>69</v>
      </c>
      <c r="F3065" s="22" t="s">
        <v>37</v>
      </c>
      <c r="G3065" s="22" t="s">
        <v>116</v>
      </c>
      <c r="H3065" s="22" t="s">
        <v>59</v>
      </c>
      <c r="I3065" s="22" t="s">
        <v>123</v>
      </c>
      <c r="J3065" s="23">
        <v>120</v>
      </c>
      <c r="K3065" s="37">
        <v>0</v>
      </c>
      <c r="M3065" s="22" t="str">
        <f>IF(OR(ISBLANK(C3065),C3065=""),"",ROUND((C3065-B3065)*24,2))</f>
        <v/>
      </c>
      <c r="N3065" s="22" t="str">
        <f>IF(OR(ISBLANK(C3065),C3065="",M3065=""),"In Progress",IF(M3065&lt;=J3065,"Met","Breached"))</f>
        <v>In Progress</v>
      </c>
    </row>
    <row r="3066" ht="19" customHeight="1" spans="1:14" x14ac:dyDescent="0.25">
      <c r="A3066" s="19" t="s">
        <v>3180</v>
      </c>
      <c r="B3066" s="33">
        <v>45981.66180555556</v>
      </c>
      <c r="C3066" s="33">
        <v>45982.27013888889</v>
      </c>
      <c r="D3066" s="19" t="s">
        <v>33</v>
      </c>
      <c r="E3066" s="19" t="s">
        <v>61</v>
      </c>
      <c r="F3066" s="19" t="s">
        <v>37</v>
      </c>
      <c r="G3066" s="19" t="s">
        <v>63</v>
      </c>
      <c r="H3066" s="19" t="s">
        <v>63</v>
      </c>
      <c r="I3066" s="19" t="s">
        <v>117</v>
      </c>
      <c r="J3066" s="20">
        <v>12</v>
      </c>
      <c r="K3066" s="34">
        <v>0</v>
      </c>
      <c r="M3066" s="19">
        <f>IF(OR(ISBLANK(C3066),C3066=""),"",ROUND((C3066-B3066)*24,2))</f>
        <v>14.6</v>
      </c>
      <c r="N3066" s="39" t="str">
        <f>IF(OR(ISBLANK(C3066),C3066="",M3066=""),"In Progress",IF(M3066&lt;=J3066,"Met","Breached"))</f>
        <v>Breached</v>
      </c>
    </row>
    <row r="3067" ht="19" customHeight="1" spans="1:14" x14ac:dyDescent="0.25">
      <c r="A3067" s="22" t="s">
        <v>3181</v>
      </c>
      <c r="B3067" s="36">
        <v>46159.88958333334</v>
      </c>
      <c r="C3067" s="36">
        <v>46167.68958333333</v>
      </c>
      <c r="D3067" s="22" t="s">
        <v>33</v>
      </c>
      <c r="E3067" s="22" t="s">
        <v>69</v>
      </c>
      <c r="F3067" s="22" t="s">
        <v>45</v>
      </c>
      <c r="G3067" s="22" t="s">
        <v>63</v>
      </c>
      <c r="H3067" s="22" t="s">
        <v>59</v>
      </c>
      <c r="I3067" s="22" t="s">
        <v>108</v>
      </c>
      <c r="J3067" s="23">
        <v>120</v>
      </c>
      <c r="K3067" s="37">
        <v>0</v>
      </c>
      <c r="M3067" s="22">
        <f>IF(OR(ISBLANK(C3067),C3067=""),"",ROUND((C3067-B3067)*24,2))</f>
        <v>187.2</v>
      </c>
      <c r="N3067" s="38" t="str">
        <f>IF(OR(ISBLANK(C3067),C3067="",M3067=""),"In Progress",IF(M3067&lt;=J3067,"Met","Breached"))</f>
        <v>Breached</v>
      </c>
    </row>
    <row r="3068" ht="19" customHeight="1" spans="1:14" x14ac:dyDescent="0.25">
      <c r="A3068" s="19" t="s">
        <v>3182</v>
      </c>
      <c r="B3068" s="33">
        <v>45792.299305555556</v>
      </c>
      <c r="C3068" s="33">
        <v>45798.881944444445</v>
      </c>
      <c r="D3068" s="19" t="s">
        <v>33</v>
      </c>
      <c r="E3068" s="19" t="s">
        <v>69</v>
      </c>
      <c r="F3068" s="19" t="s">
        <v>40</v>
      </c>
      <c r="G3068" s="19" t="s">
        <v>126</v>
      </c>
      <c r="H3068" s="19" t="s">
        <v>59</v>
      </c>
      <c r="I3068" s="19" t="s">
        <v>147</v>
      </c>
      <c r="J3068" s="20">
        <v>120</v>
      </c>
      <c r="K3068" s="34">
        <v>0</v>
      </c>
      <c r="L3068" s="34">
        <v>4</v>
      </c>
      <c r="M3068" s="19">
        <f>IF(OR(ISBLANK(C3068),C3068=""),"",ROUND((C3068-B3068)*24,2))</f>
        <v>157.98</v>
      </c>
      <c r="N3068" s="39" t="str">
        <f>IF(OR(ISBLANK(C3068),C3068="",M3068=""),"In Progress",IF(M3068&lt;=J3068,"Met","Breached"))</f>
        <v>Breached</v>
      </c>
    </row>
    <row r="3069" ht="19" customHeight="1" spans="1:14" x14ac:dyDescent="0.25">
      <c r="A3069" s="22" t="s">
        <v>3183</v>
      </c>
      <c r="B3069" s="36">
        <v>45995.59027777778</v>
      </c>
      <c r="C3069" s="36">
        <v>45995.95416666666</v>
      </c>
      <c r="D3069" s="22" t="s">
        <v>33</v>
      </c>
      <c r="E3069" s="22" t="s">
        <v>61</v>
      </c>
      <c r="F3069" s="22" t="s">
        <v>34</v>
      </c>
      <c r="G3069" s="22" t="s">
        <v>63</v>
      </c>
      <c r="H3069" s="22" t="s">
        <v>59</v>
      </c>
      <c r="I3069" s="22" t="s">
        <v>108</v>
      </c>
      <c r="J3069" s="23">
        <v>12</v>
      </c>
      <c r="K3069" s="37">
        <v>0</v>
      </c>
      <c r="L3069" s="37">
        <v>5</v>
      </c>
      <c r="M3069" s="22">
        <f>IF(OR(ISBLANK(C3069),C3069=""),"",ROUND((C3069-B3069)*24,2))</f>
        <v>8.73</v>
      </c>
      <c r="N3069" s="40" t="str">
        <f>IF(OR(ISBLANK(C3069),C3069="",M3069=""),"In Progress",IF(M3069&lt;=J3069,"Met","Breached"))</f>
        <v>Met</v>
      </c>
    </row>
    <row r="3070" ht="19" customHeight="1" spans="1:14" x14ac:dyDescent="0.25">
      <c r="A3070" s="19" t="s">
        <v>3184</v>
      </c>
      <c r="B3070" s="33">
        <v>46202.209027777775</v>
      </c>
      <c r="D3070" s="19" t="s">
        <v>42</v>
      </c>
      <c r="E3070" s="19" t="s">
        <v>61</v>
      </c>
      <c r="F3070" s="19" t="s">
        <v>40</v>
      </c>
      <c r="G3070" s="19" t="s">
        <v>63</v>
      </c>
      <c r="H3070" s="19" t="s">
        <v>67</v>
      </c>
      <c r="I3070" s="19" t="s">
        <v>147</v>
      </c>
      <c r="J3070" s="20">
        <v>12</v>
      </c>
      <c r="K3070" s="34">
        <v>0</v>
      </c>
      <c r="M3070" s="19" t="str">
        <f>IF(OR(ISBLANK(C3070),C3070=""),"",ROUND((C3070-B3070)*24,2))</f>
        <v/>
      </c>
      <c r="N3070" s="19" t="str">
        <f>IF(OR(ISBLANK(C3070),C3070="",M3070=""),"In Progress",IF(M3070&lt;=J3070,"Met","Breached"))</f>
        <v>In Progress</v>
      </c>
    </row>
    <row r="3071" ht="19" customHeight="1" spans="1:14" x14ac:dyDescent="0.25">
      <c r="A3071" s="22" t="s">
        <v>3185</v>
      </c>
      <c r="B3071" s="36">
        <v>46133.273611111115</v>
      </c>
      <c r="C3071" s="36">
        <v>46133.89583333333</v>
      </c>
      <c r="D3071" s="22" t="s">
        <v>36</v>
      </c>
      <c r="E3071" s="22" t="s">
        <v>61</v>
      </c>
      <c r="F3071" s="22" t="s">
        <v>40</v>
      </c>
      <c r="G3071" s="22" t="s">
        <v>121</v>
      </c>
      <c r="H3071" s="22" t="s">
        <v>63</v>
      </c>
      <c r="I3071" s="22" t="s">
        <v>123</v>
      </c>
      <c r="J3071" s="23">
        <v>12</v>
      </c>
      <c r="K3071" s="37">
        <v>0</v>
      </c>
      <c r="L3071" s="37">
        <v>2</v>
      </c>
      <c r="M3071" s="22">
        <f>IF(OR(ISBLANK(C3071),C3071=""),"",ROUND((C3071-B3071)*24,2))</f>
        <v>14.93</v>
      </c>
      <c r="N3071" s="38" t="str">
        <f>IF(OR(ISBLANK(C3071),C3071="",M3071=""),"In Progress",IF(M3071&lt;=J3071,"Met","Breached"))</f>
        <v>Breached</v>
      </c>
    </row>
    <row r="3072" ht="19" customHeight="1" spans="1:14" x14ac:dyDescent="0.25">
      <c r="A3072" s="19" t="s">
        <v>3186</v>
      </c>
      <c r="B3072" s="33">
        <v>46181.39027777778</v>
      </c>
      <c r="C3072" s="33">
        <v>46182.12361111111</v>
      </c>
      <c r="D3072" s="19" t="s">
        <v>33</v>
      </c>
      <c r="E3072" s="19" t="s">
        <v>61</v>
      </c>
      <c r="F3072" s="19" t="s">
        <v>37</v>
      </c>
      <c r="G3072" s="19" t="s">
        <v>63</v>
      </c>
      <c r="H3072" s="19" t="s">
        <v>67</v>
      </c>
      <c r="I3072" s="19" t="s">
        <v>114</v>
      </c>
      <c r="J3072" s="20">
        <v>12</v>
      </c>
      <c r="K3072" s="34">
        <v>1</v>
      </c>
      <c r="L3072" s="34">
        <v>3</v>
      </c>
      <c r="M3072" s="19">
        <f>IF(OR(ISBLANK(C3072),C3072=""),"",ROUND((C3072-B3072)*24,2))</f>
        <v>17.6</v>
      </c>
      <c r="N3072" s="39" t="str">
        <f>IF(OR(ISBLANK(C3072),C3072="",M3072=""),"In Progress",IF(M3072&lt;=J3072,"Met","Breached"))</f>
        <v>Breached</v>
      </c>
    </row>
    <row r="3073" ht="19" customHeight="1" spans="1:14" x14ac:dyDescent="0.25">
      <c r="A3073" s="22" t="s">
        <v>3187</v>
      </c>
      <c r="B3073" s="36">
        <v>46158.12152777778</v>
      </c>
      <c r="C3073" s="36">
        <v>46160.30902777778</v>
      </c>
      <c r="D3073" s="22" t="s">
        <v>33</v>
      </c>
      <c r="E3073" s="22" t="s">
        <v>65</v>
      </c>
      <c r="F3073" s="22" t="s">
        <v>37</v>
      </c>
      <c r="G3073" s="22" t="s">
        <v>126</v>
      </c>
      <c r="H3073" s="22" t="s">
        <v>63</v>
      </c>
      <c r="I3073" s="22" t="s">
        <v>147</v>
      </c>
      <c r="J3073" s="23">
        <v>48</v>
      </c>
      <c r="K3073" s="37">
        <v>0</v>
      </c>
      <c r="L3073" s="37">
        <v>2</v>
      </c>
      <c r="M3073" s="22">
        <f>IF(OR(ISBLANK(C3073),C3073=""),"",ROUND((C3073-B3073)*24,2))</f>
        <v>52.5</v>
      </c>
      <c r="N3073" s="38" t="str">
        <f>IF(OR(ISBLANK(C3073),C3073="",M3073=""),"In Progress",IF(M3073&lt;=J3073,"Met","Breached"))</f>
        <v>Breached</v>
      </c>
    </row>
    <row r="3074" ht="19" customHeight="1" spans="1:14" x14ac:dyDescent="0.25">
      <c r="A3074" s="19" t="s">
        <v>3188</v>
      </c>
      <c r="B3074" s="33">
        <v>46041.024305555555</v>
      </c>
      <c r="D3074" s="19" t="s">
        <v>39</v>
      </c>
      <c r="E3074" s="19" t="s">
        <v>65</v>
      </c>
      <c r="F3074" s="19" t="s">
        <v>34</v>
      </c>
      <c r="G3074" s="19" t="s">
        <v>110</v>
      </c>
      <c r="H3074" s="19" t="s">
        <v>59</v>
      </c>
      <c r="I3074" s="19" t="s">
        <v>147</v>
      </c>
      <c r="J3074" s="20">
        <v>48</v>
      </c>
      <c r="K3074" s="34">
        <v>0</v>
      </c>
      <c r="M3074" s="19" t="str">
        <f>IF(OR(ISBLANK(C3074),C3074=""),"",ROUND((C3074-B3074)*24,2))</f>
        <v/>
      </c>
      <c r="N3074" s="19" t="str">
        <f>IF(OR(ISBLANK(C3074),C3074="",M3074=""),"In Progress",IF(M3074&lt;=J3074,"Met","Breached"))</f>
        <v>In Progress</v>
      </c>
    </row>
    <row r="3075" ht="19" customHeight="1" spans="1:14" x14ac:dyDescent="0.25">
      <c r="A3075" s="22" t="s">
        <v>3189</v>
      </c>
      <c r="B3075" s="36">
        <v>46171.88541666667</v>
      </c>
      <c r="D3075" s="22" t="s">
        <v>39</v>
      </c>
      <c r="E3075" s="22" t="s">
        <v>65</v>
      </c>
      <c r="F3075" s="22" t="s">
        <v>45</v>
      </c>
      <c r="G3075" s="22" t="s">
        <v>116</v>
      </c>
      <c r="H3075" s="22" t="s">
        <v>59</v>
      </c>
      <c r="I3075" s="22" t="s">
        <v>123</v>
      </c>
      <c r="J3075" s="23">
        <v>48</v>
      </c>
      <c r="K3075" s="37">
        <v>0</v>
      </c>
      <c r="M3075" s="22" t="str">
        <f>IF(OR(ISBLANK(C3075),C3075=""),"",ROUND((C3075-B3075)*24,2))</f>
        <v/>
      </c>
      <c r="N3075" s="22" t="str">
        <f>IF(OR(ISBLANK(C3075),C3075="",M3075=""),"In Progress",IF(M3075&lt;=J3075,"Met","Breached"))</f>
        <v>In Progress</v>
      </c>
    </row>
    <row r="3076" ht="19" customHeight="1" spans="1:14" x14ac:dyDescent="0.25">
      <c r="A3076" s="19" t="s">
        <v>3190</v>
      </c>
      <c r="B3076" s="33">
        <v>46032.29791666666</v>
      </c>
      <c r="C3076" s="33">
        <v>46035.82986111111</v>
      </c>
      <c r="D3076" s="19" t="s">
        <v>33</v>
      </c>
      <c r="E3076" s="19" t="s">
        <v>65</v>
      </c>
      <c r="F3076" s="19" t="s">
        <v>34</v>
      </c>
      <c r="G3076" s="19" t="s">
        <v>126</v>
      </c>
      <c r="H3076" s="19" t="s">
        <v>59</v>
      </c>
      <c r="I3076" s="19" t="s">
        <v>123</v>
      </c>
      <c r="J3076" s="20">
        <v>48</v>
      </c>
      <c r="K3076" s="34">
        <v>0</v>
      </c>
      <c r="L3076" s="34">
        <v>1</v>
      </c>
      <c r="M3076" s="19">
        <f>IF(OR(ISBLANK(C3076),C3076=""),"",ROUND((C3076-B3076)*24,2))</f>
        <v>84.77</v>
      </c>
      <c r="N3076" s="39" t="str">
        <f>IF(OR(ISBLANK(C3076),C3076="",M3076=""),"In Progress",IF(M3076&lt;=J3076,"Met","Breached"))</f>
        <v>Breached</v>
      </c>
    </row>
    <row r="3077" ht="19" customHeight="1" spans="1:14" x14ac:dyDescent="0.25">
      <c r="A3077" s="22" t="s">
        <v>3191</v>
      </c>
      <c r="B3077" s="36">
        <v>46189.70833333333</v>
      </c>
      <c r="C3077" s="36">
        <v>46190.36111111111</v>
      </c>
      <c r="D3077" s="22" t="s">
        <v>33</v>
      </c>
      <c r="E3077" s="22" t="s">
        <v>61</v>
      </c>
      <c r="F3077" s="22" t="s">
        <v>40</v>
      </c>
      <c r="G3077" s="22" t="s">
        <v>121</v>
      </c>
      <c r="H3077" s="22" t="s">
        <v>59</v>
      </c>
      <c r="I3077" s="22" t="s">
        <v>114</v>
      </c>
      <c r="J3077" s="23">
        <v>12</v>
      </c>
      <c r="K3077" s="37">
        <v>0</v>
      </c>
      <c r="L3077" s="37">
        <v>2</v>
      </c>
      <c r="M3077" s="22">
        <f>IF(OR(ISBLANK(C3077),C3077=""),"",ROUND((C3077-B3077)*24,2))</f>
        <v>15.67</v>
      </c>
      <c r="N3077" s="38" t="str">
        <f>IF(OR(ISBLANK(C3077),C3077="",M3077=""),"In Progress",IF(M3077&lt;=J3077,"Met","Breached"))</f>
        <v>Breached</v>
      </c>
    </row>
    <row r="3078" ht="19" customHeight="1" spans="1:14" x14ac:dyDescent="0.25">
      <c r="A3078" s="19" t="s">
        <v>3192</v>
      </c>
      <c r="B3078" s="33">
        <v>46111.584027777775</v>
      </c>
      <c r="C3078" s="33">
        <v>46112.35208333333</v>
      </c>
      <c r="D3078" s="19" t="s">
        <v>33</v>
      </c>
      <c r="E3078" s="19" t="s">
        <v>61</v>
      </c>
      <c r="F3078" s="19" t="s">
        <v>37</v>
      </c>
      <c r="G3078" s="19" t="s">
        <v>126</v>
      </c>
      <c r="H3078" s="19" t="s">
        <v>59</v>
      </c>
      <c r="I3078" s="19" t="s">
        <v>114</v>
      </c>
      <c r="J3078" s="20">
        <v>12</v>
      </c>
      <c r="K3078" s="34">
        <v>0</v>
      </c>
      <c r="L3078" s="34">
        <v>5</v>
      </c>
      <c r="M3078" s="19">
        <f>IF(OR(ISBLANK(C3078),C3078=""),"",ROUND((C3078-B3078)*24,2))</f>
        <v>18.43</v>
      </c>
      <c r="N3078" s="39" t="str">
        <f>IF(OR(ISBLANK(C3078),C3078="",M3078=""),"In Progress",IF(M3078&lt;=J3078,"Met","Breached"))</f>
        <v>Breached</v>
      </c>
    </row>
    <row r="3079" ht="19" customHeight="1" spans="1:14" x14ac:dyDescent="0.25">
      <c r="A3079" s="22" t="s">
        <v>3193</v>
      </c>
      <c r="B3079" s="36">
        <v>46068.14791666667</v>
      </c>
      <c r="C3079" s="36">
        <v>46068.53194444445</v>
      </c>
      <c r="D3079" s="22" t="s">
        <v>33</v>
      </c>
      <c r="E3079" s="22" t="s">
        <v>61</v>
      </c>
      <c r="F3079" s="22" t="s">
        <v>37</v>
      </c>
      <c r="G3079" s="22" t="s">
        <v>126</v>
      </c>
      <c r="H3079" s="22" t="s">
        <v>67</v>
      </c>
      <c r="I3079" s="22" t="s">
        <v>114</v>
      </c>
      <c r="J3079" s="23">
        <v>12</v>
      </c>
      <c r="K3079" s="37">
        <v>0</v>
      </c>
      <c r="L3079" s="37">
        <v>4</v>
      </c>
      <c r="M3079" s="22">
        <f>IF(OR(ISBLANK(C3079),C3079=""),"",ROUND((C3079-B3079)*24,2))</f>
        <v>9.22</v>
      </c>
      <c r="N3079" s="40" t="str">
        <f>IF(OR(ISBLANK(C3079),C3079="",M3079=""),"In Progress",IF(M3079&lt;=J3079,"Met","Breached"))</f>
        <v>Met</v>
      </c>
    </row>
    <row r="3080" ht="19" customHeight="1" spans="1:14" x14ac:dyDescent="0.25">
      <c r="A3080" s="19" t="s">
        <v>3194</v>
      </c>
      <c r="B3080" s="33">
        <v>45992.52013888889</v>
      </c>
      <c r="C3080" s="33">
        <v>45993.16527777778</v>
      </c>
      <c r="D3080" s="19" t="s">
        <v>33</v>
      </c>
      <c r="E3080" s="19" t="s">
        <v>65</v>
      </c>
      <c r="F3080" s="19" t="s">
        <v>34</v>
      </c>
      <c r="G3080" s="19" t="s">
        <v>126</v>
      </c>
      <c r="H3080" s="19" t="s">
        <v>63</v>
      </c>
      <c r="I3080" s="19" t="s">
        <v>108</v>
      </c>
      <c r="J3080" s="20">
        <v>48</v>
      </c>
      <c r="K3080" s="34">
        <v>0</v>
      </c>
      <c r="L3080" s="34">
        <v>5</v>
      </c>
      <c r="M3080" s="19">
        <f>IF(OR(ISBLANK(C3080),C3080=""),"",ROUND((C3080-B3080)*24,2))</f>
        <v>15.48</v>
      </c>
      <c r="N3080" s="35" t="str">
        <f>IF(OR(ISBLANK(C3080),C3080="",M3080=""),"In Progress",IF(M3080&lt;=J3080,"Met","Breached"))</f>
        <v>Met</v>
      </c>
    </row>
    <row r="3081" ht="19" customHeight="1" spans="1:14" x14ac:dyDescent="0.25">
      <c r="A3081" s="22" t="s">
        <v>3195</v>
      </c>
      <c r="B3081" s="36">
        <v>46147.200694444444</v>
      </c>
      <c r="C3081" s="36">
        <v>46154.138194444444</v>
      </c>
      <c r="D3081" s="22" t="s">
        <v>36</v>
      </c>
      <c r="E3081" s="22" t="s">
        <v>69</v>
      </c>
      <c r="F3081" s="22" t="s">
        <v>40</v>
      </c>
      <c r="G3081" s="22" t="s">
        <v>110</v>
      </c>
      <c r="H3081" s="22" t="s">
        <v>63</v>
      </c>
      <c r="I3081" s="22" t="s">
        <v>111</v>
      </c>
      <c r="J3081" s="23">
        <v>120</v>
      </c>
      <c r="K3081" s="37">
        <v>0</v>
      </c>
      <c r="L3081" s="37">
        <v>2</v>
      </c>
      <c r="M3081" s="22">
        <f>IF(OR(ISBLANK(C3081),C3081=""),"",ROUND((C3081-B3081)*24,2))</f>
        <v>166.5</v>
      </c>
      <c r="N3081" s="38" t="str">
        <f>IF(OR(ISBLANK(C3081),C3081="",M3081=""),"In Progress",IF(M3081&lt;=J3081,"Met","Breached"))</f>
        <v>Breached</v>
      </c>
    </row>
    <row r="3082" ht="19" customHeight="1" spans="1:14" x14ac:dyDescent="0.25">
      <c r="A3082" s="19" t="s">
        <v>3196</v>
      </c>
      <c r="B3082" s="33">
        <v>45852.33541666667</v>
      </c>
      <c r="D3082" s="19" t="s">
        <v>42</v>
      </c>
      <c r="E3082" s="19" t="s">
        <v>69</v>
      </c>
      <c r="F3082" s="19" t="s">
        <v>37</v>
      </c>
      <c r="G3082" s="19" t="s">
        <v>116</v>
      </c>
      <c r="H3082" s="19" t="s">
        <v>59</v>
      </c>
      <c r="I3082" s="19" t="s">
        <v>111</v>
      </c>
      <c r="J3082" s="20">
        <v>120</v>
      </c>
      <c r="K3082" s="34">
        <v>0</v>
      </c>
      <c r="M3082" s="19" t="str">
        <f>IF(OR(ISBLANK(C3082),C3082=""),"",ROUND((C3082-B3082)*24,2))</f>
        <v/>
      </c>
      <c r="N3082" s="19" t="str">
        <f>IF(OR(ISBLANK(C3082),C3082="",M3082=""),"In Progress",IF(M3082&lt;=J3082,"Met","Breached"))</f>
        <v>In Progress</v>
      </c>
    </row>
    <row r="3083" ht="19" customHeight="1" spans="1:14" x14ac:dyDescent="0.25">
      <c r="A3083" s="22" t="s">
        <v>3197</v>
      </c>
      <c r="B3083" s="36">
        <v>46025.1125</v>
      </c>
      <c r="C3083" s="36">
        <v>46026.41111111111</v>
      </c>
      <c r="D3083" s="22" t="s">
        <v>33</v>
      </c>
      <c r="E3083" s="22" t="s">
        <v>65</v>
      </c>
      <c r="F3083" s="22" t="s">
        <v>34</v>
      </c>
      <c r="G3083" s="22" t="s">
        <v>63</v>
      </c>
      <c r="H3083" s="22" t="s">
        <v>67</v>
      </c>
      <c r="I3083" s="22" t="s">
        <v>108</v>
      </c>
      <c r="J3083" s="23">
        <v>48</v>
      </c>
      <c r="K3083" s="37">
        <v>0</v>
      </c>
      <c r="M3083" s="22">
        <f>IF(OR(ISBLANK(C3083),C3083=""),"",ROUND((C3083-B3083)*24,2))</f>
        <v>31.17</v>
      </c>
      <c r="N3083" s="40" t="str">
        <f>IF(OR(ISBLANK(C3083),C3083="",M3083=""),"In Progress",IF(M3083&lt;=J3083,"Met","Breached"))</f>
        <v>Met</v>
      </c>
    </row>
    <row r="3084" ht="19" customHeight="1" spans="1:14" x14ac:dyDescent="0.25">
      <c r="A3084" s="19" t="s">
        <v>3198</v>
      </c>
      <c r="B3084" s="33">
        <v>46021.28472222222</v>
      </c>
      <c r="C3084" s="33">
        <v>46022.725694444445</v>
      </c>
      <c r="D3084" s="19" t="s">
        <v>33</v>
      </c>
      <c r="E3084" s="19" t="s">
        <v>65</v>
      </c>
      <c r="F3084" s="19" t="s">
        <v>43</v>
      </c>
      <c r="G3084" s="19" t="s">
        <v>121</v>
      </c>
      <c r="H3084" s="19" t="s">
        <v>63</v>
      </c>
      <c r="I3084" s="19" t="s">
        <v>123</v>
      </c>
      <c r="J3084" s="20">
        <v>48</v>
      </c>
      <c r="K3084" s="34">
        <v>0</v>
      </c>
      <c r="M3084" s="19">
        <f>IF(OR(ISBLANK(C3084),C3084=""),"",ROUND((C3084-B3084)*24,2))</f>
        <v>34.58</v>
      </c>
      <c r="N3084" s="35" t="str">
        <f>IF(OR(ISBLANK(C3084),C3084="",M3084=""),"In Progress",IF(M3084&lt;=J3084,"Met","Breached"))</f>
        <v>Met</v>
      </c>
    </row>
    <row r="3085" ht="19" customHeight="1" spans="1:14" x14ac:dyDescent="0.25">
      <c r="A3085" s="22" t="s">
        <v>3199</v>
      </c>
      <c r="B3085" s="36">
        <v>45895.68958333333</v>
      </c>
      <c r="C3085" s="36">
        <v>45901.785416666666</v>
      </c>
      <c r="D3085" s="22" t="s">
        <v>36</v>
      </c>
      <c r="E3085" s="22" t="s">
        <v>69</v>
      </c>
      <c r="F3085" s="22" t="s">
        <v>34</v>
      </c>
      <c r="G3085" s="22" t="s">
        <v>113</v>
      </c>
      <c r="H3085" s="22" t="s">
        <v>71</v>
      </c>
      <c r="I3085" s="22" t="s">
        <v>117</v>
      </c>
      <c r="J3085" s="23">
        <v>120</v>
      </c>
      <c r="K3085" s="37">
        <v>0</v>
      </c>
      <c r="M3085" s="22">
        <f>IF(OR(ISBLANK(C3085),C3085=""),"",ROUND((C3085-B3085)*24,2))</f>
        <v>146.3</v>
      </c>
      <c r="N3085" s="38" t="str">
        <f>IF(OR(ISBLANK(C3085),C3085="",M3085=""),"In Progress",IF(M3085&lt;=J3085,"Met","Breached"))</f>
        <v>Breached</v>
      </c>
    </row>
    <row r="3086" ht="19" customHeight="1" spans="1:14" x14ac:dyDescent="0.25">
      <c r="A3086" s="19" t="s">
        <v>3200</v>
      </c>
      <c r="B3086" s="33">
        <v>46084.18263888889</v>
      </c>
      <c r="C3086" s="33">
        <v>46084.53125</v>
      </c>
      <c r="D3086" s="19" t="s">
        <v>36</v>
      </c>
      <c r="E3086" s="19" t="s">
        <v>61</v>
      </c>
      <c r="F3086" s="19" t="s">
        <v>45</v>
      </c>
      <c r="G3086" s="19" t="s">
        <v>110</v>
      </c>
      <c r="H3086" s="19" t="s">
        <v>59</v>
      </c>
      <c r="I3086" s="19" t="s">
        <v>147</v>
      </c>
      <c r="J3086" s="20">
        <v>12</v>
      </c>
      <c r="K3086" s="34">
        <v>0</v>
      </c>
      <c r="L3086" s="34">
        <v>4</v>
      </c>
      <c r="M3086" s="19">
        <f>IF(OR(ISBLANK(C3086),C3086=""),"",ROUND((C3086-B3086)*24,2))</f>
        <v>8.37</v>
      </c>
      <c r="N3086" s="35" t="str">
        <f>IF(OR(ISBLANK(C3086),C3086="",M3086=""),"In Progress",IF(M3086&lt;=J3086,"Met","Breached"))</f>
        <v>Met</v>
      </c>
    </row>
    <row r="3087" ht="19" customHeight="1" spans="1:14" x14ac:dyDescent="0.25">
      <c r="A3087" s="22" t="s">
        <v>3201</v>
      </c>
      <c r="B3087" s="36">
        <v>45899.59930555556</v>
      </c>
      <c r="D3087" s="22" t="s">
        <v>39</v>
      </c>
      <c r="E3087" s="22" t="s">
        <v>65</v>
      </c>
      <c r="F3087" s="22" t="s">
        <v>37</v>
      </c>
      <c r="G3087" s="22" t="s">
        <v>121</v>
      </c>
      <c r="H3087" s="22" t="s">
        <v>67</v>
      </c>
      <c r="I3087" s="22" t="s">
        <v>117</v>
      </c>
      <c r="J3087" s="23">
        <v>48</v>
      </c>
      <c r="K3087" s="37">
        <v>0</v>
      </c>
      <c r="M3087" s="22" t="str">
        <f>IF(OR(ISBLANK(C3087),C3087=""),"",ROUND((C3087-B3087)*24,2))</f>
        <v/>
      </c>
      <c r="N3087" s="22" t="str">
        <f>IF(OR(ISBLANK(C3087),C3087="",M3087=""),"In Progress",IF(M3087&lt;=J3087,"Met","Breached"))</f>
        <v>In Progress</v>
      </c>
    </row>
    <row r="3088" ht="19" customHeight="1" spans="1:14" x14ac:dyDescent="0.25">
      <c r="A3088" s="19" t="s">
        <v>3202</v>
      </c>
      <c r="B3088" s="33">
        <v>46028.478472222225</v>
      </c>
      <c r="C3088" s="33">
        <v>46031.55694444444</v>
      </c>
      <c r="D3088" s="19" t="s">
        <v>36</v>
      </c>
      <c r="E3088" s="19" t="s">
        <v>65</v>
      </c>
      <c r="F3088" s="19" t="s">
        <v>34</v>
      </c>
      <c r="G3088" s="19" t="s">
        <v>113</v>
      </c>
      <c r="H3088" s="19" t="s">
        <v>59</v>
      </c>
      <c r="I3088" s="19" t="s">
        <v>111</v>
      </c>
      <c r="J3088" s="20">
        <v>48</v>
      </c>
      <c r="K3088" s="34">
        <v>0</v>
      </c>
      <c r="L3088" s="34">
        <v>2</v>
      </c>
      <c r="M3088" s="19">
        <f>IF(OR(ISBLANK(C3088),C3088=""),"",ROUND((C3088-B3088)*24,2))</f>
        <v>73.88</v>
      </c>
      <c r="N3088" s="39" t="str">
        <f>IF(OR(ISBLANK(C3088),C3088="",M3088=""),"In Progress",IF(M3088&lt;=J3088,"Met","Breached"))</f>
        <v>Breached</v>
      </c>
    </row>
    <row r="3089" ht="19" customHeight="1" spans="1:14" x14ac:dyDescent="0.25">
      <c r="A3089" s="22" t="s">
        <v>3203</v>
      </c>
      <c r="B3089" s="36">
        <v>45724.44375</v>
      </c>
      <c r="C3089" s="36">
        <v>45724.65486111111</v>
      </c>
      <c r="D3089" s="22" t="s">
        <v>33</v>
      </c>
      <c r="E3089" s="22" t="s">
        <v>61</v>
      </c>
      <c r="F3089" s="22" t="s">
        <v>45</v>
      </c>
      <c r="G3089" s="22" t="s">
        <v>116</v>
      </c>
      <c r="H3089" s="22" t="s">
        <v>59</v>
      </c>
      <c r="I3089" s="22" t="s">
        <v>147</v>
      </c>
      <c r="J3089" s="23">
        <v>12</v>
      </c>
      <c r="K3089" s="37">
        <v>1</v>
      </c>
      <c r="L3089" s="37">
        <v>1</v>
      </c>
      <c r="M3089" s="22">
        <f>IF(OR(ISBLANK(C3089),C3089=""),"",ROUND((C3089-B3089)*24,2))</f>
        <v>5.07</v>
      </c>
      <c r="N3089" s="40" t="str">
        <f>IF(OR(ISBLANK(C3089),C3089="",M3089=""),"In Progress",IF(M3089&lt;=J3089,"Met","Breached"))</f>
        <v>Met</v>
      </c>
    </row>
    <row r="3090" ht="19" customHeight="1" spans="1:14" x14ac:dyDescent="0.25">
      <c r="A3090" s="19" t="s">
        <v>3204</v>
      </c>
      <c r="B3090" s="33">
        <v>45790.65</v>
      </c>
      <c r="C3090" s="33">
        <v>45791.3</v>
      </c>
      <c r="D3090" s="19" t="s">
        <v>36</v>
      </c>
      <c r="E3090" s="19" t="s">
        <v>61</v>
      </c>
      <c r="F3090" s="19" t="s">
        <v>40</v>
      </c>
      <c r="G3090" s="19" t="s">
        <v>116</v>
      </c>
      <c r="H3090" s="19" t="s">
        <v>59</v>
      </c>
      <c r="I3090" s="19" t="s">
        <v>108</v>
      </c>
      <c r="J3090" s="20">
        <v>12</v>
      </c>
      <c r="K3090" s="34">
        <v>0</v>
      </c>
      <c r="L3090" s="34">
        <v>3</v>
      </c>
      <c r="M3090" s="19">
        <f>IF(OR(ISBLANK(C3090),C3090=""),"",ROUND((C3090-B3090)*24,2))</f>
        <v>15.6</v>
      </c>
      <c r="N3090" s="39" t="str">
        <f>IF(OR(ISBLANK(C3090),C3090="",M3090=""),"In Progress",IF(M3090&lt;=J3090,"Met","Breached"))</f>
        <v>Breached</v>
      </c>
    </row>
    <row r="3091" ht="19" customHeight="1" spans="1:14" x14ac:dyDescent="0.25">
      <c r="A3091" s="22" t="s">
        <v>3205</v>
      </c>
      <c r="B3091" s="36">
        <v>45970.825694444444</v>
      </c>
      <c r="D3091" s="22" t="s">
        <v>39</v>
      </c>
      <c r="E3091" s="22" t="s">
        <v>65</v>
      </c>
      <c r="F3091" s="22" t="s">
        <v>34</v>
      </c>
      <c r="G3091" s="22" t="s">
        <v>121</v>
      </c>
      <c r="H3091" s="22" t="s">
        <v>71</v>
      </c>
      <c r="I3091" s="22" t="s">
        <v>147</v>
      </c>
      <c r="J3091" s="23">
        <v>48</v>
      </c>
      <c r="K3091" s="37">
        <v>0</v>
      </c>
      <c r="M3091" s="22" t="str">
        <f>IF(OR(ISBLANK(C3091),C3091=""),"",ROUND((C3091-B3091)*24,2))</f>
        <v/>
      </c>
      <c r="N3091" s="22" t="str">
        <f>IF(OR(ISBLANK(C3091),C3091="",M3091=""),"In Progress",IF(M3091&lt;=J3091,"Met","Breached"))</f>
        <v>In Progress</v>
      </c>
    </row>
    <row r="3092" ht="19" customHeight="1" spans="1:14" x14ac:dyDescent="0.25">
      <c r="A3092" s="19" t="s">
        <v>3206</v>
      </c>
      <c r="B3092" s="33">
        <v>45836.75069444445</v>
      </c>
      <c r="D3092" s="19" t="s">
        <v>39</v>
      </c>
      <c r="E3092" s="19" t="s">
        <v>61</v>
      </c>
      <c r="F3092" s="19" t="s">
        <v>45</v>
      </c>
      <c r="G3092" s="19" t="s">
        <v>126</v>
      </c>
      <c r="H3092" s="19" t="s">
        <v>67</v>
      </c>
      <c r="I3092" s="19" t="s">
        <v>123</v>
      </c>
      <c r="J3092" s="20">
        <v>12</v>
      </c>
      <c r="K3092" s="34">
        <v>0</v>
      </c>
      <c r="M3092" s="19" t="str">
        <f>IF(OR(ISBLANK(C3092),C3092=""),"",ROUND((C3092-B3092)*24,2))</f>
        <v/>
      </c>
      <c r="N3092" s="19" t="str">
        <f>IF(OR(ISBLANK(C3092),C3092="",M3092=""),"In Progress",IF(M3092&lt;=J3092,"Met","Breached"))</f>
        <v>In Progress</v>
      </c>
    </row>
    <row r="3093" ht="19" customHeight="1" spans="1:14" x14ac:dyDescent="0.25">
      <c r="A3093" s="22" t="s">
        <v>3207</v>
      </c>
      <c r="B3093" s="36">
        <v>45839.63125</v>
      </c>
      <c r="C3093" s="36">
        <v>45841.42916666667</v>
      </c>
      <c r="D3093" s="22" t="s">
        <v>36</v>
      </c>
      <c r="E3093" s="22" t="s">
        <v>65</v>
      </c>
      <c r="F3093" s="22" t="s">
        <v>45</v>
      </c>
      <c r="G3093" s="22" t="s">
        <v>63</v>
      </c>
      <c r="H3093" s="22" t="s">
        <v>59</v>
      </c>
      <c r="I3093" s="22" t="s">
        <v>123</v>
      </c>
      <c r="J3093" s="23">
        <v>48</v>
      </c>
      <c r="K3093" s="37">
        <v>0</v>
      </c>
      <c r="M3093" s="22">
        <f>IF(OR(ISBLANK(C3093),C3093=""),"",ROUND((C3093-B3093)*24,2))</f>
        <v>43.15</v>
      </c>
      <c r="N3093" s="40" t="str">
        <f>IF(OR(ISBLANK(C3093),C3093="",M3093=""),"In Progress",IF(M3093&lt;=J3093,"Met","Breached"))</f>
        <v>Met</v>
      </c>
    </row>
    <row r="3094" ht="19" customHeight="1" spans="1:14" x14ac:dyDescent="0.25">
      <c r="A3094" s="19" t="s">
        <v>3208</v>
      </c>
      <c r="B3094" s="33">
        <v>46278.26944444445</v>
      </c>
      <c r="C3094" s="33">
        <v>46278.71944444445</v>
      </c>
      <c r="D3094" s="19" t="s">
        <v>33</v>
      </c>
      <c r="E3094" s="19" t="s">
        <v>61</v>
      </c>
      <c r="F3094" s="19" t="s">
        <v>40</v>
      </c>
      <c r="G3094" s="19" t="s">
        <v>121</v>
      </c>
      <c r="H3094" s="19" t="s">
        <v>59</v>
      </c>
      <c r="I3094" s="19" t="s">
        <v>114</v>
      </c>
      <c r="J3094" s="20">
        <v>12</v>
      </c>
      <c r="K3094" s="34">
        <v>0</v>
      </c>
      <c r="L3094" s="34">
        <v>2</v>
      </c>
      <c r="M3094" s="19">
        <f>IF(OR(ISBLANK(C3094),C3094=""),"",ROUND((C3094-B3094)*24,2))</f>
        <v>10.8</v>
      </c>
      <c r="N3094" s="35" t="str">
        <f>IF(OR(ISBLANK(C3094),C3094="",M3094=""),"In Progress",IF(M3094&lt;=J3094,"Met","Breached"))</f>
        <v>Met</v>
      </c>
    </row>
    <row r="3095" ht="19" customHeight="1" spans="1:14" x14ac:dyDescent="0.25">
      <c r="A3095" s="22" t="s">
        <v>3209</v>
      </c>
      <c r="B3095" s="36">
        <v>45808.06736111111</v>
      </c>
      <c r="C3095" s="36">
        <v>45810.43819444445</v>
      </c>
      <c r="D3095" s="22" t="s">
        <v>36</v>
      </c>
      <c r="E3095" s="22" t="s">
        <v>65</v>
      </c>
      <c r="F3095" s="22" t="s">
        <v>34</v>
      </c>
      <c r="G3095" s="22" t="s">
        <v>113</v>
      </c>
      <c r="H3095" s="22" t="s">
        <v>67</v>
      </c>
      <c r="I3095" s="22" t="s">
        <v>111</v>
      </c>
      <c r="J3095" s="23">
        <v>48</v>
      </c>
      <c r="K3095" s="37">
        <v>0</v>
      </c>
      <c r="L3095" s="37">
        <v>2</v>
      </c>
      <c r="M3095" s="22">
        <f>IF(OR(ISBLANK(C3095),C3095=""),"",ROUND((C3095-B3095)*24,2))</f>
        <v>56.9</v>
      </c>
      <c r="N3095" s="38" t="str">
        <f>IF(OR(ISBLANK(C3095),C3095="",M3095=""),"In Progress",IF(M3095&lt;=J3095,"Met","Breached"))</f>
        <v>Breached</v>
      </c>
    </row>
    <row r="3096" ht="19" customHeight="1" spans="1:14" x14ac:dyDescent="0.25">
      <c r="A3096" s="19" t="s">
        <v>3210</v>
      </c>
      <c r="B3096" s="33">
        <v>46235.29166666667</v>
      </c>
      <c r="C3096" s="33">
        <v>46236.006944444445</v>
      </c>
      <c r="D3096" s="19" t="s">
        <v>33</v>
      </c>
      <c r="E3096" s="19" t="s">
        <v>65</v>
      </c>
      <c r="F3096" s="19" t="s">
        <v>37</v>
      </c>
      <c r="G3096" s="19" t="s">
        <v>113</v>
      </c>
      <c r="H3096" s="19" t="s">
        <v>63</v>
      </c>
      <c r="I3096" s="19" t="s">
        <v>147</v>
      </c>
      <c r="J3096" s="20">
        <v>48</v>
      </c>
      <c r="K3096" s="34">
        <v>0</v>
      </c>
      <c r="L3096" s="34">
        <v>5</v>
      </c>
      <c r="M3096" s="19">
        <f>IF(OR(ISBLANK(C3096),C3096=""),"",ROUND((C3096-B3096)*24,2))</f>
        <v>17.17</v>
      </c>
      <c r="N3096" s="35" t="str">
        <f>IF(OR(ISBLANK(C3096),C3096="",M3096=""),"In Progress",IF(M3096&lt;=J3096,"Met","Breached"))</f>
        <v>Met</v>
      </c>
    </row>
    <row r="3097" ht="19" customHeight="1" spans="1:14" x14ac:dyDescent="0.25">
      <c r="A3097" s="22" t="s">
        <v>3211</v>
      </c>
      <c r="B3097" s="36">
        <v>46152.45763888889</v>
      </c>
      <c r="D3097" s="22" t="s">
        <v>42</v>
      </c>
      <c r="E3097" s="22" t="s">
        <v>65</v>
      </c>
      <c r="F3097" s="22" t="s">
        <v>34</v>
      </c>
      <c r="G3097" s="22" t="s">
        <v>116</v>
      </c>
      <c r="H3097" s="22" t="s">
        <v>63</v>
      </c>
      <c r="I3097" s="22" t="s">
        <v>117</v>
      </c>
      <c r="J3097" s="23">
        <v>48</v>
      </c>
      <c r="K3097" s="37">
        <v>0</v>
      </c>
      <c r="M3097" s="22" t="str">
        <f>IF(OR(ISBLANK(C3097),C3097=""),"",ROUND((C3097-B3097)*24,2))</f>
        <v/>
      </c>
      <c r="N3097" s="22" t="str">
        <f>IF(OR(ISBLANK(C3097),C3097="",M3097=""),"In Progress",IF(M3097&lt;=J3097,"Met","Breached"))</f>
        <v>In Progress</v>
      </c>
    </row>
    <row r="3098" ht="19" customHeight="1" spans="1:14" x14ac:dyDescent="0.25">
      <c r="A3098" s="19" t="s">
        <v>3212</v>
      </c>
      <c r="B3098" s="33">
        <v>45906.13611111111</v>
      </c>
      <c r="C3098" s="33">
        <v>45908.73611111111</v>
      </c>
      <c r="D3098" s="19" t="s">
        <v>33</v>
      </c>
      <c r="E3098" s="19" t="s">
        <v>65</v>
      </c>
      <c r="F3098" s="19" t="s">
        <v>40</v>
      </c>
      <c r="G3098" s="19" t="s">
        <v>121</v>
      </c>
      <c r="H3098" s="19" t="s">
        <v>63</v>
      </c>
      <c r="I3098" s="19" t="s">
        <v>114</v>
      </c>
      <c r="J3098" s="20">
        <v>48</v>
      </c>
      <c r="K3098" s="34">
        <v>0</v>
      </c>
      <c r="L3098" s="34">
        <v>5</v>
      </c>
      <c r="M3098" s="19">
        <f>IF(OR(ISBLANK(C3098),C3098=""),"",ROUND((C3098-B3098)*24,2))</f>
        <v>62.4</v>
      </c>
      <c r="N3098" s="39" t="str">
        <f>IF(OR(ISBLANK(C3098),C3098="",M3098=""),"In Progress",IF(M3098&lt;=J3098,"Met","Breached"))</f>
        <v>Breached</v>
      </c>
    </row>
    <row r="3099" ht="19" customHeight="1" spans="1:14" x14ac:dyDescent="0.25">
      <c r="A3099" s="22" t="s">
        <v>3213</v>
      </c>
      <c r="B3099" s="36">
        <v>45676.88541666667</v>
      </c>
      <c r="C3099" s="36">
        <v>45678.17291666666</v>
      </c>
      <c r="D3099" s="22" t="s">
        <v>36</v>
      </c>
      <c r="E3099" s="22" t="s">
        <v>65</v>
      </c>
      <c r="F3099" s="22" t="s">
        <v>40</v>
      </c>
      <c r="G3099" s="22" t="s">
        <v>63</v>
      </c>
      <c r="H3099" s="22" t="s">
        <v>59</v>
      </c>
      <c r="I3099" s="22" t="s">
        <v>147</v>
      </c>
      <c r="J3099" s="23">
        <v>48</v>
      </c>
      <c r="K3099" s="37">
        <v>0</v>
      </c>
      <c r="L3099" s="37">
        <v>4</v>
      </c>
      <c r="M3099" s="22">
        <f>IF(OR(ISBLANK(C3099),C3099=""),"",ROUND((C3099-B3099)*24,2))</f>
        <v>30.9</v>
      </c>
      <c r="N3099" s="40" t="str">
        <f>IF(OR(ISBLANK(C3099),C3099="",M3099=""),"In Progress",IF(M3099&lt;=J3099,"Met","Breached"))</f>
        <v>Met</v>
      </c>
    </row>
    <row r="3100" ht="19" customHeight="1" spans="1:14" x14ac:dyDescent="0.25">
      <c r="A3100" s="19" t="s">
        <v>3214</v>
      </c>
      <c r="B3100" s="33">
        <v>45767.19861111111</v>
      </c>
      <c r="C3100" s="33">
        <v>45768.68819444445</v>
      </c>
      <c r="D3100" s="19" t="s">
        <v>33</v>
      </c>
      <c r="E3100" s="19" t="s">
        <v>65</v>
      </c>
      <c r="F3100" s="19" t="s">
        <v>43</v>
      </c>
      <c r="G3100" s="19" t="s">
        <v>121</v>
      </c>
      <c r="H3100" s="19" t="s">
        <v>67</v>
      </c>
      <c r="I3100" s="19" t="s">
        <v>147</v>
      </c>
      <c r="J3100" s="20">
        <v>48</v>
      </c>
      <c r="K3100" s="34">
        <v>0</v>
      </c>
      <c r="L3100" s="34">
        <v>1</v>
      </c>
      <c r="M3100" s="19">
        <f>IF(OR(ISBLANK(C3100),C3100=""),"",ROUND((C3100-B3100)*24,2))</f>
        <v>35.75</v>
      </c>
      <c r="N3100" s="35" t="str">
        <f>IF(OR(ISBLANK(C3100),C3100="",M3100=""),"In Progress",IF(M3100&lt;=J3100,"Met","Breached"))</f>
        <v>Met</v>
      </c>
    </row>
    <row r="3101" ht="19" customHeight="1" spans="1:14" x14ac:dyDescent="0.25">
      <c r="A3101" s="22" t="s">
        <v>3215</v>
      </c>
      <c r="B3101" s="36">
        <v>45858.64027777778</v>
      </c>
      <c r="C3101" s="36">
        <v>45860.43194444444</v>
      </c>
      <c r="D3101" s="22" t="s">
        <v>33</v>
      </c>
      <c r="E3101" s="22" t="s">
        <v>65</v>
      </c>
      <c r="F3101" s="22" t="s">
        <v>45</v>
      </c>
      <c r="G3101" s="22" t="s">
        <v>113</v>
      </c>
      <c r="H3101" s="22" t="s">
        <v>67</v>
      </c>
      <c r="I3101" s="22" t="s">
        <v>111</v>
      </c>
      <c r="J3101" s="23">
        <v>48</v>
      </c>
      <c r="K3101" s="37">
        <v>0</v>
      </c>
      <c r="L3101" s="37">
        <v>2</v>
      </c>
      <c r="M3101" s="22">
        <f>IF(OR(ISBLANK(C3101),C3101=""),"",ROUND((C3101-B3101)*24,2))</f>
        <v>43</v>
      </c>
      <c r="N3101" s="40" t="str">
        <f>IF(OR(ISBLANK(C3101),C3101="",M3101=""),"In Progress",IF(M3101&lt;=J3101,"Met","Breached"))</f>
        <v>Met</v>
      </c>
    </row>
    <row r="3102" ht="19" customHeight="1" spans="1:14" x14ac:dyDescent="0.25">
      <c r="A3102" s="19" t="s">
        <v>3216</v>
      </c>
      <c r="B3102" s="33">
        <v>45682.52847222222</v>
      </c>
      <c r="C3102" s="33">
        <v>45683.65486111111</v>
      </c>
      <c r="D3102" s="19" t="s">
        <v>33</v>
      </c>
      <c r="E3102" s="19" t="s">
        <v>65</v>
      </c>
      <c r="F3102" s="19" t="s">
        <v>43</v>
      </c>
      <c r="G3102" s="19" t="s">
        <v>63</v>
      </c>
      <c r="H3102" s="19" t="s">
        <v>59</v>
      </c>
      <c r="I3102" s="19" t="s">
        <v>111</v>
      </c>
      <c r="J3102" s="20">
        <v>48</v>
      </c>
      <c r="K3102" s="34">
        <v>1</v>
      </c>
      <c r="M3102" s="19">
        <f>IF(OR(ISBLANK(C3102),C3102=""),"",ROUND((C3102-B3102)*24,2))</f>
        <v>27.03</v>
      </c>
      <c r="N3102" s="35" t="str">
        <f>IF(OR(ISBLANK(C3102),C3102="",M3102=""),"In Progress",IF(M3102&lt;=J3102,"Met","Breached"))</f>
        <v>Met</v>
      </c>
    </row>
    <row r="3103" ht="19" customHeight="1" spans="1:14" x14ac:dyDescent="0.25">
      <c r="A3103" s="22" t="s">
        <v>3217</v>
      </c>
      <c r="B3103" s="36">
        <v>45856.09583333333</v>
      </c>
      <c r="C3103" s="36">
        <v>45856.1875</v>
      </c>
      <c r="D3103" s="22" t="s">
        <v>36</v>
      </c>
      <c r="E3103" s="22" t="s">
        <v>57</v>
      </c>
      <c r="F3103" s="22" t="s">
        <v>34</v>
      </c>
      <c r="G3103" s="22" t="s">
        <v>110</v>
      </c>
      <c r="H3103" s="22" t="s">
        <v>63</v>
      </c>
      <c r="I3103" s="22" t="s">
        <v>111</v>
      </c>
      <c r="J3103" s="23">
        <v>4</v>
      </c>
      <c r="K3103" s="37">
        <v>0</v>
      </c>
      <c r="M3103" s="22">
        <f>IF(OR(ISBLANK(C3103),C3103=""),"",ROUND((C3103-B3103)*24,2))</f>
        <v>2.2</v>
      </c>
      <c r="N3103" s="40" t="str">
        <f>IF(OR(ISBLANK(C3103),C3103="",M3103=""),"In Progress",IF(M3103&lt;=J3103,"Met","Breached"))</f>
        <v>Met</v>
      </c>
    </row>
    <row r="3104" ht="19" customHeight="1" spans="1:14" x14ac:dyDescent="0.25">
      <c r="A3104" s="19" t="s">
        <v>3218</v>
      </c>
      <c r="B3104" s="33">
        <v>45952.75069444445</v>
      </c>
      <c r="C3104" s="33">
        <v>45955.290972222225</v>
      </c>
      <c r="D3104" s="19" t="s">
        <v>33</v>
      </c>
      <c r="E3104" s="19" t="s">
        <v>69</v>
      </c>
      <c r="F3104" s="19" t="s">
        <v>34</v>
      </c>
      <c r="G3104" s="19" t="s">
        <v>113</v>
      </c>
      <c r="H3104" s="19" t="s">
        <v>63</v>
      </c>
      <c r="I3104" s="19" t="s">
        <v>117</v>
      </c>
      <c r="J3104" s="20">
        <v>120</v>
      </c>
      <c r="K3104" s="34">
        <v>0</v>
      </c>
      <c r="M3104" s="19">
        <f>IF(OR(ISBLANK(C3104),C3104=""),"",ROUND((C3104-B3104)*24,2))</f>
        <v>60.97</v>
      </c>
      <c r="N3104" s="35" t="str">
        <f>IF(OR(ISBLANK(C3104),C3104="",M3104=""),"In Progress",IF(M3104&lt;=J3104,"Met","Breached"))</f>
        <v>Met</v>
      </c>
    </row>
    <row r="3105" ht="19" customHeight="1" spans="1:14" x14ac:dyDescent="0.25">
      <c r="A3105" s="22" t="s">
        <v>3219</v>
      </c>
      <c r="B3105" s="36">
        <v>45792.509722222225</v>
      </c>
      <c r="D3105" s="22" t="s">
        <v>42</v>
      </c>
      <c r="E3105" s="22" t="s">
        <v>69</v>
      </c>
      <c r="F3105" s="22" t="s">
        <v>40</v>
      </c>
      <c r="G3105" s="22" t="s">
        <v>116</v>
      </c>
      <c r="H3105" s="22" t="s">
        <v>67</v>
      </c>
      <c r="I3105" s="22" t="s">
        <v>108</v>
      </c>
      <c r="J3105" s="23">
        <v>120</v>
      </c>
      <c r="K3105" s="37">
        <v>0</v>
      </c>
      <c r="M3105" s="22" t="str">
        <f>IF(OR(ISBLANK(C3105),C3105=""),"",ROUND((C3105-B3105)*24,2))</f>
        <v/>
      </c>
      <c r="N3105" s="22" t="str">
        <f>IF(OR(ISBLANK(C3105),C3105="",M3105=""),"In Progress",IF(M3105&lt;=J3105,"Met","Breached"))</f>
        <v>In Progress</v>
      </c>
    </row>
    <row r="3106" ht="19" customHeight="1" spans="1:14" x14ac:dyDescent="0.25">
      <c r="A3106" s="19" t="s">
        <v>3220</v>
      </c>
      <c r="B3106" s="33">
        <v>45778.117361111115</v>
      </c>
      <c r="C3106" s="33">
        <v>45780.4</v>
      </c>
      <c r="D3106" s="19" t="s">
        <v>36</v>
      </c>
      <c r="E3106" s="19" t="s">
        <v>69</v>
      </c>
      <c r="F3106" s="19" t="s">
        <v>45</v>
      </c>
      <c r="G3106" s="19" t="s">
        <v>63</v>
      </c>
      <c r="H3106" s="19" t="s">
        <v>59</v>
      </c>
      <c r="I3106" s="19" t="s">
        <v>147</v>
      </c>
      <c r="J3106" s="20">
        <v>120</v>
      </c>
      <c r="K3106" s="34">
        <v>0</v>
      </c>
      <c r="L3106" s="34">
        <v>4</v>
      </c>
      <c r="M3106" s="19">
        <f>IF(OR(ISBLANK(C3106),C3106=""),"",ROUND((C3106-B3106)*24,2))</f>
        <v>54.78</v>
      </c>
      <c r="N3106" s="35" t="str">
        <f>IF(OR(ISBLANK(C3106),C3106="",M3106=""),"In Progress",IF(M3106&lt;=J3106,"Met","Breached"))</f>
        <v>Met</v>
      </c>
    </row>
    <row r="3107" ht="19" customHeight="1" spans="1:14" x14ac:dyDescent="0.25">
      <c r="A3107" s="22" t="s">
        <v>3221</v>
      </c>
      <c r="B3107" s="36">
        <v>45907.816666666666</v>
      </c>
      <c r="C3107" s="36">
        <v>45907.896527777775</v>
      </c>
      <c r="D3107" s="22" t="s">
        <v>33</v>
      </c>
      <c r="E3107" s="22" t="s">
        <v>57</v>
      </c>
      <c r="F3107" s="22" t="s">
        <v>34</v>
      </c>
      <c r="G3107" s="22" t="s">
        <v>116</v>
      </c>
      <c r="H3107" s="22" t="s">
        <v>71</v>
      </c>
      <c r="I3107" s="22" t="s">
        <v>108</v>
      </c>
      <c r="J3107" s="23">
        <v>4</v>
      </c>
      <c r="K3107" s="37">
        <v>0</v>
      </c>
      <c r="L3107" s="37">
        <v>2</v>
      </c>
      <c r="M3107" s="22">
        <f>IF(OR(ISBLANK(C3107),C3107=""),"",ROUND((C3107-B3107)*24,2))</f>
        <v>1.92</v>
      </c>
      <c r="N3107" s="40" t="str">
        <f>IF(OR(ISBLANK(C3107),C3107="",M3107=""),"In Progress",IF(M3107&lt;=J3107,"Met","Breached"))</f>
        <v>Met</v>
      </c>
    </row>
    <row r="3108" ht="19" customHeight="1" spans="1:14" x14ac:dyDescent="0.25">
      <c r="A3108" s="19" t="s">
        <v>3222</v>
      </c>
      <c r="B3108" s="33">
        <v>45670.32638888889</v>
      </c>
      <c r="C3108" s="33">
        <v>45670.87430555555</v>
      </c>
      <c r="D3108" s="19" t="s">
        <v>33</v>
      </c>
      <c r="E3108" s="19" t="s">
        <v>61</v>
      </c>
      <c r="F3108" s="19" t="s">
        <v>45</v>
      </c>
      <c r="G3108" s="19" t="s">
        <v>121</v>
      </c>
      <c r="H3108" s="19" t="s">
        <v>63</v>
      </c>
      <c r="I3108" s="19" t="s">
        <v>147</v>
      </c>
      <c r="J3108" s="20">
        <v>12</v>
      </c>
      <c r="K3108" s="34">
        <v>0</v>
      </c>
      <c r="L3108" s="34">
        <v>5</v>
      </c>
      <c r="M3108" s="19">
        <f>IF(OR(ISBLANK(C3108),C3108=""),"",ROUND((C3108-B3108)*24,2))</f>
        <v>13.15</v>
      </c>
      <c r="N3108" s="39" t="str">
        <f>IF(OR(ISBLANK(C3108),C3108="",M3108=""),"In Progress",IF(M3108&lt;=J3108,"Met","Breached"))</f>
        <v>Breached</v>
      </c>
    </row>
    <row r="3109" ht="19" customHeight="1" spans="1:14" x14ac:dyDescent="0.25">
      <c r="A3109" s="22" t="s">
        <v>3223</v>
      </c>
      <c r="B3109" s="36">
        <v>46139.76527777778</v>
      </c>
      <c r="C3109" s="36">
        <v>46141.63888888889</v>
      </c>
      <c r="D3109" s="22" t="s">
        <v>33</v>
      </c>
      <c r="E3109" s="22" t="s">
        <v>65</v>
      </c>
      <c r="F3109" s="22" t="s">
        <v>45</v>
      </c>
      <c r="G3109" s="22" t="s">
        <v>121</v>
      </c>
      <c r="H3109" s="22" t="s">
        <v>67</v>
      </c>
      <c r="I3109" s="22" t="s">
        <v>108</v>
      </c>
      <c r="J3109" s="23">
        <v>48</v>
      </c>
      <c r="K3109" s="37">
        <v>0</v>
      </c>
      <c r="L3109" s="37">
        <v>2</v>
      </c>
      <c r="M3109" s="22">
        <f>IF(OR(ISBLANK(C3109),C3109=""),"",ROUND((C3109-B3109)*24,2))</f>
        <v>44.97</v>
      </c>
      <c r="N3109" s="40" t="str">
        <f>IF(OR(ISBLANK(C3109),C3109="",M3109=""),"In Progress",IF(M3109&lt;=J3109,"Met","Breached"))</f>
        <v>Met</v>
      </c>
    </row>
    <row r="3110" ht="19" customHeight="1" spans="1:14" x14ac:dyDescent="0.25">
      <c r="A3110" s="19" t="s">
        <v>3224</v>
      </c>
      <c r="B3110" s="33">
        <v>45928.69236111111</v>
      </c>
      <c r="C3110" s="33">
        <v>45931.49930555555</v>
      </c>
      <c r="D3110" s="19" t="s">
        <v>33</v>
      </c>
      <c r="E3110" s="19" t="s">
        <v>69</v>
      </c>
      <c r="F3110" s="19" t="s">
        <v>43</v>
      </c>
      <c r="G3110" s="19" t="s">
        <v>126</v>
      </c>
      <c r="H3110" s="19" t="s">
        <v>59</v>
      </c>
      <c r="I3110" s="19" t="s">
        <v>147</v>
      </c>
      <c r="J3110" s="20">
        <v>120</v>
      </c>
      <c r="K3110" s="34">
        <v>1</v>
      </c>
      <c r="L3110" s="34">
        <v>3</v>
      </c>
      <c r="M3110" s="19">
        <f>IF(OR(ISBLANK(C3110),C3110=""),"",ROUND((C3110-B3110)*24,2))</f>
        <v>67.37</v>
      </c>
      <c r="N3110" s="35" t="str">
        <f>IF(OR(ISBLANK(C3110),C3110="",M3110=""),"In Progress",IF(M3110&lt;=J3110,"Met","Breached"))</f>
        <v>Met</v>
      </c>
    </row>
    <row r="3111" ht="19" customHeight="1" spans="1:14" x14ac:dyDescent="0.25">
      <c r="A3111" s="22" t="s">
        <v>3225</v>
      </c>
      <c r="B3111" s="36">
        <v>46208.27986111111</v>
      </c>
      <c r="C3111" s="36">
        <v>46210.99930555555</v>
      </c>
      <c r="D3111" s="22" t="s">
        <v>33</v>
      </c>
      <c r="E3111" s="22" t="s">
        <v>69</v>
      </c>
      <c r="F3111" s="22" t="s">
        <v>34</v>
      </c>
      <c r="G3111" s="22" t="s">
        <v>126</v>
      </c>
      <c r="H3111" s="22" t="s">
        <v>71</v>
      </c>
      <c r="I3111" s="22" t="s">
        <v>147</v>
      </c>
      <c r="J3111" s="23">
        <v>120</v>
      </c>
      <c r="K3111" s="37">
        <v>0</v>
      </c>
      <c r="L3111" s="37">
        <v>4</v>
      </c>
      <c r="M3111" s="22">
        <f>IF(OR(ISBLANK(C3111),C3111=""),"",ROUND((C3111-B3111)*24,2))</f>
        <v>65.27</v>
      </c>
      <c r="N3111" s="40" t="str">
        <f>IF(OR(ISBLANK(C3111),C3111="",M3111=""),"In Progress",IF(M3111&lt;=J3111,"Met","Breached"))</f>
        <v>Met</v>
      </c>
    </row>
    <row r="3112" ht="19" customHeight="1" spans="1:14" x14ac:dyDescent="0.25">
      <c r="A3112" s="19" t="s">
        <v>3226</v>
      </c>
      <c r="B3112" s="33">
        <v>45991.759722222225</v>
      </c>
      <c r="C3112" s="33">
        <v>45991.95625</v>
      </c>
      <c r="D3112" s="19" t="s">
        <v>36</v>
      </c>
      <c r="E3112" s="19" t="s">
        <v>61</v>
      </c>
      <c r="F3112" s="19" t="s">
        <v>34</v>
      </c>
      <c r="G3112" s="19" t="s">
        <v>110</v>
      </c>
      <c r="H3112" s="19" t="s">
        <v>67</v>
      </c>
      <c r="I3112" s="19" t="s">
        <v>111</v>
      </c>
      <c r="J3112" s="20">
        <v>12</v>
      </c>
      <c r="K3112" s="34">
        <v>0</v>
      </c>
      <c r="L3112" s="34">
        <v>1</v>
      </c>
      <c r="M3112" s="19">
        <f>IF(OR(ISBLANK(C3112),C3112=""),"",ROUND((C3112-B3112)*24,2))</f>
        <v>4.72</v>
      </c>
      <c r="N3112" s="35" t="str">
        <f>IF(OR(ISBLANK(C3112),C3112="",M3112=""),"In Progress",IF(M3112&lt;=J3112,"Met","Breached"))</f>
        <v>Met</v>
      </c>
    </row>
    <row r="3113" ht="19" customHeight="1" spans="1:14" x14ac:dyDescent="0.25">
      <c r="A3113" s="22" t="s">
        <v>3227</v>
      </c>
      <c r="B3113" s="36">
        <v>46220.59305555555</v>
      </c>
      <c r="C3113" s="36">
        <v>46224.08125</v>
      </c>
      <c r="D3113" s="22" t="s">
        <v>33</v>
      </c>
      <c r="E3113" s="22" t="s">
        <v>65</v>
      </c>
      <c r="F3113" s="22" t="s">
        <v>43</v>
      </c>
      <c r="G3113" s="22" t="s">
        <v>121</v>
      </c>
      <c r="H3113" s="22" t="s">
        <v>63</v>
      </c>
      <c r="I3113" s="22" t="s">
        <v>117</v>
      </c>
      <c r="J3113" s="23">
        <v>48</v>
      </c>
      <c r="K3113" s="37">
        <v>0</v>
      </c>
      <c r="L3113" s="37">
        <v>2</v>
      </c>
      <c r="M3113" s="22">
        <f>IF(OR(ISBLANK(C3113),C3113=""),"",ROUND((C3113-B3113)*24,2))</f>
        <v>83.72</v>
      </c>
      <c r="N3113" s="38" t="str">
        <f>IF(OR(ISBLANK(C3113),C3113="",M3113=""),"In Progress",IF(M3113&lt;=J3113,"Met","Breached"))</f>
        <v>Breached</v>
      </c>
    </row>
    <row r="3114" ht="19" customHeight="1" spans="1:14" x14ac:dyDescent="0.25">
      <c r="A3114" s="19" t="s">
        <v>3228</v>
      </c>
      <c r="B3114" s="33">
        <v>46120.69583333333</v>
      </c>
      <c r="D3114" s="19" t="s">
        <v>39</v>
      </c>
      <c r="E3114" s="19" t="s">
        <v>65</v>
      </c>
      <c r="F3114" s="19" t="s">
        <v>45</v>
      </c>
      <c r="G3114" s="19" t="s">
        <v>113</v>
      </c>
      <c r="H3114" s="19" t="s">
        <v>71</v>
      </c>
      <c r="I3114" s="19" t="s">
        <v>147</v>
      </c>
      <c r="J3114" s="20">
        <v>48</v>
      </c>
      <c r="K3114" s="34">
        <v>0</v>
      </c>
      <c r="M3114" s="19" t="str">
        <f>IF(OR(ISBLANK(C3114),C3114=""),"",ROUND((C3114-B3114)*24,2))</f>
        <v/>
      </c>
      <c r="N3114" s="19" t="str">
        <f>IF(OR(ISBLANK(C3114),C3114="",M3114=""),"In Progress",IF(M3114&lt;=J3114,"Met","Breached"))</f>
        <v>In Progress</v>
      </c>
    </row>
    <row r="3115" ht="19" customHeight="1" spans="1:14" x14ac:dyDescent="0.25">
      <c r="A3115" s="22" t="s">
        <v>3229</v>
      </c>
      <c r="B3115" s="36">
        <v>46051.59375</v>
      </c>
      <c r="C3115" s="36">
        <v>46054.97986111111</v>
      </c>
      <c r="D3115" s="22" t="s">
        <v>33</v>
      </c>
      <c r="E3115" s="22" t="s">
        <v>65</v>
      </c>
      <c r="F3115" s="22" t="s">
        <v>37</v>
      </c>
      <c r="G3115" s="22" t="s">
        <v>113</v>
      </c>
      <c r="H3115" s="22" t="s">
        <v>67</v>
      </c>
      <c r="I3115" s="22" t="s">
        <v>123</v>
      </c>
      <c r="J3115" s="23">
        <v>48</v>
      </c>
      <c r="K3115" s="37">
        <v>1</v>
      </c>
      <c r="L3115" s="37">
        <v>1</v>
      </c>
      <c r="M3115" s="22">
        <f>IF(OR(ISBLANK(C3115),C3115=""),"",ROUND((C3115-B3115)*24,2))</f>
        <v>81.27</v>
      </c>
      <c r="N3115" s="38" t="str">
        <f>IF(OR(ISBLANK(C3115),C3115="",M3115=""),"In Progress",IF(M3115&lt;=J3115,"Met","Breached"))</f>
        <v>Breached</v>
      </c>
    </row>
    <row r="3116" ht="19" customHeight="1" spans="1:14" x14ac:dyDescent="0.25">
      <c r="A3116" s="19" t="s">
        <v>3230</v>
      </c>
      <c r="B3116" s="33">
        <v>46075.972916666666</v>
      </c>
      <c r="C3116" s="33">
        <v>46079.89513888889</v>
      </c>
      <c r="D3116" s="19" t="s">
        <v>36</v>
      </c>
      <c r="E3116" s="19" t="s">
        <v>69</v>
      </c>
      <c r="F3116" s="19" t="s">
        <v>40</v>
      </c>
      <c r="G3116" s="19" t="s">
        <v>126</v>
      </c>
      <c r="H3116" s="19" t="s">
        <v>59</v>
      </c>
      <c r="I3116" s="19" t="s">
        <v>114</v>
      </c>
      <c r="J3116" s="20">
        <v>120</v>
      </c>
      <c r="K3116" s="34">
        <v>0</v>
      </c>
      <c r="L3116" s="34">
        <v>2</v>
      </c>
      <c r="M3116" s="19">
        <f>IF(OR(ISBLANK(C3116),C3116=""),"",ROUND((C3116-B3116)*24,2))</f>
        <v>94.13</v>
      </c>
      <c r="N3116" s="35" t="str">
        <f>IF(OR(ISBLANK(C3116),C3116="",M3116=""),"In Progress",IF(M3116&lt;=J3116,"Met","Breached"))</f>
        <v>Met</v>
      </c>
    </row>
    <row r="3117" ht="19" customHeight="1" spans="1:14" x14ac:dyDescent="0.25">
      <c r="A3117" s="22" t="s">
        <v>3231</v>
      </c>
      <c r="B3117" s="36">
        <v>45796.78055555555</v>
      </c>
      <c r="D3117" s="22" t="s">
        <v>39</v>
      </c>
      <c r="E3117" s="22" t="s">
        <v>65</v>
      </c>
      <c r="F3117" s="22" t="s">
        <v>34</v>
      </c>
      <c r="G3117" s="22" t="s">
        <v>63</v>
      </c>
      <c r="H3117" s="22" t="s">
        <v>63</v>
      </c>
      <c r="I3117" s="22" t="s">
        <v>114</v>
      </c>
      <c r="J3117" s="23">
        <v>48</v>
      </c>
      <c r="K3117" s="37">
        <v>0</v>
      </c>
      <c r="M3117" s="22" t="str">
        <f>IF(OR(ISBLANK(C3117),C3117=""),"",ROUND((C3117-B3117)*24,2))</f>
        <v/>
      </c>
      <c r="N3117" s="22" t="str">
        <f>IF(OR(ISBLANK(C3117),C3117="",M3117=""),"In Progress",IF(M3117&lt;=J3117,"Met","Breached"))</f>
        <v>In Progress</v>
      </c>
    </row>
    <row r="3118" ht="19" customHeight="1" spans="1:14" x14ac:dyDescent="0.25">
      <c r="A3118" s="19" t="s">
        <v>3232</v>
      </c>
      <c r="B3118" s="33">
        <v>46172.13888888889</v>
      </c>
      <c r="C3118" s="33">
        <v>46173.29236111111</v>
      </c>
      <c r="D3118" s="19" t="s">
        <v>33</v>
      </c>
      <c r="E3118" s="19" t="s">
        <v>65</v>
      </c>
      <c r="F3118" s="19" t="s">
        <v>45</v>
      </c>
      <c r="G3118" s="19" t="s">
        <v>126</v>
      </c>
      <c r="H3118" s="19" t="s">
        <v>59</v>
      </c>
      <c r="I3118" s="19" t="s">
        <v>117</v>
      </c>
      <c r="J3118" s="20">
        <v>48</v>
      </c>
      <c r="K3118" s="34">
        <v>1</v>
      </c>
      <c r="M3118" s="19">
        <f>IF(OR(ISBLANK(C3118),C3118=""),"",ROUND((C3118-B3118)*24,2))</f>
        <v>27.68</v>
      </c>
      <c r="N3118" s="35" t="str">
        <f>IF(OR(ISBLANK(C3118),C3118="",M3118=""),"In Progress",IF(M3118&lt;=J3118,"Met","Breached"))</f>
        <v>Met</v>
      </c>
    </row>
    <row r="3119" ht="19" customHeight="1" spans="1:14" x14ac:dyDescent="0.25">
      <c r="A3119" s="22" t="s">
        <v>3233</v>
      </c>
      <c r="B3119" s="36">
        <v>45909.070138888885</v>
      </c>
      <c r="C3119" s="36">
        <v>45909.34930555556</v>
      </c>
      <c r="D3119" s="22" t="s">
        <v>33</v>
      </c>
      <c r="E3119" s="22" t="s">
        <v>57</v>
      </c>
      <c r="F3119" s="22" t="s">
        <v>34</v>
      </c>
      <c r="G3119" s="22" t="s">
        <v>116</v>
      </c>
      <c r="H3119" s="22" t="s">
        <v>63</v>
      </c>
      <c r="I3119" s="22" t="s">
        <v>123</v>
      </c>
      <c r="J3119" s="23">
        <v>4</v>
      </c>
      <c r="K3119" s="37">
        <v>0</v>
      </c>
      <c r="M3119" s="22">
        <f>IF(OR(ISBLANK(C3119),C3119=""),"",ROUND((C3119-B3119)*24,2))</f>
        <v>6.7</v>
      </c>
      <c r="N3119" s="38" t="str">
        <f>IF(OR(ISBLANK(C3119),C3119="",M3119=""),"In Progress",IF(M3119&lt;=J3119,"Met","Breached"))</f>
        <v>Breached</v>
      </c>
    </row>
    <row r="3120" ht="19" customHeight="1" spans="1:14" x14ac:dyDescent="0.25">
      <c r="A3120" s="19" t="s">
        <v>3234</v>
      </c>
      <c r="B3120" s="33">
        <v>45833.00208333333</v>
      </c>
      <c r="C3120" s="33">
        <v>45833.34583333333</v>
      </c>
      <c r="D3120" s="19" t="s">
        <v>33</v>
      </c>
      <c r="E3120" s="19" t="s">
        <v>61</v>
      </c>
      <c r="F3120" s="19" t="s">
        <v>34</v>
      </c>
      <c r="G3120" s="19" t="s">
        <v>113</v>
      </c>
      <c r="H3120" s="19" t="s">
        <v>59</v>
      </c>
      <c r="I3120" s="19" t="s">
        <v>111</v>
      </c>
      <c r="J3120" s="20">
        <v>12</v>
      </c>
      <c r="K3120" s="34">
        <v>0</v>
      </c>
      <c r="M3120" s="19">
        <f>IF(OR(ISBLANK(C3120),C3120=""),"",ROUND((C3120-B3120)*24,2))</f>
        <v>8.25</v>
      </c>
      <c r="N3120" s="35" t="str">
        <f>IF(OR(ISBLANK(C3120),C3120="",M3120=""),"In Progress",IF(M3120&lt;=J3120,"Met","Breached"))</f>
        <v>Met</v>
      </c>
    </row>
    <row r="3121" ht="19" customHeight="1" spans="1:14" x14ac:dyDescent="0.25">
      <c r="A3121" s="22" t="s">
        <v>3235</v>
      </c>
      <c r="B3121" s="36">
        <v>45777.04027777778</v>
      </c>
      <c r="C3121" s="36">
        <v>45777.94930555555</v>
      </c>
      <c r="D3121" s="22" t="s">
        <v>36</v>
      </c>
      <c r="E3121" s="22" t="s">
        <v>65</v>
      </c>
      <c r="F3121" s="22" t="s">
        <v>40</v>
      </c>
      <c r="G3121" s="22" t="s">
        <v>63</v>
      </c>
      <c r="H3121" s="22" t="s">
        <v>59</v>
      </c>
      <c r="I3121" s="22" t="s">
        <v>108</v>
      </c>
      <c r="J3121" s="23">
        <v>48</v>
      </c>
      <c r="K3121" s="37">
        <v>0</v>
      </c>
      <c r="L3121" s="37">
        <v>4</v>
      </c>
      <c r="M3121" s="22">
        <f>IF(OR(ISBLANK(C3121),C3121=""),"",ROUND((C3121-B3121)*24,2))</f>
        <v>21.82</v>
      </c>
      <c r="N3121" s="40" t="str">
        <f>IF(OR(ISBLANK(C3121),C3121="",M3121=""),"In Progress",IF(M3121&lt;=J3121,"Met","Breached"))</f>
        <v>Met</v>
      </c>
    </row>
    <row r="3122" ht="19" customHeight="1" spans="1:14" x14ac:dyDescent="0.25">
      <c r="A3122" s="19" t="s">
        <v>3236</v>
      </c>
      <c r="B3122" s="33">
        <v>46254.43680555555</v>
      </c>
      <c r="C3122" s="33">
        <v>46254.59166666667</v>
      </c>
      <c r="D3122" s="19" t="s">
        <v>33</v>
      </c>
      <c r="E3122" s="19" t="s">
        <v>57</v>
      </c>
      <c r="F3122" s="19" t="s">
        <v>37</v>
      </c>
      <c r="G3122" s="19" t="s">
        <v>63</v>
      </c>
      <c r="H3122" s="19" t="s">
        <v>71</v>
      </c>
      <c r="I3122" s="19" t="s">
        <v>123</v>
      </c>
      <c r="J3122" s="20">
        <v>4</v>
      </c>
      <c r="K3122" s="34">
        <v>0</v>
      </c>
      <c r="L3122" s="34">
        <v>2</v>
      </c>
      <c r="M3122" s="19">
        <f>IF(OR(ISBLANK(C3122),C3122=""),"",ROUND((C3122-B3122)*24,2))</f>
        <v>3.72</v>
      </c>
      <c r="N3122" s="35" t="str">
        <f>IF(OR(ISBLANK(C3122),C3122="",M3122=""),"In Progress",IF(M3122&lt;=J3122,"Met","Breached"))</f>
        <v>Met</v>
      </c>
    </row>
    <row r="3123" ht="19" customHeight="1" spans="1:14" x14ac:dyDescent="0.25">
      <c r="A3123" s="22" t="s">
        <v>3237</v>
      </c>
      <c r="B3123" s="36">
        <v>46189.17291666666</v>
      </c>
      <c r="D3123" s="22" t="s">
        <v>42</v>
      </c>
      <c r="E3123" s="22" t="s">
        <v>61</v>
      </c>
      <c r="F3123" s="22" t="s">
        <v>45</v>
      </c>
      <c r="G3123" s="22" t="s">
        <v>110</v>
      </c>
      <c r="H3123" s="22" t="s">
        <v>59</v>
      </c>
      <c r="I3123" s="22" t="s">
        <v>108</v>
      </c>
      <c r="J3123" s="23">
        <v>12</v>
      </c>
      <c r="K3123" s="37">
        <v>0</v>
      </c>
      <c r="M3123" s="22" t="str">
        <f>IF(OR(ISBLANK(C3123),C3123=""),"",ROUND((C3123-B3123)*24,2))</f>
        <v/>
      </c>
      <c r="N3123" s="22" t="str">
        <f>IF(OR(ISBLANK(C3123),C3123="",M3123=""),"In Progress",IF(M3123&lt;=J3123,"Met","Breached"))</f>
        <v>In Progress</v>
      </c>
    </row>
    <row r="3124" ht="19" customHeight="1" spans="1:14" x14ac:dyDescent="0.25">
      <c r="A3124" s="19" t="s">
        <v>3238</v>
      </c>
      <c r="B3124" s="33">
        <v>46256.1625</v>
      </c>
      <c r="C3124" s="33">
        <v>46256.78611111111</v>
      </c>
      <c r="D3124" s="19" t="s">
        <v>36</v>
      </c>
      <c r="E3124" s="19" t="s">
        <v>61</v>
      </c>
      <c r="F3124" s="19" t="s">
        <v>34</v>
      </c>
      <c r="G3124" s="19" t="s">
        <v>63</v>
      </c>
      <c r="H3124" s="19" t="s">
        <v>59</v>
      </c>
      <c r="I3124" s="19" t="s">
        <v>123</v>
      </c>
      <c r="J3124" s="20">
        <v>12</v>
      </c>
      <c r="K3124" s="34">
        <v>0</v>
      </c>
      <c r="L3124" s="34">
        <v>5</v>
      </c>
      <c r="M3124" s="19">
        <f>IF(OR(ISBLANK(C3124),C3124=""),"",ROUND((C3124-B3124)*24,2))</f>
        <v>14.97</v>
      </c>
      <c r="N3124" s="39" t="str">
        <f>IF(OR(ISBLANK(C3124),C3124="",M3124=""),"In Progress",IF(M3124&lt;=J3124,"Met","Breached"))</f>
        <v>Breached</v>
      </c>
    </row>
    <row r="3125" ht="19" customHeight="1" spans="1:14" x14ac:dyDescent="0.25">
      <c r="A3125" s="22" t="s">
        <v>3239</v>
      </c>
      <c r="B3125" s="36">
        <v>46052.459027777775</v>
      </c>
      <c r="C3125" s="36">
        <v>46060.19027777778</v>
      </c>
      <c r="D3125" s="22" t="s">
        <v>36</v>
      </c>
      <c r="E3125" s="22" t="s">
        <v>69</v>
      </c>
      <c r="F3125" s="22" t="s">
        <v>43</v>
      </c>
      <c r="G3125" s="22" t="s">
        <v>63</v>
      </c>
      <c r="H3125" s="22" t="s">
        <v>71</v>
      </c>
      <c r="I3125" s="22" t="s">
        <v>147</v>
      </c>
      <c r="J3125" s="23">
        <v>120</v>
      </c>
      <c r="K3125" s="37">
        <v>0</v>
      </c>
      <c r="M3125" s="22">
        <f>IF(OR(ISBLANK(C3125),C3125=""),"",ROUND((C3125-B3125)*24,2))</f>
        <v>185.55</v>
      </c>
      <c r="N3125" s="38" t="str">
        <f>IF(OR(ISBLANK(C3125),C3125="",M3125=""),"In Progress",IF(M3125&lt;=J3125,"Met","Breached"))</f>
        <v>Breached</v>
      </c>
    </row>
    <row r="3126" ht="19" customHeight="1" spans="1:14" x14ac:dyDescent="0.25">
      <c r="A3126" s="19" t="s">
        <v>3240</v>
      </c>
      <c r="B3126" s="33">
        <v>45776.54652777778</v>
      </c>
      <c r="C3126" s="33">
        <v>45780.23263888889</v>
      </c>
      <c r="D3126" s="19" t="s">
        <v>36</v>
      </c>
      <c r="E3126" s="19" t="s">
        <v>69</v>
      </c>
      <c r="F3126" s="19" t="s">
        <v>43</v>
      </c>
      <c r="G3126" s="19" t="s">
        <v>121</v>
      </c>
      <c r="H3126" s="19" t="s">
        <v>63</v>
      </c>
      <c r="I3126" s="19" t="s">
        <v>114</v>
      </c>
      <c r="J3126" s="20">
        <v>120</v>
      </c>
      <c r="K3126" s="34">
        <v>0</v>
      </c>
      <c r="L3126" s="34">
        <v>3</v>
      </c>
      <c r="M3126" s="19">
        <f>IF(OR(ISBLANK(C3126),C3126=""),"",ROUND((C3126-B3126)*24,2))</f>
        <v>88.47</v>
      </c>
      <c r="N3126" s="35" t="str">
        <f>IF(OR(ISBLANK(C3126),C3126="",M3126=""),"In Progress",IF(M3126&lt;=J3126,"Met","Breached"))</f>
        <v>Met</v>
      </c>
    </row>
    <row r="3127" ht="19" customHeight="1" spans="1:14" x14ac:dyDescent="0.25">
      <c r="A3127" s="22" t="s">
        <v>3241</v>
      </c>
      <c r="B3127" s="36">
        <v>45723.100694444445</v>
      </c>
      <c r="C3127" s="36">
        <v>45731.325694444444</v>
      </c>
      <c r="D3127" s="22" t="s">
        <v>36</v>
      </c>
      <c r="E3127" s="22" t="s">
        <v>69</v>
      </c>
      <c r="F3127" s="22" t="s">
        <v>43</v>
      </c>
      <c r="G3127" s="22" t="s">
        <v>126</v>
      </c>
      <c r="H3127" s="22" t="s">
        <v>59</v>
      </c>
      <c r="I3127" s="22" t="s">
        <v>117</v>
      </c>
      <c r="J3127" s="23">
        <v>120</v>
      </c>
      <c r="K3127" s="37">
        <v>0</v>
      </c>
      <c r="L3127" s="37">
        <v>3</v>
      </c>
      <c r="M3127" s="22">
        <f>IF(OR(ISBLANK(C3127),C3127=""),"",ROUND((C3127-B3127)*24,2))</f>
        <v>197.4</v>
      </c>
      <c r="N3127" s="38" t="str">
        <f>IF(OR(ISBLANK(C3127),C3127="",M3127=""),"In Progress",IF(M3127&lt;=J3127,"Met","Breached"))</f>
        <v>Breached</v>
      </c>
    </row>
    <row r="3128" ht="19" customHeight="1" spans="1:14" x14ac:dyDescent="0.25">
      <c r="A3128" s="19" t="s">
        <v>3242</v>
      </c>
      <c r="B3128" s="33">
        <v>46272.66458333333</v>
      </c>
      <c r="C3128" s="33">
        <v>46275.51666666666</v>
      </c>
      <c r="D3128" s="19" t="s">
        <v>33</v>
      </c>
      <c r="E3128" s="19" t="s">
        <v>69</v>
      </c>
      <c r="F3128" s="19" t="s">
        <v>37</v>
      </c>
      <c r="G3128" s="19" t="s">
        <v>116</v>
      </c>
      <c r="H3128" s="19" t="s">
        <v>67</v>
      </c>
      <c r="I3128" s="19" t="s">
        <v>117</v>
      </c>
      <c r="J3128" s="20">
        <v>120</v>
      </c>
      <c r="K3128" s="34">
        <v>0</v>
      </c>
      <c r="M3128" s="19">
        <f>IF(OR(ISBLANK(C3128),C3128=""),"",ROUND((C3128-B3128)*24,2))</f>
        <v>68.45</v>
      </c>
      <c r="N3128" s="35" t="str">
        <f>IF(OR(ISBLANK(C3128),C3128="",M3128=""),"In Progress",IF(M3128&lt;=J3128,"Met","Breached"))</f>
        <v>Met</v>
      </c>
    </row>
    <row r="3129" ht="19" customHeight="1" spans="1:14" x14ac:dyDescent="0.25">
      <c r="A3129" s="22" t="s">
        <v>3243</v>
      </c>
      <c r="B3129" s="36">
        <v>46196.48958333333</v>
      </c>
      <c r="C3129" s="36">
        <v>46200.481944444444</v>
      </c>
      <c r="D3129" s="22" t="s">
        <v>33</v>
      </c>
      <c r="E3129" s="22" t="s">
        <v>69</v>
      </c>
      <c r="F3129" s="22" t="s">
        <v>40</v>
      </c>
      <c r="G3129" s="22" t="s">
        <v>126</v>
      </c>
      <c r="H3129" s="22" t="s">
        <v>67</v>
      </c>
      <c r="I3129" s="22" t="s">
        <v>147</v>
      </c>
      <c r="J3129" s="23">
        <v>120</v>
      </c>
      <c r="K3129" s="37">
        <v>0</v>
      </c>
      <c r="L3129" s="37">
        <v>4</v>
      </c>
      <c r="M3129" s="22">
        <f>IF(OR(ISBLANK(C3129),C3129=""),"",ROUND((C3129-B3129)*24,2))</f>
        <v>95.82</v>
      </c>
      <c r="N3129" s="40" t="str">
        <f>IF(OR(ISBLANK(C3129),C3129="",M3129=""),"In Progress",IF(M3129&lt;=J3129,"Met","Breached"))</f>
        <v>Met</v>
      </c>
    </row>
    <row r="3130" ht="19" customHeight="1" spans="1:14" x14ac:dyDescent="0.25">
      <c r="A3130" s="19" t="s">
        <v>3244</v>
      </c>
      <c r="B3130" s="33">
        <v>46132.25625</v>
      </c>
      <c r="C3130" s="33">
        <v>46133.98541666666</v>
      </c>
      <c r="D3130" s="19" t="s">
        <v>33</v>
      </c>
      <c r="E3130" s="19" t="s">
        <v>65</v>
      </c>
      <c r="F3130" s="19" t="s">
        <v>45</v>
      </c>
      <c r="G3130" s="19" t="s">
        <v>113</v>
      </c>
      <c r="H3130" s="19" t="s">
        <v>59</v>
      </c>
      <c r="I3130" s="19" t="s">
        <v>111</v>
      </c>
      <c r="J3130" s="20">
        <v>48</v>
      </c>
      <c r="K3130" s="34">
        <v>0</v>
      </c>
      <c r="M3130" s="19">
        <f>IF(OR(ISBLANK(C3130),C3130=""),"",ROUND((C3130-B3130)*24,2))</f>
        <v>41.5</v>
      </c>
      <c r="N3130" s="35" t="str">
        <f>IF(OR(ISBLANK(C3130),C3130="",M3130=""),"In Progress",IF(M3130&lt;=J3130,"Met","Breached"))</f>
        <v>Met</v>
      </c>
    </row>
    <row r="3131" ht="19" customHeight="1" spans="1:14" x14ac:dyDescent="0.25">
      <c r="A3131" s="22" t="s">
        <v>3245</v>
      </c>
      <c r="B3131" s="36">
        <v>46193.319444444445</v>
      </c>
      <c r="C3131" s="36">
        <v>46193.56180555555</v>
      </c>
      <c r="D3131" s="22" t="s">
        <v>33</v>
      </c>
      <c r="E3131" s="22" t="s">
        <v>57</v>
      </c>
      <c r="F3131" s="22" t="s">
        <v>43</v>
      </c>
      <c r="G3131" s="22" t="s">
        <v>63</v>
      </c>
      <c r="H3131" s="22" t="s">
        <v>59</v>
      </c>
      <c r="I3131" s="22" t="s">
        <v>123</v>
      </c>
      <c r="J3131" s="23">
        <v>4</v>
      </c>
      <c r="K3131" s="37">
        <v>0</v>
      </c>
      <c r="L3131" s="37">
        <v>2</v>
      </c>
      <c r="M3131" s="22">
        <f>IF(OR(ISBLANK(C3131),C3131=""),"",ROUND((C3131-B3131)*24,2))</f>
        <v>5.82</v>
      </c>
      <c r="N3131" s="38" t="str">
        <f>IF(OR(ISBLANK(C3131),C3131="",M3131=""),"In Progress",IF(M3131&lt;=J3131,"Met","Breached"))</f>
        <v>Breached</v>
      </c>
    </row>
    <row r="3132" ht="19" customHeight="1" spans="1:14" x14ac:dyDescent="0.25">
      <c r="A3132" s="19" t="s">
        <v>3246</v>
      </c>
      <c r="B3132" s="33">
        <v>45879.43680555555</v>
      </c>
      <c r="D3132" s="19" t="s">
        <v>42</v>
      </c>
      <c r="E3132" s="19" t="s">
        <v>65</v>
      </c>
      <c r="F3132" s="19" t="s">
        <v>40</v>
      </c>
      <c r="G3132" s="19" t="s">
        <v>121</v>
      </c>
      <c r="H3132" s="19" t="s">
        <v>59</v>
      </c>
      <c r="I3132" s="19" t="s">
        <v>111</v>
      </c>
      <c r="J3132" s="20">
        <v>48</v>
      </c>
      <c r="K3132" s="34">
        <v>0</v>
      </c>
      <c r="M3132" s="19" t="str">
        <f>IF(OR(ISBLANK(C3132),C3132=""),"",ROUND((C3132-B3132)*24,2))</f>
        <v/>
      </c>
      <c r="N3132" s="19" t="str">
        <f>IF(OR(ISBLANK(C3132),C3132="",M3132=""),"In Progress",IF(M3132&lt;=J3132,"Met","Breached"))</f>
        <v>In Progress</v>
      </c>
    </row>
    <row r="3133" ht="19" customHeight="1" spans="1:14" x14ac:dyDescent="0.25">
      <c r="A3133" s="22" t="s">
        <v>3247</v>
      </c>
      <c r="B3133" s="36">
        <v>46255.97152777778</v>
      </c>
      <c r="C3133" s="36">
        <v>46256.45625</v>
      </c>
      <c r="D3133" s="22" t="s">
        <v>33</v>
      </c>
      <c r="E3133" s="22" t="s">
        <v>61</v>
      </c>
      <c r="F3133" s="22" t="s">
        <v>43</v>
      </c>
      <c r="G3133" s="22" t="s">
        <v>63</v>
      </c>
      <c r="H3133" s="22" t="s">
        <v>67</v>
      </c>
      <c r="I3133" s="22" t="s">
        <v>111</v>
      </c>
      <c r="J3133" s="23">
        <v>12</v>
      </c>
      <c r="K3133" s="37">
        <v>0</v>
      </c>
      <c r="L3133" s="37">
        <v>1</v>
      </c>
      <c r="M3133" s="22">
        <f>IF(OR(ISBLANK(C3133),C3133=""),"",ROUND((C3133-B3133)*24,2))</f>
        <v>11.63</v>
      </c>
      <c r="N3133" s="40" t="str">
        <f>IF(OR(ISBLANK(C3133),C3133="",M3133=""),"In Progress",IF(M3133&lt;=J3133,"Met","Breached"))</f>
        <v>Met</v>
      </c>
    </row>
    <row r="3134" ht="19" customHeight="1" spans="1:14" x14ac:dyDescent="0.25">
      <c r="A3134" s="19" t="s">
        <v>3248</v>
      </c>
      <c r="B3134" s="33">
        <v>46106.85277777778</v>
      </c>
      <c r="C3134" s="33">
        <v>46108.27916666667</v>
      </c>
      <c r="D3134" s="19" t="s">
        <v>33</v>
      </c>
      <c r="E3134" s="19" t="s">
        <v>65</v>
      </c>
      <c r="F3134" s="19" t="s">
        <v>34</v>
      </c>
      <c r="G3134" s="19" t="s">
        <v>116</v>
      </c>
      <c r="H3134" s="19" t="s">
        <v>63</v>
      </c>
      <c r="I3134" s="19" t="s">
        <v>123</v>
      </c>
      <c r="J3134" s="20">
        <v>48</v>
      </c>
      <c r="K3134" s="34">
        <v>0</v>
      </c>
      <c r="L3134" s="34">
        <v>3</v>
      </c>
      <c r="M3134" s="19">
        <f>IF(OR(ISBLANK(C3134),C3134=""),"",ROUND((C3134-B3134)*24,2))</f>
        <v>34.23</v>
      </c>
      <c r="N3134" s="35" t="str">
        <f>IF(OR(ISBLANK(C3134),C3134="",M3134=""),"In Progress",IF(M3134&lt;=J3134,"Met","Breached"))</f>
        <v>Met</v>
      </c>
    </row>
    <row r="3135" ht="19" customHeight="1" spans="1:14" x14ac:dyDescent="0.25">
      <c r="A3135" s="22" t="s">
        <v>3249</v>
      </c>
      <c r="B3135" s="36">
        <v>46278.45486111111</v>
      </c>
      <c r="D3135" s="22" t="s">
        <v>39</v>
      </c>
      <c r="E3135" s="22" t="s">
        <v>65</v>
      </c>
      <c r="F3135" s="22" t="s">
        <v>45</v>
      </c>
      <c r="G3135" s="22" t="s">
        <v>121</v>
      </c>
      <c r="H3135" s="22" t="s">
        <v>63</v>
      </c>
      <c r="I3135" s="22" t="s">
        <v>123</v>
      </c>
      <c r="J3135" s="23">
        <v>48</v>
      </c>
      <c r="K3135" s="37">
        <v>0</v>
      </c>
      <c r="M3135" s="22" t="str">
        <f>IF(OR(ISBLANK(C3135),C3135=""),"",ROUND((C3135-B3135)*24,2))</f>
        <v/>
      </c>
      <c r="N3135" s="22" t="str">
        <f>IF(OR(ISBLANK(C3135),C3135="",M3135=""),"In Progress",IF(M3135&lt;=J3135,"Met","Breached"))</f>
        <v>In Progress</v>
      </c>
    </row>
    <row r="3136" ht="19" customHeight="1" spans="1:14" x14ac:dyDescent="0.25">
      <c r="A3136" s="19" t="s">
        <v>3250</v>
      </c>
      <c r="B3136" s="33">
        <v>45829.79583333334</v>
      </c>
      <c r="C3136" s="33">
        <v>45830.0625</v>
      </c>
      <c r="D3136" s="19" t="s">
        <v>36</v>
      </c>
      <c r="E3136" s="19" t="s">
        <v>57</v>
      </c>
      <c r="F3136" s="19" t="s">
        <v>43</v>
      </c>
      <c r="G3136" s="19" t="s">
        <v>116</v>
      </c>
      <c r="H3136" s="19" t="s">
        <v>59</v>
      </c>
      <c r="I3136" s="19" t="s">
        <v>123</v>
      </c>
      <c r="J3136" s="20">
        <v>4</v>
      </c>
      <c r="K3136" s="34">
        <v>0</v>
      </c>
      <c r="M3136" s="19">
        <f>IF(OR(ISBLANK(C3136),C3136=""),"",ROUND((C3136-B3136)*24,2))</f>
        <v>6.4</v>
      </c>
      <c r="N3136" s="39" t="str">
        <f>IF(OR(ISBLANK(C3136),C3136="",M3136=""),"In Progress",IF(M3136&lt;=J3136,"Met","Breached"))</f>
        <v>Breached</v>
      </c>
    </row>
    <row r="3137" ht="19" customHeight="1" spans="1:14" x14ac:dyDescent="0.25">
      <c r="A3137" s="22" t="s">
        <v>3251</v>
      </c>
      <c r="B3137" s="36">
        <v>45907.663194444445</v>
      </c>
      <c r="C3137" s="36">
        <v>45909.02847222222</v>
      </c>
      <c r="D3137" s="22" t="s">
        <v>33</v>
      </c>
      <c r="E3137" s="22" t="s">
        <v>65</v>
      </c>
      <c r="F3137" s="22" t="s">
        <v>37</v>
      </c>
      <c r="G3137" s="22" t="s">
        <v>110</v>
      </c>
      <c r="H3137" s="22" t="s">
        <v>63</v>
      </c>
      <c r="I3137" s="22" t="s">
        <v>123</v>
      </c>
      <c r="J3137" s="23">
        <v>48</v>
      </c>
      <c r="K3137" s="37">
        <v>1</v>
      </c>
      <c r="L3137" s="37">
        <v>4</v>
      </c>
      <c r="M3137" s="22">
        <f>IF(OR(ISBLANK(C3137),C3137=""),"",ROUND((C3137-B3137)*24,2))</f>
        <v>32.77</v>
      </c>
      <c r="N3137" s="40" t="str">
        <f>IF(OR(ISBLANK(C3137),C3137="",M3137=""),"In Progress",IF(M3137&lt;=J3137,"Met","Breached"))</f>
        <v>Met</v>
      </c>
    </row>
    <row r="3138" ht="19" customHeight="1" spans="1:14" x14ac:dyDescent="0.25">
      <c r="A3138" s="19" t="s">
        <v>3252</v>
      </c>
      <c r="B3138" s="33">
        <v>46114.17152777778</v>
      </c>
      <c r="C3138" s="33">
        <v>46118.66111111111</v>
      </c>
      <c r="D3138" s="19" t="s">
        <v>36</v>
      </c>
      <c r="E3138" s="19" t="s">
        <v>69</v>
      </c>
      <c r="F3138" s="19" t="s">
        <v>45</v>
      </c>
      <c r="G3138" s="19" t="s">
        <v>121</v>
      </c>
      <c r="H3138" s="19" t="s">
        <v>63</v>
      </c>
      <c r="I3138" s="19" t="s">
        <v>108</v>
      </c>
      <c r="J3138" s="20">
        <v>120</v>
      </c>
      <c r="K3138" s="34">
        <v>0</v>
      </c>
      <c r="L3138" s="34">
        <v>1</v>
      </c>
      <c r="M3138" s="19">
        <f>IF(OR(ISBLANK(C3138),C3138=""),"",ROUND((C3138-B3138)*24,2))</f>
        <v>107.75</v>
      </c>
      <c r="N3138" s="35" t="str">
        <f>IF(OR(ISBLANK(C3138),C3138="",M3138=""),"In Progress",IF(M3138&lt;=J3138,"Met","Breached"))</f>
        <v>Met</v>
      </c>
    </row>
    <row r="3139" ht="19" customHeight="1" spans="1:14" x14ac:dyDescent="0.25">
      <c r="A3139" s="22" t="s">
        <v>3253</v>
      </c>
      <c r="B3139" s="36">
        <v>46090.399305555555</v>
      </c>
      <c r="D3139" s="22" t="s">
        <v>39</v>
      </c>
      <c r="E3139" s="22" t="s">
        <v>57</v>
      </c>
      <c r="F3139" s="22" t="s">
        <v>34</v>
      </c>
      <c r="G3139" s="22" t="s">
        <v>63</v>
      </c>
      <c r="H3139" s="22" t="s">
        <v>71</v>
      </c>
      <c r="I3139" s="22" t="s">
        <v>114</v>
      </c>
      <c r="J3139" s="23">
        <v>4</v>
      </c>
      <c r="K3139" s="37">
        <v>0</v>
      </c>
      <c r="M3139" s="22" t="str">
        <f>IF(OR(ISBLANK(C3139),C3139=""),"",ROUND((C3139-B3139)*24,2))</f>
        <v/>
      </c>
      <c r="N3139" s="22" t="str">
        <f>IF(OR(ISBLANK(C3139),C3139="",M3139=""),"In Progress",IF(M3139&lt;=J3139,"Met","Breached"))</f>
        <v>In Progress</v>
      </c>
    </row>
    <row r="3140" ht="19" customHeight="1" spans="1:14" x14ac:dyDescent="0.25">
      <c r="A3140" s="19" t="s">
        <v>3254</v>
      </c>
      <c r="B3140" s="33">
        <v>46276.80694444444</v>
      </c>
      <c r="C3140" s="33">
        <v>46277.038194444445</v>
      </c>
      <c r="D3140" s="19" t="s">
        <v>33</v>
      </c>
      <c r="E3140" s="19" t="s">
        <v>57</v>
      </c>
      <c r="F3140" s="19" t="s">
        <v>43</v>
      </c>
      <c r="G3140" s="19" t="s">
        <v>121</v>
      </c>
      <c r="H3140" s="19" t="s">
        <v>71</v>
      </c>
      <c r="I3140" s="19" t="s">
        <v>111</v>
      </c>
      <c r="J3140" s="20">
        <v>4</v>
      </c>
      <c r="K3140" s="34">
        <v>0</v>
      </c>
      <c r="M3140" s="19">
        <f>IF(OR(ISBLANK(C3140),C3140=""),"",ROUND((C3140-B3140)*24,2))</f>
        <v>5.55</v>
      </c>
      <c r="N3140" s="39" t="str">
        <f>IF(OR(ISBLANK(C3140),C3140="",M3140=""),"In Progress",IF(M3140&lt;=J3140,"Met","Breached"))</f>
        <v>Breached</v>
      </c>
    </row>
    <row r="3141" ht="19" customHeight="1" spans="1:14" x14ac:dyDescent="0.25">
      <c r="A3141" s="22" t="s">
        <v>3255</v>
      </c>
      <c r="B3141" s="36">
        <v>45793.85416666667</v>
      </c>
      <c r="C3141" s="36">
        <v>45794.91111111111</v>
      </c>
      <c r="D3141" s="22" t="s">
        <v>33</v>
      </c>
      <c r="E3141" s="22" t="s">
        <v>65</v>
      </c>
      <c r="F3141" s="22" t="s">
        <v>45</v>
      </c>
      <c r="G3141" s="22" t="s">
        <v>121</v>
      </c>
      <c r="H3141" s="22" t="s">
        <v>59</v>
      </c>
      <c r="I3141" s="22" t="s">
        <v>117</v>
      </c>
      <c r="J3141" s="23">
        <v>48</v>
      </c>
      <c r="K3141" s="37">
        <v>0</v>
      </c>
      <c r="L3141" s="37">
        <v>4</v>
      </c>
      <c r="M3141" s="22">
        <f>IF(OR(ISBLANK(C3141),C3141=""),"",ROUND((C3141-B3141)*24,2))</f>
        <v>25.37</v>
      </c>
      <c r="N3141" s="40" t="str">
        <f>IF(OR(ISBLANK(C3141),C3141="",M3141=""),"In Progress",IF(M3141&lt;=J3141,"Met","Breached"))</f>
        <v>Met</v>
      </c>
    </row>
    <row r="3142" ht="19" customHeight="1" spans="1:14" x14ac:dyDescent="0.25">
      <c r="A3142" s="19" t="s">
        <v>3256</v>
      </c>
      <c r="B3142" s="33">
        <v>46004.236805555556</v>
      </c>
      <c r="C3142" s="33">
        <v>46006.47152777778</v>
      </c>
      <c r="D3142" s="19" t="s">
        <v>33</v>
      </c>
      <c r="E3142" s="19" t="s">
        <v>69</v>
      </c>
      <c r="F3142" s="19" t="s">
        <v>40</v>
      </c>
      <c r="G3142" s="19" t="s">
        <v>126</v>
      </c>
      <c r="H3142" s="19" t="s">
        <v>67</v>
      </c>
      <c r="I3142" s="19" t="s">
        <v>123</v>
      </c>
      <c r="J3142" s="20">
        <v>120</v>
      </c>
      <c r="K3142" s="34">
        <v>0</v>
      </c>
      <c r="L3142" s="34">
        <v>3</v>
      </c>
      <c r="M3142" s="19">
        <f>IF(OR(ISBLANK(C3142),C3142=""),"",ROUND((C3142-B3142)*24,2))</f>
        <v>53.63</v>
      </c>
      <c r="N3142" s="35" t="str">
        <f>IF(OR(ISBLANK(C3142),C3142="",M3142=""),"In Progress",IF(M3142&lt;=J3142,"Met","Breached"))</f>
        <v>Met</v>
      </c>
    </row>
    <row r="3143" ht="19" customHeight="1" spans="1:14" x14ac:dyDescent="0.25">
      <c r="A3143" s="22" t="s">
        <v>3257</v>
      </c>
      <c r="B3143" s="36">
        <v>46243.86597222222</v>
      </c>
      <c r="D3143" s="22" t="s">
        <v>39</v>
      </c>
      <c r="E3143" s="22" t="s">
        <v>61</v>
      </c>
      <c r="F3143" s="22" t="s">
        <v>34</v>
      </c>
      <c r="G3143" s="22" t="s">
        <v>116</v>
      </c>
      <c r="H3143" s="22" t="s">
        <v>63</v>
      </c>
      <c r="I3143" s="22" t="s">
        <v>108</v>
      </c>
      <c r="J3143" s="23">
        <v>12</v>
      </c>
      <c r="K3143" s="37">
        <v>0</v>
      </c>
      <c r="M3143" s="22" t="str">
        <f>IF(OR(ISBLANK(C3143),C3143=""),"",ROUND((C3143-B3143)*24,2))</f>
        <v/>
      </c>
      <c r="N3143" s="22" t="str">
        <f>IF(OR(ISBLANK(C3143),C3143="",M3143=""),"In Progress",IF(M3143&lt;=J3143,"Met","Breached"))</f>
        <v>In Progress</v>
      </c>
    </row>
    <row r="3144" ht="19" customHeight="1" spans="1:14" x14ac:dyDescent="0.25">
      <c r="A3144" s="19" t="s">
        <v>3258</v>
      </c>
      <c r="B3144" s="33">
        <v>46077.72013888889</v>
      </c>
      <c r="C3144" s="33">
        <v>46080.447222222225</v>
      </c>
      <c r="D3144" s="19" t="s">
        <v>33</v>
      </c>
      <c r="E3144" s="19" t="s">
        <v>65</v>
      </c>
      <c r="F3144" s="19" t="s">
        <v>34</v>
      </c>
      <c r="G3144" s="19" t="s">
        <v>63</v>
      </c>
      <c r="H3144" s="19" t="s">
        <v>59</v>
      </c>
      <c r="I3144" s="19" t="s">
        <v>111</v>
      </c>
      <c r="J3144" s="20">
        <v>48</v>
      </c>
      <c r="K3144" s="34">
        <v>0</v>
      </c>
      <c r="L3144" s="34">
        <v>3</v>
      </c>
      <c r="M3144" s="19">
        <f>IF(OR(ISBLANK(C3144),C3144=""),"",ROUND((C3144-B3144)*24,2))</f>
        <v>65.45</v>
      </c>
      <c r="N3144" s="39" t="str">
        <f>IF(OR(ISBLANK(C3144),C3144="",M3144=""),"In Progress",IF(M3144&lt;=J3144,"Met","Breached"))</f>
        <v>Breached</v>
      </c>
    </row>
    <row r="3145" ht="19" customHeight="1" spans="1:14" x14ac:dyDescent="0.25">
      <c r="A3145" s="22" t="s">
        <v>3259</v>
      </c>
      <c r="B3145" s="36">
        <v>45890.97013888889</v>
      </c>
      <c r="C3145" s="36">
        <v>45898.63125</v>
      </c>
      <c r="D3145" s="22" t="s">
        <v>33</v>
      </c>
      <c r="E3145" s="22" t="s">
        <v>69</v>
      </c>
      <c r="F3145" s="22" t="s">
        <v>34</v>
      </c>
      <c r="G3145" s="22" t="s">
        <v>113</v>
      </c>
      <c r="H3145" s="22" t="s">
        <v>63</v>
      </c>
      <c r="I3145" s="22" t="s">
        <v>114</v>
      </c>
      <c r="J3145" s="23">
        <v>120</v>
      </c>
      <c r="K3145" s="37">
        <v>0</v>
      </c>
      <c r="L3145" s="37">
        <v>1</v>
      </c>
      <c r="M3145" s="22">
        <f>IF(OR(ISBLANK(C3145),C3145=""),"",ROUND((C3145-B3145)*24,2))</f>
        <v>183.87</v>
      </c>
      <c r="N3145" s="38" t="str">
        <f>IF(OR(ISBLANK(C3145),C3145="",M3145=""),"In Progress",IF(M3145&lt;=J3145,"Met","Breached"))</f>
        <v>Breached</v>
      </c>
    </row>
    <row r="3146" ht="19" customHeight="1" spans="1:14" x14ac:dyDescent="0.25">
      <c r="A3146" s="19" t="s">
        <v>3260</v>
      </c>
      <c r="B3146" s="33">
        <v>45825.91527777778</v>
      </c>
      <c r="D3146" s="19" t="s">
        <v>39</v>
      </c>
      <c r="E3146" s="19" t="s">
        <v>65</v>
      </c>
      <c r="F3146" s="19" t="s">
        <v>43</v>
      </c>
      <c r="G3146" s="19" t="s">
        <v>121</v>
      </c>
      <c r="H3146" s="19" t="s">
        <v>59</v>
      </c>
      <c r="I3146" s="19" t="s">
        <v>111</v>
      </c>
      <c r="J3146" s="20">
        <v>48</v>
      </c>
      <c r="K3146" s="34">
        <v>0</v>
      </c>
      <c r="M3146" s="19" t="str">
        <f>IF(OR(ISBLANK(C3146),C3146=""),"",ROUND((C3146-B3146)*24,2))</f>
        <v/>
      </c>
      <c r="N3146" s="19" t="str">
        <f>IF(OR(ISBLANK(C3146),C3146="",M3146=""),"In Progress",IF(M3146&lt;=J3146,"Met","Breached"))</f>
        <v>In Progress</v>
      </c>
    </row>
    <row r="3147" ht="19" customHeight="1" spans="1:14" x14ac:dyDescent="0.25">
      <c r="A3147" s="22" t="s">
        <v>3261</v>
      </c>
      <c r="B3147" s="36">
        <v>46214.177777777775</v>
      </c>
      <c r="D3147" s="22" t="s">
        <v>39</v>
      </c>
      <c r="E3147" s="22" t="s">
        <v>69</v>
      </c>
      <c r="F3147" s="22" t="s">
        <v>34</v>
      </c>
      <c r="G3147" s="22" t="s">
        <v>110</v>
      </c>
      <c r="H3147" s="22" t="s">
        <v>71</v>
      </c>
      <c r="I3147" s="22" t="s">
        <v>117</v>
      </c>
      <c r="J3147" s="23">
        <v>120</v>
      </c>
      <c r="K3147" s="37">
        <v>0</v>
      </c>
      <c r="M3147" s="22" t="str">
        <f>IF(OR(ISBLANK(C3147),C3147=""),"",ROUND((C3147-B3147)*24,2))</f>
        <v/>
      </c>
      <c r="N3147" s="22" t="str">
        <f>IF(OR(ISBLANK(C3147),C3147="",M3147=""),"In Progress",IF(M3147&lt;=J3147,"Met","Breached"))</f>
        <v>In Progress</v>
      </c>
    </row>
    <row r="3148" ht="19" customHeight="1" spans="1:14" x14ac:dyDescent="0.25">
      <c r="A3148" s="19" t="s">
        <v>3262</v>
      </c>
      <c r="B3148" s="33">
        <v>45881.60416666667</v>
      </c>
      <c r="D3148" s="19" t="s">
        <v>39</v>
      </c>
      <c r="E3148" s="19" t="s">
        <v>57</v>
      </c>
      <c r="F3148" s="19" t="s">
        <v>43</v>
      </c>
      <c r="G3148" s="19" t="s">
        <v>113</v>
      </c>
      <c r="H3148" s="19" t="s">
        <v>67</v>
      </c>
      <c r="I3148" s="19" t="s">
        <v>114</v>
      </c>
      <c r="J3148" s="20">
        <v>4</v>
      </c>
      <c r="K3148" s="34">
        <v>0</v>
      </c>
      <c r="M3148" s="19" t="str">
        <f>IF(OR(ISBLANK(C3148),C3148=""),"",ROUND((C3148-B3148)*24,2))</f>
        <v/>
      </c>
      <c r="N3148" s="19" t="str">
        <f>IF(OR(ISBLANK(C3148),C3148="",M3148=""),"In Progress",IF(M3148&lt;=J3148,"Met","Breached"))</f>
        <v>In Progress</v>
      </c>
    </row>
    <row r="3149" ht="19" customHeight="1" spans="1:14" x14ac:dyDescent="0.25">
      <c r="A3149" s="22" t="s">
        <v>3263</v>
      </c>
      <c r="B3149" s="36">
        <v>45696.78055555555</v>
      </c>
      <c r="C3149" s="36">
        <v>45698.70208333334</v>
      </c>
      <c r="D3149" s="22" t="s">
        <v>33</v>
      </c>
      <c r="E3149" s="22" t="s">
        <v>65</v>
      </c>
      <c r="F3149" s="22" t="s">
        <v>34</v>
      </c>
      <c r="G3149" s="22" t="s">
        <v>121</v>
      </c>
      <c r="H3149" s="22" t="s">
        <v>59</v>
      </c>
      <c r="I3149" s="22" t="s">
        <v>123</v>
      </c>
      <c r="J3149" s="23">
        <v>48</v>
      </c>
      <c r="K3149" s="37">
        <v>0</v>
      </c>
      <c r="L3149" s="37">
        <v>5</v>
      </c>
      <c r="M3149" s="22">
        <f>IF(OR(ISBLANK(C3149),C3149=""),"",ROUND((C3149-B3149)*24,2))</f>
        <v>46.12</v>
      </c>
      <c r="N3149" s="40" t="str">
        <f>IF(OR(ISBLANK(C3149),C3149="",M3149=""),"In Progress",IF(M3149&lt;=J3149,"Met","Breached"))</f>
        <v>Met</v>
      </c>
    </row>
    <row r="3150" ht="19" customHeight="1" spans="1:14" x14ac:dyDescent="0.25">
      <c r="A3150" s="19" t="s">
        <v>3264</v>
      </c>
      <c r="B3150" s="33">
        <v>46095.34027777778</v>
      </c>
      <c r="D3150" s="19" t="s">
        <v>39</v>
      </c>
      <c r="E3150" s="19" t="s">
        <v>65</v>
      </c>
      <c r="F3150" s="19" t="s">
        <v>37</v>
      </c>
      <c r="G3150" s="19" t="s">
        <v>110</v>
      </c>
      <c r="H3150" s="19" t="s">
        <v>67</v>
      </c>
      <c r="I3150" s="19" t="s">
        <v>111</v>
      </c>
      <c r="J3150" s="20">
        <v>48</v>
      </c>
      <c r="K3150" s="34">
        <v>0</v>
      </c>
      <c r="M3150" s="19" t="str">
        <f>IF(OR(ISBLANK(C3150),C3150=""),"",ROUND((C3150-B3150)*24,2))</f>
        <v/>
      </c>
      <c r="N3150" s="19" t="str">
        <f>IF(OR(ISBLANK(C3150),C3150="",M3150=""),"In Progress",IF(M3150&lt;=J3150,"Met","Breached"))</f>
        <v>In Progress</v>
      </c>
    </row>
    <row r="3151" ht="19" customHeight="1" spans="1:14" x14ac:dyDescent="0.25">
      <c r="A3151" s="22" t="s">
        <v>3265</v>
      </c>
      <c r="B3151" s="36">
        <v>45660.25277777778</v>
      </c>
      <c r="C3151" s="36">
        <v>45664.64236111111</v>
      </c>
      <c r="D3151" s="22" t="s">
        <v>36</v>
      </c>
      <c r="E3151" s="22" t="s">
        <v>69</v>
      </c>
      <c r="F3151" s="22" t="s">
        <v>43</v>
      </c>
      <c r="G3151" s="22" t="s">
        <v>63</v>
      </c>
      <c r="H3151" s="22" t="s">
        <v>59</v>
      </c>
      <c r="I3151" s="22" t="s">
        <v>147</v>
      </c>
      <c r="J3151" s="23">
        <v>120</v>
      </c>
      <c r="K3151" s="37">
        <v>0</v>
      </c>
      <c r="L3151" s="37">
        <v>2</v>
      </c>
      <c r="M3151" s="22">
        <f>IF(OR(ISBLANK(C3151),C3151=""),"",ROUND((C3151-B3151)*24,2))</f>
        <v>105.35</v>
      </c>
      <c r="N3151" s="40" t="str">
        <f>IF(OR(ISBLANK(C3151),C3151="",M3151=""),"In Progress",IF(M3151&lt;=J3151,"Met","Breached"))</f>
        <v>Met</v>
      </c>
    </row>
    <row r="3152" ht="19" customHeight="1" spans="1:14" x14ac:dyDescent="0.25">
      <c r="A3152" s="19" t="s">
        <v>3266</v>
      </c>
      <c r="B3152" s="33">
        <v>46085.31597222222</v>
      </c>
      <c r="D3152" s="19" t="s">
        <v>39</v>
      </c>
      <c r="E3152" s="19" t="s">
        <v>65</v>
      </c>
      <c r="F3152" s="19" t="s">
        <v>45</v>
      </c>
      <c r="G3152" s="19" t="s">
        <v>63</v>
      </c>
      <c r="H3152" s="19" t="s">
        <v>71</v>
      </c>
      <c r="I3152" s="19" t="s">
        <v>111</v>
      </c>
      <c r="J3152" s="20">
        <v>48</v>
      </c>
      <c r="K3152" s="34">
        <v>0</v>
      </c>
      <c r="M3152" s="19" t="str">
        <f>IF(OR(ISBLANK(C3152),C3152=""),"",ROUND((C3152-B3152)*24,2))</f>
        <v/>
      </c>
      <c r="N3152" s="19" t="str">
        <f>IF(OR(ISBLANK(C3152),C3152="",M3152=""),"In Progress",IF(M3152&lt;=J3152,"Met","Breached"))</f>
        <v>In Progress</v>
      </c>
    </row>
    <row r="3153" ht="19" customHeight="1" spans="1:14" x14ac:dyDescent="0.25">
      <c r="A3153" s="22" t="s">
        <v>3267</v>
      </c>
      <c r="B3153" s="36">
        <v>46246.04583333334</v>
      </c>
      <c r="C3153" s="36">
        <v>46246.34513888889</v>
      </c>
      <c r="D3153" s="22" t="s">
        <v>36</v>
      </c>
      <c r="E3153" s="22" t="s">
        <v>57</v>
      </c>
      <c r="F3153" s="22" t="s">
        <v>37</v>
      </c>
      <c r="G3153" s="22" t="s">
        <v>63</v>
      </c>
      <c r="H3153" s="22" t="s">
        <v>59</v>
      </c>
      <c r="I3153" s="22" t="s">
        <v>147</v>
      </c>
      <c r="J3153" s="23">
        <v>4</v>
      </c>
      <c r="K3153" s="37">
        <v>0</v>
      </c>
      <c r="M3153" s="22">
        <f>IF(OR(ISBLANK(C3153),C3153=""),"",ROUND((C3153-B3153)*24,2))</f>
        <v>7.18</v>
      </c>
      <c r="N3153" s="38" t="str">
        <f>IF(OR(ISBLANK(C3153),C3153="",M3153=""),"In Progress",IF(M3153&lt;=J3153,"Met","Breached"))</f>
        <v>Breached</v>
      </c>
    </row>
    <row r="3154" ht="19" customHeight="1" spans="1:14" x14ac:dyDescent="0.25">
      <c r="A3154" s="19" t="s">
        <v>3268</v>
      </c>
      <c r="B3154" s="33">
        <v>46018.71527777778</v>
      </c>
      <c r="C3154" s="33">
        <v>46021.56458333333</v>
      </c>
      <c r="D3154" s="19" t="s">
        <v>33</v>
      </c>
      <c r="E3154" s="19" t="s">
        <v>65</v>
      </c>
      <c r="F3154" s="19" t="s">
        <v>40</v>
      </c>
      <c r="G3154" s="19" t="s">
        <v>126</v>
      </c>
      <c r="H3154" s="19" t="s">
        <v>59</v>
      </c>
      <c r="I3154" s="19" t="s">
        <v>147</v>
      </c>
      <c r="J3154" s="20">
        <v>48</v>
      </c>
      <c r="K3154" s="34">
        <v>0</v>
      </c>
      <c r="M3154" s="19">
        <f>IF(OR(ISBLANK(C3154),C3154=""),"",ROUND((C3154-B3154)*24,2))</f>
        <v>68.38</v>
      </c>
      <c r="N3154" s="39" t="str">
        <f>IF(OR(ISBLANK(C3154),C3154="",M3154=""),"In Progress",IF(M3154&lt;=J3154,"Met","Breached"))</f>
        <v>Breached</v>
      </c>
    </row>
    <row r="3155" ht="19" customHeight="1" spans="1:14" x14ac:dyDescent="0.25">
      <c r="A3155" s="22" t="s">
        <v>3269</v>
      </c>
      <c r="B3155" s="36">
        <v>46230.17013888889</v>
      </c>
      <c r="C3155" s="36">
        <v>46232.086805555555</v>
      </c>
      <c r="D3155" s="22" t="s">
        <v>33</v>
      </c>
      <c r="E3155" s="22" t="s">
        <v>65</v>
      </c>
      <c r="F3155" s="22" t="s">
        <v>34</v>
      </c>
      <c r="G3155" s="22" t="s">
        <v>113</v>
      </c>
      <c r="H3155" s="22" t="s">
        <v>67</v>
      </c>
      <c r="I3155" s="22" t="s">
        <v>108</v>
      </c>
      <c r="J3155" s="23">
        <v>48</v>
      </c>
      <c r="K3155" s="37">
        <v>0</v>
      </c>
      <c r="M3155" s="22">
        <f>IF(OR(ISBLANK(C3155),C3155=""),"",ROUND((C3155-B3155)*24,2))</f>
        <v>46</v>
      </c>
      <c r="N3155" s="40" t="str">
        <f>IF(OR(ISBLANK(C3155),C3155="",M3155=""),"In Progress",IF(M3155&lt;=J3155,"Met","Breached"))</f>
        <v>Met</v>
      </c>
    </row>
    <row r="3156" ht="19" customHeight="1" spans="1:14" x14ac:dyDescent="0.25">
      <c r="A3156" s="19" t="s">
        <v>3270</v>
      </c>
      <c r="B3156" s="33">
        <v>46019.53125</v>
      </c>
      <c r="C3156" s="33">
        <v>46020.04166666667</v>
      </c>
      <c r="D3156" s="19" t="s">
        <v>33</v>
      </c>
      <c r="E3156" s="19" t="s">
        <v>61</v>
      </c>
      <c r="F3156" s="19" t="s">
        <v>43</v>
      </c>
      <c r="G3156" s="19" t="s">
        <v>110</v>
      </c>
      <c r="H3156" s="19" t="s">
        <v>67</v>
      </c>
      <c r="I3156" s="19" t="s">
        <v>108</v>
      </c>
      <c r="J3156" s="20">
        <v>12</v>
      </c>
      <c r="K3156" s="34">
        <v>0</v>
      </c>
      <c r="L3156" s="34">
        <v>2</v>
      </c>
      <c r="M3156" s="19">
        <f>IF(OR(ISBLANK(C3156),C3156=""),"",ROUND((C3156-B3156)*24,2))</f>
        <v>12.25</v>
      </c>
      <c r="N3156" s="39" t="str">
        <f>IF(OR(ISBLANK(C3156),C3156="",M3156=""),"In Progress",IF(M3156&lt;=J3156,"Met","Breached"))</f>
        <v>Breached</v>
      </c>
    </row>
    <row r="3157" ht="19" customHeight="1" spans="1:14" x14ac:dyDescent="0.25">
      <c r="A3157" s="22" t="s">
        <v>3271</v>
      </c>
      <c r="B3157" s="36">
        <v>45957.66527777778</v>
      </c>
      <c r="C3157" s="36">
        <v>45959.84236111111</v>
      </c>
      <c r="D3157" s="22" t="s">
        <v>33</v>
      </c>
      <c r="E3157" s="22" t="s">
        <v>69</v>
      </c>
      <c r="F3157" s="22" t="s">
        <v>43</v>
      </c>
      <c r="G3157" s="22" t="s">
        <v>110</v>
      </c>
      <c r="H3157" s="22" t="s">
        <v>71</v>
      </c>
      <c r="I3157" s="22" t="s">
        <v>147</v>
      </c>
      <c r="J3157" s="23">
        <v>120</v>
      </c>
      <c r="K3157" s="37">
        <v>0</v>
      </c>
      <c r="L3157" s="37">
        <v>2</v>
      </c>
      <c r="M3157" s="22">
        <f>IF(OR(ISBLANK(C3157),C3157=""),"",ROUND((C3157-B3157)*24,2))</f>
        <v>52.25</v>
      </c>
      <c r="N3157" s="40" t="str">
        <f>IF(OR(ISBLANK(C3157),C3157="",M3157=""),"In Progress",IF(M3157&lt;=J3157,"Met","Breached"))</f>
        <v>Met</v>
      </c>
    </row>
    <row r="3158" ht="19" customHeight="1" spans="1:14" x14ac:dyDescent="0.25">
      <c r="A3158" s="19" t="s">
        <v>3272</v>
      </c>
      <c r="B3158" s="33">
        <v>46054.518055555556</v>
      </c>
      <c r="C3158" s="33">
        <v>46054.924305555556</v>
      </c>
      <c r="D3158" s="19" t="s">
        <v>36</v>
      </c>
      <c r="E3158" s="19" t="s">
        <v>61</v>
      </c>
      <c r="F3158" s="19" t="s">
        <v>43</v>
      </c>
      <c r="G3158" s="19" t="s">
        <v>63</v>
      </c>
      <c r="H3158" s="19" t="s">
        <v>67</v>
      </c>
      <c r="I3158" s="19" t="s">
        <v>147</v>
      </c>
      <c r="J3158" s="20">
        <v>12</v>
      </c>
      <c r="K3158" s="34">
        <v>0</v>
      </c>
      <c r="L3158" s="34">
        <v>5</v>
      </c>
      <c r="M3158" s="19">
        <f>IF(OR(ISBLANK(C3158),C3158=""),"",ROUND((C3158-B3158)*24,2))</f>
        <v>9.75</v>
      </c>
      <c r="N3158" s="35" t="str">
        <f>IF(OR(ISBLANK(C3158),C3158="",M3158=""),"In Progress",IF(M3158&lt;=J3158,"Met","Breached"))</f>
        <v>Met</v>
      </c>
    </row>
    <row r="3159" ht="19" customHeight="1" spans="1:14" x14ac:dyDescent="0.25">
      <c r="A3159" s="22" t="s">
        <v>3273</v>
      </c>
      <c r="B3159" s="36">
        <v>46180.60625</v>
      </c>
      <c r="C3159" s="36">
        <v>46181.4</v>
      </c>
      <c r="D3159" s="22" t="s">
        <v>33</v>
      </c>
      <c r="E3159" s="22" t="s">
        <v>65</v>
      </c>
      <c r="F3159" s="22" t="s">
        <v>43</v>
      </c>
      <c r="G3159" s="22" t="s">
        <v>63</v>
      </c>
      <c r="H3159" s="22" t="s">
        <v>63</v>
      </c>
      <c r="I3159" s="22" t="s">
        <v>123</v>
      </c>
      <c r="J3159" s="23">
        <v>48</v>
      </c>
      <c r="K3159" s="37">
        <v>0</v>
      </c>
      <c r="L3159" s="37">
        <v>3</v>
      </c>
      <c r="M3159" s="22">
        <f>IF(OR(ISBLANK(C3159),C3159=""),"",ROUND((C3159-B3159)*24,2))</f>
        <v>19.05</v>
      </c>
      <c r="N3159" s="40" t="str">
        <f>IF(OR(ISBLANK(C3159),C3159="",M3159=""),"In Progress",IF(M3159&lt;=J3159,"Met","Breached"))</f>
        <v>Met</v>
      </c>
    </row>
    <row r="3160" ht="19" customHeight="1" spans="1:14" x14ac:dyDescent="0.25">
      <c r="A3160" s="19" t="s">
        <v>3274</v>
      </c>
      <c r="B3160" s="33">
        <v>45754.60555555555</v>
      </c>
      <c r="C3160" s="33">
        <v>45757.85208333333</v>
      </c>
      <c r="D3160" s="19" t="s">
        <v>33</v>
      </c>
      <c r="E3160" s="19" t="s">
        <v>69</v>
      </c>
      <c r="F3160" s="19" t="s">
        <v>43</v>
      </c>
      <c r="G3160" s="19" t="s">
        <v>113</v>
      </c>
      <c r="H3160" s="19" t="s">
        <v>59</v>
      </c>
      <c r="I3160" s="19" t="s">
        <v>108</v>
      </c>
      <c r="J3160" s="20">
        <v>120</v>
      </c>
      <c r="K3160" s="34">
        <v>0</v>
      </c>
      <c r="M3160" s="19">
        <f>IF(OR(ISBLANK(C3160),C3160=""),"",ROUND((C3160-B3160)*24,2))</f>
        <v>77.92</v>
      </c>
      <c r="N3160" s="35" t="str">
        <f>IF(OR(ISBLANK(C3160),C3160="",M3160=""),"In Progress",IF(M3160&lt;=J3160,"Met","Breached"))</f>
        <v>Met</v>
      </c>
    </row>
    <row r="3161" ht="19" customHeight="1" spans="1:14" x14ac:dyDescent="0.25">
      <c r="A3161" s="22" t="s">
        <v>3275</v>
      </c>
      <c r="B3161" s="36">
        <v>45719.23472222222</v>
      </c>
      <c r="C3161" s="36">
        <v>45720.33541666667</v>
      </c>
      <c r="D3161" s="22" t="s">
        <v>36</v>
      </c>
      <c r="E3161" s="22" t="s">
        <v>65</v>
      </c>
      <c r="F3161" s="22" t="s">
        <v>43</v>
      </c>
      <c r="G3161" s="22" t="s">
        <v>121</v>
      </c>
      <c r="H3161" s="22" t="s">
        <v>67</v>
      </c>
      <c r="I3161" s="22" t="s">
        <v>117</v>
      </c>
      <c r="J3161" s="23">
        <v>48</v>
      </c>
      <c r="K3161" s="37">
        <v>0</v>
      </c>
      <c r="L3161" s="37">
        <v>3</v>
      </c>
      <c r="M3161" s="22">
        <f>IF(OR(ISBLANK(C3161),C3161=""),"",ROUND((C3161-B3161)*24,2))</f>
        <v>26.42</v>
      </c>
      <c r="N3161" s="40" t="str">
        <f>IF(OR(ISBLANK(C3161),C3161="",M3161=""),"In Progress",IF(M3161&lt;=J3161,"Met","Breached"))</f>
        <v>Met</v>
      </c>
    </row>
    <row r="3162" ht="19" customHeight="1" spans="1:14" x14ac:dyDescent="0.25">
      <c r="A3162" s="19" t="s">
        <v>3276</v>
      </c>
      <c r="B3162" s="33">
        <v>46114.35625</v>
      </c>
      <c r="D3162" s="19" t="s">
        <v>42</v>
      </c>
      <c r="E3162" s="19" t="s">
        <v>65</v>
      </c>
      <c r="F3162" s="19" t="s">
        <v>37</v>
      </c>
      <c r="G3162" s="19" t="s">
        <v>110</v>
      </c>
      <c r="H3162" s="19" t="s">
        <v>63</v>
      </c>
      <c r="I3162" s="19" t="s">
        <v>147</v>
      </c>
      <c r="J3162" s="20">
        <v>48</v>
      </c>
      <c r="K3162" s="34">
        <v>0</v>
      </c>
      <c r="M3162" s="19" t="str">
        <f>IF(OR(ISBLANK(C3162),C3162=""),"",ROUND((C3162-B3162)*24,2))</f>
        <v/>
      </c>
      <c r="N3162" s="19" t="str">
        <f>IF(OR(ISBLANK(C3162),C3162="",M3162=""),"In Progress",IF(M3162&lt;=J3162,"Met","Breached"))</f>
        <v>In Progress</v>
      </c>
    </row>
    <row r="3163" ht="19" customHeight="1" spans="1:14" x14ac:dyDescent="0.25">
      <c r="A3163" s="22" t="s">
        <v>3277</v>
      </c>
      <c r="B3163" s="36">
        <v>46185.74722222222</v>
      </c>
      <c r="C3163" s="36">
        <v>46186.33194444445</v>
      </c>
      <c r="D3163" s="22" t="s">
        <v>33</v>
      </c>
      <c r="E3163" s="22" t="s">
        <v>61</v>
      </c>
      <c r="F3163" s="22" t="s">
        <v>40</v>
      </c>
      <c r="G3163" s="22" t="s">
        <v>121</v>
      </c>
      <c r="H3163" s="22" t="s">
        <v>63</v>
      </c>
      <c r="I3163" s="22" t="s">
        <v>123</v>
      </c>
      <c r="J3163" s="23">
        <v>12</v>
      </c>
      <c r="K3163" s="37">
        <v>0</v>
      </c>
      <c r="L3163" s="37">
        <v>5</v>
      </c>
      <c r="M3163" s="22">
        <f>IF(OR(ISBLANK(C3163),C3163=""),"",ROUND((C3163-B3163)*24,2))</f>
        <v>14.03</v>
      </c>
      <c r="N3163" s="38" t="str">
        <f>IF(OR(ISBLANK(C3163),C3163="",M3163=""),"In Progress",IF(M3163&lt;=J3163,"Met","Breached"))</f>
        <v>Breached</v>
      </c>
    </row>
    <row r="3164" ht="19" customHeight="1" spans="1:14" x14ac:dyDescent="0.25">
      <c r="A3164" s="19" t="s">
        <v>3278</v>
      </c>
      <c r="B3164" s="33">
        <v>45661.35833333334</v>
      </c>
      <c r="C3164" s="33">
        <v>45661.58194444445</v>
      </c>
      <c r="D3164" s="19" t="s">
        <v>36</v>
      </c>
      <c r="E3164" s="19" t="s">
        <v>61</v>
      </c>
      <c r="F3164" s="19" t="s">
        <v>34</v>
      </c>
      <c r="G3164" s="19" t="s">
        <v>113</v>
      </c>
      <c r="H3164" s="19" t="s">
        <v>63</v>
      </c>
      <c r="I3164" s="19" t="s">
        <v>117</v>
      </c>
      <c r="J3164" s="20">
        <v>12</v>
      </c>
      <c r="K3164" s="34">
        <v>0</v>
      </c>
      <c r="L3164" s="34">
        <v>2</v>
      </c>
      <c r="M3164" s="19">
        <f>IF(OR(ISBLANK(C3164),C3164=""),"",ROUND((C3164-B3164)*24,2))</f>
        <v>5.37</v>
      </c>
      <c r="N3164" s="35" t="str">
        <f>IF(OR(ISBLANK(C3164),C3164="",M3164=""),"In Progress",IF(M3164&lt;=J3164,"Met","Breached"))</f>
        <v>Met</v>
      </c>
    </row>
    <row r="3165" ht="19" customHeight="1" spans="1:14" x14ac:dyDescent="0.25">
      <c r="A3165" s="22" t="s">
        <v>3279</v>
      </c>
      <c r="B3165" s="36">
        <v>45699.30069444445</v>
      </c>
      <c r="D3165" s="22" t="s">
        <v>42</v>
      </c>
      <c r="E3165" s="22" t="s">
        <v>65</v>
      </c>
      <c r="F3165" s="22" t="s">
        <v>34</v>
      </c>
      <c r="G3165" s="22" t="s">
        <v>63</v>
      </c>
      <c r="H3165" s="22" t="s">
        <v>59</v>
      </c>
      <c r="I3165" s="22" t="s">
        <v>114</v>
      </c>
      <c r="J3165" s="23">
        <v>48</v>
      </c>
      <c r="K3165" s="37">
        <v>0</v>
      </c>
      <c r="M3165" s="22" t="str">
        <f>IF(OR(ISBLANK(C3165),C3165=""),"",ROUND((C3165-B3165)*24,2))</f>
        <v/>
      </c>
      <c r="N3165" s="22" t="str">
        <f>IF(OR(ISBLANK(C3165),C3165="",M3165=""),"In Progress",IF(M3165&lt;=J3165,"Met","Breached"))</f>
        <v>In Progress</v>
      </c>
    </row>
    <row r="3166" ht="19" customHeight="1" spans="1:14" x14ac:dyDescent="0.25">
      <c r="A3166" s="19" t="s">
        <v>3280</v>
      </c>
      <c r="B3166" s="33">
        <v>45704.92083333334</v>
      </c>
      <c r="C3166" s="33">
        <v>45705.79375</v>
      </c>
      <c r="D3166" s="19" t="s">
        <v>33</v>
      </c>
      <c r="E3166" s="19" t="s">
        <v>65</v>
      </c>
      <c r="F3166" s="19" t="s">
        <v>43</v>
      </c>
      <c r="G3166" s="19" t="s">
        <v>110</v>
      </c>
      <c r="H3166" s="19" t="s">
        <v>63</v>
      </c>
      <c r="I3166" s="19" t="s">
        <v>123</v>
      </c>
      <c r="J3166" s="20">
        <v>48</v>
      </c>
      <c r="K3166" s="34">
        <v>0</v>
      </c>
      <c r="M3166" s="19">
        <f>IF(OR(ISBLANK(C3166),C3166=""),"",ROUND((C3166-B3166)*24,2))</f>
        <v>20.95</v>
      </c>
      <c r="N3166" s="35" t="str">
        <f>IF(OR(ISBLANK(C3166),C3166="",M3166=""),"In Progress",IF(M3166&lt;=J3166,"Met","Breached"))</f>
        <v>Met</v>
      </c>
    </row>
    <row r="3167" ht="19" customHeight="1" spans="1:14" x14ac:dyDescent="0.25">
      <c r="A3167" s="22" t="s">
        <v>3281</v>
      </c>
      <c r="B3167" s="36">
        <v>45851.601388888885</v>
      </c>
      <c r="D3167" s="22" t="s">
        <v>39</v>
      </c>
      <c r="E3167" s="22" t="s">
        <v>65</v>
      </c>
      <c r="F3167" s="22" t="s">
        <v>45</v>
      </c>
      <c r="G3167" s="22" t="s">
        <v>63</v>
      </c>
      <c r="H3167" s="22" t="s">
        <v>59</v>
      </c>
      <c r="I3167" s="22" t="s">
        <v>117</v>
      </c>
      <c r="J3167" s="23">
        <v>48</v>
      </c>
      <c r="K3167" s="37">
        <v>0</v>
      </c>
      <c r="M3167" s="22" t="str">
        <f>IF(OR(ISBLANK(C3167),C3167=""),"",ROUND((C3167-B3167)*24,2))</f>
        <v/>
      </c>
      <c r="N3167" s="22" t="str">
        <f>IF(OR(ISBLANK(C3167),C3167="",M3167=""),"In Progress",IF(M3167&lt;=J3167,"Met","Breached"))</f>
        <v>In Progress</v>
      </c>
    </row>
    <row r="3168" ht="19" customHeight="1" spans="1:14" x14ac:dyDescent="0.25">
      <c r="A3168" s="19" t="s">
        <v>3282</v>
      </c>
      <c r="B3168" s="33">
        <v>45751.834027777775</v>
      </c>
      <c r="C3168" s="33">
        <v>45753.70625</v>
      </c>
      <c r="D3168" s="19" t="s">
        <v>33</v>
      </c>
      <c r="E3168" s="19" t="s">
        <v>65</v>
      </c>
      <c r="F3168" s="19" t="s">
        <v>45</v>
      </c>
      <c r="G3168" s="19" t="s">
        <v>126</v>
      </c>
      <c r="H3168" s="19" t="s">
        <v>63</v>
      </c>
      <c r="I3168" s="19" t="s">
        <v>147</v>
      </c>
      <c r="J3168" s="20">
        <v>48</v>
      </c>
      <c r="K3168" s="34">
        <v>1</v>
      </c>
      <c r="L3168" s="34">
        <v>5</v>
      </c>
      <c r="M3168" s="19">
        <f>IF(OR(ISBLANK(C3168),C3168=""),"",ROUND((C3168-B3168)*24,2))</f>
        <v>44.93</v>
      </c>
      <c r="N3168" s="35" t="str">
        <f>IF(OR(ISBLANK(C3168),C3168="",M3168=""),"In Progress",IF(M3168&lt;=J3168,"Met","Breached"))</f>
        <v>Met</v>
      </c>
    </row>
    <row r="3169" ht="19" customHeight="1" spans="1:14" x14ac:dyDescent="0.25">
      <c r="A3169" s="22" t="s">
        <v>3283</v>
      </c>
      <c r="B3169" s="36">
        <v>45735.225694444445</v>
      </c>
      <c r="C3169" s="36">
        <v>45737.12013888889</v>
      </c>
      <c r="D3169" s="22" t="s">
        <v>33</v>
      </c>
      <c r="E3169" s="22" t="s">
        <v>65</v>
      </c>
      <c r="F3169" s="22" t="s">
        <v>34</v>
      </c>
      <c r="G3169" s="22" t="s">
        <v>110</v>
      </c>
      <c r="H3169" s="22" t="s">
        <v>59</v>
      </c>
      <c r="I3169" s="22" t="s">
        <v>147</v>
      </c>
      <c r="J3169" s="23">
        <v>48</v>
      </c>
      <c r="K3169" s="37">
        <v>0</v>
      </c>
      <c r="M3169" s="22">
        <f>IF(OR(ISBLANK(C3169),C3169=""),"",ROUND((C3169-B3169)*24,2))</f>
        <v>45.47</v>
      </c>
      <c r="N3169" s="40" t="str">
        <f>IF(OR(ISBLANK(C3169),C3169="",M3169=""),"In Progress",IF(M3169&lt;=J3169,"Met","Breached"))</f>
        <v>Met</v>
      </c>
    </row>
    <row r="3170" ht="19" customHeight="1" spans="1:14" x14ac:dyDescent="0.25">
      <c r="A3170" s="19" t="s">
        <v>3284</v>
      </c>
      <c r="B3170" s="33">
        <v>46279.23541666666</v>
      </c>
      <c r="C3170" s="33">
        <v>46282.59027777778</v>
      </c>
      <c r="D3170" s="19" t="s">
        <v>33</v>
      </c>
      <c r="E3170" s="19" t="s">
        <v>65</v>
      </c>
      <c r="F3170" s="19" t="s">
        <v>40</v>
      </c>
      <c r="G3170" s="19" t="s">
        <v>121</v>
      </c>
      <c r="H3170" s="19" t="s">
        <v>71</v>
      </c>
      <c r="I3170" s="19" t="s">
        <v>108</v>
      </c>
      <c r="J3170" s="20">
        <v>48</v>
      </c>
      <c r="K3170" s="34">
        <v>0</v>
      </c>
      <c r="L3170" s="34">
        <v>1</v>
      </c>
      <c r="M3170" s="19">
        <f>IF(OR(ISBLANK(C3170),C3170=""),"",ROUND((C3170-B3170)*24,2))</f>
        <v>80.52</v>
      </c>
      <c r="N3170" s="39" t="str">
        <f>IF(OR(ISBLANK(C3170),C3170="",M3170=""),"In Progress",IF(M3170&lt;=J3170,"Met","Breached"))</f>
        <v>Breached</v>
      </c>
    </row>
    <row r="3171" ht="19" customHeight="1" spans="1:14" x14ac:dyDescent="0.25">
      <c r="A3171" s="22" t="s">
        <v>3285</v>
      </c>
      <c r="B3171" s="36">
        <v>45992.46944444445</v>
      </c>
      <c r="C3171" s="36">
        <v>45997.43611111111</v>
      </c>
      <c r="D3171" s="22" t="s">
        <v>36</v>
      </c>
      <c r="E3171" s="22" t="s">
        <v>69</v>
      </c>
      <c r="F3171" s="22" t="s">
        <v>43</v>
      </c>
      <c r="G3171" s="22" t="s">
        <v>121</v>
      </c>
      <c r="H3171" s="22" t="s">
        <v>63</v>
      </c>
      <c r="I3171" s="22" t="s">
        <v>123</v>
      </c>
      <c r="J3171" s="23">
        <v>120</v>
      </c>
      <c r="K3171" s="37">
        <v>0</v>
      </c>
      <c r="L3171" s="37">
        <v>1</v>
      </c>
      <c r="M3171" s="22">
        <f>IF(OR(ISBLANK(C3171),C3171=""),"",ROUND((C3171-B3171)*24,2))</f>
        <v>119.2</v>
      </c>
      <c r="N3171" s="40" t="str">
        <f>IF(OR(ISBLANK(C3171),C3171="",M3171=""),"In Progress",IF(M3171&lt;=J3171,"Met","Breached"))</f>
        <v>Met</v>
      </c>
    </row>
    <row r="3172" ht="19" customHeight="1" spans="1:14" x14ac:dyDescent="0.25">
      <c r="A3172" s="19" t="s">
        <v>3286</v>
      </c>
      <c r="B3172" s="33">
        <v>46185.058333333334</v>
      </c>
      <c r="D3172" s="19" t="s">
        <v>39</v>
      </c>
      <c r="E3172" s="19" t="s">
        <v>65</v>
      </c>
      <c r="F3172" s="19" t="s">
        <v>43</v>
      </c>
      <c r="G3172" s="19" t="s">
        <v>126</v>
      </c>
      <c r="H3172" s="19" t="s">
        <v>71</v>
      </c>
      <c r="I3172" s="19" t="s">
        <v>123</v>
      </c>
      <c r="J3172" s="20">
        <v>48</v>
      </c>
      <c r="K3172" s="34">
        <v>0</v>
      </c>
      <c r="M3172" s="19" t="str">
        <f>IF(OR(ISBLANK(C3172),C3172=""),"",ROUND((C3172-B3172)*24,2))</f>
        <v/>
      </c>
      <c r="N3172" s="19" t="str">
        <f>IF(OR(ISBLANK(C3172),C3172="",M3172=""),"In Progress",IF(M3172&lt;=J3172,"Met","Breached"))</f>
        <v>In Progress</v>
      </c>
    </row>
    <row r="3173" ht="19" customHeight="1" spans="1:14" x14ac:dyDescent="0.25">
      <c r="A3173" s="22" t="s">
        <v>3287</v>
      </c>
      <c r="B3173" s="36">
        <v>45941.67361111111</v>
      </c>
      <c r="C3173" s="36">
        <v>45945.09166666667</v>
      </c>
      <c r="D3173" s="22" t="s">
        <v>33</v>
      </c>
      <c r="E3173" s="22" t="s">
        <v>65</v>
      </c>
      <c r="F3173" s="22" t="s">
        <v>34</v>
      </c>
      <c r="G3173" s="22" t="s">
        <v>126</v>
      </c>
      <c r="H3173" s="22" t="s">
        <v>59</v>
      </c>
      <c r="I3173" s="22" t="s">
        <v>123</v>
      </c>
      <c r="J3173" s="23">
        <v>48</v>
      </c>
      <c r="K3173" s="37">
        <v>1</v>
      </c>
      <c r="M3173" s="22">
        <f>IF(OR(ISBLANK(C3173),C3173=""),"",ROUND((C3173-B3173)*24,2))</f>
        <v>82.03</v>
      </c>
      <c r="N3173" s="38" t="str">
        <f>IF(OR(ISBLANK(C3173),C3173="",M3173=""),"In Progress",IF(M3173&lt;=J3173,"Met","Breached"))</f>
        <v>Breached</v>
      </c>
    </row>
    <row r="3174" ht="19" customHeight="1" spans="1:14" x14ac:dyDescent="0.25">
      <c r="A3174" s="19" t="s">
        <v>3288</v>
      </c>
      <c r="B3174" s="33">
        <v>46022.197222222225</v>
      </c>
      <c r="C3174" s="33">
        <v>46022.78472222222</v>
      </c>
      <c r="D3174" s="19" t="s">
        <v>36</v>
      </c>
      <c r="E3174" s="19" t="s">
        <v>61</v>
      </c>
      <c r="F3174" s="19" t="s">
        <v>43</v>
      </c>
      <c r="G3174" s="19" t="s">
        <v>126</v>
      </c>
      <c r="H3174" s="19" t="s">
        <v>67</v>
      </c>
      <c r="I3174" s="19" t="s">
        <v>108</v>
      </c>
      <c r="J3174" s="20">
        <v>12</v>
      </c>
      <c r="K3174" s="34">
        <v>0</v>
      </c>
      <c r="L3174" s="34">
        <v>1</v>
      </c>
      <c r="M3174" s="19">
        <f>IF(OR(ISBLANK(C3174),C3174=""),"",ROUND((C3174-B3174)*24,2))</f>
        <v>14.1</v>
      </c>
      <c r="N3174" s="39" t="str">
        <f>IF(OR(ISBLANK(C3174),C3174="",M3174=""),"In Progress",IF(M3174&lt;=J3174,"Met","Breached"))</f>
        <v>Breached</v>
      </c>
    </row>
    <row r="3175" ht="19" customHeight="1" spans="1:14" x14ac:dyDescent="0.25">
      <c r="A3175" s="22" t="s">
        <v>3289</v>
      </c>
      <c r="B3175" s="36">
        <v>45959.478472222225</v>
      </c>
      <c r="D3175" s="22" t="s">
        <v>42</v>
      </c>
      <c r="E3175" s="22" t="s">
        <v>69</v>
      </c>
      <c r="F3175" s="22" t="s">
        <v>40</v>
      </c>
      <c r="G3175" s="22" t="s">
        <v>126</v>
      </c>
      <c r="H3175" s="22" t="s">
        <v>59</v>
      </c>
      <c r="I3175" s="22" t="s">
        <v>123</v>
      </c>
      <c r="J3175" s="23">
        <v>120</v>
      </c>
      <c r="K3175" s="37">
        <v>0</v>
      </c>
      <c r="M3175" s="22" t="str">
        <f>IF(OR(ISBLANK(C3175),C3175=""),"",ROUND((C3175-B3175)*24,2))</f>
        <v/>
      </c>
      <c r="N3175" s="22" t="str">
        <f>IF(OR(ISBLANK(C3175),C3175="",M3175=""),"In Progress",IF(M3175&lt;=J3175,"Met","Breached"))</f>
        <v>In Progress</v>
      </c>
    </row>
    <row r="3176" ht="19" customHeight="1" spans="1:14" x14ac:dyDescent="0.25">
      <c r="A3176" s="19" t="s">
        <v>3290</v>
      </c>
      <c r="B3176" s="33">
        <v>46012.13680555555</v>
      </c>
      <c r="C3176" s="33">
        <v>46012.964583333334</v>
      </c>
      <c r="D3176" s="19" t="s">
        <v>33</v>
      </c>
      <c r="E3176" s="19" t="s">
        <v>61</v>
      </c>
      <c r="F3176" s="19" t="s">
        <v>40</v>
      </c>
      <c r="G3176" s="19" t="s">
        <v>113</v>
      </c>
      <c r="H3176" s="19" t="s">
        <v>59</v>
      </c>
      <c r="I3176" s="19" t="s">
        <v>114</v>
      </c>
      <c r="J3176" s="20">
        <v>12</v>
      </c>
      <c r="K3176" s="34">
        <v>0</v>
      </c>
      <c r="L3176" s="34">
        <v>4</v>
      </c>
      <c r="M3176" s="19">
        <f>IF(OR(ISBLANK(C3176),C3176=""),"",ROUND((C3176-B3176)*24,2))</f>
        <v>19.87</v>
      </c>
      <c r="N3176" s="39" t="str">
        <f>IF(OR(ISBLANK(C3176),C3176="",M3176=""),"In Progress",IF(M3176&lt;=J3176,"Met","Breached"))</f>
        <v>Breached</v>
      </c>
    </row>
    <row r="3177" ht="19" customHeight="1" spans="1:14" x14ac:dyDescent="0.25">
      <c r="A3177" s="22" t="s">
        <v>3291</v>
      </c>
      <c r="B3177" s="36">
        <v>45924.45347222222</v>
      </c>
      <c r="C3177" s="36">
        <v>45932.45694444445</v>
      </c>
      <c r="D3177" s="22" t="s">
        <v>36</v>
      </c>
      <c r="E3177" s="22" t="s">
        <v>69</v>
      </c>
      <c r="F3177" s="22" t="s">
        <v>37</v>
      </c>
      <c r="G3177" s="22" t="s">
        <v>110</v>
      </c>
      <c r="H3177" s="22" t="s">
        <v>63</v>
      </c>
      <c r="I3177" s="22" t="s">
        <v>123</v>
      </c>
      <c r="J3177" s="23">
        <v>120</v>
      </c>
      <c r="K3177" s="37">
        <v>0</v>
      </c>
      <c r="L3177" s="37">
        <v>2</v>
      </c>
      <c r="M3177" s="22">
        <f>IF(OR(ISBLANK(C3177),C3177=""),"",ROUND((C3177-B3177)*24,2))</f>
        <v>192.08</v>
      </c>
      <c r="N3177" s="38" t="str">
        <f>IF(OR(ISBLANK(C3177),C3177="",M3177=""),"In Progress",IF(M3177&lt;=J3177,"Met","Breached"))</f>
        <v>Breached</v>
      </c>
    </row>
    <row r="3178" ht="19" customHeight="1" spans="1:14" x14ac:dyDescent="0.25">
      <c r="A3178" s="19" t="s">
        <v>3292</v>
      </c>
      <c r="B3178" s="33">
        <v>46219.48958333333</v>
      </c>
      <c r="C3178" s="33">
        <v>46222.24791666667</v>
      </c>
      <c r="D3178" s="19" t="s">
        <v>33</v>
      </c>
      <c r="E3178" s="19" t="s">
        <v>65</v>
      </c>
      <c r="F3178" s="19" t="s">
        <v>40</v>
      </c>
      <c r="G3178" s="19" t="s">
        <v>126</v>
      </c>
      <c r="H3178" s="19" t="s">
        <v>63</v>
      </c>
      <c r="I3178" s="19" t="s">
        <v>114</v>
      </c>
      <c r="J3178" s="20">
        <v>48</v>
      </c>
      <c r="K3178" s="34">
        <v>1</v>
      </c>
      <c r="L3178" s="34">
        <v>3</v>
      </c>
      <c r="M3178" s="19">
        <f>IF(OR(ISBLANK(C3178),C3178=""),"",ROUND((C3178-B3178)*24,2))</f>
        <v>66.2</v>
      </c>
      <c r="N3178" s="39" t="str">
        <f>IF(OR(ISBLANK(C3178),C3178="",M3178=""),"In Progress",IF(M3178&lt;=J3178,"Met","Breached"))</f>
        <v>Breached</v>
      </c>
    </row>
    <row r="3179" ht="19" customHeight="1" spans="1:14" x14ac:dyDescent="0.25">
      <c r="A3179" s="22" t="s">
        <v>3293</v>
      </c>
      <c r="B3179" s="36">
        <v>46190.58472222222</v>
      </c>
      <c r="D3179" s="22" t="s">
        <v>39</v>
      </c>
      <c r="E3179" s="22" t="s">
        <v>69</v>
      </c>
      <c r="F3179" s="22" t="s">
        <v>45</v>
      </c>
      <c r="G3179" s="22" t="s">
        <v>116</v>
      </c>
      <c r="H3179" s="22" t="s">
        <v>59</v>
      </c>
      <c r="I3179" s="22" t="s">
        <v>117</v>
      </c>
      <c r="J3179" s="23">
        <v>120</v>
      </c>
      <c r="K3179" s="37">
        <v>0</v>
      </c>
      <c r="M3179" s="22" t="str">
        <f>IF(OR(ISBLANK(C3179),C3179=""),"",ROUND((C3179-B3179)*24,2))</f>
        <v/>
      </c>
      <c r="N3179" s="22" t="str">
        <f>IF(OR(ISBLANK(C3179),C3179="",M3179=""),"In Progress",IF(M3179&lt;=J3179,"Met","Breached"))</f>
        <v>In Progress</v>
      </c>
    </row>
    <row r="3180" ht="19" customHeight="1" spans="1:14" x14ac:dyDescent="0.25">
      <c r="A3180" s="19" t="s">
        <v>3294</v>
      </c>
      <c r="B3180" s="33">
        <v>45913.319444444445</v>
      </c>
      <c r="C3180" s="33">
        <v>45915.16736111111</v>
      </c>
      <c r="D3180" s="19" t="s">
        <v>36</v>
      </c>
      <c r="E3180" s="19" t="s">
        <v>65</v>
      </c>
      <c r="F3180" s="19" t="s">
        <v>37</v>
      </c>
      <c r="G3180" s="19" t="s">
        <v>63</v>
      </c>
      <c r="H3180" s="19" t="s">
        <v>67</v>
      </c>
      <c r="I3180" s="19" t="s">
        <v>111</v>
      </c>
      <c r="J3180" s="20">
        <v>48</v>
      </c>
      <c r="K3180" s="34">
        <v>0</v>
      </c>
      <c r="M3180" s="19">
        <f>IF(OR(ISBLANK(C3180),C3180=""),"",ROUND((C3180-B3180)*24,2))</f>
        <v>44.35</v>
      </c>
      <c r="N3180" s="35" t="str">
        <f>IF(OR(ISBLANK(C3180),C3180="",M3180=""),"In Progress",IF(M3180&lt;=J3180,"Met","Breached"))</f>
        <v>Met</v>
      </c>
    </row>
    <row r="3181" ht="19" customHeight="1" spans="1:14" x14ac:dyDescent="0.25">
      <c r="A3181" s="22" t="s">
        <v>3295</v>
      </c>
      <c r="B3181" s="36">
        <v>45787.49444444444</v>
      </c>
      <c r="C3181" s="36">
        <v>45787.59861111111</v>
      </c>
      <c r="D3181" s="22" t="s">
        <v>33</v>
      </c>
      <c r="E3181" s="22" t="s">
        <v>57</v>
      </c>
      <c r="F3181" s="22" t="s">
        <v>34</v>
      </c>
      <c r="G3181" s="22" t="s">
        <v>113</v>
      </c>
      <c r="H3181" s="22" t="s">
        <v>59</v>
      </c>
      <c r="I3181" s="22" t="s">
        <v>108</v>
      </c>
      <c r="J3181" s="23">
        <v>4</v>
      </c>
      <c r="K3181" s="37">
        <v>0</v>
      </c>
      <c r="L3181" s="37">
        <v>4</v>
      </c>
      <c r="M3181" s="22">
        <f>IF(OR(ISBLANK(C3181),C3181=""),"",ROUND((C3181-B3181)*24,2))</f>
        <v>2.5</v>
      </c>
      <c r="N3181" s="40" t="str">
        <f>IF(OR(ISBLANK(C3181),C3181="",M3181=""),"In Progress",IF(M3181&lt;=J3181,"Met","Breached"))</f>
        <v>Met</v>
      </c>
    </row>
    <row r="3182" ht="19" customHeight="1" spans="1:14" x14ac:dyDescent="0.25">
      <c r="A3182" s="19" t="s">
        <v>3296</v>
      </c>
      <c r="B3182" s="33">
        <v>46191.28402777778</v>
      </c>
      <c r="C3182" s="33">
        <v>46192.06527777778</v>
      </c>
      <c r="D3182" s="19" t="s">
        <v>33</v>
      </c>
      <c r="E3182" s="19" t="s">
        <v>61</v>
      </c>
      <c r="F3182" s="19" t="s">
        <v>45</v>
      </c>
      <c r="G3182" s="19" t="s">
        <v>126</v>
      </c>
      <c r="H3182" s="19" t="s">
        <v>63</v>
      </c>
      <c r="I3182" s="19" t="s">
        <v>108</v>
      </c>
      <c r="J3182" s="20">
        <v>12</v>
      </c>
      <c r="K3182" s="34">
        <v>0</v>
      </c>
      <c r="L3182" s="34">
        <v>3</v>
      </c>
      <c r="M3182" s="19">
        <f>IF(OR(ISBLANK(C3182),C3182=""),"",ROUND((C3182-B3182)*24,2))</f>
        <v>18.75</v>
      </c>
      <c r="N3182" s="39" t="str">
        <f>IF(OR(ISBLANK(C3182),C3182="",M3182=""),"In Progress",IF(M3182&lt;=J3182,"Met","Breached"))</f>
        <v>Breached</v>
      </c>
    </row>
    <row r="3183" ht="19" customHeight="1" spans="1:14" x14ac:dyDescent="0.25">
      <c r="A3183" s="22" t="s">
        <v>3297</v>
      </c>
      <c r="B3183" s="36">
        <v>45970.75347222222</v>
      </c>
      <c r="C3183" s="36">
        <v>45977.48333333334</v>
      </c>
      <c r="D3183" s="22" t="s">
        <v>33</v>
      </c>
      <c r="E3183" s="22" t="s">
        <v>69</v>
      </c>
      <c r="F3183" s="22" t="s">
        <v>34</v>
      </c>
      <c r="G3183" s="22" t="s">
        <v>63</v>
      </c>
      <c r="H3183" s="22" t="s">
        <v>67</v>
      </c>
      <c r="I3183" s="22" t="s">
        <v>114</v>
      </c>
      <c r="J3183" s="23">
        <v>120</v>
      </c>
      <c r="K3183" s="37">
        <v>0</v>
      </c>
      <c r="L3183" s="37">
        <v>3</v>
      </c>
      <c r="M3183" s="22">
        <f>IF(OR(ISBLANK(C3183),C3183=""),"",ROUND((C3183-B3183)*24,2))</f>
        <v>161.52</v>
      </c>
      <c r="N3183" s="38" t="str">
        <f>IF(OR(ISBLANK(C3183),C3183="",M3183=""),"In Progress",IF(M3183&lt;=J3183,"Met","Breached"))</f>
        <v>Breached</v>
      </c>
    </row>
    <row r="3184" ht="19" customHeight="1" spans="1:14" x14ac:dyDescent="0.25">
      <c r="A3184" s="19" t="s">
        <v>3298</v>
      </c>
      <c r="B3184" s="33">
        <v>46057.77638888889</v>
      </c>
      <c r="C3184" s="33">
        <v>46060.92916666667</v>
      </c>
      <c r="D3184" s="19" t="s">
        <v>33</v>
      </c>
      <c r="E3184" s="19" t="s">
        <v>65</v>
      </c>
      <c r="F3184" s="19" t="s">
        <v>43</v>
      </c>
      <c r="G3184" s="19" t="s">
        <v>113</v>
      </c>
      <c r="H3184" s="19" t="s">
        <v>59</v>
      </c>
      <c r="I3184" s="19" t="s">
        <v>123</v>
      </c>
      <c r="J3184" s="20">
        <v>48</v>
      </c>
      <c r="K3184" s="34">
        <v>0</v>
      </c>
      <c r="L3184" s="34">
        <v>2</v>
      </c>
      <c r="M3184" s="19">
        <f>IF(OR(ISBLANK(C3184),C3184=""),"",ROUND((C3184-B3184)*24,2))</f>
        <v>75.67</v>
      </c>
      <c r="N3184" s="39" t="str">
        <f>IF(OR(ISBLANK(C3184),C3184="",M3184=""),"In Progress",IF(M3184&lt;=J3184,"Met","Breached"))</f>
        <v>Breached</v>
      </c>
    </row>
    <row r="3185" ht="19" customHeight="1" spans="1:14" x14ac:dyDescent="0.25">
      <c r="A3185" s="22" t="s">
        <v>3299</v>
      </c>
      <c r="B3185" s="36">
        <v>46172.70138888889</v>
      </c>
      <c r="D3185" s="22" t="s">
        <v>39</v>
      </c>
      <c r="E3185" s="22" t="s">
        <v>69</v>
      </c>
      <c r="F3185" s="22" t="s">
        <v>45</v>
      </c>
      <c r="G3185" s="22" t="s">
        <v>63</v>
      </c>
      <c r="H3185" s="22" t="s">
        <v>59</v>
      </c>
      <c r="I3185" s="22" t="s">
        <v>147</v>
      </c>
      <c r="J3185" s="23">
        <v>120</v>
      </c>
      <c r="K3185" s="37">
        <v>0</v>
      </c>
      <c r="M3185" s="22" t="str">
        <f>IF(OR(ISBLANK(C3185),C3185=""),"",ROUND((C3185-B3185)*24,2))</f>
        <v/>
      </c>
      <c r="N3185" s="22" t="str">
        <f>IF(OR(ISBLANK(C3185),C3185="",M3185=""),"In Progress",IF(M3185&lt;=J3185,"Met","Breached"))</f>
        <v>In Progress</v>
      </c>
    </row>
    <row r="3186" ht="19" customHeight="1" spans="1:14" x14ac:dyDescent="0.25">
      <c r="A3186" s="19" t="s">
        <v>3300</v>
      </c>
      <c r="B3186" s="33">
        <v>46012.92291666666</v>
      </c>
      <c r="C3186" s="33">
        <v>46013.09583333333</v>
      </c>
      <c r="D3186" s="19" t="s">
        <v>36</v>
      </c>
      <c r="E3186" s="19" t="s">
        <v>57</v>
      </c>
      <c r="F3186" s="19" t="s">
        <v>40</v>
      </c>
      <c r="G3186" s="19" t="s">
        <v>121</v>
      </c>
      <c r="H3186" s="19" t="s">
        <v>67</v>
      </c>
      <c r="I3186" s="19" t="s">
        <v>114</v>
      </c>
      <c r="J3186" s="20">
        <v>4</v>
      </c>
      <c r="K3186" s="34">
        <v>0</v>
      </c>
      <c r="M3186" s="19">
        <f>IF(OR(ISBLANK(C3186),C3186=""),"",ROUND((C3186-B3186)*24,2))</f>
        <v>4.15</v>
      </c>
      <c r="N3186" s="39" t="str">
        <f>IF(OR(ISBLANK(C3186),C3186="",M3186=""),"In Progress",IF(M3186&lt;=J3186,"Met","Breached"))</f>
        <v>Breached</v>
      </c>
    </row>
    <row r="3187" ht="19" customHeight="1" spans="1:14" x14ac:dyDescent="0.25">
      <c r="A3187" s="22" t="s">
        <v>3301</v>
      </c>
      <c r="B3187" s="36">
        <v>46027.78680555556</v>
      </c>
      <c r="C3187" s="36">
        <v>46030.07083333333</v>
      </c>
      <c r="D3187" s="22" t="s">
        <v>33</v>
      </c>
      <c r="E3187" s="22" t="s">
        <v>65</v>
      </c>
      <c r="F3187" s="22" t="s">
        <v>43</v>
      </c>
      <c r="G3187" s="22" t="s">
        <v>121</v>
      </c>
      <c r="H3187" s="22" t="s">
        <v>59</v>
      </c>
      <c r="I3187" s="22" t="s">
        <v>123</v>
      </c>
      <c r="J3187" s="23">
        <v>48</v>
      </c>
      <c r="K3187" s="37">
        <v>0</v>
      </c>
      <c r="M3187" s="22">
        <f>IF(OR(ISBLANK(C3187),C3187=""),"",ROUND((C3187-B3187)*24,2))</f>
        <v>54.82</v>
      </c>
      <c r="N3187" s="38" t="str">
        <f>IF(OR(ISBLANK(C3187),C3187="",M3187=""),"In Progress",IF(M3187&lt;=J3187,"Met","Breached"))</f>
        <v>Breached</v>
      </c>
    </row>
    <row r="3188" ht="19" customHeight="1" spans="1:14" x14ac:dyDescent="0.25">
      <c r="A3188" s="19" t="s">
        <v>3302</v>
      </c>
      <c r="B3188" s="33">
        <v>45792.805555555555</v>
      </c>
      <c r="C3188" s="33">
        <v>45795.705555555556</v>
      </c>
      <c r="D3188" s="19" t="s">
        <v>36</v>
      </c>
      <c r="E3188" s="19" t="s">
        <v>69</v>
      </c>
      <c r="F3188" s="19" t="s">
        <v>43</v>
      </c>
      <c r="G3188" s="19" t="s">
        <v>121</v>
      </c>
      <c r="H3188" s="19" t="s">
        <v>71</v>
      </c>
      <c r="I3188" s="19" t="s">
        <v>111</v>
      </c>
      <c r="J3188" s="20">
        <v>120</v>
      </c>
      <c r="K3188" s="34">
        <v>0</v>
      </c>
      <c r="L3188" s="34">
        <v>5</v>
      </c>
      <c r="M3188" s="19">
        <f>IF(OR(ISBLANK(C3188),C3188=""),"",ROUND((C3188-B3188)*24,2))</f>
        <v>69.6</v>
      </c>
      <c r="N3188" s="35" t="str">
        <f>IF(OR(ISBLANK(C3188),C3188="",M3188=""),"In Progress",IF(M3188&lt;=J3188,"Met","Breached"))</f>
        <v>Met</v>
      </c>
    </row>
    <row r="3189" ht="19" customHeight="1" spans="1:14" x14ac:dyDescent="0.25">
      <c r="A3189" s="22" t="s">
        <v>3303</v>
      </c>
      <c r="B3189" s="36">
        <v>45841.066666666666</v>
      </c>
      <c r="C3189" s="36">
        <v>45847.00625</v>
      </c>
      <c r="D3189" s="22" t="s">
        <v>36</v>
      </c>
      <c r="E3189" s="22" t="s">
        <v>69</v>
      </c>
      <c r="F3189" s="22" t="s">
        <v>40</v>
      </c>
      <c r="G3189" s="22" t="s">
        <v>63</v>
      </c>
      <c r="H3189" s="22" t="s">
        <v>63</v>
      </c>
      <c r="I3189" s="22" t="s">
        <v>111</v>
      </c>
      <c r="J3189" s="23">
        <v>120</v>
      </c>
      <c r="K3189" s="37">
        <v>0</v>
      </c>
      <c r="L3189" s="37">
        <v>3</v>
      </c>
      <c r="M3189" s="22">
        <f>IF(OR(ISBLANK(C3189),C3189=""),"",ROUND((C3189-B3189)*24,2))</f>
        <v>142.55</v>
      </c>
      <c r="N3189" s="38" t="str">
        <f>IF(OR(ISBLANK(C3189),C3189="",M3189=""),"In Progress",IF(M3189&lt;=J3189,"Met","Breached"))</f>
        <v>Breached</v>
      </c>
    </row>
    <row r="3190" ht="19" customHeight="1" spans="1:14" x14ac:dyDescent="0.25">
      <c r="A3190" s="19" t="s">
        <v>3304</v>
      </c>
      <c r="B3190" s="33">
        <v>46171.03611111111</v>
      </c>
      <c r="C3190" s="33">
        <v>46178.90069444444</v>
      </c>
      <c r="D3190" s="19" t="s">
        <v>33</v>
      </c>
      <c r="E3190" s="19" t="s">
        <v>69</v>
      </c>
      <c r="F3190" s="19" t="s">
        <v>43</v>
      </c>
      <c r="G3190" s="19" t="s">
        <v>113</v>
      </c>
      <c r="H3190" s="19" t="s">
        <v>59</v>
      </c>
      <c r="I3190" s="19" t="s">
        <v>111</v>
      </c>
      <c r="J3190" s="20">
        <v>120</v>
      </c>
      <c r="K3190" s="34">
        <v>1</v>
      </c>
      <c r="L3190" s="34">
        <v>5</v>
      </c>
      <c r="M3190" s="19">
        <f>IF(OR(ISBLANK(C3190),C3190=""),"",ROUND((C3190-B3190)*24,2))</f>
        <v>188.75</v>
      </c>
      <c r="N3190" s="39" t="str">
        <f>IF(OR(ISBLANK(C3190),C3190="",M3190=""),"In Progress",IF(M3190&lt;=J3190,"Met","Breached"))</f>
        <v>Breached</v>
      </c>
    </row>
    <row r="3191" ht="19" customHeight="1" spans="1:14" x14ac:dyDescent="0.25">
      <c r="A3191" s="22" t="s">
        <v>3305</v>
      </c>
      <c r="B3191" s="36">
        <v>46000.10277777778</v>
      </c>
      <c r="C3191" s="36">
        <v>46001.39791666667</v>
      </c>
      <c r="D3191" s="22" t="s">
        <v>33</v>
      </c>
      <c r="E3191" s="22" t="s">
        <v>65</v>
      </c>
      <c r="F3191" s="22" t="s">
        <v>45</v>
      </c>
      <c r="G3191" s="22" t="s">
        <v>121</v>
      </c>
      <c r="H3191" s="22" t="s">
        <v>71</v>
      </c>
      <c r="I3191" s="22" t="s">
        <v>147</v>
      </c>
      <c r="J3191" s="23">
        <v>48</v>
      </c>
      <c r="K3191" s="37">
        <v>0</v>
      </c>
      <c r="L3191" s="37">
        <v>4</v>
      </c>
      <c r="M3191" s="22">
        <f>IF(OR(ISBLANK(C3191),C3191=""),"",ROUND((C3191-B3191)*24,2))</f>
        <v>31.08</v>
      </c>
      <c r="N3191" s="40" t="str">
        <f>IF(OR(ISBLANK(C3191),C3191="",M3191=""),"In Progress",IF(M3191&lt;=J3191,"Met","Breached"))</f>
        <v>Met</v>
      </c>
    </row>
    <row r="3192" ht="19" customHeight="1" spans="1:14" x14ac:dyDescent="0.25">
      <c r="A3192" s="19" t="s">
        <v>3306</v>
      </c>
      <c r="B3192" s="33">
        <v>46276.663194444445</v>
      </c>
      <c r="C3192" s="33">
        <v>46278.34513888889</v>
      </c>
      <c r="D3192" s="19" t="s">
        <v>33</v>
      </c>
      <c r="E3192" s="19" t="s">
        <v>65</v>
      </c>
      <c r="F3192" s="19" t="s">
        <v>37</v>
      </c>
      <c r="G3192" s="19" t="s">
        <v>116</v>
      </c>
      <c r="H3192" s="19" t="s">
        <v>59</v>
      </c>
      <c r="I3192" s="19" t="s">
        <v>111</v>
      </c>
      <c r="J3192" s="20">
        <v>48</v>
      </c>
      <c r="K3192" s="34">
        <v>0</v>
      </c>
      <c r="L3192" s="34">
        <v>5</v>
      </c>
      <c r="M3192" s="19">
        <f>IF(OR(ISBLANK(C3192),C3192=""),"",ROUND((C3192-B3192)*24,2))</f>
        <v>40.37</v>
      </c>
      <c r="N3192" s="35" t="str">
        <f>IF(OR(ISBLANK(C3192),C3192="",M3192=""),"In Progress",IF(M3192&lt;=J3192,"Met","Breached"))</f>
        <v>Met</v>
      </c>
    </row>
    <row r="3193" ht="19" customHeight="1" spans="1:14" x14ac:dyDescent="0.25">
      <c r="A3193" s="22" t="s">
        <v>3307</v>
      </c>
      <c r="B3193" s="36">
        <v>46271.643055555556</v>
      </c>
      <c r="C3193" s="36">
        <v>46273.69861111111</v>
      </c>
      <c r="D3193" s="22" t="s">
        <v>33</v>
      </c>
      <c r="E3193" s="22" t="s">
        <v>65</v>
      </c>
      <c r="F3193" s="22" t="s">
        <v>37</v>
      </c>
      <c r="G3193" s="22" t="s">
        <v>126</v>
      </c>
      <c r="H3193" s="22" t="s">
        <v>67</v>
      </c>
      <c r="I3193" s="22" t="s">
        <v>123</v>
      </c>
      <c r="J3193" s="23">
        <v>48</v>
      </c>
      <c r="K3193" s="37">
        <v>0</v>
      </c>
      <c r="L3193" s="37">
        <v>5</v>
      </c>
      <c r="M3193" s="22">
        <f>IF(OR(ISBLANK(C3193),C3193=""),"",ROUND((C3193-B3193)*24,2))</f>
        <v>49.33</v>
      </c>
      <c r="N3193" s="38" t="str">
        <f>IF(OR(ISBLANK(C3193),C3193="",M3193=""),"In Progress",IF(M3193&lt;=J3193,"Met","Breached"))</f>
        <v>Breached</v>
      </c>
    </row>
    <row r="3194" ht="19" customHeight="1" spans="1:14" x14ac:dyDescent="0.25">
      <c r="A3194" s="19" t="s">
        <v>3308</v>
      </c>
      <c r="B3194" s="33">
        <v>45957.21041666667</v>
      </c>
      <c r="C3194" s="33">
        <v>45960.58194444445</v>
      </c>
      <c r="D3194" s="19" t="s">
        <v>33</v>
      </c>
      <c r="E3194" s="19" t="s">
        <v>65</v>
      </c>
      <c r="F3194" s="19" t="s">
        <v>43</v>
      </c>
      <c r="G3194" s="19" t="s">
        <v>126</v>
      </c>
      <c r="H3194" s="19" t="s">
        <v>59</v>
      </c>
      <c r="I3194" s="19" t="s">
        <v>117</v>
      </c>
      <c r="J3194" s="20">
        <v>48</v>
      </c>
      <c r="K3194" s="34">
        <v>0</v>
      </c>
      <c r="L3194" s="34">
        <v>2</v>
      </c>
      <c r="M3194" s="19">
        <f>IF(OR(ISBLANK(C3194),C3194=""),"",ROUND((C3194-B3194)*24,2))</f>
        <v>80.92</v>
      </c>
      <c r="N3194" s="39" t="str">
        <f>IF(OR(ISBLANK(C3194),C3194="",M3194=""),"In Progress",IF(M3194&lt;=J3194,"Met","Breached"))</f>
        <v>Breached</v>
      </c>
    </row>
    <row r="3195" ht="19" customHeight="1" spans="1:14" x14ac:dyDescent="0.25">
      <c r="A3195" s="22" t="s">
        <v>3309</v>
      </c>
      <c r="B3195" s="36">
        <v>46240.42708333333</v>
      </c>
      <c r="C3195" s="36">
        <v>46242.31736111111</v>
      </c>
      <c r="D3195" s="22" t="s">
        <v>36</v>
      </c>
      <c r="E3195" s="22" t="s">
        <v>65</v>
      </c>
      <c r="F3195" s="22" t="s">
        <v>45</v>
      </c>
      <c r="G3195" s="22" t="s">
        <v>116</v>
      </c>
      <c r="H3195" s="22" t="s">
        <v>59</v>
      </c>
      <c r="I3195" s="22" t="s">
        <v>123</v>
      </c>
      <c r="J3195" s="23">
        <v>48</v>
      </c>
      <c r="K3195" s="37">
        <v>0</v>
      </c>
      <c r="M3195" s="22">
        <f>IF(OR(ISBLANK(C3195),C3195=""),"",ROUND((C3195-B3195)*24,2))</f>
        <v>45.37</v>
      </c>
      <c r="N3195" s="40" t="str">
        <f>IF(OR(ISBLANK(C3195),C3195="",M3195=""),"In Progress",IF(M3195&lt;=J3195,"Met","Breached"))</f>
        <v>Met</v>
      </c>
    </row>
    <row r="3196" ht="19" customHeight="1" spans="1:14" x14ac:dyDescent="0.25">
      <c r="A3196" s="19" t="s">
        <v>3310</v>
      </c>
      <c r="B3196" s="33">
        <v>45928.61111111111</v>
      </c>
      <c r="C3196" s="33">
        <v>45931.799305555556</v>
      </c>
      <c r="D3196" s="19" t="s">
        <v>33</v>
      </c>
      <c r="E3196" s="19" t="s">
        <v>69</v>
      </c>
      <c r="F3196" s="19" t="s">
        <v>37</v>
      </c>
      <c r="G3196" s="19" t="s">
        <v>116</v>
      </c>
      <c r="H3196" s="19" t="s">
        <v>63</v>
      </c>
      <c r="I3196" s="19" t="s">
        <v>108</v>
      </c>
      <c r="J3196" s="20">
        <v>120</v>
      </c>
      <c r="K3196" s="34">
        <v>0</v>
      </c>
      <c r="L3196" s="34">
        <v>1</v>
      </c>
      <c r="M3196" s="19">
        <f>IF(OR(ISBLANK(C3196),C3196=""),"",ROUND((C3196-B3196)*24,2))</f>
        <v>76.52</v>
      </c>
      <c r="N3196" s="35" t="str">
        <f>IF(OR(ISBLANK(C3196),C3196="",M3196=""),"In Progress",IF(M3196&lt;=J3196,"Met","Breached"))</f>
        <v>Met</v>
      </c>
    </row>
    <row r="3197" ht="19" customHeight="1" spans="1:14" x14ac:dyDescent="0.25">
      <c r="A3197" s="22" t="s">
        <v>3311</v>
      </c>
      <c r="B3197" s="36">
        <v>46162.95277777778</v>
      </c>
      <c r="C3197" s="36">
        <v>46164.59097222222</v>
      </c>
      <c r="D3197" s="22" t="s">
        <v>33</v>
      </c>
      <c r="E3197" s="22" t="s">
        <v>65</v>
      </c>
      <c r="F3197" s="22" t="s">
        <v>37</v>
      </c>
      <c r="G3197" s="22" t="s">
        <v>110</v>
      </c>
      <c r="H3197" s="22" t="s">
        <v>59</v>
      </c>
      <c r="I3197" s="22" t="s">
        <v>111</v>
      </c>
      <c r="J3197" s="23">
        <v>48</v>
      </c>
      <c r="K3197" s="37">
        <v>0</v>
      </c>
      <c r="M3197" s="22">
        <f>IF(OR(ISBLANK(C3197),C3197=""),"",ROUND((C3197-B3197)*24,2))</f>
        <v>39.32</v>
      </c>
      <c r="N3197" s="40" t="str">
        <f>IF(OR(ISBLANK(C3197),C3197="",M3197=""),"In Progress",IF(M3197&lt;=J3197,"Met","Breached"))</f>
        <v>Met</v>
      </c>
    </row>
    <row r="3198" ht="19" customHeight="1" spans="1:14" x14ac:dyDescent="0.25">
      <c r="A3198" s="19" t="s">
        <v>3312</v>
      </c>
      <c r="B3198" s="33">
        <v>46276.03333333333</v>
      </c>
      <c r="C3198" s="33">
        <v>46276.353472222225</v>
      </c>
      <c r="D3198" s="19" t="s">
        <v>33</v>
      </c>
      <c r="E3198" s="19" t="s">
        <v>61</v>
      </c>
      <c r="F3198" s="19" t="s">
        <v>43</v>
      </c>
      <c r="G3198" s="19" t="s">
        <v>113</v>
      </c>
      <c r="H3198" s="19" t="s">
        <v>71</v>
      </c>
      <c r="I3198" s="19" t="s">
        <v>123</v>
      </c>
      <c r="J3198" s="20">
        <v>12</v>
      </c>
      <c r="K3198" s="34">
        <v>0</v>
      </c>
      <c r="L3198" s="34">
        <v>4</v>
      </c>
      <c r="M3198" s="19">
        <f>IF(OR(ISBLANK(C3198),C3198=""),"",ROUND((C3198-B3198)*24,2))</f>
        <v>7.68</v>
      </c>
      <c r="N3198" s="35" t="str">
        <f>IF(OR(ISBLANK(C3198),C3198="",M3198=""),"In Progress",IF(M3198&lt;=J3198,"Met","Breached"))</f>
        <v>Met</v>
      </c>
    </row>
    <row r="3199" ht="19" customHeight="1" spans="1:14" x14ac:dyDescent="0.25">
      <c r="A3199" s="22" t="s">
        <v>3313</v>
      </c>
      <c r="B3199" s="36">
        <v>45845.76736111111</v>
      </c>
      <c r="C3199" s="36">
        <v>45846.11458333333</v>
      </c>
      <c r="D3199" s="22" t="s">
        <v>36</v>
      </c>
      <c r="E3199" s="22" t="s">
        <v>61</v>
      </c>
      <c r="F3199" s="22" t="s">
        <v>37</v>
      </c>
      <c r="G3199" s="22" t="s">
        <v>116</v>
      </c>
      <c r="H3199" s="22" t="s">
        <v>63</v>
      </c>
      <c r="I3199" s="22" t="s">
        <v>147</v>
      </c>
      <c r="J3199" s="23">
        <v>12</v>
      </c>
      <c r="K3199" s="37">
        <v>0</v>
      </c>
      <c r="M3199" s="22">
        <f>IF(OR(ISBLANK(C3199),C3199=""),"",ROUND((C3199-B3199)*24,2))</f>
        <v>8.33</v>
      </c>
      <c r="N3199" s="40" t="str">
        <f>IF(OR(ISBLANK(C3199),C3199="",M3199=""),"In Progress",IF(M3199&lt;=J3199,"Met","Breached"))</f>
        <v>Met</v>
      </c>
    </row>
    <row r="3200" ht="19" customHeight="1" spans="1:14" x14ac:dyDescent="0.25">
      <c r="A3200" s="19" t="s">
        <v>3314</v>
      </c>
      <c r="B3200" s="33">
        <v>45882.64722222222</v>
      </c>
      <c r="D3200" s="19" t="s">
        <v>42</v>
      </c>
      <c r="E3200" s="19" t="s">
        <v>69</v>
      </c>
      <c r="F3200" s="19" t="s">
        <v>43</v>
      </c>
      <c r="G3200" s="19" t="s">
        <v>126</v>
      </c>
      <c r="H3200" s="19" t="s">
        <v>59</v>
      </c>
      <c r="I3200" s="19" t="s">
        <v>117</v>
      </c>
      <c r="J3200" s="20">
        <v>120</v>
      </c>
      <c r="K3200" s="34">
        <v>0</v>
      </c>
      <c r="M3200" s="19" t="str">
        <f>IF(OR(ISBLANK(C3200),C3200=""),"",ROUND((C3200-B3200)*24,2))</f>
        <v/>
      </c>
      <c r="N3200" s="19" t="str">
        <f>IF(OR(ISBLANK(C3200),C3200="",M3200=""),"In Progress",IF(M3200&lt;=J3200,"Met","Breached"))</f>
        <v>In Progress</v>
      </c>
    </row>
    <row r="3201" ht="19" customHeight="1" spans="1:14" x14ac:dyDescent="0.25">
      <c r="A3201" s="22" t="s">
        <v>3315</v>
      </c>
      <c r="B3201" s="36">
        <v>46176.490277777775</v>
      </c>
      <c r="C3201" s="36">
        <v>46177.88611111111</v>
      </c>
      <c r="D3201" s="22" t="s">
        <v>33</v>
      </c>
      <c r="E3201" s="22" t="s">
        <v>65</v>
      </c>
      <c r="F3201" s="22" t="s">
        <v>43</v>
      </c>
      <c r="G3201" s="22" t="s">
        <v>116</v>
      </c>
      <c r="H3201" s="22" t="s">
        <v>63</v>
      </c>
      <c r="I3201" s="22" t="s">
        <v>114</v>
      </c>
      <c r="J3201" s="23">
        <v>48</v>
      </c>
      <c r="K3201" s="37">
        <v>0</v>
      </c>
      <c r="L3201" s="37">
        <v>3</v>
      </c>
      <c r="M3201" s="22">
        <f>IF(OR(ISBLANK(C3201),C3201=""),"",ROUND((C3201-B3201)*24,2))</f>
        <v>33.5</v>
      </c>
      <c r="N3201" s="40" t="str">
        <f>IF(OR(ISBLANK(C3201),C3201="",M3201=""),"In Progress",IF(M3201&lt;=J3201,"Met","Breached"))</f>
        <v>Met</v>
      </c>
    </row>
    <row r="3202" ht="19" customHeight="1" spans="1:14" x14ac:dyDescent="0.25">
      <c r="A3202" s="19" t="s">
        <v>3316</v>
      </c>
      <c r="B3202" s="33">
        <v>45808.382638888885</v>
      </c>
      <c r="C3202" s="33">
        <v>45809.34305555555</v>
      </c>
      <c r="D3202" s="19" t="s">
        <v>33</v>
      </c>
      <c r="E3202" s="19" t="s">
        <v>65</v>
      </c>
      <c r="F3202" s="19" t="s">
        <v>43</v>
      </c>
      <c r="G3202" s="19" t="s">
        <v>126</v>
      </c>
      <c r="H3202" s="19" t="s">
        <v>63</v>
      </c>
      <c r="I3202" s="19" t="s">
        <v>114</v>
      </c>
      <c r="J3202" s="20">
        <v>48</v>
      </c>
      <c r="K3202" s="34">
        <v>0</v>
      </c>
      <c r="L3202" s="34">
        <v>2</v>
      </c>
      <c r="M3202" s="19">
        <f>IF(OR(ISBLANK(C3202),C3202=""),"",ROUND((C3202-B3202)*24,2))</f>
        <v>23.05</v>
      </c>
      <c r="N3202" s="35" t="str">
        <f>IF(OR(ISBLANK(C3202),C3202="",M3202=""),"In Progress",IF(M3202&lt;=J3202,"Met","Breached"))</f>
        <v>Met</v>
      </c>
    </row>
    <row r="3203" ht="19" customHeight="1" spans="1:14" x14ac:dyDescent="0.25">
      <c r="A3203" s="22" t="s">
        <v>3317</v>
      </c>
      <c r="B3203" s="36">
        <v>46283.81111111111</v>
      </c>
      <c r="C3203" s="36">
        <v>46284.39375</v>
      </c>
      <c r="D3203" s="22" t="s">
        <v>33</v>
      </c>
      <c r="E3203" s="22" t="s">
        <v>61</v>
      </c>
      <c r="F3203" s="22" t="s">
        <v>43</v>
      </c>
      <c r="G3203" s="22" t="s">
        <v>121</v>
      </c>
      <c r="H3203" s="22" t="s">
        <v>59</v>
      </c>
      <c r="I3203" s="22" t="s">
        <v>117</v>
      </c>
      <c r="J3203" s="23">
        <v>12</v>
      </c>
      <c r="K3203" s="37">
        <v>0</v>
      </c>
      <c r="M3203" s="22">
        <f>IF(OR(ISBLANK(C3203),C3203=""),"",ROUND((C3203-B3203)*24,2))</f>
        <v>13.98</v>
      </c>
      <c r="N3203" s="38" t="str">
        <f>IF(OR(ISBLANK(C3203),C3203="",M3203=""),"In Progress",IF(M3203&lt;=J3203,"Met","Breached"))</f>
        <v>Breached</v>
      </c>
    </row>
    <row r="3204" ht="19" customHeight="1" spans="1:14" x14ac:dyDescent="0.25">
      <c r="A3204" s="19" t="s">
        <v>3318</v>
      </c>
      <c r="B3204" s="33">
        <v>46120.336805555555</v>
      </c>
      <c r="C3204" s="33">
        <v>46122.48541666666</v>
      </c>
      <c r="D3204" s="19" t="s">
        <v>36</v>
      </c>
      <c r="E3204" s="19" t="s">
        <v>69</v>
      </c>
      <c r="F3204" s="19" t="s">
        <v>34</v>
      </c>
      <c r="G3204" s="19" t="s">
        <v>116</v>
      </c>
      <c r="H3204" s="19" t="s">
        <v>59</v>
      </c>
      <c r="I3204" s="19" t="s">
        <v>147</v>
      </c>
      <c r="J3204" s="20">
        <v>120</v>
      </c>
      <c r="K3204" s="34">
        <v>0</v>
      </c>
      <c r="L3204" s="34">
        <v>5</v>
      </c>
      <c r="M3204" s="19">
        <f>IF(OR(ISBLANK(C3204),C3204=""),"",ROUND((C3204-B3204)*24,2))</f>
        <v>51.57</v>
      </c>
      <c r="N3204" s="35" t="str">
        <f>IF(OR(ISBLANK(C3204),C3204="",M3204=""),"In Progress",IF(M3204&lt;=J3204,"Met","Breached"))</f>
        <v>Met</v>
      </c>
    </row>
    <row r="3205" ht="19" customHeight="1" spans="1:14" x14ac:dyDescent="0.25">
      <c r="A3205" s="22" t="s">
        <v>3319</v>
      </c>
      <c r="B3205" s="36">
        <v>45759.43541666667</v>
      </c>
      <c r="C3205" s="36">
        <v>45760.13055555556</v>
      </c>
      <c r="D3205" s="22" t="s">
        <v>33</v>
      </c>
      <c r="E3205" s="22" t="s">
        <v>61</v>
      </c>
      <c r="F3205" s="22" t="s">
        <v>45</v>
      </c>
      <c r="G3205" s="22" t="s">
        <v>63</v>
      </c>
      <c r="H3205" s="22" t="s">
        <v>59</v>
      </c>
      <c r="I3205" s="22" t="s">
        <v>123</v>
      </c>
      <c r="J3205" s="23">
        <v>12</v>
      </c>
      <c r="K3205" s="37">
        <v>0</v>
      </c>
      <c r="L3205" s="37">
        <v>2</v>
      </c>
      <c r="M3205" s="22">
        <f>IF(OR(ISBLANK(C3205),C3205=""),"",ROUND((C3205-B3205)*24,2))</f>
        <v>16.68</v>
      </c>
      <c r="N3205" s="38" t="str">
        <f>IF(OR(ISBLANK(C3205),C3205="",M3205=""),"In Progress",IF(M3205&lt;=J3205,"Met","Breached"))</f>
        <v>Breached</v>
      </c>
    </row>
    <row r="3206" ht="19" customHeight="1" spans="1:14" x14ac:dyDescent="0.25">
      <c r="A3206" s="19" t="s">
        <v>3320</v>
      </c>
      <c r="B3206" s="33">
        <v>45842.7375</v>
      </c>
      <c r="D3206" s="19" t="s">
        <v>42</v>
      </c>
      <c r="E3206" s="19" t="s">
        <v>65</v>
      </c>
      <c r="F3206" s="19" t="s">
        <v>34</v>
      </c>
      <c r="G3206" s="19" t="s">
        <v>63</v>
      </c>
      <c r="H3206" s="19" t="s">
        <v>59</v>
      </c>
      <c r="I3206" s="19" t="s">
        <v>111</v>
      </c>
      <c r="J3206" s="20">
        <v>48</v>
      </c>
      <c r="K3206" s="34">
        <v>0</v>
      </c>
      <c r="M3206" s="19" t="str">
        <f>IF(OR(ISBLANK(C3206),C3206=""),"",ROUND((C3206-B3206)*24,2))</f>
        <v/>
      </c>
      <c r="N3206" s="19" t="str">
        <f>IF(OR(ISBLANK(C3206),C3206="",M3206=""),"In Progress",IF(M3206&lt;=J3206,"Met","Breached"))</f>
        <v>In Progress</v>
      </c>
    </row>
    <row r="3207" ht="19" customHeight="1" spans="1:14" x14ac:dyDescent="0.25">
      <c r="A3207" s="22" t="s">
        <v>3321</v>
      </c>
      <c r="B3207" s="36">
        <v>46117.61875</v>
      </c>
      <c r="C3207" s="36">
        <v>46122.038194444445</v>
      </c>
      <c r="D3207" s="22" t="s">
        <v>36</v>
      </c>
      <c r="E3207" s="22" t="s">
        <v>69</v>
      </c>
      <c r="F3207" s="22" t="s">
        <v>34</v>
      </c>
      <c r="G3207" s="22" t="s">
        <v>126</v>
      </c>
      <c r="H3207" s="22" t="s">
        <v>59</v>
      </c>
      <c r="I3207" s="22" t="s">
        <v>108</v>
      </c>
      <c r="J3207" s="23">
        <v>120</v>
      </c>
      <c r="K3207" s="37">
        <v>0</v>
      </c>
      <c r="M3207" s="22">
        <f>IF(OR(ISBLANK(C3207),C3207=""),"",ROUND((C3207-B3207)*24,2))</f>
        <v>106.07</v>
      </c>
      <c r="N3207" s="40" t="str">
        <f>IF(OR(ISBLANK(C3207),C3207="",M3207=""),"In Progress",IF(M3207&lt;=J3207,"Met","Breached"))</f>
        <v>Met</v>
      </c>
    </row>
    <row r="3208" ht="19" customHeight="1" spans="1:14" x14ac:dyDescent="0.25">
      <c r="A3208" s="19" t="s">
        <v>3322</v>
      </c>
      <c r="B3208" s="33">
        <v>45690.9375</v>
      </c>
      <c r="C3208" s="33">
        <v>45698.26111111111</v>
      </c>
      <c r="D3208" s="19" t="s">
        <v>33</v>
      </c>
      <c r="E3208" s="19" t="s">
        <v>69</v>
      </c>
      <c r="F3208" s="19" t="s">
        <v>34</v>
      </c>
      <c r="G3208" s="19" t="s">
        <v>121</v>
      </c>
      <c r="H3208" s="19" t="s">
        <v>71</v>
      </c>
      <c r="I3208" s="19" t="s">
        <v>117</v>
      </c>
      <c r="J3208" s="20">
        <v>120</v>
      </c>
      <c r="K3208" s="34">
        <v>0</v>
      </c>
      <c r="M3208" s="19">
        <f>IF(OR(ISBLANK(C3208),C3208=""),"",ROUND((C3208-B3208)*24,2))</f>
        <v>175.77</v>
      </c>
      <c r="N3208" s="39" t="str">
        <f>IF(OR(ISBLANK(C3208),C3208="",M3208=""),"In Progress",IF(M3208&lt;=J3208,"Met","Breached"))</f>
        <v>Breached</v>
      </c>
    </row>
    <row r="3209" ht="19" customHeight="1" spans="1:14" x14ac:dyDescent="0.25">
      <c r="A3209" s="22" t="s">
        <v>3323</v>
      </c>
      <c r="B3209" s="36">
        <v>46241.56041666667</v>
      </c>
      <c r="C3209" s="36">
        <v>46242.538194444445</v>
      </c>
      <c r="D3209" s="22" t="s">
        <v>33</v>
      </c>
      <c r="E3209" s="22" t="s">
        <v>65</v>
      </c>
      <c r="F3209" s="22" t="s">
        <v>34</v>
      </c>
      <c r="G3209" s="22" t="s">
        <v>121</v>
      </c>
      <c r="H3209" s="22" t="s">
        <v>63</v>
      </c>
      <c r="I3209" s="22" t="s">
        <v>147</v>
      </c>
      <c r="J3209" s="23">
        <v>48</v>
      </c>
      <c r="K3209" s="37">
        <v>0</v>
      </c>
      <c r="L3209" s="37">
        <v>1</v>
      </c>
      <c r="M3209" s="22">
        <f>IF(OR(ISBLANK(C3209),C3209=""),"",ROUND((C3209-B3209)*24,2))</f>
        <v>23.47</v>
      </c>
      <c r="N3209" s="40" t="str">
        <f>IF(OR(ISBLANK(C3209),C3209="",M3209=""),"In Progress",IF(M3209&lt;=J3209,"Met","Breached"))</f>
        <v>Met</v>
      </c>
    </row>
    <row r="3210" ht="19" customHeight="1" spans="1:14" x14ac:dyDescent="0.25">
      <c r="A3210" s="19" t="s">
        <v>3324</v>
      </c>
      <c r="B3210" s="33">
        <v>46085.05694444444</v>
      </c>
      <c r="C3210" s="33">
        <v>46085.728472222225</v>
      </c>
      <c r="D3210" s="19" t="s">
        <v>36</v>
      </c>
      <c r="E3210" s="19" t="s">
        <v>61</v>
      </c>
      <c r="F3210" s="19" t="s">
        <v>45</v>
      </c>
      <c r="G3210" s="19" t="s">
        <v>113</v>
      </c>
      <c r="H3210" s="19" t="s">
        <v>63</v>
      </c>
      <c r="I3210" s="19" t="s">
        <v>108</v>
      </c>
      <c r="J3210" s="20">
        <v>12</v>
      </c>
      <c r="K3210" s="34">
        <v>0</v>
      </c>
      <c r="M3210" s="19">
        <f>IF(OR(ISBLANK(C3210),C3210=""),"",ROUND((C3210-B3210)*24,2))</f>
        <v>16.12</v>
      </c>
      <c r="N3210" s="39" t="str">
        <f>IF(OR(ISBLANK(C3210),C3210="",M3210=""),"In Progress",IF(M3210&lt;=J3210,"Met","Breached"))</f>
        <v>Breached</v>
      </c>
    </row>
    <row r="3211" ht="19" customHeight="1" spans="1:14" x14ac:dyDescent="0.25">
      <c r="A3211" s="22" t="s">
        <v>3325</v>
      </c>
      <c r="B3211" s="36">
        <v>45889.179861111115</v>
      </c>
      <c r="C3211" s="36">
        <v>45897.4875</v>
      </c>
      <c r="D3211" s="22" t="s">
        <v>36</v>
      </c>
      <c r="E3211" s="22" t="s">
        <v>69</v>
      </c>
      <c r="F3211" s="22" t="s">
        <v>40</v>
      </c>
      <c r="G3211" s="22" t="s">
        <v>113</v>
      </c>
      <c r="H3211" s="22" t="s">
        <v>59</v>
      </c>
      <c r="I3211" s="22" t="s">
        <v>108</v>
      </c>
      <c r="J3211" s="23">
        <v>120</v>
      </c>
      <c r="K3211" s="37">
        <v>0</v>
      </c>
      <c r="L3211" s="37">
        <v>3</v>
      </c>
      <c r="M3211" s="22">
        <f>IF(OR(ISBLANK(C3211),C3211=""),"",ROUND((C3211-B3211)*24,2))</f>
        <v>199.38</v>
      </c>
      <c r="N3211" s="38" t="str">
        <f>IF(OR(ISBLANK(C3211),C3211="",M3211=""),"In Progress",IF(M3211&lt;=J3211,"Met","Breached"))</f>
        <v>Breached</v>
      </c>
    </row>
    <row r="3212" ht="19" customHeight="1" spans="1:14" x14ac:dyDescent="0.25">
      <c r="A3212" s="19" t="s">
        <v>3326</v>
      </c>
      <c r="B3212" s="33">
        <v>45730.79375</v>
      </c>
      <c r="C3212" s="33">
        <v>45731.14791666667</v>
      </c>
      <c r="D3212" s="19" t="s">
        <v>36</v>
      </c>
      <c r="E3212" s="19" t="s">
        <v>61</v>
      </c>
      <c r="F3212" s="19" t="s">
        <v>37</v>
      </c>
      <c r="G3212" s="19" t="s">
        <v>121</v>
      </c>
      <c r="H3212" s="19" t="s">
        <v>59</v>
      </c>
      <c r="I3212" s="19" t="s">
        <v>147</v>
      </c>
      <c r="J3212" s="20">
        <v>12</v>
      </c>
      <c r="K3212" s="34">
        <v>0</v>
      </c>
      <c r="L3212" s="34">
        <v>2</v>
      </c>
      <c r="M3212" s="19">
        <f>IF(OR(ISBLANK(C3212),C3212=""),"",ROUND((C3212-B3212)*24,2))</f>
        <v>8.5</v>
      </c>
      <c r="N3212" s="35" t="str">
        <f>IF(OR(ISBLANK(C3212),C3212="",M3212=""),"In Progress",IF(M3212&lt;=J3212,"Met","Breached"))</f>
        <v>Met</v>
      </c>
    </row>
    <row r="3213" ht="19" customHeight="1" spans="1:14" x14ac:dyDescent="0.25">
      <c r="A3213" s="22" t="s">
        <v>3327</v>
      </c>
      <c r="B3213" s="36">
        <v>46096.165972222225</v>
      </c>
      <c r="C3213" s="36">
        <v>46098.19027777778</v>
      </c>
      <c r="D3213" s="22" t="s">
        <v>33</v>
      </c>
      <c r="E3213" s="22" t="s">
        <v>69</v>
      </c>
      <c r="F3213" s="22" t="s">
        <v>37</v>
      </c>
      <c r="G3213" s="22" t="s">
        <v>116</v>
      </c>
      <c r="H3213" s="22" t="s">
        <v>67</v>
      </c>
      <c r="I3213" s="22" t="s">
        <v>117</v>
      </c>
      <c r="J3213" s="23">
        <v>120</v>
      </c>
      <c r="K3213" s="37">
        <v>0</v>
      </c>
      <c r="L3213" s="37">
        <v>2</v>
      </c>
      <c r="M3213" s="22">
        <f>IF(OR(ISBLANK(C3213),C3213=""),"",ROUND((C3213-B3213)*24,2))</f>
        <v>48.58</v>
      </c>
      <c r="N3213" s="40" t="str">
        <f>IF(OR(ISBLANK(C3213),C3213="",M3213=""),"In Progress",IF(M3213&lt;=J3213,"Met","Breached"))</f>
        <v>Met</v>
      </c>
    </row>
    <row r="3214" ht="19" customHeight="1" spans="1:14" x14ac:dyDescent="0.25">
      <c r="A3214" s="19" t="s">
        <v>3328</v>
      </c>
      <c r="B3214" s="33">
        <v>45850.16875</v>
      </c>
      <c r="D3214" s="19" t="s">
        <v>39</v>
      </c>
      <c r="E3214" s="19" t="s">
        <v>65</v>
      </c>
      <c r="F3214" s="19" t="s">
        <v>43</v>
      </c>
      <c r="G3214" s="19" t="s">
        <v>63</v>
      </c>
      <c r="H3214" s="19" t="s">
        <v>59</v>
      </c>
      <c r="I3214" s="19" t="s">
        <v>111</v>
      </c>
      <c r="J3214" s="20">
        <v>48</v>
      </c>
      <c r="K3214" s="34">
        <v>0</v>
      </c>
      <c r="M3214" s="19" t="str">
        <f>IF(OR(ISBLANK(C3214),C3214=""),"",ROUND((C3214-B3214)*24,2))</f>
        <v/>
      </c>
      <c r="N3214" s="19" t="str">
        <f>IF(OR(ISBLANK(C3214),C3214="",M3214=""),"In Progress",IF(M3214&lt;=J3214,"Met","Breached"))</f>
        <v>In Progress</v>
      </c>
    </row>
    <row r="3215" ht="19" customHeight="1" spans="1:14" x14ac:dyDescent="0.25">
      <c r="A3215" s="22" t="s">
        <v>3329</v>
      </c>
      <c r="B3215" s="36">
        <v>45829.21875</v>
      </c>
      <c r="D3215" s="22" t="s">
        <v>39</v>
      </c>
      <c r="E3215" s="22" t="s">
        <v>61</v>
      </c>
      <c r="F3215" s="22" t="s">
        <v>45</v>
      </c>
      <c r="G3215" s="22" t="s">
        <v>63</v>
      </c>
      <c r="H3215" s="22" t="s">
        <v>67</v>
      </c>
      <c r="I3215" s="22" t="s">
        <v>147</v>
      </c>
      <c r="J3215" s="23">
        <v>12</v>
      </c>
      <c r="K3215" s="37">
        <v>0</v>
      </c>
      <c r="M3215" s="22" t="str">
        <f>IF(OR(ISBLANK(C3215),C3215=""),"",ROUND((C3215-B3215)*24,2))</f>
        <v/>
      </c>
      <c r="N3215" s="22" t="str">
        <f>IF(OR(ISBLANK(C3215),C3215="",M3215=""),"In Progress",IF(M3215&lt;=J3215,"Met","Breached"))</f>
        <v>In Progress</v>
      </c>
    </row>
    <row r="3216" ht="19" customHeight="1" spans="1:14" x14ac:dyDescent="0.25">
      <c r="A3216" s="19" t="s">
        <v>3330</v>
      </c>
      <c r="B3216" s="33">
        <v>46048.75486111111</v>
      </c>
      <c r="D3216" s="19" t="s">
        <v>42</v>
      </c>
      <c r="E3216" s="19" t="s">
        <v>69</v>
      </c>
      <c r="F3216" s="19" t="s">
        <v>45</v>
      </c>
      <c r="G3216" s="19" t="s">
        <v>126</v>
      </c>
      <c r="H3216" s="19" t="s">
        <v>63</v>
      </c>
      <c r="I3216" s="19" t="s">
        <v>117</v>
      </c>
      <c r="J3216" s="20">
        <v>120</v>
      </c>
      <c r="K3216" s="34">
        <v>0</v>
      </c>
      <c r="M3216" s="19" t="str">
        <f>IF(OR(ISBLANK(C3216),C3216=""),"",ROUND((C3216-B3216)*24,2))</f>
        <v/>
      </c>
      <c r="N3216" s="19" t="str">
        <f>IF(OR(ISBLANK(C3216),C3216="",M3216=""),"In Progress",IF(M3216&lt;=J3216,"Met","Breached"))</f>
        <v>In Progress</v>
      </c>
    </row>
    <row r="3217" ht="19" customHeight="1" spans="1:14" x14ac:dyDescent="0.25">
      <c r="A3217" s="22" t="s">
        <v>3331</v>
      </c>
      <c r="B3217" s="36">
        <v>45883.87152777778</v>
      </c>
      <c r="C3217" s="36">
        <v>45892.41527777778</v>
      </c>
      <c r="D3217" s="22" t="s">
        <v>33</v>
      </c>
      <c r="E3217" s="22" t="s">
        <v>69</v>
      </c>
      <c r="F3217" s="22" t="s">
        <v>34</v>
      </c>
      <c r="G3217" s="22" t="s">
        <v>113</v>
      </c>
      <c r="H3217" s="22" t="s">
        <v>63</v>
      </c>
      <c r="I3217" s="22" t="s">
        <v>123</v>
      </c>
      <c r="J3217" s="23">
        <v>120</v>
      </c>
      <c r="K3217" s="37">
        <v>0</v>
      </c>
      <c r="L3217" s="37">
        <v>2</v>
      </c>
      <c r="M3217" s="22">
        <f>IF(OR(ISBLANK(C3217),C3217=""),"",ROUND((C3217-B3217)*24,2))</f>
        <v>205.05</v>
      </c>
      <c r="N3217" s="38" t="str">
        <f>IF(OR(ISBLANK(C3217),C3217="",M3217=""),"In Progress",IF(M3217&lt;=J3217,"Met","Breached"))</f>
        <v>Breached</v>
      </c>
    </row>
    <row r="3218" ht="19" customHeight="1" spans="1:14" x14ac:dyDescent="0.25">
      <c r="A3218" s="19" t="s">
        <v>3332</v>
      </c>
      <c r="B3218" s="33">
        <v>46104.13402777778</v>
      </c>
      <c r="C3218" s="33">
        <v>46104.64166666666</v>
      </c>
      <c r="D3218" s="19" t="s">
        <v>33</v>
      </c>
      <c r="E3218" s="19" t="s">
        <v>61</v>
      </c>
      <c r="F3218" s="19" t="s">
        <v>40</v>
      </c>
      <c r="G3218" s="19" t="s">
        <v>110</v>
      </c>
      <c r="H3218" s="19" t="s">
        <v>71</v>
      </c>
      <c r="I3218" s="19" t="s">
        <v>147</v>
      </c>
      <c r="J3218" s="20">
        <v>12</v>
      </c>
      <c r="K3218" s="34">
        <v>0</v>
      </c>
      <c r="L3218" s="34">
        <v>4</v>
      </c>
      <c r="M3218" s="19">
        <f>IF(OR(ISBLANK(C3218),C3218=""),"",ROUND((C3218-B3218)*24,2))</f>
        <v>12.18</v>
      </c>
      <c r="N3218" s="39" t="str">
        <f>IF(OR(ISBLANK(C3218),C3218="",M3218=""),"In Progress",IF(M3218&lt;=J3218,"Met","Breached"))</f>
        <v>Breached</v>
      </c>
    </row>
    <row r="3219" ht="19" customHeight="1" spans="1:14" x14ac:dyDescent="0.25">
      <c r="A3219" s="22" t="s">
        <v>3333</v>
      </c>
      <c r="B3219" s="36">
        <v>46065.23958333333</v>
      </c>
      <c r="C3219" s="36">
        <v>46070.89236111111</v>
      </c>
      <c r="D3219" s="22" t="s">
        <v>33</v>
      </c>
      <c r="E3219" s="22" t="s">
        <v>69</v>
      </c>
      <c r="F3219" s="22" t="s">
        <v>43</v>
      </c>
      <c r="G3219" s="22" t="s">
        <v>110</v>
      </c>
      <c r="H3219" s="22" t="s">
        <v>63</v>
      </c>
      <c r="I3219" s="22" t="s">
        <v>111</v>
      </c>
      <c r="J3219" s="23">
        <v>120</v>
      </c>
      <c r="K3219" s="37">
        <v>0</v>
      </c>
      <c r="L3219" s="37">
        <v>3</v>
      </c>
      <c r="M3219" s="22">
        <f>IF(OR(ISBLANK(C3219),C3219=""),"",ROUND((C3219-B3219)*24,2))</f>
        <v>135.67</v>
      </c>
      <c r="N3219" s="38" t="str">
        <f>IF(OR(ISBLANK(C3219),C3219="",M3219=""),"In Progress",IF(M3219&lt;=J3219,"Met","Breached"))</f>
        <v>Breached</v>
      </c>
    </row>
    <row r="3220" ht="19" customHeight="1" spans="1:14" x14ac:dyDescent="0.25">
      <c r="A3220" s="19" t="s">
        <v>3334</v>
      </c>
      <c r="B3220" s="33">
        <v>46277.59236111111</v>
      </c>
      <c r="C3220" s="33">
        <v>46278.02986111111</v>
      </c>
      <c r="D3220" s="19" t="s">
        <v>36</v>
      </c>
      <c r="E3220" s="19" t="s">
        <v>61</v>
      </c>
      <c r="F3220" s="19" t="s">
        <v>45</v>
      </c>
      <c r="G3220" s="19" t="s">
        <v>116</v>
      </c>
      <c r="H3220" s="19" t="s">
        <v>67</v>
      </c>
      <c r="I3220" s="19" t="s">
        <v>147</v>
      </c>
      <c r="J3220" s="20">
        <v>12</v>
      </c>
      <c r="K3220" s="34">
        <v>0</v>
      </c>
      <c r="L3220" s="34">
        <v>4</v>
      </c>
      <c r="M3220" s="19">
        <f>IF(OR(ISBLANK(C3220),C3220=""),"",ROUND((C3220-B3220)*24,2))</f>
        <v>10.5</v>
      </c>
      <c r="N3220" s="35" t="str">
        <f>IF(OR(ISBLANK(C3220),C3220="",M3220=""),"In Progress",IF(M3220&lt;=J3220,"Met","Breached"))</f>
        <v>Met</v>
      </c>
    </row>
    <row r="3221" ht="19" customHeight="1" spans="1:14" x14ac:dyDescent="0.25">
      <c r="A3221" s="22" t="s">
        <v>3335</v>
      </c>
      <c r="B3221" s="36">
        <v>46262.38333333333</v>
      </c>
      <c r="C3221" s="36">
        <v>46264.00486111111</v>
      </c>
      <c r="D3221" s="22" t="s">
        <v>33</v>
      </c>
      <c r="E3221" s="22" t="s">
        <v>65</v>
      </c>
      <c r="F3221" s="22" t="s">
        <v>34</v>
      </c>
      <c r="G3221" s="22" t="s">
        <v>110</v>
      </c>
      <c r="H3221" s="22" t="s">
        <v>59</v>
      </c>
      <c r="I3221" s="22" t="s">
        <v>123</v>
      </c>
      <c r="J3221" s="23">
        <v>48</v>
      </c>
      <c r="K3221" s="37">
        <v>0</v>
      </c>
      <c r="L3221" s="37">
        <v>3</v>
      </c>
      <c r="M3221" s="22">
        <f>IF(OR(ISBLANK(C3221),C3221=""),"",ROUND((C3221-B3221)*24,2))</f>
        <v>38.92</v>
      </c>
      <c r="N3221" s="40" t="str">
        <f>IF(OR(ISBLANK(C3221),C3221="",M3221=""),"In Progress",IF(M3221&lt;=J3221,"Met","Breached"))</f>
        <v>Met</v>
      </c>
    </row>
    <row r="3222" ht="19" customHeight="1" spans="1:14" x14ac:dyDescent="0.25">
      <c r="A3222" s="19" t="s">
        <v>3336</v>
      </c>
      <c r="B3222" s="33">
        <v>45703.07986111111</v>
      </c>
      <c r="C3222" s="33">
        <v>45703.82638888889</v>
      </c>
      <c r="D3222" s="19" t="s">
        <v>33</v>
      </c>
      <c r="E3222" s="19" t="s">
        <v>61</v>
      </c>
      <c r="F3222" s="19" t="s">
        <v>45</v>
      </c>
      <c r="G3222" s="19" t="s">
        <v>63</v>
      </c>
      <c r="H3222" s="19" t="s">
        <v>63</v>
      </c>
      <c r="I3222" s="19" t="s">
        <v>117</v>
      </c>
      <c r="J3222" s="20">
        <v>12</v>
      </c>
      <c r="K3222" s="34">
        <v>0</v>
      </c>
      <c r="M3222" s="19">
        <f>IF(OR(ISBLANK(C3222),C3222=""),"",ROUND((C3222-B3222)*24,2))</f>
        <v>17.92</v>
      </c>
      <c r="N3222" s="39" t="str">
        <f>IF(OR(ISBLANK(C3222),C3222="",M3222=""),"In Progress",IF(M3222&lt;=J3222,"Met","Breached"))</f>
        <v>Breached</v>
      </c>
    </row>
    <row r="3223" ht="19" customHeight="1" spans="1:14" x14ac:dyDescent="0.25">
      <c r="A3223" s="22" t="s">
        <v>3337</v>
      </c>
      <c r="B3223" s="36">
        <v>46004.913888888885</v>
      </c>
      <c r="C3223" s="36">
        <v>46006.3</v>
      </c>
      <c r="D3223" s="22" t="s">
        <v>36</v>
      </c>
      <c r="E3223" s="22" t="s">
        <v>65</v>
      </c>
      <c r="F3223" s="22" t="s">
        <v>40</v>
      </c>
      <c r="G3223" s="22" t="s">
        <v>110</v>
      </c>
      <c r="H3223" s="22" t="s">
        <v>67</v>
      </c>
      <c r="I3223" s="22" t="s">
        <v>147</v>
      </c>
      <c r="J3223" s="23">
        <v>48</v>
      </c>
      <c r="K3223" s="37">
        <v>0</v>
      </c>
      <c r="L3223" s="37">
        <v>2</v>
      </c>
      <c r="M3223" s="22">
        <f>IF(OR(ISBLANK(C3223),C3223=""),"",ROUND((C3223-B3223)*24,2))</f>
        <v>33.27</v>
      </c>
      <c r="N3223" s="40" t="str">
        <f>IF(OR(ISBLANK(C3223),C3223="",M3223=""),"In Progress",IF(M3223&lt;=J3223,"Met","Breached"))</f>
        <v>Met</v>
      </c>
    </row>
    <row r="3224" ht="19" customHeight="1" spans="1:14" x14ac:dyDescent="0.25">
      <c r="A3224" s="19" t="s">
        <v>3338</v>
      </c>
      <c r="B3224" s="33">
        <v>45951.84375</v>
      </c>
      <c r="C3224" s="33">
        <v>45956.44861111111</v>
      </c>
      <c r="D3224" s="19" t="s">
        <v>33</v>
      </c>
      <c r="E3224" s="19" t="s">
        <v>69</v>
      </c>
      <c r="F3224" s="19" t="s">
        <v>43</v>
      </c>
      <c r="G3224" s="19" t="s">
        <v>113</v>
      </c>
      <c r="H3224" s="19" t="s">
        <v>67</v>
      </c>
      <c r="I3224" s="19" t="s">
        <v>111</v>
      </c>
      <c r="J3224" s="20">
        <v>120</v>
      </c>
      <c r="K3224" s="34">
        <v>0</v>
      </c>
      <c r="L3224" s="34">
        <v>3</v>
      </c>
      <c r="M3224" s="19">
        <f>IF(OR(ISBLANK(C3224),C3224=""),"",ROUND((C3224-B3224)*24,2))</f>
        <v>110.52</v>
      </c>
      <c r="N3224" s="35" t="str">
        <f>IF(OR(ISBLANK(C3224),C3224="",M3224=""),"In Progress",IF(M3224&lt;=J3224,"Met","Breached"))</f>
        <v>Met</v>
      </c>
    </row>
    <row r="3225" ht="19" customHeight="1" spans="1:14" x14ac:dyDescent="0.25">
      <c r="A3225" s="22" t="s">
        <v>3339</v>
      </c>
      <c r="B3225" s="36">
        <v>46126.17916666667</v>
      </c>
      <c r="C3225" s="36">
        <v>46126.927777777775</v>
      </c>
      <c r="D3225" s="22" t="s">
        <v>33</v>
      </c>
      <c r="E3225" s="22" t="s">
        <v>61</v>
      </c>
      <c r="F3225" s="22" t="s">
        <v>34</v>
      </c>
      <c r="G3225" s="22" t="s">
        <v>121</v>
      </c>
      <c r="H3225" s="22" t="s">
        <v>67</v>
      </c>
      <c r="I3225" s="22" t="s">
        <v>108</v>
      </c>
      <c r="J3225" s="23">
        <v>12</v>
      </c>
      <c r="K3225" s="37">
        <v>0</v>
      </c>
      <c r="L3225" s="37">
        <v>3</v>
      </c>
      <c r="M3225" s="22">
        <f>IF(OR(ISBLANK(C3225),C3225=""),"",ROUND((C3225-B3225)*24,2))</f>
        <v>17.97</v>
      </c>
      <c r="N3225" s="38" t="str">
        <f>IF(OR(ISBLANK(C3225),C3225="",M3225=""),"In Progress",IF(M3225&lt;=J3225,"Met","Breached"))</f>
        <v>Breached</v>
      </c>
    </row>
    <row r="3226" ht="19" customHeight="1" spans="1:14" x14ac:dyDescent="0.25">
      <c r="A3226" s="19" t="s">
        <v>3340</v>
      </c>
      <c r="B3226" s="33">
        <v>46135.225694444445</v>
      </c>
      <c r="C3226" s="33">
        <v>46136.16875</v>
      </c>
      <c r="D3226" s="19" t="s">
        <v>36</v>
      </c>
      <c r="E3226" s="19" t="s">
        <v>65</v>
      </c>
      <c r="F3226" s="19" t="s">
        <v>43</v>
      </c>
      <c r="G3226" s="19" t="s">
        <v>121</v>
      </c>
      <c r="H3226" s="19" t="s">
        <v>59</v>
      </c>
      <c r="I3226" s="19" t="s">
        <v>123</v>
      </c>
      <c r="J3226" s="20">
        <v>48</v>
      </c>
      <c r="K3226" s="34">
        <v>0</v>
      </c>
      <c r="M3226" s="19">
        <f>IF(OR(ISBLANK(C3226),C3226=""),"",ROUND((C3226-B3226)*24,2))</f>
        <v>22.63</v>
      </c>
      <c r="N3226" s="35" t="str">
        <f>IF(OR(ISBLANK(C3226),C3226="",M3226=""),"In Progress",IF(M3226&lt;=J3226,"Met","Breached"))</f>
        <v>Met</v>
      </c>
    </row>
    <row r="3227" ht="19" customHeight="1" spans="1:14" x14ac:dyDescent="0.25">
      <c r="A3227" s="22" t="s">
        <v>3341</v>
      </c>
      <c r="B3227" s="36">
        <v>46230.11875</v>
      </c>
      <c r="C3227" s="36">
        <v>46230.45833333333</v>
      </c>
      <c r="D3227" s="22" t="s">
        <v>33</v>
      </c>
      <c r="E3227" s="22" t="s">
        <v>61</v>
      </c>
      <c r="F3227" s="22" t="s">
        <v>45</v>
      </c>
      <c r="G3227" s="22" t="s">
        <v>126</v>
      </c>
      <c r="H3227" s="22" t="s">
        <v>59</v>
      </c>
      <c r="I3227" s="22" t="s">
        <v>123</v>
      </c>
      <c r="J3227" s="23">
        <v>12</v>
      </c>
      <c r="K3227" s="37">
        <v>1</v>
      </c>
      <c r="L3227" s="37">
        <v>2</v>
      </c>
      <c r="M3227" s="22">
        <f>IF(OR(ISBLANK(C3227),C3227=""),"",ROUND((C3227-B3227)*24,2))</f>
        <v>8.15</v>
      </c>
      <c r="N3227" s="40" t="str">
        <f>IF(OR(ISBLANK(C3227),C3227="",M3227=""),"In Progress",IF(M3227&lt;=J3227,"Met","Breached"))</f>
        <v>Met</v>
      </c>
    </row>
    <row r="3228" ht="19" customHeight="1" spans="1:14" x14ac:dyDescent="0.25">
      <c r="A3228" s="19" t="s">
        <v>3342</v>
      </c>
      <c r="B3228" s="33">
        <v>46265.45486111111</v>
      </c>
      <c r="C3228" s="33">
        <v>46270.47013888889</v>
      </c>
      <c r="D3228" s="19" t="s">
        <v>33</v>
      </c>
      <c r="E3228" s="19" t="s">
        <v>69</v>
      </c>
      <c r="F3228" s="19" t="s">
        <v>45</v>
      </c>
      <c r="G3228" s="19" t="s">
        <v>63</v>
      </c>
      <c r="H3228" s="19" t="s">
        <v>59</v>
      </c>
      <c r="I3228" s="19" t="s">
        <v>114</v>
      </c>
      <c r="J3228" s="20">
        <v>120</v>
      </c>
      <c r="K3228" s="34">
        <v>0</v>
      </c>
      <c r="M3228" s="19">
        <f>IF(OR(ISBLANK(C3228),C3228=""),"",ROUND((C3228-B3228)*24,2))</f>
        <v>120.37</v>
      </c>
      <c r="N3228" s="39" t="str">
        <f>IF(OR(ISBLANK(C3228),C3228="",M3228=""),"In Progress",IF(M3228&lt;=J3228,"Met","Breached"))</f>
        <v>Breached</v>
      </c>
    </row>
    <row r="3229" ht="19" customHeight="1" spans="1:14" x14ac:dyDescent="0.25">
      <c r="A3229" s="22" t="s">
        <v>3343</v>
      </c>
      <c r="B3229" s="36">
        <v>46267.0375</v>
      </c>
      <c r="C3229" s="36">
        <v>46267.29791666666</v>
      </c>
      <c r="D3229" s="22" t="s">
        <v>36</v>
      </c>
      <c r="E3229" s="22" t="s">
        <v>57</v>
      </c>
      <c r="F3229" s="22" t="s">
        <v>37</v>
      </c>
      <c r="G3229" s="22" t="s">
        <v>63</v>
      </c>
      <c r="H3229" s="22" t="s">
        <v>63</v>
      </c>
      <c r="I3229" s="22" t="s">
        <v>114</v>
      </c>
      <c r="J3229" s="23">
        <v>4</v>
      </c>
      <c r="K3229" s="37">
        <v>0</v>
      </c>
      <c r="L3229" s="37">
        <v>1</v>
      </c>
      <c r="M3229" s="22">
        <f>IF(OR(ISBLANK(C3229),C3229=""),"",ROUND((C3229-B3229)*24,2))</f>
        <v>6.25</v>
      </c>
      <c r="N3229" s="38" t="str">
        <f>IF(OR(ISBLANK(C3229),C3229="",M3229=""),"In Progress",IF(M3229&lt;=J3229,"Met","Breached"))</f>
        <v>Breached</v>
      </c>
    </row>
    <row r="3230" ht="19" customHeight="1" spans="1:14" x14ac:dyDescent="0.25">
      <c r="A3230" s="19" t="s">
        <v>3344</v>
      </c>
      <c r="B3230" s="33">
        <v>45688.66736111111</v>
      </c>
      <c r="D3230" s="19" t="s">
        <v>39</v>
      </c>
      <c r="E3230" s="19" t="s">
        <v>69</v>
      </c>
      <c r="F3230" s="19" t="s">
        <v>37</v>
      </c>
      <c r="G3230" s="19" t="s">
        <v>110</v>
      </c>
      <c r="H3230" s="19" t="s">
        <v>59</v>
      </c>
      <c r="I3230" s="19" t="s">
        <v>147</v>
      </c>
      <c r="J3230" s="20">
        <v>120</v>
      </c>
      <c r="K3230" s="34">
        <v>0</v>
      </c>
      <c r="M3230" s="19" t="str">
        <f>IF(OR(ISBLANK(C3230),C3230=""),"",ROUND((C3230-B3230)*24,2))</f>
        <v/>
      </c>
      <c r="N3230" s="19" t="str">
        <f>IF(OR(ISBLANK(C3230),C3230="",M3230=""),"In Progress",IF(M3230&lt;=J3230,"Met","Breached"))</f>
        <v>In Progress</v>
      </c>
    </row>
    <row r="3231" ht="19" customHeight="1" spans="1:14" x14ac:dyDescent="0.25">
      <c r="A3231" s="22" t="s">
        <v>3345</v>
      </c>
      <c r="B3231" s="36">
        <v>45708.32083333333</v>
      </c>
      <c r="C3231" s="36">
        <v>45708.455555555556</v>
      </c>
      <c r="D3231" s="22" t="s">
        <v>36</v>
      </c>
      <c r="E3231" s="22" t="s">
        <v>57</v>
      </c>
      <c r="F3231" s="22" t="s">
        <v>40</v>
      </c>
      <c r="G3231" s="22" t="s">
        <v>126</v>
      </c>
      <c r="H3231" s="22" t="s">
        <v>67</v>
      </c>
      <c r="I3231" s="22" t="s">
        <v>111</v>
      </c>
      <c r="J3231" s="23">
        <v>4</v>
      </c>
      <c r="K3231" s="37">
        <v>0</v>
      </c>
      <c r="L3231" s="37">
        <v>5</v>
      </c>
      <c r="M3231" s="22">
        <f>IF(OR(ISBLANK(C3231),C3231=""),"",ROUND((C3231-B3231)*24,2))</f>
        <v>3.23</v>
      </c>
      <c r="N3231" s="40" t="str">
        <f>IF(OR(ISBLANK(C3231),C3231="",M3231=""),"In Progress",IF(M3231&lt;=J3231,"Met","Breached"))</f>
        <v>Met</v>
      </c>
    </row>
    <row r="3232" ht="19" customHeight="1" spans="1:14" x14ac:dyDescent="0.25">
      <c r="A3232" s="19" t="s">
        <v>3346</v>
      </c>
      <c r="B3232" s="33">
        <v>45901.924305555556</v>
      </c>
      <c r="C3232" s="33">
        <v>45904.05069444445</v>
      </c>
      <c r="D3232" s="19" t="s">
        <v>33</v>
      </c>
      <c r="E3232" s="19" t="s">
        <v>65</v>
      </c>
      <c r="F3232" s="19" t="s">
        <v>45</v>
      </c>
      <c r="G3232" s="19" t="s">
        <v>116</v>
      </c>
      <c r="H3232" s="19" t="s">
        <v>59</v>
      </c>
      <c r="I3232" s="19" t="s">
        <v>123</v>
      </c>
      <c r="J3232" s="20">
        <v>48</v>
      </c>
      <c r="K3232" s="34">
        <v>0</v>
      </c>
      <c r="L3232" s="34">
        <v>1</v>
      </c>
      <c r="M3232" s="19">
        <f>IF(OR(ISBLANK(C3232),C3232=""),"",ROUND((C3232-B3232)*24,2))</f>
        <v>51.03</v>
      </c>
      <c r="N3232" s="39" t="str">
        <f>IF(OR(ISBLANK(C3232),C3232="",M3232=""),"In Progress",IF(M3232&lt;=J3232,"Met","Breached"))</f>
        <v>Breached</v>
      </c>
    </row>
    <row r="3233" ht="19" customHeight="1" spans="1:14" x14ac:dyDescent="0.25">
      <c r="A3233" s="22" t="s">
        <v>3347</v>
      </c>
      <c r="B3233" s="36">
        <v>45977.21527777778</v>
      </c>
      <c r="D3233" s="22" t="s">
        <v>39</v>
      </c>
      <c r="E3233" s="22" t="s">
        <v>65</v>
      </c>
      <c r="F3233" s="22" t="s">
        <v>34</v>
      </c>
      <c r="G3233" s="22" t="s">
        <v>113</v>
      </c>
      <c r="H3233" s="22" t="s">
        <v>71</v>
      </c>
      <c r="I3233" s="22" t="s">
        <v>108</v>
      </c>
      <c r="J3233" s="23">
        <v>48</v>
      </c>
      <c r="K3233" s="37">
        <v>0</v>
      </c>
      <c r="M3233" s="22" t="str">
        <f>IF(OR(ISBLANK(C3233),C3233=""),"",ROUND((C3233-B3233)*24,2))</f>
        <v/>
      </c>
      <c r="N3233" s="22" t="str">
        <f>IF(OR(ISBLANK(C3233),C3233="",M3233=""),"In Progress",IF(M3233&lt;=J3233,"Met","Breached"))</f>
        <v>In Progress</v>
      </c>
    </row>
    <row r="3234" ht="19" customHeight="1" spans="1:14" x14ac:dyDescent="0.25">
      <c r="A3234" s="19" t="s">
        <v>3348</v>
      </c>
      <c r="B3234" s="33">
        <v>45686.90069444444</v>
      </c>
      <c r="C3234" s="33">
        <v>45690.09027777778</v>
      </c>
      <c r="D3234" s="19" t="s">
        <v>33</v>
      </c>
      <c r="E3234" s="19" t="s">
        <v>65</v>
      </c>
      <c r="F3234" s="19" t="s">
        <v>37</v>
      </c>
      <c r="G3234" s="19" t="s">
        <v>63</v>
      </c>
      <c r="H3234" s="19" t="s">
        <v>71</v>
      </c>
      <c r="I3234" s="19" t="s">
        <v>147</v>
      </c>
      <c r="J3234" s="20">
        <v>48</v>
      </c>
      <c r="K3234" s="34">
        <v>0</v>
      </c>
      <c r="L3234" s="34">
        <v>1</v>
      </c>
      <c r="M3234" s="19">
        <f>IF(OR(ISBLANK(C3234),C3234=""),"",ROUND((C3234-B3234)*24,2))</f>
        <v>76.55</v>
      </c>
      <c r="N3234" s="39" t="str">
        <f>IF(OR(ISBLANK(C3234),C3234="",M3234=""),"In Progress",IF(M3234&lt;=J3234,"Met","Breached"))</f>
        <v>Breached</v>
      </c>
    </row>
    <row r="3235" ht="19" customHeight="1" spans="1:14" x14ac:dyDescent="0.25">
      <c r="A3235" s="22" t="s">
        <v>3349</v>
      </c>
      <c r="B3235" s="36">
        <v>45743.2375</v>
      </c>
      <c r="D3235" s="22" t="s">
        <v>42</v>
      </c>
      <c r="E3235" s="22" t="s">
        <v>65</v>
      </c>
      <c r="F3235" s="22" t="s">
        <v>45</v>
      </c>
      <c r="G3235" s="22" t="s">
        <v>63</v>
      </c>
      <c r="H3235" s="22" t="s">
        <v>63</v>
      </c>
      <c r="I3235" s="22" t="s">
        <v>147</v>
      </c>
      <c r="J3235" s="23">
        <v>48</v>
      </c>
      <c r="K3235" s="37">
        <v>0</v>
      </c>
      <c r="M3235" s="22" t="str">
        <f>IF(OR(ISBLANK(C3235),C3235=""),"",ROUND((C3235-B3235)*24,2))</f>
        <v/>
      </c>
      <c r="N3235" s="22" t="str">
        <f>IF(OR(ISBLANK(C3235),C3235="",M3235=""),"In Progress",IF(M3235&lt;=J3235,"Met","Breached"))</f>
        <v>In Progress</v>
      </c>
    </row>
    <row r="3236" ht="19" customHeight="1" spans="1:14" x14ac:dyDescent="0.25">
      <c r="A3236" s="19" t="s">
        <v>3350</v>
      </c>
      <c r="B3236" s="33">
        <v>45859.19375</v>
      </c>
      <c r="C3236" s="33">
        <v>45861.31527777778</v>
      </c>
      <c r="D3236" s="19" t="s">
        <v>33</v>
      </c>
      <c r="E3236" s="19" t="s">
        <v>65</v>
      </c>
      <c r="F3236" s="19" t="s">
        <v>40</v>
      </c>
      <c r="G3236" s="19" t="s">
        <v>113</v>
      </c>
      <c r="H3236" s="19" t="s">
        <v>63</v>
      </c>
      <c r="I3236" s="19" t="s">
        <v>117</v>
      </c>
      <c r="J3236" s="20">
        <v>48</v>
      </c>
      <c r="K3236" s="34">
        <v>1</v>
      </c>
      <c r="L3236" s="34">
        <v>3</v>
      </c>
      <c r="M3236" s="19">
        <f>IF(OR(ISBLANK(C3236),C3236=""),"",ROUND((C3236-B3236)*24,2))</f>
        <v>50.92</v>
      </c>
      <c r="N3236" s="39" t="str">
        <f>IF(OR(ISBLANK(C3236),C3236="",M3236=""),"In Progress",IF(M3236&lt;=J3236,"Met","Breached"))</f>
        <v>Breached</v>
      </c>
    </row>
    <row r="3237" ht="19" customHeight="1" spans="1:14" x14ac:dyDescent="0.25">
      <c r="A3237" s="22" t="s">
        <v>3351</v>
      </c>
      <c r="B3237" s="36">
        <v>45766.910416666666</v>
      </c>
      <c r="C3237" s="36">
        <v>45768.30625</v>
      </c>
      <c r="D3237" s="22" t="s">
        <v>33</v>
      </c>
      <c r="E3237" s="22" t="s">
        <v>65</v>
      </c>
      <c r="F3237" s="22" t="s">
        <v>45</v>
      </c>
      <c r="G3237" s="22" t="s">
        <v>110</v>
      </c>
      <c r="H3237" s="22" t="s">
        <v>71</v>
      </c>
      <c r="I3237" s="22" t="s">
        <v>114</v>
      </c>
      <c r="J3237" s="23">
        <v>48</v>
      </c>
      <c r="K3237" s="37">
        <v>0</v>
      </c>
      <c r="M3237" s="22">
        <f>IF(OR(ISBLANK(C3237),C3237=""),"",ROUND((C3237-B3237)*24,2))</f>
        <v>33.5</v>
      </c>
      <c r="N3237" s="40" t="str">
        <f>IF(OR(ISBLANK(C3237),C3237="",M3237=""),"In Progress",IF(M3237&lt;=J3237,"Met","Breached"))</f>
        <v>Met</v>
      </c>
    </row>
    <row r="3238" ht="19" customHeight="1" spans="1:14" x14ac:dyDescent="0.25">
      <c r="A3238" s="19" t="s">
        <v>3352</v>
      </c>
      <c r="B3238" s="33">
        <v>45936.32708333334</v>
      </c>
      <c r="C3238" s="33">
        <v>45939.888194444444</v>
      </c>
      <c r="D3238" s="19" t="s">
        <v>33</v>
      </c>
      <c r="E3238" s="19" t="s">
        <v>65</v>
      </c>
      <c r="F3238" s="19" t="s">
        <v>40</v>
      </c>
      <c r="G3238" s="19" t="s">
        <v>113</v>
      </c>
      <c r="H3238" s="19" t="s">
        <v>63</v>
      </c>
      <c r="I3238" s="19" t="s">
        <v>147</v>
      </c>
      <c r="J3238" s="20">
        <v>48</v>
      </c>
      <c r="K3238" s="34">
        <v>0</v>
      </c>
      <c r="L3238" s="34">
        <v>5</v>
      </c>
      <c r="M3238" s="19">
        <f>IF(OR(ISBLANK(C3238),C3238=""),"",ROUND((C3238-B3238)*24,2))</f>
        <v>85.47</v>
      </c>
      <c r="N3238" s="39" t="str">
        <f>IF(OR(ISBLANK(C3238),C3238="",M3238=""),"In Progress",IF(M3238&lt;=J3238,"Met","Breached"))</f>
        <v>Breached</v>
      </c>
    </row>
    <row r="3239" ht="19" customHeight="1" spans="1:14" x14ac:dyDescent="0.25">
      <c r="A3239" s="22" t="s">
        <v>3353</v>
      </c>
      <c r="B3239" s="36">
        <v>46140.83472222222</v>
      </c>
      <c r="C3239" s="36">
        <v>46141.06805555556</v>
      </c>
      <c r="D3239" s="22" t="s">
        <v>33</v>
      </c>
      <c r="E3239" s="22" t="s">
        <v>61</v>
      </c>
      <c r="F3239" s="22" t="s">
        <v>45</v>
      </c>
      <c r="G3239" s="22" t="s">
        <v>63</v>
      </c>
      <c r="H3239" s="22" t="s">
        <v>67</v>
      </c>
      <c r="I3239" s="22" t="s">
        <v>117</v>
      </c>
      <c r="J3239" s="23">
        <v>12</v>
      </c>
      <c r="K3239" s="37">
        <v>0</v>
      </c>
      <c r="L3239" s="37">
        <v>5</v>
      </c>
      <c r="M3239" s="22">
        <f>IF(OR(ISBLANK(C3239),C3239=""),"",ROUND((C3239-B3239)*24,2))</f>
        <v>5.6</v>
      </c>
      <c r="N3239" s="40" t="str">
        <f>IF(OR(ISBLANK(C3239),C3239="",M3239=""),"In Progress",IF(M3239&lt;=J3239,"Met","Breached"))</f>
        <v>Met</v>
      </c>
    </row>
    <row r="3240" ht="19" customHeight="1" spans="1:14" x14ac:dyDescent="0.25">
      <c r="A3240" s="19" t="s">
        <v>3354</v>
      </c>
      <c r="B3240" s="33">
        <v>45700.70347222222</v>
      </c>
      <c r="C3240" s="33">
        <v>45703.83472222222</v>
      </c>
      <c r="D3240" s="19" t="s">
        <v>33</v>
      </c>
      <c r="E3240" s="19" t="s">
        <v>69</v>
      </c>
      <c r="F3240" s="19" t="s">
        <v>37</v>
      </c>
      <c r="G3240" s="19" t="s">
        <v>121</v>
      </c>
      <c r="H3240" s="19" t="s">
        <v>59</v>
      </c>
      <c r="I3240" s="19" t="s">
        <v>108</v>
      </c>
      <c r="J3240" s="20">
        <v>120</v>
      </c>
      <c r="K3240" s="34">
        <v>0</v>
      </c>
      <c r="L3240" s="34">
        <v>2</v>
      </c>
      <c r="M3240" s="19">
        <f>IF(OR(ISBLANK(C3240),C3240=""),"",ROUND((C3240-B3240)*24,2))</f>
        <v>75.15</v>
      </c>
      <c r="N3240" s="35" t="str">
        <f>IF(OR(ISBLANK(C3240),C3240="",M3240=""),"In Progress",IF(M3240&lt;=J3240,"Met","Breached"))</f>
        <v>Met</v>
      </c>
    </row>
    <row r="3241" ht="19" customHeight="1" spans="1:14" x14ac:dyDescent="0.25">
      <c r="A3241" s="22" t="s">
        <v>3355</v>
      </c>
      <c r="B3241" s="36">
        <v>45859.8125</v>
      </c>
      <c r="C3241" s="36">
        <v>45862.71319444444</v>
      </c>
      <c r="D3241" s="22" t="s">
        <v>33</v>
      </c>
      <c r="E3241" s="22" t="s">
        <v>65</v>
      </c>
      <c r="F3241" s="22" t="s">
        <v>34</v>
      </c>
      <c r="G3241" s="22" t="s">
        <v>110</v>
      </c>
      <c r="H3241" s="22" t="s">
        <v>59</v>
      </c>
      <c r="I3241" s="22" t="s">
        <v>117</v>
      </c>
      <c r="J3241" s="23">
        <v>48</v>
      </c>
      <c r="K3241" s="37">
        <v>1</v>
      </c>
      <c r="L3241" s="37">
        <v>4</v>
      </c>
      <c r="M3241" s="22">
        <f>IF(OR(ISBLANK(C3241),C3241=""),"",ROUND((C3241-B3241)*24,2))</f>
        <v>69.62</v>
      </c>
      <c r="N3241" s="38" t="str">
        <f>IF(OR(ISBLANK(C3241),C3241="",M3241=""),"In Progress",IF(M3241&lt;=J3241,"Met","Breached"))</f>
        <v>Breached</v>
      </c>
    </row>
    <row r="3242" ht="19" customHeight="1" spans="1:14" x14ac:dyDescent="0.25">
      <c r="A3242" s="19" t="s">
        <v>3356</v>
      </c>
      <c r="B3242" s="33">
        <v>45970.48472222222</v>
      </c>
      <c r="D3242" s="19" t="s">
        <v>39</v>
      </c>
      <c r="E3242" s="19" t="s">
        <v>65</v>
      </c>
      <c r="F3242" s="19" t="s">
        <v>34</v>
      </c>
      <c r="G3242" s="19" t="s">
        <v>126</v>
      </c>
      <c r="H3242" s="19" t="s">
        <v>59</v>
      </c>
      <c r="I3242" s="19" t="s">
        <v>111</v>
      </c>
      <c r="J3242" s="20">
        <v>48</v>
      </c>
      <c r="K3242" s="34">
        <v>0</v>
      </c>
      <c r="M3242" s="19" t="str">
        <f>IF(OR(ISBLANK(C3242),C3242=""),"",ROUND((C3242-B3242)*24,2))</f>
        <v/>
      </c>
      <c r="N3242" s="19" t="str">
        <f>IF(OR(ISBLANK(C3242),C3242="",M3242=""),"In Progress",IF(M3242&lt;=J3242,"Met","Breached"))</f>
        <v>In Progress</v>
      </c>
    </row>
    <row r="3243" ht="19" customHeight="1" spans="1:14" x14ac:dyDescent="0.25">
      <c r="A3243" s="22" t="s">
        <v>3357</v>
      </c>
      <c r="B3243" s="36">
        <v>45732.39513888889</v>
      </c>
      <c r="C3243" s="36">
        <v>45734.34722222222</v>
      </c>
      <c r="D3243" s="22" t="s">
        <v>33</v>
      </c>
      <c r="E3243" s="22" t="s">
        <v>65</v>
      </c>
      <c r="F3243" s="22" t="s">
        <v>43</v>
      </c>
      <c r="G3243" s="22" t="s">
        <v>110</v>
      </c>
      <c r="H3243" s="22" t="s">
        <v>59</v>
      </c>
      <c r="I3243" s="22" t="s">
        <v>147</v>
      </c>
      <c r="J3243" s="23">
        <v>48</v>
      </c>
      <c r="K3243" s="37">
        <v>0</v>
      </c>
      <c r="M3243" s="22">
        <f>IF(OR(ISBLANK(C3243),C3243=""),"",ROUND((C3243-B3243)*24,2))</f>
        <v>46.85</v>
      </c>
      <c r="N3243" s="40" t="str">
        <f>IF(OR(ISBLANK(C3243),C3243="",M3243=""),"In Progress",IF(M3243&lt;=J3243,"Met","Breached"))</f>
        <v>Met</v>
      </c>
    </row>
    <row r="3244" ht="19" customHeight="1" spans="1:14" x14ac:dyDescent="0.25">
      <c r="A3244" s="19" t="s">
        <v>3358</v>
      </c>
      <c r="B3244" s="33">
        <v>46078.01597222222</v>
      </c>
      <c r="C3244" s="33">
        <v>46080.13888888889</v>
      </c>
      <c r="D3244" s="19" t="s">
        <v>33</v>
      </c>
      <c r="E3244" s="19" t="s">
        <v>65</v>
      </c>
      <c r="F3244" s="19" t="s">
        <v>37</v>
      </c>
      <c r="G3244" s="19" t="s">
        <v>113</v>
      </c>
      <c r="H3244" s="19" t="s">
        <v>59</v>
      </c>
      <c r="I3244" s="19" t="s">
        <v>108</v>
      </c>
      <c r="J3244" s="20">
        <v>48</v>
      </c>
      <c r="K3244" s="34">
        <v>1</v>
      </c>
      <c r="L3244" s="34">
        <v>5</v>
      </c>
      <c r="M3244" s="19">
        <f>IF(OR(ISBLANK(C3244),C3244=""),"",ROUND((C3244-B3244)*24,2))</f>
        <v>50.95</v>
      </c>
      <c r="N3244" s="39" t="str">
        <f>IF(OR(ISBLANK(C3244),C3244="",M3244=""),"In Progress",IF(M3244&lt;=J3244,"Met","Breached"))</f>
        <v>Breached</v>
      </c>
    </row>
    <row r="3245" ht="19" customHeight="1" spans="1:14" x14ac:dyDescent="0.25">
      <c r="A3245" s="22" t="s">
        <v>3359</v>
      </c>
      <c r="B3245" s="36">
        <v>45758.74444444444</v>
      </c>
      <c r="C3245" s="36">
        <v>45761.757638888885</v>
      </c>
      <c r="D3245" s="22" t="s">
        <v>33</v>
      </c>
      <c r="E3245" s="22" t="s">
        <v>65</v>
      </c>
      <c r="F3245" s="22" t="s">
        <v>37</v>
      </c>
      <c r="G3245" s="22" t="s">
        <v>63</v>
      </c>
      <c r="H3245" s="22" t="s">
        <v>67</v>
      </c>
      <c r="I3245" s="22" t="s">
        <v>117</v>
      </c>
      <c r="J3245" s="23">
        <v>48</v>
      </c>
      <c r="K3245" s="37">
        <v>0</v>
      </c>
      <c r="L3245" s="37">
        <v>2</v>
      </c>
      <c r="M3245" s="22">
        <f>IF(OR(ISBLANK(C3245),C3245=""),"",ROUND((C3245-B3245)*24,2))</f>
        <v>72.32</v>
      </c>
      <c r="N3245" s="38" t="str">
        <f>IF(OR(ISBLANK(C3245),C3245="",M3245=""),"In Progress",IF(M3245&lt;=J3245,"Met","Breached"))</f>
        <v>Breached</v>
      </c>
    </row>
    <row r="3246" ht="19" customHeight="1" spans="1:14" x14ac:dyDescent="0.25">
      <c r="A3246" s="19" t="s">
        <v>3360</v>
      </c>
      <c r="B3246" s="33">
        <v>46110.49722222222</v>
      </c>
      <c r="C3246" s="33">
        <v>46111.305555555555</v>
      </c>
      <c r="D3246" s="19" t="s">
        <v>33</v>
      </c>
      <c r="E3246" s="19" t="s">
        <v>61</v>
      </c>
      <c r="F3246" s="19" t="s">
        <v>43</v>
      </c>
      <c r="G3246" s="19" t="s">
        <v>110</v>
      </c>
      <c r="H3246" s="19" t="s">
        <v>67</v>
      </c>
      <c r="I3246" s="19" t="s">
        <v>147</v>
      </c>
      <c r="J3246" s="20">
        <v>12</v>
      </c>
      <c r="K3246" s="34">
        <v>0</v>
      </c>
      <c r="L3246" s="34">
        <v>1</v>
      </c>
      <c r="M3246" s="19">
        <f>IF(OR(ISBLANK(C3246),C3246=""),"",ROUND((C3246-B3246)*24,2))</f>
        <v>19.4</v>
      </c>
      <c r="N3246" s="39" t="str">
        <f>IF(OR(ISBLANK(C3246),C3246="",M3246=""),"In Progress",IF(M3246&lt;=J3246,"Met","Breached"))</f>
        <v>Breached</v>
      </c>
    </row>
    <row r="3247" ht="19" customHeight="1" spans="1:14" x14ac:dyDescent="0.25">
      <c r="A3247" s="22" t="s">
        <v>3361</v>
      </c>
      <c r="B3247" s="36">
        <v>45849.433333333334</v>
      </c>
      <c r="C3247" s="36">
        <v>45852.67083333334</v>
      </c>
      <c r="D3247" s="22" t="s">
        <v>33</v>
      </c>
      <c r="E3247" s="22" t="s">
        <v>69</v>
      </c>
      <c r="F3247" s="22" t="s">
        <v>34</v>
      </c>
      <c r="G3247" s="22" t="s">
        <v>63</v>
      </c>
      <c r="H3247" s="22" t="s">
        <v>59</v>
      </c>
      <c r="I3247" s="22" t="s">
        <v>117</v>
      </c>
      <c r="J3247" s="23">
        <v>120</v>
      </c>
      <c r="K3247" s="37">
        <v>0</v>
      </c>
      <c r="L3247" s="37">
        <v>1</v>
      </c>
      <c r="M3247" s="22">
        <f>IF(OR(ISBLANK(C3247),C3247=""),"",ROUND((C3247-B3247)*24,2))</f>
        <v>77.7</v>
      </c>
      <c r="N3247" s="40" t="str">
        <f>IF(OR(ISBLANK(C3247),C3247="",M3247=""),"In Progress",IF(M3247&lt;=J3247,"Met","Breached"))</f>
        <v>Met</v>
      </c>
    </row>
    <row r="3248" ht="19" customHeight="1" spans="1:14" x14ac:dyDescent="0.25">
      <c r="A3248" s="19" t="s">
        <v>3362</v>
      </c>
      <c r="B3248" s="33">
        <v>46024.75347222222</v>
      </c>
      <c r="C3248" s="33">
        <v>46026.44097222222</v>
      </c>
      <c r="D3248" s="19" t="s">
        <v>33</v>
      </c>
      <c r="E3248" s="19" t="s">
        <v>65</v>
      </c>
      <c r="F3248" s="19" t="s">
        <v>43</v>
      </c>
      <c r="G3248" s="19" t="s">
        <v>63</v>
      </c>
      <c r="H3248" s="19" t="s">
        <v>63</v>
      </c>
      <c r="I3248" s="19" t="s">
        <v>117</v>
      </c>
      <c r="J3248" s="20">
        <v>48</v>
      </c>
      <c r="K3248" s="34">
        <v>0</v>
      </c>
      <c r="L3248" s="34">
        <v>2</v>
      </c>
      <c r="M3248" s="19">
        <f>IF(OR(ISBLANK(C3248),C3248=""),"",ROUND((C3248-B3248)*24,2))</f>
        <v>40.5</v>
      </c>
      <c r="N3248" s="35" t="str">
        <f>IF(OR(ISBLANK(C3248),C3248="",M3248=""),"In Progress",IF(M3248&lt;=J3248,"Met","Breached"))</f>
        <v>Met</v>
      </c>
    </row>
    <row r="3249" ht="19" customHeight="1" spans="1:14" x14ac:dyDescent="0.25">
      <c r="A3249" s="22" t="s">
        <v>3363</v>
      </c>
      <c r="B3249" s="36">
        <v>46083.34722222222</v>
      </c>
      <c r="C3249" s="36">
        <v>46083.6875</v>
      </c>
      <c r="D3249" s="22" t="s">
        <v>36</v>
      </c>
      <c r="E3249" s="22" t="s">
        <v>61</v>
      </c>
      <c r="F3249" s="22" t="s">
        <v>37</v>
      </c>
      <c r="G3249" s="22" t="s">
        <v>113</v>
      </c>
      <c r="H3249" s="22" t="s">
        <v>67</v>
      </c>
      <c r="I3249" s="22" t="s">
        <v>108</v>
      </c>
      <c r="J3249" s="23">
        <v>12</v>
      </c>
      <c r="K3249" s="37">
        <v>0</v>
      </c>
      <c r="M3249" s="22">
        <f>IF(OR(ISBLANK(C3249),C3249=""),"",ROUND((C3249-B3249)*24,2))</f>
        <v>8.17</v>
      </c>
      <c r="N3249" s="40" t="str">
        <f>IF(OR(ISBLANK(C3249),C3249="",M3249=""),"In Progress",IF(M3249&lt;=J3249,"Met","Breached"))</f>
        <v>Met</v>
      </c>
    </row>
    <row r="3250" ht="19" customHeight="1" spans="1:14" x14ac:dyDescent="0.25">
      <c r="A3250" s="19" t="s">
        <v>3364</v>
      </c>
      <c r="B3250" s="33">
        <v>46060.94305555556</v>
      </c>
      <c r="D3250" s="19" t="s">
        <v>39</v>
      </c>
      <c r="E3250" s="19" t="s">
        <v>65</v>
      </c>
      <c r="F3250" s="19" t="s">
        <v>40</v>
      </c>
      <c r="G3250" s="19" t="s">
        <v>126</v>
      </c>
      <c r="H3250" s="19" t="s">
        <v>67</v>
      </c>
      <c r="I3250" s="19" t="s">
        <v>117</v>
      </c>
      <c r="J3250" s="20">
        <v>48</v>
      </c>
      <c r="K3250" s="34">
        <v>0</v>
      </c>
      <c r="M3250" s="19" t="str">
        <f>IF(OR(ISBLANK(C3250),C3250=""),"",ROUND((C3250-B3250)*24,2))</f>
        <v/>
      </c>
      <c r="N3250" s="19" t="str">
        <f>IF(OR(ISBLANK(C3250),C3250="",M3250=""),"In Progress",IF(M3250&lt;=J3250,"Met","Breached"))</f>
        <v>In Progress</v>
      </c>
    </row>
    <row r="3251" ht="19" customHeight="1" spans="1:14" x14ac:dyDescent="0.25">
      <c r="A3251" s="22" t="s">
        <v>3365</v>
      </c>
      <c r="B3251" s="36">
        <v>45674.986805555556</v>
      </c>
      <c r="C3251" s="36">
        <v>45675.46388888889</v>
      </c>
      <c r="D3251" s="22" t="s">
        <v>33</v>
      </c>
      <c r="E3251" s="22" t="s">
        <v>61</v>
      </c>
      <c r="F3251" s="22" t="s">
        <v>34</v>
      </c>
      <c r="G3251" s="22" t="s">
        <v>110</v>
      </c>
      <c r="H3251" s="22" t="s">
        <v>67</v>
      </c>
      <c r="I3251" s="22" t="s">
        <v>117</v>
      </c>
      <c r="J3251" s="23">
        <v>12</v>
      </c>
      <c r="K3251" s="37">
        <v>1</v>
      </c>
      <c r="L3251" s="37">
        <v>5</v>
      </c>
      <c r="M3251" s="22">
        <f>IF(OR(ISBLANK(C3251),C3251=""),"",ROUND((C3251-B3251)*24,2))</f>
        <v>11.45</v>
      </c>
      <c r="N3251" s="40" t="str">
        <f>IF(OR(ISBLANK(C3251),C3251="",M3251=""),"In Progress",IF(M3251&lt;=J3251,"Met","Breached"))</f>
        <v>Met</v>
      </c>
    </row>
    <row r="3252" ht="19" customHeight="1" spans="1:14" x14ac:dyDescent="0.25">
      <c r="A3252" s="19" t="s">
        <v>3366</v>
      </c>
      <c r="B3252" s="33">
        <v>46145.50833333333</v>
      </c>
      <c r="C3252" s="33">
        <v>46147.9</v>
      </c>
      <c r="D3252" s="19" t="s">
        <v>33</v>
      </c>
      <c r="E3252" s="19" t="s">
        <v>69</v>
      </c>
      <c r="F3252" s="19" t="s">
        <v>43</v>
      </c>
      <c r="G3252" s="19" t="s">
        <v>110</v>
      </c>
      <c r="H3252" s="19" t="s">
        <v>59</v>
      </c>
      <c r="I3252" s="19" t="s">
        <v>117</v>
      </c>
      <c r="J3252" s="20">
        <v>120</v>
      </c>
      <c r="K3252" s="34">
        <v>0</v>
      </c>
      <c r="L3252" s="34">
        <v>2</v>
      </c>
      <c r="M3252" s="19">
        <f>IF(OR(ISBLANK(C3252),C3252=""),"",ROUND((C3252-B3252)*24,2))</f>
        <v>57.4</v>
      </c>
      <c r="N3252" s="35" t="str">
        <f>IF(OR(ISBLANK(C3252),C3252="",M3252=""),"In Progress",IF(M3252&lt;=J3252,"Met","Breached"))</f>
        <v>Met</v>
      </c>
    </row>
    <row r="3253" ht="19" customHeight="1" spans="1:14" x14ac:dyDescent="0.25">
      <c r="A3253" s="22" t="s">
        <v>3367</v>
      </c>
      <c r="B3253" s="36">
        <v>45800.45208333334</v>
      </c>
      <c r="C3253" s="36">
        <v>45801.43263888889</v>
      </c>
      <c r="D3253" s="22" t="s">
        <v>33</v>
      </c>
      <c r="E3253" s="22" t="s">
        <v>65</v>
      </c>
      <c r="F3253" s="22" t="s">
        <v>40</v>
      </c>
      <c r="G3253" s="22" t="s">
        <v>126</v>
      </c>
      <c r="H3253" s="22" t="s">
        <v>59</v>
      </c>
      <c r="I3253" s="22" t="s">
        <v>117</v>
      </c>
      <c r="J3253" s="23">
        <v>48</v>
      </c>
      <c r="K3253" s="37">
        <v>0</v>
      </c>
      <c r="M3253" s="22">
        <f>IF(OR(ISBLANK(C3253),C3253=""),"",ROUND((C3253-B3253)*24,2))</f>
        <v>23.53</v>
      </c>
      <c r="N3253" s="40" t="str">
        <f>IF(OR(ISBLANK(C3253),C3253="",M3253=""),"In Progress",IF(M3253&lt;=J3253,"Met","Breached"))</f>
        <v>Met</v>
      </c>
    </row>
    <row r="3254" ht="19" customHeight="1" spans="1:14" x14ac:dyDescent="0.25">
      <c r="A3254" s="19" t="s">
        <v>3368</v>
      </c>
      <c r="B3254" s="33">
        <v>45974.10277777778</v>
      </c>
      <c r="C3254" s="33">
        <v>45974.15972222222</v>
      </c>
      <c r="D3254" s="19" t="s">
        <v>36</v>
      </c>
      <c r="E3254" s="19" t="s">
        <v>57</v>
      </c>
      <c r="F3254" s="19" t="s">
        <v>34</v>
      </c>
      <c r="G3254" s="19" t="s">
        <v>126</v>
      </c>
      <c r="H3254" s="19" t="s">
        <v>63</v>
      </c>
      <c r="I3254" s="19" t="s">
        <v>108</v>
      </c>
      <c r="J3254" s="20">
        <v>4</v>
      </c>
      <c r="K3254" s="34">
        <v>0</v>
      </c>
      <c r="L3254" s="34">
        <v>2</v>
      </c>
      <c r="M3254" s="19">
        <f>IF(OR(ISBLANK(C3254),C3254=""),"",ROUND((C3254-B3254)*24,2))</f>
        <v>1.37</v>
      </c>
      <c r="N3254" s="35" t="str">
        <f>IF(OR(ISBLANK(C3254),C3254="",M3254=""),"In Progress",IF(M3254&lt;=J3254,"Met","Breached"))</f>
        <v>Met</v>
      </c>
    </row>
    <row r="3255" ht="19" customHeight="1" spans="1:14" x14ac:dyDescent="0.25">
      <c r="A3255" s="22" t="s">
        <v>3369</v>
      </c>
      <c r="B3255" s="36">
        <v>45965.71041666667</v>
      </c>
      <c r="D3255" s="22" t="s">
        <v>39</v>
      </c>
      <c r="E3255" s="22" t="s">
        <v>65</v>
      </c>
      <c r="F3255" s="22" t="s">
        <v>40</v>
      </c>
      <c r="G3255" s="22" t="s">
        <v>63</v>
      </c>
      <c r="H3255" s="22" t="s">
        <v>59</v>
      </c>
      <c r="I3255" s="22" t="s">
        <v>108</v>
      </c>
      <c r="J3255" s="23">
        <v>48</v>
      </c>
      <c r="K3255" s="37">
        <v>0</v>
      </c>
      <c r="M3255" s="22" t="str">
        <f>IF(OR(ISBLANK(C3255),C3255=""),"",ROUND((C3255-B3255)*24,2))</f>
        <v/>
      </c>
      <c r="N3255" s="22" t="str">
        <f>IF(OR(ISBLANK(C3255),C3255="",M3255=""),"In Progress",IF(M3255&lt;=J3255,"Met","Breached"))</f>
        <v>In Progress</v>
      </c>
    </row>
    <row r="3256" ht="19" customHeight="1" spans="1:14" x14ac:dyDescent="0.25">
      <c r="A3256" s="19" t="s">
        <v>3370</v>
      </c>
      <c r="B3256" s="33">
        <v>46122.40694444445</v>
      </c>
      <c r="C3256" s="33">
        <v>46123.38611111111</v>
      </c>
      <c r="D3256" s="19" t="s">
        <v>33</v>
      </c>
      <c r="E3256" s="19" t="s">
        <v>65</v>
      </c>
      <c r="F3256" s="19" t="s">
        <v>45</v>
      </c>
      <c r="G3256" s="19" t="s">
        <v>116</v>
      </c>
      <c r="H3256" s="19" t="s">
        <v>71</v>
      </c>
      <c r="I3256" s="19" t="s">
        <v>108</v>
      </c>
      <c r="J3256" s="20">
        <v>48</v>
      </c>
      <c r="K3256" s="34">
        <v>0</v>
      </c>
      <c r="L3256" s="34">
        <v>1</v>
      </c>
      <c r="M3256" s="19">
        <f>IF(OR(ISBLANK(C3256),C3256=""),"",ROUND((C3256-B3256)*24,2))</f>
        <v>23.5</v>
      </c>
      <c r="N3256" s="35" t="str">
        <f>IF(OR(ISBLANK(C3256),C3256="",M3256=""),"In Progress",IF(M3256&lt;=J3256,"Met","Breached"))</f>
        <v>Met</v>
      </c>
    </row>
    <row r="3257" ht="19" customHeight="1" spans="1:14" x14ac:dyDescent="0.25">
      <c r="A3257" s="22" t="s">
        <v>3371</v>
      </c>
      <c r="B3257" s="36">
        <v>46029.37291666667</v>
      </c>
      <c r="C3257" s="36">
        <v>46030.129166666666</v>
      </c>
      <c r="D3257" s="22" t="s">
        <v>36</v>
      </c>
      <c r="E3257" s="22" t="s">
        <v>65</v>
      </c>
      <c r="F3257" s="22" t="s">
        <v>45</v>
      </c>
      <c r="G3257" s="22" t="s">
        <v>113</v>
      </c>
      <c r="H3257" s="22" t="s">
        <v>59</v>
      </c>
      <c r="I3257" s="22" t="s">
        <v>147</v>
      </c>
      <c r="J3257" s="23">
        <v>48</v>
      </c>
      <c r="K3257" s="37">
        <v>1</v>
      </c>
      <c r="L3257" s="37">
        <v>3</v>
      </c>
      <c r="M3257" s="22">
        <f>IF(OR(ISBLANK(C3257),C3257=""),"",ROUND((C3257-B3257)*24,2))</f>
        <v>18.15</v>
      </c>
      <c r="N3257" s="40" t="str">
        <f>IF(OR(ISBLANK(C3257),C3257="",M3257=""),"In Progress",IF(M3257&lt;=J3257,"Met","Breached"))</f>
        <v>Met</v>
      </c>
    </row>
    <row r="3258" ht="19" customHeight="1" spans="1:14" x14ac:dyDescent="0.25">
      <c r="A3258" s="19" t="s">
        <v>3372</v>
      </c>
      <c r="B3258" s="33">
        <v>46248.268055555556</v>
      </c>
      <c r="C3258" s="33">
        <v>46255.0125</v>
      </c>
      <c r="D3258" s="19" t="s">
        <v>36</v>
      </c>
      <c r="E3258" s="19" t="s">
        <v>69</v>
      </c>
      <c r="F3258" s="19" t="s">
        <v>40</v>
      </c>
      <c r="G3258" s="19" t="s">
        <v>126</v>
      </c>
      <c r="H3258" s="19" t="s">
        <v>67</v>
      </c>
      <c r="I3258" s="19" t="s">
        <v>114</v>
      </c>
      <c r="J3258" s="20">
        <v>120</v>
      </c>
      <c r="K3258" s="34">
        <v>0</v>
      </c>
      <c r="M3258" s="19">
        <f>IF(OR(ISBLANK(C3258),C3258=""),"",ROUND((C3258-B3258)*24,2))</f>
        <v>161.87</v>
      </c>
      <c r="N3258" s="39" t="str">
        <f>IF(OR(ISBLANK(C3258),C3258="",M3258=""),"In Progress",IF(M3258&lt;=J3258,"Met","Breached"))</f>
        <v>Breached</v>
      </c>
    </row>
    <row r="3259" ht="19" customHeight="1" spans="1:14" x14ac:dyDescent="0.25">
      <c r="A3259" s="22" t="s">
        <v>3373</v>
      </c>
      <c r="B3259" s="36">
        <v>46070.17013888889</v>
      </c>
      <c r="C3259" s="36">
        <v>46073.74722222222</v>
      </c>
      <c r="D3259" s="22" t="s">
        <v>33</v>
      </c>
      <c r="E3259" s="22" t="s">
        <v>65</v>
      </c>
      <c r="F3259" s="22" t="s">
        <v>45</v>
      </c>
      <c r="G3259" s="22" t="s">
        <v>63</v>
      </c>
      <c r="H3259" s="22" t="s">
        <v>59</v>
      </c>
      <c r="I3259" s="22" t="s">
        <v>147</v>
      </c>
      <c r="J3259" s="23">
        <v>48</v>
      </c>
      <c r="K3259" s="37">
        <v>0</v>
      </c>
      <c r="L3259" s="37">
        <v>5</v>
      </c>
      <c r="M3259" s="22">
        <f>IF(OR(ISBLANK(C3259),C3259=""),"",ROUND((C3259-B3259)*24,2))</f>
        <v>85.85</v>
      </c>
      <c r="N3259" s="38" t="str">
        <f>IF(OR(ISBLANK(C3259),C3259="",M3259=""),"In Progress",IF(M3259&lt;=J3259,"Met","Breached"))</f>
        <v>Breached</v>
      </c>
    </row>
    <row r="3260" ht="19" customHeight="1" spans="1:14" x14ac:dyDescent="0.25">
      <c r="A3260" s="19" t="s">
        <v>3374</v>
      </c>
      <c r="B3260" s="33">
        <v>46205.493055555555</v>
      </c>
      <c r="C3260" s="33">
        <v>46208.379166666666</v>
      </c>
      <c r="D3260" s="19" t="s">
        <v>33</v>
      </c>
      <c r="E3260" s="19" t="s">
        <v>69</v>
      </c>
      <c r="F3260" s="19" t="s">
        <v>43</v>
      </c>
      <c r="G3260" s="19" t="s">
        <v>121</v>
      </c>
      <c r="H3260" s="19" t="s">
        <v>63</v>
      </c>
      <c r="I3260" s="19" t="s">
        <v>147</v>
      </c>
      <c r="J3260" s="20">
        <v>120</v>
      </c>
      <c r="K3260" s="34">
        <v>1</v>
      </c>
      <c r="L3260" s="34">
        <v>3</v>
      </c>
      <c r="M3260" s="19">
        <f>IF(OR(ISBLANK(C3260),C3260=""),"",ROUND((C3260-B3260)*24,2))</f>
        <v>69.27</v>
      </c>
      <c r="N3260" s="35" t="str">
        <f>IF(OR(ISBLANK(C3260),C3260="",M3260=""),"In Progress",IF(M3260&lt;=J3260,"Met","Breached"))</f>
        <v>Met</v>
      </c>
    </row>
    <row r="3261" ht="19" customHeight="1" spans="1:14" x14ac:dyDescent="0.25">
      <c r="A3261" s="22" t="s">
        <v>3375</v>
      </c>
      <c r="B3261" s="36">
        <v>45975.51041666667</v>
      </c>
      <c r="D3261" s="22" t="s">
        <v>42</v>
      </c>
      <c r="E3261" s="22" t="s">
        <v>69</v>
      </c>
      <c r="F3261" s="22" t="s">
        <v>45</v>
      </c>
      <c r="G3261" s="22" t="s">
        <v>113</v>
      </c>
      <c r="H3261" s="22" t="s">
        <v>63</v>
      </c>
      <c r="I3261" s="22" t="s">
        <v>123</v>
      </c>
      <c r="J3261" s="23">
        <v>120</v>
      </c>
      <c r="K3261" s="37">
        <v>0</v>
      </c>
      <c r="M3261" s="22" t="str">
        <f>IF(OR(ISBLANK(C3261),C3261=""),"",ROUND((C3261-B3261)*24,2))</f>
        <v/>
      </c>
      <c r="N3261" s="22" t="str">
        <f>IF(OR(ISBLANK(C3261),C3261="",M3261=""),"In Progress",IF(M3261&lt;=J3261,"Met","Breached"))</f>
        <v>In Progress</v>
      </c>
    </row>
    <row r="3262" ht="19" customHeight="1" spans="1:14" x14ac:dyDescent="0.25">
      <c r="A3262" s="19" t="s">
        <v>3376</v>
      </c>
      <c r="B3262" s="33">
        <v>45920.0375</v>
      </c>
      <c r="C3262" s="33">
        <v>45923.21388888889</v>
      </c>
      <c r="D3262" s="19" t="s">
        <v>33</v>
      </c>
      <c r="E3262" s="19" t="s">
        <v>65</v>
      </c>
      <c r="F3262" s="19" t="s">
        <v>40</v>
      </c>
      <c r="G3262" s="19" t="s">
        <v>121</v>
      </c>
      <c r="H3262" s="19" t="s">
        <v>71</v>
      </c>
      <c r="I3262" s="19" t="s">
        <v>123</v>
      </c>
      <c r="J3262" s="20">
        <v>48</v>
      </c>
      <c r="K3262" s="34">
        <v>0</v>
      </c>
      <c r="L3262" s="34">
        <v>2</v>
      </c>
      <c r="M3262" s="19">
        <f>IF(OR(ISBLANK(C3262),C3262=""),"",ROUND((C3262-B3262)*24,2))</f>
        <v>76.23</v>
      </c>
      <c r="N3262" s="39" t="str">
        <f>IF(OR(ISBLANK(C3262),C3262="",M3262=""),"In Progress",IF(M3262&lt;=J3262,"Met","Breached"))</f>
        <v>Breached</v>
      </c>
    </row>
    <row r="3263" ht="19" customHeight="1" spans="1:14" x14ac:dyDescent="0.25">
      <c r="A3263" s="22" t="s">
        <v>3377</v>
      </c>
      <c r="B3263" s="36">
        <v>46060.32638888889</v>
      </c>
      <c r="D3263" s="22" t="s">
        <v>39</v>
      </c>
      <c r="E3263" s="22" t="s">
        <v>69</v>
      </c>
      <c r="F3263" s="22" t="s">
        <v>43</v>
      </c>
      <c r="G3263" s="22" t="s">
        <v>113</v>
      </c>
      <c r="H3263" s="22" t="s">
        <v>67</v>
      </c>
      <c r="I3263" s="22" t="s">
        <v>108</v>
      </c>
      <c r="J3263" s="23">
        <v>120</v>
      </c>
      <c r="K3263" s="37">
        <v>0</v>
      </c>
      <c r="M3263" s="22" t="str">
        <f>IF(OR(ISBLANK(C3263),C3263=""),"",ROUND((C3263-B3263)*24,2))</f>
        <v/>
      </c>
      <c r="N3263" s="22" t="str">
        <f>IF(OR(ISBLANK(C3263),C3263="",M3263=""),"In Progress",IF(M3263&lt;=J3263,"Met","Breached"))</f>
        <v>In Progress</v>
      </c>
    </row>
    <row r="3264" ht="19" customHeight="1" spans="1:14" x14ac:dyDescent="0.25">
      <c r="A3264" s="19" t="s">
        <v>3378</v>
      </c>
      <c r="B3264" s="33">
        <v>45661.88333333333</v>
      </c>
      <c r="C3264" s="33">
        <v>45665.26180555555</v>
      </c>
      <c r="D3264" s="19" t="s">
        <v>33</v>
      </c>
      <c r="E3264" s="19" t="s">
        <v>65</v>
      </c>
      <c r="F3264" s="19" t="s">
        <v>40</v>
      </c>
      <c r="G3264" s="19" t="s">
        <v>110</v>
      </c>
      <c r="H3264" s="19" t="s">
        <v>63</v>
      </c>
      <c r="I3264" s="19" t="s">
        <v>114</v>
      </c>
      <c r="J3264" s="20">
        <v>48</v>
      </c>
      <c r="K3264" s="34">
        <v>0</v>
      </c>
      <c r="L3264" s="34">
        <v>4</v>
      </c>
      <c r="M3264" s="19">
        <f>IF(OR(ISBLANK(C3264),C3264=""),"",ROUND((C3264-B3264)*24,2))</f>
        <v>81.08</v>
      </c>
      <c r="N3264" s="39" t="str">
        <f>IF(OR(ISBLANK(C3264),C3264="",M3264=""),"In Progress",IF(M3264&lt;=J3264,"Met","Breached"))</f>
        <v>Breached</v>
      </c>
    </row>
    <row r="3265" ht="19" customHeight="1" spans="1:14" x14ac:dyDescent="0.25">
      <c r="A3265" s="22" t="s">
        <v>3379</v>
      </c>
      <c r="B3265" s="36">
        <v>46004.38402777778</v>
      </c>
      <c r="C3265" s="36">
        <v>46005.26111111111</v>
      </c>
      <c r="D3265" s="22" t="s">
        <v>36</v>
      </c>
      <c r="E3265" s="22" t="s">
        <v>65</v>
      </c>
      <c r="F3265" s="22" t="s">
        <v>43</v>
      </c>
      <c r="G3265" s="22" t="s">
        <v>113</v>
      </c>
      <c r="H3265" s="22" t="s">
        <v>71</v>
      </c>
      <c r="I3265" s="22" t="s">
        <v>108</v>
      </c>
      <c r="J3265" s="23">
        <v>48</v>
      </c>
      <c r="K3265" s="37">
        <v>0</v>
      </c>
      <c r="L3265" s="37">
        <v>2</v>
      </c>
      <c r="M3265" s="22">
        <f>IF(OR(ISBLANK(C3265),C3265=""),"",ROUND((C3265-B3265)*24,2))</f>
        <v>21.05</v>
      </c>
      <c r="N3265" s="40" t="str">
        <f>IF(OR(ISBLANK(C3265),C3265="",M3265=""),"In Progress",IF(M3265&lt;=J3265,"Met","Breached"))</f>
        <v>Met</v>
      </c>
    </row>
    <row r="3266" ht="19" customHeight="1" spans="1:14" x14ac:dyDescent="0.25">
      <c r="A3266" s="19" t="s">
        <v>3380</v>
      </c>
      <c r="B3266" s="33">
        <v>45894.68402777778</v>
      </c>
      <c r="C3266" s="33">
        <v>45898.21666666667</v>
      </c>
      <c r="D3266" s="19" t="s">
        <v>33</v>
      </c>
      <c r="E3266" s="19" t="s">
        <v>65</v>
      </c>
      <c r="F3266" s="19" t="s">
        <v>40</v>
      </c>
      <c r="G3266" s="19" t="s">
        <v>126</v>
      </c>
      <c r="H3266" s="19" t="s">
        <v>59</v>
      </c>
      <c r="I3266" s="19" t="s">
        <v>111</v>
      </c>
      <c r="J3266" s="20">
        <v>48</v>
      </c>
      <c r="K3266" s="34">
        <v>0</v>
      </c>
      <c r="L3266" s="34">
        <v>5</v>
      </c>
      <c r="M3266" s="19">
        <f>IF(OR(ISBLANK(C3266),C3266=""),"",ROUND((C3266-B3266)*24,2))</f>
        <v>84.78</v>
      </c>
      <c r="N3266" s="39" t="str">
        <f>IF(OR(ISBLANK(C3266),C3266="",M3266=""),"In Progress",IF(M3266&lt;=J3266,"Met","Breached"))</f>
        <v>Breached</v>
      </c>
    </row>
    <row r="3267" ht="19" customHeight="1" spans="1:14" x14ac:dyDescent="0.25">
      <c r="A3267" s="22" t="s">
        <v>3381</v>
      </c>
      <c r="B3267" s="36">
        <v>45871.575</v>
      </c>
      <c r="C3267" s="36">
        <v>45874.70625</v>
      </c>
      <c r="D3267" s="22" t="s">
        <v>33</v>
      </c>
      <c r="E3267" s="22" t="s">
        <v>65</v>
      </c>
      <c r="F3267" s="22" t="s">
        <v>40</v>
      </c>
      <c r="G3267" s="22" t="s">
        <v>121</v>
      </c>
      <c r="H3267" s="22" t="s">
        <v>63</v>
      </c>
      <c r="I3267" s="22" t="s">
        <v>108</v>
      </c>
      <c r="J3267" s="23">
        <v>48</v>
      </c>
      <c r="K3267" s="37">
        <v>0</v>
      </c>
      <c r="L3267" s="37">
        <v>4</v>
      </c>
      <c r="M3267" s="22">
        <f>IF(OR(ISBLANK(C3267),C3267=""),"",ROUND((C3267-B3267)*24,2))</f>
        <v>75.15</v>
      </c>
      <c r="N3267" s="38" t="str">
        <f>IF(OR(ISBLANK(C3267),C3267="",M3267=""),"In Progress",IF(M3267&lt;=J3267,"Met","Breached"))</f>
        <v>Breached</v>
      </c>
    </row>
    <row r="3268" ht="19" customHeight="1" spans="1:14" x14ac:dyDescent="0.25">
      <c r="A3268" s="19" t="s">
        <v>3382</v>
      </c>
      <c r="B3268" s="33">
        <v>45974.73333333334</v>
      </c>
      <c r="C3268" s="33">
        <v>45978.23472222222</v>
      </c>
      <c r="D3268" s="19" t="s">
        <v>33</v>
      </c>
      <c r="E3268" s="19" t="s">
        <v>65</v>
      </c>
      <c r="F3268" s="19" t="s">
        <v>43</v>
      </c>
      <c r="G3268" s="19" t="s">
        <v>116</v>
      </c>
      <c r="H3268" s="19" t="s">
        <v>67</v>
      </c>
      <c r="I3268" s="19" t="s">
        <v>111</v>
      </c>
      <c r="J3268" s="20">
        <v>48</v>
      </c>
      <c r="K3268" s="34">
        <v>0</v>
      </c>
      <c r="L3268" s="34">
        <v>5</v>
      </c>
      <c r="M3268" s="19">
        <f>IF(OR(ISBLANK(C3268),C3268=""),"",ROUND((C3268-B3268)*24,2))</f>
        <v>84.03</v>
      </c>
      <c r="N3268" s="39" t="str">
        <f>IF(OR(ISBLANK(C3268),C3268="",M3268=""),"In Progress",IF(M3268&lt;=J3268,"Met","Breached"))</f>
        <v>Breached</v>
      </c>
    </row>
    <row r="3269" ht="19" customHeight="1" spans="1:14" x14ac:dyDescent="0.25">
      <c r="A3269" s="22" t="s">
        <v>3383</v>
      </c>
      <c r="B3269" s="36">
        <v>46209.80902777778</v>
      </c>
      <c r="D3269" s="22" t="s">
        <v>42</v>
      </c>
      <c r="E3269" s="22" t="s">
        <v>57</v>
      </c>
      <c r="F3269" s="22" t="s">
        <v>37</v>
      </c>
      <c r="G3269" s="22" t="s">
        <v>126</v>
      </c>
      <c r="H3269" s="22" t="s">
        <v>59</v>
      </c>
      <c r="I3269" s="22" t="s">
        <v>147</v>
      </c>
      <c r="J3269" s="23">
        <v>4</v>
      </c>
      <c r="K3269" s="37">
        <v>0</v>
      </c>
      <c r="M3269" s="22" t="str">
        <f>IF(OR(ISBLANK(C3269),C3269=""),"",ROUND((C3269-B3269)*24,2))</f>
        <v/>
      </c>
      <c r="N3269" s="22" t="str">
        <f>IF(OR(ISBLANK(C3269),C3269="",M3269=""),"In Progress",IF(M3269&lt;=J3269,"Met","Breached"))</f>
        <v>In Progress</v>
      </c>
    </row>
    <row r="3270" ht="19" customHeight="1" spans="1:14" x14ac:dyDescent="0.25">
      <c r="A3270" s="19" t="s">
        <v>3384</v>
      </c>
      <c r="B3270" s="33">
        <v>45712.9125</v>
      </c>
      <c r="C3270" s="33">
        <v>45713.17708333333</v>
      </c>
      <c r="D3270" s="19" t="s">
        <v>33</v>
      </c>
      <c r="E3270" s="19" t="s">
        <v>57</v>
      </c>
      <c r="F3270" s="19" t="s">
        <v>37</v>
      </c>
      <c r="G3270" s="19" t="s">
        <v>113</v>
      </c>
      <c r="H3270" s="19" t="s">
        <v>59</v>
      </c>
      <c r="I3270" s="19" t="s">
        <v>111</v>
      </c>
      <c r="J3270" s="20">
        <v>4</v>
      </c>
      <c r="K3270" s="34">
        <v>0</v>
      </c>
      <c r="L3270" s="34">
        <v>5</v>
      </c>
      <c r="M3270" s="19">
        <f>IF(OR(ISBLANK(C3270),C3270=""),"",ROUND((C3270-B3270)*24,2))</f>
        <v>6.35</v>
      </c>
      <c r="N3270" s="39" t="str">
        <f>IF(OR(ISBLANK(C3270),C3270="",M3270=""),"In Progress",IF(M3270&lt;=J3270,"Met","Breached"))</f>
        <v>Breached</v>
      </c>
    </row>
    <row r="3271" ht="19" customHeight="1" spans="1:14" x14ac:dyDescent="0.25">
      <c r="A3271" s="22" t="s">
        <v>3385</v>
      </c>
      <c r="B3271" s="36">
        <v>45791.08263888889</v>
      </c>
      <c r="C3271" s="36">
        <v>45791.34375</v>
      </c>
      <c r="D3271" s="22" t="s">
        <v>33</v>
      </c>
      <c r="E3271" s="22" t="s">
        <v>57</v>
      </c>
      <c r="F3271" s="22" t="s">
        <v>37</v>
      </c>
      <c r="G3271" s="22" t="s">
        <v>113</v>
      </c>
      <c r="H3271" s="22" t="s">
        <v>59</v>
      </c>
      <c r="I3271" s="22" t="s">
        <v>147</v>
      </c>
      <c r="J3271" s="23">
        <v>4</v>
      </c>
      <c r="K3271" s="37">
        <v>0</v>
      </c>
      <c r="L3271" s="37">
        <v>5</v>
      </c>
      <c r="M3271" s="22">
        <f>IF(OR(ISBLANK(C3271),C3271=""),"",ROUND((C3271-B3271)*24,2))</f>
        <v>6.27</v>
      </c>
      <c r="N3271" s="38" t="str">
        <f>IF(OR(ISBLANK(C3271),C3271="",M3271=""),"In Progress",IF(M3271&lt;=J3271,"Met","Breached"))</f>
        <v>Breached</v>
      </c>
    </row>
    <row r="3272" ht="19" customHeight="1" spans="1:14" x14ac:dyDescent="0.25">
      <c r="A3272" s="19" t="s">
        <v>3386</v>
      </c>
      <c r="B3272" s="33">
        <v>46097.174305555556</v>
      </c>
      <c r="C3272" s="33">
        <v>46104.99375</v>
      </c>
      <c r="D3272" s="19" t="s">
        <v>33</v>
      </c>
      <c r="E3272" s="19" t="s">
        <v>69</v>
      </c>
      <c r="F3272" s="19" t="s">
        <v>45</v>
      </c>
      <c r="G3272" s="19" t="s">
        <v>63</v>
      </c>
      <c r="H3272" s="19" t="s">
        <v>59</v>
      </c>
      <c r="I3272" s="19" t="s">
        <v>114</v>
      </c>
      <c r="J3272" s="20">
        <v>120</v>
      </c>
      <c r="K3272" s="34">
        <v>0</v>
      </c>
      <c r="L3272" s="34">
        <v>3</v>
      </c>
      <c r="M3272" s="19">
        <f>IF(OR(ISBLANK(C3272),C3272=""),"",ROUND((C3272-B3272)*24,2))</f>
        <v>187.67</v>
      </c>
      <c r="N3272" s="39" t="str">
        <f>IF(OR(ISBLANK(C3272),C3272="",M3272=""),"In Progress",IF(M3272&lt;=J3272,"Met","Breached"))</f>
        <v>Breached</v>
      </c>
    </row>
    <row r="3273" ht="19" customHeight="1" spans="1:14" x14ac:dyDescent="0.25">
      <c r="A3273" s="22" t="s">
        <v>3387</v>
      </c>
      <c r="B3273" s="36">
        <v>45705.21527777778</v>
      </c>
      <c r="C3273" s="36">
        <v>45705.40347222222</v>
      </c>
      <c r="D3273" s="22" t="s">
        <v>33</v>
      </c>
      <c r="E3273" s="22" t="s">
        <v>61</v>
      </c>
      <c r="F3273" s="22" t="s">
        <v>45</v>
      </c>
      <c r="G3273" s="22" t="s">
        <v>121</v>
      </c>
      <c r="H3273" s="22" t="s">
        <v>71</v>
      </c>
      <c r="I3273" s="22" t="s">
        <v>111</v>
      </c>
      <c r="J3273" s="23">
        <v>12</v>
      </c>
      <c r="K3273" s="37">
        <v>0</v>
      </c>
      <c r="M3273" s="22">
        <f>IF(OR(ISBLANK(C3273),C3273=""),"",ROUND((C3273-B3273)*24,2))</f>
        <v>4.52</v>
      </c>
      <c r="N3273" s="40" t="str">
        <f>IF(OR(ISBLANK(C3273),C3273="",M3273=""),"In Progress",IF(M3273&lt;=J3273,"Met","Breached"))</f>
        <v>Met</v>
      </c>
    </row>
    <row r="3274" ht="19" customHeight="1" spans="1:14" x14ac:dyDescent="0.25">
      <c r="A3274" s="19" t="s">
        <v>3388</v>
      </c>
      <c r="B3274" s="33">
        <v>46017.43958333333</v>
      </c>
      <c r="C3274" s="33">
        <v>46019.575694444444</v>
      </c>
      <c r="D3274" s="19" t="s">
        <v>36</v>
      </c>
      <c r="E3274" s="19" t="s">
        <v>65</v>
      </c>
      <c r="F3274" s="19" t="s">
        <v>37</v>
      </c>
      <c r="G3274" s="19" t="s">
        <v>116</v>
      </c>
      <c r="H3274" s="19" t="s">
        <v>59</v>
      </c>
      <c r="I3274" s="19" t="s">
        <v>108</v>
      </c>
      <c r="J3274" s="20">
        <v>48</v>
      </c>
      <c r="K3274" s="34">
        <v>0</v>
      </c>
      <c r="L3274" s="34">
        <v>3</v>
      </c>
      <c r="M3274" s="19">
        <f>IF(OR(ISBLANK(C3274),C3274=""),"",ROUND((C3274-B3274)*24,2))</f>
        <v>51.27</v>
      </c>
      <c r="N3274" s="39" t="str">
        <f>IF(OR(ISBLANK(C3274),C3274="",M3274=""),"In Progress",IF(M3274&lt;=J3274,"Met","Breached"))</f>
        <v>Breached</v>
      </c>
    </row>
    <row r="3275" ht="19" customHeight="1" spans="1:14" x14ac:dyDescent="0.25">
      <c r="A3275" s="22" t="s">
        <v>3389</v>
      </c>
      <c r="B3275" s="36">
        <v>46203.7625</v>
      </c>
      <c r="C3275" s="36">
        <v>46207.0375</v>
      </c>
      <c r="D3275" s="22" t="s">
        <v>36</v>
      </c>
      <c r="E3275" s="22" t="s">
        <v>65</v>
      </c>
      <c r="F3275" s="22" t="s">
        <v>34</v>
      </c>
      <c r="G3275" s="22" t="s">
        <v>116</v>
      </c>
      <c r="H3275" s="22" t="s">
        <v>71</v>
      </c>
      <c r="I3275" s="22" t="s">
        <v>111</v>
      </c>
      <c r="J3275" s="23">
        <v>48</v>
      </c>
      <c r="K3275" s="37">
        <v>0</v>
      </c>
      <c r="M3275" s="22">
        <f>IF(OR(ISBLANK(C3275),C3275=""),"",ROUND((C3275-B3275)*24,2))</f>
        <v>78.6</v>
      </c>
      <c r="N3275" s="38" t="str">
        <f>IF(OR(ISBLANK(C3275),C3275="",M3275=""),"In Progress",IF(M3275&lt;=J3275,"Met","Breached"))</f>
        <v>Breached</v>
      </c>
    </row>
    <row r="3276" ht="19" customHeight="1" spans="1:14" x14ac:dyDescent="0.25">
      <c r="A3276" s="19" t="s">
        <v>3390</v>
      </c>
      <c r="B3276" s="33">
        <v>45669.990277777775</v>
      </c>
      <c r="C3276" s="33">
        <v>45677.961111111115</v>
      </c>
      <c r="D3276" s="19" t="s">
        <v>33</v>
      </c>
      <c r="E3276" s="19" t="s">
        <v>69</v>
      </c>
      <c r="F3276" s="19" t="s">
        <v>37</v>
      </c>
      <c r="G3276" s="19" t="s">
        <v>121</v>
      </c>
      <c r="H3276" s="19" t="s">
        <v>67</v>
      </c>
      <c r="I3276" s="19" t="s">
        <v>111</v>
      </c>
      <c r="J3276" s="20">
        <v>120</v>
      </c>
      <c r="K3276" s="34">
        <v>0</v>
      </c>
      <c r="L3276" s="34">
        <v>1</v>
      </c>
      <c r="M3276" s="19">
        <f>IF(OR(ISBLANK(C3276),C3276=""),"",ROUND((C3276-B3276)*24,2))</f>
        <v>191.3</v>
      </c>
      <c r="N3276" s="39" t="str">
        <f>IF(OR(ISBLANK(C3276),C3276="",M3276=""),"In Progress",IF(M3276&lt;=J3276,"Met","Breached"))</f>
        <v>Breached</v>
      </c>
    </row>
    <row r="3277" ht="19" customHeight="1" spans="1:14" x14ac:dyDescent="0.25">
      <c r="A3277" s="22" t="s">
        <v>3391</v>
      </c>
      <c r="B3277" s="36">
        <v>46234.10555555555</v>
      </c>
      <c r="C3277" s="36">
        <v>46234.33541666667</v>
      </c>
      <c r="D3277" s="22" t="s">
        <v>33</v>
      </c>
      <c r="E3277" s="22" t="s">
        <v>57</v>
      </c>
      <c r="F3277" s="22" t="s">
        <v>40</v>
      </c>
      <c r="G3277" s="22" t="s">
        <v>113</v>
      </c>
      <c r="H3277" s="22" t="s">
        <v>67</v>
      </c>
      <c r="I3277" s="22" t="s">
        <v>111</v>
      </c>
      <c r="J3277" s="23">
        <v>4</v>
      </c>
      <c r="K3277" s="37">
        <v>1</v>
      </c>
      <c r="L3277" s="37">
        <v>4</v>
      </c>
      <c r="M3277" s="22">
        <f>IF(OR(ISBLANK(C3277),C3277=""),"",ROUND((C3277-B3277)*24,2))</f>
        <v>5.52</v>
      </c>
      <c r="N3277" s="38" t="str">
        <f>IF(OR(ISBLANK(C3277),C3277="",M3277=""),"In Progress",IF(M3277&lt;=J3277,"Met","Breached"))</f>
        <v>Breached</v>
      </c>
    </row>
    <row r="3278" ht="19" customHeight="1" spans="1:14" x14ac:dyDescent="0.25">
      <c r="A3278" s="19" t="s">
        <v>3392</v>
      </c>
      <c r="B3278" s="33">
        <v>45982.77986111111</v>
      </c>
      <c r="C3278" s="33">
        <v>45983.07638888889</v>
      </c>
      <c r="D3278" s="19" t="s">
        <v>36</v>
      </c>
      <c r="E3278" s="19" t="s">
        <v>57</v>
      </c>
      <c r="F3278" s="19" t="s">
        <v>37</v>
      </c>
      <c r="G3278" s="19" t="s">
        <v>121</v>
      </c>
      <c r="H3278" s="19" t="s">
        <v>59</v>
      </c>
      <c r="I3278" s="19" t="s">
        <v>108</v>
      </c>
      <c r="J3278" s="20">
        <v>4</v>
      </c>
      <c r="K3278" s="34">
        <v>0</v>
      </c>
      <c r="L3278" s="34">
        <v>1</v>
      </c>
      <c r="M3278" s="19">
        <f>IF(OR(ISBLANK(C3278),C3278=""),"",ROUND((C3278-B3278)*24,2))</f>
        <v>7.12</v>
      </c>
      <c r="N3278" s="39" t="str">
        <f>IF(OR(ISBLANK(C3278),C3278="",M3278=""),"In Progress",IF(M3278&lt;=J3278,"Met","Breached"))</f>
        <v>Breached</v>
      </c>
    </row>
    <row r="3279" ht="19" customHeight="1" spans="1:14" x14ac:dyDescent="0.25">
      <c r="A3279" s="22" t="s">
        <v>3393</v>
      </c>
      <c r="B3279" s="36">
        <v>46265.67291666666</v>
      </c>
      <c r="C3279" s="36">
        <v>46266.60555555555</v>
      </c>
      <c r="D3279" s="22" t="s">
        <v>33</v>
      </c>
      <c r="E3279" s="22" t="s">
        <v>65</v>
      </c>
      <c r="F3279" s="22" t="s">
        <v>43</v>
      </c>
      <c r="G3279" s="22" t="s">
        <v>121</v>
      </c>
      <c r="H3279" s="22" t="s">
        <v>59</v>
      </c>
      <c r="I3279" s="22" t="s">
        <v>123</v>
      </c>
      <c r="J3279" s="23">
        <v>48</v>
      </c>
      <c r="K3279" s="37">
        <v>0</v>
      </c>
      <c r="L3279" s="37">
        <v>1</v>
      </c>
      <c r="M3279" s="22">
        <f>IF(OR(ISBLANK(C3279),C3279=""),"",ROUND((C3279-B3279)*24,2))</f>
        <v>22.38</v>
      </c>
      <c r="N3279" s="40" t="str">
        <f>IF(OR(ISBLANK(C3279),C3279="",M3279=""),"In Progress",IF(M3279&lt;=J3279,"Met","Breached"))</f>
        <v>Met</v>
      </c>
    </row>
    <row r="3280" ht="19" customHeight="1" spans="1:14" x14ac:dyDescent="0.25">
      <c r="A3280" s="19" t="s">
        <v>3394</v>
      </c>
      <c r="B3280" s="33">
        <v>46164.42013888889</v>
      </c>
      <c r="D3280" s="19" t="s">
        <v>39</v>
      </c>
      <c r="E3280" s="19" t="s">
        <v>69</v>
      </c>
      <c r="F3280" s="19" t="s">
        <v>45</v>
      </c>
      <c r="G3280" s="19" t="s">
        <v>116</v>
      </c>
      <c r="H3280" s="19" t="s">
        <v>63</v>
      </c>
      <c r="I3280" s="19" t="s">
        <v>123</v>
      </c>
      <c r="J3280" s="20">
        <v>120</v>
      </c>
      <c r="K3280" s="34">
        <v>0</v>
      </c>
      <c r="M3280" s="19" t="str">
        <f>IF(OR(ISBLANK(C3280),C3280=""),"",ROUND((C3280-B3280)*24,2))</f>
        <v/>
      </c>
      <c r="N3280" s="19" t="str">
        <f>IF(OR(ISBLANK(C3280),C3280="",M3280=""),"In Progress",IF(M3280&lt;=J3280,"Met","Breached"))</f>
        <v>In Progress</v>
      </c>
    </row>
    <row r="3281" ht="19" customHeight="1" spans="1:14" x14ac:dyDescent="0.25">
      <c r="A3281" s="22" t="s">
        <v>3395</v>
      </c>
      <c r="B3281" s="36">
        <v>46242.507638888885</v>
      </c>
      <c r="D3281" s="22" t="s">
        <v>39</v>
      </c>
      <c r="E3281" s="22" t="s">
        <v>65</v>
      </c>
      <c r="F3281" s="22" t="s">
        <v>43</v>
      </c>
      <c r="G3281" s="22" t="s">
        <v>113</v>
      </c>
      <c r="H3281" s="22" t="s">
        <v>59</v>
      </c>
      <c r="I3281" s="22" t="s">
        <v>117</v>
      </c>
      <c r="J3281" s="23">
        <v>48</v>
      </c>
      <c r="K3281" s="37">
        <v>0</v>
      </c>
      <c r="M3281" s="22" t="str">
        <f>IF(OR(ISBLANK(C3281),C3281=""),"",ROUND((C3281-B3281)*24,2))</f>
        <v/>
      </c>
      <c r="N3281" s="22" t="str">
        <f>IF(OR(ISBLANK(C3281),C3281="",M3281=""),"In Progress",IF(M3281&lt;=J3281,"Met","Breached"))</f>
        <v>In Progress</v>
      </c>
    </row>
    <row r="3282" ht="19" customHeight="1" spans="1:14" x14ac:dyDescent="0.25">
      <c r="A3282" s="19" t="s">
        <v>3396</v>
      </c>
      <c r="B3282" s="33">
        <v>46060.81597222222</v>
      </c>
      <c r="C3282" s="33">
        <v>46068.629166666666</v>
      </c>
      <c r="D3282" s="19" t="s">
        <v>33</v>
      </c>
      <c r="E3282" s="19" t="s">
        <v>69</v>
      </c>
      <c r="F3282" s="19" t="s">
        <v>40</v>
      </c>
      <c r="G3282" s="19" t="s">
        <v>113</v>
      </c>
      <c r="H3282" s="19" t="s">
        <v>59</v>
      </c>
      <c r="I3282" s="19" t="s">
        <v>123</v>
      </c>
      <c r="J3282" s="20">
        <v>120</v>
      </c>
      <c r="K3282" s="34">
        <v>0</v>
      </c>
      <c r="L3282" s="34">
        <v>4</v>
      </c>
      <c r="M3282" s="19">
        <f>IF(OR(ISBLANK(C3282),C3282=""),"",ROUND((C3282-B3282)*24,2))</f>
        <v>187.52</v>
      </c>
      <c r="N3282" s="39" t="str">
        <f>IF(OR(ISBLANK(C3282),C3282="",M3282=""),"In Progress",IF(M3282&lt;=J3282,"Met","Breached"))</f>
        <v>Breached</v>
      </c>
    </row>
    <row r="3283" ht="19" customHeight="1" spans="1:14" x14ac:dyDescent="0.25">
      <c r="A3283" s="22" t="s">
        <v>3397</v>
      </c>
      <c r="B3283" s="36">
        <v>46179.00069444445</v>
      </c>
      <c r="C3283" s="36">
        <v>46180.59236111111</v>
      </c>
      <c r="D3283" s="22" t="s">
        <v>33</v>
      </c>
      <c r="E3283" s="22" t="s">
        <v>65</v>
      </c>
      <c r="F3283" s="22" t="s">
        <v>45</v>
      </c>
      <c r="G3283" s="22" t="s">
        <v>113</v>
      </c>
      <c r="H3283" s="22" t="s">
        <v>59</v>
      </c>
      <c r="I3283" s="22" t="s">
        <v>114</v>
      </c>
      <c r="J3283" s="23">
        <v>48</v>
      </c>
      <c r="K3283" s="37">
        <v>0</v>
      </c>
      <c r="L3283" s="37">
        <v>3</v>
      </c>
      <c r="M3283" s="22">
        <f>IF(OR(ISBLANK(C3283),C3283=""),"",ROUND((C3283-B3283)*24,2))</f>
        <v>38.2</v>
      </c>
      <c r="N3283" s="40" t="str">
        <f>IF(OR(ISBLANK(C3283),C3283="",M3283=""),"In Progress",IF(M3283&lt;=J3283,"Met","Breached"))</f>
        <v>Met</v>
      </c>
    </row>
    <row r="3284" ht="19" customHeight="1" spans="1:14" x14ac:dyDescent="0.25">
      <c r="A3284" s="19" t="s">
        <v>3398</v>
      </c>
      <c r="B3284" s="33">
        <v>46058.263194444444</v>
      </c>
      <c r="C3284" s="33">
        <v>46058.868055555555</v>
      </c>
      <c r="D3284" s="19" t="s">
        <v>33</v>
      </c>
      <c r="E3284" s="19" t="s">
        <v>61</v>
      </c>
      <c r="F3284" s="19" t="s">
        <v>37</v>
      </c>
      <c r="G3284" s="19" t="s">
        <v>113</v>
      </c>
      <c r="H3284" s="19" t="s">
        <v>59</v>
      </c>
      <c r="I3284" s="19" t="s">
        <v>111</v>
      </c>
      <c r="J3284" s="20">
        <v>12</v>
      </c>
      <c r="K3284" s="34">
        <v>0</v>
      </c>
      <c r="L3284" s="34">
        <v>3</v>
      </c>
      <c r="M3284" s="19">
        <f>IF(OR(ISBLANK(C3284),C3284=""),"",ROUND((C3284-B3284)*24,2))</f>
        <v>14.52</v>
      </c>
      <c r="N3284" s="39" t="str">
        <f>IF(OR(ISBLANK(C3284),C3284="",M3284=""),"In Progress",IF(M3284&lt;=J3284,"Met","Breached"))</f>
        <v>Breached</v>
      </c>
    </row>
    <row r="3285" ht="19" customHeight="1" spans="1:14" x14ac:dyDescent="0.25">
      <c r="A3285" s="22" t="s">
        <v>3399</v>
      </c>
      <c r="B3285" s="36">
        <v>46276.28472222222</v>
      </c>
      <c r="C3285" s="36">
        <v>46278.94027777778</v>
      </c>
      <c r="D3285" s="22" t="s">
        <v>33</v>
      </c>
      <c r="E3285" s="22" t="s">
        <v>65</v>
      </c>
      <c r="F3285" s="22" t="s">
        <v>40</v>
      </c>
      <c r="G3285" s="22" t="s">
        <v>116</v>
      </c>
      <c r="H3285" s="22" t="s">
        <v>63</v>
      </c>
      <c r="I3285" s="22" t="s">
        <v>117</v>
      </c>
      <c r="J3285" s="23">
        <v>48</v>
      </c>
      <c r="K3285" s="37">
        <v>0</v>
      </c>
      <c r="L3285" s="37">
        <v>4</v>
      </c>
      <c r="M3285" s="22">
        <f>IF(OR(ISBLANK(C3285),C3285=""),"",ROUND((C3285-B3285)*24,2))</f>
        <v>63.73</v>
      </c>
      <c r="N3285" s="38" t="str">
        <f>IF(OR(ISBLANK(C3285),C3285="",M3285=""),"In Progress",IF(M3285&lt;=J3285,"Met","Breached"))</f>
        <v>Breached</v>
      </c>
    </row>
    <row r="3286" ht="19" customHeight="1" spans="1:14" x14ac:dyDescent="0.25">
      <c r="A3286" s="19" t="s">
        <v>3400</v>
      </c>
      <c r="B3286" s="33">
        <v>45893.731944444444</v>
      </c>
      <c r="C3286" s="33">
        <v>45896.15277777778</v>
      </c>
      <c r="D3286" s="19" t="s">
        <v>33</v>
      </c>
      <c r="E3286" s="19" t="s">
        <v>69</v>
      </c>
      <c r="F3286" s="19" t="s">
        <v>45</v>
      </c>
      <c r="G3286" s="19" t="s">
        <v>116</v>
      </c>
      <c r="H3286" s="19" t="s">
        <v>59</v>
      </c>
      <c r="I3286" s="19" t="s">
        <v>117</v>
      </c>
      <c r="J3286" s="20">
        <v>120</v>
      </c>
      <c r="K3286" s="34">
        <v>0</v>
      </c>
      <c r="L3286" s="34">
        <v>4</v>
      </c>
      <c r="M3286" s="19">
        <f>IF(OR(ISBLANK(C3286),C3286=""),"",ROUND((C3286-B3286)*24,2))</f>
        <v>58.1</v>
      </c>
      <c r="N3286" s="35" t="str">
        <f>IF(OR(ISBLANK(C3286),C3286="",M3286=""),"In Progress",IF(M3286&lt;=J3286,"Met","Breached"))</f>
        <v>Met</v>
      </c>
    </row>
    <row r="3287" ht="19" customHeight="1" spans="1:14" x14ac:dyDescent="0.25">
      <c r="A3287" s="22" t="s">
        <v>3401</v>
      </c>
      <c r="B3287" s="36">
        <v>46252.711111111115</v>
      </c>
      <c r="C3287" s="36">
        <v>46255.53680555556</v>
      </c>
      <c r="D3287" s="22" t="s">
        <v>33</v>
      </c>
      <c r="E3287" s="22" t="s">
        <v>69</v>
      </c>
      <c r="F3287" s="22" t="s">
        <v>45</v>
      </c>
      <c r="G3287" s="22" t="s">
        <v>110</v>
      </c>
      <c r="H3287" s="22" t="s">
        <v>63</v>
      </c>
      <c r="I3287" s="22" t="s">
        <v>111</v>
      </c>
      <c r="J3287" s="23">
        <v>120</v>
      </c>
      <c r="K3287" s="37">
        <v>0</v>
      </c>
      <c r="L3287" s="37">
        <v>3</v>
      </c>
      <c r="M3287" s="22">
        <f>IF(OR(ISBLANK(C3287),C3287=""),"",ROUND((C3287-B3287)*24,2))</f>
        <v>67.82</v>
      </c>
      <c r="N3287" s="40" t="str">
        <f>IF(OR(ISBLANK(C3287),C3287="",M3287=""),"In Progress",IF(M3287&lt;=J3287,"Met","Breached"))</f>
        <v>Met</v>
      </c>
    </row>
    <row r="3288" ht="19" customHeight="1" spans="1:14" x14ac:dyDescent="0.25">
      <c r="A3288" s="19" t="s">
        <v>3402</v>
      </c>
      <c r="B3288" s="33">
        <v>45879.73888888889</v>
      </c>
      <c r="D3288" s="19" t="s">
        <v>39</v>
      </c>
      <c r="E3288" s="19" t="s">
        <v>57</v>
      </c>
      <c r="F3288" s="19" t="s">
        <v>37</v>
      </c>
      <c r="G3288" s="19" t="s">
        <v>121</v>
      </c>
      <c r="H3288" s="19" t="s">
        <v>59</v>
      </c>
      <c r="I3288" s="19" t="s">
        <v>111</v>
      </c>
      <c r="J3288" s="20">
        <v>4</v>
      </c>
      <c r="K3288" s="34">
        <v>0</v>
      </c>
      <c r="M3288" s="19" t="str">
        <f>IF(OR(ISBLANK(C3288),C3288=""),"",ROUND((C3288-B3288)*24,2))</f>
        <v/>
      </c>
      <c r="N3288" s="19" t="str">
        <f>IF(OR(ISBLANK(C3288),C3288="",M3288=""),"In Progress",IF(M3288&lt;=J3288,"Met","Breached"))</f>
        <v>In Progress</v>
      </c>
    </row>
    <row r="3289" ht="19" customHeight="1" spans="1:14" x14ac:dyDescent="0.25">
      <c r="A3289" s="22" t="s">
        <v>3403</v>
      </c>
      <c r="B3289" s="36">
        <v>45880.756944444445</v>
      </c>
      <c r="C3289" s="36">
        <v>45888.115277777775</v>
      </c>
      <c r="D3289" s="22" t="s">
        <v>33</v>
      </c>
      <c r="E3289" s="22" t="s">
        <v>69</v>
      </c>
      <c r="F3289" s="22" t="s">
        <v>37</v>
      </c>
      <c r="G3289" s="22" t="s">
        <v>110</v>
      </c>
      <c r="H3289" s="22" t="s">
        <v>63</v>
      </c>
      <c r="I3289" s="22" t="s">
        <v>111</v>
      </c>
      <c r="J3289" s="23">
        <v>120</v>
      </c>
      <c r="K3289" s="37">
        <v>0</v>
      </c>
      <c r="L3289" s="37">
        <v>4</v>
      </c>
      <c r="M3289" s="22">
        <f>IF(OR(ISBLANK(C3289),C3289=""),"",ROUND((C3289-B3289)*24,2))</f>
        <v>176.6</v>
      </c>
      <c r="N3289" s="38" t="str">
        <f>IF(OR(ISBLANK(C3289),C3289="",M3289=""),"In Progress",IF(M3289&lt;=J3289,"Met","Breached"))</f>
        <v>Breached</v>
      </c>
    </row>
    <row r="3290" ht="19" customHeight="1" spans="1:14" x14ac:dyDescent="0.25">
      <c r="A3290" s="19" t="s">
        <v>3404</v>
      </c>
      <c r="B3290" s="33">
        <v>46069.60416666667</v>
      </c>
      <c r="C3290" s="33">
        <v>46075.54236111111</v>
      </c>
      <c r="D3290" s="19" t="s">
        <v>36</v>
      </c>
      <c r="E3290" s="19" t="s">
        <v>69</v>
      </c>
      <c r="F3290" s="19" t="s">
        <v>45</v>
      </c>
      <c r="G3290" s="19" t="s">
        <v>126</v>
      </c>
      <c r="H3290" s="19" t="s">
        <v>59</v>
      </c>
      <c r="I3290" s="19" t="s">
        <v>147</v>
      </c>
      <c r="J3290" s="20">
        <v>120</v>
      </c>
      <c r="K3290" s="34">
        <v>1</v>
      </c>
      <c r="L3290" s="34">
        <v>1</v>
      </c>
      <c r="M3290" s="19">
        <f>IF(OR(ISBLANK(C3290),C3290=""),"",ROUND((C3290-B3290)*24,2))</f>
        <v>142.52</v>
      </c>
      <c r="N3290" s="39" t="str">
        <f>IF(OR(ISBLANK(C3290),C3290="",M3290=""),"In Progress",IF(M3290&lt;=J3290,"Met","Breached"))</f>
        <v>Breached</v>
      </c>
    </row>
    <row r="3291" ht="19" customHeight="1" spans="1:14" x14ac:dyDescent="0.25">
      <c r="A3291" s="22" t="s">
        <v>3405</v>
      </c>
      <c r="B3291" s="36">
        <v>46263.478472222225</v>
      </c>
      <c r="C3291" s="36">
        <v>46263.714583333334</v>
      </c>
      <c r="D3291" s="22" t="s">
        <v>33</v>
      </c>
      <c r="E3291" s="22" t="s">
        <v>61</v>
      </c>
      <c r="F3291" s="22" t="s">
        <v>43</v>
      </c>
      <c r="G3291" s="22" t="s">
        <v>126</v>
      </c>
      <c r="H3291" s="22" t="s">
        <v>71</v>
      </c>
      <c r="I3291" s="22" t="s">
        <v>114</v>
      </c>
      <c r="J3291" s="23">
        <v>12</v>
      </c>
      <c r="K3291" s="37">
        <v>0</v>
      </c>
      <c r="L3291" s="37">
        <v>4</v>
      </c>
      <c r="M3291" s="22">
        <f>IF(OR(ISBLANK(C3291),C3291=""),"",ROUND((C3291-B3291)*24,2))</f>
        <v>5.67</v>
      </c>
      <c r="N3291" s="40" t="str">
        <f>IF(OR(ISBLANK(C3291),C3291="",M3291=""),"In Progress",IF(M3291&lt;=J3291,"Met","Breached"))</f>
        <v>Met</v>
      </c>
    </row>
    <row r="3292" ht="19" customHeight="1" spans="1:14" x14ac:dyDescent="0.25">
      <c r="A3292" s="19" t="s">
        <v>3406</v>
      </c>
      <c r="B3292" s="33">
        <v>46171.41666666667</v>
      </c>
      <c r="D3292" s="19" t="s">
        <v>39</v>
      </c>
      <c r="E3292" s="19" t="s">
        <v>65</v>
      </c>
      <c r="F3292" s="19" t="s">
        <v>43</v>
      </c>
      <c r="G3292" s="19" t="s">
        <v>113</v>
      </c>
      <c r="H3292" s="19" t="s">
        <v>71</v>
      </c>
      <c r="I3292" s="19" t="s">
        <v>117</v>
      </c>
      <c r="J3292" s="20">
        <v>48</v>
      </c>
      <c r="K3292" s="34">
        <v>0</v>
      </c>
      <c r="M3292" s="19" t="str">
        <f>IF(OR(ISBLANK(C3292),C3292=""),"",ROUND((C3292-B3292)*24,2))</f>
        <v/>
      </c>
      <c r="N3292" s="19" t="str">
        <f>IF(OR(ISBLANK(C3292),C3292="",M3292=""),"In Progress",IF(M3292&lt;=J3292,"Met","Breached"))</f>
        <v>In Progress</v>
      </c>
    </row>
    <row r="3293" ht="19" customHeight="1" spans="1:14" x14ac:dyDescent="0.25">
      <c r="A3293" s="22" t="s">
        <v>3407</v>
      </c>
      <c r="B3293" s="36">
        <v>46073.92291666666</v>
      </c>
      <c r="D3293" s="22" t="s">
        <v>39</v>
      </c>
      <c r="E3293" s="22" t="s">
        <v>57</v>
      </c>
      <c r="F3293" s="22" t="s">
        <v>40</v>
      </c>
      <c r="G3293" s="22" t="s">
        <v>126</v>
      </c>
      <c r="H3293" s="22" t="s">
        <v>59</v>
      </c>
      <c r="I3293" s="22" t="s">
        <v>111</v>
      </c>
      <c r="J3293" s="23">
        <v>4</v>
      </c>
      <c r="K3293" s="37">
        <v>0</v>
      </c>
      <c r="M3293" s="22" t="str">
        <f>IF(OR(ISBLANK(C3293),C3293=""),"",ROUND((C3293-B3293)*24,2))</f>
        <v/>
      </c>
      <c r="N3293" s="22" t="str">
        <f>IF(OR(ISBLANK(C3293),C3293="",M3293=""),"In Progress",IF(M3293&lt;=J3293,"Met","Breached"))</f>
        <v>In Progress</v>
      </c>
    </row>
    <row r="3294" ht="19" customHeight="1" spans="1:14" x14ac:dyDescent="0.25">
      <c r="A3294" s="19" t="s">
        <v>3408</v>
      </c>
      <c r="B3294" s="33">
        <v>46282.490277777775</v>
      </c>
      <c r="C3294" s="33">
        <v>46282.75555555556</v>
      </c>
      <c r="D3294" s="19" t="s">
        <v>36</v>
      </c>
      <c r="E3294" s="19" t="s">
        <v>57</v>
      </c>
      <c r="F3294" s="19" t="s">
        <v>37</v>
      </c>
      <c r="G3294" s="19" t="s">
        <v>113</v>
      </c>
      <c r="H3294" s="19" t="s">
        <v>59</v>
      </c>
      <c r="I3294" s="19" t="s">
        <v>117</v>
      </c>
      <c r="J3294" s="20">
        <v>4</v>
      </c>
      <c r="K3294" s="34">
        <v>0</v>
      </c>
      <c r="L3294" s="34">
        <v>1</v>
      </c>
      <c r="M3294" s="19">
        <f>IF(OR(ISBLANK(C3294),C3294=""),"",ROUND((C3294-B3294)*24,2))</f>
        <v>6.37</v>
      </c>
      <c r="N3294" s="39" t="str">
        <f>IF(OR(ISBLANK(C3294),C3294="",M3294=""),"In Progress",IF(M3294&lt;=J3294,"Met","Breached"))</f>
        <v>Breached</v>
      </c>
    </row>
    <row r="3295" ht="19" customHeight="1" spans="1:14" x14ac:dyDescent="0.25">
      <c r="A3295" s="22" t="s">
        <v>3409</v>
      </c>
      <c r="B3295" s="36">
        <v>45911.675</v>
      </c>
      <c r="D3295" s="22" t="s">
        <v>39</v>
      </c>
      <c r="E3295" s="22" t="s">
        <v>69</v>
      </c>
      <c r="F3295" s="22" t="s">
        <v>45</v>
      </c>
      <c r="G3295" s="22" t="s">
        <v>63</v>
      </c>
      <c r="H3295" s="22" t="s">
        <v>71</v>
      </c>
      <c r="I3295" s="22" t="s">
        <v>111</v>
      </c>
      <c r="J3295" s="23">
        <v>120</v>
      </c>
      <c r="K3295" s="37">
        <v>0</v>
      </c>
      <c r="M3295" s="22" t="str">
        <f>IF(OR(ISBLANK(C3295),C3295=""),"",ROUND((C3295-B3295)*24,2))</f>
        <v/>
      </c>
      <c r="N3295" s="22" t="str">
        <f>IF(OR(ISBLANK(C3295),C3295="",M3295=""),"In Progress",IF(M3295&lt;=J3295,"Met","Breached"))</f>
        <v>In Progress</v>
      </c>
    </row>
    <row r="3296" ht="19" customHeight="1" spans="1:14" x14ac:dyDescent="0.25">
      <c r="A3296" s="19" t="s">
        <v>3410</v>
      </c>
      <c r="B3296" s="33">
        <v>46238</v>
      </c>
      <c r="C3296" s="33">
        <v>46240.566666666666</v>
      </c>
      <c r="D3296" s="19" t="s">
        <v>33</v>
      </c>
      <c r="E3296" s="19" t="s">
        <v>65</v>
      </c>
      <c r="F3296" s="19" t="s">
        <v>34</v>
      </c>
      <c r="G3296" s="19" t="s">
        <v>126</v>
      </c>
      <c r="H3296" s="19" t="s">
        <v>71</v>
      </c>
      <c r="I3296" s="19" t="s">
        <v>147</v>
      </c>
      <c r="J3296" s="20">
        <v>48</v>
      </c>
      <c r="K3296" s="34">
        <v>0</v>
      </c>
      <c r="L3296" s="34">
        <v>1</v>
      </c>
      <c r="M3296" s="19">
        <f>IF(OR(ISBLANK(C3296),C3296=""),"",ROUND((C3296-B3296)*24,2))</f>
        <v>61.6</v>
      </c>
      <c r="N3296" s="39" t="str">
        <f>IF(OR(ISBLANK(C3296),C3296="",M3296=""),"In Progress",IF(M3296&lt;=J3296,"Met","Breached"))</f>
        <v>Breached</v>
      </c>
    </row>
    <row r="3297" ht="19" customHeight="1" spans="1:14" x14ac:dyDescent="0.25">
      <c r="A3297" s="22" t="s">
        <v>3411</v>
      </c>
      <c r="B3297" s="36">
        <v>46266.67708333333</v>
      </c>
      <c r="D3297" s="22" t="s">
        <v>42</v>
      </c>
      <c r="E3297" s="22" t="s">
        <v>65</v>
      </c>
      <c r="F3297" s="22" t="s">
        <v>45</v>
      </c>
      <c r="G3297" s="22" t="s">
        <v>126</v>
      </c>
      <c r="H3297" s="22" t="s">
        <v>59</v>
      </c>
      <c r="I3297" s="22" t="s">
        <v>108</v>
      </c>
      <c r="J3297" s="23">
        <v>48</v>
      </c>
      <c r="K3297" s="37">
        <v>0</v>
      </c>
      <c r="M3297" s="22" t="str">
        <f>IF(OR(ISBLANK(C3297),C3297=""),"",ROUND((C3297-B3297)*24,2))</f>
        <v/>
      </c>
      <c r="N3297" s="22" t="str">
        <f>IF(OR(ISBLANK(C3297),C3297="",M3297=""),"In Progress",IF(M3297&lt;=J3297,"Met","Breached"))</f>
        <v>In Progress</v>
      </c>
    </row>
    <row r="3298" ht="19" customHeight="1" spans="1:14" x14ac:dyDescent="0.25">
      <c r="A3298" s="19" t="s">
        <v>3412</v>
      </c>
      <c r="B3298" s="33">
        <v>45982.24861111111</v>
      </c>
      <c r="C3298" s="33">
        <v>45982.66736111111</v>
      </c>
      <c r="D3298" s="19" t="s">
        <v>36</v>
      </c>
      <c r="E3298" s="19" t="s">
        <v>61</v>
      </c>
      <c r="F3298" s="19" t="s">
        <v>45</v>
      </c>
      <c r="G3298" s="19" t="s">
        <v>63</v>
      </c>
      <c r="H3298" s="19" t="s">
        <v>59</v>
      </c>
      <c r="I3298" s="19" t="s">
        <v>111</v>
      </c>
      <c r="J3298" s="20">
        <v>12</v>
      </c>
      <c r="K3298" s="34">
        <v>0</v>
      </c>
      <c r="L3298" s="34">
        <v>1</v>
      </c>
      <c r="M3298" s="19">
        <f>IF(OR(ISBLANK(C3298),C3298=""),"",ROUND((C3298-B3298)*24,2))</f>
        <v>10.05</v>
      </c>
      <c r="N3298" s="35" t="str">
        <f>IF(OR(ISBLANK(C3298),C3298="",M3298=""),"In Progress",IF(M3298&lt;=J3298,"Met","Breached"))</f>
        <v>Met</v>
      </c>
    </row>
    <row r="3299" ht="19" customHeight="1" spans="1:14" x14ac:dyDescent="0.25">
      <c r="A3299" s="22" t="s">
        <v>3413</v>
      </c>
      <c r="B3299" s="36">
        <v>46002.61111111111</v>
      </c>
      <c r="D3299" s="22" t="s">
        <v>42</v>
      </c>
      <c r="E3299" s="22" t="s">
        <v>65</v>
      </c>
      <c r="F3299" s="22" t="s">
        <v>34</v>
      </c>
      <c r="G3299" s="22" t="s">
        <v>113</v>
      </c>
      <c r="H3299" s="22" t="s">
        <v>63</v>
      </c>
      <c r="I3299" s="22" t="s">
        <v>147</v>
      </c>
      <c r="J3299" s="23">
        <v>48</v>
      </c>
      <c r="K3299" s="37">
        <v>0</v>
      </c>
      <c r="M3299" s="22" t="str">
        <f>IF(OR(ISBLANK(C3299),C3299=""),"",ROUND((C3299-B3299)*24,2))</f>
        <v/>
      </c>
      <c r="N3299" s="22" t="str">
        <f>IF(OR(ISBLANK(C3299),C3299="",M3299=""),"In Progress",IF(M3299&lt;=J3299,"Met","Breached"))</f>
        <v>In Progress</v>
      </c>
    </row>
    <row r="3300" ht="19" customHeight="1" spans="1:14" x14ac:dyDescent="0.25">
      <c r="A3300" s="19" t="s">
        <v>3414</v>
      </c>
      <c r="B3300" s="33">
        <v>45819.08819444444</v>
      </c>
      <c r="C3300" s="33">
        <v>45821.152083333334</v>
      </c>
      <c r="D3300" s="19" t="s">
        <v>33</v>
      </c>
      <c r="E3300" s="19" t="s">
        <v>69</v>
      </c>
      <c r="F3300" s="19" t="s">
        <v>40</v>
      </c>
      <c r="G3300" s="19" t="s">
        <v>126</v>
      </c>
      <c r="H3300" s="19" t="s">
        <v>67</v>
      </c>
      <c r="I3300" s="19" t="s">
        <v>108</v>
      </c>
      <c r="J3300" s="20">
        <v>120</v>
      </c>
      <c r="K3300" s="34">
        <v>0</v>
      </c>
      <c r="L3300" s="34">
        <v>3</v>
      </c>
      <c r="M3300" s="19">
        <f>IF(OR(ISBLANK(C3300),C3300=""),"",ROUND((C3300-B3300)*24,2))</f>
        <v>49.53</v>
      </c>
      <c r="N3300" s="35" t="str">
        <f>IF(OR(ISBLANK(C3300),C3300="",M3300=""),"In Progress",IF(M3300&lt;=J3300,"Met","Breached"))</f>
        <v>Met</v>
      </c>
    </row>
    <row r="3301" ht="19" customHeight="1" spans="1:14" x14ac:dyDescent="0.25">
      <c r="A3301" s="22" t="s">
        <v>3415</v>
      </c>
      <c r="B3301" s="36">
        <v>45950.19583333333</v>
      </c>
      <c r="C3301" s="36">
        <v>45953.12291666667</v>
      </c>
      <c r="D3301" s="22" t="s">
        <v>36</v>
      </c>
      <c r="E3301" s="22" t="s">
        <v>65</v>
      </c>
      <c r="F3301" s="22" t="s">
        <v>34</v>
      </c>
      <c r="G3301" s="22" t="s">
        <v>113</v>
      </c>
      <c r="H3301" s="22" t="s">
        <v>59</v>
      </c>
      <c r="I3301" s="22" t="s">
        <v>123</v>
      </c>
      <c r="J3301" s="23">
        <v>48</v>
      </c>
      <c r="K3301" s="37">
        <v>0</v>
      </c>
      <c r="L3301" s="37">
        <v>5</v>
      </c>
      <c r="M3301" s="22">
        <f>IF(OR(ISBLANK(C3301),C3301=""),"",ROUND((C3301-B3301)*24,2))</f>
        <v>70.25</v>
      </c>
      <c r="N3301" s="38" t="str">
        <f>IF(OR(ISBLANK(C3301),C3301="",M3301=""),"In Progress",IF(M3301&lt;=J3301,"Met","Breached"))</f>
        <v>Breached</v>
      </c>
    </row>
    <row r="3302" ht="19" customHeight="1" spans="1:14" x14ac:dyDescent="0.25">
      <c r="A3302" s="19" t="s">
        <v>3416</v>
      </c>
      <c r="B3302" s="33">
        <v>46271.74513888889</v>
      </c>
      <c r="C3302" s="33">
        <v>46279.96875</v>
      </c>
      <c r="D3302" s="19" t="s">
        <v>33</v>
      </c>
      <c r="E3302" s="19" t="s">
        <v>69</v>
      </c>
      <c r="F3302" s="19" t="s">
        <v>40</v>
      </c>
      <c r="G3302" s="19" t="s">
        <v>110</v>
      </c>
      <c r="H3302" s="19" t="s">
        <v>59</v>
      </c>
      <c r="I3302" s="19" t="s">
        <v>123</v>
      </c>
      <c r="J3302" s="20">
        <v>120</v>
      </c>
      <c r="K3302" s="34">
        <v>0</v>
      </c>
      <c r="L3302" s="34">
        <v>2</v>
      </c>
      <c r="M3302" s="19">
        <f>IF(OR(ISBLANK(C3302),C3302=""),"",ROUND((C3302-B3302)*24,2))</f>
        <v>197.37</v>
      </c>
      <c r="N3302" s="39" t="str">
        <f>IF(OR(ISBLANK(C3302),C3302="",M3302=""),"In Progress",IF(M3302&lt;=J3302,"Met","Breached"))</f>
        <v>Breached</v>
      </c>
    </row>
    <row r="3303" ht="19" customHeight="1" spans="1:14" x14ac:dyDescent="0.25">
      <c r="A3303" s="22" t="s">
        <v>3417</v>
      </c>
      <c r="B3303" s="36">
        <v>45935.44097222222</v>
      </c>
      <c r="C3303" s="36">
        <v>45938.11041666666</v>
      </c>
      <c r="D3303" s="22" t="s">
        <v>33</v>
      </c>
      <c r="E3303" s="22" t="s">
        <v>65</v>
      </c>
      <c r="F3303" s="22" t="s">
        <v>40</v>
      </c>
      <c r="G3303" s="22" t="s">
        <v>110</v>
      </c>
      <c r="H3303" s="22" t="s">
        <v>59</v>
      </c>
      <c r="I3303" s="22" t="s">
        <v>108</v>
      </c>
      <c r="J3303" s="23">
        <v>48</v>
      </c>
      <c r="K3303" s="37">
        <v>0</v>
      </c>
      <c r="L3303" s="37">
        <v>4</v>
      </c>
      <c r="M3303" s="22">
        <f>IF(OR(ISBLANK(C3303),C3303=""),"",ROUND((C3303-B3303)*24,2))</f>
        <v>64.07</v>
      </c>
      <c r="N3303" s="38" t="str">
        <f>IF(OR(ISBLANK(C3303),C3303="",M3303=""),"In Progress",IF(M3303&lt;=J3303,"Met","Breached"))</f>
        <v>Breached</v>
      </c>
    </row>
    <row r="3304" ht="19" customHeight="1" spans="1:14" x14ac:dyDescent="0.25">
      <c r="A3304" s="19" t="s">
        <v>3418</v>
      </c>
      <c r="B3304" s="33">
        <v>45681.06111111111</v>
      </c>
      <c r="C3304" s="33">
        <v>45683.39444444445</v>
      </c>
      <c r="D3304" s="19" t="s">
        <v>33</v>
      </c>
      <c r="E3304" s="19" t="s">
        <v>65</v>
      </c>
      <c r="F3304" s="19" t="s">
        <v>45</v>
      </c>
      <c r="G3304" s="19" t="s">
        <v>110</v>
      </c>
      <c r="H3304" s="19" t="s">
        <v>59</v>
      </c>
      <c r="I3304" s="19" t="s">
        <v>123</v>
      </c>
      <c r="J3304" s="20">
        <v>48</v>
      </c>
      <c r="K3304" s="34">
        <v>0</v>
      </c>
      <c r="L3304" s="34">
        <v>2</v>
      </c>
      <c r="M3304" s="19">
        <f>IF(OR(ISBLANK(C3304),C3304=""),"",ROUND((C3304-B3304)*24,2))</f>
        <v>56</v>
      </c>
      <c r="N3304" s="39" t="str">
        <f>IF(OR(ISBLANK(C3304),C3304="",M3304=""),"In Progress",IF(M3304&lt;=J3304,"Met","Breached"))</f>
        <v>Breached</v>
      </c>
    </row>
    <row r="3305" ht="19" customHeight="1" spans="1:14" x14ac:dyDescent="0.25">
      <c r="A3305" s="22" t="s">
        <v>3419</v>
      </c>
      <c r="B3305" s="36">
        <v>45878.3</v>
      </c>
      <c r="C3305" s="36">
        <v>45880.481944444444</v>
      </c>
      <c r="D3305" s="22" t="s">
        <v>36</v>
      </c>
      <c r="E3305" s="22" t="s">
        <v>65</v>
      </c>
      <c r="F3305" s="22" t="s">
        <v>40</v>
      </c>
      <c r="G3305" s="22" t="s">
        <v>121</v>
      </c>
      <c r="H3305" s="22" t="s">
        <v>59</v>
      </c>
      <c r="I3305" s="22" t="s">
        <v>117</v>
      </c>
      <c r="J3305" s="23">
        <v>48</v>
      </c>
      <c r="K3305" s="37">
        <v>0</v>
      </c>
      <c r="M3305" s="22">
        <f>IF(OR(ISBLANK(C3305),C3305=""),"",ROUND((C3305-B3305)*24,2))</f>
        <v>52.37</v>
      </c>
      <c r="N3305" s="38" t="str">
        <f>IF(OR(ISBLANK(C3305),C3305="",M3305=""),"In Progress",IF(M3305&lt;=J3305,"Met","Breached"))</f>
        <v>Breached</v>
      </c>
    </row>
    <row r="3306" ht="19" customHeight="1" spans="1:14" x14ac:dyDescent="0.25">
      <c r="A3306" s="19" t="s">
        <v>3420</v>
      </c>
      <c r="B3306" s="33">
        <v>45671.11319444445</v>
      </c>
      <c r="D3306" s="19" t="s">
        <v>39</v>
      </c>
      <c r="E3306" s="19" t="s">
        <v>65</v>
      </c>
      <c r="F3306" s="19" t="s">
        <v>37</v>
      </c>
      <c r="G3306" s="19" t="s">
        <v>126</v>
      </c>
      <c r="H3306" s="19" t="s">
        <v>59</v>
      </c>
      <c r="I3306" s="19" t="s">
        <v>123</v>
      </c>
      <c r="J3306" s="20">
        <v>48</v>
      </c>
      <c r="K3306" s="34">
        <v>0</v>
      </c>
      <c r="M3306" s="19" t="str">
        <f>IF(OR(ISBLANK(C3306),C3306=""),"",ROUND((C3306-B3306)*24,2))</f>
        <v/>
      </c>
      <c r="N3306" s="19" t="str">
        <f>IF(OR(ISBLANK(C3306),C3306="",M3306=""),"In Progress",IF(M3306&lt;=J3306,"Met","Breached"))</f>
        <v>In Progress</v>
      </c>
    </row>
    <row r="3307" ht="19" customHeight="1" spans="1:14" x14ac:dyDescent="0.25">
      <c r="A3307" s="22" t="s">
        <v>3421</v>
      </c>
      <c r="B3307" s="36">
        <v>46009.04375</v>
      </c>
      <c r="C3307" s="36">
        <v>46009.56319444445</v>
      </c>
      <c r="D3307" s="22" t="s">
        <v>33</v>
      </c>
      <c r="E3307" s="22" t="s">
        <v>61</v>
      </c>
      <c r="F3307" s="22" t="s">
        <v>40</v>
      </c>
      <c r="G3307" s="22" t="s">
        <v>110</v>
      </c>
      <c r="H3307" s="22" t="s">
        <v>63</v>
      </c>
      <c r="I3307" s="22" t="s">
        <v>111</v>
      </c>
      <c r="J3307" s="23">
        <v>12</v>
      </c>
      <c r="K3307" s="37">
        <v>0</v>
      </c>
      <c r="M3307" s="22">
        <f>IF(OR(ISBLANK(C3307),C3307=""),"",ROUND((C3307-B3307)*24,2))</f>
        <v>12.47</v>
      </c>
      <c r="N3307" s="38" t="str">
        <f>IF(OR(ISBLANK(C3307),C3307="",M3307=""),"In Progress",IF(M3307&lt;=J3307,"Met","Breached"))</f>
        <v>Breached</v>
      </c>
    </row>
    <row r="3308" ht="19" customHeight="1" spans="1:14" x14ac:dyDescent="0.25">
      <c r="A3308" s="19" t="s">
        <v>3422</v>
      </c>
      <c r="B3308" s="33">
        <v>45682.1</v>
      </c>
      <c r="C3308" s="33">
        <v>45684.398611111115</v>
      </c>
      <c r="D3308" s="19" t="s">
        <v>36</v>
      </c>
      <c r="E3308" s="19" t="s">
        <v>69</v>
      </c>
      <c r="F3308" s="19" t="s">
        <v>45</v>
      </c>
      <c r="G3308" s="19" t="s">
        <v>121</v>
      </c>
      <c r="H3308" s="19" t="s">
        <v>63</v>
      </c>
      <c r="I3308" s="19" t="s">
        <v>111</v>
      </c>
      <c r="J3308" s="20">
        <v>120</v>
      </c>
      <c r="K3308" s="34">
        <v>0</v>
      </c>
      <c r="M3308" s="19">
        <f>IF(OR(ISBLANK(C3308),C3308=""),"",ROUND((C3308-B3308)*24,2))</f>
        <v>55.17</v>
      </c>
      <c r="N3308" s="35" t="str">
        <f>IF(OR(ISBLANK(C3308),C3308="",M3308=""),"In Progress",IF(M3308&lt;=J3308,"Met","Breached"))</f>
        <v>Met</v>
      </c>
    </row>
    <row r="3309" ht="19" customHeight="1" spans="1:14" x14ac:dyDescent="0.25">
      <c r="A3309" s="22" t="s">
        <v>3423</v>
      </c>
      <c r="B3309" s="36">
        <v>45932.92638888889</v>
      </c>
      <c r="C3309" s="36">
        <v>45935.31875</v>
      </c>
      <c r="D3309" s="22" t="s">
        <v>33</v>
      </c>
      <c r="E3309" s="22" t="s">
        <v>65</v>
      </c>
      <c r="F3309" s="22" t="s">
        <v>45</v>
      </c>
      <c r="G3309" s="22" t="s">
        <v>121</v>
      </c>
      <c r="H3309" s="22" t="s">
        <v>63</v>
      </c>
      <c r="I3309" s="22" t="s">
        <v>108</v>
      </c>
      <c r="J3309" s="23">
        <v>48</v>
      </c>
      <c r="K3309" s="37">
        <v>0</v>
      </c>
      <c r="L3309" s="37">
        <v>1</v>
      </c>
      <c r="M3309" s="22">
        <f>IF(OR(ISBLANK(C3309),C3309=""),"",ROUND((C3309-B3309)*24,2))</f>
        <v>57.42</v>
      </c>
      <c r="N3309" s="38" t="str">
        <f>IF(OR(ISBLANK(C3309),C3309="",M3309=""),"In Progress",IF(M3309&lt;=J3309,"Met","Breached"))</f>
        <v>Breached</v>
      </c>
    </row>
    <row r="3310" ht="19" customHeight="1" spans="1:14" x14ac:dyDescent="0.25">
      <c r="A3310" s="19" t="s">
        <v>3424</v>
      </c>
      <c r="B3310" s="33">
        <v>46046.634722222225</v>
      </c>
      <c r="C3310" s="33">
        <v>46047.21597222222</v>
      </c>
      <c r="D3310" s="19" t="s">
        <v>36</v>
      </c>
      <c r="E3310" s="19" t="s">
        <v>61</v>
      </c>
      <c r="F3310" s="19" t="s">
        <v>37</v>
      </c>
      <c r="G3310" s="19" t="s">
        <v>126</v>
      </c>
      <c r="H3310" s="19" t="s">
        <v>67</v>
      </c>
      <c r="I3310" s="19" t="s">
        <v>123</v>
      </c>
      <c r="J3310" s="20">
        <v>12</v>
      </c>
      <c r="K3310" s="34">
        <v>0</v>
      </c>
      <c r="L3310" s="34">
        <v>5</v>
      </c>
      <c r="M3310" s="19">
        <f>IF(OR(ISBLANK(C3310),C3310=""),"",ROUND((C3310-B3310)*24,2))</f>
        <v>13.95</v>
      </c>
      <c r="N3310" s="39" t="str">
        <f>IF(OR(ISBLANK(C3310),C3310="",M3310=""),"In Progress",IF(M3310&lt;=J3310,"Met","Breached"))</f>
        <v>Breached</v>
      </c>
    </row>
    <row r="3311" ht="19" customHeight="1" spans="1:14" x14ac:dyDescent="0.25">
      <c r="A3311" s="22" t="s">
        <v>3425</v>
      </c>
      <c r="B3311" s="36">
        <v>46009.96666666667</v>
      </c>
      <c r="D3311" s="22" t="s">
        <v>39</v>
      </c>
      <c r="E3311" s="22" t="s">
        <v>65</v>
      </c>
      <c r="F3311" s="22" t="s">
        <v>34</v>
      </c>
      <c r="G3311" s="22" t="s">
        <v>126</v>
      </c>
      <c r="H3311" s="22" t="s">
        <v>63</v>
      </c>
      <c r="I3311" s="22" t="s">
        <v>123</v>
      </c>
      <c r="J3311" s="23">
        <v>48</v>
      </c>
      <c r="K3311" s="37">
        <v>0</v>
      </c>
      <c r="M3311" s="22" t="str">
        <f>IF(OR(ISBLANK(C3311),C3311=""),"",ROUND((C3311-B3311)*24,2))</f>
        <v/>
      </c>
      <c r="N3311" s="22" t="str">
        <f>IF(OR(ISBLANK(C3311),C3311="",M3311=""),"In Progress",IF(M3311&lt;=J3311,"Met","Breached"))</f>
        <v>In Progress</v>
      </c>
    </row>
    <row r="3312" ht="19" customHeight="1" spans="1:14" x14ac:dyDescent="0.25">
      <c r="A3312" s="19" t="s">
        <v>3426</v>
      </c>
      <c r="B3312" s="33">
        <v>45702.29236111111</v>
      </c>
      <c r="D3312" s="19" t="s">
        <v>39</v>
      </c>
      <c r="E3312" s="19" t="s">
        <v>69</v>
      </c>
      <c r="F3312" s="19" t="s">
        <v>45</v>
      </c>
      <c r="G3312" s="19" t="s">
        <v>116</v>
      </c>
      <c r="H3312" s="19" t="s">
        <v>67</v>
      </c>
      <c r="I3312" s="19" t="s">
        <v>108</v>
      </c>
      <c r="J3312" s="20">
        <v>120</v>
      </c>
      <c r="K3312" s="34">
        <v>0</v>
      </c>
      <c r="M3312" s="19" t="str">
        <f>IF(OR(ISBLANK(C3312),C3312=""),"",ROUND((C3312-B3312)*24,2))</f>
        <v/>
      </c>
      <c r="N3312" s="19" t="str">
        <f>IF(OR(ISBLANK(C3312),C3312="",M3312=""),"In Progress",IF(M3312&lt;=J3312,"Met","Breached"))</f>
        <v>In Progress</v>
      </c>
    </row>
    <row r="3313" ht="19" customHeight="1" spans="1:14" x14ac:dyDescent="0.25">
      <c r="A3313" s="22" t="s">
        <v>3427</v>
      </c>
      <c r="B3313" s="36">
        <v>45796.268055555556</v>
      </c>
      <c r="C3313" s="36">
        <v>45797.09097222222</v>
      </c>
      <c r="D3313" s="22" t="s">
        <v>33</v>
      </c>
      <c r="E3313" s="22" t="s">
        <v>65</v>
      </c>
      <c r="F3313" s="22" t="s">
        <v>37</v>
      </c>
      <c r="G3313" s="22" t="s">
        <v>110</v>
      </c>
      <c r="H3313" s="22" t="s">
        <v>71</v>
      </c>
      <c r="I3313" s="22" t="s">
        <v>123</v>
      </c>
      <c r="J3313" s="23">
        <v>48</v>
      </c>
      <c r="K3313" s="37">
        <v>0</v>
      </c>
      <c r="L3313" s="37">
        <v>4</v>
      </c>
      <c r="M3313" s="22">
        <f>IF(OR(ISBLANK(C3313),C3313=""),"",ROUND((C3313-B3313)*24,2))</f>
        <v>19.75</v>
      </c>
      <c r="N3313" s="40" t="str">
        <f>IF(OR(ISBLANK(C3313),C3313="",M3313=""),"In Progress",IF(M3313&lt;=J3313,"Met","Breached"))</f>
        <v>Met</v>
      </c>
    </row>
    <row r="3314" ht="19" customHeight="1" spans="1:14" x14ac:dyDescent="0.25">
      <c r="A3314" s="19" t="s">
        <v>3428</v>
      </c>
      <c r="B3314" s="33">
        <v>45823.959027777775</v>
      </c>
      <c r="D3314" s="19" t="s">
        <v>42</v>
      </c>
      <c r="E3314" s="19" t="s">
        <v>69</v>
      </c>
      <c r="F3314" s="19" t="s">
        <v>45</v>
      </c>
      <c r="G3314" s="19" t="s">
        <v>110</v>
      </c>
      <c r="H3314" s="19" t="s">
        <v>63</v>
      </c>
      <c r="I3314" s="19" t="s">
        <v>117</v>
      </c>
      <c r="J3314" s="20">
        <v>120</v>
      </c>
      <c r="K3314" s="34">
        <v>0</v>
      </c>
      <c r="M3314" s="19" t="str">
        <f>IF(OR(ISBLANK(C3314),C3314=""),"",ROUND((C3314-B3314)*24,2))</f>
        <v/>
      </c>
      <c r="N3314" s="19" t="str">
        <f>IF(OR(ISBLANK(C3314),C3314="",M3314=""),"In Progress",IF(M3314&lt;=J3314,"Met","Breached"))</f>
        <v>In Progress</v>
      </c>
    </row>
    <row r="3315" ht="19" customHeight="1" spans="1:14" x14ac:dyDescent="0.25">
      <c r="A3315" s="22" t="s">
        <v>3429</v>
      </c>
      <c r="B3315" s="36">
        <v>46253.02222222222</v>
      </c>
      <c r="C3315" s="36">
        <v>46258.347916666666</v>
      </c>
      <c r="D3315" s="22" t="s">
        <v>36</v>
      </c>
      <c r="E3315" s="22" t="s">
        <v>69</v>
      </c>
      <c r="F3315" s="22" t="s">
        <v>34</v>
      </c>
      <c r="G3315" s="22" t="s">
        <v>113</v>
      </c>
      <c r="H3315" s="22" t="s">
        <v>63</v>
      </c>
      <c r="I3315" s="22" t="s">
        <v>108</v>
      </c>
      <c r="J3315" s="23">
        <v>120</v>
      </c>
      <c r="K3315" s="37">
        <v>0</v>
      </c>
      <c r="L3315" s="37">
        <v>3</v>
      </c>
      <c r="M3315" s="22">
        <f>IF(OR(ISBLANK(C3315),C3315=""),"",ROUND((C3315-B3315)*24,2))</f>
        <v>127.82</v>
      </c>
      <c r="N3315" s="38" t="str">
        <f>IF(OR(ISBLANK(C3315),C3315="",M3315=""),"In Progress",IF(M3315&lt;=J3315,"Met","Breached"))</f>
        <v>Breached</v>
      </c>
    </row>
    <row r="3316" ht="19" customHeight="1" spans="1:14" x14ac:dyDescent="0.25">
      <c r="A3316" s="19" t="s">
        <v>3430</v>
      </c>
      <c r="B3316" s="33">
        <v>46037.95694444445</v>
      </c>
      <c r="C3316" s="33">
        <v>46038.24861111111</v>
      </c>
      <c r="D3316" s="19" t="s">
        <v>33</v>
      </c>
      <c r="E3316" s="19" t="s">
        <v>61</v>
      </c>
      <c r="F3316" s="19" t="s">
        <v>45</v>
      </c>
      <c r="G3316" s="19" t="s">
        <v>113</v>
      </c>
      <c r="H3316" s="19" t="s">
        <v>63</v>
      </c>
      <c r="I3316" s="19" t="s">
        <v>114</v>
      </c>
      <c r="J3316" s="20">
        <v>12</v>
      </c>
      <c r="K3316" s="34">
        <v>0</v>
      </c>
      <c r="L3316" s="34">
        <v>5</v>
      </c>
      <c r="M3316" s="19">
        <f>IF(OR(ISBLANK(C3316),C3316=""),"",ROUND((C3316-B3316)*24,2))</f>
        <v>7</v>
      </c>
      <c r="N3316" s="35" t="str">
        <f>IF(OR(ISBLANK(C3316),C3316="",M3316=""),"In Progress",IF(M3316&lt;=J3316,"Met","Breached"))</f>
        <v>Met</v>
      </c>
    </row>
    <row r="3317" ht="19" customHeight="1" spans="1:14" x14ac:dyDescent="0.25">
      <c r="A3317" s="22" t="s">
        <v>3431</v>
      </c>
      <c r="B3317" s="36">
        <v>46159.006944444445</v>
      </c>
      <c r="C3317" s="36">
        <v>46161.70763888889</v>
      </c>
      <c r="D3317" s="22" t="s">
        <v>33</v>
      </c>
      <c r="E3317" s="22" t="s">
        <v>65</v>
      </c>
      <c r="F3317" s="22" t="s">
        <v>34</v>
      </c>
      <c r="G3317" s="22" t="s">
        <v>126</v>
      </c>
      <c r="H3317" s="22" t="s">
        <v>67</v>
      </c>
      <c r="I3317" s="22" t="s">
        <v>147</v>
      </c>
      <c r="J3317" s="23">
        <v>48</v>
      </c>
      <c r="K3317" s="37">
        <v>0</v>
      </c>
      <c r="L3317" s="37">
        <v>5</v>
      </c>
      <c r="M3317" s="22">
        <f>IF(OR(ISBLANK(C3317),C3317=""),"",ROUND((C3317-B3317)*24,2))</f>
        <v>64.82</v>
      </c>
      <c r="N3317" s="38" t="str">
        <f>IF(OR(ISBLANK(C3317),C3317="",M3317=""),"In Progress",IF(M3317&lt;=J3317,"Met","Breached"))</f>
        <v>Breached</v>
      </c>
    </row>
    <row r="3318" ht="19" customHeight="1" spans="1:14" x14ac:dyDescent="0.25">
      <c r="A3318" s="19" t="s">
        <v>3432</v>
      </c>
      <c r="B3318" s="33">
        <v>45761.2125</v>
      </c>
      <c r="C3318" s="33">
        <v>45762.038194444445</v>
      </c>
      <c r="D3318" s="19" t="s">
        <v>36</v>
      </c>
      <c r="E3318" s="19" t="s">
        <v>65</v>
      </c>
      <c r="F3318" s="19" t="s">
        <v>37</v>
      </c>
      <c r="G3318" s="19" t="s">
        <v>121</v>
      </c>
      <c r="H3318" s="19" t="s">
        <v>59</v>
      </c>
      <c r="I3318" s="19" t="s">
        <v>117</v>
      </c>
      <c r="J3318" s="20">
        <v>48</v>
      </c>
      <c r="K3318" s="34">
        <v>0</v>
      </c>
      <c r="M3318" s="19">
        <f>IF(OR(ISBLANK(C3318),C3318=""),"",ROUND((C3318-B3318)*24,2))</f>
        <v>19.82</v>
      </c>
      <c r="N3318" s="35" t="str">
        <f>IF(OR(ISBLANK(C3318),C3318="",M3318=""),"In Progress",IF(M3318&lt;=J3318,"Met","Breached"))</f>
        <v>Met</v>
      </c>
    </row>
    <row r="3319" ht="19" customHeight="1" spans="1:14" x14ac:dyDescent="0.25">
      <c r="A3319" s="22" t="s">
        <v>3433</v>
      </c>
      <c r="B3319" s="36">
        <v>45674.04027777778</v>
      </c>
      <c r="C3319" s="36">
        <v>45677.20277777778</v>
      </c>
      <c r="D3319" s="22" t="s">
        <v>33</v>
      </c>
      <c r="E3319" s="22" t="s">
        <v>65</v>
      </c>
      <c r="F3319" s="22" t="s">
        <v>40</v>
      </c>
      <c r="G3319" s="22" t="s">
        <v>63</v>
      </c>
      <c r="H3319" s="22" t="s">
        <v>59</v>
      </c>
      <c r="I3319" s="22" t="s">
        <v>123</v>
      </c>
      <c r="J3319" s="23">
        <v>48</v>
      </c>
      <c r="K3319" s="37">
        <v>0</v>
      </c>
      <c r="L3319" s="37">
        <v>4</v>
      </c>
      <c r="M3319" s="22">
        <f>IF(OR(ISBLANK(C3319),C3319=""),"",ROUND((C3319-B3319)*24,2))</f>
        <v>75.9</v>
      </c>
      <c r="N3319" s="38" t="str">
        <f>IF(OR(ISBLANK(C3319),C3319="",M3319=""),"In Progress",IF(M3319&lt;=J3319,"Met","Breached"))</f>
        <v>Breached</v>
      </c>
    </row>
    <row r="3320" ht="19" customHeight="1" spans="1:14" x14ac:dyDescent="0.25">
      <c r="A3320" s="19" t="s">
        <v>3434</v>
      </c>
      <c r="B3320" s="33">
        <v>45928.84583333333</v>
      </c>
      <c r="C3320" s="33">
        <v>45930.933333333334</v>
      </c>
      <c r="D3320" s="19" t="s">
        <v>36</v>
      </c>
      <c r="E3320" s="19" t="s">
        <v>65</v>
      </c>
      <c r="F3320" s="19" t="s">
        <v>37</v>
      </c>
      <c r="G3320" s="19" t="s">
        <v>126</v>
      </c>
      <c r="H3320" s="19" t="s">
        <v>59</v>
      </c>
      <c r="I3320" s="19" t="s">
        <v>147</v>
      </c>
      <c r="J3320" s="20">
        <v>48</v>
      </c>
      <c r="K3320" s="34">
        <v>0</v>
      </c>
      <c r="L3320" s="34">
        <v>1</v>
      </c>
      <c r="M3320" s="19">
        <f>IF(OR(ISBLANK(C3320),C3320=""),"",ROUND((C3320-B3320)*24,2))</f>
        <v>50.1</v>
      </c>
      <c r="N3320" s="39" t="str">
        <f>IF(OR(ISBLANK(C3320),C3320="",M3320=""),"In Progress",IF(M3320&lt;=J3320,"Met","Breached"))</f>
        <v>Breached</v>
      </c>
    </row>
    <row r="3321" ht="19" customHeight="1" spans="1:14" x14ac:dyDescent="0.25">
      <c r="A3321" s="22" t="s">
        <v>3435</v>
      </c>
      <c r="B3321" s="36">
        <v>45999.64236111111</v>
      </c>
      <c r="C3321" s="36">
        <v>46002.794444444444</v>
      </c>
      <c r="D3321" s="22" t="s">
        <v>36</v>
      </c>
      <c r="E3321" s="22" t="s">
        <v>65</v>
      </c>
      <c r="F3321" s="22" t="s">
        <v>40</v>
      </c>
      <c r="G3321" s="22" t="s">
        <v>116</v>
      </c>
      <c r="H3321" s="22" t="s">
        <v>63</v>
      </c>
      <c r="I3321" s="22" t="s">
        <v>108</v>
      </c>
      <c r="J3321" s="23">
        <v>48</v>
      </c>
      <c r="K3321" s="37">
        <v>0</v>
      </c>
      <c r="L3321" s="37">
        <v>3</v>
      </c>
      <c r="M3321" s="22">
        <f>IF(OR(ISBLANK(C3321),C3321=""),"",ROUND((C3321-B3321)*24,2))</f>
        <v>75.65</v>
      </c>
      <c r="N3321" s="38" t="str">
        <f>IF(OR(ISBLANK(C3321),C3321="",M3321=""),"In Progress",IF(M3321&lt;=J3321,"Met","Breached"))</f>
        <v>Breached</v>
      </c>
    </row>
    <row r="3322" ht="19" customHeight="1" spans="1:14" x14ac:dyDescent="0.25">
      <c r="A3322" s="19" t="s">
        <v>3436</v>
      </c>
      <c r="B3322" s="33">
        <v>45903.48333333334</v>
      </c>
      <c r="C3322" s="33">
        <v>45906.631944444445</v>
      </c>
      <c r="D3322" s="19" t="s">
        <v>33</v>
      </c>
      <c r="E3322" s="19" t="s">
        <v>69</v>
      </c>
      <c r="F3322" s="19" t="s">
        <v>45</v>
      </c>
      <c r="G3322" s="19" t="s">
        <v>113</v>
      </c>
      <c r="H3322" s="19" t="s">
        <v>59</v>
      </c>
      <c r="I3322" s="19" t="s">
        <v>117</v>
      </c>
      <c r="J3322" s="20">
        <v>120</v>
      </c>
      <c r="K3322" s="34">
        <v>0</v>
      </c>
      <c r="M3322" s="19">
        <f>IF(OR(ISBLANK(C3322),C3322=""),"",ROUND((C3322-B3322)*24,2))</f>
        <v>75.57</v>
      </c>
      <c r="N3322" s="35" t="str">
        <f>IF(OR(ISBLANK(C3322),C3322="",M3322=""),"In Progress",IF(M3322&lt;=J3322,"Met","Breached"))</f>
        <v>Met</v>
      </c>
    </row>
    <row r="3323" ht="19" customHeight="1" spans="1:14" x14ac:dyDescent="0.25">
      <c r="A3323" s="22" t="s">
        <v>3437</v>
      </c>
      <c r="B3323" s="36">
        <v>45675.205555555556</v>
      </c>
      <c r="C3323" s="36">
        <v>45678.00069444445</v>
      </c>
      <c r="D3323" s="22" t="s">
        <v>33</v>
      </c>
      <c r="E3323" s="22" t="s">
        <v>65</v>
      </c>
      <c r="F3323" s="22" t="s">
        <v>43</v>
      </c>
      <c r="G3323" s="22" t="s">
        <v>113</v>
      </c>
      <c r="H3323" s="22" t="s">
        <v>63</v>
      </c>
      <c r="I3323" s="22" t="s">
        <v>108</v>
      </c>
      <c r="J3323" s="23">
        <v>48</v>
      </c>
      <c r="K3323" s="37">
        <v>1</v>
      </c>
      <c r="M3323" s="22">
        <f>IF(OR(ISBLANK(C3323),C3323=""),"",ROUND((C3323-B3323)*24,2))</f>
        <v>67.08</v>
      </c>
      <c r="N3323" s="38" t="str">
        <f>IF(OR(ISBLANK(C3323),C3323="",M3323=""),"In Progress",IF(M3323&lt;=J3323,"Met","Breached"))</f>
        <v>Breached</v>
      </c>
    </row>
    <row r="3324" ht="19" customHeight="1" spans="1:14" x14ac:dyDescent="0.25">
      <c r="A3324" s="19" t="s">
        <v>3438</v>
      </c>
      <c r="B3324" s="33">
        <v>46288.16875</v>
      </c>
      <c r="D3324" s="19" t="s">
        <v>39</v>
      </c>
      <c r="E3324" s="19" t="s">
        <v>65</v>
      </c>
      <c r="F3324" s="19" t="s">
        <v>45</v>
      </c>
      <c r="G3324" s="19" t="s">
        <v>63</v>
      </c>
      <c r="H3324" s="19" t="s">
        <v>59</v>
      </c>
      <c r="I3324" s="19" t="s">
        <v>117</v>
      </c>
      <c r="J3324" s="20">
        <v>48</v>
      </c>
      <c r="K3324" s="34">
        <v>0</v>
      </c>
      <c r="M3324" s="19" t="str">
        <f>IF(OR(ISBLANK(C3324),C3324=""),"",ROUND((C3324-B3324)*24,2))</f>
        <v/>
      </c>
      <c r="N3324" s="19" t="str">
        <f>IF(OR(ISBLANK(C3324),C3324="",M3324=""),"In Progress",IF(M3324&lt;=J3324,"Met","Breached"))</f>
        <v>In Progress</v>
      </c>
    </row>
    <row r="3325" ht="19" customHeight="1" spans="1:14" x14ac:dyDescent="0.25">
      <c r="A3325" s="22" t="s">
        <v>3439</v>
      </c>
      <c r="B3325" s="36">
        <v>45893.90694444445</v>
      </c>
      <c r="D3325" s="22" t="s">
        <v>42</v>
      </c>
      <c r="E3325" s="22" t="s">
        <v>69</v>
      </c>
      <c r="F3325" s="22" t="s">
        <v>43</v>
      </c>
      <c r="G3325" s="22" t="s">
        <v>121</v>
      </c>
      <c r="H3325" s="22" t="s">
        <v>59</v>
      </c>
      <c r="I3325" s="22" t="s">
        <v>147</v>
      </c>
      <c r="J3325" s="23">
        <v>120</v>
      </c>
      <c r="K3325" s="37">
        <v>0</v>
      </c>
      <c r="M3325" s="22" t="str">
        <f>IF(OR(ISBLANK(C3325),C3325=""),"",ROUND((C3325-B3325)*24,2))</f>
        <v/>
      </c>
      <c r="N3325" s="22" t="str">
        <f>IF(OR(ISBLANK(C3325),C3325="",M3325=""),"In Progress",IF(M3325&lt;=J3325,"Met","Breached"))</f>
        <v>In Progress</v>
      </c>
    </row>
    <row r="3326" ht="19" customHeight="1" spans="1:14" x14ac:dyDescent="0.25">
      <c r="A3326" s="19" t="s">
        <v>3440</v>
      </c>
      <c r="B3326" s="33">
        <v>46143.45138888889</v>
      </c>
      <c r="C3326" s="33">
        <v>46145.00347222222</v>
      </c>
      <c r="D3326" s="19" t="s">
        <v>33</v>
      </c>
      <c r="E3326" s="19" t="s">
        <v>65</v>
      </c>
      <c r="F3326" s="19" t="s">
        <v>37</v>
      </c>
      <c r="G3326" s="19" t="s">
        <v>113</v>
      </c>
      <c r="H3326" s="19" t="s">
        <v>67</v>
      </c>
      <c r="I3326" s="19" t="s">
        <v>117</v>
      </c>
      <c r="J3326" s="20">
        <v>48</v>
      </c>
      <c r="K3326" s="34">
        <v>0</v>
      </c>
      <c r="M3326" s="19">
        <f>IF(OR(ISBLANK(C3326),C3326=""),"",ROUND((C3326-B3326)*24,2))</f>
        <v>37.25</v>
      </c>
      <c r="N3326" s="35" t="str">
        <f>IF(OR(ISBLANK(C3326),C3326="",M3326=""),"In Progress",IF(M3326&lt;=J3326,"Met","Breached"))</f>
        <v>Met</v>
      </c>
    </row>
    <row r="3327" ht="19" customHeight="1" spans="1:14" x14ac:dyDescent="0.25">
      <c r="A3327" s="22" t="s">
        <v>3441</v>
      </c>
      <c r="B3327" s="36">
        <v>46113.20208333334</v>
      </c>
      <c r="C3327" s="36">
        <v>46115.402083333334</v>
      </c>
      <c r="D3327" s="22" t="s">
        <v>33</v>
      </c>
      <c r="E3327" s="22" t="s">
        <v>65</v>
      </c>
      <c r="F3327" s="22" t="s">
        <v>45</v>
      </c>
      <c r="G3327" s="22" t="s">
        <v>113</v>
      </c>
      <c r="H3327" s="22" t="s">
        <v>59</v>
      </c>
      <c r="I3327" s="22" t="s">
        <v>108</v>
      </c>
      <c r="J3327" s="23">
        <v>48</v>
      </c>
      <c r="K3327" s="37">
        <v>0</v>
      </c>
      <c r="M3327" s="22">
        <f>IF(OR(ISBLANK(C3327),C3327=""),"",ROUND((C3327-B3327)*24,2))</f>
        <v>52.8</v>
      </c>
      <c r="N3327" s="38" t="str">
        <f>IF(OR(ISBLANK(C3327),C3327="",M3327=""),"In Progress",IF(M3327&lt;=J3327,"Met","Breached"))</f>
        <v>Breached</v>
      </c>
    </row>
    <row r="3328" ht="19" customHeight="1" spans="1:14" x14ac:dyDescent="0.25">
      <c r="A3328" s="19" t="s">
        <v>3442</v>
      </c>
      <c r="B3328" s="33">
        <v>46223.07777777778</v>
      </c>
      <c r="D3328" s="19" t="s">
        <v>39</v>
      </c>
      <c r="E3328" s="19" t="s">
        <v>65</v>
      </c>
      <c r="F3328" s="19" t="s">
        <v>40</v>
      </c>
      <c r="G3328" s="19" t="s">
        <v>126</v>
      </c>
      <c r="H3328" s="19" t="s">
        <v>63</v>
      </c>
      <c r="I3328" s="19" t="s">
        <v>114</v>
      </c>
      <c r="J3328" s="20">
        <v>48</v>
      </c>
      <c r="K3328" s="34">
        <v>0</v>
      </c>
      <c r="M3328" s="19" t="str">
        <f>IF(OR(ISBLANK(C3328),C3328=""),"",ROUND((C3328-B3328)*24,2))</f>
        <v/>
      </c>
      <c r="N3328" s="19" t="str">
        <f>IF(OR(ISBLANK(C3328),C3328="",M3328=""),"In Progress",IF(M3328&lt;=J3328,"Met","Breached"))</f>
        <v>In Progress</v>
      </c>
    </row>
    <row r="3329" ht="19" customHeight="1" spans="1:14" x14ac:dyDescent="0.25">
      <c r="A3329" s="22" t="s">
        <v>3443</v>
      </c>
      <c r="B3329" s="36">
        <v>45838.851388888885</v>
      </c>
      <c r="C3329" s="36">
        <v>45838.9625</v>
      </c>
      <c r="D3329" s="22" t="s">
        <v>33</v>
      </c>
      <c r="E3329" s="22" t="s">
        <v>57</v>
      </c>
      <c r="F3329" s="22" t="s">
        <v>34</v>
      </c>
      <c r="G3329" s="22" t="s">
        <v>110</v>
      </c>
      <c r="H3329" s="22" t="s">
        <v>59</v>
      </c>
      <c r="I3329" s="22" t="s">
        <v>117</v>
      </c>
      <c r="J3329" s="23">
        <v>4</v>
      </c>
      <c r="K3329" s="37">
        <v>0</v>
      </c>
      <c r="L3329" s="37">
        <v>1</v>
      </c>
      <c r="M3329" s="22">
        <f>IF(OR(ISBLANK(C3329),C3329=""),"",ROUND((C3329-B3329)*24,2))</f>
        <v>2.67</v>
      </c>
      <c r="N3329" s="40" t="str">
        <f>IF(OR(ISBLANK(C3329),C3329="",M3329=""),"In Progress",IF(M3329&lt;=J3329,"Met","Breached"))</f>
        <v>Met</v>
      </c>
    </row>
    <row r="3330" ht="19" customHeight="1" spans="1:14" x14ac:dyDescent="0.25">
      <c r="A3330" s="19" t="s">
        <v>3444</v>
      </c>
      <c r="B3330" s="33">
        <v>46093.76944444445</v>
      </c>
      <c r="C3330" s="33">
        <v>46095.77638888889</v>
      </c>
      <c r="D3330" s="19" t="s">
        <v>33</v>
      </c>
      <c r="E3330" s="19" t="s">
        <v>65</v>
      </c>
      <c r="F3330" s="19" t="s">
        <v>43</v>
      </c>
      <c r="G3330" s="19" t="s">
        <v>113</v>
      </c>
      <c r="H3330" s="19" t="s">
        <v>63</v>
      </c>
      <c r="I3330" s="19" t="s">
        <v>117</v>
      </c>
      <c r="J3330" s="20">
        <v>48</v>
      </c>
      <c r="K3330" s="34">
        <v>0</v>
      </c>
      <c r="L3330" s="34">
        <v>1</v>
      </c>
      <c r="M3330" s="19">
        <f>IF(OR(ISBLANK(C3330),C3330=""),"",ROUND((C3330-B3330)*24,2))</f>
        <v>48.17</v>
      </c>
      <c r="N3330" s="39" t="str">
        <f>IF(OR(ISBLANK(C3330),C3330="",M3330=""),"In Progress",IF(M3330&lt;=J3330,"Met","Breached"))</f>
        <v>Breached</v>
      </c>
    </row>
    <row r="3331" ht="19" customHeight="1" spans="1:14" x14ac:dyDescent="0.25">
      <c r="A3331" s="22" t="s">
        <v>3445</v>
      </c>
      <c r="B3331" s="36">
        <v>45830.78263888889</v>
      </c>
      <c r="D3331" s="22" t="s">
        <v>39</v>
      </c>
      <c r="E3331" s="22" t="s">
        <v>65</v>
      </c>
      <c r="F3331" s="22" t="s">
        <v>45</v>
      </c>
      <c r="G3331" s="22" t="s">
        <v>121</v>
      </c>
      <c r="H3331" s="22" t="s">
        <v>59</v>
      </c>
      <c r="I3331" s="22" t="s">
        <v>111</v>
      </c>
      <c r="J3331" s="23">
        <v>48</v>
      </c>
      <c r="K3331" s="37">
        <v>0</v>
      </c>
      <c r="M3331" s="22" t="str">
        <f>IF(OR(ISBLANK(C3331),C3331=""),"",ROUND((C3331-B3331)*24,2))</f>
        <v/>
      </c>
      <c r="N3331" s="22" t="str">
        <f>IF(OR(ISBLANK(C3331),C3331="",M3331=""),"In Progress",IF(M3331&lt;=J3331,"Met","Breached"))</f>
        <v>In Progress</v>
      </c>
    </row>
    <row r="3332" ht="19" customHeight="1" spans="1:14" x14ac:dyDescent="0.25">
      <c r="A3332" s="19" t="s">
        <v>3446</v>
      </c>
      <c r="B3332" s="33">
        <v>46021.79791666666</v>
      </c>
      <c r="C3332" s="33">
        <v>46021.90486111111</v>
      </c>
      <c r="D3332" s="19" t="s">
        <v>33</v>
      </c>
      <c r="E3332" s="19" t="s">
        <v>57</v>
      </c>
      <c r="F3332" s="19" t="s">
        <v>43</v>
      </c>
      <c r="G3332" s="19" t="s">
        <v>113</v>
      </c>
      <c r="H3332" s="19" t="s">
        <v>67</v>
      </c>
      <c r="I3332" s="19" t="s">
        <v>111</v>
      </c>
      <c r="J3332" s="20">
        <v>4</v>
      </c>
      <c r="K3332" s="34">
        <v>0</v>
      </c>
      <c r="L3332" s="34">
        <v>1</v>
      </c>
      <c r="M3332" s="19">
        <f>IF(OR(ISBLANK(C3332),C3332=""),"",ROUND((C3332-B3332)*24,2))</f>
        <v>2.57</v>
      </c>
      <c r="N3332" s="35" t="str">
        <f>IF(OR(ISBLANK(C3332),C3332="",M3332=""),"In Progress",IF(M3332&lt;=J3332,"Met","Breached"))</f>
        <v>Met</v>
      </c>
    </row>
    <row r="3333" ht="19" customHeight="1" spans="1:14" x14ac:dyDescent="0.25">
      <c r="A3333" s="22" t="s">
        <v>3447</v>
      </c>
      <c r="B3333" s="36">
        <v>46261.12986111111</v>
      </c>
      <c r="C3333" s="36">
        <v>46267.45972222222</v>
      </c>
      <c r="D3333" s="22" t="s">
        <v>33</v>
      </c>
      <c r="E3333" s="22" t="s">
        <v>69</v>
      </c>
      <c r="F3333" s="22" t="s">
        <v>43</v>
      </c>
      <c r="G3333" s="22" t="s">
        <v>126</v>
      </c>
      <c r="H3333" s="22" t="s">
        <v>71</v>
      </c>
      <c r="I3333" s="22" t="s">
        <v>147</v>
      </c>
      <c r="J3333" s="23">
        <v>120</v>
      </c>
      <c r="K3333" s="37">
        <v>0</v>
      </c>
      <c r="L3333" s="37">
        <v>4</v>
      </c>
      <c r="M3333" s="22">
        <f>IF(OR(ISBLANK(C3333),C3333=""),"",ROUND((C3333-B3333)*24,2))</f>
        <v>151.92</v>
      </c>
      <c r="N3333" s="38" t="str">
        <f>IF(OR(ISBLANK(C3333),C3333="",M3333=""),"In Progress",IF(M3333&lt;=J3333,"Met","Breached"))</f>
        <v>Breached</v>
      </c>
    </row>
    <row r="3334" ht="19" customHeight="1" spans="1:14" x14ac:dyDescent="0.25">
      <c r="A3334" s="19" t="s">
        <v>3448</v>
      </c>
      <c r="B3334" s="33">
        <v>45832.24166666667</v>
      </c>
      <c r="C3334" s="33">
        <v>45834.927777777775</v>
      </c>
      <c r="D3334" s="19" t="s">
        <v>36</v>
      </c>
      <c r="E3334" s="19" t="s">
        <v>65</v>
      </c>
      <c r="F3334" s="19" t="s">
        <v>34</v>
      </c>
      <c r="G3334" s="19" t="s">
        <v>116</v>
      </c>
      <c r="H3334" s="19" t="s">
        <v>59</v>
      </c>
      <c r="I3334" s="19" t="s">
        <v>114</v>
      </c>
      <c r="J3334" s="20">
        <v>48</v>
      </c>
      <c r="K3334" s="34">
        <v>0</v>
      </c>
      <c r="L3334" s="34">
        <v>2</v>
      </c>
      <c r="M3334" s="19">
        <f>IF(OR(ISBLANK(C3334),C3334=""),"",ROUND((C3334-B3334)*24,2))</f>
        <v>64.47</v>
      </c>
      <c r="N3334" s="39" t="str">
        <f>IF(OR(ISBLANK(C3334),C3334="",M3334=""),"In Progress",IF(M3334&lt;=J3334,"Met","Breached"))</f>
        <v>Breached</v>
      </c>
    </row>
    <row r="3335" ht="19" customHeight="1" spans="1:14" x14ac:dyDescent="0.25">
      <c r="A3335" s="22" t="s">
        <v>3449</v>
      </c>
      <c r="B3335" s="36">
        <v>45833.11875</v>
      </c>
      <c r="C3335" s="36">
        <v>45833.44861111111</v>
      </c>
      <c r="D3335" s="22" t="s">
        <v>33</v>
      </c>
      <c r="E3335" s="22" t="s">
        <v>61</v>
      </c>
      <c r="F3335" s="22" t="s">
        <v>37</v>
      </c>
      <c r="G3335" s="22" t="s">
        <v>126</v>
      </c>
      <c r="H3335" s="22" t="s">
        <v>59</v>
      </c>
      <c r="I3335" s="22" t="s">
        <v>114</v>
      </c>
      <c r="J3335" s="23">
        <v>12</v>
      </c>
      <c r="K3335" s="37">
        <v>0</v>
      </c>
      <c r="L3335" s="37">
        <v>5</v>
      </c>
      <c r="M3335" s="22">
        <f>IF(OR(ISBLANK(C3335),C3335=""),"",ROUND((C3335-B3335)*24,2))</f>
        <v>7.92</v>
      </c>
      <c r="N3335" s="40" t="str">
        <f>IF(OR(ISBLANK(C3335),C3335="",M3335=""),"In Progress",IF(M3335&lt;=J3335,"Met","Breached"))</f>
        <v>Met</v>
      </c>
    </row>
    <row r="3336" ht="19" customHeight="1" spans="1:14" x14ac:dyDescent="0.25">
      <c r="A3336" s="19" t="s">
        <v>3450</v>
      </c>
      <c r="B3336" s="33">
        <v>45887.160416666666</v>
      </c>
      <c r="C3336" s="33">
        <v>45887.513194444444</v>
      </c>
      <c r="D3336" s="19" t="s">
        <v>36</v>
      </c>
      <c r="E3336" s="19" t="s">
        <v>61</v>
      </c>
      <c r="F3336" s="19" t="s">
        <v>45</v>
      </c>
      <c r="G3336" s="19" t="s">
        <v>63</v>
      </c>
      <c r="H3336" s="19" t="s">
        <v>59</v>
      </c>
      <c r="I3336" s="19" t="s">
        <v>108</v>
      </c>
      <c r="J3336" s="20">
        <v>12</v>
      </c>
      <c r="K3336" s="34">
        <v>0</v>
      </c>
      <c r="M3336" s="19">
        <f>IF(OR(ISBLANK(C3336),C3336=""),"",ROUND((C3336-B3336)*24,2))</f>
        <v>8.47</v>
      </c>
      <c r="N3336" s="35" t="str">
        <f>IF(OR(ISBLANK(C3336),C3336="",M3336=""),"In Progress",IF(M3336&lt;=J3336,"Met","Breached"))</f>
        <v>Met</v>
      </c>
    </row>
    <row r="3337" ht="19" customHeight="1" spans="1:14" x14ac:dyDescent="0.25">
      <c r="A3337" s="22" t="s">
        <v>3451</v>
      </c>
      <c r="B3337" s="36">
        <v>45665.61666666667</v>
      </c>
      <c r="D3337" s="22" t="s">
        <v>39</v>
      </c>
      <c r="E3337" s="22" t="s">
        <v>65</v>
      </c>
      <c r="F3337" s="22" t="s">
        <v>40</v>
      </c>
      <c r="G3337" s="22" t="s">
        <v>110</v>
      </c>
      <c r="H3337" s="22" t="s">
        <v>59</v>
      </c>
      <c r="I3337" s="22" t="s">
        <v>114</v>
      </c>
      <c r="J3337" s="23">
        <v>48</v>
      </c>
      <c r="K3337" s="37">
        <v>0</v>
      </c>
      <c r="M3337" s="22" t="str">
        <f>IF(OR(ISBLANK(C3337),C3337=""),"",ROUND((C3337-B3337)*24,2))</f>
        <v/>
      </c>
      <c r="N3337" s="22" t="str">
        <f>IF(OR(ISBLANK(C3337),C3337="",M3337=""),"In Progress",IF(M3337&lt;=J3337,"Met","Breached"))</f>
        <v>In Progress</v>
      </c>
    </row>
    <row r="3338" ht="19" customHeight="1" spans="1:14" x14ac:dyDescent="0.25">
      <c r="A3338" s="19" t="s">
        <v>3452</v>
      </c>
      <c r="B3338" s="33">
        <v>45829.629166666666</v>
      </c>
      <c r="C3338" s="33">
        <v>45829.94375</v>
      </c>
      <c r="D3338" s="19" t="s">
        <v>33</v>
      </c>
      <c r="E3338" s="19" t="s">
        <v>61</v>
      </c>
      <c r="F3338" s="19" t="s">
        <v>40</v>
      </c>
      <c r="G3338" s="19" t="s">
        <v>121</v>
      </c>
      <c r="H3338" s="19" t="s">
        <v>59</v>
      </c>
      <c r="I3338" s="19" t="s">
        <v>108</v>
      </c>
      <c r="J3338" s="20">
        <v>12</v>
      </c>
      <c r="K3338" s="34">
        <v>0</v>
      </c>
      <c r="M3338" s="19">
        <f>IF(OR(ISBLANK(C3338),C3338=""),"",ROUND((C3338-B3338)*24,2))</f>
        <v>7.55</v>
      </c>
      <c r="N3338" s="35" t="str">
        <f>IF(OR(ISBLANK(C3338),C3338="",M3338=""),"In Progress",IF(M3338&lt;=J3338,"Met","Breached"))</f>
        <v>Met</v>
      </c>
    </row>
    <row r="3339" ht="19" customHeight="1" spans="1:14" x14ac:dyDescent="0.25">
      <c r="A3339" s="22" t="s">
        <v>3453</v>
      </c>
      <c r="B3339" s="36">
        <v>45671.77222222222</v>
      </c>
      <c r="D3339" s="22" t="s">
        <v>42</v>
      </c>
      <c r="E3339" s="22" t="s">
        <v>65</v>
      </c>
      <c r="F3339" s="22" t="s">
        <v>37</v>
      </c>
      <c r="G3339" s="22" t="s">
        <v>116</v>
      </c>
      <c r="H3339" s="22" t="s">
        <v>63</v>
      </c>
      <c r="I3339" s="22" t="s">
        <v>111</v>
      </c>
      <c r="J3339" s="23">
        <v>48</v>
      </c>
      <c r="K3339" s="37">
        <v>0</v>
      </c>
      <c r="M3339" s="22" t="str">
        <f>IF(OR(ISBLANK(C3339),C3339=""),"",ROUND((C3339-B3339)*24,2))</f>
        <v/>
      </c>
      <c r="N3339" s="22" t="str">
        <f>IF(OR(ISBLANK(C3339),C3339="",M3339=""),"In Progress",IF(M3339&lt;=J3339,"Met","Breached"))</f>
        <v>In Progress</v>
      </c>
    </row>
    <row r="3340" ht="19" customHeight="1" spans="1:14" x14ac:dyDescent="0.25">
      <c r="A3340" s="19" t="s">
        <v>3454</v>
      </c>
      <c r="B3340" s="33">
        <v>45963.65486111111</v>
      </c>
      <c r="C3340" s="33">
        <v>45965.90347222222</v>
      </c>
      <c r="D3340" s="19" t="s">
        <v>33</v>
      </c>
      <c r="E3340" s="19" t="s">
        <v>69</v>
      </c>
      <c r="F3340" s="19" t="s">
        <v>37</v>
      </c>
      <c r="G3340" s="19" t="s">
        <v>116</v>
      </c>
      <c r="H3340" s="19" t="s">
        <v>67</v>
      </c>
      <c r="I3340" s="19" t="s">
        <v>123</v>
      </c>
      <c r="J3340" s="20">
        <v>120</v>
      </c>
      <c r="K3340" s="34">
        <v>0</v>
      </c>
      <c r="L3340" s="34">
        <v>3</v>
      </c>
      <c r="M3340" s="19">
        <f>IF(OR(ISBLANK(C3340),C3340=""),"",ROUND((C3340-B3340)*24,2))</f>
        <v>53.97</v>
      </c>
      <c r="N3340" s="35" t="str">
        <f>IF(OR(ISBLANK(C3340),C3340="",M3340=""),"In Progress",IF(M3340&lt;=J3340,"Met","Breached"))</f>
        <v>Met</v>
      </c>
    </row>
    <row r="3341" ht="19" customHeight="1" spans="1:14" x14ac:dyDescent="0.25">
      <c r="A3341" s="22" t="s">
        <v>3455</v>
      </c>
      <c r="B3341" s="36">
        <v>45684.02222222222</v>
      </c>
      <c r="C3341" s="36">
        <v>45685.48958333333</v>
      </c>
      <c r="D3341" s="22" t="s">
        <v>36</v>
      </c>
      <c r="E3341" s="22" t="s">
        <v>65</v>
      </c>
      <c r="F3341" s="22" t="s">
        <v>43</v>
      </c>
      <c r="G3341" s="22" t="s">
        <v>63</v>
      </c>
      <c r="H3341" s="22" t="s">
        <v>63</v>
      </c>
      <c r="I3341" s="22" t="s">
        <v>147</v>
      </c>
      <c r="J3341" s="23">
        <v>48</v>
      </c>
      <c r="K3341" s="37">
        <v>0</v>
      </c>
      <c r="M3341" s="22">
        <f>IF(OR(ISBLANK(C3341),C3341=""),"",ROUND((C3341-B3341)*24,2))</f>
        <v>35.22</v>
      </c>
      <c r="N3341" s="40" t="str">
        <f>IF(OR(ISBLANK(C3341),C3341="",M3341=""),"In Progress",IF(M3341&lt;=J3341,"Met","Breached"))</f>
        <v>Met</v>
      </c>
    </row>
    <row r="3342" ht="19" customHeight="1" spans="1:14" x14ac:dyDescent="0.25">
      <c r="A3342" s="19" t="s">
        <v>3456</v>
      </c>
      <c r="B3342" s="33">
        <v>46118.23819444445</v>
      </c>
      <c r="C3342" s="33">
        <v>46125.50347222222</v>
      </c>
      <c r="D3342" s="19" t="s">
        <v>36</v>
      </c>
      <c r="E3342" s="19" t="s">
        <v>69</v>
      </c>
      <c r="F3342" s="19" t="s">
        <v>37</v>
      </c>
      <c r="G3342" s="19" t="s">
        <v>121</v>
      </c>
      <c r="H3342" s="19" t="s">
        <v>71</v>
      </c>
      <c r="I3342" s="19" t="s">
        <v>114</v>
      </c>
      <c r="J3342" s="20">
        <v>120</v>
      </c>
      <c r="K3342" s="34">
        <v>0</v>
      </c>
      <c r="M3342" s="19">
        <f>IF(OR(ISBLANK(C3342),C3342=""),"",ROUND((C3342-B3342)*24,2))</f>
        <v>174.37</v>
      </c>
      <c r="N3342" s="39" t="str">
        <f>IF(OR(ISBLANK(C3342),C3342="",M3342=""),"In Progress",IF(M3342&lt;=J3342,"Met","Breached"))</f>
        <v>Breached</v>
      </c>
    </row>
    <row r="3343" ht="19" customHeight="1" spans="1:14" x14ac:dyDescent="0.25">
      <c r="A3343" s="22" t="s">
        <v>3457</v>
      </c>
      <c r="B3343" s="36">
        <v>45706.117361111115</v>
      </c>
      <c r="C3343" s="36">
        <v>45708.53680555556</v>
      </c>
      <c r="D3343" s="22" t="s">
        <v>33</v>
      </c>
      <c r="E3343" s="22" t="s">
        <v>65</v>
      </c>
      <c r="F3343" s="22" t="s">
        <v>43</v>
      </c>
      <c r="G3343" s="22" t="s">
        <v>121</v>
      </c>
      <c r="H3343" s="22" t="s">
        <v>59</v>
      </c>
      <c r="I3343" s="22" t="s">
        <v>147</v>
      </c>
      <c r="J3343" s="23">
        <v>48</v>
      </c>
      <c r="K3343" s="37">
        <v>0</v>
      </c>
      <c r="M3343" s="22">
        <f>IF(OR(ISBLANK(C3343),C3343=""),"",ROUND((C3343-B3343)*24,2))</f>
        <v>58.07</v>
      </c>
      <c r="N3343" s="38" t="str">
        <f>IF(OR(ISBLANK(C3343),C3343="",M3343=""),"In Progress",IF(M3343&lt;=J3343,"Met","Breached"))</f>
        <v>Breached</v>
      </c>
    </row>
    <row r="3344" ht="19" customHeight="1" spans="1:14" x14ac:dyDescent="0.25">
      <c r="A3344" s="19" t="s">
        <v>3458</v>
      </c>
      <c r="B3344" s="33">
        <v>46184.929861111115</v>
      </c>
      <c r="C3344" s="33">
        <v>46185.24444444444</v>
      </c>
      <c r="D3344" s="19" t="s">
        <v>33</v>
      </c>
      <c r="E3344" s="19" t="s">
        <v>61</v>
      </c>
      <c r="F3344" s="19" t="s">
        <v>37</v>
      </c>
      <c r="G3344" s="19" t="s">
        <v>63</v>
      </c>
      <c r="H3344" s="19" t="s">
        <v>59</v>
      </c>
      <c r="I3344" s="19" t="s">
        <v>123</v>
      </c>
      <c r="J3344" s="20">
        <v>12</v>
      </c>
      <c r="K3344" s="34">
        <v>0</v>
      </c>
      <c r="M3344" s="19">
        <f>IF(OR(ISBLANK(C3344),C3344=""),"",ROUND((C3344-B3344)*24,2))</f>
        <v>7.55</v>
      </c>
      <c r="N3344" s="35" t="str">
        <f>IF(OR(ISBLANK(C3344),C3344="",M3344=""),"In Progress",IF(M3344&lt;=J3344,"Met","Breached"))</f>
        <v>Met</v>
      </c>
    </row>
    <row r="3345" ht="19" customHeight="1" spans="1:14" x14ac:dyDescent="0.25">
      <c r="A3345" s="22" t="s">
        <v>3459</v>
      </c>
      <c r="B3345" s="36">
        <v>46253.34861111111</v>
      </c>
      <c r="C3345" s="36">
        <v>46253.945138888885</v>
      </c>
      <c r="D3345" s="22" t="s">
        <v>36</v>
      </c>
      <c r="E3345" s="22" t="s">
        <v>61</v>
      </c>
      <c r="F3345" s="22" t="s">
        <v>40</v>
      </c>
      <c r="G3345" s="22" t="s">
        <v>121</v>
      </c>
      <c r="H3345" s="22" t="s">
        <v>63</v>
      </c>
      <c r="I3345" s="22" t="s">
        <v>123</v>
      </c>
      <c r="J3345" s="23">
        <v>12</v>
      </c>
      <c r="K3345" s="37">
        <v>0</v>
      </c>
      <c r="L3345" s="37">
        <v>2</v>
      </c>
      <c r="M3345" s="22">
        <f>IF(OR(ISBLANK(C3345),C3345=""),"",ROUND((C3345-B3345)*24,2))</f>
        <v>14.32</v>
      </c>
      <c r="N3345" s="38" t="str">
        <f>IF(OR(ISBLANK(C3345),C3345="",M3345=""),"In Progress",IF(M3345&lt;=J3345,"Met","Breached"))</f>
        <v>Breached</v>
      </c>
    </row>
    <row r="3346" ht="19" customHeight="1" spans="1:14" x14ac:dyDescent="0.25">
      <c r="A3346" s="19" t="s">
        <v>3460</v>
      </c>
      <c r="B3346" s="33">
        <v>45775.48888888889</v>
      </c>
      <c r="C3346" s="33">
        <v>45776.768055555556</v>
      </c>
      <c r="D3346" s="19" t="s">
        <v>33</v>
      </c>
      <c r="E3346" s="19" t="s">
        <v>65</v>
      </c>
      <c r="F3346" s="19" t="s">
        <v>37</v>
      </c>
      <c r="G3346" s="19" t="s">
        <v>126</v>
      </c>
      <c r="H3346" s="19" t="s">
        <v>63</v>
      </c>
      <c r="I3346" s="19" t="s">
        <v>117</v>
      </c>
      <c r="J3346" s="20">
        <v>48</v>
      </c>
      <c r="K3346" s="34">
        <v>0</v>
      </c>
      <c r="L3346" s="34">
        <v>3</v>
      </c>
      <c r="M3346" s="19">
        <f>IF(OR(ISBLANK(C3346),C3346=""),"",ROUND((C3346-B3346)*24,2))</f>
        <v>30.7</v>
      </c>
      <c r="N3346" s="35" t="str">
        <f>IF(OR(ISBLANK(C3346),C3346="",M3346=""),"In Progress",IF(M3346&lt;=J3346,"Met","Breached"))</f>
        <v>Met</v>
      </c>
    </row>
    <row r="3347" ht="19" customHeight="1" spans="1:14" x14ac:dyDescent="0.25">
      <c r="A3347" s="22" t="s">
        <v>3461</v>
      </c>
      <c r="B3347" s="36">
        <v>45741.64375</v>
      </c>
      <c r="C3347" s="36">
        <v>45741.86388888889</v>
      </c>
      <c r="D3347" s="22" t="s">
        <v>33</v>
      </c>
      <c r="E3347" s="22" t="s">
        <v>61</v>
      </c>
      <c r="F3347" s="22" t="s">
        <v>34</v>
      </c>
      <c r="G3347" s="22" t="s">
        <v>113</v>
      </c>
      <c r="H3347" s="22" t="s">
        <v>59</v>
      </c>
      <c r="I3347" s="22" t="s">
        <v>147</v>
      </c>
      <c r="J3347" s="23">
        <v>12</v>
      </c>
      <c r="K3347" s="37">
        <v>0</v>
      </c>
      <c r="M3347" s="22">
        <f>IF(OR(ISBLANK(C3347),C3347=""),"",ROUND((C3347-B3347)*24,2))</f>
        <v>5.28</v>
      </c>
      <c r="N3347" s="40" t="str">
        <f>IF(OR(ISBLANK(C3347),C3347="",M3347=""),"In Progress",IF(M3347&lt;=J3347,"Met","Breached"))</f>
        <v>Met</v>
      </c>
    </row>
    <row r="3348" ht="19" customHeight="1" spans="1:14" x14ac:dyDescent="0.25">
      <c r="A3348" s="19" t="s">
        <v>3462</v>
      </c>
      <c r="B3348" s="33">
        <v>45894.294444444444</v>
      </c>
      <c r="C3348" s="33">
        <v>45897.15069444444</v>
      </c>
      <c r="D3348" s="19" t="s">
        <v>33</v>
      </c>
      <c r="E3348" s="19" t="s">
        <v>69</v>
      </c>
      <c r="F3348" s="19" t="s">
        <v>40</v>
      </c>
      <c r="G3348" s="19" t="s">
        <v>63</v>
      </c>
      <c r="H3348" s="19" t="s">
        <v>63</v>
      </c>
      <c r="I3348" s="19" t="s">
        <v>123</v>
      </c>
      <c r="J3348" s="20">
        <v>120</v>
      </c>
      <c r="K3348" s="34">
        <v>0</v>
      </c>
      <c r="M3348" s="19">
        <f>IF(OR(ISBLANK(C3348),C3348=""),"",ROUND((C3348-B3348)*24,2))</f>
        <v>68.55</v>
      </c>
      <c r="N3348" s="35" t="str">
        <f>IF(OR(ISBLANK(C3348),C3348="",M3348=""),"In Progress",IF(M3348&lt;=J3348,"Met","Breached"))</f>
        <v>Met</v>
      </c>
    </row>
    <row r="3349" ht="19" customHeight="1" spans="1:14" x14ac:dyDescent="0.25">
      <c r="A3349" s="22" t="s">
        <v>3463</v>
      </c>
      <c r="B3349" s="36">
        <v>45940.5125</v>
      </c>
      <c r="C3349" s="36">
        <v>45942.29652777778</v>
      </c>
      <c r="D3349" s="22" t="s">
        <v>36</v>
      </c>
      <c r="E3349" s="22" t="s">
        <v>65</v>
      </c>
      <c r="F3349" s="22" t="s">
        <v>37</v>
      </c>
      <c r="G3349" s="22" t="s">
        <v>121</v>
      </c>
      <c r="H3349" s="22" t="s">
        <v>71</v>
      </c>
      <c r="I3349" s="22" t="s">
        <v>123</v>
      </c>
      <c r="J3349" s="23">
        <v>48</v>
      </c>
      <c r="K3349" s="37">
        <v>0</v>
      </c>
      <c r="M3349" s="22">
        <f>IF(OR(ISBLANK(C3349),C3349=""),"",ROUND((C3349-B3349)*24,2))</f>
        <v>42.82</v>
      </c>
      <c r="N3349" s="40" t="str">
        <f>IF(OR(ISBLANK(C3349),C3349="",M3349=""),"In Progress",IF(M3349&lt;=J3349,"Met","Breached"))</f>
        <v>Met</v>
      </c>
    </row>
    <row r="3350" ht="19" customHeight="1" spans="1:14" x14ac:dyDescent="0.25">
      <c r="A3350" s="19" t="s">
        <v>3464</v>
      </c>
      <c r="B3350" s="33">
        <v>45825.85555555555</v>
      </c>
      <c r="C3350" s="33">
        <v>45827.67013888889</v>
      </c>
      <c r="D3350" s="19" t="s">
        <v>36</v>
      </c>
      <c r="E3350" s="19" t="s">
        <v>65</v>
      </c>
      <c r="F3350" s="19" t="s">
        <v>45</v>
      </c>
      <c r="G3350" s="19" t="s">
        <v>63</v>
      </c>
      <c r="H3350" s="19" t="s">
        <v>59</v>
      </c>
      <c r="I3350" s="19" t="s">
        <v>108</v>
      </c>
      <c r="J3350" s="20">
        <v>48</v>
      </c>
      <c r="K3350" s="34">
        <v>0</v>
      </c>
      <c r="L3350" s="34">
        <v>1</v>
      </c>
      <c r="M3350" s="19">
        <f>IF(OR(ISBLANK(C3350),C3350=""),"",ROUND((C3350-B3350)*24,2))</f>
        <v>43.55</v>
      </c>
      <c r="N3350" s="35" t="str">
        <f>IF(OR(ISBLANK(C3350),C3350="",M3350=""),"In Progress",IF(M3350&lt;=J3350,"Met","Breached"))</f>
        <v>Met</v>
      </c>
    </row>
    <row r="3351" ht="19" customHeight="1" spans="1:14" x14ac:dyDescent="0.25">
      <c r="A3351" s="22" t="s">
        <v>3465</v>
      </c>
      <c r="B3351" s="36">
        <v>45934.055555555555</v>
      </c>
      <c r="C3351" s="36">
        <v>45935.10416666667</v>
      </c>
      <c r="D3351" s="22" t="s">
        <v>33</v>
      </c>
      <c r="E3351" s="22" t="s">
        <v>65</v>
      </c>
      <c r="F3351" s="22" t="s">
        <v>43</v>
      </c>
      <c r="G3351" s="22" t="s">
        <v>116</v>
      </c>
      <c r="H3351" s="22" t="s">
        <v>63</v>
      </c>
      <c r="I3351" s="22" t="s">
        <v>123</v>
      </c>
      <c r="J3351" s="23">
        <v>48</v>
      </c>
      <c r="K3351" s="37">
        <v>0</v>
      </c>
      <c r="M3351" s="22">
        <f>IF(OR(ISBLANK(C3351),C3351=""),"",ROUND((C3351-B3351)*24,2))</f>
        <v>25.17</v>
      </c>
      <c r="N3351" s="40" t="str">
        <f>IF(OR(ISBLANK(C3351),C3351="",M3351=""),"In Progress",IF(M3351&lt;=J3351,"Met","Breached"))</f>
        <v>Met</v>
      </c>
    </row>
    <row r="3352" ht="19" customHeight="1" spans="1:14" x14ac:dyDescent="0.25">
      <c r="A3352" s="19" t="s">
        <v>3466</v>
      </c>
      <c r="B3352" s="33">
        <v>45774.18958333333</v>
      </c>
      <c r="C3352" s="33">
        <v>45775.59097222222</v>
      </c>
      <c r="D3352" s="19" t="s">
        <v>33</v>
      </c>
      <c r="E3352" s="19" t="s">
        <v>65</v>
      </c>
      <c r="F3352" s="19" t="s">
        <v>37</v>
      </c>
      <c r="G3352" s="19" t="s">
        <v>110</v>
      </c>
      <c r="H3352" s="19" t="s">
        <v>63</v>
      </c>
      <c r="I3352" s="19" t="s">
        <v>108</v>
      </c>
      <c r="J3352" s="20">
        <v>48</v>
      </c>
      <c r="K3352" s="34">
        <v>0</v>
      </c>
      <c r="L3352" s="34">
        <v>1</v>
      </c>
      <c r="M3352" s="19">
        <f>IF(OR(ISBLANK(C3352),C3352=""),"",ROUND((C3352-B3352)*24,2))</f>
        <v>33.63</v>
      </c>
      <c r="N3352" s="35" t="str">
        <f>IF(OR(ISBLANK(C3352),C3352="",M3352=""),"In Progress",IF(M3352&lt;=J3352,"Met","Breached"))</f>
        <v>Met</v>
      </c>
    </row>
    <row r="3353" ht="19" customHeight="1" spans="1:14" x14ac:dyDescent="0.25">
      <c r="A3353" s="22" t="s">
        <v>3467</v>
      </c>
      <c r="B3353" s="36">
        <v>46002.97916666667</v>
      </c>
      <c r="C3353" s="36">
        <v>46003.04375</v>
      </c>
      <c r="D3353" s="22" t="s">
        <v>33</v>
      </c>
      <c r="E3353" s="22" t="s">
        <v>57</v>
      </c>
      <c r="F3353" s="22" t="s">
        <v>40</v>
      </c>
      <c r="G3353" s="22" t="s">
        <v>63</v>
      </c>
      <c r="H3353" s="22" t="s">
        <v>59</v>
      </c>
      <c r="I3353" s="22" t="s">
        <v>111</v>
      </c>
      <c r="J3353" s="23">
        <v>4</v>
      </c>
      <c r="K3353" s="37">
        <v>1</v>
      </c>
      <c r="L3353" s="37">
        <v>2</v>
      </c>
      <c r="M3353" s="22">
        <f>IF(OR(ISBLANK(C3353),C3353=""),"",ROUND((C3353-B3353)*24,2))</f>
        <v>1.55</v>
      </c>
      <c r="N3353" s="40" t="str">
        <f>IF(OR(ISBLANK(C3353),C3353="",M3353=""),"In Progress",IF(M3353&lt;=J3353,"Met","Breached"))</f>
        <v>Met</v>
      </c>
    </row>
    <row r="3354" ht="19" customHeight="1" spans="1:14" x14ac:dyDescent="0.25">
      <c r="A3354" s="19" t="s">
        <v>3468</v>
      </c>
      <c r="B3354" s="33">
        <v>45790.55694444444</v>
      </c>
      <c r="C3354" s="33">
        <v>45793.41736111111</v>
      </c>
      <c r="D3354" s="19" t="s">
        <v>33</v>
      </c>
      <c r="E3354" s="19" t="s">
        <v>65</v>
      </c>
      <c r="F3354" s="19" t="s">
        <v>43</v>
      </c>
      <c r="G3354" s="19" t="s">
        <v>110</v>
      </c>
      <c r="H3354" s="19" t="s">
        <v>63</v>
      </c>
      <c r="I3354" s="19" t="s">
        <v>117</v>
      </c>
      <c r="J3354" s="20">
        <v>48</v>
      </c>
      <c r="K3354" s="34">
        <v>0</v>
      </c>
      <c r="L3354" s="34">
        <v>3</v>
      </c>
      <c r="M3354" s="19">
        <f>IF(OR(ISBLANK(C3354),C3354=""),"",ROUND((C3354-B3354)*24,2))</f>
        <v>68.65</v>
      </c>
      <c r="N3354" s="39" t="str">
        <f>IF(OR(ISBLANK(C3354),C3354="",M3354=""),"In Progress",IF(M3354&lt;=J3354,"Met","Breached"))</f>
        <v>Breached</v>
      </c>
    </row>
    <row r="3355" ht="19" customHeight="1" spans="1:14" x14ac:dyDescent="0.25">
      <c r="A3355" s="22" t="s">
        <v>3469</v>
      </c>
      <c r="B3355" s="36">
        <v>45929.32083333333</v>
      </c>
      <c r="C3355" s="36">
        <v>45930.70486111111</v>
      </c>
      <c r="D3355" s="22" t="s">
        <v>36</v>
      </c>
      <c r="E3355" s="22" t="s">
        <v>65</v>
      </c>
      <c r="F3355" s="22" t="s">
        <v>45</v>
      </c>
      <c r="G3355" s="22" t="s">
        <v>113</v>
      </c>
      <c r="H3355" s="22" t="s">
        <v>67</v>
      </c>
      <c r="I3355" s="22" t="s">
        <v>108</v>
      </c>
      <c r="J3355" s="23">
        <v>48</v>
      </c>
      <c r="K3355" s="37">
        <v>0</v>
      </c>
      <c r="L3355" s="37">
        <v>5</v>
      </c>
      <c r="M3355" s="22">
        <f>IF(OR(ISBLANK(C3355),C3355=""),"",ROUND((C3355-B3355)*24,2))</f>
        <v>33.22</v>
      </c>
      <c r="N3355" s="40" t="str">
        <f>IF(OR(ISBLANK(C3355),C3355="",M3355=""),"In Progress",IF(M3355&lt;=J3355,"Met","Breached"))</f>
        <v>Met</v>
      </c>
    </row>
    <row r="3356" ht="19" customHeight="1" spans="1:14" x14ac:dyDescent="0.25">
      <c r="A3356" s="19" t="s">
        <v>3470</v>
      </c>
      <c r="B3356" s="33">
        <v>45726.42361111111</v>
      </c>
      <c r="C3356" s="33">
        <v>45729.08819444444</v>
      </c>
      <c r="D3356" s="19" t="s">
        <v>36</v>
      </c>
      <c r="E3356" s="19" t="s">
        <v>65</v>
      </c>
      <c r="F3356" s="19" t="s">
        <v>45</v>
      </c>
      <c r="G3356" s="19" t="s">
        <v>126</v>
      </c>
      <c r="H3356" s="19" t="s">
        <v>63</v>
      </c>
      <c r="I3356" s="19" t="s">
        <v>108</v>
      </c>
      <c r="J3356" s="20">
        <v>48</v>
      </c>
      <c r="K3356" s="34">
        <v>1</v>
      </c>
      <c r="L3356" s="34">
        <v>1</v>
      </c>
      <c r="M3356" s="19">
        <f>IF(OR(ISBLANK(C3356),C3356=""),"",ROUND((C3356-B3356)*24,2))</f>
        <v>63.95</v>
      </c>
      <c r="N3356" s="39" t="str">
        <f>IF(OR(ISBLANK(C3356),C3356="",M3356=""),"In Progress",IF(M3356&lt;=J3356,"Met","Breached"))</f>
        <v>Breached</v>
      </c>
    </row>
    <row r="3357" ht="19" customHeight="1" spans="1:14" x14ac:dyDescent="0.25">
      <c r="A3357" s="22" t="s">
        <v>3471</v>
      </c>
      <c r="B3357" s="36">
        <v>45715.9625</v>
      </c>
      <c r="C3357" s="36">
        <v>45716.475</v>
      </c>
      <c r="D3357" s="22" t="s">
        <v>33</v>
      </c>
      <c r="E3357" s="22" t="s">
        <v>61</v>
      </c>
      <c r="F3357" s="22" t="s">
        <v>34</v>
      </c>
      <c r="G3357" s="22" t="s">
        <v>116</v>
      </c>
      <c r="H3357" s="22" t="s">
        <v>71</v>
      </c>
      <c r="I3357" s="22" t="s">
        <v>117</v>
      </c>
      <c r="J3357" s="23">
        <v>12</v>
      </c>
      <c r="K3357" s="37">
        <v>0</v>
      </c>
      <c r="L3357" s="37">
        <v>5</v>
      </c>
      <c r="M3357" s="22">
        <f>IF(OR(ISBLANK(C3357),C3357=""),"",ROUND((C3357-B3357)*24,2))</f>
        <v>12.3</v>
      </c>
      <c r="N3357" s="38" t="str">
        <f>IF(OR(ISBLANK(C3357),C3357="",M3357=""),"In Progress",IF(M3357&lt;=J3357,"Met","Breached"))</f>
        <v>Breached</v>
      </c>
    </row>
    <row r="3358" ht="19" customHeight="1" spans="1:14" x14ac:dyDescent="0.25">
      <c r="A3358" s="19" t="s">
        <v>3472</v>
      </c>
      <c r="B3358" s="33">
        <v>45912.09305555555</v>
      </c>
      <c r="C3358" s="33">
        <v>45913.18194444444</v>
      </c>
      <c r="D3358" s="19" t="s">
        <v>33</v>
      </c>
      <c r="E3358" s="19" t="s">
        <v>65</v>
      </c>
      <c r="F3358" s="19" t="s">
        <v>40</v>
      </c>
      <c r="G3358" s="19" t="s">
        <v>121</v>
      </c>
      <c r="H3358" s="19" t="s">
        <v>63</v>
      </c>
      <c r="I3358" s="19" t="s">
        <v>108</v>
      </c>
      <c r="J3358" s="20">
        <v>48</v>
      </c>
      <c r="K3358" s="34">
        <v>0</v>
      </c>
      <c r="L3358" s="34">
        <v>2</v>
      </c>
      <c r="M3358" s="19">
        <f>IF(OR(ISBLANK(C3358),C3358=""),"",ROUND((C3358-B3358)*24,2))</f>
        <v>26.13</v>
      </c>
      <c r="N3358" s="35" t="str">
        <f>IF(OR(ISBLANK(C3358),C3358="",M3358=""),"In Progress",IF(M3358&lt;=J3358,"Met","Breached"))</f>
        <v>Met</v>
      </c>
    </row>
    <row r="3359" ht="19" customHeight="1" spans="1:14" x14ac:dyDescent="0.25">
      <c r="A3359" s="22" t="s">
        <v>3473</v>
      </c>
      <c r="B3359" s="36">
        <v>46100.754166666666</v>
      </c>
      <c r="C3359" s="36">
        <v>46101.50625</v>
      </c>
      <c r="D3359" s="22" t="s">
        <v>33</v>
      </c>
      <c r="E3359" s="22" t="s">
        <v>65</v>
      </c>
      <c r="F3359" s="22" t="s">
        <v>45</v>
      </c>
      <c r="G3359" s="22" t="s">
        <v>121</v>
      </c>
      <c r="H3359" s="22" t="s">
        <v>63</v>
      </c>
      <c r="I3359" s="22" t="s">
        <v>114</v>
      </c>
      <c r="J3359" s="23">
        <v>48</v>
      </c>
      <c r="K3359" s="37">
        <v>0</v>
      </c>
      <c r="L3359" s="37">
        <v>5</v>
      </c>
      <c r="M3359" s="22">
        <f>IF(OR(ISBLANK(C3359),C3359=""),"",ROUND((C3359-B3359)*24,2))</f>
        <v>18.05</v>
      </c>
      <c r="N3359" s="40" t="str">
        <f>IF(OR(ISBLANK(C3359),C3359="",M3359=""),"In Progress",IF(M3359&lt;=J3359,"Met","Breached"))</f>
        <v>Met</v>
      </c>
    </row>
    <row r="3360" ht="19" customHeight="1" spans="1:14" x14ac:dyDescent="0.25">
      <c r="A3360" s="19" t="s">
        <v>3474</v>
      </c>
      <c r="B3360" s="33">
        <v>46191.398611111115</v>
      </c>
      <c r="C3360" s="33">
        <v>46192.56527777778</v>
      </c>
      <c r="D3360" s="19" t="s">
        <v>33</v>
      </c>
      <c r="E3360" s="19" t="s">
        <v>65</v>
      </c>
      <c r="F3360" s="19" t="s">
        <v>34</v>
      </c>
      <c r="G3360" s="19" t="s">
        <v>113</v>
      </c>
      <c r="H3360" s="19" t="s">
        <v>67</v>
      </c>
      <c r="I3360" s="19" t="s">
        <v>117</v>
      </c>
      <c r="J3360" s="20">
        <v>48</v>
      </c>
      <c r="K3360" s="34">
        <v>0</v>
      </c>
      <c r="M3360" s="19">
        <f>IF(OR(ISBLANK(C3360),C3360=""),"",ROUND((C3360-B3360)*24,2))</f>
        <v>28</v>
      </c>
      <c r="N3360" s="35" t="str">
        <f>IF(OR(ISBLANK(C3360),C3360="",M3360=""),"In Progress",IF(M3360&lt;=J3360,"Met","Breached"))</f>
        <v>Met</v>
      </c>
    </row>
    <row r="3361" ht="19" customHeight="1" spans="1:14" x14ac:dyDescent="0.25">
      <c r="A3361" s="22" t="s">
        <v>3475</v>
      </c>
      <c r="B3361" s="36">
        <v>45767.19027777778</v>
      </c>
      <c r="C3361" s="36">
        <v>45768.04305555555</v>
      </c>
      <c r="D3361" s="22" t="s">
        <v>33</v>
      </c>
      <c r="E3361" s="22" t="s">
        <v>61</v>
      </c>
      <c r="F3361" s="22" t="s">
        <v>37</v>
      </c>
      <c r="G3361" s="22" t="s">
        <v>113</v>
      </c>
      <c r="H3361" s="22" t="s">
        <v>67</v>
      </c>
      <c r="I3361" s="22" t="s">
        <v>108</v>
      </c>
      <c r="J3361" s="23">
        <v>12</v>
      </c>
      <c r="K3361" s="37">
        <v>0</v>
      </c>
      <c r="L3361" s="37">
        <v>4</v>
      </c>
      <c r="M3361" s="22">
        <f>IF(OR(ISBLANK(C3361),C3361=""),"",ROUND((C3361-B3361)*24,2))</f>
        <v>20.47</v>
      </c>
      <c r="N3361" s="38" t="str">
        <f>IF(OR(ISBLANK(C3361),C3361="",M3361=""),"In Progress",IF(M3361&lt;=J3361,"Met","Breached"))</f>
        <v>Breached</v>
      </c>
    </row>
    <row r="3362" ht="19" customHeight="1" spans="1:14" x14ac:dyDescent="0.25">
      <c r="A3362" s="19" t="s">
        <v>3476</v>
      </c>
      <c r="B3362" s="33">
        <v>46016.80347222222</v>
      </c>
      <c r="D3362" s="19" t="s">
        <v>39</v>
      </c>
      <c r="E3362" s="19" t="s">
        <v>57</v>
      </c>
      <c r="F3362" s="19" t="s">
        <v>43</v>
      </c>
      <c r="G3362" s="19" t="s">
        <v>63</v>
      </c>
      <c r="H3362" s="19" t="s">
        <v>59</v>
      </c>
      <c r="I3362" s="19" t="s">
        <v>117</v>
      </c>
      <c r="J3362" s="20">
        <v>4</v>
      </c>
      <c r="K3362" s="34">
        <v>0</v>
      </c>
      <c r="M3362" s="19" t="str">
        <f>IF(OR(ISBLANK(C3362),C3362=""),"",ROUND((C3362-B3362)*24,2))</f>
        <v/>
      </c>
      <c r="N3362" s="19" t="str">
        <f>IF(OR(ISBLANK(C3362),C3362="",M3362=""),"In Progress",IF(M3362&lt;=J3362,"Met","Breached"))</f>
        <v>In Progress</v>
      </c>
    </row>
    <row r="3363" ht="19" customHeight="1" spans="1:14" x14ac:dyDescent="0.25">
      <c r="A3363" s="22" t="s">
        <v>3477</v>
      </c>
      <c r="B3363" s="36">
        <v>46258.49375</v>
      </c>
      <c r="D3363" s="22" t="s">
        <v>42</v>
      </c>
      <c r="E3363" s="22" t="s">
        <v>65</v>
      </c>
      <c r="F3363" s="22" t="s">
        <v>37</v>
      </c>
      <c r="G3363" s="22" t="s">
        <v>121</v>
      </c>
      <c r="H3363" s="22" t="s">
        <v>67</v>
      </c>
      <c r="I3363" s="22" t="s">
        <v>111</v>
      </c>
      <c r="J3363" s="23">
        <v>48</v>
      </c>
      <c r="K3363" s="37">
        <v>0</v>
      </c>
      <c r="M3363" s="22" t="str">
        <f>IF(OR(ISBLANK(C3363),C3363=""),"",ROUND((C3363-B3363)*24,2))</f>
        <v/>
      </c>
      <c r="N3363" s="22" t="str">
        <f>IF(OR(ISBLANK(C3363),C3363="",M3363=""),"In Progress",IF(M3363&lt;=J3363,"Met","Breached"))</f>
        <v>In Progress</v>
      </c>
    </row>
    <row r="3364" ht="19" customHeight="1" spans="1:14" x14ac:dyDescent="0.25">
      <c r="A3364" s="19" t="s">
        <v>3478</v>
      </c>
      <c r="B3364" s="33">
        <v>46260.59513888889</v>
      </c>
      <c r="D3364" s="19" t="s">
        <v>39</v>
      </c>
      <c r="E3364" s="19" t="s">
        <v>57</v>
      </c>
      <c r="F3364" s="19" t="s">
        <v>45</v>
      </c>
      <c r="G3364" s="19" t="s">
        <v>121</v>
      </c>
      <c r="H3364" s="19" t="s">
        <v>59</v>
      </c>
      <c r="I3364" s="19" t="s">
        <v>123</v>
      </c>
      <c r="J3364" s="20">
        <v>4</v>
      </c>
      <c r="K3364" s="34">
        <v>0</v>
      </c>
      <c r="M3364" s="19" t="str">
        <f>IF(OR(ISBLANK(C3364),C3364=""),"",ROUND((C3364-B3364)*24,2))</f>
        <v/>
      </c>
      <c r="N3364" s="19" t="str">
        <f>IF(OR(ISBLANK(C3364),C3364="",M3364=""),"In Progress",IF(M3364&lt;=J3364,"Met","Breached"))</f>
        <v>In Progress</v>
      </c>
    </row>
    <row r="3365" ht="19" customHeight="1" spans="1:14" x14ac:dyDescent="0.25">
      <c r="A3365" s="22" t="s">
        <v>3479</v>
      </c>
      <c r="B3365" s="36">
        <v>46197.601388888885</v>
      </c>
      <c r="C3365" s="36">
        <v>46201.191666666666</v>
      </c>
      <c r="D3365" s="22" t="s">
        <v>33</v>
      </c>
      <c r="E3365" s="22" t="s">
        <v>65</v>
      </c>
      <c r="F3365" s="22" t="s">
        <v>40</v>
      </c>
      <c r="G3365" s="22" t="s">
        <v>121</v>
      </c>
      <c r="H3365" s="22" t="s">
        <v>59</v>
      </c>
      <c r="I3365" s="22" t="s">
        <v>123</v>
      </c>
      <c r="J3365" s="23">
        <v>48</v>
      </c>
      <c r="K3365" s="37">
        <v>0</v>
      </c>
      <c r="M3365" s="22">
        <f>IF(OR(ISBLANK(C3365),C3365=""),"",ROUND((C3365-B3365)*24,2))</f>
        <v>86.17</v>
      </c>
      <c r="N3365" s="38" t="str">
        <f>IF(OR(ISBLANK(C3365),C3365="",M3365=""),"In Progress",IF(M3365&lt;=J3365,"Met","Breached"))</f>
        <v>Breached</v>
      </c>
    </row>
    <row r="3366" ht="19" customHeight="1" spans="1:14" x14ac:dyDescent="0.25">
      <c r="A3366" s="19" t="s">
        <v>3480</v>
      </c>
      <c r="B3366" s="33">
        <v>45809.84305555555</v>
      </c>
      <c r="C3366" s="33">
        <v>45813.09375</v>
      </c>
      <c r="D3366" s="19" t="s">
        <v>33</v>
      </c>
      <c r="E3366" s="19" t="s">
        <v>65</v>
      </c>
      <c r="F3366" s="19" t="s">
        <v>37</v>
      </c>
      <c r="G3366" s="19" t="s">
        <v>116</v>
      </c>
      <c r="H3366" s="19" t="s">
        <v>59</v>
      </c>
      <c r="I3366" s="19" t="s">
        <v>111</v>
      </c>
      <c r="J3366" s="20">
        <v>48</v>
      </c>
      <c r="K3366" s="34">
        <v>0</v>
      </c>
      <c r="L3366" s="34">
        <v>1</v>
      </c>
      <c r="M3366" s="19">
        <f>IF(OR(ISBLANK(C3366),C3366=""),"",ROUND((C3366-B3366)*24,2))</f>
        <v>78.02</v>
      </c>
      <c r="N3366" s="39" t="str">
        <f>IF(OR(ISBLANK(C3366),C3366="",M3366=""),"In Progress",IF(M3366&lt;=J3366,"Met","Breached"))</f>
        <v>Breached</v>
      </c>
    </row>
    <row r="3367" ht="19" customHeight="1" spans="1:14" x14ac:dyDescent="0.25">
      <c r="A3367" s="22" t="s">
        <v>3481</v>
      </c>
      <c r="B3367" s="36">
        <v>45769.71875</v>
      </c>
      <c r="C3367" s="36">
        <v>45772.759722222225</v>
      </c>
      <c r="D3367" s="22" t="s">
        <v>36</v>
      </c>
      <c r="E3367" s="22" t="s">
        <v>65</v>
      </c>
      <c r="F3367" s="22" t="s">
        <v>37</v>
      </c>
      <c r="G3367" s="22" t="s">
        <v>126</v>
      </c>
      <c r="H3367" s="22" t="s">
        <v>59</v>
      </c>
      <c r="I3367" s="22" t="s">
        <v>123</v>
      </c>
      <c r="J3367" s="23">
        <v>48</v>
      </c>
      <c r="K3367" s="37">
        <v>0</v>
      </c>
      <c r="L3367" s="37">
        <v>4</v>
      </c>
      <c r="M3367" s="22">
        <f>IF(OR(ISBLANK(C3367),C3367=""),"",ROUND((C3367-B3367)*24,2))</f>
        <v>72.98</v>
      </c>
      <c r="N3367" s="38" t="str">
        <f>IF(OR(ISBLANK(C3367),C3367="",M3367=""),"In Progress",IF(M3367&lt;=J3367,"Met","Breached"))</f>
        <v>Breached</v>
      </c>
    </row>
    <row r="3368" ht="19" customHeight="1" spans="1:14" x14ac:dyDescent="0.25">
      <c r="A3368" s="19" t="s">
        <v>3482</v>
      </c>
      <c r="B3368" s="33">
        <v>45953.11041666666</v>
      </c>
      <c r="C3368" s="33">
        <v>45953.40902777778</v>
      </c>
      <c r="D3368" s="19" t="s">
        <v>33</v>
      </c>
      <c r="E3368" s="19" t="s">
        <v>57</v>
      </c>
      <c r="F3368" s="19" t="s">
        <v>34</v>
      </c>
      <c r="G3368" s="19" t="s">
        <v>113</v>
      </c>
      <c r="H3368" s="19" t="s">
        <v>59</v>
      </c>
      <c r="I3368" s="19" t="s">
        <v>123</v>
      </c>
      <c r="J3368" s="20">
        <v>4</v>
      </c>
      <c r="K3368" s="34">
        <v>0</v>
      </c>
      <c r="L3368" s="34">
        <v>3</v>
      </c>
      <c r="M3368" s="19">
        <f>IF(OR(ISBLANK(C3368),C3368=""),"",ROUND((C3368-B3368)*24,2))</f>
        <v>7.17</v>
      </c>
      <c r="N3368" s="39" t="str">
        <f>IF(OR(ISBLANK(C3368),C3368="",M3368=""),"In Progress",IF(M3368&lt;=J3368,"Met","Breached"))</f>
        <v>Breached</v>
      </c>
    </row>
    <row r="3369" ht="19" customHeight="1" spans="1:14" x14ac:dyDescent="0.25">
      <c r="A3369" s="22" t="s">
        <v>3483</v>
      </c>
      <c r="B3369" s="36">
        <v>46204.85763888889</v>
      </c>
      <c r="D3369" s="22" t="s">
        <v>42</v>
      </c>
      <c r="E3369" s="22" t="s">
        <v>65</v>
      </c>
      <c r="F3369" s="22" t="s">
        <v>37</v>
      </c>
      <c r="G3369" s="22" t="s">
        <v>116</v>
      </c>
      <c r="H3369" s="22" t="s">
        <v>59</v>
      </c>
      <c r="I3369" s="22" t="s">
        <v>108</v>
      </c>
      <c r="J3369" s="23">
        <v>48</v>
      </c>
      <c r="K3369" s="37">
        <v>0</v>
      </c>
      <c r="M3369" s="22" t="str">
        <f>IF(OR(ISBLANK(C3369),C3369=""),"",ROUND((C3369-B3369)*24,2))</f>
        <v/>
      </c>
      <c r="N3369" s="22" t="str">
        <f>IF(OR(ISBLANK(C3369),C3369="",M3369=""),"In Progress",IF(M3369&lt;=J3369,"Met","Breached"))</f>
        <v>In Progress</v>
      </c>
    </row>
    <row r="3370" ht="19" customHeight="1" spans="1:14" x14ac:dyDescent="0.25">
      <c r="A3370" s="19" t="s">
        <v>3484</v>
      </c>
      <c r="B3370" s="33">
        <v>46009.54166666667</v>
      </c>
      <c r="C3370" s="33">
        <v>46011.22430555556</v>
      </c>
      <c r="D3370" s="19" t="s">
        <v>33</v>
      </c>
      <c r="E3370" s="19" t="s">
        <v>69</v>
      </c>
      <c r="F3370" s="19" t="s">
        <v>45</v>
      </c>
      <c r="G3370" s="19" t="s">
        <v>126</v>
      </c>
      <c r="H3370" s="19" t="s">
        <v>71</v>
      </c>
      <c r="I3370" s="19" t="s">
        <v>147</v>
      </c>
      <c r="J3370" s="20">
        <v>120</v>
      </c>
      <c r="K3370" s="34">
        <v>0</v>
      </c>
      <c r="L3370" s="34">
        <v>2</v>
      </c>
      <c r="M3370" s="19">
        <f>IF(OR(ISBLANK(C3370),C3370=""),"",ROUND((C3370-B3370)*24,2))</f>
        <v>40.38</v>
      </c>
      <c r="N3370" s="35" t="str">
        <f>IF(OR(ISBLANK(C3370),C3370="",M3370=""),"In Progress",IF(M3370&lt;=J3370,"Met","Breached"))</f>
        <v>Met</v>
      </c>
    </row>
    <row r="3371" ht="19" customHeight="1" spans="1:14" x14ac:dyDescent="0.25">
      <c r="A3371" s="22" t="s">
        <v>3485</v>
      </c>
      <c r="B3371" s="36">
        <v>46202.27291666667</v>
      </c>
      <c r="C3371" s="36">
        <v>46202.339583333334</v>
      </c>
      <c r="D3371" s="22" t="s">
        <v>33</v>
      </c>
      <c r="E3371" s="22" t="s">
        <v>57</v>
      </c>
      <c r="F3371" s="22" t="s">
        <v>45</v>
      </c>
      <c r="G3371" s="22" t="s">
        <v>121</v>
      </c>
      <c r="H3371" s="22" t="s">
        <v>59</v>
      </c>
      <c r="I3371" s="22" t="s">
        <v>111</v>
      </c>
      <c r="J3371" s="23">
        <v>4</v>
      </c>
      <c r="K3371" s="37">
        <v>0</v>
      </c>
      <c r="L3371" s="37">
        <v>5</v>
      </c>
      <c r="M3371" s="22">
        <f>IF(OR(ISBLANK(C3371),C3371=""),"",ROUND((C3371-B3371)*24,2))</f>
        <v>1.6</v>
      </c>
      <c r="N3371" s="40" t="str">
        <f>IF(OR(ISBLANK(C3371),C3371="",M3371=""),"In Progress",IF(M3371&lt;=J3371,"Met","Breached"))</f>
        <v>Met</v>
      </c>
    </row>
    <row r="3372" ht="19" customHeight="1" spans="1:14" x14ac:dyDescent="0.25">
      <c r="A3372" s="19" t="s">
        <v>3486</v>
      </c>
      <c r="B3372" s="33">
        <v>45987.072222222225</v>
      </c>
      <c r="C3372" s="33">
        <v>45990.26527777778</v>
      </c>
      <c r="D3372" s="19" t="s">
        <v>33</v>
      </c>
      <c r="E3372" s="19" t="s">
        <v>65</v>
      </c>
      <c r="F3372" s="19" t="s">
        <v>34</v>
      </c>
      <c r="G3372" s="19" t="s">
        <v>63</v>
      </c>
      <c r="H3372" s="19" t="s">
        <v>63</v>
      </c>
      <c r="I3372" s="19" t="s">
        <v>114</v>
      </c>
      <c r="J3372" s="20">
        <v>48</v>
      </c>
      <c r="K3372" s="34">
        <v>0</v>
      </c>
      <c r="L3372" s="34">
        <v>2</v>
      </c>
      <c r="M3372" s="19">
        <f>IF(OR(ISBLANK(C3372),C3372=""),"",ROUND((C3372-B3372)*24,2))</f>
        <v>76.63</v>
      </c>
      <c r="N3372" s="39" t="str">
        <f>IF(OR(ISBLANK(C3372),C3372="",M3372=""),"In Progress",IF(M3372&lt;=J3372,"Met","Breached"))</f>
        <v>Breached</v>
      </c>
    </row>
    <row r="3373" ht="19" customHeight="1" spans="1:14" x14ac:dyDescent="0.25">
      <c r="A3373" s="22" t="s">
        <v>3487</v>
      </c>
      <c r="B3373" s="36">
        <v>46214.711111111115</v>
      </c>
      <c r="C3373" s="36">
        <v>46215.96944444445</v>
      </c>
      <c r="D3373" s="22" t="s">
        <v>33</v>
      </c>
      <c r="E3373" s="22" t="s">
        <v>65</v>
      </c>
      <c r="F3373" s="22" t="s">
        <v>37</v>
      </c>
      <c r="G3373" s="22" t="s">
        <v>63</v>
      </c>
      <c r="H3373" s="22" t="s">
        <v>63</v>
      </c>
      <c r="I3373" s="22" t="s">
        <v>111</v>
      </c>
      <c r="J3373" s="23">
        <v>48</v>
      </c>
      <c r="K3373" s="37">
        <v>0</v>
      </c>
      <c r="L3373" s="37">
        <v>1</v>
      </c>
      <c r="M3373" s="22">
        <f>IF(OR(ISBLANK(C3373),C3373=""),"",ROUND((C3373-B3373)*24,2))</f>
        <v>30.2</v>
      </c>
      <c r="N3373" s="40" t="str">
        <f>IF(OR(ISBLANK(C3373),C3373="",M3373=""),"In Progress",IF(M3373&lt;=J3373,"Met","Breached"))</f>
        <v>Met</v>
      </c>
    </row>
    <row r="3374" ht="19" customHeight="1" spans="1:14" x14ac:dyDescent="0.25">
      <c r="A3374" s="19" t="s">
        <v>3488</v>
      </c>
      <c r="B3374" s="33">
        <v>46178.55138888889</v>
      </c>
      <c r="C3374" s="33">
        <v>46179.56111111111</v>
      </c>
      <c r="D3374" s="19" t="s">
        <v>33</v>
      </c>
      <c r="E3374" s="19" t="s">
        <v>65</v>
      </c>
      <c r="F3374" s="19" t="s">
        <v>37</v>
      </c>
      <c r="G3374" s="19" t="s">
        <v>121</v>
      </c>
      <c r="H3374" s="19" t="s">
        <v>59</v>
      </c>
      <c r="I3374" s="19" t="s">
        <v>117</v>
      </c>
      <c r="J3374" s="20">
        <v>48</v>
      </c>
      <c r="K3374" s="34">
        <v>0</v>
      </c>
      <c r="L3374" s="34">
        <v>5</v>
      </c>
      <c r="M3374" s="19">
        <f>IF(OR(ISBLANK(C3374),C3374=""),"",ROUND((C3374-B3374)*24,2))</f>
        <v>24.23</v>
      </c>
      <c r="N3374" s="35" t="str">
        <f>IF(OR(ISBLANK(C3374),C3374="",M3374=""),"In Progress",IF(M3374&lt;=J3374,"Met","Breached"))</f>
        <v>Met</v>
      </c>
    </row>
    <row r="3375" ht="19" customHeight="1" spans="1:14" x14ac:dyDescent="0.25">
      <c r="A3375" s="22" t="s">
        <v>3489</v>
      </c>
      <c r="B3375" s="36">
        <v>45816.722916666666</v>
      </c>
      <c r="C3375" s="36">
        <v>45819.69791666667</v>
      </c>
      <c r="D3375" s="22" t="s">
        <v>36</v>
      </c>
      <c r="E3375" s="22" t="s">
        <v>65</v>
      </c>
      <c r="F3375" s="22" t="s">
        <v>37</v>
      </c>
      <c r="G3375" s="22" t="s">
        <v>116</v>
      </c>
      <c r="H3375" s="22" t="s">
        <v>59</v>
      </c>
      <c r="I3375" s="22" t="s">
        <v>108</v>
      </c>
      <c r="J3375" s="23">
        <v>48</v>
      </c>
      <c r="K3375" s="37">
        <v>0</v>
      </c>
      <c r="L3375" s="37">
        <v>3</v>
      </c>
      <c r="M3375" s="22">
        <f>IF(OR(ISBLANK(C3375),C3375=""),"",ROUND((C3375-B3375)*24,2))</f>
        <v>71.4</v>
      </c>
      <c r="N3375" s="38" t="str">
        <f>IF(OR(ISBLANK(C3375),C3375="",M3375=""),"In Progress",IF(M3375&lt;=J3375,"Met","Breached"))</f>
        <v>Breached</v>
      </c>
    </row>
    <row r="3376" ht="19" customHeight="1" spans="1:14" x14ac:dyDescent="0.25">
      <c r="A3376" s="19" t="s">
        <v>3490</v>
      </c>
      <c r="B3376" s="33">
        <v>46019.12569444445</v>
      </c>
      <c r="C3376" s="33">
        <v>46026.634722222225</v>
      </c>
      <c r="D3376" s="19" t="s">
        <v>36</v>
      </c>
      <c r="E3376" s="19" t="s">
        <v>69</v>
      </c>
      <c r="F3376" s="19" t="s">
        <v>34</v>
      </c>
      <c r="G3376" s="19" t="s">
        <v>110</v>
      </c>
      <c r="H3376" s="19" t="s">
        <v>63</v>
      </c>
      <c r="I3376" s="19" t="s">
        <v>117</v>
      </c>
      <c r="J3376" s="20">
        <v>120</v>
      </c>
      <c r="K3376" s="34">
        <v>0</v>
      </c>
      <c r="M3376" s="19">
        <f>IF(OR(ISBLANK(C3376),C3376=""),"",ROUND((C3376-B3376)*24,2))</f>
        <v>180.22</v>
      </c>
      <c r="N3376" s="39" t="str">
        <f>IF(OR(ISBLANK(C3376),C3376="",M3376=""),"In Progress",IF(M3376&lt;=J3376,"Met","Breached"))</f>
        <v>Breached</v>
      </c>
    </row>
    <row r="3377" ht="19" customHeight="1" spans="1:14" x14ac:dyDescent="0.25">
      <c r="A3377" s="22" t="s">
        <v>3491</v>
      </c>
      <c r="B3377" s="36">
        <v>46264.40972222222</v>
      </c>
      <c r="C3377" s="36">
        <v>46266.75555555556</v>
      </c>
      <c r="D3377" s="22" t="s">
        <v>33</v>
      </c>
      <c r="E3377" s="22" t="s">
        <v>65</v>
      </c>
      <c r="F3377" s="22" t="s">
        <v>45</v>
      </c>
      <c r="G3377" s="22" t="s">
        <v>126</v>
      </c>
      <c r="H3377" s="22" t="s">
        <v>63</v>
      </c>
      <c r="I3377" s="22" t="s">
        <v>114</v>
      </c>
      <c r="J3377" s="23">
        <v>48</v>
      </c>
      <c r="K3377" s="37">
        <v>0</v>
      </c>
      <c r="L3377" s="37">
        <v>5</v>
      </c>
      <c r="M3377" s="22">
        <f>IF(OR(ISBLANK(C3377),C3377=""),"",ROUND((C3377-B3377)*24,2))</f>
        <v>56.3</v>
      </c>
      <c r="N3377" s="38" t="str">
        <f>IF(OR(ISBLANK(C3377),C3377="",M3377=""),"In Progress",IF(M3377&lt;=J3377,"Met","Breached"))</f>
        <v>Breached</v>
      </c>
    </row>
    <row r="3378" ht="19" customHeight="1" spans="1:14" x14ac:dyDescent="0.25">
      <c r="A3378" s="19" t="s">
        <v>3492</v>
      </c>
      <c r="B3378" s="33">
        <v>46259.40902777778</v>
      </c>
      <c r="C3378" s="33">
        <v>46260.222916666666</v>
      </c>
      <c r="D3378" s="19" t="s">
        <v>33</v>
      </c>
      <c r="E3378" s="19" t="s">
        <v>61</v>
      </c>
      <c r="F3378" s="19" t="s">
        <v>45</v>
      </c>
      <c r="G3378" s="19" t="s">
        <v>113</v>
      </c>
      <c r="H3378" s="19" t="s">
        <v>63</v>
      </c>
      <c r="I3378" s="19" t="s">
        <v>114</v>
      </c>
      <c r="J3378" s="20">
        <v>12</v>
      </c>
      <c r="K3378" s="34">
        <v>0</v>
      </c>
      <c r="M3378" s="19">
        <f>IF(OR(ISBLANK(C3378),C3378=""),"",ROUND((C3378-B3378)*24,2))</f>
        <v>19.53</v>
      </c>
      <c r="N3378" s="39" t="str">
        <f>IF(OR(ISBLANK(C3378),C3378="",M3378=""),"In Progress",IF(M3378&lt;=J3378,"Met","Breached"))</f>
        <v>Breached</v>
      </c>
    </row>
    <row r="3379" ht="19" customHeight="1" spans="1:14" x14ac:dyDescent="0.25">
      <c r="A3379" s="22" t="s">
        <v>3493</v>
      </c>
      <c r="B3379" s="36">
        <v>46189.20486111111</v>
      </c>
      <c r="C3379" s="36">
        <v>46191.10902777778</v>
      </c>
      <c r="D3379" s="22" t="s">
        <v>33</v>
      </c>
      <c r="E3379" s="22" t="s">
        <v>65</v>
      </c>
      <c r="F3379" s="22" t="s">
        <v>45</v>
      </c>
      <c r="G3379" s="22" t="s">
        <v>63</v>
      </c>
      <c r="H3379" s="22" t="s">
        <v>59</v>
      </c>
      <c r="I3379" s="22" t="s">
        <v>147</v>
      </c>
      <c r="J3379" s="23">
        <v>48</v>
      </c>
      <c r="K3379" s="37">
        <v>0</v>
      </c>
      <c r="L3379" s="37">
        <v>1</v>
      </c>
      <c r="M3379" s="22">
        <f>IF(OR(ISBLANK(C3379),C3379=""),"",ROUND((C3379-B3379)*24,2))</f>
        <v>45.7</v>
      </c>
      <c r="N3379" s="40" t="str">
        <f>IF(OR(ISBLANK(C3379),C3379="",M3379=""),"In Progress",IF(M3379&lt;=J3379,"Met","Breached"))</f>
        <v>Met</v>
      </c>
    </row>
    <row r="3380" ht="19" customHeight="1" spans="1:14" x14ac:dyDescent="0.25">
      <c r="A3380" s="19" t="s">
        <v>3494</v>
      </c>
      <c r="B3380" s="33">
        <v>45727.663888888885</v>
      </c>
      <c r="C3380" s="33">
        <v>45727.85486111111</v>
      </c>
      <c r="D3380" s="19" t="s">
        <v>36</v>
      </c>
      <c r="E3380" s="19" t="s">
        <v>57</v>
      </c>
      <c r="F3380" s="19" t="s">
        <v>34</v>
      </c>
      <c r="G3380" s="19" t="s">
        <v>126</v>
      </c>
      <c r="H3380" s="19" t="s">
        <v>67</v>
      </c>
      <c r="I3380" s="19" t="s">
        <v>108</v>
      </c>
      <c r="J3380" s="20">
        <v>4</v>
      </c>
      <c r="K3380" s="34">
        <v>0</v>
      </c>
      <c r="L3380" s="34">
        <v>2</v>
      </c>
      <c r="M3380" s="19">
        <f>IF(OR(ISBLANK(C3380),C3380=""),"",ROUND((C3380-B3380)*24,2))</f>
        <v>4.58</v>
      </c>
      <c r="N3380" s="39" t="str">
        <f>IF(OR(ISBLANK(C3380),C3380="",M3380=""),"In Progress",IF(M3380&lt;=J3380,"Met","Breached"))</f>
        <v>Breached</v>
      </c>
    </row>
    <row r="3381" ht="19" customHeight="1" spans="1:14" x14ac:dyDescent="0.25">
      <c r="A3381" s="22" t="s">
        <v>3495</v>
      </c>
      <c r="B3381" s="36">
        <v>45802.49097222222</v>
      </c>
      <c r="C3381" s="36">
        <v>45803.15277777778</v>
      </c>
      <c r="D3381" s="22" t="s">
        <v>36</v>
      </c>
      <c r="E3381" s="22" t="s">
        <v>61</v>
      </c>
      <c r="F3381" s="22" t="s">
        <v>45</v>
      </c>
      <c r="G3381" s="22" t="s">
        <v>116</v>
      </c>
      <c r="H3381" s="22" t="s">
        <v>63</v>
      </c>
      <c r="I3381" s="22" t="s">
        <v>114</v>
      </c>
      <c r="J3381" s="23">
        <v>12</v>
      </c>
      <c r="K3381" s="37">
        <v>1</v>
      </c>
      <c r="L3381" s="37">
        <v>2</v>
      </c>
      <c r="M3381" s="22">
        <f>IF(OR(ISBLANK(C3381),C3381=""),"",ROUND((C3381-B3381)*24,2))</f>
        <v>15.88</v>
      </c>
      <c r="N3381" s="38" t="str">
        <f>IF(OR(ISBLANK(C3381),C3381="",M3381=""),"In Progress",IF(M3381&lt;=J3381,"Met","Breached"))</f>
        <v>Breached</v>
      </c>
    </row>
    <row r="3382" ht="19" customHeight="1" spans="1:14" x14ac:dyDescent="0.25">
      <c r="A3382" s="19" t="s">
        <v>3496</v>
      </c>
      <c r="B3382" s="33">
        <v>46275.17083333334</v>
      </c>
      <c r="C3382" s="33">
        <v>46275.56875</v>
      </c>
      <c r="D3382" s="19" t="s">
        <v>33</v>
      </c>
      <c r="E3382" s="19" t="s">
        <v>61</v>
      </c>
      <c r="F3382" s="19" t="s">
        <v>34</v>
      </c>
      <c r="G3382" s="19" t="s">
        <v>121</v>
      </c>
      <c r="H3382" s="19" t="s">
        <v>71</v>
      </c>
      <c r="I3382" s="19" t="s">
        <v>111</v>
      </c>
      <c r="J3382" s="20">
        <v>12</v>
      </c>
      <c r="K3382" s="34">
        <v>0</v>
      </c>
      <c r="M3382" s="19">
        <f>IF(OR(ISBLANK(C3382),C3382=""),"",ROUND((C3382-B3382)*24,2))</f>
        <v>9.55</v>
      </c>
      <c r="N3382" s="35" t="str">
        <f>IF(OR(ISBLANK(C3382),C3382="",M3382=""),"In Progress",IF(M3382&lt;=J3382,"Met","Breached"))</f>
        <v>Met</v>
      </c>
    </row>
    <row r="3383" ht="19" customHeight="1" spans="1:14" x14ac:dyDescent="0.25">
      <c r="A3383" s="22" t="s">
        <v>3497</v>
      </c>
      <c r="B3383" s="36">
        <v>45886.804861111115</v>
      </c>
      <c r="C3383" s="36">
        <v>45889.643055555556</v>
      </c>
      <c r="D3383" s="22" t="s">
        <v>36</v>
      </c>
      <c r="E3383" s="22" t="s">
        <v>65</v>
      </c>
      <c r="F3383" s="22" t="s">
        <v>34</v>
      </c>
      <c r="G3383" s="22" t="s">
        <v>116</v>
      </c>
      <c r="H3383" s="22" t="s">
        <v>67</v>
      </c>
      <c r="I3383" s="22" t="s">
        <v>117</v>
      </c>
      <c r="J3383" s="23">
        <v>48</v>
      </c>
      <c r="K3383" s="37">
        <v>0</v>
      </c>
      <c r="L3383" s="37">
        <v>2</v>
      </c>
      <c r="M3383" s="22">
        <f>IF(OR(ISBLANK(C3383),C3383=""),"",ROUND((C3383-B3383)*24,2))</f>
        <v>68.12</v>
      </c>
      <c r="N3383" s="38" t="str">
        <f>IF(OR(ISBLANK(C3383),C3383="",M3383=""),"In Progress",IF(M3383&lt;=J3383,"Met","Breached"))</f>
        <v>Breached</v>
      </c>
    </row>
    <row r="3384" ht="19" customHeight="1" spans="1:14" x14ac:dyDescent="0.25">
      <c r="A3384" s="19" t="s">
        <v>3498</v>
      </c>
      <c r="B3384" s="33">
        <v>45667.12638888889</v>
      </c>
      <c r="C3384" s="33">
        <v>45669.191666666666</v>
      </c>
      <c r="D3384" s="19" t="s">
        <v>36</v>
      </c>
      <c r="E3384" s="19" t="s">
        <v>65</v>
      </c>
      <c r="F3384" s="19" t="s">
        <v>37</v>
      </c>
      <c r="G3384" s="19" t="s">
        <v>63</v>
      </c>
      <c r="H3384" s="19" t="s">
        <v>63</v>
      </c>
      <c r="I3384" s="19" t="s">
        <v>117</v>
      </c>
      <c r="J3384" s="20">
        <v>48</v>
      </c>
      <c r="K3384" s="34">
        <v>0</v>
      </c>
      <c r="L3384" s="34">
        <v>2</v>
      </c>
      <c r="M3384" s="19">
        <f>IF(OR(ISBLANK(C3384),C3384=""),"",ROUND((C3384-B3384)*24,2))</f>
        <v>49.57</v>
      </c>
      <c r="N3384" s="39" t="str">
        <f>IF(OR(ISBLANK(C3384),C3384="",M3384=""),"In Progress",IF(M3384&lt;=J3384,"Met","Breached"))</f>
        <v>Breached</v>
      </c>
    </row>
    <row r="3385" ht="19" customHeight="1" spans="1:14" x14ac:dyDescent="0.25">
      <c r="A3385" s="22" t="s">
        <v>3499</v>
      </c>
      <c r="B3385" s="36">
        <v>45763.615277777775</v>
      </c>
      <c r="D3385" s="22" t="s">
        <v>39</v>
      </c>
      <c r="E3385" s="22" t="s">
        <v>61</v>
      </c>
      <c r="F3385" s="22" t="s">
        <v>37</v>
      </c>
      <c r="G3385" s="22" t="s">
        <v>110</v>
      </c>
      <c r="H3385" s="22" t="s">
        <v>63</v>
      </c>
      <c r="I3385" s="22" t="s">
        <v>123</v>
      </c>
      <c r="J3385" s="23">
        <v>12</v>
      </c>
      <c r="K3385" s="37">
        <v>0</v>
      </c>
      <c r="M3385" s="22" t="str">
        <f>IF(OR(ISBLANK(C3385),C3385=""),"",ROUND((C3385-B3385)*24,2))</f>
        <v/>
      </c>
      <c r="N3385" s="22" t="str">
        <f>IF(OR(ISBLANK(C3385),C3385="",M3385=""),"In Progress",IF(M3385&lt;=J3385,"Met","Breached"))</f>
        <v>In Progress</v>
      </c>
    </row>
    <row r="3386" ht="19" customHeight="1" spans="1:14" x14ac:dyDescent="0.25">
      <c r="A3386" s="19" t="s">
        <v>3500</v>
      </c>
      <c r="B3386" s="33">
        <v>46260.47222222222</v>
      </c>
      <c r="D3386" s="19" t="s">
        <v>39</v>
      </c>
      <c r="E3386" s="19" t="s">
        <v>65</v>
      </c>
      <c r="F3386" s="19" t="s">
        <v>45</v>
      </c>
      <c r="G3386" s="19" t="s">
        <v>113</v>
      </c>
      <c r="H3386" s="19" t="s">
        <v>59</v>
      </c>
      <c r="I3386" s="19" t="s">
        <v>114</v>
      </c>
      <c r="J3386" s="20">
        <v>48</v>
      </c>
      <c r="K3386" s="34">
        <v>0</v>
      </c>
      <c r="M3386" s="19" t="str">
        <f>IF(OR(ISBLANK(C3386),C3386=""),"",ROUND((C3386-B3386)*24,2))</f>
        <v/>
      </c>
      <c r="N3386" s="19" t="str">
        <f>IF(OR(ISBLANK(C3386),C3386="",M3386=""),"In Progress",IF(M3386&lt;=J3386,"Met","Breached"))</f>
        <v>In Progress</v>
      </c>
    </row>
    <row r="3387" ht="19" customHeight="1" spans="1:14" x14ac:dyDescent="0.25">
      <c r="A3387" s="22" t="s">
        <v>3501</v>
      </c>
      <c r="B3387" s="36">
        <v>45901.19236111111</v>
      </c>
      <c r="C3387" s="36">
        <v>45902.95694444445</v>
      </c>
      <c r="D3387" s="22" t="s">
        <v>33</v>
      </c>
      <c r="E3387" s="22" t="s">
        <v>65</v>
      </c>
      <c r="F3387" s="22" t="s">
        <v>43</v>
      </c>
      <c r="G3387" s="22" t="s">
        <v>113</v>
      </c>
      <c r="H3387" s="22" t="s">
        <v>59</v>
      </c>
      <c r="I3387" s="22" t="s">
        <v>147</v>
      </c>
      <c r="J3387" s="23">
        <v>48</v>
      </c>
      <c r="K3387" s="37">
        <v>0</v>
      </c>
      <c r="L3387" s="37">
        <v>4</v>
      </c>
      <c r="M3387" s="22">
        <f>IF(OR(ISBLANK(C3387),C3387=""),"",ROUND((C3387-B3387)*24,2))</f>
        <v>42.35</v>
      </c>
      <c r="N3387" s="40" t="str">
        <f>IF(OR(ISBLANK(C3387),C3387="",M3387=""),"In Progress",IF(M3387&lt;=J3387,"Met","Breached"))</f>
        <v>Met</v>
      </c>
    </row>
    <row r="3388" ht="19" customHeight="1" spans="1:14" x14ac:dyDescent="0.25">
      <c r="A3388" s="19" t="s">
        <v>3502</v>
      </c>
      <c r="B3388" s="33">
        <v>46165.34236111111</v>
      </c>
      <c r="C3388" s="33">
        <v>46165.68680555555</v>
      </c>
      <c r="D3388" s="19" t="s">
        <v>33</v>
      </c>
      <c r="E3388" s="19" t="s">
        <v>61</v>
      </c>
      <c r="F3388" s="19" t="s">
        <v>43</v>
      </c>
      <c r="G3388" s="19" t="s">
        <v>116</v>
      </c>
      <c r="H3388" s="19" t="s">
        <v>59</v>
      </c>
      <c r="I3388" s="19" t="s">
        <v>108</v>
      </c>
      <c r="J3388" s="20">
        <v>12</v>
      </c>
      <c r="K3388" s="34">
        <v>0</v>
      </c>
      <c r="L3388" s="34">
        <v>1</v>
      </c>
      <c r="M3388" s="19">
        <f>IF(OR(ISBLANK(C3388),C3388=""),"",ROUND((C3388-B3388)*24,2))</f>
        <v>8.27</v>
      </c>
      <c r="N3388" s="35" t="str">
        <f>IF(OR(ISBLANK(C3388),C3388="",M3388=""),"In Progress",IF(M3388&lt;=J3388,"Met","Breached"))</f>
        <v>Met</v>
      </c>
    </row>
    <row r="3389" ht="19" customHeight="1" spans="1:14" x14ac:dyDescent="0.25">
      <c r="A3389" s="22" t="s">
        <v>3503</v>
      </c>
      <c r="B3389" s="36">
        <v>45990.59722222222</v>
      </c>
      <c r="C3389" s="36">
        <v>45991.95416666666</v>
      </c>
      <c r="D3389" s="22" t="s">
        <v>33</v>
      </c>
      <c r="E3389" s="22" t="s">
        <v>65</v>
      </c>
      <c r="F3389" s="22" t="s">
        <v>34</v>
      </c>
      <c r="G3389" s="22" t="s">
        <v>110</v>
      </c>
      <c r="H3389" s="22" t="s">
        <v>63</v>
      </c>
      <c r="I3389" s="22" t="s">
        <v>117</v>
      </c>
      <c r="J3389" s="23">
        <v>48</v>
      </c>
      <c r="K3389" s="37">
        <v>0</v>
      </c>
      <c r="M3389" s="22">
        <f>IF(OR(ISBLANK(C3389),C3389=""),"",ROUND((C3389-B3389)*24,2))</f>
        <v>32.57</v>
      </c>
      <c r="N3389" s="40" t="str">
        <f>IF(OR(ISBLANK(C3389),C3389="",M3389=""),"In Progress",IF(M3389&lt;=J3389,"Met","Breached"))</f>
        <v>Met</v>
      </c>
    </row>
    <row r="3390" ht="19" customHeight="1" spans="1:14" x14ac:dyDescent="0.25">
      <c r="A3390" s="19" t="s">
        <v>3504</v>
      </c>
      <c r="B3390" s="33">
        <v>45806.37847222222</v>
      </c>
      <c r="C3390" s="33">
        <v>45806.65625</v>
      </c>
      <c r="D3390" s="19" t="s">
        <v>33</v>
      </c>
      <c r="E3390" s="19" t="s">
        <v>57</v>
      </c>
      <c r="F3390" s="19" t="s">
        <v>34</v>
      </c>
      <c r="G3390" s="19" t="s">
        <v>126</v>
      </c>
      <c r="H3390" s="19" t="s">
        <v>67</v>
      </c>
      <c r="I3390" s="19" t="s">
        <v>147</v>
      </c>
      <c r="J3390" s="20">
        <v>4</v>
      </c>
      <c r="K3390" s="34">
        <v>0</v>
      </c>
      <c r="L3390" s="34">
        <v>1</v>
      </c>
      <c r="M3390" s="19">
        <f>IF(OR(ISBLANK(C3390),C3390=""),"",ROUND((C3390-B3390)*24,2))</f>
        <v>6.67</v>
      </c>
      <c r="N3390" s="39" t="str">
        <f>IF(OR(ISBLANK(C3390),C3390="",M3390=""),"In Progress",IF(M3390&lt;=J3390,"Met","Breached"))</f>
        <v>Breached</v>
      </c>
    </row>
    <row r="3391" ht="19" customHeight="1" spans="1:14" x14ac:dyDescent="0.25">
      <c r="A3391" s="22" t="s">
        <v>3505</v>
      </c>
      <c r="B3391" s="36">
        <v>46156.50347222222</v>
      </c>
      <c r="C3391" s="36">
        <v>46157.663194444445</v>
      </c>
      <c r="D3391" s="22" t="s">
        <v>33</v>
      </c>
      <c r="E3391" s="22" t="s">
        <v>65</v>
      </c>
      <c r="F3391" s="22" t="s">
        <v>43</v>
      </c>
      <c r="G3391" s="22" t="s">
        <v>126</v>
      </c>
      <c r="H3391" s="22" t="s">
        <v>59</v>
      </c>
      <c r="I3391" s="22" t="s">
        <v>123</v>
      </c>
      <c r="J3391" s="23">
        <v>48</v>
      </c>
      <c r="K3391" s="37">
        <v>0</v>
      </c>
      <c r="L3391" s="37">
        <v>5</v>
      </c>
      <c r="M3391" s="22">
        <f>IF(OR(ISBLANK(C3391),C3391=""),"",ROUND((C3391-B3391)*24,2))</f>
        <v>27.83</v>
      </c>
      <c r="N3391" s="40" t="str">
        <f>IF(OR(ISBLANK(C3391),C3391="",M3391=""),"In Progress",IF(M3391&lt;=J3391,"Met","Breached"))</f>
        <v>Met</v>
      </c>
    </row>
    <row r="3392" ht="19" customHeight="1" spans="1:14" x14ac:dyDescent="0.25">
      <c r="A3392" s="19" t="s">
        <v>3506</v>
      </c>
      <c r="B3392" s="33">
        <v>46072.38958333334</v>
      </c>
      <c r="C3392" s="33">
        <v>46073.01597222222</v>
      </c>
      <c r="D3392" s="19" t="s">
        <v>33</v>
      </c>
      <c r="E3392" s="19" t="s">
        <v>61</v>
      </c>
      <c r="F3392" s="19" t="s">
        <v>43</v>
      </c>
      <c r="G3392" s="19" t="s">
        <v>63</v>
      </c>
      <c r="H3392" s="19" t="s">
        <v>59</v>
      </c>
      <c r="I3392" s="19" t="s">
        <v>114</v>
      </c>
      <c r="J3392" s="20">
        <v>12</v>
      </c>
      <c r="K3392" s="34">
        <v>0</v>
      </c>
      <c r="M3392" s="19">
        <f>IF(OR(ISBLANK(C3392),C3392=""),"",ROUND((C3392-B3392)*24,2))</f>
        <v>15.03</v>
      </c>
      <c r="N3392" s="39" t="str">
        <f>IF(OR(ISBLANK(C3392),C3392="",M3392=""),"In Progress",IF(M3392&lt;=J3392,"Met","Breached"))</f>
        <v>Breached</v>
      </c>
    </row>
    <row r="3393" ht="19" customHeight="1" spans="1:14" x14ac:dyDescent="0.25">
      <c r="A3393" s="22" t="s">
        <v>3507</v>
      </c>
      <c r="B3393" s="36">
        <v>45863.03472222222</v>
      </c>
      <c r="C3393" s="36">
        <v>45863.919444444444</v>
      </c>
      <c r="D3393" s="22" t="s">
        <v>33</v>
      </c>
      <c r="E3393" s="22" t="s">
        <v>61</v>
      </c>
      <c r="F3393" s="22" t="s">
        <v>43</v>
      </c>
      <c r="G3393" s="22" t="s">
        <v>63</v>
      </c>
      <c r="H3393" s="22" t="s">
        <v>67</v>
      </c>
      <c r="I3393" s="22" t="s">
        <v>108</v>
      </c>
      <c r="J3393" s="23">
        <v>12</v>
      </c>
      <c r="K3393" s="37">
        <v>0</v>
      </c>
      <c r="L3393" s="37">
        <v>3</v>
      </c>
      <c r="M3393" s="22">
        <f>IF(OR(ISBLANK(C3393),C3393=""),"",ROUND((C3393-B3393)*24,2))</f>
        <v>21.23</v>
      </c>
      <c r="N3393" s="38" t="str">
        <f>IF(OR(ISBLANK(C3393),C3393="",M3393=""),"In Progress",IF(M3393&lt;=J3393,"Met","Breached"))</f>
        <v>Breached</v>
      </c>
    </row>
    <row r="3394" ht="19" customHeight="1" spans="1:14" x14ac:dyDescent="0.25">
      <c r="A3394" s="19" t="s">
        <v>3508</v>
      </c>
      <c r="B3394" s="33">
        <v>46270.41458333333</v>
      </c>
      <c r="C3394" s="33">
        <v>46276.945138888885</v>
      </c>
      <c r="D3394" s="19" t="s">
        <v>36</v>
      </c>
      <c r="E3394" s="19" t="s">
        <v>69</v>
      </c>
      <c r="F3394" s="19" t="s">
        <v>45</v>
      </c>
      <c r="G3394" s="19" t="s">
        <v>116</v>
      </c>
      <c r="H3394" s="19" t="s">
        <v>67</v>
      </c>
      <c r="I3394" s="19" t="s">
        <v>147</v>
      </c>
      <c r="J3394" s="20">
        <v>120</v>
      </c>
      <c r="K3394" s="34">
        <v>0</v>
      </c>
      <c r="M3394" s="19">
        <f>IF(OR(ISBLANK(C3394),C3394=""),"",ROUND((C3394-B3394)*24,2))</f>
        <v>156.73</v>
      </c>
      <c r="N3394" s="39" t="str">
        <f>IF(OR(ISBLANK(C3394),C3394="",M3394=""),"In Progress",IF(M3394&lt;=J3394,"Met","Breached"))</f>
        <v>Breached</v>
      </c>
    </row>
    <row r="3395" ht="19" customHeight="1" spans="1:14" x14ac:dyDescent="0.25">
      <c r="A3395" s="22" t="s">
        <v>3509</v>
      </c>
      <c r="B3395" s="36">
        <v>45743.31319444445</v>
      </c>
      <c r="C3395" s="36">
        <v>45745.54722222222</v>
      </c>
      <c r="D3395" s="22" t="s">
        <v>36</v>
      </c>
      <c r="E3395" s="22" t="s">
        <v>65</v>
      </c>
      <c r="F3395" s="22" t="s">
        <v>40</v>
      </c>
      <c r="G3395" s="22" t="s">
        <v>113</v>
      </c>
      <c r="H3395" s="22" t="s">
        <v>67</v>
      </c>
      <c r="I3395" s="22" t="s">
        <v>117</v>
      </c>
      <c r="J3395" s="23">
        <v>48</v>
      </c>
      <c r="K3395" s="37">
        <v>0</v>
      </c>
      <c r="L3395" s="37">
        <v>2</v>
      </c>
      <c r="M3395" s="22">
        <f>IF(OR(ISBLANK(C3395),C3395=""),"",ROUND((C3395-B3395)*24,2))</f>
        <v>53.62</v>
      </c>
      <c r="N3395" s="38" t="str">
        <f>IF(OR(ISBLANK(C3395),C3395="",M3395=""),"In Progress",IF(M3395&lt;=J3395,"Met","Breached"))</f>
        <v>Breached</v>
      </c>
    </row>
    <row r="3396" ht="19" customHeight="1" spans="1:14" x14ac:dyDescent="0.25">
      <c r="A3396" s="19" t="s">
        <v>3510</v>
      </c>
      <c r="B3396" s="33">
        <v>45829.77638888889</v>
      </c>
      <c r="C3396" s="33">
        <v>45830.99930555555</v>
      </c>
      <c r="D3396" s="19" t="s">
        <v>36</v>
      </c>
      <c r="E3396" s="19" t="s">
        <v>65</v>
      </c>
      <c r="F3396" s="19" t="s">
        <v>43</v>
      </c>
      <c r="G3396" s="19" t="s">
        <v>121</v>
      </c>
      <c r="H3396" s="19" t="s">
        <v>59</v>
      </c>
      <c r="I3396" s="19" t="s">
        <v>111</v>
      </c>
      <c r="J3396" s="20">
        <v>48</v>
      </c>
      <c r="K3396" s="34">
        <v>0</v>
      </c>
      <c r="M3396" s="19">
        <f>IF(OR(ISBLANK(C3396),C3396=""),"",ROUND((C3396-B3396)*24,2))</f>
        <v>29.35</v>
      </c>
      <c r="N3396" s="35" t="str">
        <f>IF(OR(ISBLANK(C3396),C3396="",M3396=""),"In Progress",IF(M3396&lt;=J3396,"Met","Breached"))</f>
        <v>Met</v>
      </c>
    </row>
    <row r="3397" ht="19" customHeight="1" spans="1:14" x14ac:dyDescent="0.25">
      <c r="A3397" s="22" t="s">
        <v>3511</v>
      </c>
      <c r="B3397" s="36">
        <v>46277.49375</v>
      </c>
      <c r="D3397" s="22" t="s">
        <v>39</v>
      </c>
      <c r="E3397" s="22" t="s">
        <v>69</v>
      </c>
      <c r="F3397" s="22" t="s">
        <v>34</v>
      </c>
      <c r="G3397" s="22" t="s">
        <v>63</v>
      </c>
      <c r="H3397" s="22" t="s">
        <v>63</v>
      </c>
      <c r="I3397" s="22" t="s">
        <v>108</v>
      </c>
      <c r="J3397" s="23">
        <v>120</v>
      </c>
      <c r="K3397" s="37">
        <v>0</v>
      </c>
      <c r="M3397" s="22" t="str">
        <f>IF(OR(ISBLANK(C3397),C3397=""),"",ROUND((C3397-B3397)*24,2))</f>
        <v/>
      </c>
      <c r="N3397" s="22" t="str">
        <f>IF(OR(ISBLANK(C3397),C3397="",M3397=""),"In Progress",IF(M3397&lt;=J3397,"Met","Breached"))</f>
        <v>In Progress</v>
      </c>
    </row>
    <row r="3398" ht="19" customHeight="1" spans="1:14" x14ac:dyDescent="0.25">
      <c r="A3398" s="19" t="s">
        <v>3512</v>
      </c>
      <c r="B3398" s="33">
        <v>45960.7875</v>
      </c>
      <c r="C3398" s="33">
        <v>45968.56875</v>
      </c>
      <c r="D3398" s="19" t="s">
        <v>33</v>
      </c>
      <c r="E3398" s="19" t="s">
        <v>69</v>
      </c>
      <c r="F3398" s="19" t="s">
        <v>40</v>
      </c>
      <c r="G3398" s="19" t="s">
        <v>116</v>
      </c>
      <c r="H3398" s="19" t="s">
        <v>67</v>
      </c>
      <c r="I3398" s="19" t="s">
        <v>108</v>
      </c>
      <c r="J3398" s="20">
        <v>120</v>
      </c>
      <c r="K3398" s="34">
        <v>1</v>
      </c>
      <c r="M3398" s="19">
        <f>IF(OR(ISBLANK(C3398),C3398=""),"",ROUND((C3398-B3398)*24,2))</f>
        <v>186.75</v>
      </c>
      <c r="N3398" s="39" t="str">
        <f>IF(OR(ISBLANK(C3398),C3398="",M3398=""),"In Progress",IF(M3398&lt;=J3398,"Met","Breached"))</f>
        <v>Breached</v>
      </c>
    </row>
    <row r="3399" ht="19" customHeight="1" spans="1:14" x14ac:dyDescent="0.25">
      <c r="A3399" s="22" t="s">
        <v>3513</v>
      </c>
      <c r="B3399" s="36">
        <v>46194.819444444445</v>
      </c>
      <c r="C3399" s="36">
        <v>46195.57083333333</v>
      </c>
      <c r="D3399" s="22" t="s">
        <v>33</v>
      </c>
      <c r="E3399" s="22" t="s">
        <v>61</v>
      </c>
      <c r="F3399" s="22" t="s">
        <v>40</v>
      </c>
      <c r="G3399" s="22" t="s">
        <v>116</v>
      </c>
      <c r="H3399" s="22" t="s">
        <v>59</v>
      </c>
      <c r="I3399" s="22" t="s">
        <v>117</v>
      </c>
      <c r="J3399" s="23">
        <v>12</v>
      </c>
      <c r="K3399" s="37">
        <v>0</v>
      </c>
      <c r="L3399" s="37">
        <v>3</v>
      </c>
      <c r="M3399" s="22">
        <f>IF(OR(ISBLANK(C3399),C3399=""),"",ROUND((C3399-B3399)*24,2))</f>
        <v>18.03</v>
      </c>
      <c r="N3399" s="38" t="str">
        <f>IF(OR(ISBLANK(C3399),C3399="",M3399=""),"In Progress",IF(M3399&lt;=J3399,"Met","Breached"))</f>
        <v>Breached</v>
      </c>
    </row>
    <row r="3400" ht="19" customHeight="1" spans="1:14" x14ac:dyDescent="0.25">
      <c r="A3400" s="19" t="s">
        <v>3514</v>
      </c>
      <c r="B3400" s="33">
        <v>46261.61597222222</v>
      </c>
      <c r="C3400" s="33">
        <v>46263.756944444445</v>
      </c>
      <c r="D3400" s="19" t="s">
        <v>36</v>
      </c>
      <c r="E3400" s="19" t="s">
        <v>65</v>
      </c>
      <c r="F3400" s="19" t="s">
        <v>40</v>
      </c>
      <c r="G3400" s="19" t="s">
        <v>63</v>
      </c>
      <c r="H3400" s="19" t="s">
        <v>63</v>
      </c>
      <c r="I3400" s="19" t="s">
        <v>147</v>
      </c>
      <c r="J3400" s="20">
        <v>48</v>
      </c>
      <c r="K3400" s="34">
        <v>0</v>
      </c>
      <c r="L3400" s="34">
        <v>5</v>
      </c>
      <c r="M3400" s="19">
        <f>IF(OR(ISBLANK(C3400),C3400=""),"",ROUND((C3400-B3400)*24,2))</f>
        <v>51.38</v>
      </c>
      <c r="N3400" s="39" t="str">
        <f>IF(OR(ISBLANK(C3400),C3400="",M3400=""),"In Progress",IF(M3400&lt;=J3400,"Met","Breached"))</f>
        <v>Breached</v>
      </c>
    </row>
    <row r="3401" ht="19" customHeight="1" spans="1:14" x14ac:dyDescent="0.25">
      <c r="A3401" s="22" t="s">
        <v>3515</v>
      </c>
      <c r="B3401" s="36">
        <v>45843.89166666666</v>
      </c>
      <c r="C3401" s="36">
        <v>45846.71041666667</v>
      </c>
      <c r="D3401" s="22" t="s">
        <v>33</v>
      </c>
      <c r="E3401" s="22" t="s">
        <v>65</v>
      </c>
      <c r="F3401" s="22" t="s">
        <v>43</v>
      </c>
      <c r="G3401" s="22" t="s">
        <v>116</v>
      </c>
      <c r="H3401" s="22" t="s">
        <v>67</v>
      </c>
      <c r="I3401" s="22" t="s">
        <v>117</v>
      </c>
      <c r="J3401" s="23">
        <v>48</v>
      </c>
      <c r="K3401" s="37">
        <v>1</v>
      </c>
      <c r="M3401" s="22">
        <f>IF(OR(ISBLANK(C3401),C3401=""),"",ROUND((C3401-B3401)*24,2))</f>
        <v>67.65</v>
      </c>
      <c r="N3401" s="38" t="str">
        <f>IF(OR(ISBLANK(C3401),C3401="",M3401=""),"In Progress",IF(M3401&lt;=J3401,"Met","Breached"))</f>
        <v>Breached</v>
      </c>
    </row>
    <row r="3402" ht="19" customHeight="1" spans="1:14" x14ac:dyDescent="0.25">
      <c r="A3402" s="19" t="s">
        <v>3516</v>
      </c>
      <c r="B3402" s="33">
        <v>45967.07777777778</v>
      </c>
      <c r="C3402" s="33">
        <v>45967.37222222222</v>
      </c>
      <c r="D3402" s="19" t="s">
        <v>33</v>
      </c>
      <c r="E3402" s="19" t="s">
        <v>61</v>
      </c>
      <c r="F3402" s="19" t="s">
        <v>37</v>
      </c>
      <c r="G3402" s="19" t="s">
        <v>113</v>
      </c>
      <c r="H3402" s="19" t="s">
        <v>63</v>
      </c>
      <c r="I3402" s="19" t="s">
        <v>114</v>
      </c>
      <c r="J3402" s="20">
        <v>12</v>
      </c>
      <c r="K3402" s="34">
        <v>1</v>
      </c>
      <c r="M3402" s="19">
        <f>IF(OR(ISBLANK(C3402),C3402=""),"",ROUND((C3402-B3402)*24,2))</f>
        <v>7.07</v>
      </c>
      <c r="N3402" s="35" t="str">
        <f>IF(OR(ISBLANK(C3402),C3402="",M3402=""),"In Progress",IF(M3402&lt;=J3402,"Met","Breached"))</f>
        <v>Met</v>
      </c>
    </row>
    <row r="3403" ht="19" customHeight="1" spans="1:14" x14ac:dyDescent="0.25">
      <c r="A3403" s="22" t="s">
        <v>3517</v>
      </c>
      <c r="B3403" s="36">
        <v>45686.86597222222</v>
      </c>
      <c r="D3403" s="22" t="s">
        <v>39</v>
      </c>
      <c r="E3403" s="22" t="s">
        <v>65</v>
      </c>
      <c r="F3403" s="22" t="s">
        <v>34</v>
      </c>
      <c r="G3403" s="22" t="s">
        <v>63</v>
      </c>
      <c r="H3403" s="22" t="s">
        <v>59</v>
      </c>
      <c r="I3403" s="22" t="s">
        <v>117</v>
      </c>
      <c r="J3403" s="23">
        <v>48</v>
      </c>
      <c r="K3403" s="37">
        <v>0</v>
      </c>
      <c r="M3403" s="22" t="str">
        <f>IF(OR(ISBLANK(C3403),C3403=""),"",ROUND((C3403-B3403)*24,2))</f>
        <v/>
      </c>
      <c r="N3403" s="22" t="str">
        <f>IF(OR(ISBLANK(C3403),C3403="",M3403=""),"In Progress",IF(M3403&lt;=J3403,"Met","Breached"))</f>
        <v>In Progress</v>
      </c>
    </row>
    <row r="3404" ht="19" customHeight="1" spans="1:14" x14ac:dyDescent="0.25">
      <c r="A3404" s="19" t="s">
        <v>3518</v>
      </c>
      <c r="B3404" s="33">
        <v>46281.101388888885</v>
      </c>
      <c r="C3404" s="33">
        <v>46281.41805555555</v>
      </c>
      <c r="D3404" s="19" t="s">
        <v>33</v>
      </c>
      <c r="E3404" s="19" t="s">
        <v>61</v>
      </c>
      <c r="F3404" s="19" t="s">
        <v>34</v>
      </c>
      <c r="G3404" s="19" t="s">
        <v>116</v>
      </c>
      <c r="H3404" s="19" t="s">
        <v>59</v>
      </c>
      <c r="I3404" s="19" t="s">
        <v>117</v>
      </c>
      <c r="J3404" s="20">
        <v>12</v>
      </c>
      <c r="K3404" s="34">
        <v>0</v>
      </c>
      <c r="M3404" s="19">
        <f>IF(OR(ISBLANK(C3404),C3404=""),"",ROUND((C3404-B3404)*24,2))</f>
        <v>7.6</v>
      </c>
      <c r="N3404" s="35" t="str">
        <f>IF(OR(ISBLANK(C3404),C3404="",M3404=""),"In Progress",IF(M3404&lt;=J3404,"Met","Breached"))</f>
        <v>Met</v>
      </c>
    </row>
    <row r="3405" ht="19" customHeight="1" spans="1:14" x14ac:dyDescent="0.25">
      <c r="A3405" s="22" t="s">
        <v>3519</v>
      </c>
      <c r="B3405" s="36">
        <v>46258.370833333334</v>
      </c>
      <c r="C3405" s="36">
        <v>46264.91736111111</v>
      </c>
      <c r="D3405" s="22" t="s">
        <v>33</v>
      </c>
      <c r="E3405" s="22" t="s">
        <v>69</v>
      </c>
      <c r="F3405" s="22" t="s">
        <v>45</v>
      </c>
      <c r="G3405" s="22" t="s">
        <v>126</v>
      </c>
      <c r="H3405" s="22" t="s">
        <v>59</v>
      </c>
      <c r="I3405" s="22" t="s">
        <v>114</v>
      </c>
      <c r="J3405" s="23">
        <v>120</v>
      </c>
      <c r="K3405" s="37">
        <v>0</v>
      </c>
      <c r="L3405" s="37">
        <v>5</v>
      </c>
      <c r="M3405" s="22">
        <f>IF(OR(ISBLANK(C3405),C3405=""),"",ROUND((C3405-B3405)*24,2))</f>
        <v>157.12</v>
      </c>
      <c r="N3405" s="38" t="str">
        <f>IF(OR(ISBLANK(C3405),C3405="",M3405=""),"In Progress",IF(M3405&lt;=J3405,"Met","Breached"))</f>
        <v>Breached</v>
      </c>
    </row>
    <row r="3406" ht="19" customHeight="1" spans="1:14" x14ac:dyDescent="0.25">
      <c r="A3406" s="19" t="s">
        <v>3520</v>
      </c>
      <c r="B3406" s="33">
        <v>46033.17916666667</v>
      </c>
      <c r="C3406" s="33">
        <v>46034.91527777778</v>
      </c>
      <c r="D3406" s="19" t="s">
        <v>33</v>
      </c>
      <c r="E3406" s="19" t="s">
        <v>65</v>
      </c>
      <c r="F3406" s="19" t="s">
        <v>40</v>
      </c>
      <c r="G3406" s="19" t="s">
        <v>110</v>
      </c>
      <c r="H3406" s="19" t="s">
        <v>71</v>
      </c>
      <c r="I3406" s="19" t="s">
        <v>147</v>
      </c>
      <c r="J3406" s="20">
        <v>48</v>
      </c>
      <c r="K3406" s="34">
        <v>0</v>
      </c>
      <c r="M3406" s="19">
        <f>IF(OR(ISBLANK(C3406),C3406=""),"",ROUND((C3406-B3406)*24,2))</f>
        <v>41.67</v>
      </c>
      <c r="N3406" s="35" t="str">
        <f>IF(OR(ISBLANK(C3406),C3406="",M3406=""),"In Progress",IF(M3406&lt;=J3406,"Met","Breached"))</f>
        <v>Met</v>
      </c>
    </row>
    <row r="3407" ht="19" customHeight="1" spans="1:14" x14ac:dyDescent="0.25">
      <c r="A3407" s="22" t="s">
        <v>3521</v>
      </c>
      <c r="B3407" s="36">
        <v>46038.22013888889</v>
      </c>
      <c r="D3407" s="22" t="s">
        <v>42</v>
      </c>
      <c r="E3407" s="22" t="s">
        <v>61</v>
      </c>
      <c r="F3407" s="22" t="s">
        <v>40</v>
      </c>
      <c r="G3407" s="22" t="s">
        <v>113</v>
      </c>
      <c r="H3407" s="22" t="s">
        <v>71</v>
      </c>
      <c r="I3407" s="22" t="s">
        <v>123</v>
      </c>
      <c r="J3407" s="23">
        <v>12</v>
      </c>
      <c r="K3407" s="37">
        <v>0</v>
      </c>
      <c r="M3407" s="22" t="str">
        <f>IF(OR(ISBLANK(C3407),C3407=""),"",ROUND((C3407-B3407)*24,2))</f>
        <v/>
      </c>
      <c r="N3407" s="22" t="str">
        <f>IF(OR(ISBLANK(C3407),C3407="",M3407=""),"In Progress",IF(M3407&lt;=J3407,"Met","Breached"))</f>
        <v>In Progress</v>
      </c>
    </row>
    <row r="3408" ht="19" customHeight="1" spans="1:14" x14ac:dyDescent="0.25">
      <c r="A3408" s="19" t="s">
        <v>3522</v>
      </c>
      <c r="B3408" s="33">
        <v>46104.11111111111</v>
      </c>
      <c r="C3408" s="33">
        <v>46107.601388888885</v>
      </c>
      <c r="D3408" s="19" t="s">
        <v>33</v>
      </c>
      <c r="E3408" s="19" t="s">
        <v>65</v>
      </c>
      <c r="F3408" s="19" t="s">
        <v>43</v>
      </c>
      <c r="G3408" s="19" t="s">
        <v>126</v>
      </c>
      <c r="H3408" s="19" t="s">
        <v>59</v>
      </c>
      <c r="I3408" s="19" t="s">
        <v>111</v>
      </c>
      <c r="J3408" s="20">
        <v>48</v>
      </c>
      <c r="K3408" s="34">
        <v>0</v>
      </c>
      <c r="M3408" s="19">
        <f>IF(OR(ISBLANK(C3408),C3408=""),"",ROUND((C3408-B3408)*24,2))</f>
        <v>83.77</v>
      </c>
      <c r="N3408" s="39" t="str">
        <f>IF(OR(ISBLANK(C3408),C3408="",M3408=""),"In Progress",IF(M3408&lt;=J3408,"Met","Breached"))</f>
        <v>Breached</v>
      </c>
    </row>
    <row r="3409" ht="19" customHeight="1" spans="1:14" x14ac:dyDescent="0.25">
      <c r="A3409" s="22" t="s">
        <v>3523</v>
      </c>
      <c r="B3409" s="36">
        <v>46079.20277777778</v>
      </c>
      <c r="C3409" s="36">
        <v>46081.79236111111</v>
      </c>
      <c r="D3409" s="22" t="s">
        <v>33</v>
      </c>
      <c r="E3409" s="22" t="s">
        <v>65</v>
      </c>
      <c r="F3409" s="22" t="s">
        <v>40</v>
      </c>
      <c r="G3409" s="22" t="s">
        <v>116</v>
      </c>
      <c r="H3409" s="22" t="s">
        <v>71</v>
      </c>
      <c r="I3409" s="22" t="s">
        <v>117</v>
      </c>
      <c r="J3409" s="23">
        <v>48</v>
      </c>
      <c r="K3409" s="37">
        <v>0</v>
      </c>
      <c r="M3409" s="22">
        <f>IF(OR(ISBLANK(C3409),C3409=""),"",ROUND((C3409-B3409)*24,2))</f>
        <v>62.15</v>
      </c>
      <c r="N3409" s="38" t="str">
        <f>IF(OR(ISBLANK(C3409),C3409="",M3409=""),"In Progress",IF(M3409&lt;=J3409,"Met","Breached"))</f>
        <v>Breached</v>
      </c>
    </row>
    <row r="3410" ht="19" customHeight="1" spans="1:14" x14ac:dyDescent="0.25">
      <c r="A3410" s="19" t="s">
        <v>3524</v>
      </c>
      <c r="B3410" s="33">
        <v>46213.60416666667</v>
      </c>
      <c r="C3410" s="33">
        <v>46215.48333333334</v>
      </c>
      <c r="D3410" s="19" t="s">
        <v>36</v>
      </c>
      <c r="E3410" s="19" t="s">
        <v>65</v>
      </c>
      <c r="F3410" s="19" t="s">
        <v>34</v>
      </c>
      <c r="G3410" s="19" t="s">
        <v>113</v>
      </c>
      <c r="H3410" s="19" t="s">
        <v>59</v>
      </c>
      <c r="I3410" s="19" t="s">
        <v>147</v>
      </c>
      <c r="J3410" s="20">
        <v>48</v>
      </c>
      <c r="K3410" s="34">
        <v>0</v>
      </c>
      <c r="M3410" s="19">
        <f>IF(OR(ISBLANK(C3410),C3410=""),"",ROUND((C3410-B3410)*24,2))</f>
        <v>45.1</v>
      </c>
      <c r="N3410" s="35" t="str">
        <f>IF(OR(ISBLANK(C3410),C3410="",M3410=""),"In Progress",IF(M3410&lt;=J3410,"Met","Breached"))</f>
        <v>Met</v>
      </c>
    </row>
    <row r="3411" ht="19" customHeight="1" spans="1:14" x14ac:dyDescent="0.25">
      <c r="A3411" s="22" t="s">
        <v>3525</v>
      </c>
      <c r="B3411" s="36">
        <v>45931.65694444445</v>
      </c>
      <c r="C3411" s="36">
        <v>45933.86388888889</v>
      </c>
      <c r="D3411" s="22" t="s">
        <v>33</v>
      </c>
      <c r="E3411" s="22" t="s">
        <v>65</v>
      </c>
      <c r="F3411" s="22" t="s">
        <v>40</v>
      </c>
      <c r="G3411" s="22" t="s">
        <v>126</v>
      </c>
      <c r="H3411" s="22" t="s">
        <v>59</v>
      </c>
      <c r="I3411" s="22" t="s">
        <v>111</v>
      </c>
      <c r="J3411" s="23">
        <v>48</v>
      </c>
      <c r="K3411" s="37">
        <v>0</v>
      </c>
      <c r="L3411" s="37">
        <v>2</v>
      </c>
      <c r="M3411" s="22">
        <f>IF(OR(ISBLANK(C3411),C3411=""),"",ROUND((C3411-B3411)*24,2))</f>
        <v>52.97</v>
      </c>
      <c r="N3411" s="38" t="str">
        <f>IF(OR(ISBLANK(C3411),C3411="",M3411=""),"In Progress",IF(M3411&lt;=J3411,"Met","Breached"))</f>
        <v>Breached</v>
      </c>
    </row>
    <row r="3412" ht="19" customHeight="1" spans="1:14" x14ac:dyDescent="0.25">
      <c r="A3412" s="19" t="s">
        <v>3526</v>
      </c>
      <c r="B3412" s="33">
        <v>45744.53125</v>
      </c>
      <c r="C3412" s="33">
        <v>45748.06527777778</v>
      </c>
      <c r="D3412" s="19" t="s">
        <v>33</v>
      </c>
      <c r="E3412" s="19" t="s">
        <v>65</v>
      </c>
      <c r="F3412" s="19" t="s">
        <v>45</v>
      </c>
      <c r="G3412" s="19" t="s">
        <v>110</v>
      </c>
      <c r="H3412" s="19" t="s">
        <v>63</v>
      </c>
      <c r="I3412" s="19" t="s">
        <v>108</v>
      </c>
      <c r="J3412" s="20">
        <v>48</v>
      </c>
      <c r="K3412" s="34">
        <v>0</v>
      </c>
      <c r="L3412" s="34">
        <v>3</v>
      </c>
      <c r="M3412" s="19">
        <f>IF(OR(ISBLANK(C3412),C3412=""),"",ROUND((C3412-B3412)*24,2))</f>
        <v>84.82</v>
      </c>
      <c r="N3412" s="39" t="str">
        <f>IF(OR(ISBLANK(C3412),C3412="",M3412=""),"In Progress",IF(M3412&lt;=J3412,"Met","Breached"))</f>
        <v>Breached</v>
      </c>
    </row>
    <row r="3413" ht="19" customHeight="1" spans="1:14" x14ac:dyDescent="0.25">
      <c r="A3413" s="22" t="s">
        <v>3527</v>
      </c>
      <c r="B3413" s="36">
        <v>46086.75208333333</v>
      </c>
      <c r="C3413" s="36">
        <v>46090.14583333333</v>
      </c>
      <c r="D3413" s="22" t="s">
        <v>36</v>
      </c>
      <c r="E3413" s="22" t="s">
        <v>65</v>
      </c>
      <c r="F3413" s="22" t="s">
        <v>37</v>
      </c>
      <c r="G3413" s="22" t="s">
        <v>63</v>
      </c>
      <c r="H3413" s="22" t="s">
        <v>71</v>
      </c>
      <c r="I3413" s="22" t="s">
        <v>147</v>
      </c>
      <c r="J3413" s="23">
        <v>48</v>
      </c>
      <c r="K3413" s="37">
        <v>0</v>
      </c>
      <c r="M3413" s="22">
        <f>IF(OR(ISBLANK(C3413),C3413=""),"",ROUND((C3413-B3413)*24,2))</f>
        <v>81.45</v>
      </c>
      <c r="N3413" s="38" t="str">
        <f>IF(OR(ISBLANK(C3413),C3413="",M3413=""),"In Progress",IF(M3413&lt;=J3413,"Met","Breached"))</f>
        <v>Breached</v>
      </c>
    </row>
    <row r="3414" ht="19" customHeight="1" spans="1:14" x14ac:dyDescent="0.25">
      <c r="A3414" s="19" t="s">
        <v>3528</v>
      </c>
      <c r="B3414" s="33">
        <v>45975.80416666667</v>
      </c>
      <c r="C3414" s="33">
        <v>45976.052777777775</v>
      </c>
      <c r="D3414" s="19" t="s">
        <v>33</v>
      </c>
      <c r="E3414" s="19" t="s">
        <v>57</v>
      </c>
      <c r="F3414" s="19" t="s">
        <v>40</v>
      </c>
      <c r="G3414" s="19" t="s">
        <v>121</v>
      </c>
      <c r="H3414" s="19" t="s">
        <v>67</v>
      </c>
      <c r="I3414" s="19" t="s">
        <v>114</v>
      </c>
      <c r="J3414" s="20">
        <v>4</v>
      </c>
      <c r="K3414" s="34">
        <v>0</v>
      </c>
      <c r="L3414" s="34">
        <v>4</v>
      </c>
      <c r="M3414" s="19">
        <f>IF(OR(ISBLANK(C3414),C3414=""),"",ROUND((C3414-B3414)*24,2))</f>
        <v>5.97</v>
      </c>
      <c r="N3414" s="39" t="str">
        <f>IF(OR(ISBLANK(C3414),C3414="",M3414=""),"In Progress",IF(M3414&lt;=J3414,"Met","Breached"))</f>
        <v>Breached</v>
      </c>
    </row>
    <row r="3415" ht="19" customHeight="1" spans="1:14" x14ac:dyDescent="0.25">
      <c r="A3415" s="22" t="s">
        <v>3529</v>
      </c>
      <c r="B3415" s="36">
        <v>45661.62569444445</v>
      </c>
      <c r="C3415" s="36">
        <v>45670.54236111111</v>
      </c>
      <c r="D3415" s="22" t="s">
        <v>36</v>
      </c>
      <c r="E3415" s="22" t="s">
        <v>69</v>
      </c>
      <c r="F3415" s="22" t="s">
        <v>34</v>
      </c>
      <c r="G3415" s="22" t="s">
        <v>121</v>
      </c>
      <c r="H3415" s="22" t="s">
        <v>59</v>
      </c>
      <c r="I3415" s="22" t="s">
        <v>147</v>
      </c>
      <c r="J3415" s="23">
        <v>120</v>
      </c>
      <c r="K3415" s="37">
        <v>0</v>
      </c>
      <c r="L3415" s="37">
        <v>4</v>
      </c>
      <c r="M3415" s="22">
        <f>IF(OR(ISBLANK(C3415),C3415=""),"",ROUND((C3415-B3415)*24,2))</f>
        <v>214</v>
      </c>
      <c r="N3415" s="38" t="str">
        <f>IF(OR(ISBLANK(C3415),C3415="",M3415=""),"In Progress",IF(M3415&lt;=J3415,"Met","Breached"))</f>
        <v>Breached</v>
      </c>
    </row>
    <row r="3416" ht="19" customHeight="1" spans="1:14" x14ac:dyDescent="0.25">
      <c r="A3416" s="19" t="s">
        <v>3530</v>
      </c>
      <c r="B3416" s="33">
        <v>46180.839583333334</v>
      </c>
      <c r="D3416" s="19" t="s">
        <v>39</v>
      </c>
      <c r="E3416" s="19" t="s">
        <v>65</v>
      </c>
      <c r="F3416" s="19" t="s">
        <v>34</v>
      </c>
      <c r="G3416" s="19" t="s">
        <v>126</v>
      </c>
      <c r="H3416" s="19" t="s">
        <v>63</v>
      </c>
      <c r="I3416" s="19" t="s">
        <v>147</v>
      </c>
      <c r="J3416" s="20">
        <v>48</v>
      </c>
      <c r="K3416" s="34">
        <v>0</v>
      </c>
      <c r="M3416" s="19" t="str">
        <f>IF(OR(ISBLANK(C3416),C3416=""),"",ROUND((C3416-B3416)*24,2))</f>
        <v/>
      </c>
      <c r="N3416" s="19" t="str">
        <f>IF(OR(ISBLANK(C3416),C3416="",M3416=""),"In Progress",IF(M3416&lt;=J3416,"Met","Breached"))</f>
        <v>In Progress</v>
      </c>
    </row>
    <row r="3417" ht="19" customHeight="1" spans="1:14" x14ac:dyDescent="0.25">
      <c r="A3417" s="22" t="s">
        <v>3531</v>
      </c>
      <c r="B3417" s="36">
        <v>45774.09583333333</v>
      </c>
      <c r="D3417" s="22" t="s">
        <v>39</v>
      </c>
      <c r="E3417" s="22" t="s">
        <v>57</v>
      </c>
      <c r="F3417" s="22" t="s">
        <v>40</v>
      </c>
      <c r="G3417" s="22" t="s">
        <v>63</v>
      </c>
      <c r="H3417" s="22" t="s">
        <v>67</v>
      </c>
      <c r="I3417" s="22" t="s">
        <v>123</v>
      </c>
      <c r="J3417" s="23">
        <v>4</v>
      </c>
      <c r="K3417" s="37">
        <v>0</v>
      </c>
      <c r="M3417" s="22" t="str">
        <f>IF(OR(ISBLANK(C3417),C3417=""),"",ROUND((C3417-B3417)*24,2))</f>
        <v/>
      </c>
      <c r="N3417" s="22" t="str">
        <f>IF(OR(ISBLANK(C3417),C3417="",M3417=""),"In Progress",IF(M3417&lt;=J3417,"Met","Breached"))</f>
        <v>In Progress</v>
      </c>
    </row>
    <row r="3418" ht="19" customHeight="1" spans="1:14" x14ac:dyDescent="0.25">
      <c r="A3418" s="19" t="s">
        <v>3532</v>
      </c>
      <c r="B3418" s="33">
        <v>45931.913194444445</v>
      </c>
      <c r="D3418" s="19" t="s">
        <v>42</v>
      </c>
      <c r="E3418" s="19" t="s">
        <v>65</v>
      </c>
      <c r="F3418" s="19" t="s">
        <v>37</v>
      </c>
      <c r="G3418" s="19" t="s">
        <v>126</v>
      </c>
      <c r="H3418" s="19" t="s">
        <v>63</v>
      </c>
      <c r="I3418" s="19" t="s">
        <v>111</v>
      </c>
      <c r="J3418" s="20">
        <v>48</v>
      </c>
      <c r="K3418" s="34">
        <v>0</v>
      </c>
      <c r="M3418" s="19" t="str">
        <f>IF(OR(ISBLANK(C3418),C3418=""),"",ROUND((C3418-B3418)*24,2))</f>
        <v/>
      </c>
      <c r="N3418" s="19" t="str">
        <f>IF(OR(ISBLANK(C3418),C3418="",M3418=""),"In Progress",IF(M3418&lt;=J3418,"Met","Breached"))</f>
        <v>In Progress</v>
      </c>
    </row>
    <row r="3419" ht="19" customHeight="1" spans="1:14" x14ac:dyDescent="0.25">
      <c r="A3419" s="22" t="s">
        <v>3533</v>
      </c>
      <c r="B3419" s="36">
        <v>45786.30625</v>
      </c>
      <c r="D3419" s="22" t="s">
        <v>39</v>
      </c>
      <c r="E3419" s="22" t="s">
        <v>65</v>
      </c>
      <c r="F3419" s="22" t="s">
        <v>45</v>
      </c>
      <c r="G3419" s="22" t="s">
        <v>63</v>
      </c>
      <c r="H3419" s="22" t="s">
        <v>67</v>
      </c>
      <c r="I3419" s="22" t="s">
        <v>108</v>
      </c>
      <c r="J3419" s="23">
        <v>48</v>
      </c>
      <c r="K3419" s="37">
        <v>0</v>
      </c>
      <c r="M3419" s="22" t="str">
        <f>IF(OR(ISBLANK(C3419),C3419=""),"",ROUND((C3419-B3419)*24,2))</f>
        <v/>
      </c>
      <c r="N3419" s="22" t="str">
        <f>IF(OR(ISBLANK(C3419),C3419="",M3419=""),"In Progress",IF(M3419&lt;=J3419,"Met","Breached"))</f>
        <v>In Progress</v>
      </c>
    </row>
    <row r="3420" ht="19" customHeight="1" spans="1:14" x14ac:dyDescent="0.25">
      <c r="A3420" s="19" t="s">
        <v>3534</v>
      </c>
      <c r="B3420" s="33">
        <v>46013.18194444444</v>
      </c>
      <c r="C3420" s="33">
        <v>46013.43402777778</v>
      </c>
      <c r="D3420" s="19" t="s">
        <v>33</v>
      </c>
      <c r="E3420" s="19" t="s">
        <v>57</v>
      </c>
      <c r="F3420" s="19" t="s">
        <v>45</v>
      </c>
      <c r="G3420" s="19" t="s">
        <v>113</v>
      </c>
      <c r="H3420" s="19" t="s">
        <v>63</v>
      </c>
      <c r="I3420" s="19" t="s">
        <v>117</v>
      </c>
      <c r="J3420" s="20">
        <v>4</v>
      </c>
      <c r="K3420" s="34">
        <v>0</v>
      </c>
      <c r="L3420" s="34">
        <v>4</v>
      </c>
      <c r="M3420" s="19">
        <f>IF(OR(ISBLANK(C3420),C3420=""),"",ROUND((C3420-B3420)*24,2))</f>
        <v>6.05</v>
      </c>
      <c r="N3420" s="39" t="str">
        <f>IF(OR(ISBLANK(C3420),C3420="",M3420=""),"In Progress",IF(M3420&lt;=J3420,"Met","Breached"))</f>
        <v>Breached</v>
      </c>
    </row>
    <row r="3421" ht="19" customHeight="1" spans="1:14" x14ac:dyDescent="0.25">
      <c r="A3421" s="22" t="s">
        <v>3535</v>
      </c>
      <c r="B3421" s="36">
        <v>45679.49513888889</v>
      </c>
      <c r="C3421" s="36">
        <v>45682.37013888889</v>
      </c>
      <c r="D3421" s="22" t="s">
        <v>33</v>
      </c>
      <c r="E3421" s="22" t="s">
        <v>65</v>
      </c>
      <c r="F3421" s="22" t="s">
        <v>40</v>
      </c>
      <c r="G3421" s="22" t="s">
        <v>110</v>
      </c>
      <c r="H3421" s="22" t="s">
        <v>63</v>
      </c>
      <c r="I3421" s="22" t="s">
        <v>147</v>
      </c>
      <c r="J3421" s="23">
        <v>48</v>
      </c>
      <c r="K3421" s="37">
        <v>1</v>
      </c>
      <c r="L3421" s="37">
        <v>2</v>
      </c>
      <c r="M3421" s="22">
        <f>IF(OR(ISBLANK(C3421),C3421=""),"",ROUND((C3421-B3421)*24,2))</f>
        <v>69</v>
      </c>
      <c r="N3421" s="38" t="str">
        <f>IF(OR(ISBLANK(C3421),C3421="",M3421=""),"In Progress",IF(M3421&lt;=J3421,"Met","Breached"))</f>
        <v>Breached</v>
      </c>
    </row>
    <row r="3422" ht="19" customHeight="1" spans="1:14" x14ac:dyDescent="0.25">
      <c r="A3422" s="19" t="s">
        <v>3536</v>
      </c>
      <c r="B3422" s="33">
        <v>46229.48472222222</v>
      </c>
      <c r="D3422" s="19" t="s">
        <v>39</v>
      </c>
      <c r="E3422" s="19" t="s">
        <v>65</v>
      </c>
      <c r="F3422" s="19" t="s">
        <v>40</v>
      </c>
      <c r="G3422" s="19" t="s">
        <v>113</v>
      </c>
      <c r="H3422" s="19" t="s">
        <v>63</v>
      </c>
      <c r="I3422" s="19" t="s">
        <v>117</v>
      </c>
      <c r="J3422" s="20">
        <v>48</v>
      </c>
      <c r="K3422" s="34">
        <v>0</v>
      </c>
      <c r="M3422" s="19" t="str">
        <f>IF(OR(ISBLANK(C3422),C3422=""),"",ROUND((C3422-B3422)*24,2))</f>
        <v/>
      </c>
      <c r="N3422" s="19" t="str">
        <f>IF(OR(ISBLANK(C3422),C3422="",M3422=""),"In Progress",IF(M3422&lt;=J3422,"Met","Breached"))</f>
        <v>In Progress</v>
      </c>
    </row>
    <row r="3423" ht="19" customHeight="1" spans="1:14" x14ac:dyDescent="0.25">
      <c r="A3423" s="22" t="s">
        <v>3537</v>
      </c>
      <c r="B3423" s="36">
        <v>45794.23333333334</v>
      </c>
      <c r="C3423" s="36">
        <v>45794.70833333333</v>
      </c>
      <c r="D3423" s="22" t="s">
        <v>36</v>
      </c>
      <c r="E3423" s="22" t="s">
        <v>61</v>
      </c>
      <c r="F3423" s="22" t="s">
        <v>40</v>
      </c>
      <c r="G3423" s="22" t="s">
        <v>113</v>
      </c>
      <c r="H3423" s="22" t="s">
        <v>59</v>
      </c>
      <c r="I3423" s="22" t="s">
        <v>147</v>
      </c>
      <c r="J3423" s="23">
        <v>12</v>
      </c>
      <c r="K3423" s="37">
        <v>0</v>
      </c>
      <c r="M3423" s="22">
        <f>IF(OR(ISBLANK(C3423),C3423=""),"",ROUND((C3423-B3423)*24,2))</f>
        <v>11.4</v>
      </c>
      <c r="N3423" s="40" t="str">
        <f>IF(OR(ISBLANK(C3423),C3423="",M3423=""),"In Progress",IF(M3423&lt;=J3423,"Met","Breached"))</f>
        <v>Met</v>
      </c>
    </row>
    <row r="3424" ht="19" customHeight="1" spans="1:14" x14ac:dyDescent="0.25">
      <c r="A3424" s="19" t="s">
        <v>3538</v>
      </c>
      <c r="B3424" s="33">
        <v>46113.13541666667</v>
      </c>
      <c r="C3424" s="33">
        <v>46113.6875</v>
      </c>
      <c r="D3424" s="19" t="s">
        <v>36</v>
      </c>
      <c r="E3424" s="19" t="s">
        <v>61</v>
      </c>
      <c r="F3424" s="19" t="s">
        <v>40</v>
      </c>
      <c r="G3424" s="19" t="s">
        <v>113</v>
      </c>
      <c r="H3424" s="19" t="s">
        <v>59</v>
      </c>
      <c r="I3424" s="19" t="s">
        <v>117</v>
      </c>
      <c r="J3424" s="20">
        <v>12</v>
      </c>
      <c r="K3424" s="34">
        <v>0</v>
      </c>
      <c r="L3424" s="34">
        <v>1</v>
      </c>
      <c r="M3424" s="19">
        <f>IF(OR(ISBLANK(C3424),C3424=""),"",ROUND((C3424-B3424)*24,2))</f>
        <v>13.25</v>
      </c>
      <c r="N3424" s="39" t="str">
        <f>IF(OR(ISBLANK(C3424),C3424="",M3424=""),"In Progress",IF(M3424&lt;=J3424,"Met","Breached"))</f>
        <v>Breached</v>
      </c>
    </row>
    <row r="3425" ht="19" customHeight="1" spans="1:14" x14ac:dyDescent="0.25">
      <c r="A3425" s="22" t="s">
        <v>3539</v>
      </c>
      <c r="B3425" s="36">
        <v>46143.941666666666</v>
      </c>
      <c r="C3425" s="36">
        <v>46150.77291666667</v>
      </c>
      <c r="D3425" s="22" t="s">
        <v>36</v>
      </c>
      <c r="E3425" s="22" t="s">
        <v>69</v>
      </c>
      <c r="F3425" s="22" t="s">
        <v>45</v>
      </c>
      <c r="G3425" s="22" t="s">
        <v>116</v>
      </c>
      <c r="H3425" s="22" t="s">
        <v>71</v>
      </c>
      <c r="I3425" s="22" t="s">
        <v>123</v>
      </c>
      <c r="J3425" s="23">
        <v>120</v>
      </c>
      <c r="K3425" s="37">
        <v>0</v>
      </c>
      <c r="L3425" s="37">
        <v>2</v>
      </c>
      <c r="M3425" s="22">
        <f>IF(OR(ISBLANK(C3425),C3425=""),"",ROUND((C3425-B3425)*24,2))</f>
        <v>163.95</v>
      </c>
      <c r="N3425" s="38" t="str">
        <f>IF(OR(ISBLANK(C3425),C3425="",M3425=""),"In Progress",IF(M3425&lt;=J3425,"Met","Breached"))</f>
        <v>Breached</v>
      </c>
    </row>
    <row r="3426" ht="19" customHeight="1" spans="1:14" x14ac:dyDescent="0.25">
      <c r="A3426" s="19" t="s">
        <v>3540</v>
      </c>
      <c r="B3426" s="33">
        <v>45744.85625</v>
      </c>
      <c r="C3426" s="33">
        <v>45746.10902777778</v>
      </c>
      <c r="D3426" s="19" t="s">
        <v>33</v>
      </c>
      <c r="E3426" s="19" t="s">
        <v>65</v>
      </c>
      <c r="F3426" s="19" t="s">
        <v>37</v>
      </c>
      <c r="G3426" s="19" t="s">
        <v>126</v>
      </c>
      <c r="H3426" s="19" t="s">
        <v>67</v>
      </c>
      <c r="I3426" s="19" t="s">
        <v>111</v>
      </c>
      <c r="J3426" s="20">
        <v>48</v>
      </c>
      <c r="K3426" s="34">
        <v>0</v>
      </c>
      <c r="L3426" s="34">
        <v>3</v>
      </c>
      <c r="M3426" s="19">
        <f>IF(OR(ISBLANK(C3426),C3426=""),"",ROUND((C3426-B3426)*24,2))</f>
        <v>30.07</v>
      </c>
      <c r="N3426" s="35" t="str">
        <f>IF(OR(ISBLANK(C3426),C3426="",M3426=""),"In Progress",IF(M3426&lt;=J3426,"Met","Breached"))</f>
        <v>Met</v>
      </c>
    </row>
    <row r="3427" ht="19" customHeight="1" spans="1:14" x14ac:dyDescent="0.25">
      <c r="A3427" s="22" t="s">
        <v>3541</v>
      </c>
      <c r="B3427" s="36">
        <v>46022.853472222225</v>
      </c>
      <c r="C3427" s="36">
        <v>46023.825</v>
      </c>
      <c r="D3427" s="22" t="s">
        <v>33</v>
      </c>
      <c r="E3427" s="22" t="s">
        <v>65</v>
      </c>
      <c r="F3427" s="22" t="s">
        <v>43</v>
      </c>
      <c r="G3427" s="22" t="s">
        <v>63</v>
      </c>
      <c r="H3427" s="22" t="s">
        <v>63</v>
      </c>
      <c r="I3427" s="22" t="s">
        <v>147</v>
      </c>
      <c r="J3427" s="23">
        <v>48</v>
      </c>
      <c r="K3427" s="37">
        <v>0</v>
      </c>
      <c r="L3427" s="37">
        <v>2</v>
      </c>
      <c r="M3427" s="22">
        <f>IF(OR(ISBLANK(C3427),C3427=""),"",ROUND((C3427-B3427)*24,2))</f>
        <v>23.32</v>
      </c>
      <c r="N3427" s="40" t="str">
        <f>IF(OR(ISBLANK(C3427),C3427="",M3427=""),"In Progress",IF(M3427&lt;=J3427,"Met","Breached"))</f>
        <v>Met</v>
      </c>
    </row>
    <row r="3428" ht="19" customHeight="1" spans="1:14" x14ac:dyDescent="0.25">
      <c r="A3428" s="19" t="s">
        <v>3542</v>
      </c>
      <c r="B3428" s="33">
        <v>45987.4625</v>
      </c>
      <c r="C3428" s="33">
        <v>45988.007638888885</v>
      </c>
      <c r="D3428" s="19" t="s">
        <v>33</v>
      </c>
      <c r="E3428" s="19" t="s">
        <v>61</v>
      </c>
      <c r="F3428" s="19" t="s">
        <v>43</v>
      </c>
      <c r="G3428" s="19" t="s">
        <v>116</v>
      </c>
      <c r="H3428" s="19" t="s">
        <v>67</v>
      </c>
      <c r="I3428" s="19" t="s">
        <v>114</v>
      </c>
      <c r="J3428" s="20">
        <v>12</v>
      </c>
      <c r="K3428" s="34">
        <v>0</v>
      </c>
      <c r="L3428" s="34">
        <v>1</v>
      </c>
      <c r="M3428" s="19">
        <f>IF(OR(ISBLANK(C3428),C3428=""),"",ROUND((C3428-B3428)*24,2))</f>
        <v>13.08</v>
      </c>
      <c r="N3428" s="39" t="str">
        <f>IF(OR(ISBLANK(C3428),C3428="",M3428=""),"In Progress",IF(M3428&lt;=J3428,"Met","Breached"))</f>
        <v>Breached</v>
      </c>
    </row>
    <row r="3429" ht="19" customHeight="1" spans="1:14" x14ac:dyDescent="0.25">
      <c r="A3429" s="22" t="s">
        <v>3543</v>
      </c>
      <c r="B3429" s="36">
        <v>45946.30972222222</v>
      </c>
      <c r="C3429" s="36">
        <v>45947.444444444445</v>
      </c>
      <c r="D3429" s="22" t="s">
        <v>33</v>
      </c>
      <c r="E3429" s="22" t="s">
        <v>65</v>
      </c>
      <c r="F3429" s="22" t="s">
        <v>34</v>
      </c>
      <c r="G3429" s="22" t="s">
        <v>121</v>
      </c>
      <c r="H3429" s="22" t="s">
        <v>63</v>
      </c>
      <c r="I3429" s="22" t="s">
        <v>111</v>
      </c>
      <c r="J3429" s="23">
        <v>48</v>
      </c>
      <c r="K3429" s="37">
        <v>0</v>
      </c>
      <c r="M3429" s="22">
        <f>IF(OR(ISBLANK(C3429),C3429=""),"",ROUND((C3429-B3429)*24,2))</f>
        <v>27.23</v>
      </c>
      <c r="N3429" s="40" t="str">
        <f>IF(OR(ISBLANK(C3429),C3429="",M3429=""),"In Progress",IF(M3429&lt;=J3429,"Met","Breached"))</f>
        <v>Met</v>
      </c>
    </row>
    <row r="3430" ht="19" customHeight="1" spans="1:14" x14ac:dyDescent="0.25">
      <c r="A3430" s="19" t="s">
        <v>3544</v>
      </c>
      <c r="B3430" s="33">
        <v>46251.73819444445</v>
      </c>
      <c r="C3430" s="33">
        <v>46254.788888888885</v>
      </c>
      <c r="D3430" s="19" t="s">
        <v>36</v>
      </c>
      <c r="E3430" s="19" t="s">
        <v>69</v>
      </c>
      <c r="F3430" s="19" t="s">
        <v>37</v>
      </c>
      <c r="G3430" s="19" t="s">
        <v>110</v>
      </c>
      <c r="H3430" s="19" t="s">
        <v>63</v>
      </c>
      <c r="I3430" s="19" t="s">
        <v>123</v>
      </c>
      <c r="J3430" s="20">
        <v>120</v>
      </c>
      <c r="K3430" s="34">
        <v>0</v>
      </c>
      <c r="L3430" s="34">
        <v>5</v>
      </c>
      <c r="M3430" s="19">
        <f>IF(OR(ISBLANK(C3430),C3430=""),"",ROUND((C3430-B3430)*24,2))</f>
        <v>73.22</v>
      </c>
      <c r="N3430" s="35" t="str">
        <f>IF(OR(ISBLANK(C3430),C3430="",M3430=""),"In Progress",IF(M3430&lt;=J3430,"Met","Breached"))</f>
        <v>Met</v>
      </c>
    </row>
    <row r="3431" ht="19" customHeight="1" spans="1:14" x14ac:dyDescent="0.25">
      <c r="A3431" s="22" t="s">
        <v>3545</v>
      </c>
      <c r="B3431" s="36">
        <v>45828.88055555556</v>
      </c>
      <c r="C3431" s="36">
        <v>45829.04305555555</v>
      </c>
      <c r="D3431" s="22" t="s">
        <v>33</v>
      </c>
      <c r="E3431" s="22" t="s">
        <v>61</v>
      </c>
      <c r="F3431" s="22" t="s">
        <v>45</v>
      </c>
      <c r="G3431" s="22" t="s">
        <v>121</v>
      </c>
      <c r="H3431" s="22" t="s">
        <v>63</v>
      </c>
      <c r="I3431" s="22" t="s">
        <v>114</v>
      </c>
      <c r="J3431" s="23">
        <v>12</v>
      </c>
      <c r="K3431" s="37">
        <v>0</v>
      </c>
      <c r="L3431" s="37">
        <v>5</v>
      </c>
      <c r="M3431" s="22">
        <f>IF(OR(ISBLANK(C3431),C3431=""),"",ROUND((C3431-B3431)*24,2))</f>
        <v>3.9</v>
      </c>
      <c r="N3431" s="40" t="str">
        <f>IF(OR(ISBLANK(C3431),C3431="",M3431=""),"In Progress",IF(M3431&lt;=J3431,"Met","Breached"))</f>
        <v>Met</v>
      </c>
    </row>
    <row r="3432" ht="19" customHeight="1" spans="1:14" x14ac:dyDescent="0.25">
      <c r="A3432" s="19" t="s">
        <v>3546</v>
      </c>
      <c r="B3432" s="33">
        <v>46242.20763888889</v>
      </c>
      <c r="C3432" s="33">
        <v>46243.29375</v>
      </c>
      <c r="D3432" s="19" t="s">
        <v>33</v>
      </c>
      <c r="E3432" s="19" t="s">
        <v>65</v>
      </c>
      <c r="F3432" s="19" t="s">
        <v>40</v>
      </c>
      <c r="G3432" s="19" t="s">
        <v>126</v>
      </c>
      <c r="H3432" s="19" t="s">
        <v>71</v>
      </c>
      <c r="I3432" s="19" t="s">
        <v>114</v>
      </c>
      <c r="J3432" s="20">
        <v>48</v>
      </c>
      <c r="K3432" s="34">
        <v>0</v>
      </c>
      <c r="L3432" s="34">
        <v>5</v>
      </c>
      <c r="M3432" s="19">
        <f>IF(OR(ISBLANK(C3432),C3432=""),"",ROUND((C3432-B3432)*24,2))</f>
        <v>26.07</v>
      </c>
      <c r="N3432" s="35" t="str">
        <f>IF(OR(ISBLANK(C3432),C3432="",M3432=""),"In Progress",IF(M3432&lt;=J3432,"Met","Breached"))</f>
        <v>Met</v>
      </c>
    </row>
    <row r="3433" ht="19" customHeight="1" spans="1:14" x14ac:dyDescent="0.25">
      <c r="A3433" s="22" t="s">
        <v>3547</v>
      </c>
      <c r="B3433" s="36">
        <v>46129.92013888889</v>
      </c>
      <c r="D3433" s="22" t="s">
        <v>39</v>
      </c>
      <c r="E3433" s="22" t="s">
        <v>69</v>
      </c>
      <c r="F3433" s="22" t="s">
        <v>45</v>
      </c>
      <c r="G3433" s="22" t="s">
        <v>121</v>
      </c>
      <c r="H3433" s="22" t="s">
        <v>71</v>
      </c>
      <c r="I3433" s="22" t="s">
        <v>123</v>
      </c>
      <c r="J3433" s="23">
        <v>120</v>
      </c>
      <c r="K3433" s="37">
        <v>0</v>
      </c>
      <c r="M3433" s="22" t="str">
        <f>IF(OR(ISBLANK(C3433),C3433=""),"",ROUND((C3433-B3433)*24,2))</f>
        <v/>
      </c>
      <c r="N3433" s="22" t="str">
        <f>IF(OR(ISBLANK(C3433),C3433="",M3433=""),"In Progress",IF(M3433&lt;=J3433,"Met","Breached"))</f>
        <v>In Progress</v>
      </c>
    </row>
    <row r="3434" ht="19" customHeight="1" spans="1:14" x14ac:dyDescent="0.25">
      <c r="A3434" s="19" t="s">
        <v>3548</v>
      </c>
      <c r="B3434" s="33">
        <v>45805.643055555556</v>
      </c>
      <c r="D3434" s="19" t="s">
        <v>39</v>
      </c>
      <c r="E3434" s="19" t="s">
        <v>69</v>
      </c>
      <c r="F3434" s="19" t="s">
        <v>45</v>
      </c>
      <c r="G3434" s="19" t="s">
        <v>63</v>
      </c>
      <c r="H3434" s="19" t="s">
        <v>63</v>
      </c>
      <c r="I3434" s="19" t="s">
        <v>117</v>
      </c>
      <c r="J3434" s="20">
        <v>120</v>
      </c>
      <c r="K3434" s="34">
        <v>0</v>
      </c>
      <c r="M3434" s="19" t="str">
        <f>IF(OR(ISBLANK(C3434),C3434=""),"",ROUND((C3434-B3434)*24,2))</f>
        <v/>
      </c>
      <c r="N3434" s="19" t="str">
        <f>IF(OR(ISBLANK(C3434),C3434="",M3434=""),"In Progress",IF(M3434&lt;=J3434,"Met","Breached"))</f>
        <v>In Progress</v>
      </c>
    </row>
    <row r="3435" ht="19" customHeight="1" spans="1:14" x14ac:dyDescent="0.25">
      <c r="A3435" s="22" t="s">
        <v>3549</v>
      </c>
      <c r="B3435" s="36">
        <v>45784.37430555555</v>
      </c>
      <c r="C3435" s="36">
        <v>45787.93125</v>
      </c>
      <c r="D3435" s="22" t="s">
        <v>33</v>
      </c>
      <c r="E3435" s="22" t="s">
        <v>69</v>
      </c>
      <c r="F3435" s="22" t="s">
        <v>37</v>
      </c>
      <c r="G3435" s="22" t="s">
        <v>121</v>
      </c>
      <c r="H3435" s="22" t="s">
        <v>59</v>
      </c>
      <c r="I3435" s="22" t="s">
        <v>108</v>
      </c>
      <c r="J3435" s="23">
        <v>120</v>
      </c>
      <c r="K3435" s="37">
        <v>0</v>
      </c>
      <c r="L3435" s="37">
        <v>2</v>
      </c>
      <c r="M3435" s="22">
        <f>IF(OR(ISBLANK(C3435),C3435=""),"",ROUND((C3435-B3435)*24,2))</f>
        <v>85.37</v>
      </c>
      <c r="N3435" s="40" t="str">
        <f>IF(OR(ISBLANK(C3435),C3435="",M3435=""),"In Progress",IF(M3435&lt;=J3435,"Met","Breached"))</f>
        <v>Met</v>
      </c>
    </row>
    <row r="3436" ht="19" customHeight="1" spans="1:14" x14ac:dyDescent="0.25">
      <c r="A3436" s="19" t="s">
        <v>3550</v>
      </c>
      <c r="B3436" s="33">
        <v>45697.27777777778</v>
      </c>
      <c r="D3436" s="19" t="s">
        <v>42</v>
      </c>
      <c r="E3436" s="19" t="s">
        <v>69</v>
      </c>
      <c r="F3436" s="19" t="s">
        <v>40</v>
      </c>
      <c r="G3436" s="19" t="s">
        <v>126</v>
      </c>
      <c r="H3436" s="19" t="s">
        <v>59</v>
      </c>
      <c r="I3436" s="19" t="s">
        <v>123</v>
      </c>
      <c r="J3436" s="20">
        <v>120</v>
      </c>
      <c r="K3436" s="34">
        <v>0</v>
      </c>
      <c r="M3436" s="19" t="str">
        <f>IF(OR(ISBLANK(C3436),C3436=""),"",ROUND((C3436-B3436)*24,2))</f>
        <v/>
      </c>
      <c r="N3436" s="19" t="str">
        <f>IF(OR(ISBLANK(C3436),C3436="",M3436=""),"In Progress",IF(M3436&lt;=J3436,"Met","Breached"))</f>
        <v>In Progress</v>
      </c>
    </row>
    <row r="3437" ht="19" customHeight="1" spans="1:14" x14ac:dyDescent="0.25">
      <c r="A3437" s="22" t="s">
        <v>3551</v>
      </c>
      <c r="B3437" s="36">
        <v>46186.66805555555</v>
      </c>
      <c r="C3437" s="36">
        <v>46187.055555555555</v>
      </c>
      <c r="D3437" s="22" t="s">
        <v>33</v>
      </c>
      <c r="E3437" s="22" t="s">
        <v>61</v>
      </c>
      <c r="F3437" s="22" t="s">
        <v>43</v>
      </c>
      <c r="G3437" s="22" t="s">
        <v>110</v>
      </c>
      <c r="H3437" s="22" t="s">
        <v>59</v>
      </c>
      <c r="I3437" s="22" t="s">
        <v>147</v>
      </c>
      <c r="J3437" s="23">
        <v>12</v>
      </c>
      <c r="K3437" s="37">
        <v>0</v>
      </c>
      <c r="M3437" s="22">
        <f>IF(OR(ISBLANK(C3437),C3437=""),"",ROUND((C3437-B3437)*24,2))</f>
        <v>9.3</v>
      </c>
      <c r="N3437" s="40" t="str">
        <f>IF(OR(ISBLANK(C3437),C3437="",M3437=""),"In Progress",IF(M3437&lt;=J3437,"Met","Breached"))</f>
        <v>Met</v>
      </c>
    </row>
    <row r="3438" ht="19" customHeight="1" spans="1:14" x14ac:dyDescent="0.25">
      <c r="A3438" s="19" t="s">
        <v>3552</v>
      </c>
      <c r="B3438" s="33">
        <v>45802.92847222222</v>
      </c>
      <c r="C3438" s="33">
        <v>45803.461111111115</v>
      </c>
      <c r="D3438" s="19" t="s">
        <v>36</v>
      </c>
      <c r="E3438" s="19" t="s">
        <v>61</v>
      </c>
      <c r="F3438" s="19" t="s">
        <v>45</v>
      </c>
      <c r="G3438" s="19" t="s">
        <v>126</v>
      </c>
      <c r="H3438" s="19" t="s">
        <v>59</v>
      </c>
      <c r="I3438" s="19" t="s">
        <v>108</v>
      </c>
      <c r="J3438" s="20">
        <v>12</v>
      </c>
      <c r="K3438" s="34">
        <v>0</v>
      </c>
      <c r="L3438" s="34">
        <v>2</v>
      </c>
      <c r="M3438" s="19">
        <f>IF(OR(ISBLANK(C3438),C3438=""),"",ROUND((C3438-B3438)*24,2))</f>
        <v>12.78</v>
      </c>
      <c r="N3438" s="39" t="str">
        <f>IF(OR(ISBLANK(C3438),C3438="",M3438=""),"In Progress",IF(M3438&lt;=J3438,"Met","Breached"))</f>
        <v>Breached</v>
      </c>
    </row>
    <row r="3439" ht="19" customHeight="1" spans="1:14" x14ac:dyDescent="0.25">
      <c r="A3439" s="22" t="s">
        <v>3553</v>
      </c>
      <c r="B3439" s="36">
        <v>45797.881944444445</v>
      </c>
      <c r="C3439" s="36">
        <v>45797.99930555555</v>
      </c>
      <c r="D3439" s="22" t="s">
        <v>36</v>
      </c>
      <c r="E3439" s="22" t="s">
        <v>57</v>
      </c>
      <c r="F3439" s="22" t="s">
        <v>45</v>
      </c>
      <c r="G3439" s="22" t="s">
        <v>110</v>
      </c>
      <c r="H3439" s="22" t="s">
        <v>63</v>
      </c>
      <c r="I3439" s="22" t="s">
        <v>147</v>
      </c>
      <c r="J3439" s="23">
        <v>4</v>
      </c>
      <c r="K3439" s="37">
        <v>0</v>
      </c>
      <c r="L3439" s="37">
        <v>2</v>
      </c>
      <c r="M3439" s="22">
        <f>IF(OR(ISBLANK(C3439),C3439=""),"",ROUND((C3439-B3439)*24,2))</f>
        <v>2.82</v>
      </c>
      <c r="N3439" s="40" t="str">
        <f>IF(OR(ISBLANK(C3439),C3439="",M3439=""),"In Progress",IF(M3439&lt;=J3439,"Met","Breached"))</f>
        <v>Met</v>
      </c>
    </row>
    <row r="3440" ht="19" customHeight="1" spans="1:14" x14ac:dyDescent="0.25">
      <c r="A3440" s="19" t="s">
        <v>3554</v>
      </c>
      <c r="B3440" s="33">
        <v>46212.59444444445</v>
      </c>
      <c r="C3440" s="33">
        <v>46216.26736111111</v>
      </c>
      <c r="D3440" s="19" t="s">
        <v>33</v>
      </c>
      <c r="E3440" s="19" t="s">
        <v>69</v>
      </c>
      <c r="F3440" s="19" t="s">
        <v>37</v>
      </c>
      <c r="G3440" s="19" t="s">
        <v>113</v>
      </c>
      <c r="H3440" s="19" t="s">
        <v>59</v>
      </c>
      <c r="I3440" s="19" t="s">
        <v>147</v>
      </c>
      <c r="J3440" s="20">
        <v>120</v>
      </c>
      <c r="K3440" s="34">
        <v>0</v>
      </c>
      <c r="M3440" s="19">
        <f>IF(OR(ISBLANK(C3440),C3440=""),"",ROUND((C3440-B3440)*24,2))</f>
        <v>88.15</v>
      </c>
      <c r="N3440" s="35" t="str">
        <f>IF(OR(ISBLANK(C3440),C3440="",M3440=""),"In Progress",IF(M3440&lt;=J3440,"Met","Breached"))</f>
        <v>Met</v>
      </c>
    </row>
    <row r="3441" ht="19" customHeight="1" spans="1:14" x14ac:dyDescent="0.25">
      <c r="A3441" s="22" t="s">
        <v>3555</v>
      </c>
      <c r="B3441" s="36">
        <v>45710.81319444445</v>
      </c>
      <c r="D3441" s="22" t="s">
        <v>39</v>
      </c>
      <c r="E3441" s="22" t="s">
        <v>65</v>
      </c>
      <c r="F3441" s="22" t="s">
        <v>43</v>
      </c>
      <c r="G3441" s="22" t="s">
        <v>113</v>
      </c>
      <c r="H3441" s="22" t="s">
        <v>71</v>
      </c>
      <c r="I3441" s="22" t="s">
        <v>117</v>
      </c>
      <c r="J3441" s="23">
        <v>48</v>
      </c>
      <c r="K3441" s="37">
        <v>0</v>
      </c>
      <c r="M3441" s="22" t="str">
        <f>IF(OR(ISBLANK(C3441),C3441=""),"",ROUND((C3441-B3441)*24,2))</f>
        <v/>
      </c>
      <c r="N3441" s="22" t="str">
        <f>IF(OR(ISBLANK(C3441),C3441="",M3441=""),"In Progress",IF(M3441&lt;=J3441,"Met","Breached"))</f>
        <v>In Progress</v>
      </c>
    </row>
    <row r="3442" ht="19" customHeight="1" spans="1:14" x14ac:dyDescent="0.25">
      <c r="A3442" s="19" t="s">
        <v>3556</v>
      </c>
      <c r="B3442" s="33">
        <v>46069.2375</v>
      </c>
      <c r="D3442" s="19" t="s">
        <v>39</v>
      </c>
      <c r="E3442" s="19" t="s">
        <v>69</v>
      </c>
      <c r="F3442" s="19" t="s">
        <v>34</v>
      </c>
      <c r="G3442" s="19" t="s">
        <v>113</v>
      </c>
      <c r="H3442" s="19" t="s">
        <v>59</v>
      </c>
      <c r="I3442" s="19" t="s">
        <v>114</v>
      </c>
      <c r="J3442" s="20">
        <v>120</v>
      </c>
      <c r="K3442" s="34">
        <v>0</v>
      </c>
      <c r="M3442" s="19" t="str">
        <f>IF(OR(ISBLANK(C3442),C3442=""),"",ROUND((C3442-B3442)*24,2))</f>
        <v/>
      </c>
      <c r="N3442" s="19" t="str">
        <f>IF(OR(ISBLANK(C3442),C3442="",M3442=""),"In Progress",IF(M3442&lt;=J3442,"Met","Breached"))</f>
        <v>In Progress</v>
      </c>
    </row>
    <row r="3443" ht="19" customHeight="1" spans="1:14" x14ac:dyDescent="0.25">
      <c r="A3443" s="22" t="s">
        <v>3557</v>
      </c>
      <c r="B3443" s="36">
        <v>46091.513194444444</v>
      </c>
      <c r="C3443" s="36">
        <v>46093.461805555555</v>
      </c>
      <c r="D3443" s="22" t="s">
        <v>33</v>
      </c>
      <c r="E3443" s="22" t="s">
        <v>65</v>
      </c>
      <c r="F3443" s="22" t="s">
        <v>34</v>
      </c>
      <c r="G3443" s="22" t="s">
        <v>113</v>
      </c>
      <c r="H3443" s="22" t="s">
        <v>59</v>
      </c>
      <c r="I3443" s="22" t="s">
        <v>114</v>
      </c>
      <c r="J3443" s="23">
        <v>48</v>
      </c>
      <c r="K3443" s="37">
        <v>0</v>
      </c>
      <c r="L3443" s="37">
        <v>3</v>
      </c>
      <c r="M3443" s="22">
        <f>IF(OR(ISBLANK(C3443),C3443=""),"",ROUND((C3443-B3443)*24,2))</f>
        <v>46.77</v>
      </c>
      <c r="N3443" s="40" t="str">
        <f>IF(OR(ISBLANK(C3443),C3443="",M3443=""),"In Progress",IF(M3443&lt;=J3443,"Met","Breached"))</f>
        <v>Met</v>
      </c>
    </row>
    <row r="3444" ht="19" customHeight="1" spans="1:14" x14ac:dyDescent="0.25">
      <c r="A3444" s="19" t="s">
        <v>3558</v>
      </c>
      <c r="B3444" s="33">
        <v>46003.8625</v>
      </c>
      <c r="C3444" s="33">
        <v>46004.96527777778</v>
      </c>
      <c r="D3444" s="19" t="s">
        <v>33</v>
      </c>
      <c r="E3444" s="19" t="s">
        <v>65</v>
      </c>
      <c r="F3444" s="19" t="s">
        <v>40</v>
      </c>
      <c r="G3444" s="19" t="s">
        <v>116</v>
      </c>
      <c r="H3444" s="19" t="s">
        <v>67</v>
      </c>
      <c r="I3444" s="19" t="s">
        <v>114</v>
      </c>
      <c r="J3444" s="20">
        <v>48</v>
      </c>
      <c r="K3444" s="34">
        <v>0</v>
      </c>
      <c r="M3444" s="19">
        <f>IF(OR(ISBLANK(C3444),C3444=""),"",ROUND((C3444-B3444)*24,2))</f>
        <v>26.47</v>
      </c>
      <c r="N3444" s="35" t="str">
        <f>IF(OR(ISBLANK(C3444),C3444="",M3444=""),"In Progress",IF(M3444&lt;=J3444,"Met","Breached"))</f>
        <v>Met</v>
      </c>
    </row>
    <row r="3445" ht="19" customHeight="1" spans="1:14" x14ac:dyDescent="0.25">
      <c r="A3445" s="22" t="s">
        <v>3559</v>
      </c>
      <c r="B3445" s="36">
        <v>46164.43194444444</v>
      </c>
      <c r="C3445" s="36">
        <v>46164.51597222222</v>
      </c>
      <c r="D3445" s="22" t="s">
        <v>33</v>
      </c>
      <c r="E3445" s="22" t="s">
        <v>57</v>
      </c>
      <c r="F3445" s="22" t="s">
        <v>43</v>
      </c>
      <c r="G3445" s="22" t="s">
        <v>126</v>
      </c>
      <c r="H3445" s="22" t="s">
        <v>63</v>
      </c>
      <c r="I3445" s="22" t="s">
        <v>123</v>
      </c>
      <c r="J3445" s="23">
        <v>4</v>
      </c>
      <c r="K3445" s="37">
        <v>0</v>
      </c>
      <c r="L3445" s="37">
        <v>4</v>
      </c>
      <c r="M3445" s="22">
        <f>IF(OR(ISBLANK(C3445),C3445=""),"",ROUND((C3445-B3445)*24,2))</f>
        <v>2.02</v>
      </c>
      <c r="N3445" s="40" t="str">
        <f>IF(OR(ISBLANK(C3445),C3445="",M3445=""),"In Progress",IF(M3445&lt;=J3445,"Met","Breached"))</f>
        <v>Met</v>
      </c>
    </row>
    <row r="3446" ht="19" customHeight="1" spans="1:14" x14ac:dyDescent="0.25">
      <c r="A3446" s="19" t="s">
        <v>3560</v>
      </c>
      <c r="B3446" s="33">
        <v>45729.48055555555</v>
      </c>
      <c r="C3446" s="33">
        <v>45732.523611111115</v>
      </c>
      <c r="D3446" s="19" t="s">
        <v>36</v>
      </c>
      <c r="E3446" s="19" t="s">
        <v>65</v>
      </c>
      <c r="F3446" s="19" t="s">
        <v>45</v>
      </c>
      <c r="G3446" s="19" t="s">
        <v>121</v>
      </c>
      <c r="H3446" s="19" t="s">
        <v>59</v>
      </c>
      <c r="I3446" s="19" t="s">
        <v>123</v>
      </c>
      <c r="J3446" s="20">
        <v>48</v>
      </c>
      <c r="K3446" s="34">
        <v>1</v>
      </c>
      <c r="M3446" s="19">
        <f>IF(OR(ISBLANK(C3446),C3446=""),"",ROUND((C3446-B3446)*24,2))</f>
        <v>73.03</v>
      </c>
      <c r="N3446" s="39" t="str">
        <f>IF(OR(ISBLANK(C3446),C3446="",M3446=""),"In Progress",IF(M3446&lt;=J3446,"Met","Breached"))</f>
        <v>Breached</v>
      </c>
    </row>
    <row r="3447" ht="19" customHeight="1" spans="1:14" x14ac:dyDescent="0.25">
      <c r="A3447" s="22" t="s">
        <v>3561</v>
      </c>
      <c r="B3447" s="36">
        <v>46220.820138888885</v>
      </c>
      <c r="C3447" s="36">
        <v>46221.63958333334</v>
      </c>
      <c r="D3447" s="22" t="s">
        <v>33</v>
      </c>
      <c r="E3447" s="22" t="s">
        <v>65</v>
      </c>
      <c r="F3447" s="22" t="s">
        <v>43</v>
      </c>
      <c r="G3447" s="22" t="s">
        <v>121</v>
      </c>
      <c r="H3447" s="22" t="s">
        <v>59</v>
      </c>
      <c r="I3447" s="22" t="s">
        <v>111</v>
      </c>
      <c r="J3447" s="23">
        <v>48</v>
      </c>
      <c r="K3447" s="37">
        <v>0</v>
      </c>
      <c r="M3447" s="22">
        <f>IF(OR(ISBLANK(C3447),C3447=""),"",ROUND((C3447-B3447)*24,2))</f>
        <v>19.67</v>
      </c>
      <c r="N3447" s="40" t="str">
        <f>IF(OR(ISBLANK(C3447),C3447="",M3447=""),"In Progress",IF(M3447&lt;=J3447,"Met","Breached"))</f>
        <v>Met</v>
      </c>
    </row>
    <row r="3448" ht="19" customHeight="1" spans="1:14" x14ac:dyDescent="0.25">
      <c r="A3448" s="19" t="s">
        <v>3562</v>
      </c>
      <c r="B3448" s="33">
        <v>45932.55763888889</v>
      </c>
      <c r="D3448" s="19" t="s">
        <v>39</v>
      </c>
      <c r="E3448" s="19" t="s">
        <v>65</v>
      </c>
      <c r="F3448" s="19" t="s">
        <v>40</v>
      </c>
      <c r="G3448" s="19" t="s">
        <v>121</v>
      </c>
      <c r="H3448" s="19" t="s">
        <v>59</v>
      </c>
      <c r="I3448" s="19" t="s">
        <v>114</v>
      </c>
      <c r="J3448" s="20">
        <v>48</v>
      </c>
      <c r="K3448" s="34">
        <v>0</v>
      </c>
      <c r="M3448" s="19" t="str">
        <f>IF(OR(ISBLANK(C3448),C3448=""),"",ROUND((C3448-B3448)*24,2))</f>
        <v/>
      </c>
      <c r="N3448" s="19" t="str">
        <f>IF(OR(ISBLANK(C3448),C3448="",M3448=""),"In Progress",IF(M3448&lt;=J3448,"Met","Breached"))</f>
        <v>In Progress</v>
      </c>
    </row>
    <row r="3449" ht="19" customHeight="1" spans="1:14" x14ac:dyDescent="0.25">
      <c r="A3449" s="22" t="s">
        <v>3563</v>
      </c>
      <c r="B3449" s="36">
        <v>45710.85833333334</v>
      </c>
      <c r="C3449" s="36">
        <v>45711.11944444444</v>
      </c>
      <c r="D3449" s="22" t="s">
        <v>33</v>
      </c>
      <c r="E3449" s="22" t="s">
        <v>57</v>
      </c>
      <c r="F3449" s="22" t="s">
        <v>37</v>
      </c>
      <c r="G3449" s="22" t="s">
        <v>110</v>
      </c>
      <c r="H3449" s="22" t="s">
        <v>59</v>
      </c>
      <c r="I3449" s="22" t="s">
        <v>108</v>
      </c>
      <c r="J3449" s="23">
        <v>4</v>
      </c>
      <c r="K3449" s="37">
        <v>0</v>
      </c>
      <c r="L3449" s="37">
        <v>4</v>
      </c>
      <c r="M3449" s="22">
        <f>IF(OR(ISBLANK(C3449),C3449=""),"",ROUND((C3449-B3449)*24,2))</f>
        <v>6.27</v>
      </c>
      <c r="N3449" s="38" t="str">
        <f>IF(OR(ISBLANK(C3449),C3449="",M3449=""),"In Progress",IF(M3449&lt;=J3449,"Met","Breached"))</f>
        <v>Breached</v>
      </c>
    </row>
    <row r="3450" ht="19" customHeight="1" spans="1:14" x14ac:dyDescent="0.25">
      <c r="A3450" s="19" t="s">
        <v>3564</v>
      </c>
      <c r="B3450" s="33">
        <v>46268.90625</v>
      </c>
      <c r="C3450" s="33">
        <v>46271.27777777778</v>
      </c>
      <c r="D3450" s="19" t="s">
        <v>33</v>
      </c>
      <c r="E3450" s="19" t="s">
        <v>65</v>
      </c>
      <c r="F3450" s="19" t="s">
        <v>45</v>
      </c>
      <c r="G3450" s="19" t="s">
        <v>116</v>
      </c>
      <c r="H3450" s="19" t="s">
        <v>63</v>
      </c>
      <c r="I3450" s="19" t="s">
        <v>123</v>
      </c>
      <c r="J3450" s="20">
        <v>48</v>
      </c>
      <c r="K3450" s="34">
        <v>0</v>
      </c>
      <c r="L3450" s="34">
        <v>3</v>
      </c>
      <c r="M3450" s="19">
        <f>IF(OR(ISBLANK(C3450),C3450=""),"",ROUND((C3450-B3450)*24,2))</f>
        <v>56.92</v>
      </c>
      <c r="N3450" s="39" t="str">
        <f>IF(OR(ISBLANK(C3450),C3450="",M3450=""),"In Progress",IF(M3450&lt;=J3450,"Met","Breached"))</f>
        <v>Breached</v>
      </c>
    </row>
    <row r="3451" ht="19" customHeight="1" spans="1:14" x14ac:dyDescent="0.25">
      <c r="A3451" s="22" t="s">
        <v>3565</v>
      </c>
      <c r="B3451" s="36">
        <v>46109.13958333334</v>
      </c>
      <c r="C3451" s="36">
        <v>46112.51041666667</v>
      </c>
      <c r="D3451" s="22" t="s">
        <v>33</v>
      </c>
      <c r="E3451" s="22" t="s">
        <v>69</v>
      </c>
      <c r="F3451" s="22" t="s">
        <v>45</v>
      </c>
      <c r="G3451" s="22" t="s">
        <v>113</v>
      </c>
      <c r="H3451" s="22" t="s">
        <v>63</v>
      </c>
      <c r="I3451" s="22" t="s">
        <v>117</v>
      </c>
      <c r="J3451" s="23">
        <v>120</v>
      </c>
      <c r="K3451" s="37">
        <v>0</v>
      </c>
      <c r="L3451" s="37">
        <v>4</v>
      </c>
      <c r="M3451" s="22">
        <f>IF(OR(ISBLANK(C3451),C3451=""),"",ROUND((C3451-B3451)*24,2))</f>
        <v>80.9</v>
      </c>
      <c r="N3451" s="40" t="str">
        <f>IF(OR(ISBLANK(C3451),C3451="",M3451=""),"In Progress",IF(M3451&lt;=J3451,"Met","Breached"))</f>
        <v>Met</v>
      </c>
    </row>
    <row r="3452" ht="19" customHeight="1" spans="1:14" x14ac:dyDescent="0.25">
      <c r="A3452" s="19" t="s">
        <v>3566</v>
      </c>
      <c r="B3452" s="33">
        <v>46273.370833333334</v>
      </c>
      <c r="C3452" s="33">
        <v>46273.95694444445</v>
      </c>
      <c r="D3452" s="19" t="s">
        <v>36</v>
      </c>
      <c r="E3452" s="19" t="s">
        <v>61</v>
      </c>
      <c r="F3452" s="19" t="s">
        <v>34</v>
      </c>
      <c r="G3452" s="19" t="s">
        <v>121</v>
      </c>
      <c r="H3452" s="19" t="s">
        <v>63</v>
      </c>
      <c r="I3452" s="19" t="s">
        <v>111</v>
      </c>
      <c r="J3452" s="20">
        <v>12</v>
      </c>
      <c r="K3452" s="34">
        <v>0</v>
      </c>
      <c r="L3452" s="34">
        <v>1</v>
      </c>
      <c r="M3452" s="19">
        <f>IF(OR(ISBLANK(C3452),C3452=""),"",ROUND((C3452-B3452)*24,2))</f>
        <v>14.07</v>
      </c>
      <c r="N3452" s="39" t="str">
        <f>IF(OR(ISBLANK(C3452),C3452="",M3452=""),"In Progress",IF(M3452&lt;=J3452,"Met","Breached"))</f>
        <v>Breached</v>
      </c>
    </row>
    <row r="3453" ht="19" customHeight="1" spans="1:14" x14ac:dyDescent="0.25">
      <c r="A3453" s="22" t="s">
        <v>3567</v>
      </c>
      <c r="B3453" s="36">
        <v>45978.603472222225</v>
      </c>
      <c r="C3453" s="36">
        <v>45981.17916666667</v>
      </c>
      <c r="D3453" s="22" t="s">
        <v>33</v>
      </c>
      <c r="E3453" s="22" t="s">
        <v>65</v>
      </c>
      <c r="F3453" s="22" t="s">
        <v>37</v>
      </c>
      <c r="G3453" s="22" t="s">
        <v>113</v>
      </c>
      <c r="H3453" s="22" t="s">
        <v>63</v>
      </c>
      <c r="I3453" s="22" t="s">
        <v>147</v>
      </c>
      <c r="J3453" s="23">
        <v>48</v>
      </c>
      <c r="K3453" s="37">
        <v>0</v>
      </c>
      <c r="L3453" s="37">
        <v>3</v>
      </c>
      <c r="M3453" s="22">
        <f>IF(OR(ISBLANK(C3453),C3453=""),"",ROUND((C3453-B3453)*24,2))</f>
        <v>61.82</v>
      </c>
      <c r="N3453" s="38" t="str">
        <f>IF(OR(ISBLANK(C3453),C3453="",M3453=""),"In Progress",IF(M3453&lt;=J3453,"Met","Breached"))</f>
        <v>Breached</v>
      </c>
    </row>
    <row r="3454" ht="19" customHeight="1" spans="1:14" x14ac:dyDescent="0.25">
      <c r="A3454" s="19" t="s">
        <v>3568</v>
      </c>
      <c r="B3454" s="33">
        <v>45962.04236111111</v>
      </c>
      <c r="C3454" s="33">
        <v>45966.29791666666</v>
      </c>
      <c r="D3454" s="19" t="s">
        <v>33</v>
      </c>
      <c r="E3454" s="19" t="s">
        <v>69</v>
      </c>
      <c r="F3454" s="19" t="s">
        <v>34</v>
      </c>
      <c r="G3454" s="19" t="s">
        <v>113</v>
      </c>
      <c r="H3454" s="19" t="s">
        <v>71</v>
      </c>
      <c r="I3454" s="19" t="s">
        <v>111</v>
      </c>
      <c r="J3454" s="20">
        <v>120</v>
      </c>
      <c r="K3454" s="34">
        <v>0</v>
      </c>
      <c r="M3454" s="19">
        <f>IF(OR(ISBLANK(C3454),C3454=""),"",ROUND((C3454-B3454)*24,2))</f>
        <v>102.13</v>
      </c>
      <c r="N3454" s="35" t="str">
        <f>IF(OR(ISBLANK(C3454),C3454="",M3454=""),"In Progress",IF(M3454&lt;=J3454,"Met","Breached"))</f>
        <v>Met</v>
      </c>
    </row>
    <row r="3455" ht="19" customHeight="1" spans="1:14" x14ac:dyDescent="0.25">
      <c r="A3455" s="22" t="s">
        <v>3569</v>
      </c>
      <c r="B3455" s="36">
        <v>46110.896527777775</v>
      </c>
      <c r="C3455" s="36">
        <v>46112.51875</v>
      </c>
      <c r="D3455" s="22" t="s">
        <v>36</v>
      </c>
      <c r="E3455" s="22" t="s">
        <v>65</v>
      </c>
      <c r="F3455" s="22" t="s">
        <v>37</v>
      </c>
      <c r="G3455" s="22" t="s">
        <v>110</v>
      </c>
      <c r="H3455" s="22" t="s">
        <v>59</v>
      </c>
      <c r="I3455" s="22" t="s">
        <v>117</v>
      </c>
      <c r="J3455" s="23">
        <v>48</v>
      </c>
      <c r="K3455" s="37">
        <v>0</v>
      </c>
      <c r="L3455" s="37">
        <v>3</v>
      </c>
      <c r="M3455" s="22">
        <f>IF(OR(ISBLANK(C3455),C3455=""),"",ROUND((C3455-B3455)*24,2))</f>
        <v>38.93</v>
      </c>
      <c r="N3455" s="40" t="str">
        <f>IF(OR(ISBLANK(C3455),C3455="",M3455=""),"In Progress",IF(M3455&lt;=J3455,"Met","Breached"))</f>
        <v>Met</v>
      </c>
    </row>
    <row r="3456" ht="19" customHeight="1" spans="1:14" x14ac:dyDescent="0.25">
      <c r="A3456" s="19" t="s">
        <v>3570</v>
      </c>
      <c r="B3456" s="33">
        <v>45924.649305555555</v>
      </c>
      <c r="C3456" s="33">
        <v>45924.81180555555</v>
      </c>
      <c r="D3456" s="19" t="s">
        <v>33</v>
      </c>
      <c r="E3456" s="19" t="s">
        <v>57</v>
      </c>
      <c r="F3456" s="19" t="s">
        <v>43</v>
      </c>
      <c r="G3456" s="19" t="s">
        <v>113</v>
      </c>
      <c r="H3456" s="19" t="s">
        <v>63</v>
      </c>
      <c r="I3456" s="19" t="s">
        <v>147</v>
      </c>
      <c r="J3456" s="20">
        <v>4</v>
      </c>
      <c r="K3456" s="34">
        <v>0</v>
      </c>
      <c r="L3456" s="34">
        <v>1</v>
      </c>
      <c r="M3456" s="19">
        <f>IF(OR(ISBLANK(C3456),C3456=""),"",ROUND((C3456-B3456)*24,2))</f>
        <v>3.9</v>
      </c>
      <c r="N3456" s="35" t="str">
        <f>IF(OR(ISBLANK(C3456),C3456="",M3456=""),"In Progress",IF(M3456&lt;=J3456,"Met","Breached"))</f>
        <v>Met</v>
      </c>
    </row>
    <row r="3457" ht="19" customHeight="1" spans="1:14" x14ac:dyDescent="0.25">
      <c r="A3457" s="22" t="s">
        <v>3571</v>
      </c>
      <c r="B3457" s="36">
        <v>45902.28125</v>
      </c>
      <c r="D3457" s="22" t="s">
        <v>39</v>
      </c>
      <c r="E3457" s="22" t="s">
        <v>65</v>
      </c>
      <c r="F3457" s="22" t="s">
        <v>45</v>
      </c>
      <c r="G3457" s="22" t="s">
        <v>110</v>
      </c>
      <c r="H3457" s="22" t="s">
        <v>59</v>
      </c>
      <c r="I3457" s="22" t="s">
        <v>123</v>
      </c>
      <c r="J3457" s="23">
        <v>48</v>
      </c>
      <c r="K3457" s="37">
        <v>0</v>
      </c>
      <c r="M3457" s="22" t="str">
        <f>IF(OR(ISBLANK(C3457),C3457=""),"",ROUND((C3457-B3457)*24,2))</f>
        <v/>
      </c>
      <c r="N3457" s="22" t="str">
        <f>IF(OR(ISBLANK(C3457),C3457="",M3457=""),"In Progress",IF(M3457&lt;=J3457,"Met","Breached"))</f>
        <v>In Progress</v>
      </c>
    </row>
    <row r="3458" ht="19" customHeight="1" spans="1:14" x14ac:dyDescent="0.25">
      <c r="A3458" s="19" t="s">
        <v>3572</v>
      </c>
      <c r="B3458" s="33">
        <v>45831.18402777778</v>
      </c>
      <c r="C3458" s="33">
        <v>45831.68541666667</v>
      </c>
      <c r="D3458" s="19" t="s">
        <v>33</v>
      </c>
      <c r="E3458" s="19" t="s">
        <v>61</v>
      </c>
      <c r="F3458" s="19" t="s">
        <v>40</v>
      </c>
      <c r="G3458" s="19" t="s">
        <v>63</v>
      </c>
      <c r="H3458" s="19" t="s">
        <v>63</v>
      </c>
      <c r="I3458" s="19" t="s">
        <v>147</v>
      </c>
      <c r="J3458" s="20">
        <v>12</v>
      </c>
      <c r="K3458" s="34">
        <v>0</v>
      </c>
      <c r="M3458" s="19">
        <f>IF(OR(ISBLANK(C3458),C3458=""),"",ROUND((C3458-B3458)*24,2))</f>
        <v>12.03</v>
      </c>
      <c r="N3458" s="39" t="str">
        <f>IF(OR(ISBLANK(C3458),C3458="",M3458=""),"In Progress",IF(M3458&lt;=J3458,"Met","Breached"))</f>
        <v>Breached</v>
      </c>
    </row>
    <row r="3459" ht="19" customHeight="1" spans="1:14" x14ac:dyDescent="0.25">
      <c r="A3459" s="22" t="s">
        <v>3573</v>
      </c>
      <c r="B3459" s="36">
        <v>46226.225694444445</v>
      </c>
      <c r="D3459" s="22" t="s">
        <v>39</v>
      </c>
      <c r="E3459" s="22" t="s">
        <v>57</v>
      </c>
      <c r="F3459" s="22" t="s">
        <v>40</v>
      </c>
      <c r="G3459" s="22" t="s">
        <v>126</v>
      </c>
      <c r="H3459" s="22" t="s">
        <v>59</v>
      </c>
      <c r="I3459" s="22" t="s">
        <v>108</v>
      </c>
      <c r="J3459" s="23">
        <v>4</v>
      </c>
      <c r="K3459" s="37">
        <v>0</v>
      </c>
      <c r="M3459" s="22" t="str">
        <f>IF(OR(ISBLANK(C3459),C3459=""),"",ROUND((C3459-B3459)*24,2))</f>
        <v/>
      </c>
      <c r="N3459" s="22" t="str">
        <f>IF(OR(ISBLANK(C3459),C3459="",M3459=""),"In Progress",IF(M3459&lt;=J3459,"Met","Breached"))</f>
        <v>In Progress</v>
      </c>
    </row>
    <row r="3460" ht="19" customHeight="1" spans="1:14" x14ac:dyDescent="0.25">
      <c r="A3460" s="19" t="s">
        <v>3574</v>
      </c>
      <c r="B3460" s="33">
        <v>45930.73402777778</v>
      </c>
      <c r="C3460" s="33">
        <v>45932.80625</v>
      </c>
      <c r="D3460" s="19" t="s">
        <v>36</v>
      </c>
      <c r="E3460" s="19" t="s">
        <v>65</v>
      </c>
      <c r="F3460" s="19" t="s">
        <v>43</v>
      </c>
      <c r="G3460" s="19" t="s">
        <v>116</v>
      </c>
      <c r="H3460" s="19" t="s">
        <v>63</v>
      </c>
      <c r="I3460" s="19" t="s">
        <v>117</v>
      </c>
      <c r="J3460" s="20">
        <v>48</v>
      </c>
      <c r="K3460" s="34">
        <v>0</v>
      </c>
      <c r="L3460" s="34">
        <v>2</v>
      </c>
      <c r="M3460" s="19">
        <f>IF(OR(ISBLANK(C3460),C3460=""),"",ROUND((C3460-B3460)*24,2))</f>
        <v>49.73</v>
      </c>
      <c r="N3460" s="39" t="str">
        <f>IF(OR(ISBLANK(C3460),C3460="",M3460=""),"In Progress",IF(M3460&lt;=J3460,"Met","Breached"))</f>
        <v>Breached</v>
      </c>
    </row>
    <row r="3461" ht="19" customHeight="1" spans="1:14" x14ac:dyDescent="0.25">
      <c r="A3461" s="22" t="s">
        <v>3575</v>
      </c>
      <c r="B3461" s="36">
        <v>45840.316666666666</v>
      </c>
      <c r="C3461" s="36">
        <v>45847.00486111111</v>
      </c>
      <c r="D3461" s="22" t="s">
        <v>33</v>
      </c>
      <c r="E3461" s="22" t="s">
        <v>69</v>
      </c>
      <c r="F3461" s="22" t="s">
        <v>34</v>
      </c>
      <c r="G3461" s="22" t="s">
        <v>121</v>
      </c>
      <c r="H3461" s="22" t="s">
        <v>63</v>
      </c>
      <c r="I3461" s="22" t="s">
        <v>108</v>
      </c>
      <c r="J3461" s="23">
        <v>120</v>
      </c>
      <c r="K3461" s="37">
        <v>1</v>
      </c>
      <c r="L3461" s="37">
        <v>4</v>
      </c>
      <c r="M3461" s="22">
        <f>IF(OR(ISBLANK(C3461),C3461=""),"",ROUND((C3461-B3461)*24,2))</f>
        <v>160.52</v>
      </c>
      <c r="N3461" s="38" t="str">
        <f>IF(OR(ISBLANK(C3461),C3461="",M3461=""),"In Progress",IF(M3461&lt;=J3461,"Met","Breached"))</f>
        <v>Breached</v>
      </c>
    </row>
    <row r="3462" ht="19" customHeight="1" spans="1:14" x14ac:dyDescent="0.25">
      <c r="A3462" s="19" t="s">
        <v>3576</v>
      </c>
      <c r="B3462" s="33">
        <v>46226.39791666667</v>
      </c>
      <c r="C3462" s="33">
        <v>46226.55347222222</v>
      </c>
      <c r="D3462" s="19" t="s">
        <v>33</v>
      </c>
      <c r="E3462" s="19" t="s">
        <v>61</v>
      </c>
      <c r="F3462" s="19" t="s">
        <v>40</v>
      </c>
      <c r="G3462" s="19" t="s">
        <v>113</v>
      </c>
      <c r="H3462" s="19" t="s">
        <v>59</v>
      </c>
      <c r="I3462" s="19" t="s">
        <v>117</v>
      </c>
      <c r="J3462" s="20">
        <v>12</v>
      </c>
      <c r="K3462" s="34">
        <v>0</v>
      </c>
      <c r="L3462" s="34">
        <v>3</v>
      </c>
      <c r="M3462" s="19">
        <f>IF(OR(ISBLANK(C3462),C3462=""),"",ROUND((C3462-B3462)*24,2))</f>
        <v>3.73</v>
      </c>
      <c r="N3462" s="35" t="str">
        <f>IF(OR(ISBLANK(C3462),C3462="",M3462=""),"In Progress",IF(M3462&lt;=J3462,"Met","Breached"))</f>
        <v>Met</v>
      </c>
    </row>
    <row r="3463" ht="19" customHeight="1" spans="1:14" x14ac:dyDescent="0.25">
      <c r="A3463" s="22" t="s">
        <v>3577</v>
      </c>
      <c r="B3463" s="36">
        <v>46253.43263888889</v>
      </c>
      <c r="C3463" s="36">
        <v>46255.42013888889</v>
      </c>
      <c r="D3463" s="22" t="s">
        <v>36</v>
      </c>
      <c r="E3463" s="22" t="s">
        <v>65</v>
      </c>
      <c r="F3463" s="22" t="s">
        <v>40</v>
      </c>
      <c r="G3463" s="22" t="s">
        <v>110</v>
      </c>
      <c r="H3463" s="22" t="s">
        <v>59</v>
      </c>
      <c r="I3463" s="22" t="s">
        <v>147</v>
      </c>
      <c r="J3463" s="23">
        <v>48</v>
      </c>
      <c r="K3463" s="37">
        <v>0</v>
      </c>
      <c r="L3463" s="37">
        <v>3</v>
      </c>
      <c r="M3463" s="22">
        <f>IF(OR(ISBLANK(C3463),C3463=""),"",ROUND((C3463-B3463)*24,2))</f>
        <v>47.7</v>
      </c>
      <c r="N3463" s="40" t="str">
        <f>IF(OR(ISBLANK(C3463),C3463="",M3463=""),"In Progress",IF(M3463&lt;=J3463,"Met","Breached"))</f>
        <v>Met</v>
      </c>
    </row>
    <row r="3464" ht="19" customHeight="1" spans="1:14" x14ac:dyDescent="0.25">
      <c r="A3464" s="19" t="s">
        <v>3578</v>
      </c>
      <c r="B3464" s="33">
        <v>45711.075</v>
      </c>
      <c r="C3464" s="33">
        <v>45711.98125</v>
      </c>
      <c r="D3464" s="19" t="s">
        <v>33</v>
      </c>
      <c r="E3464" s="19" t="s">
        <v>65</v>
      </c>
      <c r="F3464" s="19" t="s">
        <v>43</v>
      </c>
      <c r="G3464" s="19" t="s">
        <v>110</v>
      </c>
      <c r="H3464" s="19" t="s">
        <v>67</v>
      </c>
      <c r="I3464" s="19" t="s">
        <v>147</v>
      </c>
      <c r="J3464" s="20">
        <v>48</v>
      </c>
      <c r="K3464" s="34">
        <v>0</v>
      </c>
      <c r="L3464" s="34">
        <v>5</v>
      </c>
      <c r="M3464" s="19">
        <f>IF(OR(ISBLANK(C3464),C3464=""),"",ROUND((C3464-B3464)*24,2))</f>
        <v>21.75</v>
      </c>
      <c r="N3464" s="35" t="str">
        <f>IF(OR(ISBLANK(C3464),C3464="",M3464=""),"In Progress",IF(M3464&lt;=J3464,"Met","Breached"))</f>
        <v>Met</v>
      </c>
    </row>
    <row r="3465" ht="19" customHeight="1" spans="1:14" x14ac:dyDescent="0.25">
      <c r="A3465" s="22" t="s">
        <v>3579</v>
      </c>
      <c r="B3465" s="36">
        <v>45849.881944444445</v>
      </c>
      <c r="C3465" s="36">
        <v>45853.45416666666</v>
      </c>
      <c r="D3465" s="22" t="s">
        <v>33</v>
      </c>
      <c r="E3465" s="22" t="s">
        <v>65</v>
      </c>
      <c r="F3465" s="22" t="s">
        <v>45</v>
      </c>
      <c r="G3465" s="22" t="s">
        <v>113</v>
      </c>
      <c r="H3465" s="22" t="s">
        <v>63</v>
      </c>
      <c r="I3465" s="22" t="s">
        <v>117</v>
      </c>
      <c r="J3465" s="23">
        <v>48</v>
      </c>
      <c r="K3465" s="37">
        <v>0</v>
      </c>
      <c r="L3465" s="37">
        <v>2</v>
      </c>
      <c r="M3465" s="22">
        <f>IF(OR(ISBLANK(C3465),C3465=""),"",ROUND((C3465-B3465)*24,2))</f>
        <v>85.73</v>
      </c>
      <c r="N3465" s="38" t="str">
        <f>IF(OR(ISBLANK(C3465),C3465="",M3465=""),"In Progress",IF(M3465&lt;=J3465,"Met","Breached"))</f>
        <v>Breached</v>
      </c>
    </row>
    <row r="3466" ht="19" customHeight="1" spans="1:14" x14ac:dyDescent="0.25">
      <c r="A3466" s="19" t="s">
        <v>3580</v>
      </c>
      <c r="B3466" s="33">
        <v>45756.50833333333</v>
      </c>
      <c r="C3466" s="33">
        <v>45758.41666666667</v>
      </c>
      <c r="D3466" s="19" t="s">
        <v>33</v>
      </c>
      <c r="E3466" s="19" t="s">
        <v>65</v>
      </c>
      <c r="F3466" s="19" t="s">
        <v>40</v>
      </c>
      <c r="G3466" s="19" t="s">
        <v>113</v>
      </c>
      <c r="H3466" s="19" t="s">
        <v>63</v>
      </c>
      <c r="I3466" s="19" t="s">
        <v>114</v>
      </c>
      <c r="J3466" s="20">
        <v>48</v>
      </c>
      <c r="K3466" s="34">
        <v>0</v>
      </c>
      <c r="M3466" s="19">
        <f>IF(OR(ISBLANK(C3466),C3466=""),"",ROUND((C3466-B3466)*24,2))</f>
        <v>45.8</v>
      </c>
      <c r="N3466" s="35" t="str">
        <f>IF(OR(ISBLANK(C3466),C3466="",M3466=""),"In Progress",IF(M3466&lt;=J3466,"Met","Breached"))</f>
        <v>Met</v>
      </c>
    </row>
    <row r="3467" ht="19" customHeight="1" spans="1:14" x14ac:dyDescent="0.25">
      <c r="A3467" s="22" t="s">
        <v>3581</v>
      </c>
      <c r="B3467" s="36">
        <v>46216.29166666667</v>
      </c>
      <c r="C3467" s="36">
        <v>46217.175</v>
      </c>
      <c r="D3467" s="22" t="s">
        <v>33</v>
      </c>
      <c r="E3467" s="22" t="s">
        <v>65</v>
      </c>
      <c r="F3467" s="22" t="s">
        <v>37</v>
      </c>
      <c r="G3467" s="22" t="s">
        <v>63</v>
      </c>
      <c r="H3467" s="22" t="s">
        <v>67</v>
      </c>
      <c r="I3467" s="22" t="s">
        <v>147</v>
      </c>
      <c r="J3467" s="23">
        <v>48</v>
      </c>
      <c r="K3467" s="37">
        <v>0</v>
      </c>
      <c r="M3467" s="22">
        <f>IF(OR(ISBLANK(C3467),C3467=""),"",ROUND((C3467-B3467)*24,2))</f>
        <v>21.2</v>
      </c>
      <c r="N3467" s="40" t="str">
        <f>IF(OR(ISBLANK(C3467),C3467="",M3467=""),"In Progress",IF(M3467&lt;=J3467,"Met","Breached"))</f>
        <v>Met</v>
      </c>
    </row>
    <row r="3468" ht="19" customHeight="1" spans="1:14" x14ac:dyDescent="0.25">
      <c r="A3468" s="19" t="s">
        <v>3582</v>
      </c>
      <c r="B3468" s="33">
        <v>45835.02013888889</v>
      </c>
      <c r="C3468" s="33">
        <v>45837.32638888889</v>
      </c>
      <c r="D3468" s="19" t="s">
        <v>36</v>
      </c>
      <c r="E3468" s="19" t="s">
        <v>69</v>
      </c>
      <c r="F3468" s="19" t="s">
        <v>34</v>
      </c>
      <c r="G3468" s="19" t="s">
        <v>126</v>
      </c>
      <c r="H3468" s="19" t="s">
        <v>63</v>
      </c>
      <c r="I3468" s="19" t="s">
        <v>114</v>
      </c>
      <c r="J3468" s="20">
        <v>120</v>
      </c>
      <c r="K3468" s="34">
        <v>0</v>
      </c>
      <c r="L3468" s="34">
        <v>1</v>
      </c>
      <c r="M3468" s="19">
        <f>IF(OR(ISBLANK(C3468),C3468=""),"",ROUND((C3468-B3468)*24,2))</f>
        <v>55.35</v>
      </c>
      <c r="N3468" s="35" t="str">
        <f>IF(OR(ISBLANK(C3468),C3468="",M3468=""),"In Progress",IF(M3468&lt;=J3468,"Met","Breached"))</f>
        <v>Met</v>
      </c>
    </row>
    <row r="3469" ht="19" customHeight="1" spans="1:14" x14ac:dyDescent="0.25">
      <c r="A3469" s="22" t="s">
        <v>3583</v>
      </c>
      <c r="B3469" s="36">
        <v>46136.14375</v>
      </c>
      <c r="C3469" s="36">
        <v>46138.06111111111</v>
      </c>
      <c r="D3469" s="22" t="s">
        <v>33</v>
      </c>
      <c r="E3469" s="22" t="s">
        <v>65</v>
      </c>
      <c r="F3469" s="22" t="s">
        <v>43</v>
      </c>
      <c r="G3469" s="22" t="s">
        <v>63</v>
      </c>
      <c r="H3469" s="22" t="s">
        <v>59</v>
      </c>
      <c r="I3469" s="22" t="s">
        <v>111</v>
      </c>
      <c r="J3469" s="23">
        <v>48</v>
      </c>
      <c r="K3469" s="37">
        <v>0</v>
      </c>
      <c r="L3469" s="37">
        <v>3</v>
      </c>
      <c r="M3469" s="22">
        <f>IF(OR(ISBLANK(C3469),C3469=""),"",ROUND((C3469-B3469)*24,2))</f>
        <v>46.02</v>
      </c>
      <c r="N3469" s="40" t="str">
        <f>IF(OR(ISBLANK(C3469),C3469="",M3469=""),"In Progress",IF(M3469&lt;=J3469,"Met","Breached"))</f>
        <v>Met</v>
      </c>
    </row>
    <row r="3470" ht="19" customHeight="1" spans="1:14" x14ac:dyDescent="0.25">
      <c r="A3470" s="19" t="s">
        <v>3584</v>
      </c>
      <c r="B3470" s="33">
        <v>45996.15</v>
      </c>
      <c r="C3470" s="33">
        <v>45998.09652777778</v>
      </c>
      <c r="D3470" s="19" t="s">
        <v>33</v>
      </c>
      <c r="E3470" s="19" t="s">
        <v>65</v>
      </c>
      <c r="F3470" s="19" t="s">
        <v>34</v>
      </c>
      <c r="G3470" s="19" t="s">
        <v>110</v>
      </c>
      <c r="H3470" s="19" t="s">
        <v>59</v>
      </c>
      <c r="I3470" s="19" t="s">
        <v>147</v>
      </c>
      <c r="J3470" s="20">
        <v>48</v>
      </c>
      <c r="K3470" s="34">
        <v>1</v>
      </c>
      <c r="M3470" s="19">
        <f>IF(OR(ISBLANK(C3470),C3470=""),"",ROUND((C3470-B3470)*24,2))</f>
        <v>46.72</v>
      </c>
      <c r="N3470" s="35" t="str">
        <f>IF(OR(ISBLANK(C3470),C3470="",M3470=""),"In Progress",IF(M3470&lt;=J3470,"Met","Breached"))</f>
        <v>Met</v>
      </c>
    </row>
    <row r="3471" ht="19" customHeight="1" spans="1:14" x14ac:dyDescent="0.25">
      <c r="A3471" s="22" t="s">
        <v>3585</v>
      </c>
      <c r="B3471" s="36">
        <v>45672.99166666667</v>
      </c>
      <c r="C3471" s="36">
        <v>45681.55902777778</v>
      </c>
      <c r="D3471" s="22" t="s">
        <v>33</v>
      </c>
      <c r="E3471" s="22" t="s">
        <v>69</v>
      </c>
      <c r="F3471" s="22" t="s">
        <v>34</v>
      </c>
      <c r="G3471" s="22" t="s">
        <v>110</v>
      </c>
      <c r="H3471" s="22" t="s">
        <v>63</v>
      </c>
      <c r="I3471" s="22" t="s">
        <v>123</v>
      </c>
      <c r="J3471" s="23">
        <v>120</v>
      </c>
      <c r="K3471" s="37">
        <v>1</v>
      </c>
      <c r="L3471" s="37">
        <v>4</v>
      </c>
      <c r="M3471" s="22">
        <f>IF(OR(ISBLANK(C3471),C3471=""),"",ROUND((C3471-B3471)*24,2))</f>
        <v>205.62</v>
      </c>
      <c r="N3471" s="38" t="str">
        <f>IF(OR(ISBLANK(C3471),C3471="",M3471=""),"In Progress",IF(M3471&lt;=J3471,"Met","Breached"))</f>
        <v>Breached</v>
      </c>
    </row>
    <row r="3472" ht="19" customHeight="1" spans="1:14" x14ac:dyDescent="0.25">
      <c r="A3472" s="19" t="s">
        <v>3586</v>
      </c>
      <c r="B3472" s="33">
        <v>46274.42152777778</v>
      </c>
      <c r="D3472" s="19" t="s">
        <v>39</v>
      </c>
      <c r="E3472" s="19" t="s">
        <v>69</v>
      </c>
      <c r="F3472" s="19" t="s">
        <v>34</v>
      </c>
      <c r="G3472" s="19" t="s">
        <v>116</v>
      </c>
      <c r="H3472" s="19" t="s">
        <v>63</v>
      </c>
      <c r="I3472" s="19" t="s">
        <v>111</v>
      </c>
      <c r="J3472" s="20">
        <v>120</v>
      </c>
      <c r="K3472" s="34">
        <v>0</v>
      </c>
      <c r="M3472" s="19" t="str">
        <f>IF(OR(ISBLANK(C3472),C3472=""),"",ROUND((C3472-B3472)*24,2))</f>
        <v/>
      </c>
      <c r="N3472" s="19" t="str">
        <f>IF(OR(ISBLANK(C3472),C3472="",M3472=""),"In Progress",IF(M3472&lt;=J3472,"Met","Breached"))</f>
        <v>In Progress</v>
      </c>
    </row>
    <row r="3473" ht="19" customHeight="1" spans="1:14" x14ac:dyDescent="0.25">
      <c r="A3473" s="22" t="s">
        <v>3587</v>
      </c>
      <c r="B3473" s="36">
        <v>45865.538888888885</v>
      </c>
      <c r="C3473" s="36">
        <v>45869.0875</v>
      </c>
      <c r="D3473" s="22" t="s">
        <v>33</v>
      </c>
      <c r="E3473" s="22" t="s">
        <v>65</v>
      </c>
      <c r="F3473" s="22" t="s">
        <v>40</v>
      </c>
      <c r="G3473" s="22" t="s">
        <v>121</v>
      </c>
      <c r="H3473" s="22" t="s">
        <v>71</v>
      </c>
      <c r="I3473" s="22" t="s">
        <v>123</v>
      </c>
      <c r="J3473" s="23">
        <v>48</v>
      </c>
      <c r="K3473" s="37">
        <v>0</v>
      </c>
      <c r="L3473" s="37">
        <v>3</v>
      </c>
      <c r="M3473" s="22">
        <f>IF(OR(ISBLANK(C3473),C3473=""),"",ROUND((C3473-B3473)*24,2))</f>
        <v>85.17</v>
      </c>
      <c r="N3473" s="38" t="str">
        <f>IF(OR(ISBLANK(C3473),C3473="",M3473=""),"In Progress",IF(M3473&lt;=J3473,"Met","Breached"))</f>
        <v>Breached</v>
      </c>
    </row>
    <row r="3474" ht="19" customHeight="1" spans="1:14" x14ac:dyDescent="0.25">
      <c r="A3474" s="19" t="s">
        <v>3588</v>
      </c>
      <c r="B3474" s="33">
        <v>45952.63055555556</v>
      </c>
      <c r="C3474" s="33">
        <v>45954.18125</v>
      </c>
      <c r="D3474" s="19" t="s">
        <v>33</v>
      </c>
      <c r="E3474" s="19" t="s">
        <v>65</v>
      </c>
      <c r="F3474" s="19" t="s">
        <v>37</v>
      </c>
      <c r="G3474" s="19" t="s">
        <v>116</v>
      </c>
      <c r="H3474" s="19" t="s">
        <v>59</v>
      </c>
      <c r="I3474" s="19" t="s">
        <v>123</v>
      </c>
      <c r="J3474" s="20">
        <v>48</v>
      </c>
      <c r="K3474" s="34">
        <v>0</v>
      </c>
      <c r="L3474" s="34">
        <v>5</v>
      </c>
      <c r="M3474" s="19">
        <f>IF(OR(ISBLANK(C3474),C3474=""),"",ROUND((C3474-B3474)*24,2))</f>
        <v>37.22</v>
      </c>
      <c r="N3474" s="35" t="str">
        <f>IF(OR(ISBLANK(C3474),C3474="",M3474=""),"In Progress",IF(M3474&lt;=J3474,"Met","Breached"))</f>
        <v>Met</v>
      </c>
    </row>
    <row r="3475" ht="19" customHeight="1" spans="1:14" x14ac:dyDescent="0.25">
      <c r="A3475" s="22" t="s">
        <v>3589</v>
      </c>
      <c r="B3475" s="36">
        <v>46098.58263888889</v>
      </c>
      <c r="C3475" s="36">
        <v>46098.84305555555</v>
      </c>
      <c r="D3475" s="22" t="s">
        <v>33</v>
      </c>
      <c r="E3475" s="22" t="s">
        <v>57</v>
      </c>
      <c r="F3475" s="22" t="s">
        <v>37</v>
      </c>
      <c r="G3475" s="22" t="s">
        <v>113</v>
      </c>
      <c r="H3475" s="22" t="s">
        <v>63</v>
      </c>
      <c r="I3475" s="22" t="s">
        <v>123</v>
      </c>
      <c r="J3475" s="23">
        <v>4</v>
      </c>
      <c r="K3475" s="37">
        <v>0</v>
      </c>
      <c r="L3475" s="37">
        <v>4</v>
      </c>
      <c r="M3475" s="22">
        <f>IF(OR(ISBLANK(C3475),C3475=""),"",ROUND((C3475-B3475)*24,2))</f>
        <v>6.25</v>
      </c>
      <c r="N3475" s="38" t="str">
        <f>IF(OR(ISBLANK(C3475),C3475="",M3475=""),"In Progress",IF(M3475&lt;=J3475,"Met","Breached"))</f>
        <v>Breached</v>
      </c>
    </row>
    <row r="3476" ht="19" customHeight="1" spans="1:14" x14ac:dyDescent="0.25">
      <c r="A3476" s="19" t="s">
        <v>3590</v>
      </c>
      <c r="B3476" s="33">
        <v>46222.05208333333</v>
      </c>
      <c r="D3476" s="19" t="s">
        <v>39</v>
      </c>
      <c r="E3476" s="19" t="s">
        <v>69</v>
      </c>
      <c r="F3476" s="19" t="s">
        <v>40</v>
      </c>
      <c r="G3476" s="19" t="s">
        <v>63</v>
      </c>
      <c r="H3476" s="19" t="s">
        <v>71</v>
      </c>
      <c r="I3476" s="19" t="s">
        <v>114</v>
      </c>
      <c r="J3476" s="20">
        <v>120</v>
      </c>
      <c r="K3476" s="34">
        <v>0</v>
      </c>
      <c r="M3476" s="19" t="str">
        <f>IF(OR(ISBLANK(C3476),C3476=""),"",ROUND((C3476-B3476)*24,2))</f>
        <v/>
      </c>
      <c r="N3476" s="19" t="str">
        <f>IF(OR(ISBLANK(C3476),C3476="",M3476=""),"In Progress",IF(M3476&lt;=J3476,"Met","Breached"))</f>
        <v>In Progress</v>
      </c>
    </row>
    <row r="3477" ht="19" customHeight="1" spans="1:14" x14ac:dyDescent="0.25">
      <c r="A3477" s="22" t="s">
        <v>3591</v>
      </c>
      <c r="B3477" s="36">
        <v>46152.51944444445</v>
      </c>
      <c r="D3477" s="22" t="s">
        <v>39</v>
      </c>
      <c r="E3477" s="22" t="s">
        <v>69</v>
      </c>
      <c r="F3477" s="22" t="s">
        <v>43</v>
      </c>
      <c r="G3477" s="22" t="s">
        <v>126</v>
      </c>
      <c r="H3477" s="22" t="s">
        <v>63</v>
      </c>
      <c r="I3477" s="22" t="s">
        <v>117</v>
      </c>
      <c r="J3477" s="23">
        <v>120</v>
      </c>
      <c r="K3477" s="37">
        <v>0</v>
      </c>
      <c r="M3477" s="22" t="str">
        <f>IF(OR(ISBLANK(C3477),C3477=""),"",ROUND((C3477-B3477)*24,2))</f>
        <v/>
      </c>
      <c r="N3477" s="22" t="str">
        <f>IF(OR(ISBLANK(C3477),C3477="",M3477=""),"In Progress",IF(M3477&lt;=J3477,"Met","Breached"))</f>
        <v>In Progress</v>
      </c>
    </row>
    <row r="3478" ht="19" customHeight="1" spans="1:14" x14ac:dyDescent="0.25">
      <c r="A3478" s="19" t="s">
        <v>3592</v>
      </c>
      <c r="B3478" s="33">
        <v>46094.638194444444</v>
      </c>
      <c r="D3478" s="19" t="s">
        <v>39</v>
      </c>
      <c r="E3478" s="19" t="s">
        <v>65</v>
      </c>
      <c r="F3478" s="19" t="s">
        <v>43</v>
      </c>
      <c r="G3478" s="19" t="s">
        <v>110</v>
      </c>
      <c r="H3478" s="19" t="s">
        <v>59</v>
      </c>
      <c r="I3478" s="19" t="s">
        <v>147</v>
      </c>
      <c r="J3478" s="20">
        <v>48</v>
      </c>
      <c r="K3478" s="34">
        <v>0</v>
      </c>
      <c r="M3478" s="19" t="str">
        <f>IF(OR(ISBLANK(C3478),C3478=""),"",ROUND((C3478-B3478)*24,2))</f>
        <v/>
      </c>
      <c r="N3478" s="19" t="str">
        <f>IF(OR(ISBLANK(C3478),C3478="",M3478=""),"In Progress",IF(M3478&lt;=J3478,"Met","Breached"))</f>
        <v>In Progress</v>
      </c>
    </row>
    <row r="3479" ht="19" customHeight="1" spans="1:14" x14ac:dyDescent="0.25">
      <c r="A3479" s="22" t="s">
        <v>3593</v>
      </c>
      <c r="B3479" s="36">
        <v>45816.84305555555</v>
      </c>
      <c r="D3479" s="22" t="s">
        <v>39</v>
      </c>
      <c r="E3479" s="22" t="s">
        <v>61</v>
      </c>
      <c r="F3479" s="22" t="s">
        <v>37</v>
      </c>
      <c r="G3479" s="22" t="s">
        <v>126</v>
      </c>
      <c r="H3479" s="22" t="s">
        <v>67</v>
      </c>
      <c r="I3479" s="22" t="s">
        <v>123</v>
      </c>
      <c r="J3479" s="23">
        <v>12</v>
      </c>
      <c r="K3479" s="37">
        <v>0</v>
      </c>
      <c r="M3479" s="22" t="str">
        <f>IF(OR(ISBLANK(C3479),C3479=""),"",ROUND((C3479-B3479)*24,2))</f>
        <v/>
      </c>
      <c r="N3479" s="22" t="str">
        <f>IF(OR(ISBLANK(C3479),C3479="",M3479=""),"In Progress",IF(M3479&lt;=J3479,"Met","Breached"))</f>
        <v>In Progress</v>
      </c>
    </row>
    <row r="3480" ht="19" customHeight="1" spans="1:14" x14ac:dyDescent="0.25">
      <c r="A3480" s="19" t="s">
        <v>3594</v>
      </c>
      <c r="B3480" s="33">
        <v>46067.819444444445</v>
      </c>
      <c r="D3480" s="19" t="s">
        <v>39</v>
      </c>
      <c r="E3480" s="19" t="s">
        <v>69</v>
      </c>
      <c r="F3480" s="19" t="s">
        <v>37</v>
      </c>
      <c r="G3480" s="19" t="s">
        <v>116</v>
      </c>
      <c r="H3480" s="19" t="s">
        <v>63</v>
      </c>
      <c r="I3480" s="19" t="s">
        <v>147</v>
      </c>
      <c r="J3480" s="20">
        <v>120</v>
      </c>
      <c r="K3480" s="34">
        <v>0</v>
      </c>
      <c r="M3480" s="19" t="str">
        <f>IF(OR(ISBLANK(C3480),C3480=""),"",ROUND((C3480-B3480)*24,2))</f>
        <v/>
      </c>
      <c r="N3480" s="19" t="str">
        <f>IF(OR(ISBLANK(C3480),C3480="",M3480=""),"In Progress",IF(M3480&lt;=J3480,"Met","Breached"))</f>
        <v>In Progress</v>
      </c>
    </row>
    <row r="3481" ht="19" customHeight="1" spans="1:14" x14ac:dyDescent="0.25">
      <c r="A3481" s="22" t="s">
        <v>3595</v>
      </c>
      <c r="B3481" s="36">
        <v>45668.85</v>
      </c>
      <c r="D3481" s="22" t="s">
        <v>39</v>
      </c>
      <c r="E3481" s="22" t="s">
        <v>61</v>
      </c>
      <c r="F3481" s="22" t="s">
        <v>37</v>
      </c>
      <c r="G3481" s="22" t="s">
        <v>116</v>
      </c>
      <c r="H3481" s="22" t="s">
        <v>67</v>
      </c>
      <c r="I3481" s="22" t="s">
        <v>117</v>
      </c>
      <c r="J3481" s="23">
        <v>12</v>
      </c>
      <c r="K3481" s="37">
        <v>0</v>
      </c>
      <c r="M3481" s="22" t="str">
        <f>IF(OR(ISBLANK(C3481),C3481=""),"",ROUND((C3481-B3481)*24,2))</f>
        <v/>
      </c>
      <c r="N3481" s="22" t="str">
        <f>IF(OR(ISBLANK(C3481),C3481="",M3481=""),"In Progress",IF(M3481&lt;=J3481,"Met","Breached"))</f>
        <v>In Progress</v>
      </c>
    </row>
    <row r="3482" ht="19" customHeight="1" spans="1:14" x14ac:dyDescent="0.25">
      <c r="A3482" s="19" t="s">
        <v>3596</v>
      </c>
      <c r="B3482" s="33">
        <v>45663.76597222222</v>
      </c>
      <c r="C3482" s="33">
        <v>45666.37361111111</v>
      </c>
      <c r="D3482" s="19" t="s">
        <v>36</v>
      </c>
      <c r="E3482" s="19" t="s">
        <v>69</v>
      </c>
      <c r="F3482" s="19" t="s">
        <v>43</v>
      </c>
      <c r="G3482" s="19" t="s">
        <v>63</v>
      </c>
      <c r="H3482" s="19" t="s">
        <v>63</v>
      </c>
      <c r="I3482" s="19" t="s">
        <v>111</v>
      </c>
      <c r="J3482" s="20">
        <v>120</v>
      </c>
      <c r="K3482" s="34">
        <v>0</v>
      </c>
      <c r="L3482" s="34">
        <v>4</v>
      </c>
      <c r="M3482" s="19">
        <f>IF(OR(ISBLANK(C3482),C3482=""),"",ROUND((C3482-B3482)*24,2))</f>
        <v>62.58</v>
      </c>
      <c r="N3482" s="35" t="str">
        <f>IF(OR(ISBLANK(C3482),C3482="",M3482=""),"In Progress",IF(M3482&lt;=J3482,"Met","Breached"))</f>
        <v>Met</v>
      </c>
    </row>
    <row r="3483" ht="19" customHeight="1" spans="1:14" x14ac:dyDescent="0.25">
      <c r="A3483" s="22" t="s">
        <v>3597</v>
      </c>
      <c r="B3483" s="36">
        <v>45913.913888888885</v>
      </c>
      <c r="C3483" s="36">
        <v>45915.01180555555</v>
      </c>
      <c r="D3483" s="22" t="s">
        <v>33</v>
      </c>
      <c r="E3483" s="22" t="s">
        <v>65</v>
      </c>
      <c r="F3483" s="22" t="s">
        <v>45</v>
      </c>
      <c r="G3483" s="22" t="s">
        <v>116</v>
      </c>
      <c r="H3483" s="22" t="s">
        <v>59</v>
      </c>
      <c r="I3483" s="22" t="s">
        <v>147</v>
      </c>
      <c r="J3483" s="23">
        <v>48</v>
      </c>
      <c r="K3483" s="37">
        <v>0</v>
      </c>
      <c r="M3483" s="22">
        <f>IF(OR(ISBLANK(C3483),C3483=""),"",ROUND((C3483-B3483)*24,2))</f>
        <v>26.35</v>
      </c>
      <c r="N3483" s="40" t="str">
        <f>IF(OR(ISBLANK(C3483),C3483="",M3483=""),"In Progress",IF(M3483&lt;=J3483,"Met","Breached"))</f>
        <v>Met</v>
      </c>
    </row>
    <row r="3484" ht="19" customHeight="1" spans="1:14" x14ac:dyDescent="0.25">
      <c r="A3484" s="19" t="s">
        <v>3598</v>
      </c>
      <c r="B3484" s="33">
        <v>45663.02569444444</v>
      </c>
      <c r="C3484" s="33">
        <v>45664.695138888885</v>
      </c>
      <c r="D3484" s="19" t="s">
        <v>33</v>
      </c>
      <c r="E3484" s="19" t="s">
        <v>69</v>
      </c>
      <c r="F3484" s="19" t="s">
        <v>40</v>
      </c>
      <c r="G3484" s="19" t="s">
        <v>110</v>
      </c>
      <c r="H3484" s="19" t="s">
        <v>63</v>
      </c>
      <c r="I3484" s="19" t="s">
        <v>114</v>
      </c>
      <c r="J3484" s="20">
        <v>120</v>
      </c>
      <c r="K3484" s="34">
        <v>0</v>
      </c>
      <c r="L3484" s="34">
        <v>2</v>
      </c>
      <c r="M3484" s="19">
        <f>IF(OR(ISBLANK(C3484),C3484=""),"",ROUND((C3484-B3484)*24,2))</f>
        <v>40.07</v>
      </c>
      <c r="N3484" s="35" t="str">
        <f>IF(OR(ISBLANK(C3484),C3484="",M3484=""),"In Progress",IF(M3484&lt;=J3484,"Met","Breached"))</f>
        <v>Met</v>
      </c>
    </row>
    <row r="3485" ht="19" customHeight="1" spans="1:14" x14ac:dyDescent="0.25">
      <c r="A3485" s="22" t="s">
        <v>3599</v>
      </c>
      <c r="B3485" s="36">
        <v>45683.08819444444</v>
      </c>
      <c r="C3485" s="36">
        <v>45683.28680555556</v>
      </c>
      <c r="D3485" s="22" t="s">
        <v>36</v>
      </c>
      <c r="E3485" s="22" t="s">
        <v>61</v>
      </c>
      <c r="F3485" s="22" t="s">
        <v>37</v>
      </c>
      <c r="G3485" s="22" t="s">
        <v>63</v>
      </c>
      <c r="H3485" s="22" t="s">
        <v>59</v>
      </c>
      <c r="I3485" s="22" t="s">
        <v>123</v>
      </c>
      <c r="J3485" s="23">
        <v>12</v>
      </c>
      <c r="K3485" s="37">
        <v>0</v>
      </c>
      <c r="L3485" s="37">
        <v>2</v>
      </c>
      <c r="M3485" s="22">
        <f>IF(OR(ISBLANK(C3485),C3485=""),"",ROUND((C3485-B3485)*24,2))</f>
        <v>4.77</v>
      </c>
      <c r="N3485" s="40" t="str">
        <f>IF(OR(ISBLANK(C3485),C3485="",M3485=""),"In Progress",IF(M3485&lt;=J3485,"Met","Breached"))</f>
        <v>Met</v>
      </c>
    </row>
    <row r="3486" ht="19" customHeight="1" spans="1:14" x14ac:dyDescent="0.25">
      <c r="A3486" s="19" t="s">
        <v>3600</v>
      </c>
      <c r="B3486" s="33">
        <v>45808.68611111111</v>
      </c>
      <c r="C3486" s="33">
        <v>45808.788194444445</v>
      </c>
      <c r="D3486" s="19" t="s">
        <v>33</v>
      </c>
      <c r="E3486" s="19" t="s">
        <v>57</v>
      </c>
      <c r="F3486" s="19" t="s">
        <v>43</v>
      </c>
      <c r="G3486" s="19" t="s">
        <v>63</v>
      </c>
      <c r="H3486" s="19" t="s">
        <v>63</v>
      </c>
      <c r="I3486" s="19" t="s">
        <v>123</v>
      </c>
      <c r="J3486" s="20">
        <v>4</v>
      </c>
      <c r="K3486" s="34">
        <v>0</v>
      </c>
      <c r="M3486" s="19">
        <f>IF(OR(ISBLANK(C3486),C3486=""),"",ROUND((C3486-B3486)*24,2))</f>
        <v>2.45</v>
      </c>
      <c r="N3486" s="35" t="str">
        <f>IF(OR(ISBLANK(C3486),C3486="",M3486=""),"In Progress",IF(M3486&lt;=J3486,"Met","Breached"))</f>
        <v>Met</v>
      </c>
    </row>
    <row r="3487" ht="19" customHeight="1" spans="1:14" x14ac:dyDescent="0.25">
      <c r="A3487" s="22" t="s">
        <v>3601</v>
      </c>
      <c r="B3487" s="36">
        <v>46056.79652777778</v>
      </c>
      <c r="C3487" s="36">
        <v>46060.138194444444</v>
      </c>
      <c r="D3487" s="22" t="s">
        <v>33</v>
      </c>
      <c r="E3487" s="22" t="s">
        <v>65</v>
      </c>
      <c r="F3487" s="22" t="s">
        <v>45</v>
      </c>
      <c r="G3487" s="22" t="s">
        <v>116</v>
      </c>
      <c r="H3487" s="22" t="s">
        <v>67</v>
      </c>
      <c r="I3487" s="22" t="s">
        <v>111</v>
      </c>
      <c r="J3487" s="23">
        <v>48</v>
      </c>
      <c r="K3487" s="37">
        <v>0</v>
      </c>
      <c r="L3487" s="37">
        <v>3</v>
      </c>
      <c r="M3487" s="22">
        <f>IF(OR(ISBLANK(C3487),C3487=""),"",ROUND((C3487-B3487)*24,2))</f>
        <v>80.2</v>
      </c>
      <c r="N3487" s="38" t="str">
        <f>IF(OR(ISBLANK(C3487),C3487="",M3487=""),"In Progress",IF(M3487&lt;=J3487,"Met","Breached"))</f>
        <v>Breached</v>
      </c>
    </row>
    <row r="3488" ht="19" customHeight="1" spans="1:14" x14ac:dyDescent="0.25">
      <c r="A3488" s="19" t="s">
        <v>3602</v>
      </c>
      <c r="B3488" s="33">
        <v>46126.98472222222</v>
      </c>
      <c r="C3488" s="33">
        <v>46129.53055555555</v>
      </c>
      <c r="D3488" s="19" t="s">
        <v>36</v>
      </c>
      <c r="E3488" s="19" t="s">
        <v>69</v>
      </c>
      <c r="F3488" s="19" t="s">
        <v>43</v>
      </c>
      <c r="G3488" s="19" t="s">
        <v>110</v>
      </c>
      <c r="H3488" s="19" t="s">
        <v>63</v>
      </c>
      <c r="I3488" s="19" t="s">
        <v>111</v>
      </c>
      <c r="J3488" s="20">
        <v>120</v>
      </c>
      <c r="K3488" s="34">
        <v>0</v>
      </c>
      <c r="M3488" s="19">
        <f>IF(OR(ISBLANK(C3488),C3488=""),"",ROUND((C3488-B3488)*24,2))</f>
        <v>61.1</v>
      </c>
      <c r="N3488" s="35" t="str">
        <f>IF(OR(ISBLANK(C3488),C3488="",M3488=""),"In Progress",IF(M3488&lt;=J3488,"Met","Breached"))</f>
        <v>Met</v>
      </c>
    </row>
    <row r="3489" ht="19" customHeight="1" spans="1:14" x14ac:dyDescent="0.25">
      <c r="A3489" s="22" t="s">
        <v>3603</v>
      </c>
      <c r="B3489" s="36">
        <v>45978.41527777778</v>
      </c>
      <c r="C3489" s="36">
        <v>45980.11111111111</v>
      </c>
      <c r="D3489" s="22" t="s">
        <v>33</v>
      </c>
      <c r="E3489" s="22" t="s">
        <v>65</v>
      </c>
      <c r="F3489" s="22" t="s">
        <v>37</v>
      </c>
      <c r="G3489" s="22" t="s">
        <v>121</v>
      </c>
      <c r="H3489" s="22" t="s">
        <v>67</v>
      </c>
      <c r="I3489" s="22" t="s">
        <v>108</v>
      </c>
      <c r="J3489" s="23">
        <v>48</v>
      </c>
      <c r="K3489" s="37">
        <v>0</v>
      </c>
      <c r="M3489" s="22">
        <f>IF(OR(ISBLANK(C3489),C3489=""),"",ROUND((C3489-B3489)*24,2))</f>
        <v>40.7</v>
      </c>
      <c r="N3489" s="40" t="str">
        <f>IF(OR(ISBLANK(C3489),C3489="",M3489=""),"In Progress",IF(M3489&lt;=J3489,"Met","Breached"))</f>
        <v>Met</v>
      </c>
    </row>
    <row r="3490" ht="19" customHeight="1" spans="1:14" x14ac:dyDescent="0.25">
      <c r="A3490" s="19" t="s">
        <v>3604</v>
      </c>
      <c r="B3490" s="33">
        <v>45959.87708333333</v>
      </c>
      <c r="C3490" s="33">
        <v>45967.663194444445</v>
      </c>
      <c r="D3490" s="19" t="s">
        <v>33</v>
      </c>
      <c r="E3490" s="19" t="s">
        <v>69</v>
      </c>
      <c r="F3490" s="19" t="s">
        <v>43</v>
      </c>
      <c r="G3490" s="19" t="s">
        <v>116</v>
      </c>
      <c r="H3490" s="19" t="s">
        <v>71</v>
      </c>
      <c r="I3490" s="19" t="s">
        <v>111</v>
      </c>
      <c r="J3490" s="20">
        <v>120</v>
      </c>
      <c r="K3490" s="34">
        <v>0</v>
      </c>
      <c r="L3490" s="34">
        <v>2</v>
      </c>
      <c r="M3490" s="19">
        <f>IF(OR(ISBLANK(C3490),C3490=""),"",ROUND((C3490-B3490)*24,2))</f>
        <v>186.87</v>
      </c>
      <c r="N3490" s="39" t="str">
        <f>IF(OR(ISBLANK(C3490),C3490="",M3490=""),"In Progress",IF(M3490&lt;=J3490,"Met","Breached"))</f>
        <v>Breached</v>
      </c>
    </row>
    <row r="3491" ht="19" customHeight="1" spans="1:14" x14ac:dyDescent="0.25">
      <c r="A3491" s="22" t="s">
        <v>3605</v>
      </c>
      <c r="B3491" s="36">
        <v>45877.132638888885</v>
      </c>
      <c r="C3491" s="36">
        <v>45883.222916666666</v>
      </c>
      <c r="D3491" s="22" t="s">
        <v>33</v>
      </c>
      <c r="E3491" s="22" t="s">
        <v>69</v>
      </c>
      <c r="F3491" s="22" t="s">
        <v>37</v>
      </c>
      <c r="G3491" s="22" t="s">
        <v>63</v>
      </c>
      <c r="H3491" s="22" t="s">
        <v>67</v>
      </c>
      <c r="I3491" s="22" t="s">
        <v>117</v>
      </c>
      <c r="J3491" s="23">
        <v>120</v>
      </c>
      <c r="K3491" s="37">
        <v>0</v>
      </c>
      <c r="L3491" s="37">
        <v>3</v>
      </c>
      <c r="M3491" s="22">
        <f>IF(OR(ISBLANK(C3491),C3491=""),"",ROUND((C3491-B3491)*24,2))</f>
        <v>146.17</v>
      </c>
      <c r="N3491" s="38" t="str">
        <f>IF(OR(ISBLANK(C3491),C3491="",M3491=""),"In Progress",IF(M3491&lt;=J3491,"Met","Breached"))</f>
        <v>Breached</v>
      </c>
    </row>
    <row r="3492" ht="19" customHeight="1" spans="1:14" x14ac:dyDescent="0.25">
      <c r="A3492" s="19" t="s">
        <v>3606</v>
      </c>
      <c r="B3492" s="33">
        <v>45669.16111111111</v>
      </c>
      <c r="C3492" s="33">
        <v>45670.30694444444</v>
      </c>
      <c r="D3492" s="19" t="s">
        <v>33</v>
      </c>
      <c r="E3492" s="19" t="s">
        <v>65</v>
      </c>
      <c r="F3492" s="19" t="s">
        <v>34</v>
      </c>
      <c r="G3492" s="19" t="s">
        <v>110</v>
      </c>
      <c r="H3492" s="19" t="s">
        <v>59</v>
      </c>
      <c r="I3492" s="19" t="s">
        <v>114</v>
      </c>
      <c r="J3492" s="20">
        <v>48</v>
      </c>
      <c r="K3492" s="34">
        <v>0</v>
      </c>
      <c r="M3492" s="19">
        <f>IF(OR(ISBLANK(C3492),C3492=""),"",ROUND((C3492-B3492)*24,2))</f>
        <v>27.5</v>
      </c>
      <c r="N3492" s="35" t="str">
        <f>IF(OR(ISBLANK(C3492),C3492="",M3492=""),"In Progress",IF(M3492&lt;=J3492,"Met","Breached"))</f>
        <v>Met</v>
      </c>
    </row>
    <row r="3493" ht="19" customHeight="1" spans="1:14" x14ac:dyDescent="0.25">
      <c r="A3493" s="22" t="s">
        <v>3607</v>
      </c>
      <c r="B3493" s="36">
        <v>45692.941666666666</v>
      </c>
      <c r="C3493" s="36">
        <v>45695.586805555555</v>
      </c>
      <c r="D3493" s="22" t="s">
        <v>33</v>
      </c>
      <c r="E3493" s="22" t="s">
        <v>69</v>
      </c>
      <c r="F3493" s="22" t="s">
        <v>40</v>
      </c>
      <c r="G3493" s="22" t="s">
        <v>110</v>
      </c>
      <c r="H3493" s="22" t="s">
        <v>67</v>
      </c>
      <c r="I3493" s="22" t="s">
        <v>114</v>
      </c>
      <c r="J3493" s="23">
        <v>120</v>
      </c>
      <c r="K3493" s="37">
        <v>0</v>
      </c>
      <c r="L3493" s="37">
        <v>5</v>
      </c>
      <c r="M3493" s="22">
        <f>IF(OR(ISBLANK(C3493),C3493=""),"",ROUND((C3493-B3493)*24,2))</f>
        <v>63.48</v>
      </c>
      <c r="N3493" s="40" t="str">
        <f>IF(OR(ISBLANK(C3493),C3493="",M3493=""),"In Progress",IF(M3493&lt;=J3493,"Met","Breached"))</f>
        <v>Met</v>
      </c>
    </row>
    <row r="3494" ht="19" customHeight="1" spans="1:14" x14ac:dyDescent="0.25">
      <c r="A3494" s="19" t="s">
        <v>3608</v>
      </c>
      <c r="B3494" s="33">
        <v>45816.32847222222</v>
      </c>
      <c r="C3494" s="33">
        <v>45817.69791666667</v>
      </c>
      <c r="D3494" s="19" t="s">
        <v>33</v>
      </c>
      <c r="E3494" s="19" t="s">
        <v>65</v>
      </c>
      <c r="F3494" s="19" t="s">
        <v>34</v>
      </c>
      <c r="G3494" s="19" t="s">
        <v>110</v>
      </c>
      <c r="H3494" s="19" t="s">
        <v>63</v>
      </c>
      <c r="I3494" s="19" t="s">
        <v>147</v>
      </c>
      <c r="J3494" s="20">
        <v>48</v>
      </c>
      <c r="K3494" s="34">
        <v>0</v>
      </c>
      <c r="L3494" s="34">
        <v>1</v>
      </c>
      <c r="M3494" s="19">
        <f>IF(OR(ISBLANK(C3494),C3494=""),"",ROUND((C3494-B3494)*24,2))</f>
        <v>32.87</v>
      </c>
      <c r="N3494" s="35" t="str">
        <f>IF(OR(ISBLANK(C3494),C3494="",M3494=""),"In Progress",IF(M3494&lt;=J3494,"Met","Breached"))</f>
        <v>Met</v>
      </c>
    </row>
    <row r="3495" ht="19" customHeight="1" spans="1:14" x14ac:dyDescent="0.25">
      <c r="A3495" s="22" t="s">
        <v>3609</v>
      </c>
      <c r="B3495" s="36">
        <v>46001.554861111115</v>
      </c>
      <c r="C3495" s="36">
        <v>46001.73819444445</v>
      </c>
      <c r="D3495" s="22" t="s">
        <v>33</v>
      </c>
      <c r="E3495" s="22" t="s">
        <v>61</v>
      </c>
      <c r="F3495" s="22" t="s">
        <v>45</v>
      </c>
      <c r="G3495" s="22" t="s">
        <v>121</v>
      </c>
      <c r="H3495" s="22" t="s">
        <v>59</v>
      </c>
      <c r="I3495" s="22" t="s">
        <v>123</v>
      </c>
      <c r="J3495" s="23">
        <v>12</v>
      </c>
      <c r="K3495" s="37">
        <v>0</v>
      </c>
      <c r="M3495" s="22">
        <f>IF(OR(ISBLANK(C3495),C3495=""),"",ROUND((C3495-B3495)*24,2))</f>
        <v>4.4</v>
      </c>
      <c r="N3495" s="40" t="str">
        <f>IF(OR(ISBLANK(C3495),C3495="",M3495=""),"In Progress",IF(M3495&lt;=J3495,"Met","Breached"))</f>
        <v>Met</v>
      </c>
    </row>
    <row r="3496" ht="19" customHeight="1" spans="1:14" x14ac:dyDescent="0.25">
      <c r="A3496" s="19" t="s">
        <v>3610</v>
      </c>
      <c r="B3496" s="33">
        <v>45720.42638888889</v>
      </c>
      <c r="C3496" s="33">
        <v>45722.82916666666</v>
      </c>
      <c r="D3496" s="19" t="s">
        <v>36</v>
      </c>
      <c r="E3496" s="19" t="s">
        <v>69</v>
      </c>
      <c r="F3496" s="19" t="s">
        <v>43</v>
      </c>
      <c r="G3496" s="19" t="s">
        <v>116</v>
      </c>
      <c r="H3496" s="19" t="s">
        <v>59</v>
      </c>
      <c r="I3496" s="19" t="s">
        <v>147</v>
      </c>
      <c r="J3496" s="20">
        <v>120</v>
      </c>
      <c r="K3496" s="34">
        <v>0</v>
      </c>
      <c r="L3496" s="34">
        <v>1</v>
      </c>
      <c r="M3496" s="19">
        <f>IF(OR(ISBLANK(C3496),C3496=""),"",ROUND((C3496-B3496)*24,2))</f>
        <v>57.67</v>
      </c>
      <c r="N3496" s="35" t="str">
        <f>IF(OR(ISBLANK(C3496),C3496="",M3496=""),"In Progress",IF(M3496&lt;=J3496,"Met","Breached"))</f>
        <v>Met</v>
      </c>
    </row>
    <row r="3497" ht="19" customHeight="1" spans="1:14" x14ac:dyDescent="0.25">
      <c r="A3497" s="22" t="s">
        <v>3611</v>
      </c>
      <c r="B3497" s="36">
        <v>45998.836805555555</v>
      </c>
      <c r="C3497" s="36">
        <v>45999.90069444444</v>
      </c>
      <c r="D3497" s="22" t="s">
        <v>33</v>
      </c>
      <c r="E3497" s="22" t="s">
        <v>65</v>
      </c>
      <c r="F3497" s="22" t="s">
        <v>37</v>
      </c>
      <c r="G3497" s="22" t="s">
        <v>121</v>
      </c>
      <c r="H3497" s="22" t="s">
        <v>59</v>
      </c>
      <c r="I3497" s="22" t="s">
        <v>147</v>
      </c>
      <c r="J3497" s="23">
        <v>48</v>
      </c>
      <c r="K3497" s="37">
        <v>0</v>
      </c>
      <c r="L3497" s="37">
        <v>3</v>
      </c>
      <c r="M3497" s="22">
        <f>IF(OR(ISBLANK(C3497),C3497=""),"",ROUND((C3497-B3497)*24,2))</f>
        <v>25.53</v>
      </c>
      <c r="N3497" s="40" t="str">
        <f>IF(OR(ISBLANK(C3497),C3497="",M3497=""),"In Progress",IF(M3497&lt;=J3497,"Met","Breached"))</f>
        <v>Met</v>
      </c>
    </row>
    <row r="3498" ht="19" customHeight="1" spans="1:14" x14ac:dyDescent="0.25">
      <c r="A3498" s="19" t="s">
        <v>3612</v>
      </c>
      <c r="B3498" s="33">
        <v>46225.13541666667</v>
      </c>
      <c r="C3498" s="33">
        <v>46225.19097222222</v>
      </c>
      <c r="D3498" s="19" t="s">
        <v>33</v>
      </c>
      <c r="E3498" s="19" t="s">
        <v>57</v>
      </c>
      <c r="F3498" s="19" t="s">
        <v>40</v>
      </c>
      <c r="G3498" s="19" t="s">
        <v>113</v>
      </c>
      <c r="H3498" s="19" t="s">
        <v>71</v>
      </c>
      <c r="I3498" s="19" t="s">
        <v>111</v>
      </c>
      <c r="J3498" s="20">
        <v>4</v>
      </c>
      <c r="K3498" s="34">
        <v>0</v>
      </c>
      <c r="L3498" s="34">
        <v>5</v>
      </c>
      <c r="M3498" s="19">
        <f>IF(OR(ISBLANK(C3498),C3498=""),"",ROUND((C3498-B3498)*24,2))</f>
        <v>1.33</v>
      </c>
      <c r="N3498" s="35" t="str">
        <f>IF(OR(ISBLANK(C3498),C3498="",M3498=""),"In Progress",IF(M3498&lt;=J3498,"Met","Breached"))</f>
        <v>Met</v>
      </c>
    </row>
    <row r="3499" ht="19" customHeight="1" spans="1:14" x14ac:dyDescent="0.25">
      <c r="A3499" s="22" t="s">
        <v>3613</v>
      </c>
      <c r="B3499" s="36">
        <v>46047.97361111111</v>
      </c>
      <c r="D3499" s="22" t="s">
        <v>39</v>
      </c>
      <c r="E3499" s="22" t="s">
        <v>65</v>
      </c>
      <c r="F3499" s="22" t="s">
        <v>43</v>
      </c>
      <c r="G3499" s="22" t="s">
        <v>110</v>
      </c>
      <c r="H3499" s="22" t="s">
        <v>59</v>
      </c>
      <c r="I3499" s="22" t="s">
        <v>123</v>
      </c>
      <c r="J3499" s="23">
        <v>48</v>
      </c>
      <c r="K3499" s="37">
        <v>0</v>
      </c>
      <c r="M3499" s="22" t="str">
        <f>IF(OR(ISBLANK(C3499),C3499=""),"",ROUND((C3499-B3499)*24,2))</f>
        <v/>
      </c>
      <c r="N3499" s="22" t="str">
        <f>IF(OR(ISBLANK(C3499),C3499="",M3499=""),"In Progress",IF(M3499&lt;=J3499,"Met","Breached"))</f>
        <v>In Progress</v>
      </c>
    </row>
    <row r="3500" ht="19" customHeight="1" spans="1:14" x14ac:dyDescent="0.25">
      <c r="A3500" s="19" t="s">
        <v>3614</v>
      </c>
      <c r="B3500" s="33">
        <v>46129.82847222222</v>
      </c>
      <c r="C3500" s="33">
        <v>46136.11111111111</v>
      </c>
      <c r="D3500" s="19" t="s">
        <v>33</v>
      </c>
      <c r="E3500" s="19" t="s">
        <v>69</v>
      </c>
      <c r="F3500" s="19" t="s">
        <v>45</v>
      </c>
      <c r="G3500" s="19" t="s">
        <v>110</v>
      </c>
      <c r="H3500" s="19" t="s">
        <v>63</v>
      </c>
      <c r="I3500" s="19" t="s">
        <v>108</v>
      </c>
      <c r="J3500" s="20">
        <v>120</v>
      </c>
      <c r="K3500" s="34">
        <v>0</v>
      </c>
      <c r="L3500" s="34">
        <v>2</v>
      </c>
      <c r="M3500" s="19">
        <f>IF(OR(ISBLANK(C3500),C3500=""),"",ROUND((C3500-B3500)*24,2))</f>
        <v>150.78</v>
      </c>
      <c r="N3500" s="39" t="str">
        <f>IF(OR(ISBLANK(C3500),C3500="",M3500=""),"In Progress",IF(M3500&lt;=J3500,"Met","Breached"))</f>
        <v>Breached</v>
      </c>
    </row>
    <row r="3501" ht="19" customHeight="1" spans="1:14" x14ac:dyDescent="0.25">
      <c r="A3501" s="22" t="s">
        <v>3615</v>
      </c>
      <c r="B3501" s="36">
        <v>45702.992361111115</v>
      </c>
      <c r="C3501" s="36">
        <v>45705.59444444445</v>
      </c>
      <c r="D3501" s="22" t="s">
        <v>33</v>
      </c>
      <c r="E3501" s="22" t="s">
        <v>69</v>
      </c>
      <c r="F3501" s="22" t="s">
        <v>34</v>
      </c>
      <c r="G3501" s="22" t="s">
        <v>110</v>
      </c>
      <c r="H3501" s="22" t="s">
        <v>59</v>
      </c>
      <c r="I3501" s="22" t="s">
        <v>117</v>
      </c>
      <c r="J3501" s="23">
        <v>120</v>
      </c>
      <c r="K3501" s="37">
        <v>0</v>
      </c>
      <c r="L3501" s="37">
        <v>1</v>
      </c>
      <c r="M3501" s="22">
        <f>IF(OR(ISBLANK(C3501),C3501=""),"",ROUND((C3501-B3501)*24,2))</f>
        <v>62.45</v>
      </c>
      <c r="N3501" s="40" t="str">
        <f>IF(OR(ISBLANK(C3501),C3501="",M3501=""),"In Progress",IF(M3501&lt;=J3501,"Met","Breached"))</f>
        <v>Met</v>
      </c>
    </row>
    <row r="3502" ht="19" customHeight="1" spans="1:14" x14ac:dyDescent="0.25">
      <c r="A3502" s="19" t="s">
        <v>3616</v>
      </c>
      <c r="B3502" s="33">
        <v>46090.65138888889</v>
      </c>
      <c r="C3502" s="33">
        <v>46094.025</v>
      </c>
      <c r="D3502" s="19" t="s">
        <v>33</v>
      </c>
      <c r="E3502" s="19" t="s">
        <v>65</v>
      </c>
      <c r="F3502" s="19" t="s">
        <v>43</v>
      </c>
      <c r="G3502" s="19" t="s">
        <v>63</v>
      </c>
      <c r="H3502" s="19" t="s">
        <v>63</v>
      </c>
      <c r="I3502" s="19" t="s">
        <v>114</v>
      </c>
      <c r="J3502" s="20">
        <v>48</v>
      </c>
      <c r="K3502" s="34">
        <v>0</v>
      </c>
      <c r="M3502" s="19">
        <f>IF(OR(ISBLANK(C3502),C3502=""),"",ROUND((C3502-B3502)*24,2))</f>
        <v>80.97</v>
      </c>
      <c r="N3502" s="39" t="str">
        <f>IF(OR(ISBLANK(C3502),C3502="",M3502=""),"In Progress",IF(M3502&lt;=J3502,"Met","Breached"))</f>
        <v>Breached</v>
      </c>
    </row>
    <row r="3503" ht="19" customHeight="1" spans="1:14" x14ac:dyDescent="0.25">
      <c r="A3503" s="22" t="s">
        <v>3617</v>
      </c>
      <c r="B3503" s="36">
        <v>45990.00208333333</v>
      </c>
      <c r="D3503" s="22" t="s">
        <v>39</v>
      </c>
      <c r="E3503" s="22" t="s">
        <v>61</v>
      </c>
      <c r="F3503" s="22" t="s">
        <v>45</v>
      </c>
      <c r="G3503" s="22" t="s">
        <v>121</v>
      </c>
      <c r="H3503" s="22" t="s">
        <v>59</v>
      </c>
      <c r="I3503" s="22" t="s">
        <v>123</v>
      </c>
      <c r="J3503" s="23">
        <v>12</v>
      </c>
      <c r="K3503" s="37">
        <v>0</v>
      </c>
      <c r="M3503" s="22" t="str">
        <f>IF(OR(ISBLANK(C3503),C3503=""),"",ROUND((C3503-B3503)*24,2))</f>
        <v/>
      </c>
      <c r="N3503" s="22" t="str">
        <f>IF(OR(ISBLANK(C3503),C3503="",M3503=""),"In Progress",IF(M3503&lt;=J3503,"Met","Breached"))</f>
        <v>In Progress</v>
      </c>
    </row>
    <row r="3504" ht="19" customHeight="1" spans="1:14" x14ac:dyDescent="0.25">
      <c r="A3504" s="19" t="s">
        <v>3618</v>
      </c>
      <c r="B3504" s="33">
        <v>45994.34097222222</v>
      </c>
      <c r="C3504" s="33">
        <v>46001.18541666667</v>
      </c>
      <c r="D3504" s="19" t="s">
        <v>33</v>
      </c>
      <c r="E3504" s="19" t="s">
        <v>69</v>
      </c>
      <c r="F3504" s="19" t="s">
        <v>45</v>
      </c>
      <c r="G3504" s="19" t="s">
        <v>126</v>
      </c>
      <c r="H3504" s="19" t="s">
        <v>59</v>
      </c>
      <c r="I3504" s="19" t="s">
        <v>117</v>
      </c>
      <c r="J3504" s="20">
        <v>120</v>
      </c>
      <c r="K3504" s="34">
        <v>0</v>
      </c>
      <c r="L3504" s="34">
        <v>5</v>
      </c>
      <c r="M3504" s="19">
        <f>IF(OR(ISBLANK(C3504),C3504=""),"",ROUND((C3504-B3504)*24,2))</f>
        <v>164.27</v>
      </c>
      <c r="N3504" s="39" t="str">
        <f>IF(OR(ISBLANK(C3504),C3504="",M3504=""),"In Progress",IF(M3504&lt;=J3504,"Met","Breached"))</f>
        <v>Breached</v>
      </c>
    </row>
    <row r="3505" ht="19" customHeight="1" spans="1:14" x14ac:dyDescent="0.25">
      <c r="A3505" s="22" t="s">
        <v>3619</v>
      </c>
      <c r="B3505" s="36">
        <v>45732.70763888889</v>
      </c>
      <c r="C3505" s="36">
        <v>45734.15416666667</v>
      </c>
      <c r="D3505" s="22" t="s">
        <v>33</v>
      </c>
      <c r="E3505" s="22" t="s">
        <v>65</v>
      </c>
      <c r="F3505" s="22" t="s">
        <v>34</v>
      </c>
      <c r="G3505" s="22" t="s">
        <v>116</v>
      </c>
      <c r="H3505" s="22" t="s">
        <v>63</v>
      </c>
      <c r="I3505" s="22" t="s">
        <v>111</v>
      </c>
      <c r="J3505" s="23">
        <v>48</v>
      </c>
      <c r="K3505" s="37">
        <v>0</v>
      </c>
      <c r="M3505" s="22">
        <f>IF(OR(ISBLANK(C3505),C3505=""),"",ROUND((C3505-B3505)*24,2))</f>
        <v>34.72</v>
      </c>
      <c r="N3505" s="40" t="str">
        <f>IF(OR(ISBLANK(C3505),C3505="",M3505=""),"In Progress",IF(M3505&lt;=J3505,"Met","Breached"))</f>
        <v>Met</v>
      </c>
    </row>
    <row r="3506" ht="19" customHeight="1" spans="1:14" x14ac:dyDescent="0.25">
      <c r="A3506" s="19" t="s">
        <v>3620</v>
      </c>
      <c r="B3506" s="33">
        <v>46109.3875</v>
      </c>
      <c r="D3506" s="19" t="s">
        <v>42</v>
      </c>
      <c r="E3506" s="19" t="s">
        <v>61</v>
      </c>
      <c r="F3506" s="19" t="s">
        <v>45</v>
      </c>
      <c r="G3506" s="19" t="s">
        <v>63</v>
      </c>
      <c r="H3506" s="19" t="s">
        <v>59</v>
      </c>
      <c r="I3506" s="19" t="s">
        <v>114</v>
      </c>
      <c r="J3506" s="20">
        <v>12</v>
      </c>
      <c r="K3506" s="34">
        <v>0</v>
      </c>
      <c r="M3506" s="19" t="str">
        <f>IF(OR(ISBLANK(C3506),C3506=""),"",ROUND((C3506-B3506)*24,2))</f>
        <v/>
      </c>
      <c r="N3506" s="19" t="str">
        <f>IF(OR(ISBLANK(C3506),C3506="",M3506=""),"In Progress",IF(M3506&lt;=J3506,"Met","Breached"))</f>
        <v>In Progress</v>
      </c>
    </row>
    <row r="3507" ht="19" customHeight="1" spans="1:14" x14ac:dyDescent="0.25">
      <c r="A3507" s="22" t="s">
        <v>3621</v>
      </c>
      <c r="B3507" s="36">
        <v>46275.18125</v>
      </c>
      <c r="C3507" s="36">
        <v>46275.370833333334</v>
      </c>
      <c r="D3507" s="22" t="s">
        <v>36</v>
      </c>
      <c r="E3507" s="22" t="s">
        <v>57</v>
      </c>
      <c r="F3507" s="22" t="s">
        <v>43</v>
      </c>
      <c r="G3507" s="22" t="s">
        <v>113</v>
      </c>
      <c r="H3507" s="22" t="s">
        <v>63</v>
      </c>
      <c r="I3507" s="22" t="s">
        <v>117</v>
      </c>
      <c r="J3507" s="23">
        <v>4</v>
      </c>
      <c r="K3507" s="37">
        <v>0</v>
      </c>
      <c r="L3507" s="37">
        <v>2</v>
      </c>
      <c r="M3507" s="22">
        <f>IF(OR(ISBLANK(C3507),C3507=""),"",ROUND((C3507-B3507)*24,2))</f>
        <v>4.55</v>
      </c>
      <c r="N3507" s="38" t="str">
        <f>IF(OR(ISBLANK(C3507),C3507="",M3507=""),"In Progress",IF(M3507&lt;=J3507,"Met","Breached"))</f>
        <v>Breached</v>
      </c>
    </row>
    <row r="3508" ht="19" customHeight="1" spans="1:14" x14ac:dyDescent="0.25">
      <c r="A3508" s="19" t="s">
        <v>3622</v>
      </c>
      <c r="B3508" s="33">
        <v>46018.93888888889</v>
      </c>
      <c r="C3508" s="33">
        <v>46019.57152777778</v>
      </c>
      <c r="D3508" s="19" t="s">
        <v>33</v>
      </c>
      <c r="E3508" s="19" t="s">
        <v>61</v>
      </c>
      <c r="F3508" s="19" t="s">
        <v>40</v>
      </c>
      <c r="G3508" s="19" t="s">
        <v>126</v>
      </c>
      <c r="H3508" s="19" t="s">
        <v>63</v>
      </c>
      <c r="I3508" s="19" t="s">
        <v>111</v>
      </c>
      <c r="J3508" s="20">
        <v>12</v>
      </c>
      <c r="K3508" s="34">
        <v>0</v>
      </c>
      <c r="M3508" s="19">
        <f>IF(OR(ISBLANK(C3508),C3508=""),"",ROUND((C3508-B3508)*24,2))</f>
        <v>15.18</v>
      </c>
      <c r="N3508" s="39" t="str">
        <f>IF(OR(ISBLANK(C3508),C3508="",M3508=""),"In Progress",IF(M3508&lt;=J3508,"Met","Breached"))</f>
        <v>Breached</v>
      </c>
    </row>
    <row r="3509" ht="19" customHeight="1" spans="1:14" x14ac:dyDescent="0.25">
      <c r="A3509" s="22" t="s">
        <v>3623</v>
      </c>
      <c r="B3509" s="36">
        <v>46171.35416666667</v>
      </c>
      <c r="D3509" s="22" t="s">
        <v>39</v>
      </c>
      <c r="E3509" s="22" t="s">
        <v>69</v>
      </c>
      <c r="F3509" s="22" t="s">
        <v>45</v>
      </c>
      <c r="G3509" s="22" t="s">
        <v>113</v>
      </c>
      <c r="H3509" s="22" t="s">
        <v>59</v>
      </c>
      <c r="I3509" s="22" t="s">
        <v>108</v>
      </c>
      <c r="J3509" s="23">
        <v>120</v>
      </c>
      <c r="K3509" s="37">
        <v>0</v>
      </c>
      <c r="M3509" s="22" t="str">
        <f>IF(OR(ISBLANK(C3509),C3509=""),"",ROUND((C3509-B3509)*24,2))</f>
        <v/>
      </c>
      <c r="N3509" s="22" t="str">
        <f>IF(OR(ISBLANK(C3509),C3509="",M3509=""),"In Progress",IF(M3509&lt;=J3509,"Met","Breached"))</f>
        <v>In Progress</v>
      </c>
    </row>
    <row r="3510" ht="19" customHeight="1" spans="1:14" x14ac:dyDescent="0.25">
      <c r="A3510" s="19" t="s">
        <v>3624</v>
      </c>
      <c r="B3510" s="33">
        <v>45666.8875</v>
      </c>
      <c r="D3510" s="19" t="s">
        <v>39</v>
      </c>
      <c r="E3510" s="19" t="s">
        <v>61</v>
      </c>
      <c r="F3510" s="19" t="s">
        <v>40</v>
      </c>
      <c r="G3510" s="19" t="s">
        <v>110</v>
      </c>
      <c r="H3510" s="19" t="s">
        <v>59</v>
      </c>
      <c r="I3510" s="19" t="s">
        <v>108</v>
      </c>
      <c r="J3510" s="20">
        <v>12</v>
      </c>
      <c r="K3510" s="34">
        <v>0</v>
      </c>
      <c r="M3510" s="19" t="str">
        <f>IF(OR(ISBLANK(C3510),C3510=""),"",ROUND((C3510-B3510)*24,2))</f>
        <v/>
      </c>
      <c r="N3510" s="19" t="str">
        <f>IF(OR(ISBLANK(C3510),C3510="",M3510=""),"In Progress",IF(M3510&lt;=J3510,"Met","Breached"))</f>
        <v>In Progress</v>
      </c>
    </row>
    <row r="3511" ht="19" customHeight="1" spans="1:14" x14ac:dyDescent="0.25">
      <c r="A3511" s="22" t="s">
        <v>3625</v>
      </c>
      <c r="B3511" s="36">
        <v>45846.60486111111</v>
      </c>
      <c r="D3511" s="22" t="s">
        <v>39</v>
      </c>
      <c r="E3511" s="22" t="s">
        <v>65</v>
      </c>
      <c r="F3511" s="22" t="s">
        <v>43</v>
      </c>
      <c r="G3511" s="22" t="s">
        <v>113</v>
      </c>
      <c r="H3511" s="22" t="s">
        <v>59</v>
      </c>
      <c r="I3511" s="22" t="s">
        <v>114</v>
      </c>
      <c r="J3511" s="23">
        <v>48</v>
      </c>
      <c r="K3511" s="37">
        <v>0</v>
      </c>
      <c r="M3511" s="22" t="str">
        <f>IF(OR(ISBLANK(C3511),C3511=""),"",ROUND((C3511-B3511)*24,2))</f>
        <v/>
      </c>
      <c r="N3511" s="22" t="str">
        <f>IF(OR(ISBLANK(C3511),C3511="",M3511=""),"In Progress",IF(M3511&lt;=J3511,"Met","Breached"))</f>
        <v>In Progress</v>
      </c>
    </row>
    <row r="3512" ht="19" customHeight="1" spans="1:14" x14ac:dyDescent="0.25">
      <c r="A3512" s="19" t="s">
        <v>3626</v>
      </c>
      <c r="B3512" s="33">
        <v>46282.03333333333</v>
      </c>
      <c r="C3512" s="33">
        <v>46285.544444444444</v>
      </c>
      <c r="D3512" s="19" t="s">
        <v>33</v>
      </c>
      <c r="E3512" s="19" t="s">
        <v>65</v>
      </c>
      <c r="F3512" s="19" t="s">
        <v>37</v>
      </c>
      <c r="G3512" s="19" t="s">
        <v>121</v>
      </c>
      <c r="H3512" s="19" t="s">
        <v>59</v>
      </c>
      <c r="I3512" s="19" t="s">
        <v>108</v>
      </c>
      <c r="J3512" s="20">
        <v>48</v>
      </c>
      <c r="K3512" s="34">
        <v>0</v>
      </c>
      <c r="L3512" s="34">
        <v>5</v>
      </c>
      <c r="M3512" s="19">
        <f>IF(OR(ISBLANK(C3512),C3512=""),"",ROUND((C3512-B3512)*24,2))</f>
        <v>84.27</v>
      </c>
      <c r="N3512" s="39" t="str">
        <f>IF(OR(ISBLANK(C3512),C3512="",M3512=""),"In Progress",IF(M3512&lt;=J3512,"Met","Breached"))</f>
        <v>Breached</v>
      </c>
    </row>
    <row r="3513" ht="19" customHeight="1" spans="1:14" x14ac:dyDescent="0.25">
      <c r="A3513" s="22" t="s">
        <v>3627</v>
      </c>
      <c r="B3513" s="36">
        <v>45799.669444444444</v>
      </c>
      <c r="C3513" s="36">
        <v>45802.75555555556</v>
      </c>
      <c r="D3513" s="22" t="s">
        <v>33</v>
      </c>
      <c r="E3513" s="22" t="s">
        <v>65</v>
      </c>
      <c r="F3513" s="22" t="s">
        <v>45</v>
      </c>
      <c r="G3513" s="22" t="s">
        <v>110</v>
      </c>
      <c r="H3513" s="22" t="s">
        <v>63</v>
      </c>
      <c r="I3513" s="22" t="s">
        <v>108</v>
      </c>
      <c r="J3513" s="23">
        <v>48</v>
      </c>
      <c r="K3513" s="37">
        <v>0</v>
      </c>
      <c r="M3513" s="22">
        <f>IF(OR(ISBLANK(C3513),C3513=""),"",ROUND((C3513-B3513)*24,2))</f>
        <v>74.07</v>
      </c>
      <c r="N3513" s="38" t="str">
        <f>IF(OR(ISBLANK(C3513),C3513="",M3513=""),"In Progress",IF(M3513&lt;=J3513,"Met","Breached"))</f>
        <v>Breached</v>
      </c>
    </row>
    <row r="3514" ht="19" customHeight="1" spans="1:14" x14ac:dyDescent="0.25">
      <c r="A3514" s="19" t="s">
        <v>3628</v>
      </c>
      <c r="B3514" s="33">
        <v>45793.521527777775</v>
      </c>
      <c r="C3514" s="33">
        <v>45793.830555555556</v>
      </c>
      <c r="D3514" s="19" t="s">
        <v>33</v>
      </c>
      <c r="E3514" s="19" t="s">
        <v>61</v>
      </c>
      <c r="F3514" s="19" t="s">
        <v>40</v>
      </c>
      <c r="G3514" s="19" t="s">
        <v>116</v>
      </c>
      <c r="H3514" s="19" t="s">
        <v>63</v>
      </c>
      <c r="I3514" s="19" t="s">
        <v>108</v>
      </c>
      <c r="J3514" s="20">
        <v>12</v>
      </c>
      <c r="K3514" s="34">
        <v>0</v>
      </c>
      <c r="L3514" s="34">
        <v>1</v>
      </c>
      <c r="M3514" s="19">
        <f>IF(OR(ISBLANK(C3514),C3514=""),"",ROUND((C3514-B3514)*24,2))</f>
        <v>7.42</v>
      </c>
      <c r="N3514" s="35" t="str">
        <f>IF(OR(ISBLANK(C3514),C3514="",M3514=""),"In Progress",IF(M3514&lt;=J3514,"Met","Breached"))</f>
        <v>Met</v>
      </c>
    </row>
    <row r="3515" ht="19" customHeight="1" spans="1:14" x14ac:dyDescent="0.25">
      <c r="A3515" s="22" t="s">
        <v>3629</v>
      </c>
      <c r="B3515" s="36">
        <v>45855.620833333334</v>
      </c>
      <c r="C3515" s="36">
        <v>45857.17291666666</v>
      </c>
      <c r="D3515" s="22" t="s">
        <v>33</v>
      </c>
      <c r="E3515" s="22" t="s">
        <v>65</v>
      </c>
      <c r="F3515" s="22" t="s">
        <v>43</v>
      </c>
      <c r="G3515" s="22" t="s">
        <v>63</v>
      </c>
      <c r="H3515" s="22" t="s">
        <v>59</v>
      </c>
      <c r="I3515" s="22" t="s">
        <v>108</v>
      </c>
      <c r="J3515" s="23">
        <v>48</v>
      </c>
      <c r="K3515" s="37">
        <v>0</v>
      </c>
      <c r="L3515" s="37">
        <v>4</v>
      </c>
      <c r="M3515" s="22">
        <f>IF(OR(ISBLANK(C3515),C3515=""),"",ROUND((C3515-B3515)*24,2))</f>
        <v>37.25</v>
      </c>
      <c r="N3515" s="40" t="str">
        <f>IF(OR(ISBLANK(C3515),C3515="",M3515=""),"In Progress",IF(M3515&lt;=J3515,"Met","Breached"))</f>
        <v>Met</v>
      </c>
    </row>
    <row r="3516" ht="19" customHeight="1" spans="1:14" x14ac:dyDescent="0.25">
      <c r="A3516" s="19" t="s">
        <v>3630</v>
      </c>
      <c r="B3516" s="33">
        <v>46280.775</v>
      </c>
      <c r="C3516" s="33">
        <v>46286.82777777778</v>
      </c>
      <c r="D3516" s="19" t="s">
        <v>33</v>
      </c>
      <c r="E3516" s="19" t="s">
        <v>69</v>
      </c>
      <c r="F3516" s="19" t="s">
        <v>34</v>
      </c>
      <c r="G3516" s="19" t="s">
        <v>121</v>
      </c>
      <c r="H3516" s="19" t="s">
        <v>59</v>
      </c>
      <c r="I3516" s="19" t="s">
        <v>108</v>
      </c>
      <c r="J3516" s="20">
        <v>120</v>
      </c>
      <c r="K3516" s="34">
        <v>1</v>
      </c>
      <c r="L3516" s="34">
        <v>5</v>
      </c>
      <c r="M3516" s="19">
        <f>IF(OR(ISBLANK(C3516),C3516=""),"",ROUND((C3516-B3516)*24,2))</f>
        <v>145.27</v>
      </c>
      <c r="N3516" s="39" t="str">
        <f>IF(OR(ISBLANK(C3516),C3516="",M3516=""),"In Progress",IF(M3516&lt;=J3516,"Met","Breached"))</f>
        <v>Breached</v>
      </c>
    </row>
    <row r="3517" ht="19" customHeight="1" spans="1:14" x14ac:dyDescent="0.25">
      <c r="A3517" s="22" t="s">
        <v>3631</v>
      </c>
      <c r="B3517" s="36">
        <v>46004.660416666666</v>
      </c>
      <c r="D3517" s="22" t="s">
        <v>39</v>
      </c>
      <c r="E3517" s="22" t="s">
        <v>65</v>
      </c>
      <c r="F3517" s="22" t="s">
        <v>45</v>
      </c>
      <c r="G3517" s="22" t="s">
        <v>121</v>
      </c>
      <c r="H3517" s="22" t="s">
        <v>59</v>
      </c>
      <c r="I3517" s="22" t="s">
        <v>123</v>
      </c>
      <c r="J3517" s="23">
        <v>48</v>
      </c>
      <c r="K3517" s="37">
        <v>0</v>
      </c>
      <c r="M3517" s="22" t="str">
        <f>IF(OR(ISBLANK(C3517),C3517=""),"",ROUND((C3517-B3517)*24,2))</f>
        <v/>
      </c>
      <c r="N3517" s="22" t="str">
        <f>IF(OR(ISBLANK(C3517),C3517="",M3517=""),"In Progress",IF(M3517&lt;=J3517,"Met","Breached"))</f>
        <v>In Progress</v>
      </c>
    </row>
    <row r="3518" ht="19" customHeight="1" spans="1:14" x14ac:dyDescent="0.25">
      <c r="A3518" s="19" t="s">
        <v>3632</v>
      </c>
      <c r="B3518" s="33">
        <v>45769.771527777775</v>
      </c>
      <c r="C3518" s="33">
        <v>45770.65902777778</v>
      </c>
      <c r="D3518" s="19" t="s">
        <v>33</v>
      </c>
      <c r="E3518" s="19" t="s">
        <v>61</v>
      </c>
      <c r="F3518" s="19" t="s">
        <v>37</v>
      </c>
      <c r="G3518" s="19" t="s">
        <v>113</v>
      </c>
      <c r="H3518" s="19" t="s">
        <v>67</v>
      </c>
      <c r="I3518" s="19" t="s">
        <v>111</v>
      </c>
      <c r="J3518" s="20">
        <v>12</v>
      </c>
      <c r="K3518" s="34">
        <v>0</v>
      </c>
      <c r="L3518" s="34">
        <v>2</v>
      </c>
      <c r="M3518" s="19">
        <f>IF(OR(ISBLANK(C3518),C3518=""),"",ROUND((C3518-B3518)*24,2))</f>
        <v>21.3</v>
      </c>
      <c r="N3518" s="39" t="str">
        <f>IF(OR(ISBLANK(C3518),C3518="",M3518=""),"In Progress",IF(M3518&lt;=J3518,"Met","Breached"))</f>
        <v>Breached</v>
      </c>
    </row>
    <row r="3519" ht="19" customHeight="1" spans="1:14" x14ac:dyDescent="0.25">
      <c r="A3519" s="22" t="s">
        <v>3633</v>
      </c>
      <c r="B3519" s="36">
        <v>45702.19652777778</v>
      </c>
      <c r="C3519" s="36">
        <v>45704.50138888889</v>
      </c>
      <c r="D3519" s="22" t="s">
        <v>33</v>
      </c>
      <c r="E3519" s="22" t="s">
        <v>65</v>
      </c>
      <c r="F3519" s="22" t="s">
        <v>34</v>
      </c>
      <c r="G3519" s="22" t="s">
        <v>113</v>
      </c>
      <c r="H3519" s="22" t="s">
        <v>59</v>
      </c>
      <c r="I3519" s="22" t="s">
        <v>117</v>
      </c>
      <c r="J3519" s="23">
        <v>48</v>
      </c>
      <c r="K3519" s="37">
        <v>0</v>
      </c>
      <c r="L3519" s="37">
        <v>5</v>
      </c>
      <c r="M3519" s="22">
        <f>IF(OR(ISBLANK(C3519),C3519=""),"",ROUND((C3519-B3519)*24,2))</f>
        <v>55.32</v>
      </c>
      <c r="N3519" s="38" t="str">
        <f>IF(OR(ISBLANK(C3519),C3519="",M3519=""),"In Progress",IF(M3519&lt;=J3519,"Met","Breached"))</f>
        <v>Breached</v>
      </c>
    </row>
    <row r="3520" ht="19" customHeight="1" spans="1:14" x14ac:dyDescent="0.25">
      <c r="A3520" s="19" t="s">
        <v>3634</v>
      </c>
      <c r="B3520" s="33">
        <v>46174.20138888889</v>
      </c>
      <c r="C3520" s="33">
        <v>46175.67916666667</v>
      </c>
      <c r="D3520" s="19" t="s">
        <v>33</v>
      </c>
      <c r="E3520" s="19" t="s">
        <v>65</v>
      </c>
      <c r="F3520" s="19" t="s">
        <v>40</v>
      </c>
      <c r="G3520" s="19" t="s">
        <v>126</v>
      </c>
      <c r="H3520" s="19" t="s">
        <v>71</v>
      </c>
      <c r="I3520" s="19" t="s">
        <v>108</v>
      </c>
      <c r="J3520" s="20">
        <v>48</v>
      </c>
      <c r="K3520" s="34">
        <v>0</v>
      </c>
      <c r="M3520" s="19">
        <f>IF(OR(ISBLANK(C3520),C3520=""),"",ROUND((C3520-B3520)*24,2))</f>
        <v>35.47</v>
      </c>
      <c r="N3520" s="35" t="str">
        <f>IF(OR(ISBLANK(C3520),C3520="",M3520=""),"In Progress",IF(M3520&lt;=J3520,"Met","Breached"))</f>
        <v>Met</v>
      </c>
    </row>
    <row r="3521" ht="19" customHeight="1" spans="1:14" x14ac:dyDescent="0.25">
      <c r="A3521" s="22" t="s">
        <v>3635</v>
      </c>
      <c r="B3521" s="36">
        <v>45973.29791666666</v>
      </c>
      <c r="D3521" s="22" t="s">
        <v>39</v>
      </c>
      <c r="E3521" s="22" t="s">
        <v>69</v>
      </c>
      <c r="F3521" s="22" t="s">
        <v>34</v>
      </c>
      <c r="G3521" s="22" t="s">
        <v>113</v>
      </c>
      <c r="H3521" s="22" t="s">
        <v>63</v>
      </c>
      <c r="I3521" s="22" t="s">
        <v>123</v>
      </c>
      <c r="J3521" s="23">
        <v>120</v>
      </c>
      <c r="K3521" s="37">
        <v>0</v>
      </c>
      <c r="M3521" s="22" t="str">
        <f>IF(OR(ISBLANK(C3521),C3521=""),"",ROUND((C3521-B3521)*24,2))</f>
        <v/>
      </c>
      <c r="N3521" s="22" t="str">
        <f>IF(OR(ISBLANK(C3521),C3521="",M3521=""),"In Progress",IF(M3521&lt;=J3521,"Met","Breached"))</f>
        <v>In Progress</v>
      </c>
    </row>
    <row r="3522" ht="19" customHeight="1" spans="1:14" x14ac:dyDescent="0.25">
      <c r="A3522" s="19" t="s">
        <v>3636</v>
      </c>
      <c r="B3522" s="33">
        <v>45798.25833333333</v>
      </c>
      <c r="C3522" s="33">
        <v>45798.461111111115</v>
      </c>
      <c r="D3522" s="19" t="s">
        <v>33</v>
      </c>
      <c r="E3522" s="19" t="s">
        <v>61</v>
      </c>
      <c r="F3522" s="19" t="s">
        <v>40</v>
      </c>
      <c r="G3522" s="19" t="s">
        <v>110</v>
      </c>
      <c r="H3522" s="19" t="s">
        <v>63</v>
      </c>
      <c r="I3522" s="19" t="s">
        <v>117</v>
      </c>
      <c r="J3522" s="20">
        <v>12</v>
      </c>
      <c r="K3522" s="34">
        <v>0</v>
      </c>
      <c r="M3522" s="19">
        <f>IF(OR(ISBLANK(C3522),C3522=""),"",ROUND((C3522-B3522)*24,2))</f>
        <v>4.87</v>
      </c>
      <c r="N3522" s="35" t="str">
        <f>IF(OR(ISBLANK(C3522),C3522="",M3522=""),"In Progress",IF(M3522&lt;=J3522,"Met","Breached"))</f>
        <v>Met</v>
      </c>
    </row>
    <row r="3523" ht="19" customHeight="1" spans="1:14" x14ac:dyDescent="0.25">
      <c r="A3523" s="22" t="s">
        <v>3637</v>
      </c>
      <c r="B3523" s="36">
        <v>45909.39722222222</v>
      </c>
      <c r="C3523" s="36">
        <v>45911.11666666667</v>
      </c>
      <c r="D3523" s="22" t="s">
        <v>33</v>
      </c>
      <c r="E3523" s="22" t="s">
        <v>65</v>
      </c>
      <c r="F3523" s="22" t="s">
        <v>37</v>
      </c>
      <c r="G3523" s="22" t="s">
        <v>121</v>
      </c>
      <c r="H3523" s="22" t="s">
        <v>59</v>
      </c>
      <c r="I3523" s="22" t="s">
        <v>111</v>
      </c>
      <c r="J3523" s="23">
        <v>48</v>
      </c>
      <c r="K3523" s="37">
        <v>0</v>
      </c>
      <c r="L3523" s="37">
        <v>1</v>
      </c>
      <c r="M3523" s="22">
        <f>IF(OR(ISBLANK(C3523),C3523=""),"",ROUND((C3523-B3523)*24,2))</f>
        <v>41.27</v>
      </c>
      <c r="N3523" s="40" t="str">
        <f>IF(OR(ISBLANK(C3523),C3523="",M3523=""),"In Progress",IF(M3523&lt;=J3523,"Met","Breached"))</f>
        <v>Met</v>
      </c>
    </row>
    <row r="3524" ht="19" customHeight="1" spans="1:14" x14ac:dyDescent="0.25">
      <c r="A3524" s="19" t="s">
        <v>3638</v>
      </c>
      <c r="B3524" s="33">
        <v>45973.34305555555</v>
      </c>
      <c r="C3524" s="33">
        <v>45976.07708333334</v>
      </c>
      <c r="D3524" s="19" t="s">
        <v>36</v>
      </c>
      <c r="E3524" s="19" t="s">
        <v>65</v>
      </c>
      <c r="F3524" s="19" t="s">
        <v>34</v>
      </c>
      <c r="G3524" s="19" t="s">
        <v>113</v>
      </c>
      <c r="H3524" s="19" t="s">
        <v>59</v>
      </c>
      <c r="I3524" s="19" t="s">
        <v>111</v>
      </c>
      <c r="J3524" s="20">
        <v>48</v>
      </c>
      <c r="K3524" s="34">
        <v>0</v>
      </c>
      <c r="M3524" s="19">
        <f>IF(OR(ISBLANK(C3524),C3524=""),"",ROUND((C3524-B3524)*24,2))</f>
        <v>65.62</v>
      </c>
      <c r="N3524" s="39" t="str">
        <f>IF(OR(ISBLANK(C3524),C3524="",M3524=""),"In Progress",IF(M3524&lt;=J3524,"Met","Breached"))</f>
        <v>Breached</v>
      </c>
    </row>
    <row r="3525" ht="19" customHeight="1" spans="1:14" x14ac:dyDescent="0.25">
      <c r="A3525" s="22" t="s">
        <v>3639</v>
      </c>
      <c r="B3525" s="36">
        <v>46246.57847222222</v>
      </c>
      <c r="C3525" s="36">
        <v>46247.92638888889</v>
      </c>
      <c r="D3525" s="22" t="s">
        <v>33</v>
      </c>
      <c r="E3525" s="22" t="s">
        <v>65</v>
      </c>
      <c r="F3525" s="22" t="s">
        <v>45</v>
      </c>
      <c r="G3525" s="22" t="s">
        <v>116</v>
      </c>
      <c r="H3525" s="22" t="s">
        <v>63</v>
      </c>
      <c r="I3525" s="22" t="s">
        <v>123</v>
      </c>
      <c r="J3525" s="23">
        <v>48</v>
      </c>
      <c r="K3525" s="37">
        <v>0</v>
      </c>
      <c r="L3525" s="37">
        <v>3</v>
      </c>
      <c r="M3525" s="22">
        <f>IF(OR(ISBLANK(C3525),C3525=""),"",ROUND((C3525-B3525)*24,2))</f>
        <v>32.35</v>
      </c>
      <c r="N3525" s="40" t="str">
        <f>IF(OR(ISBLANK(C3525),C3525="",M3525=""),"In Progress",IF(M3525&lt;=J3525,"Met","Breached"))</f>
        <v>Met</v>
      </c>
    </row>
    <row r="3526" ht="19" customHeight="1" spans="1:14" x14ac:dyDescent="0.25">
      <c r="A3526" s="19" t="s">
        <v>3640</v>
      </c>
      <c r="B3526" s="33">
        <v>45695.149305555555</v>
      </c>
      <c r="D3526" s="19" t="s">
        <v>42</v>
      </c>
      <c r="E3526" s="19" t="s">
        <v>69</v>
      </c>
      <c r="F3526" s="19" t="s">
        <v>37</v>
      </c>
      <c r="G3526" s="19" t="s">
        <v>63</v>
      </c>
      <c r="H3526" s="19" t="s">
        <v>59</v>
      </c>
      <c r="I3526" s="19" t="s">
        <v>147</v>
      </c>
      <c r="J3526" s="20">
        <v>120</v>
      </c>
      <c r="K3526" s="34">
        <v>0</v>
      </c>
      <c r="M3526" s="19" t="str">
        <f>IF(OR(ISBLANK(C3526),C3526=""),"",ROUND((C3526-B3526)*24,2))</f>
        <v/>
      </c>
      <c r="N3526" s="19" t="str">
        <f>IF(OR(ISBLANK(C3526),C3526="",M3526=""),"In Progress",IF(M3526&lt;=J3526,"Met","Breached"))</f>
        <v>In Progress</v>
      </c>
    </row>
    <row r="3527" ht="19" customHeight="1" spans="1:14" x14ac:dyDescent="0.25">
      <c r="A3527" s="22" t="s">
        <v>3641</v>
      </c>
      <c r="B3527" s="36">
        <v>45849.62291666667</v>
      </c>
      <c r="D3527" s="22" t="s">
        <v>39</v>
      </c>
      <c r="E3527" s="22" t="s">
        <v>61</v>
      </c>
      <c r="F3527" s="22" t="s">
        <v>37</v>
      </c>
      <c r="G3527" s="22" t="s">
        <v>121</v>
      </c>
      <c r="H3527" s="22" t="s">
        <v>71</v>
      </c>
      <c r="I3527" s="22" t="s">
        <v>123</v>
      </c>
      <c r="J3527" s="23">
        <v>12</v>
      </c>
      <c r="K3527" s="37">
        <v>0</v>
      </c>
      <c r="M3527" s="22" t="str">
        <f>IF(OR(ISBLANK(C3527),C3527=""),"",ROUND((C3527-B3527)*24,2))</f>
        <v/>
      </c>
      <c r="N3527" s="22" t="str">
        <f>IF(OR(ISBLANK(C3527),C3527="",M3527=""),"In Progress",IF(M3527&lt;=J3527,"Met","Breached"))</f>
        <v>In Progress</v>
      </c>
    </row>
    <row r="3528" ht="19" customHeight="1" spans="1:14" x14ac:dyDescent="0.25">
      <c r="A3528" s="19" t="s">
        <v>3642</v>
      </c>
      <c r="B3528" s="33">
        <v>46073.90763888889</v>
      </c>
      <c r="C3528" s="33">
        <v>46074.98958333333</v>
      </c>
      <c r="D3528" s="19" t="s">
        <v>36</v>
      </c>
      <c r="E3528" s="19" t="s">
        <v>65</v>
      </c>
      <c r="F3528" s="19" t="s">
        <v>43</v>
      </c>
      <c r="G3528" s="19" t="s">
        <v>110</v>
      </c>
      <c r="H3528" s="19" t="s">
        <v>63</v>
      </c>
      <c r="I3528" s="19" t="s">
        <v>114</v>
      </c>
      <c r="J3528" s="20">
        <v>48</v>
      </c>
      <c r="K3528" s="34">
        <v>0</v>
      </c>
      <c r="M3528" s="19">
        <f>IF(OR(ISBLANK(C3528),C3528=""),"",ROUND((C3528-B3528)*24,2))</f>
        <v>25.97</v>
      </c>
      <c r="N3528" s="35" t="str">
        <f>IF(OR(ISBLANK(C3528),C3528="",M3528=""),"In Progress",IF(M3528&lt;=J3528,"Met","Breached"))</f>
        <v>Met</v>
      </c>
    </row>
    <row r="3529" ht="19" customHeight="1" spans="1:14" x14ac:dyDescent="0.25">
      <c r="A3529" s="22" t="s">
        <v>3643</v>
      </c>
      <c r="B3529" s="36">
        <v>46040.05138888889</v>
      </c>
      <c r="C3529" s="36">
        <v>46040.3</v>
      </c>
      <c r="D3529" s="22" t="s">
        <v>36</v>
      </c>
      <c r="E3529" s="22" t="s">
        <v>61</v>
      </c>
      <c r="F3529" s="22" t="s">
        <v>34</v>
      </c>
      <c r="G3529" s="22" t="s">
        <v>116</v>
      </c>
      <c r="H3529" s="22" t="s">
        <v>59</v>
      </c>
      <c r="I3529" s="22" t="s">
        <v>117</v>
      </c>
      <c r="J3529" s="23">
        <v>12</v>
      </c>
      <c r="K3529" s="37">
        <v>0</v>
      </c>
      <c r="M3529" s="22">
        <f>IF(OR(ISBLANK(C3529),C3529=""),"",ROUND((C3529-B3529)*24,2))</f>
        <v>5.97</v>
      </c>
      <c r="N3529" s="40" t="str">
        <f>IF(OR(ISBLANK(C3529),C3529="",M3529=""),"In Progress",IF(M3529&lt;=J3529,"Met","Breached"))</f>
        <v>Met</v>
      </c>
    </row>
    <row r="3530" ht="19" customHeight="1" spans="1:14" x14ac:dyDescent="0.25">
      <c r="A3530" s="19" t="s">
        <v>3644</v>
      </c>
      <c r="B3530" s="33">
        <v>45849.731944444444</v>
      </c>
      <c r="C3530" s="33">
        <v>45852.64583333333</v>
      </c>
      <c r="D3530" s="19" t="s">
        <v>33</v>
      </c>
      <c r="E3530" s="19" t="s">
        <v>65</v>
      </c>
      <c r="F3530" s="19" t="s">
        <v>43</v>
      </c>
      <c r="G3530" s="19" t="s">
        <v>116</v>
      </c>
      <c r="H3530" s="19" t="s">
        <v>59</v>
      </c>
      <c r="I3530" s="19" t="s">
        <v>147</v>
      </c>
      <c r="J3530" s="20">
        <v>48</v>
      </c>
      <c r="K3530" s="34">
        <v>0</v>
      </c>
      <c r="L3530" s="34">
        <v>4</v>
      </c>
      <c r="M3530" s="19">
        <f>IF(OR(ISBLANK(C3530),C3530=""),"",ROUND((C3530-B3530)*24,2))</f>
        <v>69.93</v>
      </c>
      <c r="N3530" s="39" t="str">
        <f>IF(OR(ISBLANK(C3530),C3530="",M3530=""),"In Progress",IF(M3530&lt;=J3530,"Met","Breached"))</f>
        <v>Breached</v>
      </c>
    </row>
    <row r="3531" ht="19" customHeight="1" spans="1:14" x14ac:dyDescent="0.25">
      <c r="A3531" s="22" t="s">
        <v>3645</v>
      </c>
      <c r="B3531" s="36">
        <v>45756.00069444445</v>
      </c>
      <c r="C3531" s="36">
        <v>45756.15277777778</v>
      </c>
      <c r="D3531" s="22" t="s">
        <v>36</v>
      </c>
      <c r="E3531" s="22" t="s">
        <v>57</v>
      </c>
      <c r="F3531" s="22" t="s">
        <v>40</v>
      </c>
      <c r="G3531" s="22" t="s">
        <v>63</v>
      </c>
      <c r="H3531" s="22" t="s">
        <v>63</v>
      </c>
      <c r="I3531" s="22" t="s">
        <v>147</v>
      </c>
      <c r="J3531" s="23">
        <v>4</v>
      </c>
      <c r="K3531" s="37">
        <v>0</v>
      </c>
      <c r="L3531" s="37">
        <v>3</v>
      </c>
      <c r="M3531" s="22">
        <f>IF(OR(ISBLANK(C3531),C3531=""),"",ROUND((C3531-B3531)*24,2))</f>
        <v>3.65</v>
      </c>
      <c r="N3531" s="40" t="str">
        <f>IF(OR(ISBLANK(C3531),C3531="",M3531=""),"In Progress",IF(M3531&lt;=J3531,"Met","Breached"))</f>
        <v>Met</v>
      </c>
    </row>
    <row r="3532" ht="19" customHeight="1" spans="1:14" x14ac:dyDescent="0.25">
      <c r="A3532" s="19" t="s">
        <v>3646</v>
      </c>
      <c r="B3532" s="33">
        <v>45786.93611111111</v>
      </c>
      <c r="C3532" s="33">
        <v>45788.554861111115</v>
      </c>
      <c r="D3532" s="19" t="s">
        <v>33</v>
      </c>
      <c r="E3532" s="19" t="s">
        <v>65</v>
      </c>
      <c r="F3532" s="19" t="s">
        <v>34</v>
      </c>
      <c r="G3532" s="19" t="s">
        <v>126</v>
      </c>
      <c r="H3532" s="19" t="s">
        <v>67</v>
      </c>
      <c r="I3532" s="19" t="s">
        <v>108</v>
      </c>
      <c r="J3532" s="20">
        <v>48</v>
      </c>
      <c r="K3532" s="34">
        <v>0</v>
      </c>
      <c r="M3532" s="19">
        <f>IF(OR(ISBLANK(C3532),C3532=""),"",ROUND((C3532-B3532)*24,2))</f>
        <v>38.85</v>
      </c>
      <c r="N3532" s="35" t="str">
        <f>IF(OR(ISBLANK(C3532),C3532="",M3532=""),"In Progress",IF(M3532&lt;=J3532,"Met","Breached"))</f>
        <v>Met</v>
      </c>
    </row>
    <row r="3533" ht="19" customHeight="1" spans="1:14" x14ac:dyDescent="0.25">
      <c r="A3533" s="22" t="s">
        <v>3647</v>
      </c>
      <c r="B3533" s="36">
        <v>46264.58888888889</v>
      </c>
      <c r="C3533" s="36">
        <v>46266.271527777775</v>
      </c>
      <c r="D3533" s="22" t="s">
        <v>33</v>
      </c>
      <c r="E3533" s="22" t="s">
        <v>65</v>
      </c>
      <c r="F3533" s="22" t="s">
        <v>37</v>
      </c>
      <c r="G3533" s="22" t="s">
        <v>110</v>
      </c>
      <c r="H3533" s="22" t="s">
        <v>63</v>
      </c>
      <c r="I3533" s="22" t="s">
        <v>117</v>
      </c>
      <c r="J3533" s="23">
        <v>48</v>
      </c>
      <c r="K3533" s="37">
        <v>0</v>
      </c>
      <c r="M3533" s="22">
        <f>IF(OR(ISBLANK(C3533),C3533=""),"",ROUND((C3533-B3533)*24,2))</f>
        <v>40.38</v>
      </c>
      <c r="N3533" s="40" t="str">
        <f>IF(OR(ISBLANK(C3533),C3533="",M3533=""),"In Progress",IF(M3533&lt;=J3533,"Met","Breached"))</f>
        <v>Met</v>
      </c>
    </row>
    <row r="3534" ht="19" customHeight="1" spans="1:14" x14ac:dyDescent="0.25">
      <c r="A3534" s="19" t="s">
        <v>3648</v>
      </c>
      <c r="B3534" s="33">
        <v>45946.149305555555</v>
      </c>
      <c r="C3534" s="33">
        <v>45948.23888888889</v>
      </c>
      <c r="D3534" s="19" t="s">
        <v>33</v>
      </c>
      <c r="E3534" s="19" t="s">
        <v>65</v>
      </c>
      <c r="F3534" s="19" t="s">
        <v>40</v>
      </c>
      <c r="G3534" s="19" t="s">
        <v>110</v>
      </c>
      <c r="H3534" s="19" t="s">
        <v>63</v>
      </c>
      <c r="I3534" s="19" t="s">
        <v>111</v>
      </c>
      <c r="J3534" s="20">
        <v>48</v>
      </c>
      <c r="K3534" s="34">
        <v>0</v>
      </c>
      <c r="L3534" s="34">
        <v>3</v>
      </c>
      <c r="M3534" s="19">
        <f>IF(OR(ISBLANK(C3534),C3534=""),"",ROUND((C3534-B3534)*24,2))</f>
        <v>50.15</v>
      </c>
      <c r="N3534" s="39" t="str">
        <f>IF(OR(ISBLANK(C3534),C3534="",M3534=""),"In Progress",IF(M3534&lt;=J3534,"Met","Breached"))</f>
        <v>Breached</v>
      </c>
    </row>
    <row r="3535" ht="19" customHeight="1" spans="1:14" x14ac:dyDescent="0.25">
      <c r="A3535" s="22" t="s">
        <v>3649</v>
      </c>
      <c r="B3535" s="36">
        <v>46187.70138888889</v>
      </c>
      <c r="D3535" s="22" t="s">
        <v>42</v>
      </c>
      <c r="E3535" s="22" t="s">
        <v>65</v>
      </c>
      <c r="F3535" s="22" t="s">
        <v>40</v>
      </c>
      <c r="G3535" s="22" t="s">
        <v>121</v>
      </c>
      <c r="H3535" s="22" t="s">
        <v>67</v>
      </c>
      <c r="I3535" s="22" t="s">
        <v>108</v>
      </c>
      <c r="J3535" s="23">
        <v>48</v>
      </c>
      <c r="K3535" s="37">
        <v>0</v>
      </c>
      <c r="M3535" s="22" t="str">
        <f>IF(OR(ISBLANK(C3535),C3535=""),"",ROUND((C3535-B3535)*24,2))</f>
        <v/>
      </c>
      <c r="N3535" s="22" t="str">
        <f>IF(OR(ISBLANK(C3535),C3535="",M3535=""),"In Progress",IF(M3535&lt;=J3535,"Met","Breached"))</f>
        <v>In Progress</v>
      </c>
    </row>
    <row r="3536" ht="19" customHeight="1" spans="1:14" x14ac:dyDescent="0.25">
      <c r="A3536" s="19" t="s">
        <v>3650</v>
      </c>
      <c r="B3536" s="33">
        <v>46155.55416666667</v>
      </c>
      <c r="C3536" s="33">
        <v>46156.381944444445</v>
      </c>
      <c r="D3536" s="19" t="s">
        <v>33</v>
      </c>
      <c r="E3536" s="19" t="s">
        <v>65</v>
      </c>
      <c r="F3536" s="19" t="s">
        <v>45</v>
      </c>
      <c r="G3536" s="19" t="s">
        <v>116</v>
      </c>
      <c r="H3536" s="19" t="s">
        <v>59</v>
      </c>
      <c r="I3536" s="19" t="s">
        <v>117</v>
      </c>
      <c r="J3536" s="20">
        <v>48</v>
      </c>
      <c r="K3536" s="34">
        <v>0</v>
      </c>
      <c r="L3536" s="34">
        <v>5</v>
      </c>
      <c r="M3536" s="19">
        <f>IF(OR(ISBLANK(C3536),C3536=""),"",ROUND((C3536-B3536)*24,2))</f>
        <v>19.87</v>
      </c>
      <c r="N3536" s="35" t="str">
        <f>IF(OR(ISBLANK(C3536),C3536="",M3536=""),"In Progress",IF(M3536&lt;=J3536,"Met","Breached"))</f>
        <v>Met</v>
      </c>
    </row>
    <row r="3537" ht="19" customHeight="1" spans="1:14" x14ac:dyDescent="0.25">
      <c r="A3537" s="22" t="s">
        <v>3651</v>
      </c>
      <c r="B3537" s="36">
        <v>45874.65416666667</v>
      </c>
      <c r="C3537" s="36">
        <v>45876.82291666667</v>
      </c>
      <c r="D3537" s="22" t="s">
        <v>33</v>
      </c>
      <c r="E3537" s="22" t="s">
        <v>65</v>
      </c>
      <c r="F3537" s="22" t="s">
        <v>34</v>
      </c>
      <c r="G3537" s="22" t="s">
        <v>126</v>
      </c>
      <c r="H3537" s="22" t="s">
        <v>59</v>
      </c>
      <c r="I3537" s="22" t="s">
        <v>108</v>
      </c>
      <c r="J3537" s="23">
        <v>48</v>
      </c>
      <c r="K3537" s="37">
        <v>0</v>
      </c>
      <c r="M3537" s="22">
        <f>IF(OR(ISBLANK(C3537),C3537=""),"",ROUND((C3537-B3537)*24,2))</f>
        <v>52.05</v>
      </c>
      <c r="N3537" s="38" t="str">
        <f>IF(OR(ISBLANK(C3537),C3537="",M3537=""),"In Progress",IF(M3537&lt;=J3537,"Met","Breached"))</f>
        <v>Breached</v>
      </c>
    </row>
    <row r="3538" ht="19" customHeight="1" spans="1:14" x14ac:dyDescent="0.25">
      <c r="A3538" s="19" t="s">
        <v>3652</v>
      </c>
      <c r="B3538" s="33">
        <v>46221.634722222225</v>
      </c>
      <c r="C3538" s="33">
        <v>46224.91180555556</v>
      </c>
      <c r="D3538" s="19" t="s">
        <v>33</v>
      </c>
      <c r="E3538" s="19" t="s">
        <v>65</v>
      </c>
      <c r="F3538" s="19" t="s">
        <v>34</v>
      </c>
      <c r="G3538" s="19" t="s">
        <v>63</v>
      </c>
      <c r="H3538" s="19" t="s">
        <v>63</v>
      </c>
      <c r="I3538" s="19" t="s">
        <v>114</v>
      </c>
      <c r="J3538" s="20">
        <v>48</v>
      </c>
      <c r="K3538" s="34">
        <v>0</v>
      </c>
      <c r="L3538" s="34">
        <v>2</v>
      </c>
      <c r="M3538" s="19">
        <f>IF(OR(ISBLANK(C3538),C3538=""),"",ROUND((C3538-B3538)*24,2))</f>
        <v>78.65</v>
      </c>
      <c r="N3538" s="39" t="str">
        <f>IF(OR(ISBLANK(C3538),C3538="",M3538=""),"In Progress",IF(M3538&lt;=J3538,"Met","Breached"))</f>
        <v>Breached</v>
      </c>
    </row>
    <row r="3539" ht="19" customHeight="1" spans="1:14" x14ac:dyDescent="0.25">
      <c r="A3539" s="22" t="s">
        <v>3653</v>
      </c>
      <c r="B3539" s="36">
        <v>45979.52638888889</v>
      </c>
      <c r="C3539" s="36">
        <v>45980.23888888889</v>
      </c>
      <c r="D3539" s="22" t="s">
        <v>33</v>
      </c>
      <c r="E3539" s="22" t="s">
        <v>61</v>
      </c>
      <c r="F3539" s="22" t="s">
        <v>37</v>
      </c>
      <c r="G3539" s="22" t="s">
        <v>121</v>
      </c>
      <c r="H3539" s="22" t="s">
        <v>71</v>
      </c>
      <c r="I3539" s="22" t="s">
        <v>108</v>
      </c>
      <c r="J3539" s="23">
        <v>12</v>
      </c>
      <c r="K3539" s="37">
        <v>0</v>
      </c>
      <c r="L3539" s="37">
        <v>5</v>
      </c>
      <c r="M3539" s="22">
        <f>IF(OR(ISBLANK(C3539),C3539=""),"",ROUND((C3539-B3539)*24,2))</f>
        <v>17.1</v>
      </c>
      <c r="N3539" s="38" t="str">
        <f>IF(OR(ISBLANK(C3539),C3539="",M3539=""),"In Progress",IF(M3539&lt;=J3539,"Met","Breached"))</f>
        <v>Breached</v>
      </c>
    </row>
    <row r="3540" ht="19" customHeight="1" spans="1:14" x14ac:dyDescent="0.25">
      <c r="A3540" s="19" t="s">
        <v>3654</v>
      </c>
      <c r="B3540" s="33">
        <v>45895.180555555555</v>
      </c>
      <c r="D3540" s="19" t="s">
        <v>39</v>
      </c>
      <c r="E3540" s="19" t="s">
        <v>65</v>
      </c>
      <c r="F3540" s="19" t="s">
        <v>34</v>
      </c>
      <c r="G3540" s="19" t="s">
        <v>63</v>
      </c>
      <c r="H3540" s="19" t="s">
        <v>63</v>
      </c>
      <c r="I3540" s="19" t="s">
        <v>117</v>
      </c>
      <c r="J3540" s="20">
        <v>48</v>
      </c>
      <c r="K3540" s="34">
        <v>0</v>
      </c>
      <c r="M3540" s="19" t="str">
        <f>IF(OR(ISBLANK(C3540),C3540=""),"",ROUND((C3540-B3540)*24,2))</f>
        <v/>
      </c>
      <c r="N3540" s="19" t="str">
        <f>IF(OR(ISBLANK(C3540),C3540="",M3540=""),"In Progress",IF(M3540&lt;=J3540,"Met","Breached"))</f>
        <v>In Progress</v>
      </c>
    </row>
    <row r="3541" ht="19" customHeight="1" spans="1:14" x14ac:dyDescent="0.25">
      <c r="A3541" s="22" t="s">
        <v>3655</v>
      </c>
      <c r="B3541" s="36">
        <v>45919.51458333334</v>
      </c>
      <c r="C3541" s="36">
        <v>45920.660416666666</v>
      </c>
      <c r="D3541" s="22" t="s">
        <v>36</v>
      </c>
      <c r="E3541" s="22" t="s">
        <v>65</v>
      </c>
      <c r="F3541" s="22" t="s">
        <v>37</v>
      </c>
      <c r="G3541" s="22" t="s">
        <v>110</v>
      </c>
      <c r="H3541" s="22" t="s">
        <v>63</v>
      </c>
      <c r="I3541" s="22" t="s">
        <v>123</v>
      </c>
      <c r="J3541" s="23">
        <v>48</v>
      </c>
      <c r="K3541" s="37">
        <v>0</v>
      </c>
      <c r="M3541" s="22">
        <f>IF(OR(ISBLANK(C3541),C3541=""),"",ROUND((C3541-B3541)*24,2))</f>
        <v>27.5</v>
      </c>
      <c r="N3541" s="40" t="str">
        <f>IF(OR(ISBLANK(C3541),C3541="",M3541=""),"In Progress",IF(M3541&lt;=J3541,"Met","Breached"))</f>
        <v>Met</v>
      </c>
    </row>
    <row r="3542" ht="19" customHeight="1" spans="1:14" x14ac:dyDescent="0.25">
      <c r="A3542" s="19" t="s">
        <v>3656</v>
      </c>
      <c r="B3542" s="33">
        <v>46152.42083333334</v>
      </c>
      <c r="D3542" s="19" t="s">
        <v>42</v>
      </c>
      <c r="E3542" s="19" t="s">
        <v>69</v>
      </c>
      <c r="F3542" s="19" t="s">
        <v>40</v>
      </c>
      <c r="G3542" s="19" t="s">
        <v>113</v>
      </c>
      <c r="H3542" s="19" t="s">
        <v>63</v>
      </c>
      <c r="I3542" s="19" t="s">
        <v>147</v>
      </c>
      <c r="J3542" s="20">
        <v>120</v>
      </c>
      <c r="K3542" s="34">
        <v>0</v>
      </c>
      <c r="M3542" s="19" t="str">
        <f>IF(OR(ISBLANK(C3542),C3542=""),"",ROUND((C3542-B3542)*24,2))</f>
        <v/>
      </c>
      <c r="N3542" s="19" t="str">
        <f>IF(OR(ISBLANK(C3542),C3542="",M3542=""),"In Progress",IF(M3542&lt;=J3542,"Met","Breached"))</f>
        <v>In Progress</v>
      </c>
    </row>
    <row r="3543" ht="19" customHeight="1" spans="1:14" x14ac:dyDescent="0.25">
      <c r="A3543" s="22" t="s">
        <v>3657</v>
      </c>
      <c r="B3543" s="36">
        <v>45900.24722222222</v>
      </c>
      <c r="C3543" s="36">
        <v>45903.540972222225</v>
      </c>
      <c r="D3543" s="22" t="s">
        <v>33</v>
      </c>
      <c r="E3543" s="22" t="s">
        <v>65</v>
      </c>
      <c r="F3543" s="22" t="s">
        <v>43</v>
      </c>
      <c r="G3543" s="22" t="s">
        <v>126</v>
      </c>
      <c r="H3543" s="22" t="s">
        <v>67</v>
      </c>
      <c r="I3543" s="22" t="s">
        <v>111</v>
      </c>
      <c r="J3543" s="23">
        <v>48</v>
      </c>
      <c r="K3543" s="37">
        <v>0</v>
      </c>
      <c r="M3543" s="22">
        <f>IF(OR(ISBLANK(C3543),C3543=""),"",ROUND((C3543-B3543)*24,2))</f>
        <v>79.05</v>
      </c>
      <c r="N3543" s="38" t="str">
        <f>IF(OR(ISBLANK(C3543),C3543="",M3543=""),"In Progress",IF(M3543&lt;=J3543,"Met","Breached"))</f>
        <v>Breached</v>
      </c>
    </row>
    <row r="3544" ht="19" customHeight="1" spans="1:14" x14ac:dyDescent="0.25">
      <c r="A3544" s="19" t="s">
        <v>3658</v>
      </c>
      <c r="B3544" s="33">
        <v>45775.125</v>
      </c>
      <c r="D3544" s="19" t="s">
        <v>39</v>
      </c>
      <c r="E3544" s="19" t="s">
        <v>57</v>
      </c>
      <c r="F3544" s="19" t="s">
        <v>40</v>
      </c>
      <c r="G3544" s="19" t="s">
        <v>121</v>
      </c>
      <c r="H3544" s="19" t="s">
        <v>71</v>
      </c>
      <c r="I3544" s="19" t="s">
        <v>123</v>
      </c>
      <c r="J3544" s="20">
        <v>4</v>
      </c>
      <c r="K3544" s="34">
        <v>0</v>
      </c>
      <c r="M3544" s="19" t="str">
        <f>IF(OR(ISBLANK(C3544),C3544=""),"",ROUND((C3544-B3544)*24,2))</f>
        <v/>
      </c>
      <c r="N3544" s="19" t="str">
        <f>IF(OR(ISBLANK(C3544),C3544="",M3544=""),"In Progress",IF(M3544&lt;=J3544,"Met","Breached"))</f>
        <v>In Progress</v>
      </c>
    </row>
    <row r="3545" ht="19" customHeight="1" spans="1:14" x14ac:dyDescent="0.25">
      <c r="A3545" s="22" t="s">
        <v>3659</v>
      </c>
      <c r="B3545" s="36">
        <v>46278.455555555556</v>
      </c>
      <c r="C3545" s="36">
        <v>46281.20625</v>
      </c>
      <c r="D3545" s="22" t="s">
        <v>33</v>
      </c>
      <c r="E3545" s="22" t="s">
        <v>65</v>
      </c>
      <c r="F3545" s="22" t="s">
        <v>40</v>
      </c>
      <c r="G3545" s="22" t="s">
        <v>110</v>
      </c>
      <c r="H3545" s="22" t="s">
        <v>63</v>
      </c>
      <c r="I3545" s="22" t="s">
        <v>123</v>
      </c>
      <c r="J3545" s="23">
        <v>48</v>
      </c>
      <c r="K3545" s="37">
        <v>0</v>
      </c>
      <c r="L3545" s="37">
        <v>2</v>
      </c>
      <c r="M3545" s="22">
        <f>IF(OR(ISBLANK(C3545),C3545=""),"",ROUND((C3545-B3545)*24,2))</f>
        <v>66.02</v>
      </c>
      <c r="N3545" s="38" t="str">
        <f>IF(OR(ISBLANK(C3545),C3545="",M3545=""),"In Progress",IF(M3545&lt;=J3545,"Met","Breached"))</f>
        <v>Breached</v>
      </c>
    </row>
    <row r="3546" ht="19" customHeight="1" spans="1:14" x14ac:dyDescent="0.25">
      <c r="A3546" s="19" t="s">
        <v>3660</v>
      </c>
      <c r="B3546" s="33">
        <v>45799.59513888889</v>
      </c>
      <c r="D3546" s="19" t="s">
        <v>39</v>
      </c>
      <c r="E3546" s="19" t="s">
        <v>61</v>
      </c>
      <c r="F3546" s="19" t="s">
        <v>34</v>
      </c>
      <c r="G3546" s="19" t="s">
        <v>63</v>
      </c>
      <c r="H3546" s="19" t="s">
        <v>63</v>
      </c>
      <c r="I3546" s="19" t="s">
        <v>123</v>
      </c>
      <c r="J3546" s="20">
        <v>12</v>
      </c>
      <c r="K3546" s="34">
        <v>0</v>
      </c>
      <c r="M3546" s="19" t="str">
        <f>IF(OR(ISBLANK(C3546),C3546=""),"",ROUND((C3546-B3546)*24,2))</f>
        <v/>
      </c>
      <c r="N3546" s="19" t="str">
        <f>IF(OR(ISBLANK(C3546),C3546="",M3546=""),"In Progress",IF(M3546&lt;=J3546,"Met","Breached"))</f>
        <v>In Progress</v>
      </c>
    </row>
    <row r="3547" ht="19" customHeight="1" spans="1:14" x14ac:dyDescent="0.25">
      <c r="A3547" s="22" t="s">
        <v>3661</v>
      </c>
      <c r="B3547" s="36">
        <v>45697.49861111111</v>
      </c>
      <c r="C3547" s="36">
        <v>45699.95</v>
      </c>
      <c r="D3547" s="22" t="s">
        <v>33</v>
      </c>
      <c r="E3547" s="22" t="s">
        <v>69</v>
      </c>
      <c r="F3547" s="22" t="s">
        <v>43</v>
      </c>
      <c r="G3547" s="22" t="s">
        <v>113</v>
      </c>
      <c r="H3547" s="22" t="s">
        <v>59</v>
      </c>
      <c r="I3547" s="22" t="s">
        <v>108</v>
      </c>
      <c r="J3547" s="23">
        <v>120</v>
      </c>
      <c r="K3547" s="37">
        <v>0</v>
      </c>
      <c r="L3547" s="37">
        <v>4</v>
      </c>
      <c r="M3547" s="22">
        <f>IF(OR(ISBLANK(C3547),C3547=""),"",ROUND((C3547-B3547)*24,2))</f>
        <v>58.83</v>
      </c>
      <c r="N3547" s="40" t="str">
        <f>IF(OR(ISBLANK(C3547),C3547="",M3547=""),"In Progress",IF(M3547&lt;=J3547,"Met","Breached"))</f>
        <v>Met</v>
      </c>
    </row>
    <row r="3548" ht="19" customHeight="1" spans="1:14" x14ac:dyDescent="0.25">
      <c r="A3548" s="19" t="s">
        <v>3662</v>
      </c>
      <c r="B3548" s="33">
        <v>45739.67083333334</v>
      </c>
      <c r="C3548" s="33">
        <v>45746.50625</v>
      </c>
      <c r="D3548" s="19" t="s">
        <v>33</v>
      </c>
      <c r="E3548" s="19" t="s">
        <v>69</v>
      </c>
      <c r="F3548" s="19" t="s">
        <v>40</v>
      </c>
      <c r="G3548" s="19" t="s">
        <v>113</v>
      </c>
      <c r="H3548" s="19" t="s">
        <v>71</v>
      </c>
      <c r="I3548" s="19" t="s">
        <v>111</v>
      </c>
      <c r="J3548" s="20">
        <v>120</v>
      </c>
      <c r="K3548" s="34">
        <v>0</v>
      </c>
      <c r="L3548" s="34">
        <v>2</v>
      </c>
      <c r="M3548" s="19">
        <f>IF(OR(ISBLANK(C3548),C3548=""),"",ROUND((C3548-B3548)*24,2))</f>
        <v>164.05</v>
      </c>
      <c r="N3548" s="39" t="str">
        <f>IF(OR(ISBLANK(C3548),C3548="",M3548=""),"In Progress",IF(M3548&lt;=J3548,"Met","Breached"))</f>
        <v>Breached</v>
      </c>
    </row>
    <row r="3549" ht="19" customHeight="1" spans="1:14" x14ac:dyDescent="0.25">
      <c r="A3549" s="22" t="s">
        <v>3663</v>
      </c>
      <c r="B3549" s="36">
        <v>46015.53611111111</v>
      </c>
      <c r="D3549" s="22" t="s">
        <v>39</v>
      </c>
      <c r="E3549" s="22" t="s">
        <v>65</v>
      </c>
      <c r="F3549" s="22" t="s">
        <v>37</v>
      </c>
      <c r="G3549" s="22" t="s">
        <v>113</v>
      </c>
      <c r="H3549" s="22" t="s">
        <v>59</v>
      </c>
      <c r="I3549" s="22" t="s">
        <v>147</v>
      </c>
      <c r="J3549" s="23">
        <v>48</v>
      </c>
      <c r="K3549" s="37">
        <v>0</v>
      </c>
      <c r="M3549" s="22" t="str">
        <f>IF(OR(ISBLANK(C3549),C3549=""),"",ROUND((C3549-B3549)*24,2))</f>
        <v/>
      </c>
      <c r="N3549" s="22" t="str">
        <f>IF(OR(ISBLANK(C3549),C3549="",M3549=""),"In Progress",IF(M3549&lt;=J3549,"Met","Breached"))</f>
        <v>In Progress</v>
      </c>
    </row>
    <row r="3550" ht="19" customHeight="1" spans="1:14" x14ac:dyDescent="0.25">
      <c r="A3550" s="19" t="s">
        <v>3664</v>
      </c>
      <c r="B3550" s="33">
        <v>45855.80416666667</v>
      </c>
      <c r="C3550" s="33">
        <v>45859.40902777778</v>
      </c>
      <c r="D3550" s="19" t="s">
        <v>33</v>
      </c>
      <c r="E3550" s="19" t="s">
        <v>69</v>
      </c>
      <c r="F3550" s="19" t="s">
        <v>40</v>
      </c>
      <c r="G3550" s="19" t="s">
        <v>113</v>
      </c>
      <c r="H3550" s="19" t="s">
        <v>67</v>
      </c>
      <c r="I3550" s="19" t="s">
        <v>123</v>
      </c>
      <c r="J3550" s="20">
        <v>120</v>
      </c>
      <c r="K3550" s="34">
        <v>0</v>
      </c>
      <c r="L3550" s="34">
        <v>5</v>
      </c>
      <c r="M3550" s="19">
        <f>IF(OR(ISBLANK(C3550),C3550=""),"",ROUND((C3550-B3550)*24,2))</f>
        <v>86.52</v>
      </c>
      <c r="N3550" s="35" t="str">
        <f>IF(OR(ISBLANK(C3550),C3550="",M3550=""),"In Progress",IF(M3550&lt;=J3550,"Met","Breached"))</f>
        <v>Met</v>
      </c>
    </row>
    <row r="3551" ht="19" customHeight="1" spans="1:14" x14ac:dyDescent="0.25">
      <c r="A3551" s="22" t="s">
        <v>3665</v>
      </c>
      <c r="B3551" s="36">
        <v>46170.19027777778</v>
      </c>
      <c r="C3551" s="36">
        <v>46170.268055555556</v>
      </c>
      <c r="D3551" s="22" t="s">
        <v>36</v>
      </c>
      <c r="E3551" s="22" t="s">
        <v>57</v>
      </c>
      <c r="F3551" s="22" t="s">
        <v>40</v>
      </c>
      <c r="G3551" s="22" t="s">
        <v>116</v>
      </c>
      <c r="H3551" s="22" t="s">
        <v>59</v>
      </c>
      <c r="I3551" s="22" t="s">
        <v>108</v>
      </c>
      <c r="J3551" s="23">
        <v>4</v>
      </c>
      <c r="K3551" s="37">
        <v>0</v>
      </c>
      <c r="M3551" s="22">
        <f>IF(OR(ISBLANK(C3551),C3551=""),"",ROUND((C3551-B3551)*24,2))</f>
        <v>1.87</v>
      </c>
      <c r="N3551" s="40" t="str">
        <f>IF(OR(ISBLANK(C3551),C3551="",M3551=""),"In Progress",IF(M3551&lt;=J3551,"Met","Breached"))</f>
        <v>Met</v>
      </c>
    </row>
    <row r="3552" ht="19" customHeight="1" spans="1:14" x14ac:dyDescent="0.25">
      <c r="A3552" s="19" t="s">
        <v>3666</v>
      </c>
      <c r="B3552" s="33">
        <v>45939.694444444445</v>
      </c>
      <c r="D3552" s="19" t="s">
        <v>39</v>
      </c>
      <c r="E3552" s="19" t="s">
        <v>65</v>
      </c>
      <c r="F3552" s="19" t="s">
        <v>45</v>
      </c>
      <c r="G3552" s="19" t="s">
        <v>63</v>
      </c>
      <c r="H3552" s="19" t="s">
        <v>59</v>
      </c>
      <c r="I3552" s="19" t="s">
        <v>147</v>
      </c>
      <c r="J3552" s="20">
        <v>48</v>
      </c>
      <c r="K3552" s="34">
        <v>0</v>
      </c>
      <c r="M3552" s="19" t="str">
        <f>IF(OR(ISBLANK(C3552),C3552=""),"",ROUND((C3552-B3552)*24,2))</f>
        <v/>
      </c>
      <c r="N3552" s="19" t="str">
        <f>IF(OR(ISBLANK(C3552),C3552="",M3552=""),"In Progress",IF(M3552&lt;=J3552,"Met","Breached"))</f>
        <v>In Progress</v>
      </c>
    </row>
    <row r="3553" ht="19" customHeight="1" spans="1:14" x14ac:dyDescent="0.25">
      <c r="A3553" s="22" t="s">
        <v>3667</v>
      </c>
      <c r="B3553" s="36">
        <v>46207.69305555556</v>
      </c>
      <c r="D3553" s="22" t="s">
        <v>42</v>
      </c>
      <c r="E3553" s="22" t="s">
        <v>69</v>
      </c>
      <c r="F3553" s="22" t="s">
        <v>43</v>
      </c>
      <c r="G3553" s="22" t="s">
        <v>113</v>
      </c>
      <c r="H3553" s="22" t="s">
        <v>67</v>
      </c>
      <c r="I3553" s="22" t="s">
        <v>123</v>
      </c>
      <c r="J3553" s="23">
        <v>120</v>
      </c>
      <c r="K3553" s="37">
        <v>0</v>
      </c>
      <c r="M3553" s="22" t="str">
        <f>IF(OR(ISBLANK(C3553),C3553=""),"",ROUND((C3553-B3553)*24,2))</f>
        <v/>
      </c>
      <c r="N3553" s="22" t="str">
        <f>IF(OR(ISBLANK(C3553),C3553="",M3553=""),"In Progress",IF(M3553&lt;=J3553,"Met","Breached"))</f>
        <v>In Progress</v>
      </c>
    </row>
    <row r="3554" ht="19" customHeight="1" spans="1:14" x14ac:dyDescent="0.25">
      <c r="A3554" s="19" t="s">
        <v>3668</v>
      </c>
      <c r="B3554" s="33">
        <v>45957.80208333333</v>
      </c>
      <c r="D3554" s="19" t="s">
        <v>39</v>
      </c>
      <c r="E3554" s="19" t="s">
        <v>69</v>
      </c>
      <c r="F3554" s="19" t="s">
        <v>43</v>
      </c>
      <c r="G3554" s="19" t="s">
        <v>113</v>
      </c>
      <c r="H3554" s="19" t="s">
        <v>63</v>
      </c>
      <c r="I3554" s="19" t="s">
        <v>123</v>
      </c>
      <c r="J3554" s="20">
        <v>120</v>
      </c>
      <c r="K3554" s="34">
        <v>0</v>
      </c>
      <c r="M3554" s="19" t="str">
        <f>IF(OR(ISBLANK(C3554),C3554=""),"",ROUND((C3554-B3554)*24,2))</f>
        <v/>
      </c>
      <c r="N3554" s="19" t="str">
        <f>IF(OR(ISBLANK(C3554),C3554="",M3554=""),"In Progress",IF(M3554&lt;=J3554,"Met","Breached"))</f>
        <v>In Progress</v>
      </c>
    </row>
    <row r="3555" ht="19" customHeight="1" spans="1:14" x14ac:dyDescent="0.25">
      <c r="A3555" s="22" t="s">
        <v>3669</v>
      </c>
      <c r="B3555" s="36">
        <v>45728.05972222222</v>
      </c>
      <c r="C3555" s="36">
        <v>45728.68541666667</v>
      </c>
      <c r="D3555" s="22" t="s">
        <v>33</v>
      </c>
      <c r="E3555" s="22" t="s">
        <v>61</v>
      </c>
      <c r="F3555" s="22" t="s">
        <v>43</v>
      </c>
      <c r="G3555" s="22" t="s">
        <v>110</v>
      </c>
      <c r="H3555" s="22" t="s">
        <v>67</v>
      </c>
      <c r="I3555" s="22" t="s">
        <v>114</v>
      </c>
      <c r="J3555" s="23">
        <v>12</v>
      </c>
      <c r="K3555" s="37">
        <v>0</v>
      </c>
      <c r="L3555" s="37">
        <v>3</v>
      </c>
      <c r="M3555" s="22">
        <f>IF(OR(ISBLANK(C3555),C3555=""),"",ROUND((C3555-B3555)*24,2))</f>
        <v>15.02</v>
      </c>
      <c r="N3555" s="38" t="str">
        <f>IF(OR(ISBLANK(C3555),C3555="",M3555=""),"In Progress",IF(M3555&lt;=J3555,"Met","Breached"))</f>
        <v>Breached</v>
      </c>
    </row>
    <row r="3556" ht="19" customHeight="1" spans="1:14" x14ac:dyDescent="0.25">
      <c r="A3556" s="19" t="s">
        <v>3670</v>
      </c>
      <c r="B3556" s="33">
        <v>45912.0625</v>
      </c>
      <c r="C3556" s="33">
        <v>45918.38055555556</v>
      </c>
      <c r="D3556" s="19" t="s">
        <v>33</v>
      </c>
      <c r="E3556" s="19" t="s">
        <v>69</v>
      </c>
      <c r="F3556" s="19" t="s">
        <v>43</v>
      </c>
      <c r="G3556" s="19" t="s">
        <v>113</v>
      </c>
      <c r="H3556" s="19" t="s">
        <v>59</v>
      </c>
      <c r="I3556" s="19" t="s">
        <v>147</v>
      </c>
      <c r="J3556" s="20">
        <v>120</v>
      </c>
      <c r="K3556" s="34">
        <v>0</v>
      </c>
      <c r="M3556" s="19">
        <f>IF(OR(ISBLANK(C3556),C3556=""),"",ROUND((C3556-B3556)*24,2))</f>
        <v>151.63</v>
      </c>
      <c r="N3556" s="39" t="str">
        <f>IF(OR(ISBLANK(C3556),C3556="",M3556=""),"In Progress",IF(M3556&lt;=J3556,"Met","Breached"))</f>
        <v>Breached</v>
      </c>
    </row>
    <row r="3557" ht="19" customHeight="1" spans="1:14" x14ac:dyDescent="0.25">
      <c r="A3557" s="22" t="s">
        <v>3671</v>
      </c>
      <c r="B3557" s="36">
        <v>46287.413888888885</v>
      </c>
      <c r="C3557" s="36">
        <v>46288.37847222222</v>
      </c>
      <c r="D3557" s="22" t="s">
        <v>36</v>
      </c>
      <c r="E3557" s="22" t="s">
        <v>65</v>
      </c>
      <c r="F3557" s="22" t="s">
        <v>40</v>
      </c>
      <c r="G3557" s="22" t="s">
        <v>121</v>
      </c>
      <c r="H3557" s="22" t="s">
        <v>71</v>
      </c>
      <c r="I3557" s="22" t="s">
        <v>108</v>
      </c>
      <c r="J3557" s="23">
        <v>48</v>
      </c>
      <c r="K3557" s="37">
        <v>0</v>
      </c>
      <c r="L3557" s="37">
        <v>4</v>
      </c>
      <c r="M3557" s="22">
        <f>IF(OR(ISBLANK(C3557),C3557=""),"",ROUND((C3557-B3557)*24,2))</f>
        <v>23.15</v>
      </c>
      <c r="N3557" s="40" t="str">
        <f>IF(OR(ISBLANK(C3557),C3557="",M3557=""),"In Progress",IF(M3557&lt;=J3557,"Met","Breached"))</f>
        <v>Met</v>
      </c>
    </row>
    <row r="3558" ht="19" customHeight="1" spans="1:14" x14ac:dyDescent="0.25">
      <c r="A3558" s="19" t="s">
        <v>3672</v>
      </c>
      <c r="B3558" s="33">
        <v>46156.7875</v>
      </c>
      <c r="C3558" s="33">
        <v>46165.03680555556</v>
      </c>
      <c r="D3558" s="19" t="s">
        <v>36</v>
      </c>
      <c r="E3558" s="19" t="s">
        <v>69</v>
      </c>
      <c r="F3558" s="19" t="s">
        <v>37</v>
      </c>
      <c r="G3558" s="19" t="s">
        <v>126</v>
      </c>
      <c r="H3558" s="19" t="s">
        <v>71</v>
      </c>
      <c r="I3558" s="19" t="s">
        <v>111</v>
      </c>
      <c r="J3558" s="20">
        <v>120</v>
      </c>
      <c r="K3558" s="34">
        <v>0</v>
      </c>
      <c r="M3558" s="19">
        <f>IF(OR(ISBLANK(C3558),C3558=""),"",ROUND((C3558-B3558)*24,2))</f>
        <v>197.98</v>
      </c>
      <c r="N3558" s="39" t="str">
        <f>IF(OR(ISBLANK(C3558),C3558="",M3558=""),"In Progress",IF(M3558&lt;=J3558,"Met","Breached"))</f>
        <v>Breached</v>
      </c>
    </row>
    <row r="3559" ht="19" customHeight="1" spans="1:14" x14ac:dyDescent="0.25">
      <c r="A3559" s="22" t="s">
        <v>3673</v>
      </c>
      <c r="B3559" s="36">
        <v>46161.15972222222</v>
      </c>
      <c r="D3559" s="22" t="s">
        <v>39</v>
      </c>
      <c r="E3559" s="22" t="s">
        <v>61</v>
      </c>
      <c r="F3559" s="22" t="s">
        <v>40</v>
      </c>
      <c r="G3559" s="22" t="s">
        <v>63</v>
      </c>
      <c r="H3559" s="22" t="s">
        <v>59</v>
      </c>
      <c r="I3559" s="22" t="s">
        <v>108</v>
      </c>
      <c r="J3559" s="23">
        <v>12</v>
      </c>
      <c r="K3559" s="37">
        <v>0</v>
      </c>
      <c r="M3559" s="22" t="str">
        <f>IF(OR(ISBLANK(C3559),C3559=""),"",ROUND((C3559-B3559)*24,2))</f>
        <v/>
      </c>
      <c r="N3559" s="22" t="str">
        <f>IF(OR(ISBLANK(C3559),C3559="",M3559=""),"In Progress",IF(M3559&lt;=J3559,"Met","Breached"))</f>
        <v>In Progress</v>
      </c>
    </row>
    <row r="3560" ht="19" customHeight="1" spans="1:14" x14ac:dyDescent="0.25">
      <c r="A3560" s="19" t="s">
        <v>3674</v>
      </c>
      <c r="B3560" s="33">
        <v>46062.14166666666</v>
      </c>
      <c r="C3560" s="33">
        <v>46063.12013888889</v>
      </c>
      <c r="D3560" s="19" t="s">
        <v>33</v>
      </c>
      <c r="E3560" s="19" t="s">
        <v>65</v>
      </c>
      <c r="F3560" s="19" t="s">
        <v>43</v>
      </c>
      <c r="G3560" s="19" t="s">
        <v>116</v>
      </c>
      <c r="H3560" s="19" t="s">
        <v>71</v>
      </c>
      <c r="I3560" s="19" t="s">
        <v>108</v>
      </c>
      <c r="J3560" s="20">
        <v>48</v>
      </c>
      <c r="K3560" s="34">
        <v>0</v>
      </c>
      <c r="M3560" s="19">
        <f>IF(OR(ISBLANK(C3560),C3560=""),"",ROUND((C3560-B3560)*24,2))</f>
        <v>23.48</v>
      </c>
      <c r="N3560" s="35" t="str">
        <f>IF(OR(ISBLANK(C3560),C3560="",M3560=""),"In Progress",IF(M3560&lt;=J3560,"Met","Breached"))</f>
        <v>Met</v>
      </c>
    </row>
    <row r="3561" ht="19" customHeight="1" spans="1:14" x14ac:dyDescent="0.25">
      <c r="A3561" s="22" t="s">
        <v>3675</v>
      </c>
      <c r="B3561" s="36">
        <v>46192.50625</v>
      </c>
      <c r="D3561" s="22" t="s">
        <v>39</v>
      </c>
      <c r="E3561" s="22" t="s">
        <v>57</v>
      </c>
      <c r="F3561" s="22" t="s">
        <v>40</v>
      </c>
      <c r="G3561" s="22" t="s">
        <v>126</v>
      </c>
      <c r="H3561" s="22" t="s">
        <v>67</v>
      </c>
      <c r="I3561" s="22" t="s">
        <v>117</v>
      </c>
      <c r="J3561" s="23">
        <v>4</v>
      </c>
      <c r="K3561" s="37">
        <v>0</v>
      </c>
      <c r="M3561" s="22" t="str">
        <f>IF(OR(ISBLANK(C3561),C3561=""),"",ROUND((C3561-B3561)*24,2))</f>
        <v/>
      </c>
      <c r="N3561" s="22" t="str">
        <f>IF(OR(ISBLANK(C3561),C3561="",M3561=""),"In Progress",IF(M3561&lt;=J3561,"Met","Breached"))</f>
        <v>In Progress</v>
      </c>
    </row>
    <row r="3562" ht="19" customHeight="1" spans="1:14" x14ac:dyDescent="0.25">
      <c r="A3562" s="19" t="s">
        <v>3676</v>
      </c>
      <c r="B3562" s="33">
        <v>45909.74652777778</v>
      </c>
      <c r="C3562" s="33">
        <v>45911.74652777778</v>
      </c>
      <c r="D3562" s="19" t="s">
        <v>33</v>
      </c>
      <c r="E3562" s="19" t="s">
        <v>65</v>
      </c>
      <c r="F3562" s="19" t="s">
        <v>43</v>
      </c>
      <c r="G3562" s="19" t="s">
        <v>63</v>
      </c>
      <c r="H3562" s="19" t="s">
        <v>67</v>
      </c>
      <c r="I3562" s="19" t="s">
        <v>114</v>
      </c>
      <c r="J3562" s="20">
        <v>48</v>
      </c>
      <c r="K3562" s="34">
        <v>0</v>
      </c>
      <c r="L3562" s="34">
        <v>1</v>
      </c>
      <c r="M3562" s="19">
        <f>IF(OR(ISBLANK(C3562),C3562=""),"",ROUND((C3562-B3562)*24,2))</f>
        <v>48</v>
      </c>
      <c r="N3562" s="35" t="str">
        <f>IF(OR(ISBLANK(C3562),C3562="",M3562=""),"In Progress",IF(M3562&lt;=J3562,"Met","Breached"))</f>
        <v>Met</v>
      </c>
    </row>
    <row r="3563" ht="19" customHeight="1" spans="1:14" x14ac:dyDescent="0.25">
      <c r="A3563" s="22" t="s">
        <v>3677</v>
      </c>
      <c r="B3563" s="36">
        <v>46103.97083333333</v>
      </c>
      <c r="C3563" s="36">
        <v>46106.28263888889</v>
      </c>
      <c r="D3563" s="22" t="s">
        <v>33</v>
      </c>
      <c r="E3563" s="22" t="s">
        <v>65</v>
      </c>
      <c r="F3563" s="22" t="s">
        <v>40</v>
      </c>
      <c r="G3563" s="22" t="s">
        <v>121</v>
      </c>
      <c r="H3563" s="22" t="s">
        <v>67</v>
      </c>
      <c r="I3563" s="22" t="s">
        <v>114</v>
      </c>
      <c r="J3563" s="23">
        <v>48</v>
      </c>
      <c r="K3563" s="37">
        <v>0</v>
      </c>
      <c r="L3563" s="37">
        <v>3</v>
      </c>
      <c r="M3563" s="22">
        <f>IF(OR(ISBLANK(C3563),C3563=""),"",ROUND((C3563-B3563)*24,2))</f>
        <v>55.48</v>
      </c>
      <c r="N3563" s="38" t="str">
        <f>IF(OR(ISBLANK(C3563),C3563="",M3563=""),"In Progress",IF(M3563&lt;=J3563,"Met","Breached"))</f>
        <v>Breached</v>
      </c>
    </row>
    <row r="3564" ht="19" customHeight="1" spans="1:14" x14ac:dyDescent="0.25">
      <c r="A3564" s="19" t="s">
        <v>3678</v>
      </c>
      <c r="B3564" s="33">
        <v>46154.80208333333</v>
      </c>
      <c r="C3564" s="33">
        <v>46158.179861111115</v>
      </c>
      <c r="D3564" s="19" t="s">
        <v>33</v>
      </c>
      <c r="E3564" s="19" t="s">
        <v>65</v>
      </c>
      <c r="F3564" s="19" t="s">
        <v>43</v>
      </c>
      <c r="G3564" s="19" t="s">
        <v>116</v>
      </c>
      <c r="H3564" s="19" t="s">
        <v>71</v>
      </c>
      <c r="I3564" s="19" t="s">
        <v>117</v>
      </c>
      <c r="J3564" s="20">
        <v>48</v>
      </c>
      <c r="K3564" s="34">
        <v>0</v>
      </c>
      <c r="L3564" s="34">
        <v>5</v>
      </c>
      <c r="M3564" s="19">
        <f>IF(OR(ISBLANK(C3564),C3564=""),"",ROUND((C3564-B3564)*24,2))</f>
        <v>81.07</v>
      </c>
      <c r="N3564" s="39" t="str">
        <f>IF(OR(ISBLANK(C3564),C3564="",M3564=""),"In Progress",IF(M3564&lt;=J3564,"Met","Breached"))</f>
        <v>Breached</v>
      </c>
    </row>
    <row r="3565" ht="19" customHeight="1" spans="1:14" x14ac:dyDescent="0.25">
      <c r="A3565" s="22" t="s">
        <v>3679</v>
      </c>
      <c r="B3565" s="36">
        <v>46169.15138888889</v>
      </c>
      <c r="C3565" s="36">
        <v>46171.62708333333</v>
      </c>
      <c r="D3565" s="22" t="s">
        <v>33</v>
      </c>
      <c r="E3565" s="22" t="s">
        <v>65</v>
      </c>
      <c r="F3565" s="22" t="s">
        <v>45</v>
      </c>
      <c r="G3565" s="22" t="s">
        <v>121</v>
      </c>
      <c r="H3565" s="22" t="s">
        <v>59</v>
      </c>
      <c r="I3565" s="22" t="s">
        <v>111</v>
      </c>
      <c r="J3565" s="23">
        <v>48</v>
      </c>
      <c r="K3565" s="37">
        <v>0</v>
      </c>
      <c r="L3565" s="37">
        <v>3</v>
      </c>
      <c r="M3565" s="22">
        <f>IF(OR(ISBLANK(C3565),C3565=""),"",ROUND((C3565-B3565)*24,2))</f>
        <v>59.42</v>
      </c>
      <c r="N3565" s="38" t="str">
        <f>IF(OR(ISBLANK(C3565),C3565="",M3565=""),"In Progress",IF(M3565&lt;=J3565,"Met","Breached"))</f>
        <v>Breached</v>
      </c>
    </row>
    <row r="3566" ht="19" customHeight="1" spans="1:14" x14ac:dyDescent="0.25">
      <c r="A3566" s="19" t="s">
        <v>3680</v>
      </c>
      <c r="B3566" s="33">
        <v>46070.294444444444</v>
      </c>
      <c r="C3566" s="33">
        <v>46073.37013888889</v>
      </c>
      <c r="D3566" s="19" t="s">
        <v>33</v>
      </c>
      <c r="E3566" s="19" t="s">
        <v>65</v>
      </c>
      <c r="F3566" s="19" t="s">
        <v>34</v>
      </c>
      <c r="G3566" s="19" t="s">
        <v>121</v>
      </c>
      <c r="H3566" s="19" t="s">
        <v>63</v>
      </c>
      <c r="I3566" s="19" t="s">
        <v>114</v>
      </c>
      <c r="J3566" s="20">
        <v>48</v>
      </c>
      <c r="K3566" s="34">
        <v>0</v>
      </c>
      <c r="L3566" s="34">
        <v>4</v>
      </c>
      <c r="M3566" s="19">
        <f>IF(OR(ISBLANK(C3566),C3566=""),"",ROUND((C3566-B3566)*24,2))</f>
        <v>73.82</v>
      </c>
      <c r="N3566" s="39" t="str">
        <f>IF(OR(ISBLANK(C3566),C3566="",M3566=""),"In Progress",IF(M3566&lt;=J3566,"Met","Breached"))</f>
        <v>Breached</v>
      </c>
    </row>
    <row r="3567" ht="19" customHeight="1" spans="1:14" x14ac:dyDescent="0.25">
      <c r="A3567" s="22" t="s">
        <v>3681</v>
      </c>
      <c r="B3567" s="36">
        <v>45793.42708333333</v>
      </c>
      <c r="C3567" s="36">
        <v>45794.32152777778</v>
      </c>
      <c r="D3567" s="22" t="s">
        <v>36</v>
      </c>
      <c r="E3567" s="22" t="s">
        <v>65</v>
      </c>
      <c r="F3567" s="22" t="s">
        <v>37</v>
      </c>
      <c r="G3567" s="22" t="s">
        <v>116</v>
      </c>
      <c r="H3567" s="22" t="s">
        <v>59</v>
      </c>
      <c r="I3567" s="22" t="s">
        <v>147</v>
      </c>
      <c r="J3567" s="23">
        <v>48</v>
      </c>
      <c r="K3567" s="37">
        <v>0</v>
      </c>
      <c r="L3567" s="37">
        <v>3</v>
      </c>
      <c r="M3567" s="22">
        <f>IF(OR(ISBLANK(C3567),C3567=""),"",ROUND((C3567-B3567)*24,2))</f>
        <v>21.47</v>
      </c>
      <c r="N3567" s="40" t="str">
        <f>IF(OR(ISBLANK(C3567),C3567="",M3567=""),"In Progress",IF(M3567&lt;=J3567,"Met","Breached"))</f>
        <v>Met</v>
      </c>
    </row>
    <row r="3568" ht="19" customHeight="1" spans="1:14" x14ac:dyDescent="0.25">
      <c r="A3568" s="19" t="s">
        <v>3682</v>
      </c>
      <c r="B3568" s="33">
        <v>45837.12430555555</v>
      </c>
      <c r="D3568" s="19" t="s">
        <v>39</v>
      </c>
      <c r="E3568" s="19" t="s">
        <v>65</v>
      </c>
      <c r="F3568" s="19" t="s">
        <v>34</v>
      </c>
      <c r="G3568" s="19" t="s">
        <v>121</v>
      </c>
      <c r="H3568" s="19" t="s">
        <v>63</v>
      </c>
      <c r="I3568" s="19" t="s">
        <v>147</v>
      </c>
      <c r="J3568" s="20">
        <v>48</v>
      </c>
      <c r="K3568" s="34">
        <v>0</v>
      </c>
      <c r="M3568" s="19" t="str">
        <f>IF(OR(ISBLANK(C3568),C3568=""),"",ROUND((C3568-B3568)*24,2))</f>
        <v/>
      </c>
      <c r="N3568" s="19" t="str">
        <f>IF(OR(ISBLANK(C3568),C3568="",M3568=""),"In Progress",IF(M3568&lt;=J3568,"Met","Breached"))</f>
        <v>In Progress</v>
      </c>
    </row>
    <row r="3569" ht="19" customHeight="1" spans="1:14" x14ac:dyDescent="0.25">
      <c r="A3569" s="22" t="s">
        <v>3683</v>
      </c>
      <c r="B3569" s="36">
        <v>46130.30138888889</v>
      </c>
      <c r="C3569" s="36">
        <v>46130.52847222222</v>
      </c>
      <c r="D3569" s="22" t="s">
        <v>33</v>
      </c>
      <c r="E3569" s="22" t="s">
        <v>57</v>
      </c>
      <c r="F3569" s="22" t="s">
        <v>45</v>
      </c>
      <c r="G3569" s="22" t="s">
        <v>113</v>
      </c>
      <c r="H3569" s="22" t="s">
        <v>59</v>
      </c>
      <c r="I3569" s="22" t="s">
        <v>147</v>
      </c>
      <c r="J3569" s="23">
        <v>4</v>
      </c>
      <c r="K3569" s="37">
        <v>0</v>
      </c>
      <c r="L3569" s="37">
        <v>1</v>
      </c>
      <c r="M3569" s="22">
        <f>IF(OR(ISBLANK(C3569),C3569=""),"",ROUND((C3569-B3569)*24,2))</f>
        <v>5.45</v>
      </c>
      <c r="N3569" s="38" t="str">
        <f>IF(OR(ISBLANK(C3569),C3569="",M3569=""),"In Progress",IF(M3569&lt;=J3569,"Met","Breached"))</f>
        <v>Breached</v>
      </c>
    </row>
    <row r="3570" ht="19" customHeight="1" spans="1:14" x14ac:dyDescent="0.25">
      <c r="A3570" s="19" t="s">
        <v>3684</v>
      </c>
      <c r="B3570" s="33">
        <v>45932.1</v>
      </c>
      <c r="D3570" s="19" t="s">
        <v>39</v>
      </c>
      <c r="E3570" s="19" t="s">
        <v>69</v>
      </c>
      <c r="F3570" s="19" t="s">
        <v>37</v>
      </c>
      <c r="G3570" s="19" t="s">
        <v>110</v>
      </c>
      <c r="H3570" s="19" t="s">
        <v>63</v>
      </c>
      <c r="I3570" s="19" t="s">
        <v>117</v>
      </c>
      <c r="J3570" s="20">
        <v>120</v>
      </c>
      <c r="K3570" s="34">
        <v>0</v>
      </c>
      <c r="M3570" s="19" t="str">
        <f>IF(OR(ISBLANK(C3570),C3570=""),"",ROUND((C3570-B3570)*24,2))</f>
        <v/>
      </c>
      <c r="N3570" s="19" t="str">
        <f>IF(OR(ISBLANK(C3570),C3570="",M3570=""),"In Progress",IF(M3570&lt;=J3570,"Met","Breached"))</f>
        <v>In Progress</v>
      </c>
    </row>
    <row r="3571" ht="19" customHeight="1" spans="1:14" x14ac:dyDescent="0.25">
      <c r="A3571" s="22" t="s">
        <v>3685</v>
      </c>
      <c r="B3571" s="36">
        <v>46097.23125</v>
      </c>
      <c r="C3571" s="36">
        <v>46097.67291666666</v>
      </c>
      <c r="D3571" s="22" t="s">
        <v>33</v>
      </c>
      <c r="E3571" s="22" t="s">
        <v>61</v>
      </c>
      <c r="F3571" s="22" t="s">
        <v>34</v>
      </c>
      <c r="G3571" s="22" t="s">
        <v>121</v>
      </c>
      <c r="H3571" s="22" t="s">
        <v>63</v>
      </c>
      <c r="I3571" s="22" t="s">
        <v>123</v>
      </c>
      <c r="J3571" s="23">
        <v>12</v>
      </c>
      <c r="K3571" s="37">
        <v>0</v>
      </c>
      <c r="L3571" s="37">
        <v>1</v>
      </c>
      <c r="M3571" s="22">
        <f>IF(OR(ISBLANK(C3571),C3571=""),"",ROUND((C3571-B3571)*24,2))</f>
        <v>10.6</v>
      </c>
      <c r="N3571" s="40" t="str">
        <f>IF(OR(ISBLANK(C3571),C3571="",M3571=""),"In Progress",IF(M3571&lt;=J3571,"Met","Breached"))</f>
        <v>Met</v>
      </c>
    </row>
    <row r="3572" ht="19" customHeight="1" spans="1:14" x14ac:dyDescent="0.25">
      <c r="A3572" s="19" t="s">
        <v>3686</v>
      </c>
      <c r="B3572" s="33">
        <v>46183.34652777778</v>
      </c>
      <c r="D3572" s="19" t="s">
        <v>39</v>
      </c>
      <c r="E3572" s="19" t="s">
        <v>65</v>
      </c>
      <c r="F3572" s="19" t="s">
        <v>40</v>
      </c>
      <c r="G3572" s="19" t="s">
        <v>63</v>
      </c>
      <c r="H3572" s="19" t="s">
        <v>59</v>
      </c>
      <c r="I3572" s="19" t="s">
        <v>108</v>
      </c>
      <c r="J3572" s="20">
        <v>48</v>
      </c>
      <c r="K3572" s="34">
        <v>0</v>
      </c>
      <c r="M3572" s="19" t="str">
        <f>IF(OR(ISBLANK(C3572),C3572=""),"",ROUND((C3572-B3572)*24,2))</f>
        <v/>
      </c>
      <c r="N3572" s="19" t="str">
        <f>IF(OR(ISBLANK(C3572),C3572="",M3572=""),"In Progress",IF(M3572&lt;=J3572,"Met","Breached"))</f>
        <v>In Progress</v>
      </c>
    </row>
    <row r="3573" ht="19" customHeight="1" spans="1:14" x14ac:dyDescent="0.25">
      <c r="A3573" s="22" t="s">
        <v>3687</v>
      </c>
      <c r="B3573" s="36">
        <v>46061.47430555556</v>
      </c>
      <c r="C3573" s="36">
        <v>46064.103472222225</v>
      </c>
      <c r="D3573" s="22" t="s">
        <v>33</v>
      </c>
      <c r="E3573" s="22" t="s">
        <v>65</v>
      </c>
      <c r="F3573" s="22" t="s">
        <v>34</v>
      </c>
      <c r="G3573" s="22" t="s">
        <v>121</v>
      </c>
      <c r="H3573" s="22" t="s">
        <v>59</v>
      </c>
      <c r="I3573" s="22" t="s">
        <v>111</v>
      </c>
      <c r="J3573" s="23">
        <v>48</v>
      </c>
      <c r="K3573" s="37">
        <v>0</v>
      </c>
      <c r="L3573" s="37">
        <v>3</v>
      </c>
      <c r="M3573" s="22">
        <f>IF(OR(ISBLANK(C3573),C3573=""),"",ROUND((C3573-B3573)*24,2))</f>
        <v>63.1</v>
      </c>
      <c r="N3573" s="38" t="str">
        <f>IF(OR(ISBLANK(C3573),C3573="",M3573=""),"In Progress",IF(M3573&lt;=J3573,"Met","Breached"))</f>
        <v>Breached</v>
      </c>
    </row>
    <row r="3574" ht="19" customHeight="1" spans="1:14" x14ac:dyDescent="0.25">
      <c r="A3574" s="19" t="s">
        <v>3688</v>
      </c>
      <c r="B3574" s="33">
        <v>45871.98819444445</v>
      </c>
      <c r="C3574" s="33">
        <v>45876.53472222222</v>
      </c>
      <c r="D3574" s="19" t="s">
        <v>33</v>
      </c>
      <c r="E3574" s="19" t="s">
        <v>69</v>
      </c>
      <c r="F3574" s="19" t="s">
        <v>40</v>
      </c>
      <c r="G3574" s="19" t="s">
        <v>110</v>
      </c>
      <c r="H3574" s="19" t="s">
        <v>59</v>
      </c>
      <c r="I3574" s="19" t="s">
        <v>117</v>
      </c>
      <c r="J3574" s="20">
        <v>120</v>
      </c>
      <c r="K3574" s="34">
        <v>0</v>
      </c>
      <c r="L3574" s="34">
        <v>2</v>
      </c>
      <c r="M3574" s="19">
        <f>IF(OR(ISBLANK(C3574),C3574=""),"",ROUND((C3574-B3574)*24,2))</f>
        <v>109.12</v>
      </c>
      <c r="N3574" s="35" t="str">
        <f>IF(OR(ISBLANK(C3574),C3574="",M3574=""),"In Progress",IF(M3574&lt;=J3574,"Met","Breached"))</f>
        <v>Met</v>
      </c>
    </row>
    <row r="3575" ht="19" customHeight="1" spans="1:14" x14ac:dyDescent="0.25">
      <c r="A3575" s="22" t="s">
        <v>3689</v>
      </c>
      <c r="B3575" s="36">
        <v>45691.675</v>
      </c>
      <c r="C3575" s="36">
        <v>45698.36041666666</v>
      </c>
      <c r="D3575" s="22" t="s">
        <v>33</v>
      </c>
      <c r="E3575" s="22" t="s">
        <v>69</v>
      </c>
      <c r="F3575" s="22" t="s">
        <v>34</v>
      </c>
      <c r="G3575" s="22" t="s">
        <v>113</v>
      </c>
      <c r="H3575" s="22" t="s">
        <v>59</v>
      </c>
      <c r="I3575" s="22" t="s">
        <v>123</v>
      </c>
      <c r="J3575" s="23">
        <v>120</v>
      </c>
      <c r="K3575" s="37">
        <v>0</v>
      </c>
      <c r="L3575" s="37">
        <v>3</v>
      </c>
      <c r="M3575" s="22">
        <f>IF(OR(ISBLANK(C3575),C3575=""),"",ROUND((C3575-B3575)*24,2))</f>
        <v>160.45</v>
      </c>
      <c r="N3575" s="38" t="str">
        <f>IF(OR(ISBLANK(C3575),C3575="",M3575=""),"In Progress",IF(M3575&lt;=J3575,"Met","Breached"))</f>
        <v>Breached</v>
      </c>
    </row>
    <row r="3576" ht="19" customHeight="1" spans="1:14" x14ac:dyDescent="0.25">
      <c r="A3576" s="19" t="s">
        <v>3690</v>
      </c>
      <c r="B3576" s="33">
        <v>46267.07361111111</v>
      </c>
      <c r="D3576" s="19" t="s">
        <v>42</v>
      </c>
      <c r="E3576" s="19" t="s">
        <v>69</v>
      </c>
      <c r="F3576" s="19" t="s">
        <v>45</v>
      </c>
      <c r="G3576" s="19" t="s">
        <v>110</v>
      </c>
      <c r="H3576" s="19" t="s">
        <v>59</v>
      </c>
      <c r="I3576" s="19" t="s">
        <v>114</v>
      </c>
      <c r="J3576" s="20">
        <v>120</v>
      </c>
      <c r="K3576" s="34">
        <v>0</v>
      </c>
      <c r="M3576" s="19" t="str">
        <f>IF(OR(ISBLANK(C3576),C3576=""),"",ROUND((C3576-B3576)*24,2))</f>
        <v/>
      </c>
      <c r="N3576" s="19" t="str">
        <f>IF(OR(ISBLANK(C3576),C3576="",M3576=""),"In Progress",IF(M3576&lt;=J3576,"Met","Breached"))</f>
        <v>In Progress</v>
      </c>
    </row>
    <row r="3577" ht="19" customHeight="1" spans="1:14" x14ac:dyDescent="0.25">
      <c r="A3577" s="22" t="s">
        <v>3691</v>
      </c>
      <c r="B3577" s="36">
        <v>45827.89097222222</v>
      </c>
      <c r="C3577" s="36">
        <v>45831.61041666666</v>
      </c>
      <c r="D3577" s="22" t="s">
        <v>33</v>
      </c>
      <c r="E3577" s="22" t="s">
        <v>69</v>
      </c>
      <c r="F3577" s="22" t="s">
        <v>40</v>
      </c>
      <c r="G3577" s="22" t="s">
        <v>116</v>
      </c>
      <c r="H3577" s="22" t="s">
        <v>63</v>
      </c>
      <c r="I3577" s="22" t="s">
        <v>108</v>
      </c>
      <c r="J3577" s="23">
        <v>120</v>
      </c>
      <c r="K3577" s="37">
        <v>0</v>
      </c>
      <c r="L3577" s="37">
        <v>3</v>
      </c>
      <c r="M3577" s="22">
        <f>IF(OR(ISBLANK(C3577),C3577=""),"",ROUND((C3577-B3577)*24,2))</f>
        <v>89.27</v>
      </c>
      <c r="N3577" s="40" t="str">
        <f>IF(OR(ISBLANK(C3577),C3577="",M3577=""),"In Progress",IF(M3577&lt;=J3577,"Met","Breached"))</f>
        <v>Met</v>
      </c>
    </row>
    <row r="3578" ht="19" customHeight="1" spans="1:14" x14ac:dyDescent="0.25">
      <c r="A3578" s="19" t="s">
        <v>3692</v>
      </c>
      <c r="B3578" s="33">
        <v>46093.86875</v>
      </c>
      <c r="D3578" s="19" t="s">
        <v>39</v>
      </c>
      <c r="E3578" s="19" t="s">
        <v>61</v>
      </c>
      <c r="F3578" s="19" t="s">
        <v>37</v>
      </c>
      <c r="G3578" s="19" t="s">
        <v>116</v>
      </c>
      <c r="H3578" s="19" t="s">
        <v>59</v>
      </c>
      <c r="I3578" s="19" t="s">
        <v>117</v>
      </c>
      <c r="J3578" s="20">
        <v>12</v>
      </c>
      <c r="K3578" s="34">
        <v>0</v>
      </c>
      <c r="M3578" s="19" t="str">
        <f>IF(OR(ISBLANK(C3578),C3578=""),"",ROUND((C3578-B3578)*24,2))</f>
        <v/>
      </c>
      <c r="N3578" s="19" t="str">
        <f>IF(OR(ISBLANK(C3578),C3578="",M3578=""),"In Progress",IF(M3578&lt;=J3578,"Met","Breached"))</f>
        <v>In Progress</v>
      </c>
    </row>
    <row r="3579" ht="19" customHeight="1" spans="1:14" x14ac:dyDescent="0.25">
      <c r="A3579" s="22" t="s">
        <v>3693</v>
      </c>
      <c r="B3579" s="36">
        <v>46263.14444444445</v>
      </c>
      <c r="C3579" s="36">
        <v>46263.20486111111</v>
      </c>
      <c r="D3579" s="22" t="s">
        <v>33</v>
      </c>
      <c r="E3579" s="22" t="s">
        <v>57</v>
      </c>
      <c r="F3579" s="22" t="s">
        <v>45</v>
      </c>
      <c r="G3579" s="22" t="s">
        <v>116</v>
      </c>
      <c r="H3579" s="22" t="s">
        <v>59</v>
      </c>
      <c r="I3579" s="22" t="s">
        <v>117</v>
      </c>
      <c r="J3579" s="23">
        <v>4</v>
      </c>
      <c r="K3579" s="37">
        <v>0</v>
      </c>
      <c r="L3579" s="37">
        <v>2</v>
      </c>
      <c r="M3579" s="22">
        <f>IF(OR(ISBLANK(C3579),C3579=""),"",ROUND((C3579-B3579)*24,2))</f>
        <v>1.45</v>
      </c>
      <c r="N3579" s="40" t="str">
        <f>IF(OR(ISBLANK(C3579),C3579="",M3579=""),"In Progress",IF(M3579&lt;=J3579,"Met","Breached"))</f>
        <v>Met</v>
      </c>
    </row>
    <row r="3580" ht="19" customHeight="1" spans="1:14" x14ac:dyDescent="0.25">
      <c r="A3580" s="19" t="s">
        <v>3694</v>
      </c>
      <c r="B3580" s="33">
        <v>46161.26527777778</v>
      </c>
      <c r="C3580" s="33">
        <v>46163.038194444445</v>
      </c>
      <c r="D3580" s="19" t="s">
        <v>33</v>
      </c>
      <c r="E3580" s="19" t="s">
        <v>65</v>
      </c>
      <c r="F3580" s="19" t="s">
        <v>43</v>
      </c>
      <c r="G3580" s="19" t="s">
        <v>113</v>
      </c>
      <c r="H3580" s="19" t="s">
        <v>63</v>
      </c>
      <c r="I3580" s="19" t="s">
        <v>147</v>
      </c>
      <c r="J3580" s="20">
        <v>48</v>
      </c>
      <c r="K3580" s="34">
        <v>0</v>
      </c>
      <c r="M3580" s="19">
        <f>IF(OR(ISBLANK(C3580),C3580=""),"",ROUND((C3580-B3580)*24,2))</f>
        <v>42.55</v>
      </c>
      <c r="N3580" s="35" t="str">
        <f>IF(OR(ISBLANK(C3580),C3580="",M3580=""),"In Progress",IF(M3580&lt;=J3580,"Met","Breached"))</f>
        <v>Met</v>
      </c>
    </row>
    <row r="3581" ht="19" customHeight="1" spans="1:14" x14ac:dyDescent="0.25">
      <c r="A3581" s="22" t="s">
        <v>3695</v>
      </c>
      <c r="B3581" s="36">
        <v>45911.11875</v>
      </c>
      <c r="C3581" s="36">
        <v>45911.71527777778</v>
      </c>
      <c r="D3581" s="22" t="s">
        <v>33</v>
      </c>
      <c r="E3581" s="22" t="s">
        <v>61</v>
      </c>
      <c r="F3581" s="22" t="s">
        <v>34</v>
      </c>
      <c r="G3581" s="22" t="s">
        <v>121</v>
      </c>
      <c r="H3581" s="22" t="s">
        <v>63</v>
      </c>
      <c r="I3581" s="22" t="s">
        <v>111</v>
      </c>
      <c r="J3581" s="23">
        <v>12</v>
      </c>
      <c r="K3581" s="37">
        <v>0</v>
      </c>
      <c r="M3581" s="22">
        <f>IF(OR(ISBLANK(C3581),C3581=""),"",ROUND((C3581-B3581)*24,2))</f>
        <v>14.32</v>
      </c>
      <c r="N3581" s="38" t="str">
        <f>IF(OR(ISBLANK(C3581),C3581="",M3581=""),"In Progress",IF(M3581&lt;=J3581,"Met","Breached"))</f>
        <v>Breached</v>
      </c>
    </row>
    <row r="3582" ht="19" customHeight="1" spans="1:14" x14ac:dyDescent="0.25">
      <c r="A3582" s="19" t="s">
        <v>3696</v>
      </c>
      <c r="B3582" s="33">
        <v>45736.66458333333</v>
      </c>
      <c r="C3582" s="33">
        <v>45739.79652777778</v>
      </c>
      <c r="D3582" s="19" t="s">
        <v>33</v>
      </c>
      <c r="E3582" s="19" t="s">
        <v>65</v>
      </c>
      <c r="F3582" s="19" t="s">
        <v>43</v>
      </c>
      <c r="G3582" s="19" t="s">
        <v>116</v>
      </c>
      <c r="H3582" s="19" t="s">
        <v>63</v>
      </c>
      <c r="I3582" s="19" t="s">
        <v>117</v>
      </c>
      <c r="J3582" s="20">
        <v>48</v>
      </c>
      <c r="K3582" s="34">
        <v>0</v>
      </c>
      <c r="L3582" s="34">
        <v>1</v>
      </c>
      <c r="M3582" s="19">
        <f>IF(OR(ISBLANK(C3582),C3582=""),"",ROUND((C3582-B3582)*24,2))</f>
        <v>75.17</v>
      </c>
      <c r="N3582" s="39" t="str">
        <f>IF(OR(ISBLANK(C3582),C3582="",M3582=""),"In Progress",IF(M3582&lt;=J3582,"Met","Breached"))</f>
        <v>Breached</v>
      </c>
    </row>
    <row r="3583" ht="19" customHeight="1" spans="1:14" x14ac:dyDescent="0.25">
      <c r="A3583" s="22" t="s">
        <v>3697</v>
      </c>
      <c r="B3583" s="36">
        <v>45672.569444444445</v>
      </c>
      <c r="C3583" s="36">
        <v>45672.97013888889</v>
      </c>
      <c r="D3583" s="22" t="s">
        <v>36</v>
      </c>
      <c r="E3583" s="22" t="s">
        <v>61</v>
      </c>
      <c r="F3583" s="22" t="s">
        <v>37</v>
      </c>
      <c r="G3583" s="22" t="s">
        <v>116</v>
      </c>
      <c r="H3583" s="22" t="s">
        <v>67</v>
      </c>
      <c r="I3583" s="22" t="s">
        <v>117</v>
      </c>
      <c r="J3583" s="23">
        <v>12</v>
      </c>
      <c r="K3583" s="37">
        <v>0</v>
      </c>
      <c r="L3583" s="37">
        <v>2</v>
      </c>
      <c r="M3583" s="22">
        <f>IF(OR(ISBLANK(C3583),C3583=""),"",ROUND((C3583-B3583)*24,2))</f>
        <v>9.62</v>
      </c>
      <c r="N3583" s="40" t="str">
        <f>IF(OR(ISBLANK(C3583),C3583="",M3583=""),"In Progress",IF(M3583&lt;=J3583,"Met","Breached"))</f>
        <v>Met</v>
      </c>
    </row>
    <row r="3584" ht="19" customHeight="1" spans="1:14" x14ac:dyDescent="0.25">
      <c r="A3584" s="19" t="s">
        <v>3698</v>
      </c>
      <c r="B3584" s="33">
        <v>45908.945138888885</v>
      </c>
      <c r="D3584" s="19" t="s">
        <v>42</v>
      </c>
      <c r="E3584" s="19" t="s">
        <v>69</v>
      </c>
      <c r="F3584" s="19" t="s">
        <v>37</v>
      </c>
      <c r="G3584" s="19" t="s">
        <v>121</v>
      </c>
      <c r="H3584" s="19" t="s">
        <v>59</v>
      </c>
      <c r="I3584" s="19" t="s">
        <v>147</v>
      </c>
      <c r="J3584" s="20">
        <v>120</v>
      </c>
      <c r="K3584" s="34">
        <v>0</v>
      </c>
      <c r="M3584" s="19" t="str">
        <f>IF(OR(ISBLANK(C3584),C3584=""),"",ROUND((C3584-B3584)*24,2))</f>
        <v/>
      </c>
      <c r="N3584" s="19" t="str">
        <f>IF(OR(ISBLANK(C3584),C3584="",M3584=""),"In Progress",IF(M3584&lt;=J3584,"Met","Breached"))</f>
        <v>In Progress</v>
      </c>
    </row>
    <row r="3585" ht="19" customHeight="1" spans="1:14" x14ac:dyDescent="0.25">
      <c r="A3585" s="22" t="s">
        <v>3699</v>
      </c>
      <c r="B3585" s="36">
        <v>46101.05625</v>
      </c>
      <c r="C3585" s="36">
        <v>46102.0875</v>
      </c>
      <c r="D3585" s="22" t="s">
        <v>33</v>
      </c>
      <c r="E3585" s="22" t="s">
        <v>65</v>
      </c>
      <c r="F3585" s="22" t="s">
        <v>43</v>
      </c>
      <c r="G3585" s="22" t="s">
        <v>63</v>
      </c>
      <c r="H3585" s="22" t="s">
        <v>67</v>
      </c>
      <c r="I3585" s="22" t="s">
        <v>111</v>
      </c>
      <c r="J3585" s="23">
        <v>48</v>
      </c>
      <c r="K3585" s="37">
        <v>0</v>
      </c>
      <c r="L3585" s="37">
        <v>2</v>
      </c>
      <c r="M3585" s="22">
        <f>IF(OR(ISBLANK(C3585),C3585=""),"",ROUND((C3585-B3585)*24,2))</f>
        <v>24.75</v>
      </c>
      <c r="N3585" s="40" t="str">
        <f>IF(OR(ISBLANK(C3585),C3585="",M3585=""),"In Progress",IF(M3585&lt;=J3585,"Met","Breached"))</f>
        <v>Met</v>
      </c>
    </row>
    <row r="3586" ht="19" customHeight="1" spans="1:14" x14ac:dyDescent="0.25">
      <c r="A3586" s="19" t="s">
        <v>3700</v>
      </c>
      <c r="B3586" s="33">
        <v>45759.65277777778</v>
      </c>
      <c r="C3586" s="33">
        <v>45761.43611111111</v>
      </c>
      <c r="D3586" s="19" t="s">
        <v>33</v>
      </c>
      <c r="E3586" s="19" t="s">
        <v>65</v>
      </c>
      <c r="F3586" s="19" t="s">
        <v>34</v>
      </c>
      <c r="G3586" s="19" t="s">
        <v>116</v>
      </c>
      <c r="H3586" s="19" t="s">
        <v>59</v>
      </c>
      <c r="I3586" s="19" t="s">
        <v>111</v>
      </c>
      <c r="J3586" s="20">
        <v>48</v>
      </c>
      <c r="K3586" s="34">
        <v>0</v>
      </c>
      <c r="M3586" s="19">
        <f>IF(OR(ISBLANK(C3586),C3586=""),"",ROUND((C3586-B3586)*24,2))</f>
        <v>42.8</v>
      </c>
      <c r="N3586" s="35" t="str">
        <f>IF(OR(ISBLANK(C3586),C3586="",M3586=""),"In Progress",IF(M3586&lt;=J3586,"Met","Breached"))</f>
        <v>Met</v>
      </c>
    </row>
    <row r="3587" ht="19" customHeight="1" spans="1:14" x14ac:dyDescent="0.25">
      <c r="A3587" s="22" t="s">
        <v>3701</v>
      </c>
      <c r="B3587" s="36">
        <v>46066.51041666667</v>
      </c>
      <c r="C3587" s="36">
        <v>46073.086111111115</v>
      </c>
      <c r="D3587" s="22" t="s">
        <v>33</v>
      </c>
      <c r="E3587" s="22" t="s">
        <v>69</v>
      </c>
      <c r="F3587" s="22" t="s">
        <v>34</v>
      </c>
      <c r="G3587" s="22" t="s">
        <v>116</v>
      </c>
      <c r="H3587" s="22" t="s">
        <v>63</v>
      </c>
      <c r="I3587" s="22" t="s">
        <v>117</v>
      </c>
      <c r="J3587" s="23">
        <v>120</v>
      </c>
      <c r="K3587" s="37">
        <v>0</v>
      </c>
      <c r="L3587" s="37">
        <v>4</v>
      </c>
      <c r="M3587" s="22">
        <f>IF(OR(ISBLANK(C3587),C3587=""),"",ROUND((C3587-B3587)*24,2))</f>
        <v>157.82</v>
      </c>
      <c r="N3587" s="38" t="str">
        <f>IF(OR(ISBLANK(C3587),C3587="",M3587=""),"In Progress",IF(M3587&lt;=J3587,"Met","Breached"))</f>
        <v>Breached</v>
      </c>
    </row>
    <row r="3588" ht="19" customHeight="1" spans="1:14" x14ac:dyDescent="0.25">
      <c r="A3588" s="19" t="s">
        <v>3702</v>
      </c>
      <c r="B3588" s="33">
        <v>45980.20277777778</v>
      </c>
      <c r="D3588" s="19" t="s">
        <v>39</v>
      </c>
      <c r="E3588" s="19" t="s">
        <v>61</v>
      </c>
      <c r="F3588" s="19" t="s">
        <v>37</v>
      </c>
      <c r="G3588" s="19" t="s">
        <v>116</v>
      </c>
      <c r="H3588" s="19" t="s">
        <v>59</v>
      </c>
      <c r="I3588" s="19" t="s">
        <v>147</v>
      </c>
      <c r="J3588" s="20">
        <v>12</v>
      </c>
      <c r="K3588" s="34">
        <v>0</v>
      </c>
      <c r="M3588" s="19" t="str">
        <f>IF(OR(ISBLANK(C3588),C3588=""),"",ROUND((C3588-B3588)*24,2))</f>
        <v/>
      </c>
      <c r="N3588" s="19" t="str">
        <f>IF(OR(ISBLANK(C3588),C3588="",M3588=""),"In Progress",IF(M3588&lt;=J3588,"Met","Breached"))</f>
        <v>In Progress</v>
      </c>
    </row>
    <row r="3589" ht="19" customHeight="1" spans="1:14" x14ac:dyDescent="0.25">
      <c r="A3589" s="22" t="s">
        <v>3703</v>
      </c>
      <c r="B3589" s="36">
        <v>46113.96041666667</v>
      </c>
      <c r="D3589" s="22" t="s">
        <v>39</v>
      </c>
      <c r="E3589" s="22" t="s">
        <v>57</v>
      </c>
      <c r="F3589" s="22" t="s">
        <v>40</v>
      </c>
      <c r="G3589" s="22" t="s">
        <v>113</v>
      </c>
      <c r="H3589" s="22" t="s">
        <v>63</v>
      </c>
      <c r="I3589" s="22" t="s">
        <v>108</v>
      </c>
      <c r="J3589" s="23">
        <v>4</v>
      </c>
      <c r="K3589" s="37">
        <v>0</v>
      </c>
      <c r="M3589" s="22" t="str">
        <f>IF(OR(ISBLANK(C3589),C3589=""),"",ROUND((C3589-B3589)*24,2))</f>
        <v/>
      </c>
      <c r="N3589" s="22" t="str">
        <f>IF(OR(ISBLANK(C3589),C3589="",M3589=""),"In Progress",IF(M3589&lt;=J3589,"Met","Breached"))</f>
        <v>In Progress</v>
      </c>
    </row>
    <row r="3590" ht="19" customHeight="1" spans="1:14" x14ac:dyDescent="0.25">
      <c r="A3590" s="19" t="s">
        <v>3704</v>
      </c>
      <c r="B3590" s="33">
        <v>46120.01180555555</v>
      </c>
      <c r="C3590" s="33">
        <v>46122.34930555556</v>
      </c>
      <c r="D3590" s="19" t="s">
        <v>33</v>
      </c>
      <c r="E3590" s="19" t="s">
        <v>65</v>
      </c>
      <c r="F3590" s="19" t="s">
        <v>34</v>
      </c>
      <c r="G3590" s="19" t="s">
        <v>113</v>
      </c>
      <c r="H3590" s="19" t="s">
        <v>71</v>
      </c>
      <c r="I3590" s="19" t="s">
        <v>108</v>
      </c>
      <c r="J3590" s="20">
        <v>48</v>
      </c>
      <c r="K3590" s="34">
        <v>0</v>
      </c>
      <c r="M3590" s="19">
        <f>IF(OR(ISBLANK(C3590),C3590=""),"",ROUND((C3590-B3590)*24,2))</f>
        <v>56.1</v>
      </c>
      <c r="N3590" s="39" t="str">
        <f>IF(OR(ISBLANK(C3590),C3590="",M3590=""),"In Progress",IF(M3590&lt;=J3590,"Met","Breached"))</f>
        <v>Breached</v>
      </c>
    </row>
    <row r="3591" ht="19" customHeight="1" spans="1:14" x14ac:dyDescent="0.25">
      <c r="A3591" s="22" t="s">
        <v>3705</v>
      </c>
      <c r="B3591" s="36">
        <v>46193.75486111111</v>
      </c>
      <c r="C3591" s="36">
        <v>46194.55138888889</v>
      </c>
      <c r="D3591" s="22" t="s">
        <v>33</v>
      </c>
      <c r="E3591" s="22" t="s">
        <v>65</v>
      </c>
      <c r="F3591" s="22" t="s">
        <v>43</v>
      </c>
      <c r="G3591" s="22" t="s">
        <v>110</v>
      </c>
      <c r="H3591" s="22" t="s">
        <v>67</v>
      </c>
      <c r="I3591" s="22" t="s">
        <v>117</v>
      </c>
      <c r="J3591" s="23">
        <v>48</v>
      </c>
      <c r="K3591" s="37">
        <v>0</v>
      </c>
      <c r="M3591" s="22">
        <f>IF(OR(ISBLANK(C3591),C3591=""),"",ROUND((C3591-B3591)*24,2))</f>
        <v>19.12</v>
      </c>
      <c r="N3591" s="40" t="str">
        <f>IF(OR(ISBLANK(C3591),C3591="",M3591=""),"In Progress",IF(M3591&lt;=J3591,"Met","Breached"))</f>
        <v>Met</v>
      </c>
    </row>
    <row r="3592" ht="19" customHeight="1" spans="1:14" x14ac:dyDescent="0.25">
      <c r="A3592" s="19" t="s">
        <v>3706</v>
      </c>
      <c r="B3592" s="33">
        <v>46255.356944444444</v>
      </c>
      <c r="C3592" s="33">
        <v>46258.17222222222</v>
      </c>
      <c r="D3592" s="19" t="s">
        <v>33</v>
      </c>
      <c r="E3592" s="19" t="s">
        <v>65</v>
      </c>
      <c r="F3592" s="19" t="s">
        <v>43</v>
      </c>
      <c r="G3592" s="19" t="s">
        <v>113</v>
      </c>
      <c r="H3592" s="19" t="s">
        <v>71</v>
      </c>
      <c r="I3592" s="19" t="s">
        <v>123</v>
      </c>
      <c r="J3592" s="20">
        <v>48</v>
      </c>
      <c r="K3592" s="34">
        <v>0</v>
      </c>
      <c r="M3592" s="19">
        <f>IF(OR(ISBLANK(C3592),C3592=""),"",ROUND((C3592-B3592)*24,2))</f>
        <v>67.57</v>
      </c>
      <c r="N3592" s="39" t="str">
        <f>IF(OR(ISBLANK(C3592),C3592="",M3592=""),"In Progress",IF(M3592&lt;=J3592,"Met","Breached"))</f>
        <v>Breached</v>
      </c>
    </row>
    <row r="3593" ht="19" customHeight="1" spans="1:14" x14ac:dyDescent="0.25">
      <c r="A3593" s="22" t="s">
        <v>3707</v>
      </c>
      <c r="B3593" s="36">
        <v>45843.67569444445</v>
      </c>
      <c r="C3593" s="36">
        <v>45845.24861111111</v>
      </c>
      <c r="D3593" s="22" t="s">
        <v>36</v>
      </c>
      <c r="E3593" s="22" t="s">
        <v>65</v>
      </c>
      <c r="F3593" s="22" t="s">
        <v>37</v>
      </c>
      <c r="G3593" s="22" t="s">
        <v>116</v>
      </c>
      <c r="H3593" s="22" t="s">
        <v>59</v>
      </c>
      <c r="I3593" s="22" t="s">
        <v>117</v>
      </c>
      <c r="J3593" s="23">
        <v>48</v>
      </c>
      <c r="K3593" s="37">
        <v>0</v>
      </c>
      <c r="L3593" s="37">
        <v>2</v>
      </c>
      <c r="M3593" s="22">
        <f>IF(OR(ISBLANK(C3593),C3593=""),"",ROUND((C3593-B3593)*24,2))</f>
        <v>37.75</v>
      </c>
      <c r="N3593" s="40" t="str">
        <f>IF(OR(ISBLANK(C3593),C3593="",M3593=""),"In Progress",IF(M3593&lt;=J3593,"Met","Breached"))</f>
        <v>Met</v>
      </c>
    </row>
    <row r="3594" ht="19" customHeight="1" spans="1:14" x14ac:dyDescent="0.25">
      <c r="A3594" s="19" t="s">
        <v>3708</v>
      </c>
      <c r="B3594" s="33">
        <v>45990.67083333334</v>
      </c>
      <c r="C3594" s="33">
        <v>45990.836111111115</v>
      </c>
      <c r="D3594" s="19" t="s">
        <v>36</v>
      </c>
      <c r="E3594" s="19" t="s">
        <v>61</v>
      </c>
      <c r="F3594" s="19" t="s">
        <v>40</v>
      </c>
      <c r="G3594" s="19" t="s">
        <v>116</v>
      </c>
      <c r="H3594" s="19" t="s">
        <v>59</v>
      </c>
      <c r="I3594" s="19" t="s">
        <v>111</v>
      </c>
      <c r="J3594" s="20">
        <v>12</v>
      </c>
      <c r="K3594" s="34">
        <v>0</v>
      </c>
      <c r="L3594" s="34">
        <v>4</v>
      </c>
      <c r="M3594" s="19">
        <f>IF(OR(ISBLANK(C3594),C3594=""),"",ROUND((C3594-B3594)*24,2))</f>
        <v>3.97</v>
      </c>
      <c r="N3594" s="35" t="str">
        <f>IF(OR(ISBLANK(C3594),C3594="",M3594=""),"In Progress",IF(M3594&lt;=J3594,"Met","Breached"))</f>
        <v>Met</v>
      </c>
    </row>
    <row r="3595" ht="19" customHeight="1" spans="1:14" x14ac:dyDescent="0.25">
      <c r="A3595" s="22" t="s">
        <v>3709</v>
      </c>
      <c r="B3595" s="36">
        <v>45699.46666666667</v>
      </c>
      <c r="C3595" s="36">
        <v>45700.25277777778</v>
      </c>
      <c r="D3595" s="22" t="s">
        <v>36</v>
      </c>
      <c r="E3595" s="22" t="s">
        <v>65</v>
      </c>
      <c r="F3595" s="22" t="s">
        <v>34</v>
      </c>
      <c r="G3595" s="22" t="s">
        <v>126</v>
      </c>
      <c r="H3595" s="22" t="s">
        <v>63</v>
      </c>
      <c r="I3595" s="22" t="s">
        <v>114</v>
      </c>
      <c r="J3595" s="23">
        <v>48</v>
      </c>
      <c r="K3595" s="37">
        <v>0</v>
      </c>
      <c r="M3595" s="22">
        <f>IF(OR(ISBLANK(C3595),C3595=""),"",ROUND((C3595-B3595)*24,2))</f>
        <v>18.87</v>
      </c>
      <c r="N3595" s="40" t="str">
        <f>IF(OR(ISBLANK(C3595),C3595="",M3595=""),"In Progress",IF(M3595&lt;=J3595,"Met","Breached"))</f>
        <v>Met</v>
      </c>
    </row>
    <row r="3596" ht="19" customHeight="1" spans="1:14" x14ac:dyDescent="0.25">
      <c r="A3596" s="19" t="s">
        <v>3710</v>
      </c>
      <c r="B3596" s="33">
        <v>46199.7375</v>
      </c>
      <c r="D3596" s="19" t="s">
        <v>39</v>
      </c>
      <c r="E3596" s="19" t="s">
        <v>57</v>
      </c>
      <c r="F3596" s="19" t="s">
        <v>45</v>
      </c>
      <c r="G3596" s="19" t="s">
        <v>110</v>
      </c>
      <c r="H3596" s="19" t="s">
        <v>59</v>
      </c>
      <c r="I3596" s="19" t="s">
        <v>117</v>
      </c>
      <c r="J3596" s="20">
        <v>4</v>
      </c>
      <c r="K3596" s="34">
        <v>0</v>
      </c>
      <c r="M3596" s="19" t="str">
        <f>IF(OR(ISBLANK(C3596),C3596=""),"",ROUND((C3596-B3596)*24,2))</f>
        <v/>
      </c>
      <c r="N3596" s="19" t="str">
        <f>IF(OR(ISBLANK(C3596),C3596="",M3596=""),"In Progress",IF(M3596&lt;=J3596,"Met","Breached"))</f>
        <v>In Progress</v>
      </c>
    </row>
    <row r="3597" ht="19" customHeight="1" spans="1:14" x14ac:dyDescent="0.25">
      <c r="A3597" s="22" t="s">
        <v>3711</v>
      </c>
      <c r="B3597" s="36">
        <v>45973.81805555556</v>
      </c>
      <c r="C3597" s="36">
        <v>45973.896527777775</v>
      </c>
      <c r="D3597" s="22" t="s">
        <v>36</v>
      </c>
      <c r="E3597" s="22" t="s">
        <v>57</v>
      </c>
      <c r="F3597" s="22" t="s">
        <v>37</v>
      </c>
      <c r="G3597" s="22" t="s">
        <v>121</v>
      </c>
      <c r="H3597" s="22" t="s">
        <v>71</v>
      </c>
      <c r="I3597" s="22" t="s">
        <v>123</v>
      </c>
      <c r="J3597" s="23">
        <v>4</v>
      </c>
      <c r="K3597" s="37">
        <v>0</v>
      </c>
      <c r="M3597" s="22">
        <f>IF(OR(ISBLANK(C3597),C3597=""),"",ROUND((C3597-B3597)*24,2))</f>
        <v>1.88</v>
      </c>
      <c r="N3597" s="40" t="str">
        <f>IF(OR(ISBLANK(C3597),C3597="",M3597=""),"In Progress",IF(M3597&lt;=J3597,"Met","Breached"))</f>
        <v>Met</v>
      </c>
    </row>
    <row r="3598" ht="19" customHeight="1" spans="1:14" x14ac:dyDescent="0.25">
      <c r="A3598" s="19" t="s">
        <v>3712</v>
      </c>
      <c r="B3598" s="33">
        <v>46216.69930555555</v>
      </c>
      <c r="C3598" s="33">
        <v>46225.46875</v>
      </c>
      <c r="D3598" s="19" t="s">
        <v>33</v>
      </c>
      <c r="E3598" s="19" t="s">
        <v>69</v>
      </c>
      <c r="F3598" s="19" t="s">
        <v>45</v>
      </c>
      <c r="G3598" s="19" t="s">
        <v>116</v>
      </c>
      <c r="H3598" s="19" t="s">
        <v>63</v>
      </c>
      <c r="I3598" s="19" t="s">
        <v>111</v>
      </c>
      <c r="J3598" s="20">
        <v>120</v>
      </c>
      <c r="K3598" s="34">
        <v>0</v>
      </c>
      <c r="L3598" s="34">
        <v>1</v>
      </c>
      <c r="M3598" s="19">
        <f>IF(OR(ISBLANK(C3598),C3598=""),"",ROUND((C3598-B3598)*24,2))</f>
        <v>210.47</v>
      </c>
      <c r="N3598" s="39" t="str">
        <f>IF(OR(ISBLANK(C3598),C3598="",M3598=""),"In Progress",IF(M3598&lt;=J3598,"Met","Breached"))</f>
        <v>Breached</v>
      </c>
    </row>
    <row r="3599" ht="19" customHeight="1" spans="1:14" x14ac:dyDescent="0.25">
      <c r="A3599" s="22" t="s">
        <v>3713</v>
      </c>
      <c r="B3599" s="36">
        <v>46114.10208333333</v>
      </c>
      <c r="C3599" s="36">
        <v>46116.72361111111</v>
      </c>
      <c r="D3599" s="22" t="s">
        <v>36</v>
      </c>
      <c r="E3599" s="22" t="s">
        <v>65</v>
      </c>
      <c r="F3599" s="22" t="s">
        <v>43</v>
      </c>
      <c r="G3599" s="22" t="s">
        <v>63</v>
      </c>
      <c r="H3599" s="22" t="s">
        <v>59</v>
      </c>
      <c r="I3599" s="22" t="s">
        <v>111</v>
      </c>
      <c r="J3599" s="23">
        <v>48</v>
      </c>
      <c r="K3599" s="37">
        <v>0</v>
      </c>
      <c r="M3599" s="22">
        <f>IF(OR(ISBLANK(C3599),C3599=""),"",ROUND((C3599-B3599)*24,2))</f>
        <v>62.92</v>
      </c>
      <c r="N3599" s="38" t="str">
        <f>IF(OR(ISBLANK(C3599),C3599="",M3599=""),"In Progress",IF(M3599&lt;=J3599,"Met","Breached"))</f>
        <v>Breached</v>
      </c>
    </row>
    <row r="3600" ht="19" customHeight="1" spans="1:14" x14ac:dyDescent="0.25">
      <c r="A3600" s="19" t="s">
        <v>3714</v>
      </c>
      <c r="B3600" s="33">
        <v>45861.44236111111</v>
      </c>
      <c r="C3600" s="33">
        <v>45862.57152777778</v>
      </c>
      <c r="D3600" s="19" t="s">
        <v>33</v>
      </c>
      <c r="E3600" s="19" t="s">
        <v>65</v>
      </c>
      <c r="F3600" s="19" t="s">
        <v>40</v>
      </c>
      <c r="G3600" s="19" t="s">
        <v>126</v>
      </c>
      <c r="H3600" s="19" t="s">
        <v>67</v>
      </c>
      <c r="I3600" s="19" t="s">
        <v>114</v>
      </c>
      <c r="J3600" s="20">
        <v>48</v>
      </c>
      <c r="K3600" s="34">
        <v>0</v>
      </c>
      <c r="M3600" s="19">
        <f>IF(OR(ISBLANK(C3600),C3600=""),"",ROUND((C3600-B3600)*24,2))</f>
        <v>27.1</v>
      </c>
      <c r="N3600" s="35" t="str">
        <f>IF(OR(ISBLANK(C3600),C3600="",M3600=""),"In Progress",IF(M3600&lt;=J3600,"Met","Breached"))</f>
        <v>Met</v>
      </c>
    </row>
    <row r="3601" ht="19" customHeight="1" spans="1:14" x14ac:dyDescent="0.25">
      <c r="A3601" s="22" t="s">
        <v>3715</v>
      </c>
      <c r="B3601" s="36">
        <v>45734.62013888889</v>
      </c>
      <c r="C3601" s="36">
        <v>45737.96319444444</v>
      </c>
      <c r="D3601" s="22" t="s">
        <v>33</v>
      </c>
      <c r="E3601" s="22" t="s">
        <v>65</v>
      </c>
      <c r="F3601" s="22" t="s">
        <v>43</v>
      </c>
      <c r="G3601" s="22" t="s">
        <v>63</v>
      </c>
      <c r="H3601" s="22" t="s">
        <v>59</v>
      </c>
      <c r="I3601" s="22" t="s">
        <v>147</v>
      </c>
      <c r="J3601" s="23">
        <v>48</v>
      </c>
      <c r="K3601" s="37">
        <v>0</v>
      </c>
      <c r="L3601" s="37">
        <v>3</v>
      </c>
      <c r="M3601" s="22">
        <f>IF(OR(ISBLANK(C3601),C3601=""),"",ROUND((C3601-B3601)*24,2))</f>
        <v>80.23</v>
      </c>
      <c r="N3601" s="38" t="str">
        <f>IF(OR(ISBLANK(C3601),C3601="",M3601=""),"In Progress",IF(M3601&lt;=J3601,"Met","Breached"))</f>
        <v>Breached</v>
      </c>
    </row>
    <row r="3602" ht="19" customHeight="1" spans="1:14" x14ac:dyDescent="0.25">
      <c r="A3602" s="19" t="s">
        <v>3716</v>
      </c>
      <c r="B3602" s="33">
        <v>45871.02777777778</v>
      </c>
      <c r="C3602" s="33">
        <v>45871.69652777778</v>
      </c>
      <c r="D3602" s="19" t="s">
        <v>33</v>
      </c>
      <c r="E3602" s="19" t="s">
        <v>61</v>
      </c>
      <c r="F3602" s="19" t="s">
        <v>45</v>
      </c>
      <c r="G3602" s="19" t="s">
        <v>113</v>
      </c>
      <c r="H3602" s="19" t="s">
        <v>63</v>
      </c>
      <c r="I3602" s="19" t="s">
        <v>123</v>
      </c>
      <c r="J3602" s="20">
        <v>12</v>
      </c>
      <c r="K3602" s="34">
        <v>0</v>
      </c>
      <c r="L3602" s="34">
        <v>2</v>
      </c>
      <c r="M3602" s="19">
        <f>IF(OR(ISBLANK(C3602),C3602=""),"",ROUND((C3602-B3602)*24,2))</f>
        <v>16.05</v>
      </c>
      <c r="N3602" s="39" t="str">
        <f>IF(OR(ISBLANK(C3602),C3602="",M3602=""),"In Progress",IF(M3602&lt;=J3602,"Met","Breached"))</f>
        <v>Breached</v>
      </c>
    </row>
    <row r="3603" ht="19" customHeight="1" spans="1:14" x14ac:dyDescent="0.25">
      <c r="A3603" s="22" t="s">
        <v>3717</v>
      </c>
      <c r="B3603" s="36">
        <v>46108.83125</v>
      </c>
      <c r="C3603" s="36">
        <v>46109.33333333333</v>
      </c>
      <c r="D3603" s="22" t="s">
        <v>36</v>
      </c>
      <c r="E3603" s="22" t="s">
        <v>61</v>
      </c>
      <c r="F3603" s="22" t="s">
        <v>45</v>
      </c>
      <c r="G3603" s="22" t="s">
        <v>63</v>
      </c>
      <c r="H3603" s="22" t="s">
        <v>59</v>
      </c>
      <c r="I3603" s="22" t="s">
        <v>117</v>
      </c>
      <c r="J3603" s="23">
        <v>12</v>
      </c>
      <c r="K3603" s="37">
        <v>0</v>
      </c>
      <c r="L3603" s="37">
        <v>2</v>
      </c>
      <c r="M3603" s="22">
        <f>IF(OR(ISBLANK(C3603),C3603=""),"",ROUND((C3603-B3603)*24,2))</f>
        <v>12.05</v>
      </c>
      <c r="N3603" s="38" t="str">
        <f>IF(OR(ISBLANK(C3603),C3603="",M3603=""),"In Progress",IF(M3603&lt;=J3603,"Met","Breached"))</f>
        <v>Breached</v>
      </c>
    </row>
    <row r="3604" ht="19" customHeight="1" spans="1:14" x14ac:dyDescent="0.25">
      <c r="A3604" s="19" t="s">
        <v>3718</v>
      </c>
      <c r="B3604" s="33">
        <v>45865.99097222222</v>
      </c>
      <c r="D3604" s="19" t="s">
        <v>42</v>
      </c>
      <c r="E3604" s="19" t="s">
        <v>61</v>
      </c>
      <c r="F3604" s="19" t="s">
        <v>45</v>
      </c>
      <c r="G3604" s="19" t="s">
        <v>113</v>
      </c>
      <c r="H3604" s="19" t="s">
        <v>63</v>
      </c>
      <c r="I3604" s="19" t="s">
        <v>123</v>
      </c>
      <c r="J3604" s="20">
        <v>12</v>
      </c>
      <c r="K3604" s="34">
        <v>0</v>
      </c>
      <c r="M3604" s="19" t="str">
        <f>IF(OR(ISBLANK(C3604),C3604=""),"",ROUND((C3604-B3604)*24,2))</f>
        <v/>
      </c>
      <c r="N3604" s="19" t="str">
        <f>IF(OR(ISBLANK(C3604),C3604="",M3604=""),"In Progress",IF(M3604&lt;=J3604,"Met","Breached"))</f>
        <v>In Progress</v>
      </c>
    </row>
    <row r="3605" ht="19" customHeight="1" spans="1:14" x14ac:dyDescent="0.25">
      <c r="A3605" s="22" t="s">
        <v>3719</v>
      </c>
      <c r="B3605" s="36">
        <v>45664.70625</v>
      </c>
      <c r="C3605" s="36">
        <v>45668.15555555555</v>
      </c>
      <c r="D3605" s="22" t="s">
        <v>33</v>
      </c>
      <c r="E3605" s="22" t="s">
        <v>65</v>
      </c>
      <c r="F3605" s="22" t="s">
        <v>37</v>
      </c>
      <c r="G3605" s="22" t="s">
        <v>110</v>
      </c>
      <c r="H3605" s="22" t="s">
        <v>59</v>
      </c>
      <c r="I3605" s="22" t="s">
        <v>147</v>
      </c>
      <c r="J3605" s="23">
        <v>48</v>
      </c>
      <c r="K3605" s="37">
        <v>0</v>
      </c>
      <c r="L3605" s="37">
        <v>2</v>
      </c>
      <c r="M3605" s="22">
        <f>IF(OR(ISBLANK(C3605),C3605=""),"",ROUND((C3605-B3605)*24,2))</f>
        <v>82.78</v>
      </c>
      <c r="N3605" s="38" t="str">
        <f>IF(OR(ISBLANK(C3605),C3605="",M3605=""),"In Progress",IF(M3605&lt;=J3605,"Met","Breached"))</f>
        <v>Breached</v>
      </c>
    </row>
    <row r="3606" ht="19" customHeight="1" spans="1:14" x14ac:dyDescent="0.25">
      <c r="A3606" s="19" t="s">
        <v>3720</v>
      </c>
      <c r="B3606" s="33">
        <v>45968.4375</v>
      </c>
      <c r="C3606" s="33">
        <v>45972.839583333334</v>
      </c>
      <c r="D3606" s="19" t="s">
        <v>33</v>
      </c>
      <c r="E3606" s="19" t="s">
        <v>69</v>
      </c>
      <c r="F3606" s="19" t="s">
        <v>40</v>
      </c>
      <c r="G3606" s="19" t="s">
        <v>113</v>
      </c>
      <c r="H3606" s="19" t="s">
        <v>67</v>
      </c>
      <c r="I3606" s="19" t="s">
        <v>111</v>
      </c>
      <c r="J3606" s="20">
        <v>120</v>
      </c>
      <c r="K3606" s="34">
        <v>0</v>
      </c>
      <c r="M3606" s="19">
        <f>IF(OR(ISBLANK(C3606),C3606=""),"",ROUND((C3606-B3606)*24,2))</f>
        <v>105.65</v>
      </c>
      <c r="N3606" s="35" t="str">
        <f>IF(OR(ISBLANK(C3606),C3606="",M3606=""),"In Progress",IF(M3606&lt;=J3606,"Met","Breached"))</f>
        <v>Met</v>
      </c>
    </row>
    <row r="3607" ht="19" customHeight="1" spans="1:14" x14ac:dyDescent="0.25">
      <c r="A3607" s="22" t="s">
        <v>3721</v>
      </c>
      <c r="B3607" s="36">
        <v>46191.14583333333</v>
      </c>
      <c r="D3607" s="22" t="s">
        <v>39</v>
      </c>
      <c r="E3607" s="22" t="s">
        <v>69</v>
      </c>
      <c r="F3607" s="22" t="s">
        <v>43</v>
      </c>
      <c r="G3607" s="22" t="s">
        <v>63</v>
      </c>
      <c r="H3607" s="22" t="s">
        <v>59</v>
      </c>
      <c r="I3607" s="22" t="s">
        <v>147</v>
      </c>
      <c r="J3607" s="23">
        <v>120</v>
      </c>
      <c r="K3607" s="37">
        <v>0</v>
      </c>
      <c r="M3607" s="22" t="str">
        <f>IF(OR(ISBLANK(C3607),C3607=""),"",ROUND((C3607-B3607)*24,2))</f>
        <v/>
      </c>
      <c r="N3607" s="22" t="str">
        <f>IF(OR(ISBLANK(C3607),C3607="",M3607=""),"In Progress",IF(M3607&lt;=J3607,"Met","Breached"))</f>
        <v>In Progress</v>
      </c>
    </row>
    <row r="3608" ht="19" customHeight="1" spans="1:14" x14ac:dyDescent="0.25">
      <c r="A3608" s="19" t="s">
        <v>3722</v>
      </c>
      <c r="B3608" s="33">
        <v>46128.78611111111</v>
      </c>
      <c r="C3608" s="33">
        <v>46132.20277777778</v>
      </c>
      <c r="D3608" s="19" t="s">
        <v>33</v>
      </c>
      <c r="E3608" s="19" t="s">
        <v>65</v>
      </c>
      <c r="F3608" s="19" t="s">
        <v>45</v>
      </c>
      <c r="G3608" s="19" t="s">
        <v>63</v>
      </c>
      <c r="H3608" s="19" t="s">
        <v>63</v>
      </c>
      <c r="I3608" s="19" t="s">
        <v>114</v>
      </c>
      <c r="J3608" s="20">
        <v>48</v>
      </c>
      <c r="K3608" s="34">
        <v>0</v>
      </c>
      <c r="L3608" s="34">
        <v>5</v>
      </c>
      <c r="M3608" s="19">
        <f>IF(OR(ISBLANK(C3608),C3608=""),"",ROUND((C3608-B3608)*24,2))</f>
        <v>82</v>
      </c>
      <c r="N3608" s="39" t="str">
        <f>IF(OR(ISBLANK(C3608),C3608="",M3608=""),"In Progress",IF(M3608&lt;=J3608,"Met","Breached"))</f>
        <v>Breached</v>
      </c>
    </row>
    <row r="3609" ht="19" customHeight="1" spans="1:14" x14ac:dyDescent="0.25">
      <c r="A3609" s="22" t="s">
        <v>3723</v>
      </c>
      <c r="B3609" s="36">
        <v>45966.160416666666</v>
      </c>
      <c r="C3609" s="36">
        <v>45970.06111111111</v>
      </c>
      <c r="D3609" s="22" t="s">
        <v>33</v>
      </c>
      <c r="E3609" s="22" t="s">
        <v>69</v>
      </c>
      <c r="F3609" s="22" t="s">
        <v>45</v>
      </c>
      <c r="G3609" s="22" t="s">
        <v>63</v>
      </c>
      <c r="H3609" s="22" t="s">
        <v>59</v>
      </c>
      <c r="I3609" s="22" t="s">
        <v>108</v>
      </c>
      <c r="J3609" s="23">
        <v>120</v>
      </c>
      <c r="K3609" s="37">
        <v>0</v>
      </c>
      <c r="L3609" s="37">
        <v>3</v>
      </c>
      <c r="M3609" s="22">
        <f>IF(OR(ISBLANK(C3609),C3609=""),"",ROUND((C3609-B3609)*24,2))</f>
        <v>93.62</v>
      </c>
      <c r="N3609" s="40" t="str">
        <f>IF(OR(ISBLANK(C3609),C3609="",M3609=""),"In Progress",IF(M3609&lt;=J3609,"Met","Breached"))</f>
        <v>Met</v>
      </c>
    </row>
    <row r="3610" ht="19" customHeight="1" spans="1:14" x14ac:dyDescent="0.25">
      <c r="A3610" s="19" t="s">
        <v>3724</v>
      </c>
      <c r="B3610" s="33">
        <v>45944.05972222222</v>
      </c>
      <c r="C3610" s="33">
        <v>45952.45208333334</v>
      </c>
      <c r="D3610" s="19" t="s">
        <v>33</v>
      </c>
      <c r="E3610" s="19" t="s">
        <v>69</v>
      </c>
      <c r="F3610" s="19" t="s">
        <v>37</v>
      </c>
      <c r="G3610" s="19" t="s">
        <v>113</v>
      </c>
      <c r="H3610" s="19" t="s">
        <v>63</v>
      </c>
      <c r="I3610" s="19" t="s">
        <v>108</v>
      </c>
      <c r="J3610" s="20">
        <v>120</v>
      </c>
      <c r="K3610" s="34">
        <v>0</v>
      </c>
      <c r="L3610" s="34">
        <v>1</v>
      </c>
      <c r="M3610" s="19">
        <f>IF(OR(ISBLANK(C3610),C3610=""),"",ROUND((C3610-B3610)*24,2))</f>
        <v>201.42</v>
      </c>
      <c r="N3610" s="39" t="str">
        <f>IF(OR(ISBLANK(C3610),C3610="",M3610=""),"In Progress",IF(M3610&lt;=J3610,"Met","Breached"))</f>
        <v>Breached</v>
      </c>
    </row>
    <row r="3611" ht="19" customHeight="1" spans="1:14" x14ac:dyDescent="0.25">
      <c r="A3611" s="22" t="s">
        <v>3725</v>
      </c>
      <c r="B3611" s="36">
        <v>45890.31805555556</v>
      </c>
      <c r="C3611" s="36">
        <v>45890.91875</v>
      </c>
      <c r="D3611" s="22" t="s">
        <v>33</v>
      </c>
      <c r="E3611" s="22" t="s">
        <v>61</v>
      </c>
      <c r="F3611" s="22" t="s">
        <v>40</v>
      </c>
      <c r="G3611" s="22" t="s">
        <v>110</v>
      </c>
      <c r="H3611" s="22" t="s">
        <v>59</v>
      </c>
      <c r="I3611" s="22" t="s">
        <v>123</v>
      </c>
      <c r="J3611" s="23">
        <v>12</v>
      </c>
      <c r="K3611" s="37">
        <v>0</v>
      </c>
      <c r="L3611" s="37">
        <v>3</v>
      </c>
      <c r="M3611" s="22">
        <f>IF(OR(ISBLANK(C3611),C3611=""),"",ROUND((C3611-B3611)*24,2))</f>
        <v>14.42</v>
      </c>
      <c r="N3611" s="38" t="str">
        <f>IF(OR(ISBLANK(C3611),C3611="",M3611=""),"In Progress",IF(M3611&lt;=J3611,"Met","Breached"))</f>
        <v>Breached</v>
      </c>
    </row>
    <row r="3612" ht="19" customHeight="1" spans="1:14" x14ac:dyDescent="0.25">
      <c r="A3612" s="19" t="s">
        <v>3726</v>
      </c>
      <c r="B3612" s="33">
        <v>46250.52638888889</v>
      </c>
      <c r="C3612" s="33">
        <v>46251.09444444445</v>
      </c>
      <c r="D3612" s="19" t="s">
        <v>33</v>
      </c>
      <c r="E3612" s="19" t="s">
        <v>61</v>
      </c>
      <c r="F3612" s="19" t="s">
        <v>40</v>
      </c>
      <c r="G3612" s="19" t="s">
        <v>113</v>
      </c>
      <c r="H3612" s="19" t="s">
        <v>59</v>
      </c>
      <c r="I3612" s="19" t="s">
        <v>108</v>
      </c>
      <c r="J3612" s="20">
        <v>12</v>
      </c>
      <c r="K3612" s="34">
        <v>0</v>
      </c>
      <c r="L3612" s="34">
        <v>3</v>
      </c>
      <c r="M3612" s="19">
        <f>IF(OR(ISBLANK(C3612),C3612=""),"",ROUND((C3612-B3612)*24,2))</f>
        <v>13.63</v>
      </c>
      <c r="N3612" s="39" t="str">
        <f>IF(OR(ISBLANK(C3612),C3612="",M3612=""),"In Progress",IF(M3612&lt;=J3612,"Met","Breached"))</f>
        <v>Breached</v>
      </c>
    </row>
    <row r="3613" ht="19" customHeight="1" spans="1:14" x14ac:dyDescent="0.25">
      <c r="A3613" s="22" t="s">
        <v>3727</v>
      </c>
      <c r="B3613" s="36">
        <v>46135.2</v>
      </c>
      <c r="D3613" s="22" t="s">
        <v>39</v>
      </c>
      <c r="E3613" s="22" t="s">
        <v>65</v>
      </c>
      <c r="F3613" s="22" t="s">
        <v>43</v>
      </c>
      <c r="G3613" s="22" t="s">
        <v>63</v>
      </c>
      <c r="H3613" s="22" t="s">
        <v>63</v>
      </c>
      <c r="I3613" s="22" t="s">
        <v>117</v>
      </c>
      <c r="J3613" s="23">
        <v>48</v>
      </c>
      <c r="K3613" s="37">
        <v>0</v>
      </c>
      <c r="M3613" s="22" t="str">
        <f>IF(OR(ISBLANK(C3613),C3613=""),"",ROUND((C3613-B3613)*24,2))</f>
        <v/>
      </c>
      <c r="N3613" s="22" t="str">
        <f>IF(OR(ISBLANK(C3613),C3613="",M3613=""),"In Progress",IF(M3613&lt;=J3613,"Met","Breached"))</f>
        <v>In Progress</v>
      </c>
    </row>
    <row r="3614" ht="19" customHeight="1" spans="1:14" x14ac:dyDescent="0.25">
      <c r="A3614" s="19" t="s">
        <v>3728</v>
      </c>
      <c r="B3614" s="33">
        <v>45938.48472222222</v>
      </c>
      <c r="C3614" s="33">
        <v>45940.634722222225</v>
      </c>
      <c r="D3614" s="19" t="s">
        <v>33</v>
      </c>
      <c r="E3614" s="19" t="s">
        <v>65</v>
      </c>
      <c r="F3614" s="19" t="s">
        <v>43</v>
      </c>
      <c r="G3614" s="19" t="s">
        <v>116</v>
      </c>
      <c r="H3614" s="19" t="s">
        <v>63</v>
      </c>
      <c r="I3614" s="19" t="s">
        <v>117</v>
      </c>
      <c r="J3614" s="20">
        <v>48</v>
      </c>
      <c r="K3614" s="34">
        <v>0</v>
      </c>
      <c r="L3614" s="34">
        <v>2</v>
      </c>
      <c r="M3614" s="19">
        <f>IF(OR(ISBLANK(C3614),C3614=""),"",ROUND((C3614-B3614)*24,2))</f>
        <v>51.6</v>
      </c>
      <c r="N3614" s="39" t="str">
        <f>IF(OR(ISBLANK(C3614),C3614="",M3614=""),"In Progress",IF(M3614&lt;=J3614,"Met","Breached"))</f>
        <v>Breached</v>
      </c>
    </row>
    <row r="3615" ht="19" customHeight="1" spans="1:14" x14ac:dyDescent="0.25">
      <c r="A3615" s="22" t="s">
        <v>3729</v>
      </c>
      <c r="B3615" s="36">
        <v>45821.95277777778</v>
      </c>
      <c r="C3615" s="36">
        <v>45824.450694444444</v>
      </c>
      <c r="D3615" s="22" t="s">
        <v>36</v>
      </c>
      <c r="E3615" s="22" t="s">
        <v>65</v>
      </c>
      <c r="F3615" s="22" t="s">
        <v>40</v>
      </c>
      <c r="G3615" s="22" t="s">
        <v>121</v>
      </c>
      <c r="H3615" s="22" t="s">
        <v>59</v>
      </c>
      <c r="I3615" s="22" t="s">
        <v>123</v>
      </c>
      <c r="J3615" s="23">
        <v>48</v>
      </c>
      <c r="K3615" s="37">
        <v>0</v>
      </c>
      <c r="M3615" s="22">
        <f>IF(OR(ISBLANK(C3615),C3615=""),"",ROUND((C3615-B3615)*24,2))</f>
        <v>59.95</v>
      </c>
      <c r="N3615" s="38" t="str">
        <f>IF(OR(ISBLANK(C3615),C3615="",M3615=""),"In Progress",IF(M3615&lt;=J3615,"Met","Breached"))</f>
        <v>Breached</v>
      </c>
    </row>
    <row r="3616" ht="19" customHeight="1" spans="1:14" x14ac:dyDescent="0.25">
      <c r="A3616" s="19" t="s">
        <v>3730</v>
      </c>
      <c r="B3616" s="33">
        <v>45659.32638888889</v>
      </c>
      <c r="C3616" s="33">
        <v>45662.27291666667</v>
      </c>
      <c r="D3616" s="19" t="s">
        <v>36</v>
      </c>
      <c r="E3616" s="19" t="s">
        <v>65</v>
      </c>
      <c r="F3616" s="19" t="s">
        <v>37</v>
      </c>
      <c r="G3616" s="19" t="s">
        <v>63</v>
      </c>
      <c r="H3616" s="19" t="s">
        <v>59</v>
      </c>
      <c r="I3616" s="19" t="s">
        <v>147</v>
      </c>
      <c r="J3616" s="20">
        <v>48</v>
      </c>
      <c r="K3616" s="34">
        <v>0</v>
      </c>
      <c r="L3616" s="34">
        <v>1</v>
      </c>
      <c r="M3616" s="19">
        <f>IF(OR(ISBLANK(C3616),C3616=""),"",ROUND((C3616-B3616)*24,2))</f>
        <v>70.72</v>
      </c>
      <c r="N3616" s="39" t="str">
        <f>IF(OR(ISBLANK(C3616),C3616="",M3616=""),"In Progress",IF(M3616&lt;=J3616,"Met","Breached"))</f>
        <v>Breached</v>
      </c>
    </row>
    <row r="3617" ht="19" customHeight="1" spans="1:14" x14ac:dyDescent="0.25">
      <c r="A3617" s="22" t="s">
        <v>3731</v>
      </c>
      <c r="B3617" s="36">
        <v>46265.305555555555</v>
      </c>
      <c r="C3617" s="36">
        <v>46268.63958333334</v>
      </c>
      <c r="D3617" s="22" t="s">
        <v>36</v>
      </c>
      <c r="E3617" s="22" t="s">
        <v>65</v>
      </c>
      <c r="F3617" s="22" t="s">
        <v>40</v>
      </c>
      <c r="G3617" s="22" t="s">
        <v>63</v>
      </c>
      <c r="H3617" s="22" t="s">
        <v>71</v>
      </c>
      <c r="I3617" s="22" t="s">
        <v>108</v>
      </c>
      <c r="J3617" s="23">
        <v>48</v>
      </c>
      <c r="K3617" s="37">
        <v>0</v>
      </c>
      <c r="L3617" s="37">
        <v>5</v>
      </c>
      <c r="M3617" s="22">
        <f>IF(OR(ISBLANK(C3617),C3617=""),"",ROUND((C3617-B3617)*24,2))</f>
        <v>80.02</v>
      </c>
      <c r="N3617" s="38" t="str">
        <f>IF(OR(ISBLANK(C3617),C3617="",M3617=""),"In Progress",IF(M3617&lt;=J3617,"Met","Breached"))</f>
        <v>Breached</v>
      </c>
    </row>
    <row r="3618" ht="19" customHeight="1" spans="1:14" x14ac:dyDescent="0.25">
      <c r="A3618" s="19" t="s">
        <v>3732</v>
      </c>
      <c r="B3618" s="33">
        <v>46259.40486111111</v>
      </c>
      <c r="C3618" s="33">
        <v>46259.95347222222</v>
      </c>
      <c r="D3618" s="19" t="s">
        <v>33</v>
      </c>
      <c r="E3618" s="19" t="s">
        <v>61</v>
      </c>
      <c r="F3618" s="19" t="s">
        <v>34</v>
      </c>
      <c r="G3618" s="19" t="s">
        <v>113</v>
      </c>
      <c r="H3618" s="19" t="s">
        <v>59</v>
      </c>
      <c r="I3618" s="19" t="s">
        <v>123</v>
      </c>
      <c r="J3618" s="20">
        <v>12</v>
      </c>
      <c r="K3618" s="34">
        <v>1</v>
      </c>
      <c r="L3618" s="34">
        <v>4</v>
      </c>
      <c r="M3618" s="19">
        <f>IF(OR(ISBLANK(C3618),C3618=""),"",ROUND((C3618-B3618)*24,2))</f>
        <v>13.17</v>
      </c>
      <c r="N3618" s="39" t="str">
        <f>IF(OR(ISBLANK(C3618),C3618="",M3618=""),"In Progress",IF(M3618&lt;=J3618,"Met","Breached"))</f>
        <v>Breached</v>
      </c>
    </row>
    <row r="3619" ht="19" customHeight="1" spans="1:14" x14ac:dyDescent="0.25">
      <c r="A3619" s="22" t="s">
        <v>3733</v>
      </c>
      <c r="B3619" s="36">
        <v>46115.90833333333</v>
      </c>
      <c r="C3619" s="36">
        <v>46118.10625</v>
      </c>
      <c r="D3619" s="22" t="s">
        <v>33</v>
      </c>
      <c r="E3619" s="22" t="s">
        <v>65</v>
      </c>
      <c r="F3619" s="22" t="s">
        <v>43</v>
      </c>
      <c r="G3619" s="22" t="s">
        <v>63</v>
      </c>
      <c r="H3619" s="22" t="s">
        <v>63</v>
      </c>
      <c r="I3619" s="22" t="s">
        <v>147</v>
      </c>
      <c r="J3619" s="23">
        <v>48</v>
      </c>
      <c r="K3619" s="37">
        <v>0</v>
      </c>
      <c r="L3619" s="37">
        <v>2</v>
      </c>
      <c r="M3619" s="22">
        <f>IF(OR(ISBLANK(C3619),C3619=""),"",ROUND((C3619-B3619)*24,2))</f>
        <v>52.75</v>
      </c>
      <c r="N3619" s="38" t="str">
        <f>IF(OR(ISBLANK(C3619),C3619="",M3619=""),"In Progress",IF(M3619&lt;=J3619,"Met","Breached"))</f>
        <v>Breached</v>
      </c>
    </row>
    <row r="3620" ht="19" customHeight="1" spans="1:14" x14ac:dyDescent="0.25">
      <c r="A3620" s="19" t="s">
        <v>3734</v>
      </c>
      <c r="B3620" s="33">
        <v>45770.93819444445</v>
      </c>
      <c r="D3620" s="19" t="s">
        <v>39</v>
      </c>
      <c r="E3620" s="19" t="s">
        <v>65</v>
      </c>
      <c r="F3620" s="19" t="s">
        <v>37</v>
      </c>
      <c r="G3620" s="19" t="s">
        <v>121</v>
      </c>
      <c r="H3620" s="19" t="s">
        <v>63</v>
      </c>
      <c r="I3620" s="19" t="s">
        <v>114</v>
      </c>
      <c r="J3620" s="20">
        <v>48</v>
      </c>
      <c r="K3620" s="34">
        <v>0</v>
      </c>
      <c r="M3620" s="19" t="str">
        <f>IF(OR(ISBLANK(C3620),C3620=""),"",ROUND((C3620-B3620)*24,2))</f>
        <v/>
      </c>
      <c r="N3620" s="19" t="str">
        <f>IF(OR(ISBLANK(C3620),C3620="",M3620=""),"In Progress",IF(M3620&lt;=J3620,"Met","Breached"))</f>
        <v>In Progress</v>
      </c>
    </row>
    <row r="3621" ht="19" customHeight="1" spans="1:14" x14ac:dyDescent="0.25">
      <c r="A3621" s="22" t="s">
        <v>3735</v>
      </c>
      <c r="B3621" s="36">
        <v>46154.49861111111</v>
      </c>
      <c r="C3621" s="36">
        <v>46157.42083333334</v>
      </c>
      <c r="D3621" s="22" t="s">
        <v>33</v>
      </c>
      <c r="E3621" s="22" t="s">
        <v>65</v>
      </c>
      <c r="F3621" s="22" t="s">
        <v>45</v>
      </c>
      <c r="G3621" s="22" t="s">
        <v>116</v>
      </c>
      <c r="H3621" s="22" t="s">
        <v>67</v>
      </c>
      <c r="I3621" s="22" t="s">
        <v>147</v>
      </c>
      <c r="J3621" s="23">
        <v>48</v>
      </c>
      <c r="K3621" s="37">
        <v>0</v>
      </c>
      <c r="L3621" s="37">
        <v>2</v>
      </c>
      <c r="M3621" s="22">
        <f>IF(OR(ISBLANK(C3621),C3621=""),"",ROUND((C3621-B3621)*24,2))</f>
        <v>70.13</v>
      </c>
      <c r="N3621" s="38" t="str">
        <f>IF(OR(ISBLANK(C3621),C3621="",M3621=""),"In Progress",IF(M3621&lt;=J3621,"Met","Breached"))</f>
        <v>Breached</v>
      </c>
    </row>
    <row r="3622" ht="19" customHeight="1" spans="1:14" x14ac:dyDescent="0.25">
      <c r="A3622" s="19" t="s">
        <v>3736</v>
      </c>
      <c r="B3622" s="33">
        <v>45686.77083333333</v>
      </c>
      <c r="C3622" s="33">
        <v>45688.13402777778</v>
      </c>
      <c r="D3622" s="19" t="s">
        <v>33</v>
      </c>
      <c r="E3622" s="19" t="s">
        <v>65</v>
      </c>
      <c r="F3622" s="19" t="s">
        <v>34</v>
      </c>
      <c r="G3622" s="19" t="s">
        <v>121</v>
      </c>
      <c r="H3622" s="19" t="s">
        <v>71</v>
      </c>
      <c r="I3622" s="19" t="s">
        <v>147</v>
      </c>
      <c r="J3622" s="20">
        <v>48</v>
      </c>
      <c r="K3622" s="34">
        <v>0</v>
      </c>
      <c r="L3622" s="34">
        <v>3</v>
      </c>
      <c r="M3622" s="19">
        <f>IF(OR(ISBLANK(C3622),C3622=""),"",ROUND((C3622-B3622)*24,2))</f>
        <v>32.72</v>
      </c>
      <c r="N3622" s="35" t="str">
        <f>IF(OR(ISBLANK(C3622),C3622="",M3622=""),"In Progress",IF(M3622&lt;=J3622,"Met","Breached"))</f>
        <v>Met</v>
      </c>
    </row>
    <row r="3623" ht="19" customHeight="1" spans="1:14" x14ac:dyDescent="0.25">
      <c r="A3623" s="22" t="s">
        <v>3737</v>
      </c>
      <c r="B3623" s="36">
        <v>45984.81597222222</v>
      </c>
      <c r="C3623" s="36">
        <v>45989.35833333334</v>
      </c>
      <c r="D3623" s="22" t="s">
        <v>33</v>
      </c>
      <c r="E3623" s="22" t="s">
        <v>69</v>
      </c>
      <c r="F3623" s="22" t="s">
        <v>40</v>
      </c>
      <c r="G3623" s="22" t="s">
        <v>121</v>
      </c>
      <c r="H3623" s="22" t="s">
        <v>59</v>
      </c>
      <c r="I3623" s="22" t="s">
        <v>123</v>
      </c>
      <c r="J3623" s="23">
        <v>120</v>
      </c>
      <c r="K3623" s="37">
        <v>0</v>
      </c>
      <c r="L3623" s="37">
        <v>4</v>
      </c>
      <c r="M3623" s="22">
        <f>IF(OR(ISBLANK(C3623),C3623=""),"",ROUND((C3623-B3623)*24,2))</f>
        <v>109.02</v>
      </c>
      <c r="N3623" s="40" t="str">
        <f>IF(OR(ISBLANK(C3623),C3623="",M3623=""),"In Progress",IF(M3623&lt;=J3623,"Met","Breached"))</f>
        <v>Met</v>
      </c>
    </row>
    <row r="3624" ht="19" customHeight="1" spans="1:14" x14ac:dyDescent="0.25">
      <c r="A3624" s="19" t="s">
        <v>3738</v>
      </c>
      <c r="B3624" s="33">
        <v>46004.52638888889</v>
      </c>
      <c r="C3624" s="33">
        <v>46009.24166666667</v>
      </c>
      <c r="D3624" s="19" t="s">
        <v>33</v>
      </c>
      <c r="E3624" s="19" t="s">
        <v>69</v>
      </c>
      <c r="F3624" s="19" t="s">
        <v>37</v>
      </c>
      <c r="G3624" s="19" t="s">
        <v>116</v>
      </c>
      <c r="H3624" s="19" t="s">
        <v>63</v>
      </c>
      <c r="I3624" s="19" t="s">
        <v>114</v>
      </c>
      <c r="J3624" s="20">
        <v>120</v>
      </c>
      <c r="K3624" s="34">
        <v>0</v>
      </c>
      <c r="L3624" s="34">
        <v>1</v>
      </c>
      <c r="M3624" s="19">
        <f>IF(OR(ISBLANK(C3624),C3624=""),"",ROUND((C3624-B3624)*24,2))</f>
        <v>113.17</v>
      </c>
      <c r="N3624" s="35" t="str">
        <f>IF(OR(ISBLANK(C3624),C3624="",M3624=""),"In Progress",IF(M3624&lt;=J3624,"Met","Breached"))</f>
        <v>Met</v>
      </c>
    </row>
    <row r="3625" ht="19" customHeight="1" spans="1:14" x14ac:dyDescent="0.25">
      <c r="A3625" s="22" t="s">
        <v>3739</v>
      </c>
      <c r="B3625" s="36">
        <v>45795.32847222222</v>
      </c>
      <c r="C3625" s="36">
        <v>45802.14027777778</v>
      </c>
      <c r="D3625" s="22" t="s">
        <v>33</v>
      </c>
      <c r="E3625" s="22" t="s">
        <v>69</v>
      </c>
      <c r="F3625" s="22" t="s">
        <v>45</v>
      </c>
      <c r="G3625" s="22" t="s">
        <v>113</v>
      </c>
      <c r="H3625" s="22" t="s">
        <v>59</v>
      </c>
      <c r="I3625" s="22" t="s">
        <v>117</v>
      </c>
      <c r="J3625" s="23">
        <v>120</v>
      </c>
      <c r="K3625" s="37">
        <v>0</v>
      </c>
      <c r="L3625" s="37">
        <v>3</v>
      </c>
      <c r="M3625" s="22">
        <f>IF(OR(ISBLANK(C3625),C3625=""),"",ROUND((C3625-B3625)*24,2))</f>
        <v>163.48</v>
      </c>
      <c r="N3625" s="38" t="str">
        <f>IF(OR(ISBLANK(C3625),C3625="",M3625=""),"In Progress",IF(M3625&lt;=J3625,"Met","Breached"))</f>
        <v>Breached</v>
      </c>
    </row>
    <row r="3626" ht="19" customHeight="1" spans="1:14" x14ac:dyDescent="0.25">
      <c r="A3626" s="19" t="s">
        <v>3740</v>
      </c>
      <c r="B3626" s="33">
        <v>46000.72986111111</v>
      </c>
      <c r="C3626" s="33">
        <v>46001.02638888889</v>
      </c>
      <c r="D3626" s="19" t="s">
        <v>33</v>
      </c>
      <c r="E3626" s="19" t="s">
        <v>57</v>
      </c>
      <c r="F3626" s="19" t="s">
        <v>45</v>
      </c>
      <c r="G3626" s="19" t="s">
        <v>110</v>
      </c>
      <c r="H3626" s="19" t="s">
        <v>67</v>
      </c>
      <c r="I3626" s="19" t="s">
        <v>123</v>
      </c>
      <c r="J3626" s="20">
        <v>4</v>
      </c>
      <c r="K3626" s="34">
        <v>0</v>
      </c>
      <c r="L3626" s="34">
        <v>4</v>
      </c>
      <c r="M3626" s="19">
        <f>IF(OR(ISBLANK(C3626),C3626=""),"",ROUND((C3626-B3626)*24,2))</f>
        <v>7.12</v>
      </c>
      <c r="N3626" s="39" t="str">
        <f>IF(OR(ISBLANK(C3626),C3626="",M3626=""),"In Progress",IF(M3626&lt;=J3626,"Met","Breached"))</f>
        <v>Breached</v>
      </c>
    </row>
    <row r="3627" ht="19" customHeight="1" spans="1:14" x14ac:dyDescent="0.25">
      <c r="A3627" s="22" t="s">
        <v>3741</v>
      </c>
      <c r="B3627" s="36">
        <v>46034.70208333334</v>
      </c>
      <c r="C3627" s="36">
        <v>46035.038194444445</v>
      </c>
      <c r="D3627" s="22" t="s">
        <v>36</v>
      </c>
      <c r="E3627" s="22" t="s">
        <v>61</v>
      </c>
      <c r="F3627" s="22" t="s">
        <v>43</v>
      </c>
      <c r="G3627" s="22" t="s">
        <v>110</v>
      </c>
      <c r="H3627" s="22" t="s">
        <v>59</v>
      </c>
      <c r="I3627" s="22" t="s">
        <v>111</v>
      </c>
      <c r="J3627" s="23">
        <v>12</v>
      </c>
      <c r="K3627" s="37">
        <v>0</v>
      </c>
      <c r="L3627" s="37">
        <v>1</v>
      </c>
      <c r="M3627" s="22">
        <f>IF(OR(ISBLANK(C3627),C3627=""),"",ROUND((C3627-B3627)*24,2))</f>
        <v>8.07</v>
      </c>
      <c r="N3627" s="40" t="str">
        <f>IF(OR(ISBLANK(C3627),C3627="",M3627=""),"In Progress",IF(M3627&lt;=J3627,"Met","Breached"))</f>
        <v>Met</v>
      </c>
    </row>
    <row r="3628" ht="19" customHeight="1" spans="1:14" x14ac:dyDescent="0.25">
      <c r="A3628" s="19" t="s">
        <v>3742</v>
      </c>
      <c r="B3628" s="33">
        <v>45840.22152777778</v>
      </c>
      <c r="C3628" s="33">
        <v>45841.06805555556</v>
      </c>
      <c r="D3628" s="19" t="s">
        <v>33</v>
      </c>
      <c r="E3628" s="19" t="s">
        <v>61</v>
      </c>
      <c r="F3628" s="19" t="s">
        <v>37</v>
      </c>
      <c r="G3628" s="19" t="s">
        <v>113</v>
      </c>
      <c r="H3628" s="19" t="s">
        <v>63</v>
      </c>
      <c r="I3628" s="19" t="s">
        <v>147</v>
      </c>
      <c r="J3628" s="20">
        <v>12</v>
      </c>
      <c r="K3628" s="34">
        <v>0</v>
      </c>
      <c r="L3628" s="34">
        <v>5</v>
      </c>
      <c r="M3628" s="19">
        <f>IF(OR(ISBLANK(C3628),C3628=""),"",ROUND((C3628-B3628)*24,2))</f>
        <v>20.32</v>
      </c>
      <c r="N3628" s="39" t="str">
        <f>IF(OR(ISBLANK(C3628),C3628="",M3628=""),"In Progress",IF(M3628&lt;=J3628,"Met","Breached"))</f>
        <v>Breached</v>
      </c>
    </row>
    <row r="3629" ht="19" customHeight="1" spans="1:14" x14ac:dyDescent="0.25">
      <c r="A3629" s="22" t="s">
        <v>3743</v>
      </c>
      <c r="B3629" s="36">
        <v>46075.66458333333</v>
      </c>
      <c r="D3629" s="22" t="s">
        <v>42</v>
      </c>
      <c r="E3629" s="22" t="s">
        <v>69</v>
      </c>
      <c r="F3629" s="22" t="s">
        <v>43</v>
      </c>
      <c r="G3629" s="22" t="s">
        <v>121</v>
      </c>
      <c r="H3629" s="22" t="s">
        <v>59</v>
      </c>
      <c r="I3629" s="22" t="s">
        <v>108</v>
      </c>
      <c r="J3629" s="23">
        <v>120</v>
      </c>
      <c r="K3629" s="37">
        <v>0</v>
      </c>
      <c r="M3629" s="22" t="str">
        <f>IF(OR(ISBLANK(C3629),C3629=""),"",ROUND((C3629-B3629)*24,2))</f>
        <v/>
      </c>
      <c r="N3629" s="22" t="str">
        <f>IF(OR(ISBLANK(C3629),C3629="",M3629=""),"In Progress",IF(M3629&lt;=J3629,"Met","Breached"))</f>
        <v>In Progress</v>
      </c>
    </row>
    <row r="3630" ht="19" customHeight="1" spans="1:14" x14ac:dyDescent="0.25">
      <c r="A3630" s="19" t="s">
        <v>3744</v>
      </c>
      <c r="B3630" s="33">
        <v>45880.72708333333</v>
      </c>
      <c r="C3630" s="33">
        <v>45883.0625</v>
      </c>
      <c r="D3630" s="19" t="s">
        <v>36</v>
      </c>
      <c r="E3630" s="19" t="s">
        <v>65</v>
      </c>
      <c r="F3630" s="19" t="s">
        <v>45</v>
      </c>
      <c r="G3630" s="19" t="s">
        <v>113</v>
      </c>
      <c r="H3630" s="19" t="s">
        <v>63</v>
      </c>
      <c r="I3630" s="19" t="s">
        <v>108</v>
      </c>
      <c r="J3630" s="20">
        <v>48</v>
      </c>
      <c r="K3630" s="34">
        <v>0</v>
      </c>
      <c r="L3630" s="34">
        <v>3</v>
      </c>
      <c r="M3630" s="19">
        <f>IF(OR(ISBLANK(C3630),C3630=""),"",ROUND((C3630-B3630)*24,2))</f>
        <v>56.05</v>
      </c>
      <c r="N3630" s="39" t="str">
        <f>IF(OR(ISBLANK(C3630),C3630="",M3630=""),"In Progress",IF(M3630&lt;=J3630,"Met","Breached"))</f>
        <v>Breached</v>
      </c>
    </row>
    <row r="3631" ht="19" customHeight="1" spans="1:14" x14ac:dyDescent="0.25">
      <c r="A3631" s="22" t="s">
        <v>3745</v>
      </c>
      <c r="B3631" s="36">
        <v>45901.79305555555</v>
      </c>
      <c r="C3631" s="36">
        <v>45905.01666666666</v>
      </c>
      <c r="D3631" s="22" t="s">
        <v>33</v>
      </c>
      <c r="E3631" s="22" t="s">
        <v>65</v>
      </c>
      <c r="F3631" s="22" t="s">
        <v>37</v>
      </c>
      <c r="G3631" s="22" t="s">
        <v>113</v>
      </c>
      <c r="H3631" s="22" t="s">
        <v>59</v>
      </c>
      <c r="I3631" s="22" t="s">
        <v>147</v>
      </c>
      <c r="J3631" s="23">
        <v>48</v>
      </c>
      <c r="K3631" s="37">
        <v>1</v>
      </c>
      <c r="L3631" s="37">
        <v>4</v>
      </c>
      <c r="M3631" s="22">
        <f>IF(OR(ISBLANK(C3631),C3631=""),"",ROUND((C3631-B3631)*24,2))</f>
        <v>77.37</v>
      </c>
      <c r="N3631" s="38" t="str">
        <f>IF(OR(ISBLANK(C3631),C3631="",M3631=""),"In Progress",IF(M3631&lt;=J3631,"Met","Breached"))</f>
        <v>Breached</v>
      </c>
    </row>
    <row r="3632" ht="19" customHeight="1" spans="1:14" x14ac:dyDescent="0.25">
      <c r="A3632" s="19" t="s">
        <v>3746</v>
      </c>
      <c r="B3632" s="33">
        <v>45814.9125</v>
      </c>
      <c r="D3632" s="19" t="s">
        <v>42</v>
      </c>
      <c r="E3632" s="19" t="s">
        <v>61</v>
      </c>
      <c r="F3632" s="19" t="s">
        <v>43</v>
      </c>
      <c r="G3632" s="19" t="s">
        <v>113</v>
      </c>
      <c r="H3632" s="19" t="s">
        <v>63</v>
      </c>
      <c r="I3632" s="19" t="s">
        <v>117</v>
      </c>
      <c r="J3632" s="20">
        <v>12</v>
      </c>
      <c r="K3632" s="34">
        <v>0</v>
      </c>
      <c r="M3632" s="19" t="str">
        <f>IF(OR(ISBLANK(C3632),C3632=""),"",ROUND((C3632-B3632)*24,2))</f>
        <v/>
      </c>
      <c r="N3632" s="19" t="str">
        <f>IF(OR(ISBLANK(C3632),C3632="",M3632=""),"In Progress",IF(M3632&lt;=J3632,"Met","Breached"))</f>
        <v>In Progress</v>
      </c>
    </row>
    <row r="3633" ht="19" customHeight="1" spans="1:14" x14ac:dyDescent="0.25">
      <c r="A3633" s="22" t="s">
        <v>3747</v>
      </c>
      <c r="B3633" s="36">
        <v>45840.743055555555</v>
      </c>
      <c r="C3633" s="36">
        <v>45841.65555555555</v>
      </c>
      <c r="D3633" s="22" t="s">
        <v>36</v>
      </c>
      <c r="E3633" s="22" t="s">
        <v>65</v>
      </c>
      <c r="F3633" s="22" t="s">
        <v>45</v>
      </c>
      <c r="G3633" s="22" t="s">
        <v>110</v>
      </c>
      <c r="H3633" s="22" t="s">
        <v>67</v>
      </c>
      <c r="I3633" s="22" t="s">
        <v>123</v>
      </c>
      <c r="J3633" s="23">
        <v>48</v>
      </c>
      <c r="K3633" s="37">
        <v>0</v>
      </c>
      <c r="L3633" s="37">
        <v>4</v>
      </c>
      <c r="M3633" s="22">
        <f>IF(OR(ISBLANK(C3633),C3633=""),"",ROUND((C3633-B3633)*24,2))</f>
        <v>21.9</v>
      </c>
      <c r="N3633" s="40" t="str">
        <f>IF(OR(ISBLANK(C3633),C3633="",M3633=""),"In Progress",IF(M3633&lt;=J3633,"Met","Breached"))</f>
        <v>Met</v>
      </c>
    </row>
    <row r="3634" ht="19" customHeight="1" spans="1:14" x14ac:dyDescent="0.25">
      <c r="A3634" s="19" t="s">
        <v>3748</v>
      </c>
      <c r="B3634" s="33">
        <v>46204.33333333333</v>
      </c>
      <c r="C3634" s="33">
        <v>46204.742361111115</v>
      </c>
      <c r="D3634" s="19" t="s">
        <v>36</v>
      </c>
      <c r="E3634" s="19" t="s">
        <v>61</v>
      </c>
      <c r="F3634" s="19" t="s">
        <v>37</v>
      </c>
      <c r="G3634" s="19" t="s">
        <v>113</v>
      </c>
      <c r="H3634" s="19" t="s">
        <v>59</v>
      </c>
      <c r="I3634" s="19" t="s">
        <v>114</v>
      </c>
      <c r="J3634" s="20">
        <v>12</v>
      </c>
      <c r="K3634" s="34">
        <v>1</v>
      </c>
      <c r="L3634" s="34">
        <v>1</v>
      </c>
      <c r="M3634" s="19">
        <f>IF(OR(ISBLANK(C3634),C3634=""),"",ROUND((C3634-B3634)*24,2))</f>
        <v>9.82</v>
      </c>
      <c r="N3634" s="35" t="str">
        <f>IF(OR(ISBLANK(C3634),C3634="",M3634=""),"In Progress",IF(M3634&lt;=J3634,"Met","Breached"))</f>
        <v>Met</v>
      </c>
    </row>
    <row r="3635" ht="19" customHeight="1" spans="1:14" x14ac:dyDescent="0.25">
      <c r="A3635" s="22" t="s">
        <v>3749</v>
      </c>
      <c r="B3635" s="36">
        <v>45668.09722222222</v>
      </c>
      <c r="C3635" s="36">
        <v>45672.33472222222</v>
      </c>
      <c r="D3635" s="22" t="s">
        <v>33</v>
      </c>
      <c r="E3635" s="22" t="s">
        <v>69</v>
      </c>
      <c r="F3635" s="22" t="s">
        <v>40</v>
      </c>
      <c r="G3635" s="22" t="s">
        <v>116</v>
      </c>
      <c r="H3635" s="22" t="s">
        <v>63</v>
      </c>
      <c r="I3635" s="22" t="s">
        <v>147</v>
      </c>
      <c r="J3635" s="23">
        <v>120</v>
      </c>
      <c r="K3635" s="37">
        <v>0</v>
      </c>
      <c r="L3635" s="37">
        <v>4</v>
      </c>
      <c r="M3635" s="22">
        <f>IF(OR(ISBLANK(C3635),C3635=""),"",ROUND((C3635-B3635)*24,2))</f>
        <v>101.7</v>
      </c>
      <c r="N3635" s="40" t="str">
        <f>IF(OR(ISBLANK(C3635),C3635="",M3635=""),"In Progress",IF(M3635&lt;=J3635,"Met","Breached"))</f>
        <v>Met</v>
      </c>
    </row>
    <row r="3636" ht="19" customHeight="1" spans="1:14" x14ac:dyDescent="0.25">
      <c r="A3636" s="19" t="s">
        <v>3750</v>
      </c>
      <c r="B3636" s="33">
        <v>45758.05347222222</v>
      </c>
      <c r="C3636" s="33">
        <v>45758.88055555556</v>
      </c>
      <c r="D3636" s="19" t="s">
        <v>36</v>
      </c>
      <c r="E3636" s="19" t="s">
        <v>61</v>
      </c>
      <c r="F3636" s="19" t="s">
        <v>43</v>
      </c>
      <c r="G3636" s="19" t="s">
        <v>110</v>
      </c>
      <c r="H3636" s="19" t="s">
        <v>63</v>
      </c>
      <c r="I3636" s="19" t="s">
        <v>117</v>
      </c>
      <c r="J3636" s="20">
        <v>12</v>
      </c>
      <c r="K3636" s="34">
        <v>0</v>
      </c>
      <c r="L3636" s="34">
        <v>5</v>
      </c>
      <c r="M3636" s="19">
        <f>IF(OR(ISBLANK(C3636),C3636=""),"",ROUND((C3636-B3636)*24,2))</f>
        <v>19.85</v>
      </c>
      <c r="N3636" s="39" t="str">
        <f>IF(OR(ISBLANK(C3636),C3636="",M3636=""),"In Progress",IF(M3636&lt;=J3636,"Met","Breached"))</f>
        <v>Breached</v>
      </c>
    </row>
    <row r="3637" ht="19" customHeight="1" spans="1:14" x14ac:dyDescent="0.25">
      <c r="A3637" s="22" t="s">
        <v>3751</v>
      </c>
      <c r="B3637" s="36">
        <v>46189.05347222222</v>
      </c>
      <c r="C3637" s="36">
        <v>46189.62708333333</v>
      </c>
      <c r="D3637" s="22" t="s">
        <v>36</v>
      </c>
      <c r="E3637" s="22" t="s">
        <v>61</v>
      </c>
      <c r="F3637" s="22" t="s">
        <v>37</v>
      </c>
      <c r="G3637" s="22" t="s">
        <v>63</v>
      </c>
      <c r="H3637" s="22" t="s">
        <v>59</v>
      </c>
      <c r="I3637" s="22" t="s">
        <v>117</v>
      </c>
      <c r="J3637" s="23">
        <v>12</v>
      </c>
      <c r="K3637" s="37">
        <v>0</v>
      </c>
      <c r="L3637" s="37">
        <v>3</v>
      </c>
      <c r="M3637" s="22">
        <f>IF(OR(ISBLANK(C3637),C3637=""),"",ROUND((C3637-B3637)*24,2))</f>
        <v>13.77</v>
      </c>
      <c r="N3637" s="38" t="str">
        <f>IF(OR(ISBLANK(C3637),C3637="",M3637=""),"In Progress",IF(M3637&lt;=J3637,"Met","Breached"))</f>
        <v>Breached</v>
      </c>
    </row>
    <row r="3638" ht="19" customHeight="1" spans="1:14" x14ac:dyDescent="0.25">
      <c r="A3638" s="19" t="s">
        <v>3752</v>
      </c>
      <c r="B3638" s="33">
        <v>46067.42916666667</v>
      </c>
      <c r="C3638" s="33">
        <v>46068.40277777778</v>
      </c>
      <c r="D3638" s="19" t="s">
        <v>33</v>
      </c>
      <c r="E3638" s="19" t="s">
        <v>65</v>
      </c>
      <c r="F3638" s="19" t="s">
        <v>34</v>
      </c>
      <c r="G3638" s="19" t="s">
        <v>110</v>
      </c>
      <c r="H3638" s="19" t="s">
        <v>59</v>
      </c>
      <c r="I3638" s="19" t="s">
        <v>117</v>
      </c>
      <c r="J3638" s="20">
        <v>48</v>
      </c>
      <c r="K3638" s="34">
        <v>0</v>
      </c>
      <c r="M3638" s="19">
        <f>IF(OR(ISBLANK(C3638),C3638=""),"",ROUND((C3638-B3638)*24,2))</f>
        <v>23.37</v>
      </c>
      <c r="N3638" s="35" t="str">
        <f>IF(OR(ISBLANK(C3638),C3638="",M3638=""),"In Progress",IF(M3638&lt;=J3638,"Met","Breached"))</f>
        <v>Met</v>
      </c>
    </row>
    <row r="3639" ht="19" customHeight="1" spans="1:14" x14ac:dyDescent="0.25">
      <c r="A3639" s="22" t="s">
        <v>3753</v>
      </c>
      <c r="B3639" s="36">
        <v>45753.95347222222</v>
      </c>
      <c r="C3639" s="36">
        <v>45756.19097222222</v>
      </c>
      <c r="D3639" s="22" t="s">
        <v>36</v>
      </c>
      <c r="E3639" s="22" t="s">
        <v>69</v>
      </c>
      <c r="F3639" s="22" t="s">
        <v>43</v>
      </c>
      <c r="G3639" s="22" t="s">
        <v>116</v>
      </c>
      <c r="H3639" s="22" t="s">
        <v>63</v>
      </c>
      <c r="I3639" s="22" t="s">
        <v>147</v>
      </c>
      <c r="J3639" s="23">
        <v>120</v>
      </c>
      <c r="K3639" s="37">
        <v>0</v>
      </c>
      <c r="M3639" s="22">
        <f>IF(OR(ISBLANK(C3639),C3639=""),"",ROUND((C3639-B3639)*24,2))</f>
        <v>53.7</v>
      </c>
      <c r="N3639" s="40" t="str">
        <f>IF(OR(ISBLANK(C3639),C3639="",M3639=""),"In Progress",IF(M3639&lt;=J3639,"Met","Breached"))</f>
        <v>Met</v>
      </c>
    </row>
    <row r="3640" ht="19" customHeight="1" spans="1:14" x14ac:dyDescent="0.25">
      <c r="A3640" s="19" t="s">
        <v>3754</v>
      </c>
      <c r="B3640" s="33">
        <v>46099.53402777778</v>
      </c>
      <c r="C3640" s="33">
        <v>46101.31805555556</v>
      </c>
      <c r="D3640" s="19" t="s">
        <v>33</v>
      </c>
      <c r="E3640" s="19" t="s">
        <v>65</v>
      </c>
      <c r="F3640" s="19" t="s">
        <v>34</v>
      </c>
      <c r="G3640" s="19" t="s">
        <v>116</v>
      </c>
      <c r="H3640" s="19" t="s">
        <v>67</v>
      </c>
      <c r="I3640" s="19" t="s">
        <v>123</v>
      </c>
      <c r="J3640" s="20">
        <v>48</v>
      </c>
      <c r="K3640" s="34">
        <v>0</v>
      </c>
      <c r="M3640" s="19">
        <f>IF(OR(ISBLANK(C3640),C3640=""),"",ROUND((C3640-B3640)*24,2))</f>
        <v>42.82</v>
      </c>
      <c r="N3640" s="35" t="str">
        <f>IF(OR(ISBLANK(C3640),C3640="",M3640=""),"In Progress",IF(M3640&lt;=J3640,"Met","Breached"))</f>
        <v>Met</v>
      </c>
    </row>
    <row r="3641" ht="19" customHeight="1" spans="1:14" x14ac:dyDescent="0.25">
      <c r="A3641" s="22" t="s">
        <v>3755</v>
      </c>
      <c r="B3641" s="36">
        <v>46229.97361111111</v>
      </c>
      <c r="D3641" s="22" t="s">
        <v>39</v>
      </c>
      <c r="E3641" s="22" t="s">
        <v>61</v>
      </c>
      <c r="F3641" s="22" t="s">
        <v>43</v>
      </c>
      <c r="G3641" s="22" t="s">
        <v>116</v>
      </c>
      <c r="H3641" s="22" t="s">
        <v>59</v>
      </c>
      <c r="I3641" s="22" t="s">
        <v>147</v>
      </c>
      <c r="J3641" s="23">
        <v>12</v>
      </c>
      <c r="K3641" s="37">
        <v>0</v>
      </c>
      <c r="M3641" s="22" t="str">
        <f>IF(OR(ISBLANK(C3641),C3641=""),"",ROUND((C3641-B3641)*24,2))</f>
        <v/>
      </c>
      <c r="N3641" s="22" t="str">
        <f>IF(OR(ISBLANK(C3641),C3641="",M3641=""),"In Progress",IF(M3641&lt;=J3641,"Met","Breached"))</f>
        <v>In Progress</v>
      </c>
    </row>
    <row r="3642" ht="19" customHeight="1" spans="1:14" x14ac:dyDescent="0.25">
      <c r="A3642" s="19" t="s">
        <v>3756</v>
      </c>
      <c r="B3642" s="33">
        <v>46103.0625</v>
      </c>
      <c r="C3642" s="33">
        <v>46105.57083333333</v>
      </c>
      <c r="D3642" s="19" t="s">
        <v>33</v>
      </c>
      <c r="E3642" s="19" t="s">
        <v>69</v>
      </c>
      <c r="F3642" s="19" t="s">
        <v>37</v>
      </c>
      <c r="G3642" s="19" t="s">
        <v>121</v>
      </c>
      <c r="H3642" s="19" t="s">
        <v>59</v>
      </c>
      <c r="I3642" s="19" t="s">
        <v>147</v>
      </c>
      <c r="J3642" s="20">
        <v>120</v>
      </c>
      <c r="K3642" s="34">
        <v>0</v>
      </c>
      <c r="L3642" s="34">
        <v>5</v>
      </c>
      <c r="M3642" s="19">
        <f>IF(OR(ISBLANK(C3642),C3642=""),"",ROUND((C3642-B3642)*24,2))</f>
        <v>60.2</v>
      </c>
      <c r="N3642" s="35" t="str">
        <f>IF(OR(ISBLANK(C3642),C3642="",M3642=""),"In Progress",IF(M3642&lt;=J3642,"Met","Breached"))</f>
        <v>Met</v>
      </c>
    </row>
    <row r="3643" ht="19" customHeight="1" spans="1:14" x14ac:dyDescent="0.25">
      <c r="A3643" s="22" t="s">
        <v>3757</v>
      </c>
      <c r="B3643" s="36">
        <v>45710.43611111111</v>
      </c>
      <c r="D3643" s="22" t="s">
        <v>42</v>
      </c>
      <c r="E3643" s="22" t="s">
        <v>65</v>
      </c>
      <c r="F3643" s="22" t="s">
        <v>34</v>
      </c>
      <c r="G3643" s="22" t="s">
        <v>126</v>
      </c>
      <c r="H3643" s="22" t="s">
        <v>59</v>
      </c>
      <c r="I3643" s="22" t="s">
        <v>111</v>
      </c>
      <c r="J3643" s="23">
        <v>48</v>
      </c>
      <c r="K3643" s="37">
        <v>0</v>
      </c>
      <c r="M3643" s="22" t="str">
        <f>IF(OR(ISBLANK(C3643),C3643=""),"",ROUND((C3643-B3643)*24,2))</f>
        <v/>
      </c>
      <c r="N3643" s="22" t="str">
        <f>IF(OR(ISBLANK(C3643),C3643="",M3643=""),"In Progress",IF(M3643&lt;=J3643,"Met","Breached"))</f>
        <v>In Progress</v>
      </c>
    </row>
    <row r="3644" ht="19" customHeight="1" spans="1:14" x14ac:dyDescent="0.25">
      <c r="A3644" s="19" t="s">
        <v>3758</v>
      </c>
      <c r="B3644" s="33">
        <v>45706.757638888885</v>
      </c>
      <c r="C3644" s="33">
        <v>45715.288888888885</v>
      </c>
      <c r="D3644" s="19" t="s">
        <v>33</v>
      </c>
      <c r="E3644" s="19" t="s">
        <v>69</v>
      </c>
      <c r="F3644" s="19" t="s">
        <v>43</v>
      </c>
      <c r="G3644" s="19" t="s">
        <v>116</v>
      </c>
      <c r="H3644" s="19" t="s">
        <v>59</v>
      </c>
      <c r="I3644" s="19" t="s">
        <v>117</v>
      </c>
      <c r="J3644" s="20">
        <v>120</v>
      </c>
      <c r="K3644" s="34">
        <v>0</v>
      </c>
      <c r="M3644" s="19">
        <f>IF(OR(ISBLANK(C3644),C3644=""),"",ROUND((C3644-B3644)*24,2))</f>
        <v>204.75</v>
      </c>
      <c r="N3644" s="39" t="str">
        <f>IF(OR(ISBLANK(C3644),C3644="",M3644=""),"In Progress",IF(M3644&lt;=J3644,"Met","Breached"))</f>
        <v>Breached</v>
      </c>
    </row>
    <row r="3645" ht="19" customHeight="1" spans="1:14" x14ac:dyDescent="0.25">
      <c r="A3645" s="22" t="s">
        <v>3759</v>
      </c>
      <c r="B3645" s="36">
        <v>46089.43819444445</v>
      </c>
      <c r="C3645" s="36">
        <v>46090.228472222225</v>
      </c>
      <c r="D3645" s="22" t="s">
        <v>33</v>
      </c>
      <c r="E3645" s="22" t="s">
        <v>65</v>
      </c>
      <c r="F3645" s="22" t="s">
        <v>37</v>
      </c>
      <c r="G3645" s="22" t="s">
        <v>116</v>
      </c>
      <c r="H3645" s="22" t="s">
        <v>63</v>
      </c>
      <c r="I3645" s="22" t="s">
        <v>123</v>
      </c>
      <c r="J3645" s="23">
        <v>48</v>
      </c>
      <c r="K3645" s="37">
        <v>0</v>
      </c>
      <c r="M3645" s="22">
        <f>IF(OR(ISBLANK(C3645),C3645=""),"",ROUND((C3645-B3645)*24,2))</f>
        <v>18.97</v>
      </c>
      <c r="N3645" s="40" t="str">
        <f>IF(OR(ISBLANK(C3645),C3645="",M3645=""),"In Progress",IF(M3645&lt;=J3645,"Met","Breached"))</f>
        <v>Met</v>
      </c>
    </row>
    <row r="3646" ht="19" customHeight="1" spans="1:14" x14ac:dyDescent="0.25">
      <c r="A3646" s="19" t="s">
        <v>3760</v>
      </c>
      <c r="B3646" s="33">
        <v>46256.60208333333</v>
      </c>
      <c r="C3646" s="33">
        <v>46258.47152777778</v>
      </c>
      <c r="D3646" s="19" t="s">
        <v>36</v>
      </c>
      <c r="E3646" s="19" t="s">
        <v>65</v>
      </c>
      <c r="F3646" s="19" t="s">
        <v>37</v>
      </c>
      <c r="G3646" s="19" t="s">
        <v>110</v>
      </c>
      <c r="H3646" s="19" t="s">
        <v>71</v>
      </c>
      <c r="I3646" s="19" t="s">
        <v>114</v>
      </c>
      <c r="J3646" s="20">
        <v>48</v>
      </c>
      <c r="K3646" s="34">
        <v>0</v>
      </c>
      <c r="L3646" s="34">
        <v>2</v>
      </c>
      <c r="M3646" s="19">
        <f>IF(OR(ISBLANK(C3646),C3646=""),"",ROUND((C3646-B3646)*24,2))</f>
        <v>44.87</v>
      </c>
      <c r="N3646" s="35" t="str">
        <f>IF(OR(ISBLANK(C3646),C3646="",M3646=""),"In Progress",IF(M3646&lt;=J3646,"Met","Breached"))</f>
        <v>Met</v>
      </c>
    </row>
    <row r="3647" ht="19" customHeight="1" spans="1:14" x14ac:dyDescent="0.25">
      <c r="A3647" s="22" t="s">
        <v>3761</v>
      </c>
      <c r="B3647" s="36">
        <v>46018.30902777778</v>
      </c>
      <c r="C3647" s="36">
        <v>46020.7625</v>
      </c>
      <c r="D3647" s="22" t="s">
        <v>33</v>
      </c>
      <c r="E3647" s="22" t="s">
        <v>65</v>
      </c>
      <c r="F3647" s="22" t="s">
        <v>34</v>
      </c>
      <c r="G3647" s="22" t="s">
        <v>121</v>
      </c>
      <c r="H3647" s="22" t="s">
        <v>59</v>
      </c>
      <c r="I3647" s="22" t="s">
        <v>108</v>
      </c>
      <c r="J3647" s="23">
        <v>48</v>
      </c>
      <c r="K3647" s="37">
        <v>0</v>
      </c>
      <c r="L3647" s="37">
        <v>2</v>
      </c>
      <c r="M3647" s="22">
        <f>IF(OR(ISBLANK(C3647),C3647=""),"",ROUND((C3647-B3647)*24,2))</f>
        <v>58.88</v>
      </c>
      <c r="N3647" s="38" t="str">
        <f>IF(OR(ISBLANK(C3647),C3647="",M3647=""),"In Progress",IF(M3647&lt;=J3647,"Met","Breached"))</f>
        <v>Breached</v>
      </c>
    </row>
    <row r="3648" ht="19" customHeight="1" spans="1:14" x14ac:dyDescent="0.25">
      <c r="A3648" s="19" t="s">
        <v>3762</v>
      </c>
      <c r="B3648" s="33">
        <v>45755.84861111111</v>
      </c>
      <c r="C3648" s="33">
        <v>45757.61597222222</v>
      </c>
      <c r="D3648" s="19" t="s">
        <v>33</v>
      </c>
      <c r="E3648" s="19" t="s">
        <v>65</v>
      </c>
      <c r="F3648" s="19" t="s">
        <v>40</v>
      </c>
      <c r="G3648" s="19" t="s">
        <v>113</v>
      </c>
      <c r="H3648" s="19" t="s">
        <v>59</v>
      </c>
      <c r="I3648" s="19" t="s">
        <v>117</v>
      </c>
      <c r="J3648" s="20">
        <v>48</v>
      </c>
      <c r="K3648" s="34">
        <v>0</v>
      </c>
      <c r="M3648" s="19">
        <f>IF(OR(ISBLANK(C3648),C3648=""),"",ROUND((C3648-B3648)*24,2))</f>
        <v>42.42</v>
      </c>
      <c r="N3648" s="35" t="str">
        <f>IF(OR(ISBLANK(C3648),C3648="",M3648=""),"In Progress",IF(M3648&lt;=J3648,"Met","Breached"))</f>
        <v>Met</v>
      </c>
    </row>
    <row r="3649" ht="19" customHeight="1" spans="1:14" x14ac:dyDescent="0.25">
      <c r="A3649" s="22" t="s">
        <v>3763</v>
      </c>
      <c r="B3649" s="36">
        <v>45878.195138888885</v>
      </c>
      <c r="C3649" s="36">
        <v>45883.32291666667</v>
      </c>
      <c r="D3649" s="22" t="s">
        <v>33</v>
      </c>
      <c r="E3649" s="22" t="s">
        <v>69</v>
      </c>
      <c r="F3649" s="22" t="s">
        <v>43</v>
      </c>
      <c r="G3649" s="22" t="s">
        <v>63</v>
      </c>
      <c r="H3649" s="22" t="s">
        <v>71</v>
      </c>
      <c r="I3649" s="22" t="s">
        <v>123</v>
      </c>
      <c r="J3649" s="23">
        <v>120</v>
      </c>
      <c r="K3649" s="37">
        <v>1</v>
      </c>
      <c r="M3649" s="22">
        <f>IF(OR(ISBLANK(C3649),C3649=""),"",ROUND((C3649-B3649)*24,2))</f>
        <v>123.07</v>
      </c>
      <c r="N3649" s="38" t="str">
        <f>IF(OR(ISBLANK(C3649),C3649="",M3649=""),"In Progress",IF(M3649&lt;=J3649,"Met","Breached"))</f>
        <v>Breached</v>
      </c>
    </row>
    <row r="3650" ht="19" customHeight="1" spans="1:14" x14ac:dyDescent="0.25">
      <c r="A3650" s="19" t="s">
        <v>3764</v>
      </c>
      <c r="B3650" s="33">
        <v>46107.5625</v>
      </c>
      <c r="D3650" s="19" t="s">
        <v>39</v>
      </c>
      <c r="E3650" s="19" t="s">
        <v>65</v>
      </c>
      <c r="F3650" s="19" t="s">
        <v>40</v>
      </c>
      <c r="G3650" s="19" t="s">
        <v>116</v>
      </c>
      <c r="H3650" s="19" t="s">
        <v>67</v>
      </c>
      <c r="I3650" s="19" t="s">
        <v>108</v>
      </c>
      <c r="J3650" s="20">
        <v>48</v>
      </c>
      <c r="K3650" s="34">
        <v>0</v>
      </c>
      <c r="M3650" s="19" t="str">
        <f>IF(OR(ISBLANK(C3650),C3650=""),"",ROUND((C3650-B3650)*24,2))</f>
        <v/>
      </c>
      <c r="N3650" s="19" t="str">
        <f>IF(OR(ISBLANK(C3650),C3650="",M3650=""),"In Progress",IF(M3650&lt;=J3650,"Met","Breached"))</f>
        <v>In Progress</v>
      </c>
    </row>
    <row r="3651" ht="19" customHeight="1" spans="1:14" x14ac:dyDescent="0.25">
      <c r="A3651" s="22" t="s">
        <v>3765</v>
      </c>
      <c r="B3651" s="36">
        <v>46215.086805555555</v>
      </c>
      <c r="C3651" s="36">
        <v>46215.51180555555</v>
      </c>
      <c r="D3651" s="22" t="s">
        <v>33</v>
      </c>
      <c r="E3651" s="22" t="s">
        <v>61</v>
      </c>
      <c r="F3651" s="22" t="s">
        <v>37</v>
      </c>
      <c r="G3651" s="22" t="s">
        <v>63</v>
      </c>
      <c r="H3651" s="22" t="s">
        <v>71</v>
      </c>
      <c r="I3651" s="22" t="s">
        <v>117</v>
      </c>
      <c r="J3651" s="23">
        <v>12</v>
      </c>
      <c r="K3651" s="37">
        <v>0</v>
      </c>
      <c r="L3651" s="37">
        <v>1</v>
      </c>
      <c r="M3651" s="22">
        <f>IF(OR(ISBLANK(C3651),C3651=""),"",ROUND((C3651-B3651)*24,2))</f>
        <v>10.2</v>
      </c>
      <c r="N3651" s="40" t="str">
        <f>IF(OR(ISBLANK(C3651),C3651="",M3651=""),"In Progress",IF(M3651&lt;=J3651,"Met","Breached"))</f>
        <v>Met</v>
      </c>
    </row>
    <row r="3652" ht="19" customHeight="1" spans="1:14" x14ac:dyDescent="0.25">
      <c r="A3652" s="19" t="s">
        <v>3766</v>
      </c>
      <c r="B3652" s="33">
        <v>46090.830555555556</v>
      </c>
      <c r="C3652" s="33">
        <v>46097.62361111111</v>
      </c>
      <c r="D3652" s="19" t="s">
        <v>33</v>
      </c>
      <c r="E3652" s="19" t="s">
        <v>69</v>
      </c>
      <c r="F3652" s="19" t="s">
        <v>43</v>
      </c>
      <c r="G3652" s="19" t="s">
        <v>113</v>
      </c>
      <c r="H3652" s="19" t="s">
        <v>63</v>
      </c>
      <c r="I3652" s="19" t="s">
        <v>114</v>
      </c>
      <c r="J3652" s="20">
        <v>120</v>
      </c>
      <c r="K3652" s="34">
        <v>0</v>
      </c>
      <c r="L3652" s="34">
        <v>4</v>
      </c>
      <c r="M3652" s="19">
        <f>IF(OR(ISBLANK(C3652),C3652=""),"",ROUND((C3652-B3652)*24,2))</f>
        <v>163.03</v>
      </c>
      <c r="N3652" s="39" t="str">
        <f>IF(OR(ISBLANK(C3652),C3652="",M3652=""),"In Progress",IF(M3652&lt;=J3652,"Met","Breached"))</f>
        <v>Breached</v>
      </c>
    </row>
    <row r="3653" ht="19" customHeight="1" spans="1:14" x14ac:dyDescent="0.25">
      <c r="A3653" s="22" t="s">
        <v>3767</v>
      </c>
      <c r="B3653" s="36">
        <v>45838.56041666667</v>
      </c>
      <c r="C3653" s="36">
        <v>45839.68402777778</v>
      </c>
      <c r="D3653" s="22" t="s">
        <v>36</v>
      </c>
      <c r="E3653" s="22" t="s">
        <v>65</v>
      </c>
      <c r="F3653" s="22" t="s">
        <v>40</v>
      </c>
      <c r="G3653" s="22" t="s">
        <v>126</v>
      </c>
      <c r="H3653" s="22" t="s">
        <v>63</v>
      </c>
      <c r="I3653" s="22" t="s">
        <v>117</v>
      </c>
      <c r="J3653" s="23">
        <v>48</v>
      </c>
      <c r="K3653" s="37">
        <v>0</v>
      </c>
      <c r="L3653" s="37">
        <v>2</v>
      </c>
      <c r="M3653" s="22">
        <f>IF(OR(ISBLANK(C3653),C3653=""),"",ROUND((C3653-B3653)*24,2))</f>
        <v>26.97</v>
      </c>
      <c r="N3653" s="40" t="str">
        <f>IF(OR(ISBLANK(C3653),C3653="",M3653=""),"In Progress",IF(M3653&lt;=J3653,"Met","Breached"))</f>
        <v>Met</v>
      </c>
    </row>
    <row r="3654" ht="19" customHeight="1" spans="1:14" x14ac:dyDescent="0.25">
      <c r="A3654" s="19" t="s">
        <v>3768</v>
      </c>
      <c r="B3654" s="33">
        <v>45670.35416666667</v>
      </c>
      <c r="C3654" s="33">
        <v>45671.93402777778</v>
      </c>
      <c r="D3654" s="19" t="s">
        <v>33</v>
      </c>
      <c r="E3654" s="19" t="s">
        <v>65</v>
      </c>
      <c r="F3654" s="19" t="s">
        <v>45</v>
      </c>
      <c r="G3654" s="19" t="s">
        <v>63</v>
      </c>
      <c r="H3654" s="19" t="s">
        <v>63</v>
      </c>
      <c r="I3654" s="19" t="s">
        <v>114</v>
      </c>
      <c r="J3654" s="20">
        <v>48</v>
      </c>
      <c r="K3654" s="34">
        <v>0</v>
      </c>
      <c r="L3654" s="34">
        <v>4</v>
      </c>
      <c r="M3654" s="19">
        <f>IF(OR(ISBLANK(C3654),C3654=""),"",ROUND((C3654-B3654)*24,2))</f>
        <v>37.92</v>
      </c>
      <c r="N3654" s="35" t="str">
        <f>IF(OR(ISBLANK(C3654),C3654="",M3654=""),"In Progress",IF(M3654&lt;=J3654,"Met","Breached"))</f>
        <v>Met</v>
      </c>
    </row>
    <row r="3655" ht="19" customHeight="1" spans="1:14" x14ac:dyDescent="0.25">
      <c r="A3655" s="22" t="s">
        <v>3769</v>
      </c>
      <c r="B3655" s="36">
        <v>46125.05902777778</v>
      </c>
      <c r="D3655" s="22" t="s">
        <v>39</v>
      </c>
      <c r="E3655" s="22" t="s">
        <v>65</v>
      </c>
      <c r="F3655" s="22" t="s">
        <v>43</v>
      </c>
      <c r="G3655" s="22" t="s">
        <v>113</v>
      </c>
      <c r="H3655" s="22" t="s">
        <v>63</v>
      </c>
      <c r="I3655" s="22" t="s">
        <v>111</v>
      </c>
      <c r="J3655" s="23">
        <v>48</v>
      </c>
      <c r="K3655" s="37">
        <v>0</v>
      </c>
      <c r="M3655" s="22" t="str">
        <f>IF(OR(ISBLANK(C3655),C3655=""),"",ROUND((C3655-B3655)*24,2))</f>
        <v/>
      </c>
      <c r="N3655" s="22" t="str">
        <f>IF(OR(ISBLANK(C3655),C3655="",M3655=""),"In Progress",IF(M3655&lt;=J3655,"Met","Breached"))</f>
        <v>In Progress</v>
      </c>
    </row>
    <row r="3656" ht="19" customHeight="1" spans="1:14" x14ac:dyDescent="0.25">
      <c r="A3656" s="19" t="s">
        <v>3770</v>
      </c>
      <c r="B3656" s="33">
        <v>45890.77986111111</v>
      </c>
      <c r="C3656" s="33">
        <v>45891.584027777775</v>
      </c>
      <c r="D3656" s="19" t="s">
        <v>36</v>
      </c>
      <c r="E3656" s="19" t="s">
        <v>65</v>
      </c>
      <c r="F3656" s="19" t="s">
        <v>40</v>
      </c>
      <c r="G3656" s="19" t="s">
        <v>116</v>
      </c>
      <c r="H3656" s="19" t="s">
        <v>59</v>
      </c>
      <c r="I3656" s="19" t="s">
        <v>111</v>
      </c>
      <c r="J3656" s="20">
        <v>48</v>
      </c>
      <c r="K3656" s="34">
        <v>0</v>
      </c>
      <c r="L3656" s="34">
        <v>4</v>
      </c>
      <c r="M3656" s="19">
        <f>IF(OR(ISBLANK(C3656),C3656=""),"",ROUND((C3656-B3656)*24,2))</f>
        <v>19.3</v>
      </c>
      <c r="N3656" s="35" t="str">
        <f>IF(OR(ISBLANK(C3656),C3656="",M3656=""),"In Progress",IF(M3656&lt;=J3656,"Met","Breached"))</f>
        <v>Met</v>
      </c>
    </row>
    <row r="3657" ht="19" customHeight="1" spans="1:14" x14ac:dyDescent="0.25">
      <c r="A3657" s="22" t="s">
        <v>3771</v>
      </c>
      <c r="B3657" s="36">
        <v>45940.646527777775</v>
      </c>
      <c r="D3657" s="22" t="s">
        <v>39</v>
      </c>
      <c r="E3657" s="22" t="s">
        <v>61</v>
      </c>
      <c r="F3657" s="22" t="s">
        <v>45</v>
      </c>
      <c r="G3657" s="22" t="s">
        <v>63</v>
      </c>
      <c r="H3657" s="22" t="s">
        <v>59</v>
      </c>
      <c r="I3657" s="22" t="s">
        <v>117</v>
      </c>
      <c r="J3657" s="23">
        <v>12</v>
      </c>
      <c r="K3657" s="37">
        <v>0</v>
      </c>
      <c r="M3657" s="22" t="str">
        <f>IF(OR(ISBLANK(C3657),C3657=""),"",ROUND((C3657-B3657)*24,2))</f>
        <v/>
      </c>
      <c r="N3657" s="22" t="str">
        <f>IF(OR(ISBLANK(C3657),C3657="",M3657=""),"In Progress",IF(M3657&lt;=J3657,"Met","Breached"))</f>
        <v>In Progress</v>
      </c>
    </row>
    <row r="3658" ht="19" customHeight="1" spans="1:14" x14ac:dyDescent="0.25">
      <c r="A3658" s="19" t="s">
        <v>3772</v>
      </c>
      <c r="B3658" s="33">
        <v>45833.79027777778</v>
      </c>
      <c r="C3658" s="33">
        <v>45834.05625</v>
      </c>
      <c r="D3658" s="19" t="s">
        <v>33</v>
      </c>
      <c r="E3658" s="19" t="s">
        <v>61</v>
      </c>
      <c r="F3658" s="19" t="s">
        <v>45</v>
      </c>
      <c r="G3658" s="19" t="s">
        <v>63</v>
      </c>
      <c r="H3658" s="19" t="s">
        <v>67</v>
      </c>
      <c r="I3658" s="19" t="s">
        <v>111</v>
      </c>
      <c r="J3658" s="20">
        <v>12</v>
      </c>
      <c r="K3658" s="34">
        <v>0</v>
      </c>
      <c r="L3658" s="34">
        <v>4</v>
      </c>
      <c r="M3658" s="19">
        <f>IF(OR(ISBLANK(C3658),C3658=""),"",ROUND((C3658-B3658)*24,2))</f>
        <v>6.38</v>
      </c>
      <c r="N3658" s="35" t="str">
        <f>IF(OR(ISBLANK(C3658),C3658="",M3658=""),"In Progress",IF(M3658&lt;=J3658,"Met","Breached"))</f>
        <v>Met</v>
      </c>
    </row>
    <row r="3659" ht="19" customHeight="1" spans="1:14" x14ac:dyDescent="0.25">
      <c r="A3659" s="22" t="s">
        <v>3773</v>
      </c>
      <c r="B3659" s="36">
        <v>46169.30763888889</v>
      </c>
      <c r="C3659" s="36">
        <v>46171.649305555555</v>
      </c>
      <c r="D3659" s="22" t="s">
        <v>36</v>
      </c>
      <c r="E3659" s="22" t="s">
        <v>65</v>
      </c>
      <c r="F3659" s="22" t="s">
        <v>34</v>
      </c>
      <c r="G3659" s="22" t="s">
        <v>121</v>
      </c>
      <c r="H3659" s="22" t="s">
        <v>59</v>
      </c>
      <c r="I3659" s="22" t="s">
        <v>108</v>
      </c>
      <c r="J3659" s="23">
        <v>48</v>
      </c>
      <c r="K3659" s="37">
        <v>0</v>
      </c>
      <c r="L3659" s="37">
        <v>4</v>
      </c>
      <c r="M3659" s="22">
        <f>IF(OR(ISBLANK(C3659),C3659=""),"",ROUND((C3659-B3659)*24,2))</f>
        <v>56.2</v>
      </c>
      <c r="N3659" s="38" t="str">
        <f>IF(OR(ISBLANK(C3659),C3659="",M3659=""),"In Progress",IF(M3659&lt;=J3659,"Met","Breached"))</f>
        <v>Breached</v>
      </c>
    </row>
    <row r="3660" ht="19" customHeight="1" spans="1:14" x14ac:dyDescent="0.25">
      <c r="A3660" s="19" t="s">
        <v>3774</v>
      </c>
      <c r="B3660" s="33">
        <v>46171.01875</v>
      </c>
      <c r="C3660" s="33">
        <v>46171.25833333333</v>
      </c>
      <c r="D3660" s="19" t="s">
        <v>36</v>
      </c>
      <c r="E3660" s="19" t="s">
        <v>61</v>
      </c>
      <c r="F3660" s="19" t="s">
        <v>45</v>
      </c>
      <c r="G3660" s="19" t="s">
        <v>121</v>
      </c>
      <c r="H3660" s="19" t="s">
        <v>63</v>
      </c>
      <c r="I3660" s="19" t="s">
        <v>114</v>
      </c>
      <c r="J3660" s="20">
        <v>12</v>
      </c>
      <c r="K3660" s="34">
        <v>0</v>
      </c>
      <c r="M3660" s="19">
        <f>IF(OR(ISBLANK(C3660),C3660=""),"",ROUND((C3660-B3660)*24,2))</f>
        <v>5.75</v>
      </c>
      <c r="N3660" s="35" t="str">
        <f>IF(OR(ISBLANK(C3660),C3660="",M3660=""),"In Progress",IF(M3660&lt;=J3660,"Met","Breached"))</f>
        <v>Met</v>
      </c>
    </row>
    <row r="3661" ht="19" customHeight="1" spans="1:14" x14ac:dyDescent="0.25">
      <c r="A3661" s="22" t="s">
        <v>3775</v>
      </c>
      <c r="B3661" s="36">
        <v>45752.40972222222</v>
      </c>
      <c r="C3661" s="36">
        <v>45753.25902777778</v>
      </c>
      <c r="D3661" s="22" t="s">
        <v>33</v>
      </c>
      <c r="E3661" s="22" t="s">
        <v>61</v>
      </c>
      <c r="F3661" s="22" t="s">
        <v>40</v>
      </c>
      <c r="G3661" s="22" t="s">
        <v>110</v>
      </c>
      <c r="H3661" s="22" t="s">
        <v>63</v>
      </c>
      <c r="I3661" s="22" t="s">
        <v>111</v>
      </c>
      <c r="J3661" s="23">
        <v>12</v>
      </c>
      <c r="K3661" s="37">
        <v>0</v>
      </c>
      <c r="M3661" s="22">
        <f>IF(OR(ISBLANK(C3661),C3661=""),"",ROUND((C3661-B3661)*24,2))</f>
        <v>20.38</v>
      </c>
      <c r="N3661" s="38" t="str">
        <f>IF(OR(ISBLANK(C3661),C3661="",M3661=""),"In Progress",IF(M3661&lt;=J3661,"Met","Breached"))</f>
        <v>Breached</v>
      </c>
    </row>
    <row r="3662" ht="19" customHeight="1" spans="1:14" x14ac:dyDescent="0.25">
      <c r="A3662" s="19" t="s">
        <v>3776</v>
      </c>
      <c r="B3662" s="33">
        <v>46031.44930555555</v>
      </c>
      <c r="D3662" s="19" t="s">
        <v>39</v>
      </c>
      <c r="E3662" s="19" t="s">
        <v>65</v>
      </c>
      <c r="F3662" s="19" t="s">
        <v>40</v>
      </c>
      <c r="G3662" s="19" t="s">
        <v>110</v>
      </c>
      <c r="H3662" s="19" t="s">
        <v>63</v>
      </c>
      <c r="I3662" s="19" t="s">
        <v>114</v>
      </c>
      <c r="J3662" s="20">
        <v>48</v>
      </c>
      <c r="K3662" s="34">
        <v>0</v>
      </c>
      <c r="M3662" s="19" t="str">
        <f>IF(OR(ISBLANK(C3662),C3662=""),"",ROUND((C3662-B3662)*24,2))</f>
        <v/>
      </c>
      <c r="N3662" s="19" t="str">
        <f>IF(OR(ISBLANK(C3662),C3662="",M3662=""),"In Progress",IF(M3662&lt;=J3662,"Met","Breached"))</f>
        <v>In Progress</v>
      </c>
    </row>
    <row r="3663" ht="19" customHeight="1" spans="1:14" x14ac:dyDescent="0.25">
      <c r="A3663" s="22" t="s">
        <v>3777</v>
      </c>
      <c r="B3663" s="36">
        <v>46028.99375</v>
      </c>
      <c r="C3663" s="36">
        <v>46029.805555555555</v>
      </c>
      <c r="D3663" s="22" t="s">
        <v>36</v>
      </c>
      <c r="E3663" s="22" t="s">
        <v>61</v>
      </c>
      <c r="F3663" s="22" t="s">
        <v>43</v>
      </c>
      <c r="G3663" s="22" t="s">
        <v>116</v>
      </c>
      <c r="H3663" s="22" t="s">
        <v>63</v>
      </c>
      <c r="I3663" s="22" t="s">
        <v>147</v>
      </c>
      <c r="J3663" s="23">
        <v>12</v>
      </c>
      <c r="K3663" s="37">
        <v>0</v>
      </c>
      <c r="L3663" s="37">
        <v>2</v>
      </c>
      <c r="M3663" s="22">
        <f>IF(OR(ISBLANK(C3663),C3663=""),"",ROUND((C3663-B3663)*24,2))</f>
        <v>19.48</v>
      </c>
      <c r="N3663" s="38" t="str">
        <f>IF(OR(ISBLANK(C3663),C3663="",M3663=""),"In Progress",IF(M3663&lt;=J3663,"Met","Breached"))</f>
        <v>Breached</v>
      </c>
    </row>
    <row r="3664" ht="19" customHeight="1" spans="1:14" x14ac:dyDescent="0.25">
      <c r="A3664" s="19" t="s">
        <v>3778</v>
      </c>
      <c r="B3664" s="33">
        <v>45766.725694444445</v>
      </c>
      <c r="C3664" s="33">
        <v>45768.70277777778</v>
      </c>
      <c r="D3664" s="19" t="s">
        <v>33</v>
      </c>
      <c r="E3664" s="19" t="s">
        <v>65</v>
      </c>
      <c r="F3664" s="19" t="s">
        <v>43</v>
      </c>
      <c r="G3664" s="19" t="s">
        <v>63</v>
      </c>
      <c r="H3664" s="19" t="s">
        <v>59</v>
      </c>
      <c r="I3664" s="19" t="s">
        <v>123</v>
      </c>
      <c r="J3664" s="20">
        <v>48</v>
      </c>
      <c r="K3664" s="34">
        <v>0</v>
      </c>
      <c r="L3664" s="34">
        <v>3</v>
      </c>
      <c r="M3664" s="19">
        <f>IF(OR(ISBLANK(C3664),C3664=""),"",ROUND((C3664-B3664)*24,2))</f>
        <v>47.45</v>
      </c>
      <c r="N3664" s="35" t="str">
        <f>IF(OR(ISBLANK(C3664),C3664="",M3664=""),"In Progress",IF(M3664&lt;=J3664,"Met","Breached"))</f>
        <v>Met</v>
      </c>
    </row>
    <row r="3665" ht="19" customHeight="1" spans="1:14" x14ac:dyDescent="0.25">
      <c r="A3665" s="22" t="s">
        <v>3779</v>
      </c>
      <c r="B3665" s="36">
        <v>45925.34861111111</v>
      </c>
      <c r="D3665" s="22" t="s">
        <v>39</v>
      </c>
      <c r="E3665" s="22" t="s">
        <v>65</v>
      </c>
      <c r="F3665" s="22" t="s">
        <v>34</v>
      </c>
      <c r="G3665" s="22" t="s">
        <v>110</v>
      </c>
      <c r="H3665" s="22" t="s">
        <v>59</v>
      </c>
      <c r="I3665" s="22" t="s">
        <v>111</v>
      </c>
      <c r="J3665" s="23">
        <v>48</v>
      </c>
      <c r="K3665" s="37">
        <v>0</v>
      </c>
      <c r="M3665" s="22" t="str">
        <f>IF(OR(ISBLANK(C3665),C3665=""),"",ROUND((C3665-B3665)*24,2))</f>
        <v/>
      </c>
      <c r="N3665" s="22" t="str">
        <f>IF(OR(ISBLANK(C3665),C3665="",M3665=""),"In Progress",IF(M3665&lt;=J3665,"Met","Breached"))</f>
        <v>In Progress</v>
      </c>
    </row>
    <row r="3666" ht="19" customHeight="1" spans="1:14" x14ac:dyDescent="0.25">
      <c r="A3666" s="19" t="s">
        <v>3780</v>
      </c>
      <c r="B3666" s="33">
        <v>45804.566666666666</v>
      </c>
      <c r="C3666" s="33">
        <v>45813.06875</v>
      </c>
      <c r="D3666" s="19" t="s">
        <v>33</v>
      </c>
      <c r="E3666" s="19" t="s">
        <v>69</v>
      </c>
      <c r="F3666" s="19" t="s">
        <v>45</v>
      </c>
      <c r="G3666" s="19" t="s">
        <v>121</v>
      </c>
      <c r="H3666" s="19" t="s">
        <v>59</v>
      </c>
      <c r="I3666" s="19" t="s">
        <v>108</v>
      </c>
      <c r="J3666" s="20">
        <v>120</v>
      </c>
      <c r="K3666" s="34">
        <v>0</v>
      </c>
      <c r="L3666" s="34">
        <v>2</v>
      </c>
      <c r="M3666" s="19">
        <f>IF(OR(ISBLANK(C3666),C3666=""),"",ROUND((C3666-B3666)*24,2))</f>
        <v>204.05</v>
      </c>
      <c r="N3666" s="39" t="str">
        <f>IF(OR(ISBLANK(C3666),C3666="",M3666=""),"In Progress",IF(M3666&lt;=J3666,"Met","Breached"))</f>
        <v>Breached</v>
      </c>
    </row>
    <row r="3667" ht="19" customHeight="1" spans="1:14" x14ac:dyDescent="0.25">
      <c r="A3667" s="22" t="s">
        <v>3781</v>
      </c>
      <c r="B3667" s="36">
        <v>45867.69583333333</v>
      </c>
      <c r="C3667" s="36">
        <v>45868.38541666667</v>
      </c>
      <c r="D3667" s="22" t="s">
        <v>36</v>
      </c>
      <c r="E3667" s="22" t="s">
        <v>61</v>
      </c>
      <c r="F3667" s="22" t="s">
        <v>40</v>
      </c>
      <c r="G3667" s="22" t="s">
        <v>121</v>
      </c>
      <c r="H3667" s="22" t="s">
        <v>63</v>
      </c>
      <c r="I3667" s="22" t="s">
        <v>123</v>
      </c>
      <c r="J3667" s="23">
        <v>12</v>
      </c>
      <c r="K3667" s="37">
        <v>0</v>
      </c>
      <c r="L3667" s="37">
        <v>5</v>
      </c>
      <c r="M3667" s="22">
        <f>IF(OR(ISBLANK(C3667),C3667=""),"",ROUND((C3667-B3667)*24,2))</f>
        <v>16.55</v>
      </c>
      <c r="N3667" s="38" t="str">
        <f>IF(OR(ISBLANK(C3667),C3667="",M3667=""),"In Progress",IF(M3667&lt;=J3667,"Met","Breached"))</f>
        <v>Breached</v>
      </c>
    </row>
    <row r="3668" ht="19" customHeight="1" spans="1:14" x14ac:dyDescent="0.25">
      <c r="A3668" s="19" t="s">
        <v>3782</v>
      </c>
      <c r="B3668" s="33">
        <v>45990.87777777778</v>
      </c>
      <c r="D3668" s="19" t="s">
        <v>39</v>
      </c>
      <c r="E3668" s="19" t="s">
        <v>65</v>
      </c>
      <c r="F3668" s="19" t="s">
        <v>45</v>
      </c>
      <c r="G3668" s="19" t="s">
        <v>113</v>
      </c>
      <c r="H3668" s="19" t="s">
        <v>59</v>
      </c>
      <c r="I3668" s="19" t="s">
        <v>117</v>
      </c>
      <c r="J3668" s="20">
        <v>48</v>
      </c>
      <c r="K3668" s="34">
        <v>0</v>
      </c>
      <c r="M3668" s="19" t="str">
        <f>IF(OR(ISBLANK(C3668),C3668=""),"",ROUND((C3668-B3668)*24,2))</f>
        <v/>
      </c>
      <c r="N3668" s="19" t="str">
        <f>IF(OR(ISBLANK(C3668),C3668="",M3668=""),"In Progress",IF(M3668&lt;=J3668,"Met","Breached"))</f>
        <v>In Progress</v>
      </c>
    </row>
    <row r="3669" ht="19" customHeight="1" spans="1:14" x14ac:dyDescent="0.25">
      <c r="A3669" s="22" t="s">
        <v>3783</v>
      </c>
      <c r="B3669" s="36">
        <v>46178.86041666666</v>
      </c>
      <c r="C3669" s="36">
        <v>46179.01597222222</v>
      </c>
      <c r="D3669" s="22" t="s">
        <v>36</v>
      </c>
      <c r="E3669" s="22" t="s">
        <v>61</v>
      </c>
      <c r="F3669" s="22" t="s">
        <v>37</v>
      </c>
      <c r="G3669" s="22" t="s">
        <v>110</v>
      </c>
      <c r="H3669" s="22" t="s">
        <v>67</v>
      </c>
      <c r="I3669" s="22" t="s">
        <v>111</v>
      </c>
      <c r="J3669" s="23">
        <v>12</v>
      </c>
      <c r="K3669" s="37">
        <v>0</v>
      </c>
      <c r="M3669" s="22">
        <f>IF(OR(ISBLANK(C3669),C3669=""),"",ROUND((C3669-B3669)*24,2))</f>
        <v>3.73</v>
      </c>
      <c r="N3669" s="40" t="str">
        <f>IF(OR(ISBLANK(C3669),C3669="",M3669=""),"In Progress",IF(M3669&lt;=J3669,"Met","Breached"))</f>
        <v>Met</v>
      </c>
    </row>
    <row r="3670" ht="19" customHeight="1" spans="1:14" x14ac:dyDescent="0.25">
      <c r="A3670" s="19" t="s">
        <v>3784</v>
      </c>
      <c r="B3670" s="33">
        <v>46044.225694444445</v>
      </c>
      <c r="C3670" s="33">
        <v>46045.06319444445</v>
      </c>
      <c r="D3670" s="19" t="s">
        <v>33</v>
      </c>
      <c r="E3670" s="19" t="s">
        <v>61</v>
      </c>
      <c r="F3670" s="19" t="s">
        <v>45</v>
      </c>
      <c r="G3670" s="19" t="s">
        <v>121</v>
      </c>
      <c r="H3670" s="19" t="s">
        <v>63</v>
      </c>
      <c r="I3670" s="19" t="s">
        <v>123</v>
      </c>
      <c r="J3670" s="20">
        <v>12</v>
      </c>
      <c r="K3670" s="34">
        <v>0</v>
      </c>
      <c r="M3670" s="19">
        <f>IF(OR(ISBLANK(C3670),C3670=""),"",ROUND((C3670-B3670)*24,2))</f>
        <v>20.1</v>
      </c>
      <c r="N3670" s="39" t="str">
        <f>IF(OR(ISBLANK(C3670),C3670="",M3670=""),"In Progress",IF(M3670&lt;=J3670,"Met","Breached"))</f>
        <v>Breached</v>
      </c>
    </row>
    <row r="3671" ht="19" customHeight="1" spans="1:14" x14ac:dyDescent="0.25">
      <c r="A3671" s="22" t="s">
        <v>3785</v>
      </c>
      <c r="B3671" s="36">
        <v>45670.45833333333</v>
      </c>
      <c r="C3671" s="36">
        <v>45671.6375</v>
      </c>
      <c r="D3671" s="22" t="s">
        <v>36</v>
      </c>
      <c r="E3671" s="22" t="s">
        <v>65</v>
      </c>
      <c r="F3671" s="22" t="s">
        <v>37</v>
      </c>
      <c r="G3671" s="22" t="s">
        <v>116</v>
      </c>
      <c r="H3671" s="22" t="s">
        <v>59</v>
      </c>
      <c r="I3671" s="22" t="s">
        <v>147</v>
      </c>
      <c r="J3671" s="23">
        <v>48</v>
      </c>
      <c r="K3671" s="37">
        <v>0</v>
      </c>
      <c r="L3671" s="37">
        <v>5</v>
      </c>
      <c r="M3671" s="22">
        <f>IF(OR(ISBLANK(C3671),C3671=""),"",ROUND((C3671-B3671)*24,2))</f>
        <v>28.3</v>
      </c>
      <c r="N3671" s="40" t="str">
        <f>IF(OR(ISBLANK(C3671),C3671="",M3671=""),"In Progress",IF(M3671&lt;=J3671,"Met","Breached"))</f>
        <v>Met</v>
      </c>
    </row>
    <row r="3672" ht="19" customHeight="1" spans="1:14" x14ac:dyDescent="0.25">
      <c r="A3672" s="19" t="s">
        <v>3786</v>
      </c>
      <c r="B3672" s="33">
        <v>46110.29375</v>
      </c>
      <c r="C3672" s="33">
        <v>46116.61041666666</v>
      </c>
      <c r="D3672" s="19" t="s">
        <v>36</v>
      </c>
      <c r="E3672" s="19" t="s">
        <v>69</v>
      </c>
      <c r="F3672" s="19" t="s">
        <v>37</v>
      </c>
      <c r="G3672" s="19" t="s">
        <v>126</v>
      </c>
      <c r="H3672" s="19" t="s">
        <v>71</v>
      </c>
      <c r="I3672" s="19" t="s">
        <v>117</v>
      </c>
      <c r="J3672" s="20">
        <v>120</v>
      </c>
      <c r="K3672" s="34">
        <v>0</v>
      </c>
      <c r="M3672" s="19">
        <f>IF(OR(ISBLANK(C3672),C3672=""),"",ROUND((C3672-B3672)*24,2))</f>
        <v>151.6</v>
      </c>
      <c r="N3672" s="39" t="str">
        <f>IF(OR(ISBLANK(C3672),C3672="",M3672=""),"In Progress",IF(M3672&lt;=J3672,"Met","Breached"))</f>
        <v>Breached</v>
      </c>
    </row>
    <row r="3673" ht="19" customHeight="1" spans="1:14" x14ac:dyDescent="0.25">
      <c r="A3673" s="22" t="s">
        <v>3787</v>
      </c>
      <c r="B3673" s="36">
        <v>46121.695138888885</v>
      </c>
      <c r="D3673" s="22" t="s">
        <v>42</v>
      </c>
      <c r="E3673" s="22" t="s">
        <v>61</v>
      </c>
      <c r="F3673" s="22" t="s">
        <v>40</v>
      </c>
      <c r="G3673" s="22" t="s">
        <v>126</v>
      </c>
      <c r="H3673" s="22" t="s">
        <v>63</v>
      </c>
      <c r="I3673" s="22" t="s">
        <v>114</v>
      </c>
      <c r="J3673" s="23">
        <v>12</v>
      </c>
      <c r="K3673" s="37">
        <v>0</v>
      </c>
      <c r="M3673" s="22" t="str">
        <f>IF(OR(ISBLANK(C3673),C3673=""),"",ROUND((C3673-B3673)*24,2))</f>
        <v/>
      </c>
      <c r="N3673" s="22" t="str">
        <f>IF(OR(ISBLANK(C3673),C3673="",M3673=""),"In Progress",IF(M3673&lt;=J3673,"Met","Breached"))</f>
        <v>In Progress</v>
      </c>
    </row>
    <row r="3674" ht="19" customHeight="1" spans="1:14" x14ac:dyDescent="0.25">
      <c r="A3674" s="19" t="s">
        <v>3788</v>
      </c>
      <c r="B3674" s="33">
        <v>46043.955555555556</v>
      </c>
      <c r="C3674" s="33">
        <v>46044.61875</v>
      </c>
      <c r="D3674" s="19" t="s">
        <v>36</v>
      </c>
      <c r="E3674" s="19" t="s">
        <v>65</v>
      </c>
      <c r="F3674" s="19" t="s">
        <v>37</v>
      </c>
      <c r="G3674" s="19" t="s">
        <v>110</v>
      </c>
      <c r="H3674" s="19" t="s">
        <v>59</v>
      </c>
      <c r="I3674" s="19" t="s">
        <v>111</v>
      </c>
      <c r="J3674" s="20">
        <v>48</v>
      </c>
      <c r="K3674" s="34">
        <v>0</v>
      </c>
      <c r="L3674" s="34">
        <v>3</v>
      </c>
      <c r="M3674" s="19">
        <f>IF(OR(ISBLANK(C3674),C3674=""),"",ROUND((C3674-B3674)*24,2))</f>
        <v>15.92</v>
      </c>
      <c r="N3674" s="35" t="str">
        <f>IF(OR(ISBLANK(C3674),C3674="",M3674=""),"In Progress",IF(M3674&lt;=J3674,"Met","Breached"))</f>
        <v>Met</v>
      </c>
    </row>
    <row r="3675" ht="19" customHeight="1" spans="1:14" x14ac:dyDescent="0.25">
      <c r="A3675" s="22" t="s">
        <v>3789</v>
      </c>
      <c r="B3675" s="36">
        <v>45906.99444444444</v>
      </c>
      <c r="D3675" s="22" t="s">
        <v>39</v>
      </c>
      <c r="E3675" s="22" t="s">
        <v>69</v>
      </c>
      <c r="F3675" s="22" t="s">
        <v>40</v>
      </c>
      <c r="G3675" s="22" t="s">
        <v>126</v>
      </c>
      <c r="H3675" s="22" t="s">
        <v>67</v>
      </c>
      <c r="I3675" s="22" t="s">
        <v>117</v>
      </c>
      <c r="J3675" s="23">
        <v>120</v>
      </c>
      <c r="K3675" s="37">
        <v>0</v>
      </c>
      <c r="M3675" s="22" t="str">
        <f>IF(OR(ISBLANK(C3675),C3675=""),"",ROUND((C3675-B3675)*24,2))</f>
        <v/>
      </c>
      <c r="N3675" s="22" t="str">
        <f>IF(OR(ISBLANK(C3675),C3675="",M3675=""),"In Progress",IF(M3675&lt;=J3675,"Met","Breached"))</f>
        <v>In Progress</v>
      </c>
    </row>
    <row r="3676" ht="19" customHeight="1" spans="1:14" x14ac:dyDescent="0.25">
      <c r="A3676" s="19" t="s">
        <v>3790</v>
      </c>
      <c r="B3676" s="33">
        <v>45770.73958333333</v>
      </c>
      <c r="C3676" s="33">
        <v>45772.31805555556</v>
      </c>
      <c r="D3676" s="19" t="s">
        <v>36</v>
      </c>
      <c r="E3676" s="19" t="s">
        <v>65</v>
      </c>
      <c r="F3676" s="19" t="s">
        <v>34</v>
      </c>
      <c r="G3676" s="19" t="s">
        <v>63</v>
      </c>
      <c r="H3676" s="19" t="s">
        <v>59</v>
      </c>
      <c r="I3676" s="19" t="s">
        <v>147</v>
      </c>
      <c r="J3676" s="20">
        <v>48</v>
      </c>
      <c r="K3676" s="34">
        <v>0</v>
      </c>
      <c r="L3676" s="34">
        <v>3</v>
      </c>
      <c r="M3676" s="19">
        <f>IF(OR(ISBLANK(C3676),C3676=""),"",ROUND((C3676-B3676)*24,2))</f>
        <v>37.88</v>
      </c>
      <c r="N3676" s="35" t="str">
        <f>IF(OR(ISBLANK(C3676),C3676="",M3676=""),"In Progress",IF(M3676&lt;=J3676,"Met","Breached"))</f>
        <v>Met</v>
      </c>
    </row>
    <row r="3677" ht="19" customHeight="1" spans="1:14" x14ac:dyDescent="0.25">
      <c r="A3677" s="22" t="s">
        <v>3791</v>
      </c>
      <c r="B3677" s="36">
        <v>46151.63541666667</v>
      </c>
      <c r="C3677" s="36">
        <v>46154.98541666666</v>
      </c>
      <c r="D3677" s="22" t="s">
        <v>33</v>
      </c>
      <c r="E3677" s="22" t="s">
        <v>65</v>
      </c>
      <c r="F3677" s="22" t="s">
        <v>40</v>
      </c>
      <c r="G3677" s="22" t="s">
        <v>116</v>
      </c>
      <c r="H3677" s="22" t="s">
        <v>63</v>
      </c>
      <c r="I3677" s="22" t="s">
        <v>114</v>
      </c>
      <c r="J3677" s="23">
        <v>48</v>
      </c>
      <c r="K3677" s="37">
        <v>0</v>
      </c>
      <c r="L3677" s="37">
        <v>1</v>
      </c>
      <c r="M3677" s="22">
        <f>IF(OR(ISBLANK(C3677),C3677=""),"",ROUND((C3677-B3677)*24,2))</f>
        <v>80.4</v>
      </c>
      <c r="N3677" s="38" t="str">
        <f>IF(OR(ISBLANK(C3677),C3677="",M3677=""),"In Progress",IF(M3677&lt;=J3677,"Met","Breached"))</f>
        <v>Breached</v>
      </c>
    </row>
    <row r="3678" ht="19" customHeight="1" spans="1:14" x14ac:dyDescent="0.25">
      <c r="A3678" s="19" t="s">
        <v>3792</v>
      </c>
      <c r="B3678" s="33">
        <v>45898.24375</v>
      </c>
      <c r="D3678" s="19" t="s">
        <v>39</v>
      </c>
      <c r="E3678" s="19" t="s">
        <v>57</v>
      </c>
      <c r="F3678" s="19" t="s">
        <v>34</v>
      </c>
      <c r="G3678" s="19" t="s">
        <v>116</v>
      </c>
      <c r="H3678" s="19" t="s">
        <v>59</v>
      </c>
      <c r="I3678" s="19" t="s">
        <v>114</v>
      </c>
      <c r="J3678" s="20">
        <v>4</v>
      </c>
      <c r="K3678" s="34">
        <v>0</v>
      </c>
      <c r="M3678" s="19" t="str">
        <f>IF(OR(ISBLANK(C3678),C3678=""),"",ROUND((C3678-B3678)*24,2))</f>
        <v/>
      </c>
      <c r="N3678" s="19" t="str">
        <f>IF(OR(ISBLANK(C3678),C3678="",M3678=""),"In Progress",IF(M3678&lt;=J3678,"Met","Breached"))</f>
        <v>In Progress</v>
      </c>
    </row>
    <row r="3679" ht="19" customHeight="1" spans="1:14" x14ac:dyDescent="0.25">
      <c r="A3679" s="22" t="s">
        <v>3793</v>
      </c>
      <c r="B3679" s="36">
        <v>45975.14375</v>
      </c>
      <c r="C3679" s="36">
        <v>45982.97916666667</v>
      </c>
      <c r="D3679" s="22" t="s">
        <v>36</v>
      </c>
      <c r="E3679" s="22" t="s">
        <v>69</v>
      </c>
      <c r="F3679" s="22" t="s">
        <v>40</v>
      </c>
      <c r="G3679" s="22" t="s">
        <v>126</v>
      </c>
      <c r="H3679" s="22" t="s">
        <v>63</v>
      </c>
      <c r="I3679" s="22" t="s">
        <v>111</v>
      </c>
      <c r="J3679" s="23">
        <v>120</v>
      </c>
      <c r="K3679" s="37">
        <v>0</v>
      </c>
      <c r="L3679" s="37">
        <v>4</v>
      </c>
      <c r="M3679" s="22">
        <f>IF(OR(ISBLANK(C3679),C3679=""),"",ROUND((C3679-B3679)*24,2))</f>
        <v>188.05</v>
      </c>
      <c r="N3679" s="38" t="str">
        <f>IF(OR(ISBLANK(C3679),C3679="",M3679=""),"In Progress",IF(M3679&lt;=J3679,"Met","Breached"))</f>
        <v>Breached</v>
      </c>
    </row>
    <row r="3680" ht="19" customHeight="1" spans="1:14" x14ac:dyDescent="0.25">
      <c r="A3680" s="19" t="s">
        <v>3794</v>
      </c>
      <c r="B3680" s="33">
        <v>46190.634722222225</v>
      </c>
      <c r="C3680" s="33">
        <v>46198.12847222222</v>
      </c>
      <c r="D3680" s="19" t="s">
        <v>33</v>
      </c>
      <c r="E3680" s="19" t="s">
        <v>69</v>
      </c>
      <c r="F3680" s="19" t="s">
        <v>34</v>
      </c>
      <c r="G3680" s="19" t="s">
        <v>116</v>
      </c>
      <c r="H3680" s="19" t="s">
        <v>67</v>
      </c>
      <c r="I3680" s="19" t="s">
        <v>123</v>
      </c>
      <c r="J3680" s="20">
        <v>120</v>
      </c>
      <c r="K3680" s="34">
        <v>0</v>
      </c>
      <c r="M3680" s="19">
        <f>IF(OR(ISBLANK(C3680),C3680=""),"",ROUND((C3680-B3680)*24,2))</f>
        <v>179.85</v>
      </c>
      <c r="N3680" s="39" t="str">
        <f>IF(OR(ISBLANK(C3680),C3680="",M3680=""),"In Progress",IF(M3680&lt;=J3680,"Met","Breached"))</f>
        <v>Breached</v>
      </c>
    </row>
    <row r="3681" ht="19" customHeight="1" spans="1:14" x14ac:dyDescent="0.25">
      <c r="A3681" s="22" t="s">
        <v>3795</v>
      </c>
      <c r="B3681" s="36">
        <v>45920.32708333334</v>
      </c>
      <c r="D3681" s="22" t="s">
        <v>42</v>
      </c>
      <c r="E3681" s="22" t="s">
        <v>65</v>
      </c>
      <c r="F3681" s="22" t="s">
        <v>34</v>
      </c>
      <c r="G3681" s="22" t="s">
        <v>116</v>
      </c>
      <c r="H3681" s="22" t="s">
        <v>59</v>
      </c>
      <c r="I3681" s="22" t="s">
        <v>123</v>
      </c>
      <c r="J3681" s="23">
        <v>48</v>
      </c>
      <c r="K3681" s="37">
        <v>0</v>
      </c>
      <c r="M3681" s="22" t="str">
        <f>IF(OR(ISBLANK(C3681),C3681=""),"",ROUND((C3681-B3681)*24,2))</f>
        <v/>
      </c>
      <c r="N3681" s="22" t="str">
        <f>IF(OR(ISBLANK(C3681),C3681="",M3681=""),"In Progress",IF(M3681&lt;=J3681,"Met","Breached"))</f>
        <v>In Progress</v>
      </c>
    </row>
    <row r="3682" ht="19" customHeight="1" spans="1:14" x14ac:dyDescent="0.25">
      <c r="A3682" s="19" t="s">
        <v>3796</v>
      </c>
      <c r="B3682" s="33">
        <v>45738.941666666666</v>
      </c>
      <c r="D3682" s="19" t="s">
        <v>42</v>
      </c>
      <c r="E3682" s="19" t="s">
        <v>65</v>
      </c>
      <c r="F3682" s="19" t="s">
        <v>43</v>
      </c>
      <c r="G3682" s="19" t="s">
        <v>63</v>
      </c>
      <c r="H3682" s="19" t="s">
        <v>67</v>
      </c>
      <c r="I3682" s="19" t="s">
        <v>108</v>
      </c>
      <c r="J3682" s="20">
        <v>48</v>
      </c>
      <c r="K3682" s="34">
        <v>0</v>
      </c>
      <c r="M3682" s="19" t="str">
        <f>IF(OR(ISBLANK(C3682),C3682=""),"",ROUND((C3682-B3682)*24,2))</f>
        <v/>
      </c>
      <c r="N3682" s="19" t="str">
        <f>IF(OR(ISBLANK(C3682),C3682="",M3682=""),"In Progress",IF(M3682&lt;=J3682,"Met","Breached"))</f>
        <v>In Progress</v>
      </c>
    </row>
    <row r="3683" ht="19" customHeight="1" spans="1:14" x14ac:dyDescent="0.25">
      <c r="A3683" s="22" t="s">
        <v>3797</v>
      </c>
      <c r="B3683" s="36">
        <v>46170.61388888889</v>
      </c>
      <c r="C3683" s="36">
        <v>46177.30138888889</v>
      </c>
      <c r="D3683" s="22" t="s">
        <v>33</v>
      </c>
      <c r="E3683" s="22" t="s">
        <v>69</v>
      </c>
      <c r="F3683" s="22" t="s">
        <v>34</v>
      </c>
      <c r="G3683" s="22" t="s">
        <v>113</v>
      </c>
      <c r="H3683" s="22" t="s">
        <v>59</v>
      </c>
      <c r="I3683" s="22" t="s">
        <v>117</v>
      </c>
      <c r="J3683" s="23">
        <v>120</v>
      </c>
      <c r="K3683" s="37">
        <v>0</v>
      </c>
      <c r="M3683" s="22">
        <f>IF(OR(ISBLANK(C3683),C3683=""),"",ROUND((C3683-B3683)*24,2))</f>
        <v>160.5</v>
      </c>
      <c r="N3683" s="38" t="str">
        <f>IF(OR(ISBLANK(C3683),C3683="",M3683=""),"In Progress",IF(M3683&lt;=J3683,"Met","Breached"))</f>
        <v>Breached</v>
      </c>
    </row>
    <row r="3684" ht="19" customHeight="1" spans="1:14" x14ac:dyDescent="0.25">
      <c r="A3684" s="19" t="s">
        <v>3798</v>
      </c>
      <c r="B3684" s="33">
        <v>45889.929861111115</v>
      </c>
      <c r="C3684" s="33">
        <v>45890.54861111111</v>
      </c>
      <c r="D3684" s="19" t="s">
        <v>33</v>
      </c>
      <c r="E3684" s="19" t="s">
        <v>61</v>
      </c>
      <c r="F3684" s="19" t="s">
        <v>37</v>
      </c>
      <c r="G3684" s="19" t="s">
        <v>113</v>
      </c>
      <c r="H3684" s="19" t="s">
        <v>63</v>
      </c>
      <c r="I3684" s="19" t="s">
        <v>114</v>
      </c>
      <c r="J3684" s="20">
        <v>12</v>
      </c>
      <c r="K3684" s="34">
        <v>0</v>
      </c>
      <c r="M3684" s="19">
        <f>IF(OR(ISBLANK(C3684),C3684=""),"",ROUND((C3684-B3684)*24,2))</f>
        <v>14.85</v>
      </c>
      <c r="N3684" s="39" t="str">
        <f>IF(OR(ISBLANK(C3684),C3684="",M3684=""),"In Progress",IF(M3684&lt;=J3684,"Met","Breached"))</f>
        <v>Breached</v>
      </c>
    </row>
    <row r="3685" ht="19" customHeight="1" spans="1:14" x14ac:dyDescent="0.25">
      <c r="A3685" s="22" t="s">
        <v>3799</v>
      </c>
      <c r="B3685" s="36">
        <v>46218.16111111111</v>
      </c>
      <c r="D3685" s="22" t="s">
        <v>39</v>
      </c>
      <c r="E3685" s="22" t="s">
        <v>65</v>
      </c>
      <c r="F3685" s="22" t="s">
        <v>37</v>
      </c>
      <c r="G3685" s="22" t="s">
        <v>110</v>
      </c>
      <c r="H3685" s="22" t="s">
        <v>59</v>
      </c>
      <c r="I3685" s="22" t="s">
        <v>108</v>
      </c>
      <c r="J3685" s="23">
        <v>48</v>
      </c>
      <c r="K3685" s="37">
        <v>0</v>
      </c>
      <c r="M3685" s="22" t="str">
        <f>IF(OR(ISBLANK(C3685),C3685=""),"",ROUND((C3685-B3685)*24,2))</f>
        <v/>
      </c>
      <c r="N3685" s="22" t="str">
        <f>IF(OR(ISBLANK(C3685),C3685="",M3685=""),"In Progress",IF(M3685&lt;=J3685,"Met","Breached"))</f>
        <v>In Progress</v>
      </c>
    </row>
    <row r="3686" ht="19" customHeight="1" spans="1:14" x14ac:dyDescent="0.25">
      <c r="A3686" s="19" t="s">
        <v>3800</v>
      </c>
      <c r="B3686" s="33">
        <v>45988.60486111111</v>
      </c>
      <c r="C3686" s="33">
        <v>45993.950694444444</v>
      </c>
      <c r="D3686" s="19" t="s">
        <v>33</v>
      </c>
      <c r="E3686" s="19" t="s">
        <v>69</v>
      </c>
      <c r="F3686" s="19" t="s">
        <v>43</v>
      </c>
      <c r="G3686" s="19" t="s">
        <v>116</v>
      </c>
      <c r="H3686" s="19" t="s">
        <v>67</v>
      </c>
      <c r="I3686" s="19" t="s">
        <v>117</v>
      </c>
      <c r="J3686" s="20">
        <v>120</v>
      </c>
      <c r="K3686" s="34">
        <v>0</v>
      </c>
      <c r="M3686" s="19">
        <f>IF(OR(ISBLANK(C3686),C3686=""),"",ROUND((C3686-B3686)*24,2))</f>
        <v>128.3</v>
      </c>
      <c r="N3686" s="39" t="str">
        <f>IF(OR(ISBLANK(C3686),C3686="",M3686=""),"In Progress",IF(M3686&lt;=J3686,"Met","Breached"))</f>
        <v>Breached</v>
      </c>
    </row>
    <row r="3687" ht="19" customHeight="1" spans="1:14" x14ac:dyDescent="0.25">
      <c r="A3687" s="22" t="s">
        <v>3801</v>
      </c>
      <c r="B3687" s="36">
        <v>46193.995833333334</v>
      </c>
      <c r="C3687" s="36">
        <v>46194.475</v>
      </c>
      <c r="D3687" s="22" t="s">
        <v>33</v>
      </c>
      <c r="E3687" s="22" t="s">
        <v>61</v>
      </c>
      <c r="F3687" s="22" t="s">
        <v>45</v>
      </c>
      <c r="G3687" s="22" t="s">
        <v>113</v>
      </c>
      <c r="H3687" s="22" t="s">
        <v>59</v>
      </c>
      <c r="I3687" s="22" t="s">
        <v>114</v>
      </c>
      <c r="J3687" s="23">
        <v>12</v>
      </c>
      <c r="K3687" s="37">
        <v>0</v>
      </c>
      <c r="L3687" s="37">
        <v>1</v>
      </c>
      <c r="M3687" s="22">
        <f>IF(OR(ISBLANK(C3687),C3687=""),"",ROUND((C3687-B3687)*24,2))</f>
        <v>11.5</v>
      </c>
      <c r="N3687" s="40" t="str">
        <f>IF(OR(ISBLANK(C3687),C3687="",M3687=""),"In Progress",IF(M3687&lt;=J3687,"Met","Breached"))</f>
        <v>Met</v>
      </c>
    </row>
    <row r="3688" ht="19" customHeight="1" spans="1:14" x14ac:dyDescent="0.25">
      <c r="A3688" s="19" t="s">
        <v>3802</v>
      </c>
      <c r="B3688" s="33">
        <v>45947.74652777778</v>
      </c>
      <c r="C3688" s="33">
        <v>45948.53263888889</v>
      </c>
      <c r="D3688" s="19" t="s">
        <v>36</v>
      </c>
      <c r="E3688" s="19" t="s">
        <v>61</v>
      </c>
      <c r="F3688" s="19" t="s">
        <v>43</v>
      </c>
      <c r="G3688" s="19" t="s">
        <v>113</v>
      </c>
      <c r="H3688" s="19" t="s">
        <v>59</v>
      </c>
      <c r="I3688" s="19" t="s">
        <v>123</v>
      </c>
      <c r="J3688" s="20">
        <v>12</v>
      </c>
      <c r="K3688" s="34">
        <v>0</v>
      </c>
      <c r="M3688" s="19">
        <f>IF(OR(ISBLANK(C3688),C3688=""),"",ROUND((C3688-B3688)*24,2))</f>
        <v>18.87</v>
      </c>
      <c r="N3688" s="39" t="str">
        <f>IF(OR(ISBLANK(C3688),C3688="",M3688=""),"In Progress",IF(M3688&lt;=J3688,"Met","Breached"))</f>
        <v>Breached</v>
      </c>
    </row>
    <row r="3689" ht="19" customHeight="1" spans="1:14" x14ac:dyDescent="0.25">
      <c r="A3689" s="22" t="s">
        <v>3803</v>
      </c>
      <c r="B3689" s="36">
        <v>46090.82430555555</v>
      </c>
      <c r="D3689" s="22" t="s">
        <v>39</v>
      </c>
      <c r="E3689" s="22" t="s">
        <v>61</v>
      </c>
      <c r="F3689" s="22" t="s">
        <v>45</v>
      </c>
      <c r="G3689" s="22" t="s">
        <v>126</v>
      </c>
      <c r="H3689" s="22" t="s">
        <v>63</v>
      </c>
      <c r="I3689" s="22" t="s">
        <v>147</v>
      </c>
      <c r="J3689" s="23">
        <v>12</v>
      </c>
      <c r="K3689" s="37">
        <v>0</v>
      </c>
      <c r="M3689" s="22" t="str">
        <f>IF(OR(ISBLANK(C3689),C3689=""),"",ROUND((C3689-B3689)*24,2))</f>
        <v/>
      </c>
      <c r="N3689" s="22" t="str">
        <f>IF(OR(ISBLANK(C3689),C3689="",M3689=""),"In Progress",IF(M3689&lt;=J3689,"Met","Breached"))</f>
        <v>In Progress</v>
      </c>
    </row>
    <row r="3690" ht="19" customHeight="1" spans="1:14" x14ac:dyDescent="0.25">
      <c r="A3690" s="19" t="s">
        <v>3804</v>
      </c>
      <c r="B3690" s="33">
        <v>46188.33472222222</v>
      </c>
      <c r="D3690" s="19" t="s">
        <v>39</v>
      </c>
      <c r="E3690" s="19" t="s">
        <v>61</v>
      </c>
      <c r="F3690" s="19" t="s">
        <v>34</v>
      </c>
      <c r="G3690" s="19" t="s">
        <v>110</v>
      </c>
      <c r="H3690" s="19" t="s">
        <v>59</v>
      </c>
      <c r="I3690" s="19" t="s">
        <v>123</v>
      </c>
      <c r="J3690" s="20">
        <v>12</v>
      </c>
      <c r="K3690" s="34">
        <v>0</v>
      </c>
      <c r="M3690" s="19" t="str">
        <f>IF(OR(ISBLANK(C3690),C3690=""),"",ROUND((C3690-B3690)*24,2))</f>
        <v/>
      </c>
      <c r="N3690" s="19" t="str">
        <f>IF(OR(ISBLANK(C3690),C3690="",M3690=""),"In Progress",IF(M3690&lt;=J3690,"Met","Breached"))</f>
        <v>In Progress</v>
      </c>
    </row>
    <row r="3691" ht="19" customHeight="1" spans="1:14" x14ac:dyDescent="0.25">
      <c r="A3691" s="22" t="s">
        <v>3805</v>
      </c>
      <c r="B3691" s="36">
        <v>46261.94027777778</v>
      </c>
      <c r="C3691" s="36">
        <v>46262.58194444445</v>
      </c>
      <c r="D3691" s="22" t="s">
        <v>33</v>
      </c>
      <c r="E3691" s="22" t="s">
        <v>61</v>
      </c>
      <c r="F3691" s="22" t="s">
        <v>43</v>
      </c>
      <c r="G3691" s="22" t="s">
        <v>121</v>
      </c>
      <c r="H3691" s="22" t="s">
        <v>63</v>
      </c>
      <c r="I3691" s="22" t="s">
        <v>117</v>
      </c>
      <c r="J3691" s="23">
        <v>12</v>
      </c>
      <c r="K3691" s="37">
        <v>0</v>
      </c>
      <c r="L3691" s="37">
        <v>4</v>
      </c>
      <c r="M3691" s="22">
        <f>IF(OR(ISBLANK(C3691),C3691=""),"",ROUND((C3691-B3691)*24,2))</f>
        <v>15.4</v>
      </c>
      <c r="N3691" s="38" t="str">
        <f>IF(OR(ISBLANK(C3691),C3691="",M3691=""),"In Progress",IF(M3691&lt;=J3691,"Met","Breached"))</f>
        <v>Breached</v>
      </c>
    </row>
    <row r="3692" ht="19" customHeight="1" spans="1:14" x14ac:dyDescent="0.25">
      <c r="A3692" s="19" t="s">
        <v>3806</v>
      </c>
      <c r="B3692" s="33">
        <v>45703.51875</v>
      </c>
      <c r="C3692" s="33">
        <v>45703.79375</v>
      </c>
      <c r="D3692" s="19" t="s">
        <v>33</v>
      </c>
      <c r="E3692" s="19" t="s">
        <v>57</v>
      </c>
      <c r="F3692" s="19" t="s">
        <v>37</v>
      </c>
      <c r="G3692" s="19" t="s">
        <v>126</v>
      </c>
      <c r="H3692" s="19" t="s">
        <v>63</v>
      </c>
      <c r="I3692" s="19" t="s">
        <v>108</v>
      </c>
      <c r="J3692" s="20">
        <v>4</v>
      </c>
      <c r="K3692" s="34">
        <v>0</v>
      </c>
      <c r="M3692" s="19">
        <f>IF(OR(ISBLANK(C3692),C3692=""),"",ROUND((C3692-B3692)*24,2))</f>
        <v>6.6</v>
      </c>
      <c r="N3692" s="39" t="str">
        <f>IF(OR(ISBLANK(C3692),C3692="",M3692=""),"In Progress",IF(M3692&lt;=J3692,"Met","Breached"))</f>
        <v>Breached</v>
      </c>
    </row>
    <row r="3693" ht="19" customHeight="1" spans="1:14" x14ac:dyDescent="0.25">
      <c r="A3693" s="22" t="s">
        <v>3807</v>
      </c>
      <c r="B3693" s="36">
        <v>45993.00625</v>
      </c>
      <c r="C3693" s="36">
        <v>45993.43194444444</v>
      </c>
      <c r="D3693" s="22" t="s">
        <v>33</v>
      </c>
      <c r="E3693" s="22" t="s">
        <v>61</v>
      </c>
      <c r="F3693" s="22" t="s">
        <v>45</v>
      </c>
      <c r="G3693" s="22" t="s">
        <v>126</v>
      </c>
      <c r="H3693" s="22" t="s">
        <v>59</v>
      </c>
      <c r="I3693" s="22" t="s">
        <v>117</v>
      </c>
      <c r="J3693" s="23">
        <v>12</v>
      </c>
      <c r="K3693" s="37">
        <v>0</v>
      </c>
      <c r="L3693" s="37">
        <v>1</v>
      </c>
      <c r="M3693" s="22">
        <f>IF(OR(ISBLANK(C3693),C3693=""),"",ROUND((C3693-B3693)*24,2))</f>
        <v>10.22</v>
      </c>
      <c r="N3693" s="40" t="str">
        <f>IF(OR(ISBLANK(C3693),C3693="",M3693=""),"In Progress",IF(M3693&lt;=J3693,"Met","Breached"))</f>
        <v>Met</v>
      </c>
    </row>
    <row r="3694" ht="19" customHeight="1" spans="1:14" x14ac:dyDescent="0.25">
      <c r="A3694" s="19" t="s">
        <v>3808</v>
      </c>
      <c r="B3694" s="33">
        <v>46247.04791666666</v>
      </c>
      <c r="C3694" s="33">
        <v>46250.63333333333</v>
      </c>
      <c r="D3694" s="19" t="s">
        <v>36</v>
      </c>
      <c r="E3694" s="19" t="s">
        <v>69</v>
      </c>
      <c r="F3694" s="19" t="s">
        <v>34</v>
      </c>
      <c r="G3694" s="19" t="s">
        <v>110</v>
      </c>
      <c r="H3694" s="19" t="s">
        <v>59</v>
      </c>
      <c r="I3694" s="19" t="s">
        <v>114</v>
      </c>
      <c r="J3694" s="20">
        <v>120</v>
      </c>
      <c r="K3694" s="34">
        <v>1</v>
      </c>
      <c r="L3694" s="34">
        <v>5</v>
      </c>
      <c r="M3694" s="19">
        <f>IF(OR(ISBLANK(C3694),C3694=""),"",ROUND((C3694-B3694)*24,2))</f>
        <v>86.05</v>
      </c>
      <c r="N3694" s="35" t="str">
        <f>IF(OR(ISBLANK(C3694),C3694="",M3694=""),"In Progress",IF(M3694&lt;=J3694,"Met","Breached"))</f>
        <v>Met</v>
      </c>
    </row>
    <row r="3695" ht="19" customHeight="1" spans="1:14" x14ac:dyDescent="0.25">
      <c r="A3695" s="22" t="s">
        <v>3809</v>
      </c>
      <c r="B3695" s="36">
        <v>46017.07847222222</v>
      </c>
      <c r="C3695" s="36">
        <v>46017.44305555556</v>
      </c>
      <c r="D3695" s="22" t="s">
        <v>33</v>
      </c>
      <c r="E3695" s="22" t="s">
        <v>61</v>
      </c>
      <c r="F3695" s="22" t="s">
        <v>34</v>
      </c>
      <c r="G3695" s="22" t="s">
        <v>121</v>
      </c>
      <c r="H3695" s="22" t="s">
        <v>71</v>
      </c>
      <c r="I3695" s="22" t="s">
        <v>108</v>
      </c>
      <c r="J3695" s="23">
        <v>12</v>
      </c>
      <c r="K3695" s="37">
        <v>0</v>
      </c>
      <c r="L3695" s="37">
        <v>1</v>
      </c>
      <c r="M3695" s="22">
        <f>IF(OR(ISBLANK(C3695),C3695=""),"",ROUND((C3695-B3695)*24,2))</f>
        <v>8.75</v>
      </c>
      <c r="N3695" s="40" t="str">
        <f>IF(OR(ISBLANK(C3695),C3695="",M3695=""),"In Progress",IF(M3695&lt;=J3695,"Met","Breached"))</f>
        <v>Met</v>
      </c>
    </row>
    <row r="3696" ht="19" customHeight="1" spans="1:14" x14ac:dyDescent="0.25">
      <c r="A3696" s="19" t="s">
        <v>3810</v>
      </c>
      <c r="B3696" s="33">
        <v>46024.37638888889</v>
      </c>
      <c r="C3696" s="33">
        <v>46024.55416666667</v>
      </c>
      <c r="D3696" s="19" t="s">
        <v>33</v>
      </c>
      <c r="E3696" s="19" t="s">
        <v>57</v>
      </c>
      <c r="F3696" s="19" t="s">
        <v>37</v>
      </c>
      <c r="G3696" s="19" t="s">
        <v>113</v>
      </c>
      <c r="H3696" s="19" t="s">
        <v>67</v>
      </c>
      <c r="I3696" s="19" t="s">
        <v>117</v>
      </c>
      <c r="J3696" s="20">
        <v>4</v>
      </c>
      <c r="K3696" s="34">
        <v>0</v>
      </c>
      <c r="L3696" s="34">
        <v>3</v>
      </c>
      <c r="M3696" s="19">
        <f>IF(OR(ISBLANK(C3696),C3696=""),"",ROUND((C3696-B3696)*24,2))</f>
        <v>4.27</v>
      </c>
      <c r="N3696" s="39" t="str">
        <f>IF(OR(ISBLANK(C3696),C3696="",M3696=""),"In Progress",IF(M3696&lt;=J3696,"Met","Breached"))</f>
        <v>Breached</v>
      </c>
    </row>
    <row r="3697" ht="19" customHeight="1" spans="1:14" x14ac:dyDescent="0.25">
      <c r="A3697" s="22" t="s">
        <v>3811</v>
      </c>
      <c r="B3697" s="36">
        <v>45719.27847222222</v>
      </c>
      <c r="C3697" s="36">
        <v>45720.48958333333</v>
      </c>
      <c r="D3697" s="22" t="s">
        <v>33</v>
      </c>
      <c r="E3697" s="22" t="s">
        <v>65</v>
      </c>
      <c r="F3697" s="22" t="s">
        <v>34</v>
      </c>
      <c r="G3697" s="22" t="s">
        <v>110</v>
      </c>
      <c r="H3697" s="22" t="s">
        <v>59</v>
      </c>
      <c r="I3697" s="22" t="s">
        <v>108</v>
      </c>
      <c r="J3697" s="23">
        <v>48</v>
      </c>
      <c r="K3697" s="37">
        <v>0</v>
      </c>
      <c r="M3697" s="22">
        <f>IF(OR(ISBLANK(C3697),C3697=""),"",ROUND((C3697-B3697)*24,2))</f>
        <v>29.07</v>
      </c>
      <c r="N3697" s="40" t="str">
        <f>IF(OR(ISBLANK(C3697),C3697="",M3697=""),"In Progress",IF(M3697&lt;=J3697,"Met","Breached"))</f>
        <v>Met</v>
      </c>
    </row>
    <row r="3698" ht="19" customHeight="1" spans="1:14" x14ac:dyDescent="0.25">
      <c r="A3698" s="19" t="s">
        <v>3812</v>
      </c>
      <c r="B3698" s="33">
        <v>46146.65</v>
      </c>
      <c r="C3698" s="33">
        <v>46148.30416666667</v>
      </c>
      <c r="D3698" s="19" t="s">
        <v>33</v>
      </c>
      <c r="E3698" s="19" t="s">
        <v>65</v>
      </c>
      <c r="F3698" s="19" t="s">
        <v>40</v>
      </c>
      <c r="G3698" s="19" t="s">
        <v>63</v>
      </c>
      <c r="H3698" s="19" t="s">
        <v>63</v>
      </c>
      <c r="I3698" s="19" t="s">
        <v>117</v>
      </c>
      <c r="J3698" s="20">
        <v>48</v>
      </c>
      <c r="K3698" s="34">
        <v>0</v>
      </c>
      <c r="M3698" s="19">
        <f>IF(OR(ISBLANK(C3698),C3698=""),"",ROUND((C3698-B3698)*24,2))</f>
        <v>39.7</v>
      </c>
      <c r="N3698" s="35" t="str">
        <f>IF(OR(ISBLANK(C3698),C3698="",M3698=""),"In Progress",IF(M3698&lt;=J3698,"Met","Breached"))</f>
        <v>Met</v>
      </c>
    </row>
    <row r="3699" ht="19" customHeight="1" spans="1:14" x14ac:dyDescent="0.25">
      <c r="A3699" s="22" t="s">
        <v>3813</v>
      </c>
      <c r="B3699" s="36">
        <v>46204.47986111111</v>
      </c>
      <c r="C3699" s="36">
        <v>46206.20347222222</v>
      </c>
      <c r="D3699" s="22" t="s">
        <v>33</v>
      </c>
      <c r="E3699" s="22" t="s">
        <v>65</v>
      </c>
      <c r="F3699" s="22" t="s">
        <v>45</v>
      </c>
      <c r="G3699" s="22" t="s">
        <v>63</v>
      </c>
      <c r="H3699" s="22" t="s">
        <v>71</v>
      </c>
      <c r="I3699" s="22" t="s">
        <v>114</v>
      </c>
      <c r="J3699" s="23">
        <v>48</v>
      </c>
      <c r="K3699" s="37">
        <v>0</v>
      </c>
      <c r="M3699" s="22">
        <f>IF(OR(ISBLANK(C3699),C3699=""),"",ROUND((C3699-B3699)*24,2))</f>
        <v>41.37</v>
      </c>
      <c r="N3699" s="40" t="str">
        <f>IF(OR(ISBLANK(C3699),C3699="",M3699=""),"In Progress",IF(M3699&lt;=J3699,"Met","Breached"))</f>
        <v>Met</v>
      </c>
    </row>
    <row r="3700" ht="19" customHeight="1" spans="1:14" x14ac:dyDescent="0.25">
      <c r="A3700" s="19" t="s">
        <v>3814</v>
      </c>
      <c r="B3700" s="33">
        <v>45687.85555555555</v>
      </c>
      <c r="C3700" s="33">
        <v>45693.129166666666</v>
      </c>
      <c r="D3700" s="19" t="s">
        <v>33</v>
      </c>
      <c r="E3700" s="19" t="s">
        <v>69</v>
      </c>
      <c r="F3700" s="19" t="s">
        <v>45</v>
      </c>
      <c r="G3700" s="19" t="s">
        <v>126</v>
      </c>
      <c r="H3700" s="19" t="s">
        <v>59</v>
      </c>
      <c r="I3700" s="19" t="s">
        <v>111</v>
      </c>
      <c r="J3700" s="20">
        <v>120</v>
      </c>
      <c r="K3700" s="34">
        <v>0</v>
      </c>
      <c r="L3700" s="34">
        <v>4</v>
      </c>
      <c r="M3700" s="19">
        <f>IF(OR(ISBLANK(C3700),C3700=""),"",ROUND((C3700-B3700)*24,2))</f>
        <v>126.57</v>
      </c>
      <c r="N3700" s="39" t="str">
        <f>IF(OR(ISBLANK(C3700),C3700="",M3700=""),"In Progress",IF(M3700&lt;=J3700,"Met","Breached"))</f>
        <v>Breached</v>
      </c>
    </row>
    <row r="3701" ht="19" customHeight="1" spans="1:14" x14ac:dyDescent="0.25">
      <c r="A3701" s="22" t="s">
        <v>3815</v>
      </c>
      <c r="B3701" s="36">
        <v>45843.36319444445</v>
      </c>
      <c r="C3701" s="36">
        <v>45846.80069444445</v>
      </c>
      <c r="D3701" s="22" t="s">
        <v>33</v>
      </c>
      <c r="E3701" s="22" t="s">
        <v>69</v>
      </c>
      <c r="F3701" s="22" t="s">
        <v>37</v>
      </c>
      <c r="G3701" s="22" t="s">
        <v>121</v>
      </c>
      <c r="H3701" s="22" t="s">
        <v>71</v>
      </c>
      <c r="I3701" s="22" t="s">
        <v>123</v>
      </c>
      <c r="J3701" s="23">
        <v>120</v>
      </c>
      <c r="K3701" s="37">
        <v>0</v>
      </c>
      <c r="L3701" s="37">
        <v>4</v>
      </c>
      <c r="M3701" s="22">
        <f>IF(OR(ISBLANK(C3701),C3701=""),"",ROUND((C3701-B3701)*24,2))</f>
        <v>82.5</v>
      </c>
      <c r="N3701" s="40" t="str">
        <f>IF(OR(ISBLANK(C3701),C3701="",M3701=""),"In Progress",IF(M3701&lt;=J3701,"Met","Breached"))</f>
        <v>Met</v>
      </c>
    </row>
    <row r="3702" ht="19" customHeight="1" spans="1:14" x14ac:dyDescent="0.25">
      <c r="A3702" s="19" t="s">
        <v>3816</v>
      </c>
      <c r="B3702" s="33">
        <v>45924.79236111111</v>
      </c>
      <c r="C3702" s="33">
        <v>45927.07986111111</v>
      </c>
      <c r="D3702" s="19" t="s">
        <v>33</v>
      </c>
      <c r="E3702" s="19" t="s">
        <v>65</v>
      </c>
      <c r="F3702" s="19" t="s">
        <v>40</v>
      </c>
      <c r="G3702" s="19" t="s">
        <v>116</v>
      </c>
      <c r="H3702" s="19" t="s">
        <v>63</v>
      </c>
      <c r="I3702" s="19" t="s">
        <v>111</v>
      </c>
      <c r="J3702" s="20">
        <v>48</v>
      </c>
      <c r="K3702" s="34">
        <v>0</v>
      </c>
      <c r="L3702" s="34">
        <v>1</v>
      </c>
      <c r="M3702" s="19">
        <f>IF(OR(ISBLANK(C3702),C3702=""),"",ROUND((C3702-B3702)*24,2))</f>
        <v>54.9</v>
      </c>
      <c r="N3702" s="39" t="str">
        <f>IF(OR(ISBLANK(C3702),C3702="",M3702=""),"In Progress",IF(M3702&lt;=J3702,"Met","Breached"))</f>
        <v>Breached</v>
      </c>
    </row>
    <row r="3703" ht="19" customHeight="1" spans="1:14" x14ac:dyDescent="0.25">
      <c r="A3703" s="22" t="s">
        <v>3817</v>
      </c>
      <c r="B3703" s="36">
        <v>45858.23541666666</v>
      </c>
      <c r="C3703" s="36">
        <v>45858.38611111111</v>
      </c>
      <c r="D3703" s="22" t="s">
        <v>33</v>
      </c>
      <c r="E3703" s="22" t="s">
        <v>61</v>
      </c>
      <c r="F3703" s="22" t="s">
        <v>45</v>
      </c>
      <c r="G3703" s="22" t="s">
        <v>113</v>
      </c>
      <c r="H3703" s="22" t="s">
        <v>59</v>
      </c>
      <c r="I3703" s="22" t="s">
        <v>114</v>
      </c>
      <c r="J3703" s="23">
        <v>12</v>
      </c>
      <c r="K3703" s="37">
        <v>0</v>
      </c>
      <c r="L3703" s="37">
        <v>5</v>
      </c>
      <c r="M3703" s="22">
        <f>IF(OR(ISBLANK(C3703),C3703=""),"",ROUND((C3703-B3703)*24,2))</f>
        <v>3.62</v>
      </c>
      <c r="N3703" s="40" t="str">
        <f>IF(OR(ISBLANK(C3703),C3703="",M3703=""),"In Progress",IF(M3703&lt;=J3703,"Met","Breached"))</f>
        <v>Met</v>
      </c>
    </row>
    <row r="3704" ht="19" customHeight="1" spans="1:14" x14ac:dyDescent="0.25">
      <c r="A3704" s="19" t="s">
        <v>3818</v>
      </c>
      <c r="B3704" s="33">
        <v>45762.52569444444</v>
      </c>
      <c r="C3704" s="33">
        <v>45762.77222222222</v>
      </c>
      <c r="D3704" s="19" t="s">
        <v>33</v>
      </c>
      <c r="E3704" s="19" t="s">
        <v>61</v>
      </c>
      <c r="F3704" s="19" t="s">
        <v>45</v>
      </c>
      <c r="G3704" s="19" t="s">
        <v>121</v>
      </c>
      <c r="H3704" s="19" t="s">
        <v>71</v>
      </c>
      <c r="I3704" s="19" t="s">
        <v>147</v>
      </c>
      <c r="J3704" s="20">
        <v>12</v>
      </c>
      <c r="K3704" s="34">
        <v>0</v>
      </c>
      <c r="L3704" s="34">
        <v>5</v>
      </c>
      <c r="M3704" s="19">
        <f>IF(OR(ISBLANK(C3704),C3704=""),"",ROUND((C3704-B3704)*24,2))</f>
        <v>5.92</v>
      </c>
      <c r="N3704" s="35" t="str">
        <f>IF(OR(ISBLANK(C3704),C3704="",M3704=""),"In Progress",IF(M3704&lt;=J3704,"Met","Breached"))</f>
        <v>Met</v>
      </c>
    </row>
    <row r="3705" ht="19" customHeight="1" spans="1:14" x14ac:dyDescent="0.25">
      <c r="A3705" s="22" t="s">
        <v>3819</v>
      </c>
      <c r="B3705" s="36">
        <v>45853.94236111111</v>
      </c>
      <c r="C3705" s="36">
        <v>45854.240277777775</v>
      </c>
      <c r="D3705" s="22" t="s">
        <v>36</v>
      </c>
      <c r="E3705" s="22" t="s">
        <v>61</v>
      </c>
      <c r="F3705" s="22" t="s">
        <v>40</v>
      </c>
      <c r="G3705" s="22" t="s">
        <v>63</v>
      </c>
      <c r="H3705" s="22" t="s">
        <v>59</v>
      </c>
      <c r="I3705" s="22" t="s">
        <v>147</v>
      </c>
      <c r="J3705" s="23">
        <v>12</v>
      </c>
      <c r="K3705" s="37">
        <v>0</v>
      </c>
      <c r="L3705" s="37">
        <v>5</v>
      </c>
      <c r="M3705" s="22">
        <f>IF(OR(ISBLANK(C3705),C3705=""),"",ROUND((C3705-B3705)*24,2))</f>
        <v>7.15</v>
      </c>
      <c r="N3705" s="40" t="str">
        <f>IF(OR(ISBLANK(C3705),C3705="",M3705=""),"In Progress",IF(M3705&lt;=J3705,"Met","Breached"))</f>
        <v>Met</v>
      </c>
    </row>
    <row r="3706" ht="19" customHeight="1" spans="1:14" x14ac:dyDescent="0.25">
      <c r="A3706" s="19" t="s">
        <v>3820</v>
      </c>
      <c r="B3706" s="33">
        <v>46056.06597222222</v>
      </c>
      <c r="C3706" s="33">
        <v>46058.356944444444</v>
      </c>
      <c r="D3706" s="19" t="s">
        <v>33</v>
      </c>
      <c r="E3706" s="19" t="s">
        <v>65</v>
      </c>
      <c r="F3706" s="19" t="s">
        <v>40</v>
      </c>
      <c r="G3706" s="19" t="s">
        <v>121</v>
      </c>
      <c r="H3706" s="19" t="s">
        <v>63</v>
      </c>
      <c r="I3706" s="19" t="s">
        <v>108</v>
      </c>
      <c r="J3706" s="20">
        <v>48</v>
      </c>
      <c r="K3706" s="34">
        <v>0</v>
      </c>
      <c r="M3706" s="19">
        <f>IF(OR(ISBLANK(C3706),C3706=""),"",ROUND((C3706-B3706)*24,2))</f>
        <v>54.98</v>
      </c>
      <c r="N3706" s="39" t="str">
        <f>IF(OR(ISBLANK(C3706),C3706="",M3706=""),"In Progress",IF(M3706&lt;=J3706,"Met","Breached"))</f>
        <v>Breached</v>
      </c>
    </row>
    <row r="3707" ht="19" customHeight="1" spans="1:14" x14ac:dyDescent="0.25">
      <c r="A3707" s="22" t="s">
        <v>3821</v>
      </c>
      <c r="B3707" s="36">
        <v>46176.62708333333</v>
      </c>
      <c r="D3707" s="22" t="s">
        <v>42</v>
      </c>
      <c r="E3707" s="22" t="s">
        <v>65</v>
      </c>
      <c r="F3707" s="22" t="s">
        <v>45</v>
      </c>
      <c r="G3707" s="22" t="s">
        <v>116</v>
      </c>
      <c r="H3707" s="22" t="s">
        <v>59</v>
      </c>
      <c r="I3707" s="22" t="s">
        <v>147</v>
      </c>
      <c r="J3707" s="23">
        <v>48</v>
      </c>
      <c r="K3707" s="37">
        <v>0</v>
      </c>
      <c r="M3707" s="22" t="str">
        <f>IF(OR(ISBLANK(C3707),C3707=""),"",ROUND((C3707-B3707)*24,2))</f>
        <v/>
      </c>
      <c r="N3707" s="22" t="str">
        <f>IF(OR(ISBLANK(C3707),C3707="",M3707=""),"In Progress",IF(M3707&lt;=J3707,"Met","Breached"))</f>
        <v>In Progress</v>
      </c>
    </row>
    <row r="3708" ht="19" customHeight="1" spans="1:14" x14ac:dyDescent="0.25">
      <c r="A3708" s="19" t="s">
        <v>3822</v>
      </c>
      <c r="B3708" s="33">
        <v>45720.052777777775</v>
      </c>
      <c r="C3708" s="33">
        <v>45722.13402777778</v>
      </c>
      <c r="D3708" s="19" t="s">
        <v>36</v>
      </c>
      <c r="E3708" s="19" t="s">
        <v>65</v>
      </c>
      <c r="F3708" s="19" t="s">
        <v>40</v>
      </c>
      <c r="G3708" s="19" t="s">
        <v>121</v>
      </c>
      <c r="H3708" s="19" t="s">
        <v>71</v>
      </c>
      <c r="I3708" s="19" t="s">
        <v>111</v>
      </c>
      <c r="J3708" s="20">
        <v>48</v>
      </c>
      <c r="K3708" s="34">
        <v>0</v>
      </c>
      <c r="L3708" s="34">
        <v>2</v>
      </c>
      <c r="M3708" s="19">
        <f>IF(OR(ISBLANK(C3708),C3708=""),"",ROUND((C3708-B3708)*24,2))</f>
        <v>49.95</v>
      </c>
      <c r="N3708" s="39" t="str">
        <f>IF(OR(ISBLANK(C3708),C3708="",M3708=""),"In Progress",IF(M3708&lt;=J3708,"Met","Breached"))</f>
        <v>Breached</v>
      </c>
    </row>
    <row r="3709" ht="19" customHeight="1" spans="1:14" x14ac:dyDescent="0.25">
      <c r="A3709" s="22" t="s">
        <v>3823</v>
      </c>
      <c r="B3709" s="36">
        <v>46194.618055555555</v>
      </c>
      <c r="C3709" s="36">
        <v>46195.975</v>
      </c>
      <c r="D3709" s="22" t="s">
        <v>36</v>
      </c>
      <c r="E3709" s="22" t="s">
        <v>65</v>
      </c>
      <c r="F3709" s="22" t="s">
        <v>37</v>
      </c>
      <c r="G3709" s="22" t="s">
        <v>113</v>
      </c>
      <c r="H3709" s="22" t="s">
        <v>63</v>
      </c>
      <c r="I3709" s="22" t="s">
        <v>111</v>
      </c>
      <c r="J3709" s="23">
        <v>48</v>
      </c>
      <c r="K3709" s="37">
        <v>0</v>
      </c>
      <c r="M3709" s="22">
        <f>IF(OR(ISBLANK(C3709),C3709=""),"",ROUND((C3709-B3709)*24,2))</f>
        <v>32.57</v>
      </c>
      <c r="N3709" s="40" t="str">
        <f>IF(OR(ISBLANK(C3709),C3709="",M3709=""),"In Progress",IF(M3709&lt;=J3709,"Met","Breached"))</f>
        <v>Met</v>
      </c>
    </row>
    <row r="3710" ht="19" customHeight="1" spans="1:14" x14ac:dyDescent="0.25">
      <c r="A3710" s="19" t="s">
        <v>3824</v>
      </c>
      <c r="B3710" s="33">
        <v>45754.27013888889</v>
      </c>
      <c r="C3710" s="33">
        <v>45755.15694444445</v>
      </c>
      <c r="D3710" s="19" t="s">
        <v>33</v>
      </c>
      <c r="E3710" s="19" t="s">
        <v>65</v>
      </c>
      <c r="F3710" s="19" t="s">
        <v>34</v>
      </c>
      <c r="G3710" s="19" t="s">
        <v>126</v>
      </c>
      <c r="H3710" s="19" t="s">
        <v>67</v>
      </c>
      <c r="I3710" s="19" t="s">
        <v>108</v>
      </c>
      <c r="J3710" s="20">
        <v>48</v>
      </c>
      <c r="K3710" s="34">
        <v>0</v>
      </c>
      <c r="L3710" s="34">
        <v>1</v>
      </c>
      <c r="M3710" s="19">
        <f>IF(OR(ISBLANK(C3710),C3710=""),"",ROUND((C3710-B3710)*24,2))</f>
        <v>21.28</v>
      </c>
      <c r="N3710" s="35" t="str">
        <f>IF(OR(ISBLANK(C3710),C3710="",M3710=""),"In Progress",IF(M3710&lt;=J3710,"Met","Breached"))</f>
        <v>Met</v>
      </c>
    </row>
    <row r="3711" ht="19" customHeight="1" spans="1:14" x14ac:dyDescent="0.25">
      <c r="A3711" s="22" t="s">
        <v>3825</v>
      </c>
      <c r="B3711" s="36">
        <v>46059.29305555555</v>
      </c>
      <c r="C3711" s="36">
        <v>46060.32847222222</v>
      </c>
      <c r="D3711" s="22" t="s">
        <v>33</v>
      </c>
      <c r="E3711" s="22" t="s">
        <v>65</v>
      </c>
      <c r="F3711" s="22" t="s">
        <v>40</v>
      </c>
      <c r="G3711" s="22" t="s">
        <v>116</v>
      </c>
      <c r="H3711" s="22" t="s">
        <v>59</v>
      </c>
      <c r="I3711" s="22" t="s">
        <v>147</v>
      </c>
      <c r="J3711" s="23">
        <v>48</v>
      </c>
      <c r="K3711" s="37">
        <v>0</v>
      </c>
      <c r="L3711" s="37">
        <v>3</v>
      </c>
      <c r="M3711" s="22">
        <f>IF(OR(ISBLANK(C3711),C3711=""),"",ROUND((C3711-B3711)*24,2))</f>
        <v>24.85</v>
      </c>
      <c r="N3711" s="40" t="str">
        <f>IF(OR(ISBLANK(C3711),C3711="",M3711=""),"In Progress",IF(M3711&lt;=J3711,"Met","Breached"))</f>
        <v>Met</v>
      </c>
    </row>
    <row r="3712" ht="19" customHeight="1" spans="1:14" x14ac:dyDescent="0.25">
      <c r="A3712" s="19" t="s">
        <v>3826</v>
      </c>
      <c r="B3712" s="33">
        <v>45957.65902777778</v>
      </c>
      <c r="C3712" s="33">
        <v>45959.25277777778</v>
      </c>
      <c r="D3712" s="19" t="s">
        <v>33</v>
      </c>
      <c r="E3712" s="19" t="s">
        <v>65</v>
      </c>
      <c r="F3712" s="19" t="s">
        <v>37</v>
      </c>
      <c r="G3712" s="19" t="s">
        <v>110</v>
      </c>
      <c r="H3712" s="19" t="s">
        <v>67</v>
      </c>
      <c r="I3712" s="19" t="s">
        <v>117</v>
      </c>
      <c r="J3712" s="20">
        <v>48</v>
      </c>
      <c r="K3712" s="34">
        <v>0</v>
      </c>
      <c r="M3712" s="19">
        <f>IF(OR(ISBLANK(C3712),C3712=""),"",ROUND((C3712-B3712)*24,2))</f>
        <v>38.25</v>
      </c>
      <c r="N3712" s="35" t="str">
        <f>IF(OR(ISBLANK(C3712),C3712="",M3712=""),"In Progress",IF(M3712&lt;=J3712,"Met","Breached"))</f>
        <v>Met</v>
      </c>
    </row>
    <row r="3713" ht="19" customHeight="1" spans="1:14" x14ac:dyDescent="0.25">
      <c r="A3713" s="22" t="s">
        <v>3827</v>
      </c>
      <c r="B3713" s="36">
        <v>46087.94027777778</v>
      </c>
      <c r="C3713" s="36">
        <v>46094.148611111115</v>
      </c>
      <c r="D3713" s="22" t="s">
        <v>33</v>
      </c>
      <c r="E3713" s="22" t="s">
        <v>69</v>
      </c>
      <c r="F3713" s="22" t="s">
        <v>40</v>
      </c>
      <c r="G3713" s="22" t="s">
        <v>121</v>
      </c>
      <c r="H3713" s="22" t="s">
        <v>71</v>
      </c>
      <c r="I3713" s="22" t="s">
        <v>123</v>
      </c>
      <c r="J3713" s="23">
        <v>120</v>
      </c>
      <c r="K3713" s="37">
        <v>0</v>
      </c>
      <c r="L3713" s="37">
        <v>5</v>
      </c>
      <c r="M3713" s="22">
        <f>IF(OR(ISBLANK(C3713),C3713=""),"",ROUND((C3713-B3713)*24,2))</f>
        <v>149</v>
      </c>
      <c r="N3713" s="38" t="str">
        <f>IF(OR(ISBLANK(C3713),C3713="",M3713=""),"In Progress",IF(M3713&lt;=J3713,"Met","Breached"))</f>
        <v>Breached</v>
      </c>
    </row>
    <row r="3714" ht="19" customHeight="1" spans="1:14" x14ac:dyDescent="0.25">
      <c r="A3714" s="19" t="s">
        <v>3828</v>
      </c>
      <c r="B3714" s="33">
        <v>45819.78472222222</v>
      </c>
      <c r="D3714" s="19" t="s">
        <v>39</v>
      </c>
      <c r="E3714" s="19" t="s">
        <v>65</v>
      </c>
      <c r="F3714" s="19" t="s">
        <v>43</v>
      </c>
      <c r="G3714" s="19" t="s">
        <v>63</v>
      </c>
      <c r="H3714" s="19" t="s">
        <v>63</v>
      </c>
      <c r="I3714" s="19" t="s">
        <v>117</v>
      </c>
      <c r="J3714" s="20">
        <v>48</v>
      </c>
      <c r="K3714" s="34">
        <v>0</v>
      </c>
      <c r="M3714" s="19" t="str">
        <f>IF(OR(ISBLANK(C3714),C3714=""),"",ROUND((C3714-B3714)*24,2))</f>
        <v/>
      </c>
      <c r="N3714" s="19" t="str">
        <f>IF(OR(ISBLANK(C3714),C3714="",M3714=""),"In Progress",IF(M3714&lt;=J3714,"Met","Breached"))</f>
        <v>In Progress</v>
      </c>
    </row>
    <row r="3715" ht="19" customHeight="1" spans="1:14" x14ac:dyDescent="0.25">
      <c r="A3715" s="22" t="s">
        <v>3829</v>
      </c>
      <c r="B3715" s="36">
        <v>45969.40138888889</v>
      </c>
      <c r="D3715" s="22" t="s">
        <v>42</v>
      </c>
      <c r="E3715" s="22" t="s">
        <v>65</v>
      </c>
      <c r="F3715" s="22" t="s">
        <v>37</v>
      </c>
      <c r="G3715" s="22" t="s">
        <v>113</v>
      </c>
      <c r="H3715" s="22" t="s">
        <v>67</v>
      </c>
      <c r="I3715" s="22" t="s">
        <v>108</v>
      </c>
      <c r="J3715" s="23">
        <v>48</v>
      </c>
      <c r="K3715" s="37">
        <v>0</v>
      </c>
      <c r="M3715" s="22" t="str">
        <f>IF(OR(ISBLANK(C3715),C3715=""),"",ROUND((C3715-B3715)*24,2))</f>
        <v/>
      </c>
      <c r="N3715" s="22" t="str">
        <f>IF(OR(ISBLANK(C3715),C3715="",M3715=""),"In Progress",IF(M3715&lt;=J3715,"Met","Breached"))</f>
        <v>In Progress</v>
      </c>
    </row>
    <row r="3716" ht="19" customHeight="1" spans="1:14" x14ac:dyDescent="0.25">
      <c r="A3716" s="19" t="s">
        <v>3830</v>
      </c>
      <c r="B3716" s="33">
        <v>46100.42847222222</v>
      </c>
      <c r="C3716" s="33">
        <v>46100.88402777778</v>
      </c>
      <c r="D3716" s="19" t="s">
        <v>33</v>
      </c>
      <c r="E3716" s="19" t="s">
        <v>61</v>
      </c>
      <c r="F3716" s="19" t="s">
        <v>34</v>
      </c>
      <c r="G3716" s="19" t="s">
        <v>116</v>
      </c>
      <c r="H3716" s="19" t="s">
        <v>71</v>
      </c>
      <c r="I3716" s="19" t="s">
        <v>108</v>
      </c>
      <c r="J3716" s="20">
        <v>12</v>
      </c>
      <c r="K3716" s="34">
        <v>0</v>
      </c>
      <c r="L3716" s="34">
        <v>3</v>
      </c>
      <c r="M3716" s="19">
        <f>IF(OR(ISBLANK(C3716),C3716=""),"",ROUND((C3716-B3716)*24,2))</f>
        <v>10.93</v>
      </c>
      <c r="N3716" s="35" t="str">
        <f>IF(OR(ISBLANK(C3716),C3716="",M3716=""),"In Progress",IF(M3716&lt;=J3716,"Met","Breached"))</f>
        <v>Met</v>
      </c>
    </row>
    <row r="3717" ht="19" customHeight="1" spans="1:14" x14ac:dyDescent="0.25">
      <c r="A3717" s="22" t="s">
        <v>3831</v>
      </c>
      <c r="B3717" s="36">
        <v>45713.055555555555</v>
      </c>
      <c r="C3717" s="36">
        <v>45715.59861111111</v>
      </c>
      <c r="D3717" s="22" t="s">
        <v>33</v>
      </c>
      <c r="E3717" s="22" t="s">
        <v>65</v>
      </c>
      <c r="F3717" s="22" t="s">
        <v>43</v>
      </c>
      <c r="G3717" s="22" t="s">
        <v>110</v>
      </c>
      <c r="H3717" s="22" t="s">
        <v>59</v>
      </c>
      <c r="I3717" s="22" t="s">
        <v>111</v>
      </c>
      <c r="J3717" s="23">
        <v>48</v>
      </c>
      <c r="K3717" s="37">
        <v>0</v>
      </c>
      <c r="L3717" s="37">
        <v>2</v>
      </c>
      <c r="M3717" s="22">
        <f>IF(OR(ISBLANK(C3717),C3717=""),"",ROUND((C3717-B3717)*24,2))</f>
        <v>61.03</v>
      </c>
      <c r="N3717" s="38" t="str">
        <f>IF(OR(ISBLANK(C3717),C3717="",M3717=""),"In Progress",IF(M3717&lt;=J3717,"Met","Breached"))</f>
        <v>Breached</v>
      </c>
    </row>
    <row r="3718" ht="19" customHeight="1" spans="1:14" x14ac:dyDescent="0.25">
      <c r="A3718" s="19" t="s">
        <v>3832</v>
      </c>
      <c r="B3718" s="33">
        <v>46192.822222222225</v>
      </c>
      <c r="C3718" s="33">
        <v>46194.97986111111</v>
      </c>
      <c r="D3718" s="19" t="s">
        <v>33</v>
      </c>
      <c r="E3718" s="19" t="s">
        <v>69</v>
      </c>
      <c r="F3718" s="19" t="s">
        <v>37</v>
      </c>
      <c r="G3718" s="19" t="s">
        <v>110</v>
      </c>
      <c r="H3718" s="19" t="s">
        <v>71</v>
      </c>
      <c r="I3718" s="19" t="s">
        <v>108</v>
      </c>
      <c r="J3718" s="20">
        <v>120</v>
      </c>
      <c r="K3718" s="34">
        <v>0</v>
      </c>
      <c r="L3718" s="34">
        <v>1</v>
      </c>
      <c r="M3718" s="19">
        <f>IF(OR(ISBLANK(C3718),C3718=""),"",ROUND((C3718-B3718)*24,2))</f>
        <v>51.78</v>
      </c>
      <c r="N3718" s="35" t="str">
        <f>IF(OR(ISBLANK(C3718),C3718="",M3718=""),"In Progress",IF(M3718&lt;=J3718,"Met","Breached"))</f>
        <v>Met</v>
      </c>
    </row>
    <row r="3719" ht="19" customHeight="1" spans="1:14" x14ac:dyDescent="0.25">
      <c r="A3719" s="22" t="s">
        <v>3833</v>
      </c>
      <c r="B3719" s="36">
        <v>45948.711805555555</v>
      </c>
      <c r="C3719" s="36">
        <v>45950.7875</v>
      </c>
      <c r="D3719" s="22" t="s">
        <v>36</v>
      </c>
      <c r="E3719" s="22" t="s">
        <v>69</v>
      </c>
      <c r="F3719" s="22" t="s">
        <v>43</v>
      </c>
      <c r="G3719" s="22" t="s">
        <v>110</v>
      </c>
      <c r="H3719" s="22" t="s">
        <v>59</v>
      </c>
      <c r="I3719" s="22" t="s">
        <v>114</v>
      </c>
      <c r="J3719" s="23">
        <v>120</v>
      </c>
      <c r="K3719" s="37">
        <v>0</v>
      </c>
      <c r="L3719" s="37">
        <v>2</v>
      </c>
      <c r="M3719" s="22">
        <f>IF(OR(ISBLANK(C3719),C3719=""),"",ROUND((C3719-B3719)*24,2))</f>
        <v>49.82</v>
      </c>
      <c r="N3719" s="40" t="str">
        <f>IF(OR(ISBLANK(C3719),C3719="",M3719=""),"In Progress",IF(M3719&lt;=J3719,"Met","Breached"))</f>
        <v>Met</v>
      </c>
    </row>
    <row r="3720" ht="19" customHeight="1" spans="1:14" x14ac:dyDescent="0.25">
      <c r="A3720" s="19" t="s">
        <v>3834</v>
      </c>
      <c r="B3720" s="33">
        <v>46120.39166666666</v>
      </c>
      <c r="C3720" s="33">
        <v>46121.052777777775</v>
      </c>
      <c r="D3720" s="19" t="s">
        <v>33</v>
      </c>
      <c r="E3720" s="19" t="s">
        <v>61</v>
      </c>
      <c r="F3720" s="19" t="s">
        <v>37</v>
      </c>
      <c r="G3720" s="19" t="s">
        <v>63</v>
      </c>
      <c r="H3720" s="19" t="s">
        <v>71</v>
      </c>
      <c r="I3720" s="19" t="s">
        <v>123</v>
      </c>
      <c r="J3720" s="20">
        <v>12</v>
      </c>
      <c r="K3720" s="34">
        <v>0</v>
      </c>
      <c r="L3720" s="34">
        <v>1</v>
      </c>
      <c r="M3720" s="19">
        <f>IF(OR(ISBLANK(C3720),C3720=""),"",ROUND((C3720-B3720)*24,2))</f>
        <v>15.87</v>
      </c>
      <c r="N3720" s="39" t="str">
        <f>IF(OR(ISBLANK(C3720),C3720="",M3720=""),"In Progress",IF(M3720&lt;=J3720,"Met","Breached"))</f>
        <v>Breached</v>
      </c>
    </row>
    <row r="3721" ht="19" customHeight="1" spans="1:14" x14ac:dyDescent="0.25">
      <c r="A3721" s="22" t="s">
        <v>3835</v>
      </c>
      <c r="B3721" s="36">
        <v>45868.60555555555</v>
      </c>
      <c r="C3721" s="36">
        <v>45871.726388888885</v>
      </c>
      <c r="D3721" s="22" t="s">
        <v>33</v>
      </c>
      <c r="E3721" s="22" t="s">
        <v>65</v>
      </c>
      <c r="F3721" s="22" t="s">
        <v>43</v>
      </c>
      <c r="G3721" s="22" t="s">
        <v>110</v>
      </c>
      <c r="H3721" s="22" t="s">
        <v>59</v>
      </c>
      <c r="I3721" s="22" t="s">
        <v>111</v>
      </c>
      <c r="J3721" s="23">
        <v>48</v>
      </c>
      <c r="K3721" s="37">
        <v>0</v>
      </c>
      <c r="L3721" s="37">
        <v>1</v>
      </c>
      <c r="M3721" s="22">
        <f>IF(OR(ISBLANK(C3721),C3721=""),"",ROUND((C3721-B3721)*24,2))</f>
        <v>74.9</v>
      </c>
      <c r="N3721" s="38" t="str">
        <f>IF(OR(ISBLANK(C3721),C3721="",M3721=""),"In Progress",IF(M3721&lt;=J3721,"Met","Breached"))</f>
        <v>Breached</v>
      </c>
    </row>
    <row r="3722" ht="19" customHeight="1" spans="1:14" x14ac:dyDescent="0.25">
      <c r="A3722" s="19" t="s">
        <v>3836</v>
      </c>
      <c r="B3722" s="33">
        <v>45827.60972222222</v>
      </c>
      <c r="D3722" s="19" t="s">
        <v>39</v>
      </c>
      <c r="E3722" s="19" t="s">
        <v>69</v>
      </c>
      <c r="F3722" s="19" t="s">
        <v>40</v>
      </c>
      <c r="G3722" s="19" t="s">
        <v>63</v>
      </c>
      <c r="H3722" s="19" t="s">
        <v>59</v>
      </c>
      <c r="I3722" s="19" t="s">
        <v>114</v>
      </c>
      <c r="J3722" s="20">
        <v>120</v>
      </c>
      <c r="K3722" s="34">
        <v>0</v>
      </c>
      <c r="M3722" s="19" t="str">
        <f>IF(OR(ISBLANK(C3722),C3722=""),"",ROUND((C3722-B3722)*24,2))</f>
        <v/>
      </c>
      <c r="N3722" s="19" t="str">
        <f>IF(OR(ISBLANK(C3722),C3722="",M3722=""),"In Progress",IF(M3722&lt;=J3722,"Met","Breached"))</f>
        <v>In Progress</v>
      </c>
    </row>
    <row r="3723" ht="19" customHeight="1" spans="1:14" x14ac:dyDescent="0.25">
      <c r="A3723" s="22" t="s">
        <v>3837</v>
      </c>
      <c r="B3723" s="36">
        <v>45815.98888888889</v>
      </c>
      <c r="C3723" s="36">
        <v>45817.37222222222</v>
      </c>
      <c r="D3723" s="22" t="s">
        <v>33</v>
      </c>
      <c r="E3723" s="22" t="s">
        <v>65</v>
      </c>
      <c r="F3723" s="22" t="s">
        <v>45</v>
      </c>
      <c r="G3723" s="22" t="s">
        <v>110</v>
      </c>
      <c r="H3723" s="22" t="s">
        <v>59</v>
      </c>
      <c r="I3723" s="22" t="s">
        <v>114</v>
      </c>
      <c r="J3723" s="23">
        <v>48</v>
      </c>
      <c r="K3723" s="37">
        <v>0</v>
      </c>
      <c r="L3723" s="37">
        <v>2</v>
      </c>
      <c r="M3723" s="22">
        <f>IF(OR(ISBLANK(C3723),C3723=""),"",ROUND((C3723-B3723)*24,2))</f>
        <v>33.2</v>
      </c>
      <c r="N3723" s="40" t="str">
        <f>IF(OR(ISBLANK(C3723),C3723="",M3723=""),"In Progress",IF(M3723&lt;=J3723,"Met","Breached"))</f>
        <v>Met</v>
      </c>
    </row>
    <row r="3724" ht="19" customHeight="1" spans="1:14" x14ac:dyDescent="0.25">
      <c r="A3724" s="19" t="s">
        <v>3838</v>
      </c>
      <c r="B3724" s="33">
        <v>46007.101388888885</v>
      </c>
      <c r="C3724" s="33">
        <v>46010.100694444445</v>
      </c>
      <c r="D3724" s="19" t="s">
        <v>36</v>
      </c>
      <c r="E3724" s="19" t="s">
        <v>65</v>
      </c>
      <c r="F3724" s="19" t="s">
        <v>40</v>
      </c>
      <c r="G3724" s="19" t="s">
        <v>113</v>
      </c>
      <c r="H3724" s="19" t="s">
        <v>63</v>
      </c>
      <c r="I3724" s="19" t="s">
        <v>111</v>
      </c>
      <c r="J3724" s="20">
        <v>48</v>
      </c>
      <c r="K3724" s="34">
        <v>0</v>
      </c>
      <c r="L3724" s="34">
        <v>2</v>
      </c>
      <c r="M3724" s="19">
        <f>IF(OR(ISBLANK(C3724),C3724=""),"",ROUND((C3724-B3724)*24,2))</f>
        <v>71.98</v>
      </c>
      <c r="N3724" s="39" t="str">
        <f>IF(OR(ISBLANK(C3724),C3724="",M3724=""),"In Progress",IF(M3724&lt;=J3724,"Met","Breached"))</f>
        <v>Breached</v>
      </c>
    </row>
    <row r="3725" ht="19" customHeight="1" spans="1:14" x14ac:dyDescent="0.25">
      <c r="A3725" s="22" t="s">
        <v>3839</v>
      </c>
      <c r="B3725" s="36">
        <v>46003.86875</v>
      </c>
      <c r="C3725" s="36">
        <v>46012.03402777778</v>
      </c>
      <c r="D3725" s="22" t="s">
        <v>33</v>
      </c>
      <c r="E3725" s="22" t="s">
        <v>69</v>
      </c>
      <c r="F3725" s="22" t="s">
        <v>34</v>
      </c>
      <c r="G3725" s="22" t="s">
        <v>121</v>
      </c>
      <c r="H3725" s="22" t="s">
        <v>63</v>
      </c>
      <c r="I3725" s="22" t="s">
        <v>123</v>
      </c>
      <c r="J3725" s="23">
        <v>120</v>
      </c>
      <c r="K3725" s="37">
        <v>0</v>
      </c>
      <c r="L3725" s="37">
        <v>4</v>
      </c>
      <c r="M3725" s="22">
        <f>IF(OR(ISBLANK(C3725),C3725=""),"",ROUND((C3725-B3725)*24,2))</f>
        <v>195.97</v>
      </c>
      <c r="N3725" s="38" t="str">
        <f>IF(OR(ISBLANK(C3725),C3725="",M3725=""),"In Progress",IF(M3725&lt;=J3725,"Met","Breached"))</f>
        <v>Breached</v>
      </c>
    </row>
    <row r="3726" ht="19" customHeight="1" spans="1:14" x14ac:dyDescent="0.25">
      <c r="A3726" s="19" t="s">
        <v>3840</v>
      </c>
      <c r="B3726" s="33">
        <v>46017.57986111111</v>
      </c>
      <c r="C3726" s="33">
        <v>46018.138194444444</v>
      </c>
      <c r="D3726" s="19" t="s">
        <v>33</v>
      </c>
      <c r="E3726" s="19" t="s">
        <v>61</v>
      </c>
      <c r="F3726" s="19" t="s">
        <v>37</v>
      </c>
      <c r="G3726" s="19" t="s">
        <v>63</v>
      </c>
      <c r="H3726" s="19" t="s">
        <v>71</v>
      </c>
      <c r="I3726" s="19" t="s">
        <v>147</v>
      </c>
      <c r="J3726" s="20">
        <v>12</v>
      </c>
      <c r="K3726" s="34">
        <v>0</v>
      </c>
      <c r="M3726" s="19">
        <f>IF(OR(ISBLANK(C3726),C3726=""),"",ROUND((C3726-B3726)*24,2))</f>
        <v>13.4</v>
      </c>
      <c r="N3726" s="39" t="str">
        <f>IF(OR(ISBLANK(C3726),C3726="",M3726=""),"In Progress",IF(M3726&lt;=J3726,"Met","Breached"))</f>
        <v>Breached</v>
      </c>
    </row>
    <row r="3727" ht="19" customHeight="1" spans="1:14" x14ac:dyDescent="0.25">
      <c r="A3727" s="22" t="s">
        <v>3841</v>
      </c>
      <c r="B3727" s="36">
        <v>45787.450694444444</v>
      </c>
      <c r="C3727" s="36">
        <v>45787.643055555556</v>
      </c>
      <c r="D3727" s="22" t="s">
        <v>36</v>
      </c>
      <c r="E3727" s="22" t="s">
        <v>57</v>
      </c>
      <c r="F3727" s="22" t="s">
        <v>45</v>
      </c>
      <c r="G3727" s="22" t="s">
        <v>113</v>
      </c>
      <c r="H3727" s="22" t="s">
        <v>59</v>
      </c>
      <c r="I3727" s="22" t="s">
        <v>117</v>
      </c>
      <c r="J3727" s="23">
        <v>4</v>
      </c>
      <c r="K3727" s="37">
        <v>0</v>
      </c>
      <c r="M3727" s="22">
        <f>IF(OR(ISBLANK(C3727),C3727=""),"",ROUND((C3727-B3727)*24,2))</f>
        <v>4.62</v>
      </c>
      <c r="N3727" s="38" t="str">
        <f>IF(OR(ISBLANK(C3727),C3727="",M3727=""),"In Progress",IF(M3727&lt;=J3727,"Met","Breached"))</f>
        <v>Breached</v>
      </c>
    </row>
    <row r="3728" ht="19" customHeight="1" spans="1:14" x14ac:dyDescent="0.25">
      <c r="A3728" s="19" t="s">
        <v>3842</v>
      </c>
      <c r="B3728" s="33">
        <v>46027.37777777778</v>
      </c>
      <c r="D3728" s="19" t="s">
        <v>39</v>
      </c>
      <c r="E3728" s="19" t="s">
        <v>65</v>
      </c>
      <c r="F3728" s="19" t="s">
        <v>43</v>
      </c>
      <c r="G3728" s="19" t="s">
        <v>63</v>
      </c>
      <c r="H3728" s="19" t="s">
        <v>59</v>
      </c>
      <c r="I3728" s="19" t="s">
        <v>117</v>
      </c>
      <c r="J3728" s="20">
        <v>48</v>
      </c>
      <c r="K3728" s="34">
        <v>0</v>
      </c>
      <c r="M3728" s="19" t="str">
        <f>IF(OR(ISBLANK(C3728),C3728=""),"",ROUND((C3728-B3728)*24,2))</f>
        <v/>
      </c>
      <c r="N3728" s="19" t="str">
        <f>IF(OR(ISBLANK(C3728),C3728="",M3728=""),"In Progress",IF(M3728&lt;=J3728,"Met","Breached"))</f>
        <v>In Progress</v>
      </c>
    </row>
    <row r="3729" ht="19" customHeight="1" spans="1:14" x14ac:dyDescent="0.25">
      <c r="A3729" s="22" t="s">
        <v>3843</v>
      </c>
      <c r="B3729" s="36">
        <v>46010.56180555555</v>
      </c>
      <c r="C3729" s="36">
        <v>46012.96666666667</v>
      </c>
      <c r="D3729" s="22" t="s">
        <v>33</v>
      </c>
      <c r="E3729" s="22" t="s">
        <v>65</v>
      </c>
      <c r="F3729" s="22" t="s">
        <v>45</v>
      </c>
      <c r="G3729" s="22" t="s">
        <v>121</v>
      </c>
      <c r="H3729" s="22" t="s">
        <v>71</v>
      </c>
      <c r="I3729" s="22" t="s">
        <v>117</v>
      </c>
      <c r="J3729" s="23">
        <v>48</v>
      </c>
      <c r="K3729" s="37">
        <v>1</v>
      </c>
      <c r="L3729" s="37">
        <v>5</v>
      </c>
      <c r="M3729" s="22">
        <f>IF(OR(ISBLANK(C3729),C3729=""),"",ROUND((C3729-B3729)*24,2))</f>
        <v>57.72</v>
      </c>
      <c r="N3729" s="38" t="str">
        <f>IF(OR(ISBLANK(C3729),C3729="",M3729=""),"In Progress",IF(M3729&lt;=J3729,"Met","Breached"))</f>
        <v>Breached</v>
      </c>
    </row>
    <row r="3730" ht="19" customHeight="1" spans="1:14" x14ac:dyDescent="0.25">
      <c r="A3730" s="19" t="s">
        <v>3844</v>
      </c>
      <c r="B3730" s="33">
        <v>46052.46527777778</v>
      </c>
      <c r="C3730" s="33">
        <v>46055.080555555556</v>
      </c>
      <c r="D3730" s="19" t="s">
        <v>36</v>
      </c>
      <c r="E3730" s="19" t="s">
        <v>69</v>
      </c>
      <c r="F3730" s="19" t="s">
        <v>45</v>
      </c>
      <c r="G3730" s="19" t="s">
        <v>63</v>
      </c>
      <c r="H3730" s="19" t="s">
        <v>59</v>
      </c>
      <c r="I3730" s="19" t="s">
        <v>117</v>
      </c>
      <c r="J3730" s="20">
        <v>120</v>
      </c>
      <c r="K3730" s="34">
        <v>0</v>
      </c>
      <c r="L3730" s="34">
        <v>1</v>
      </c>
      <c r="M3730" s="19">
        <f>IF(OR(ISBLANK(C3730),C3730=""),"",ROUND((C3730-B3730)*24,2))</f>
        <v>62.77</v>
      </c>
      <c r="N3730" s="35" t="str">
        <f>IF(OR(ISBLANK(C3730),C3730="",M3730=""),"In Progress",IF(M3730&lt;=J3730,"Met","Breached"))</f>
        <v>Met</v>
      </c>
    </row>
    <row r="3731" ht="19" customHeight="1" spans="1:14" x14ac:dyDescent="0.25">
      <c r="A3731" s="22" t="s">
        <v>3845</v>
      </c>
      <c r="B3731" s="36">
        <v>46048.73125</v>
      </c>
      <c r="D3731" s="22" t="s">
        <v>39</v>
      </c>
      <c r="E3731" s="22" t="s">
        <v>69</v>
      </c>
      <c r="F3731" s="22" t="s">
        <v>43</v>
      </c>
      <c r="G3731" s="22" t="s">
        <v>121</v>
      </c>
      <c r="H3731" s="22" t="s">
        <v>59</v>
      </c>
      <c r="I3731" s="22" t="s">
        <v>117</v>
      </c>
      <c r="J3731" s="23">
        <v>120</v>
      </c>
      <c r="K3731" s="37">
        <v>0</v>
      </c>
      <c r="M3731" s="22" t="str">
        <f>IF(OR(ISBLANK(C3731),C3731=""),"",ROUND((C3731-B3731)*24,2))</f>
        <v/>
      </c>
      <c r="N3731" s="22" t="str">
        <f>IF(OR(ISBLANK(C3731),C3731="",M3731=""),"In Progress",IF(M3731&lt;=J3731,"Met","Breached"))</f>
        <v>In Progress</v>
      </c>
    </row>
    <row r="3732" ht="19" customHeight="1" spans="1:14" x14ac:dyDescent="0.25">
      <c r="A3732" s="19" t="s">
        <v>3846</v>
      </c>
      <c r="B3732" s="33">
        <v>45836.175</v>
      </c>
      <c r="C3732" s="33">
        <v>45838.7125</v>
      </c>
      <c r="D3732" s="19" t="s">
        <v>33</v>
      </c>
      <c r="E3732" s="19" t="s">
        <v>65</v>
      </c>
      <c r="F3732" s="19" t="s">
        <v>43</v>
      </c>
      <c r="G3732" s="19" t="s">
        <v>126</v>
      </c>
      <c r="H3732" s="19" t="s">
        <v>63</v>
      </c>
      <c r="I3732" s="19" t="s">
        <v>147</v>
      </c>
      <c r="J3732" s="20">
        <v>48</v>
      </c>
      <c r="K3732" s="34">
        <v>0</v>
      </c>
      <c r="M3732" s="19">
        <f>IF(OR(ISBLANK(C3732),C3732=""),"",ROUND((C3732-B3732)*24,2))</f>
        <v>60.9</v>
      </c>
      <c r="N3732" s="39" t="str">
        <f>IF(OR(ISBLANK(C3732),C3732="",M3732=""),"In Progress",IF(M3732&lt;=J3732,"Met","Breached"))</f>
        <v>Breached</v>
      </c>
    </row>
    <row r="3733" ht="19" customHeight="1" spans="1:14" x14ac:dyDescent="0.25">
      <c r="A3733" s="22" t="s">
        <v>3847</v>
      </c>
      <c r="B3733" s="36">
        <v>45659.85763888889</v>
      </c>
      <c r="C3733" s="36">
        <v>45660.65</v>
      </c>
      <c r="D3733" s="22" t="s">
        <v>36</v>
      </c>
      <c r="E3733" s="22" t="s">
        <v>61</v>
      </c>
      <c r="F3733" s="22" t="s">
        <v>34</v>
      </c>
      <c r="G3733" s="22" t="s">
        <v>113</v>
      </c>
      <c r="H3733" s="22" t="s">
        <v>59</v>
      </c>
      <c r="I3733" s="22" t="s">
        <v>111</v>
      </c>
      <c r="J3733" s="23">
        <v>12</v>
      </c>
      <c r="K3733" s="37">
        <v>0</v>
      </c>
      <c r="M3733" s="22">
        <f>IF(OR(ISBLANK(C3733),C3733=""),"",ROUND((C3733-B3733)*24,2))</f>
        <v>19.02</v>
      </c>
      <c r="N3733" s="38" t="str">
        <f>IF(OR(ISBLANK(C3733),C3733="",M3733=""),"In Progress",IF(M3733&lt;=J3733,"Met","Breached"))</f>
        <v>Breached</v>
      </c>
    </row>
    <row r="3734" ht="19" customHeight="1" spans="1:14" x14ac:dyDescent="0.25">
      <c r="A3734" s="19" t="s">
        <v>3848</v>
      </c>
      <c r="B3734" s="33">
        <v>45862.74791666667</v>
      </c>
      <c r="C3734" s="33">
        <v>45862.992361111115</v>
      </c>
      <c r="D3734" s="19" t="s">
        <v>33</v>
      </c>
      <c r="E3734" s="19" t="s">
        <v>61</v>
      </c>
      <c r="F3734" s="19" t="s">
        <v>43</v>
      </c>
      <c r="G3734" s="19" t="s">
        <v>110</v>
      </c>
      <c r="H3734" s="19" t="s">
        <v>63</v>
      </c>
      <c r="I3734" s="19" t="s">
        <v>111</v>
      </c>
      <c r="J3734" s="20">
        <v>12</v>
      </c>
      <c r="K3734" s="34">
        <v>0</v>
      </c>
      <c r="L3734" s="34">
        <v>3</v>
      </c>
      <c r="M3734" s="19">
        <f>IF(OR(ISBLANK(C3734),C3734=""),"",ROUND((C3734-B3734)*24,2))</f>
        <v>5.87</v>
      </c>
      <c r="N3734" s="35" t="str">
        <f>IF(OR(ISBLANK(C3734),C3734="",M3734=""),"In Progress",IF(M3734&lt;=J3734,"Met","Breached"))</f>
        <v>Met</v>
      </c>
    </row>
    <row r="3735" ht="19" customHeight="1" spans="1:14" x14ac:dyDescent="0.25">
      <c r="A3735" s="22" t="s">
        <v>3849</v>
      </c>
      <c r="B3735" s="36">
        <v>45967.47361111111</v>
      </c>
      <c r="D3735" s="22" t="s">
        <v>39</v>
      </c>
      <c r="E3735" s="22" t="s">
        <v>65</v>
      </c>
      <c r="F3735" s="22" t="s">
        <v>40</v>
      </c>
      <c r="G3735" s="22" t="s">
        <v>121</v>
      </c>
      <c r="H3735" s="22" t="s">
        <v>63</v>
      </c>
      <c r="I3735" s="22" t="s">
        <v>123</v>
      </c>
      <c r="J3735" s="23">
        <v>48</v>
      </c>
      <c r="K3735" s="37">
        <v>0</v>
      </c>
      <c r="M3735" s="22" t="str">
        <f>IF(OR(ISBLANK(C3735),C3735=""),"",ROUND((C3735-B3735)*24,2))</f>
        <v/>
      </c>
      <c r="N3735" s="22" t="str">
        <f>IF(OR(ISBLANK(C3735),C3735="",M3735=""),"In Progress",IF(M3735&lt;=J3735,"Met","Breached"))</f>
        <v>In Progress</v>
      </c>
    </row>
    <row r="3736" ht="19" customHeight="1" spans="1:14" x14ac:dyDescent="0.25">
      <c r="A3736" s="19" t="s">
        <v>3850</v>
      </c>
      <c r="B3736" s="33">
        <v>46225.023611111115</v>
      </c>
      <c r="C3736" s="33">
        <v>46225.763194444444</v>
      </c>
      <c r="D3736" s="19" t="s">
        <v>33</v>
      </c>
      <c r="E3736" s="19" t="s">
        <v>61</v>
      </c>
      <c r="F3736" s="19" t="s">
        <v>34</v>
      </c>
      <c r="G3736" s="19" t="s">
        <v>121</v>
      </c>
      <c r="H3736" s="19" t="s">
        <v>63</v>
      </c>
      <c r="I3736" s="19" t="s">
        <v>111</v>
      </c>
      <c r="J3736" s="20">
        <v>12</v>
      </c>
      <c r="K3736" s="34">
        <v>0</v>
      </c>
      <c r="L3736" s="34">
        <v>5</v>
      </c>
      <c r="M3736" s="19">
        <f>IF(OR(ISBLANK(C3736),C3736=""),"",ROUND((C3736-B3736)*24,2))</f>
        <v>17.75</v>
      </c>
      <c r="N3736" s="39" t="str">
        <f>IF(OR(ISBLANK(C3736),C3736="",M3736=""),"In Progress",IF(M3736&lt;=J3736,"Met","Breached"))</f>
        <v>Breached</v>
      </c>
    </row>
    <row r="3737" ht="19" customHeight="1" spans="1:14" x14ac:dyDescent="0.25">
      <c r="A3737" s="22" t="s">
        <v>3851</v>
      </c>
      <c r="B3737" s="36">
        <v>45841.30902777778</v>
      </c>
      <c r="C3737" s="36">
        <v>45842.15972222222</v>
      </c>
      <c r="D3737" s="22" t="s">
        <v>36</v>
      </c>
      <c r="E3737" s="22" t="s">
        <v>65</v>
      </c>
      <c r="F3737" s="22" t="s">
        <v>37</v>
      </c>
      <c r="G3737" s="22" t="s">
        <v>116</v>
      </c>
      <c r="H3737" s="22" t="s">
        <v>63</v>
      </c>
      <c r="I3737" s="22" t="s">
        <v>123</v>
      </c>
      <c r="J3737" s="23">
        <v>48</v>
      </c>
      <c r="K3737" s="37">
        <v>0</v>
      </c>
      <c r="L3737" s="37">
        <v>4</v>
      </c>
      <c r="M3737" s="22">
        <f>IF(OR(ISBLANK(C3737),C3737=""),"",ROUND((C3737-B3737)*24,2))</f>
        <v>20.42</v>
      </c>
      <c r="N3737" s="40" t="str">
        <f>IF(OR(ISBLANK(C3737),C3737="",M3737=""),"In Progress",IF(M3737&lt;=J3737,"Met","Breached"))</f>
        <v>Met</v>
      </c>
    </row>
    <row r="3738" ht="19" customHeight="1" spans="1:14" x14ac:dyDescent="0.25">
      <c r="A3738" s="19" t="s">
        <v>3852</v>
      </c>
      <c r="B3738" s="33">
        <v>45845.49375</v>
      </c>
      <c r="D3738" s="19" t="s">
        <v>39</v>
      </c>
      <c r="E3738" s="19" t="s">
        <v>65</v>
      </c>
      <c r="F3738" s="19" t="s">
        <v>45</v>
      </c>
      <c r="G3738" s="19" t="s">
        <v>116</v>
      </c>
      <c r="H3738" s="19" t="s">
        <v>67</v>
      </c>
      <c r="I3738" s="19" t="s">
        <v>108</v>
      </c>
      <c r="J3738" s="20">
        <v>48</v>
      </c>
      <c r="K3738" s="34">
        <v>0</v>
      </c>
      <c r="M3738" s="19" t="str">
        <f>IF(OR(ISBLANK(C3738),C3738=""),"",ROUND((C3738-B3738)*24,2))</f>
        <v/>
      </c>
      <c r="N3738" s="19" t="str">
        <f>IF(OR(ISBLANK(C3738),C3738="",M3738=""),"In Progress",IF(M3738&lt;=J3738,"Met","Breached"))</f>
        <v>In Progress</v>
      </c>
    </row>
    <row r="3739" ht="19" customHeight="1" spans="1:14" x14ac:dyDescent="0.25">
      <c r="A3739" s="22" t="s">
        <v>3853</v>
      </c>
      <c r="B3739" s="36">
        <v>46151.51527777778</v>
      </c>
      <c r="C3739" s="36">
        <v>46154.209027777775</v>
      </c>
      <c r="D3739" s="22" t="s">
        <v>36</v>
      </c>
      <c r="E3739" s="22" t="s">
        <v>65</v>
      </c>
      <c r="F3739" s="22" t="s">
        <v>43</v>
      </c>
      <c r="G3739" s="22" t="s">
        <v>126</v>
      </c>
      <c r="H3739" s="22" t="s">
        <v>59</v>
      </c>
      <c r="I3739" s="22" t="s">
        <v>111</v>
      </c>
      <c r="J3739" s="23">
        <v>48</v>
      </c>
      <c r="K3739" s="37">
        <v>0</v>
      </c>
      <c r="L3739" s="37">
        <v>5</v>
      </c>
      <c r="M3739" s="22">
        <f>IF(OR(ISBLANK(C3739),C3739=""),"",ROUND((C3739-B3739)*24,2))</f>
        <v>64.65</v>
      </c>
      <c r="N3739" s="38" t="str">
        <f>IF(OR(ISBLANK(C3739),C3739="",M3739=""),"In Progress",IF(M3739&lt;=J3739,"Met","Breached"))</f>
        <v>Breached</v>
      </c>
    </row>
    <row r="3740" ht="19" customHeight="1" spans="1:14" x14ac:dyDescent="0.25">
      <c r="A3740" s="19" t="s">
        <v>3854</v>
      </c>
      <c r="B3740" s="33">
        <v>45821.34166666667</v>
      </c>
      <c r="C3740" s="33">
        <v>45821.875</v>
      </c>
      <c r="D3740" s="19" t="s">
        <v>33</v>
      </c>
      <c r="E3740" s="19" t="s">
        <v>61</v>
      </c>
      <c r="F3740" s="19" t="s">
        <v>34</v>
      </c>
      <c r="G3740" s="19" t="s">
        <v>121</v>
      </c>
      <c r="H3740" s="19" t="s">
        <v>63</v>
      </c>
      <c r="I3740" s="19" t="s">
        <v>108</v>
      </c>
      <c r="J3740" s="20">
        <v>12</v>
      </c>
      <c r="K3740" s="34">
        <v>0</v>
      </c>
      <c r="M3740" s="19">
        <f>IF(OR(ISBLANK(C3740),C3740=""),"",ROUND((C3740-B3740)*24,2))</f>
        <v>12.8</v>
      </c>
      <c r="N3740" s="39" t="str">
        <f>IF(OR(ISBLANK(C3740),C3740="",M3740=""),"In Progress",IF(M3740&lt;=J3740,"Met","Breached"))</f>
        <v>Breached</v>
      </c>
    </row>
    <row r="3741" ht="19" customHeight="1" spans="1:14" x14ac:dyDescent="0.25">
      <c r="A3741" s="22" t="s">
        <v>3855</v>
      </c>
      <c r="B3741" s="36">
        <v>45979.89375</v>
      </c>
      <c r="C3741" s="36">
        <v>45983.21666666667</v>
      </c>
      <c r="D3741" s="22" t="s">
        <v>33</v>
      </c>
      <c r="E3741" s="22" t="s">
        <v>69</v>
      </c>
      <c r="F3741" s="22" t="s">
        <v>34</v>
      </c>
      <c r="G3741" s="22" t="s">
        <v>116</v>
      </c>
      <c r="H3741" s="22" t="s">
        <v>59</v>
      </c>
      <c r="I3741" s="22" t="s">
        <v>123</v>
      </c>
      <c r="J3741" s="23">
        <v>120</v>
      </c>
      <c r="K3741" s="37">
        <v>0</v>
      </c>
      <c r="M3741" s="22">
        <f>IF(OR(ISBLANK(C3741),C3741=""),"",ROUND((C3741-B3741)*24,2))</f>
        <v>79.75</v>
      </c>
      <c r="N3741" s="40" t="str">
        <f>IF(OR(ISBLANK(C3741),C3741="",M3741=""),"In Progress",IF(M3741&lt;=J3741,"Met","Breached"))</f>
        <v>Met</v>
      </c>
    </row>
    <row r="3742" ht="19" customHeight="1" spans="1:14" x14ac:dyDescent="0.25">
      <c r="A3742" s="19" t="s">
        <v>3856</v>
      </c>
      <c r="B3742" s="33">
        <v>46017.388194444444</v>
      </c>
      <c r="C3742" s="33">
        <v>46018.117361111115</v>
      </c>
      <c r="D3742" s="19" t="s">
        <v>33</v>
      </c>
      <c r="E3742" s="19" t="s">
        <v>61</v>
      </c>
      <c r="F3742" s="19" t="s">
        <v>40</v>
      </c>
      <c r="G3742" s="19" t="s">
        <v>113</v>
      </c>
      <c r="H3742" s="19" t="s">
        <v>63</v>
      </c>
      <c r="I3742" s="19" t="s">
        <v>147</v>
      </c>
      <c r="J3742" s="20">
        <v>12</v>
      </c>
      <c r="K3742" s="34">
        <v>0</v>
      </c>
      <c r="L3742" s="34">
        <v>5</v>
      </c>
      <c r="M3742" s="19">
        <f>IF(OR(ISBLANK(C3742),C3742=""),"",ROUND((C3742-B3742)*24,2))</f>
        <v>17.5</v>
      </c>
      <c r="N3742" s="39" t="str">
        <f>IF(OR(ISBLANK(C3742),C3742="",M3742=""),"In Progress",IF(M3742&lt;=J3742,"Met","Breached"))</f>
        <v>Breached</v>
      </c>
    </row>
    <row r="3743" ht="19" customHeight="1" spans="1:14" x14ac:dyDescent="0.25">
      <c r="A3743" s="22" t="s">
        <v>3857</v>
      </c>
      <c r="B3743" s="36">
        <v>45752.52986111111</v>
      </c>
      <c r="C3743" s="36">
        <v>45752.77777777778</v>
      </c>
      <c r="D3743" s="22" t="s">
        <v>33</v>
      </c>
      <c r="E3743" s="22" t="s">
        <v>57</v>
      </c>
      <c r="F3743" s="22" t="s">
        <v>34</v>
      </c>
      <c r="G3743" s="22" t="s">
        <v>126</v>
      </c>
      <c r="H3743" s="22" t="s">
        <v>63</v>
      </c>
      <c r="I3743" s="22" t="s">
        <v>108</v>
      </c>
      <c r="J3743" s="23">
        <v>4</v>
      </c>
      <c r="K3743" s="37">
        <v>0</v>
      </c>
      <c r="L3743" s="37">
        <v>5</v>
      </c>
      <c r="M3743" s="22">
        <f>IF(OR(ISBLANK(C3743),C3743=""),"",ROUND((C3743-B3743)*24,2))</f>
        <v>5.95</v>
      </c>
      <c r="N3743" s="38" t="str">
        <f>IF(OR(ISBLANK(C3743),C3743="",M3743=""),"In Progress",IF(M3743&lt;=J3743,"Met","Breached"))</f>
        <v>Breached</v>
      </c>
    </row>
    <row r="3744" ht="19" customHeight="1" spans="1:14" x14ac:dyDescent="0.25">
      <c r="A3744" s="19" t="s">
        <v>3858</v>
      </c>
      <c r="B3744" s="33">
        <v>46212.70347222222</v>
      </c>
      <c r="C3744" s="33">
        <v>46214.37361111111</v>
      </c>
      <c r="D3744" s="19" t="s">
        <v>33</v>
      </c>
      <c r="E3744" s="19" t="s">
        <v>69</v>
      </c>
      <c r="F3744" s="19" t="s">
        <v>37</v>
      </c>
      <c r="G3744" s="19" t="s">
        <v>110</v>
      </c>
      <c r="H3744" s="19" t="s">
        <v>59</v>
      </c>
      <c r="I3744" s="19" t="s">
        <v>114</v>
      </c>
      <c r="J3744" s="20">
        <v>120</v>
      </c>
      <c r="K3744" s="34">
        <v>0</v>
      </c>
      <c r="L3744" s="34">
        <v>2</v>
      </c>
      <c r="M3744" s="19">
        <f>IF(OR(ISBLANK(C3744),C3744=""),"",ROUND((C3744-B3744)*24,2))</f>
        <v>40.08</v>
      </c>
      <c r="N3744" s="35" t="str">
        <f>IF(OR(ISBLANK(C3744),C3744="",M3744=""),"In Progress",IF(M3744&lt;=J3744,"Met","Breached"))</f>
        <v>Met</v>
      </c>
    </row>
    <row r="3745" ht="19" customHeight="1" spans="1:14" x14ac:dyDescent="0.25">
      <c r="A3745" s="22" t="s">
        <v>3859</v>
      </c>
      <c r="B3745" s="36">
        <v>46009.163194444445</v>
      </c>
      <c r="C3745" s="36">
        <v>46012.38402777778</v>
      </c>
      <c r="D3745" s="22" t="s">
        <v>36</v>
      </c>
      <c r="E3745" s="22" t="s">
        <v>65</v>
      </c>
      <c r="F3745" s="22" t="s">
        <v>40</v>
      </c>
      <c r="G3745" s="22" t="s">
        <v>126</v>
      </c>
      <c r="H3745" s="22" t="s">
        <v>59</v>
      </c>
      <c r="I3745" s="22" t="s">
        <v>111</v>
      </c>
      <c r="J3745" s="23">
        <v>48</v>
      </c>
      <c r="K3745" s="37">
        <v>0</v>
      </c>
      <c r="L3745" s="37">
        <v>3</v>
      </c>
      <c r="M3745" s="22">
        <f>IF(OR(ISBLANK(C3745),C3745=""),"",ROUND((C3745-B3745)*24,2))</f>
        <v>77.3</v>
      </c>
      <c r="N3745" s="38" t="str">
        <f>IF(OR(ISBLANK(C3745),C3745="",M3745=""),"In Progress",IF(M3745&lt;=J3745,"Met","Breached"))</f>
        <v>Breached</v>
      </c>
    </row>
    <row r="3746" ht="19" customHeight="1" spans="1:14" x14ac:dyDescent="0.25">
      <c r="A3746" s="19" t="s">
        <v>3860</v>
      </c>
      <c r="B3746" s="33">
        <v>46052.35833333334</v>
      </c>
      <c r="D3746" s="19" t="s">
        <v>39</v>
      </c>
      <c r="E3746" s="19" t="s">
        <v>61</v>
      </c>
      <c r="F3746" s="19" t="s">
        <v>43</v>
      </c>
      <c r="G3746" s="19" t="s">
        <v>113</v>
      </c>
      <c r="H3746" s="19" t="s">
        <v>71</v>
      </c>
      <c r="I3746" s="19" t="s">
        <v>117</v>
      </c>
      <c r="J3746" s="20">
        <v>12</v>
      </c>
      <c r="K3746" s="34">
        <v>0</v>
      </c>
      <c r="M3746" s="19" t="str">
        <f>IF(OR(ISBLANK(C3746),C3746=""),"",ROUND((C3746-B3746)*24,2))</f>
        <v/>
      </c>
      <c r="N3746" s="19" t="str">
        <f>IF(OR(ISBLANK(C3746),C3746="",M3746=""),"In Progress",IF(M3746&lt;=J3746,"Met","Breached"))</f>
        <v>In Progress</v>
      </c>
    </row>
    <row r="3747" ht="19" customHeight="1" spans="1:14" x14ac:dyDescent="0.25">
      <c r="A3747" s="22" t="s">
        <v>3861</v>
      </c>
      <c r="B3747" s="36">
        <v>45741.71319444444</v>
      </c>
      <c r="C3747" s="36">
        <v>45741.913888888885</v>
      </c>
      <c r="D3747" s="22" t="s">
        <v>33</v>
      </c>
      <c r="E3747" s="22" t="s">
        <v>57</v>
      </c>
      <c r="F3747" s="22" t="s">
        <v>43</v>
      </c>
      <c r="G3747" s="22" t="s">
        <v>113</v>
      </c>
      <c r="H3747" s="22" t="s">
        <v>67</v>
      </c>
      <c r="I3747" s="22" t="s">
        <v>147</v>
      </c>
      <c r="J3747" s="23">
        <v>4</v>
      </c>
      <c r="K3747" s="37">
        <v>0</v>
      </c>
      <c r="M3747" s="22">
        <f>IF(OR(ISBLANK(C3747),C3747=""),"",ROUND((C3747-B3747)*24,2))</f>
        <v>4.82</v>
      </c>
      <c r="N3747" s="38" t="str">
        <f>IF(OR(ISBLANK(C3747),C3747="",M3747=""),"In Progress",IF(M3747&lt;=J3747,"Met","Breached"))</f>
        <v>Breached</v>
      </c>
    </row>
    <row r="3748" ht="19" customHeight="1" spans="1:14" x14ac:dyDescent="0.25">
      <c r="A3748" s="19" t="s">
        <v>3862</v>
      </c>
      <c r="B3748" s="33">
        <v>45852.100694444445</v>
      </c>
      <c r="C3748" s="33">
        <v>45855.95347222222</v>
      </c>
      <c r="D3748" s="19" t="s">
        <v>33</v>
      </c>
      <c r="E3748" s="19" t="s">
        <v>69</v>
      </c>
      <c r="F3748" s="19" t="s">
        <v>43</v>
      </c>
      <c r="G3748" s="19" t="s">
        <v>121</v>
      </c>
      <c r="H3748" s="19" t="s">
        <v>63</v>
      </c>
      <c r="I3748" s="19" t="s">
        <v>108</v>
      </c>
      <c r="J3748" s="20">
        <v>120</v>
      </c>
      <c r="K3748" s="34">
        <v>0</v>
      </c>
      <c r="M3748" s="19">
        <f>IF(OR(ISBLANK(C3748),C3748=""),"",ROUND((C3748-B3748)*24,2))</f>
        <v>92.47</v>
      </c>
      <c r="N3748" s="35" t="str">
        <f>IF(OR(ISBLANK(C3748),C3748="",M3748=""),"In Progress",IF(M3748&lt;=J3748,"Met","Breached"))</f>
        <v>Met</v>
      </c>
    </row>
    <row r="3749" ht="19" customHeight="1" spans="1:14" x14ac:dyDescent="0.25">
      <c r="A3749" s="22" t="s">
        <v>3863</v>
      </c>
      <c r="B3749" s="36">
        <v>45752.169444444444</v>
      </c>
      <c r="C3749" s="36">
        <v>45753.80694444444</v>
      </c>
      <c r="D3749" s="22" t="s">
        <v>33</v>
      </c>
      <c r="E3749" s="22" t="s">
        <v>65</v>
      </c>
      <c r="F3749" s="22" t="s">
        <v>37</v>
      </c>
      <c r="G3749" s="22" t="s">
        <v>63</v>
      </c>
      <c r="H3749" s="22" t="s">
        <v>67</v>
      </c>
      <c r="I3749" s="22" t="s">
        <v>111</v>
      </c>
      <c r="J3749" s="23">
        <v>48</v>
      </c>
      <c r="K3749" s="37">
        <v>0</v>
      </c>
      <c r="M3749" s="22">
        <f>IF(OR(ISBLANK(C3749),C3749=""),"",ROUND((C3749-B3749)*24,2))</f>
        <v>39.3</v>
      </c>
      <c r="N3749" s="40" t="str">
        <f>IF(OR(ISBLANK(C3749),C3749="",M3749=""),"In Progress",IF(M3749&lt;=J3749,"Met","Breached"))</f>
        <v>Met</v>
      </c>
    </row>
    <row r="3750" ht="19" customHeight="1" spans="1:14" x14ac:dyDescent="0.25">
      <c r="A3750" s="19" t="s">
        <v>3864</v>
      </c>
      <c r="B3750" s="33">
        <v>46147.481944444444</v>
      </c>
      <c r="C3750" s="33">
        <v>46148.60972222222</v>
      </c>
      <c r="D3750" s="19" t="s">
        <v>33</v>
      </c>
      <c r="E3750" s="19" t="s">
        <v>65</v>
      </c>
      <c r="F3750" s="19" t="s">
        <v>40</v>
      </c>
      <c r="G3750" s="19" t="s">
        <v>110</v>
      </c>
      <c r="H3750" s="19" t="s">
        <v>59</v>
      </c>
      <c r="I3750" s="19" t="s">
        <v>111</v>
      </c>
      <c r="J3750" s="20">
        <v>48</v>
      </c>
      <c r="K3750" s="34">
        <v>0</v>
      </c>
      <c r="M3750" s="19">
        <f>IF(OR(ISBLANK(C3750),C3750=""),"",ROUND((C3750-B3750)*24,2))</f>
        <v>27.07</v>
      </c>
      <c r="N3750" s="35" t="str">
        <f>IF(OR(ISBLANK(C3750),C3750="",M3750=""),"In Progress",IF(M3750&lt;=J3750,"Met","Breached"))</f>
        <v>Met</v>
      </c>
    </row>
    <row r="3751" ht="19" customHeight="1" spans="1:14" x14ac:dyDescent="0.25">
      <c r="A3751" s="22" t="s">
        <v>3865</v>
      </c>
      <c r="B3751" s="36">
        <v>46127.03472222222</v>
      </c>
      <c r="C3751" s="36">
        <v>46130.90486111111</v>
      </c>
      <c r="D3751" s="22" t="s">
        <v>33</v>
      </c>
      <c r="E3751" s="22" t="s">
        <v>69</v>
      </c>
      <c r="F3751" s="22" t="s">
        <v>43</v>
      </c>
      <c r="G3751" s="22" t="s">
        <v>126</v>
      </c>
      <c r="H3751" s="22" t="s">
        <v>59</v>
      </c>
      <c r="I3751" s="22" t="s">
        <v>108</v>
      </c>
      <c r="J3751" s="23">
        <v>120</v>
      </c>
      <c r="K3751" s="37">
        <v>1</v>
      </c>
      <c r="L3751" s="37">
        <v>2</v>
      </c>
      <c r="M3751" s="22">
        <f>IF(OR(ISBLANK(C3751),C3751=""),"",ROUND((C3751-B3751)*24,2))</f>
        <v>92.88</v>
      </c>
      <c r="N3751" s="40" t="str">
        <f>IF(OR(ISBLANK(C3751),C3751="",M3751=""),"In Progress",IF(M3751&lt;=J3751,"Met","Breached"))</f>
        <v>Met</v>
      </c>
    </row>
    <row r="3752" ht="19" customHeight="1" spans="1:14" x14ac:dyDescent="0.25">
      <c r="A3752" s="19" t="s">
        <v>3866</v>
      </c>
      <c r="B3752" s="33">
        <v>46235.19375</v>
      </c>
      <c r="C3752" s="33">
        <v>46235.945138888885</v>
      </c>
      <c r="D3752" s="19" t="s">
        <v>33</v>
      </c>
      <c r="E3752" s="19" t="s">
        <v>61</v>
      </c>
      <c r="F3752" s="19" t="s">
        <v>45</v>
      </c>
      <c r="G3752" s="19" t="s">
        <v>126</v>
      </c>
      <c r="H3752" s="19" t="s">
        <v>71</v>
      </c>
      <c r="I3752" s="19" t="s">
        <v>111</v>
      </c>
      <c r="J3752" s="20">
        <v>12</v>
      </c>
      <c r="K3752" s="34">
        <v>0</v>
      </c>
      <c r="L3752" s="34">
        <v>3</v>
      </c>
      <c r="M3752" s="19">
        <f>IF(OR(ISBLANK(C3752),C3752=""),"",ROUND((C3752-B3752)*24,2))</f>
        <v>18.03</v>
      </c>
      <c r="N3752" s="39" t="str">
        <f>IF(OR(ISBLANK(C3752),C3752="",M3752=""),"In Progress",IF(M3752&lt;=J3752,"Met","Breached"))</f>
        <v>Breached</v>
      </c>
    </row>
    <row r="3753" ht="19" customHeight="1" spans="1:14" x14ac:dyDescent="0.25">
      <c r="A3753" s="22" t="s">
        <v>3867</v>
      </c>
      <c r="B3753" s="36">
        <v>45714.606944444444</v>
      </c>
      <c r="C3753" s="36">
        <v>45715.26944444445</v>
      </c>
      <c r="D3753" s="22" t="s">
        <v>33</v>
      </c>
      <c r="E3753" s="22" t="s">
        <v>61</v>
      </c>
      <c r="F3753" s="22" t="s">
        <v>45</v>
      </c>
      <c r="G3753" s="22" t="s">
        <v>126</v>
      </c>
      <c r="H3753" s="22" t="s">
        <v>59</v>
      </c>
      <c r="I3753" s="22" t="s">
        <v>123</v>
      </c>
      <c r="J3753" s="23">
        <v>12</v>
      </c>
      <c r="K3753" s="37">
        <v>0</v>
      </c>
      <c r="M3753" s="22">
        <f>IF(OR(ISBLANK(C3753),C3753=""),"",ROUND((C3753-B3753)*24,2))</f>
        <v>15.9</v>
      </c>
      <c r="N3753" s="38" t="str">
        <f>IF(OR(ISBLANK(C3753),C3753="",M3753=""),"In Progress",IF(M3753&lt;=J3753,"Met","Breached"))</f>
        <v>Breached</v>
      </c>
    </row>
    <row r="3754" ht="19" customHeight="1" spans="1:14" x14ac:dyDescent="0.25">
      <c r="A3754" s="19" t="s">
        <v>3868</v>
      </c>
      <c r="B3754" s="33">
        <v>45957.382638888885</v>
      </c>
      <c r="C3754" s="33">
        <v>45958.27222222222</v>
      </c>
      <c r="D3754" s="19" t="s">
        <v>36</v>
      </c>
      <c r="E3754" s="19" t="s">
        <v>61</v>
      </c>
      <c r="F3754" s="19" t="s">
        <v>45</v>
      </c>
      <c r="G3754" s="19" t="s">
        <v>126</v>
      </c>
      <c r="H3754" s="19" t="s">
        <v>59</v>
      </c>
      <c r="I3754" s="19" t="s">
        <v>108</v>
      </c>
      <c r="J3754" s="20">
        <v>12</v>
      </c>
      <c r="K3754" s="34">
        <v>0</v>
      </c>
      <c r="L3754" s="34">
        <v>3</v>
      </c>
      <c r="M3754" s="19">
        <f>IF(OR(ISBLANK(C3754),C3754=""),"",ROUND((C3754-B3754)*24,2))</f>
        <v>21.35</v>
      </c>
      <c r="N3754" s="39" t="str">
        <f>IF(OR(ISBLANK(C3754),C3754="",M3754=""),"In Progress",IF(M3754&lt;=J3754,"Met","Breached"))</f>
        <v>Breached</v>
      </c>
    </row>
    <row r="3755" ht="19" customHeight="1" spans="1:14" x14ac:dyDescent="0.25">
      <c r="A3755" s="22" t="s">
        <v>3869</v>
      </c>
      <c r="B3755" s="36">
        <v>45854.339583333334</v>
      </c>
      <c r="C3755" s="36">
        <v>45858.2625</v>
      </c>
      <c r="D3755" s="22" t="s">
        <v>33</v>
      </c>
      <c r="E3755" s="22" t="s">
        <v>69</v>
      </c>
      <c r="F3755" s="22" t="s">
        <v>45</v>
      </c>
      <c r="G3755" s="22" t="s">
        <v>121</v>
      </c>
      <c r="H3755" s="22" t="s">
        <v>59</v>
      </c>
      <c r="I3755" s="22" t="s">
        <v>114</v>
      </c>
      <c r="J3755" s="23">
        <v>120</v>
      </c>
      <c r="K3755" s="37">
        <v>0</v>
      </c>
      <c r="L3755" s="37">
        <v>2</v>
      </c>
      <c r="M3755" s="22">
        <f>IF(OR(ISBLANK(C3755),C3755=""),"",ROUND((C3755-B3755)*24,2))</f>
        <v>94.15</v>
      </c>
      <c r="N3755" s="40" t="str">
        <f>IF(OR(ISBLANK(C3755),C3755="",M3755=""),"In Progress",IF(M3755&lt;=J3755,"Met","Breached"))</f>
        <v>Met</v>
      </c>
    </row>
    <row r="3756" ht="19" customHeight="1" spans="1:14" x14ac:dyDescent="0.25">
      <c r="A3756" s="19" t="s">
        <v>3870</v>
      </c>
      <c r="B3756" s="33">
        <v>46250.893055555556</v>
      </c>
      <c r="D3756" s="19" t="s">
        <v>39</v>
      </c>
      <c r="E3756" s="19" t="s">
        <v>61</v>
      </c>
      <c r="F3756" s="19" t="s">
        <v>37</v>
      </c>
      <c r="G3756" s="19" t="s">
        <v>63</v>
      </c>
      <c r="H3756" s="19" t="s">
        <v>59</v>
      </c>
      <c r="I3756" s="19" t="s">
        <v>114</v>
      </c>
      <c r="J3756" s="20">
        <v>12</v>
      </c>
      <c r="K3756" s="34">
        <v>0</v>
      </c>
      <c r="M3756" s="19" t="str">
        <f>IF(OR(ISBLANK(C3756),C3756=""),"",ROUND((C3756-B3756)*24,2))</f>
        <v/>
      </c>
      <c r="N3756" s="19" t="str">
        <f>IF(OR(ISBLANK(C3756),C3756="",M3756=""),"In Progress",IF(M3756&lt;=J3756,"Met","Breached"))</f>
        <v>In Progress</v>
      </c>
    </row>
    <row r="3757" ht="19" customHeight="1" spans="1:14" x14ac:dyDescent="0.25">
      <c r="A3757" s="22" t="s">
        <v>3871</v>
      </c>
      <c r="B3757" s="36">
        <v>45737.08194444445</v>
      </c>
      <c r="C3757" s="36">
        <v>45737.74861111111</v>
      </c>
      <c r="D3757" s="22" t="s">
        <v>36</v>
      </c>
      <c r="E3757" s="22" t="s">
        <v>61</v>
      </c>
      <c r="F3757" s="22" t="s">
        <v>45</v>
      </c>
      <c r="G3757" s="22" t="s">
        <v>126</v>
      </c>
      <c r="H3757" s="22" t="s">
        <v>67</v>
      </c>
      <c r="I3757" s="22" t="s">
        <v>147</v>
      </c>
      <c r="J3757" s="23">
        <v>12</v>
      </c>
      <c r="K3757" s="37">
        <v>0</v>
      </c>
      <c r="L3757" s="37">
        <v>1</v>
      </c>
      <c r="M3757" s="22">
        <f>IF(OR(ISBLANK(C3757),C3757=""),"",ROUND((C3757-B3757)*24,2))</f>
        <v>16</v>
      </c>
      <c r="N3757" s="38" t="str">
        <f>IF(OR(ISBLANK(C3757),C3757="",M3757=""),"In Progress",IF(M3757&lt;=J3757,"Met","Breached"))</f>
        <v>Breached</v>
      </c>
    </row>
    <row r="3758" ht="19" customHeight="1" spans="1:14" x14ac:dyDescent="0.25">
      <c r="A3758" s="19" t="s">
        <v>3872</v>
      </c>
      <c r="B3758" s="33">
        <v>45682.45972222222</v>
      </c>
      <c r="C3758" s="33">
        <v>45683.39513888889</v>
      </c>
      <c r="D3758" s="19" t="s">
        <v>33</v>
      </c>
      <c r="E3758" s="19" t="s">
        <v>65</v>
      </c>
      <c r="F3758" s="19" t="s">
        <v>45</v>
      </c>
      <c r="G3758" s="19" t="s">
        <v>116</v>
      </c>
      <c r="H3758" s="19" t="s">
        <v>63</v>
      </c>
      <c r="I3758" s="19" t="s">
        <v>117</v>
      </c>
      <c r="J3758" s="20">
        <v>48</v>
      </c>
      <c r="K3758" s="34">
        <v>1</v>
      </c>
      <c r="L3758" s="34">
        <v>2</v>
      </c>
      <c r="M3758" s="19">
        <f>IF(OR(ISBLANK(C3758),C3758=""),"",ROUND((C3758-B3758)*24,2))</f>
        <v>22.45</v>
      </c>
      <c r="N3758" s="35" t="str">
        <f>IF(OR(ISBLANK(C3758),C3758="",M3758=""),"In Progress",IF(M3758&lt;=J3758,"Met","Breached"))</f>
        <v>Met</v>
      </c>
    </row>
    <row r="3759" ht="19" customHeight="1" spans="1:14" x14ac:dyDescent="0.25">
      <c r="A3759" s="22" t="s">
        <v>3873</v>
      </c>
      <c r="B3759" s="36">
        <v>45906.3375</v>
      </c>
      <c r="C3759" s="36">
        <v>45909.82708333334</v>
      </c>
      <c r="D3759" s="22" t="s">
        <v>33</v>
      </c>
      <c r="E3759" s="22" t="s">
        <v>65</v>
      </c>
      <c r="F3759" s="22" t="s">
        <v>34</v>
      </c>
      <c r="G3759" s="22" t="s">
        <v>63</v>
      </c>
      <c r="H3759" s="22" t="s">
        <v>59</v>
      </c>
      <c r="I3759" s="22" t="s">
        <v>123</v>
      </c>
      <c r="J3759" s="23">
        <v>48</v>
      </c>
      <c r="K3759" s="37">
        <v>0</v>
      </c>
      <c r="M3759" s="22">
        <f>IF(OR(ISBLANK(C3759),C3759=""),"",ROUND((C3759-B3759)*24,2))</f>
        <v>83.75</v>
      </c>
      <c r="N3759" s="38" t="str">
        <f>IF(OR(ISBLANK(C3759),C3759="",M3759=""),"In Progress",IF(M3759&lt;=J3759,"Met","Breached"))</f>
        <v>Breached</v>
      </c>
    </row>
    <row r="3760" ht="19" customHeight="1" spans="1:14" x14ac:dyDescent="0.25">
      <c r="A3760" s="19" t="s">
        <v>3874</v>
      </c>
      <c r="B3760" s="33">
        <v>45914.13402777778</v>
      </c>
      <c r="D3760" s="19" t="s">
        <v>42</v>
      </c>
      <c r="E3760" s="19" t="s">
        <v>69</v>
      </c>
      <c r="F3760" s="19" t="s">
        <v>45</v>
      </c>
      <c r="G3760" s="19" t="s">
        <v>63</v>
      </c>
      <c r="H3760" s="19" t="s">
        <v>71</v>
      </c>
      <c r="I3760" s="19" t="s">
        <v>117</v>
      </c>
      <c r="J3760" s="20">
        <v>120</v>
      </c>
      <c r="K3760" s="34">
        <v>0</v>
      </c>
      <c r="M3760" s="19" t="str">
        <f>IF(OR(ISBLANK(C3760),C3760=""),"",ROUND((C3760-B3760)*24,2))</f>
        <v/>
      </c>
      <c r="N3760" s="19" t="str">
        <f>IF(OR(ISBLANK(C3760),C3760="",M3760=""),"In Progress",IF(M3760&lt;=J3760,"Met","Breached"))</f>
        <v>In Progress</v>
      </c>
    </row>
    <row r="3761" ht="19" customHeight="1" spans="1:14" x14ac:dyDescent="0.25">
      <c r="A3761" s="22" t="s">
        <v>3875</v>
      </c>
      <c r="B3761" s="36">
        <v>46170.941666666666</v>
      </c>
      <c r="C3761" s="36">
        <v>46171.785416666666</v>
      </c>
      <c r="D3761" s="22" t="s">
        <v>36</v>
      </c>
      <c r="E3761" s="22" t="s">
        <v>61</v>
      </c>
      <c r="F3761" s="22" t="s">
        <v>34</v>
      </c>
      <c r="G3761" s="22" t="s">
        <v>110</v>
      </c>
      <c r="H3761" s="22" t="s">
        <v>67</v>
      </c>
      <c r="I3761" s="22" t="s">
        <v>111</v>
      </c>
      <c r="J3761" s="23">
        <v>12</v>
      </c>
      <c r="K3761" s="37">
        <v>0</v>
      </c>
      <c r="L3761" s="37">
        <v>3</v>
      </c>
      <c r="M3761" s="22">
        <f>IF(OR(ISBLANK(C3761),C3761=""),"",ROUND((C3761-B3761)*24,2))</f>
        <v>20.25</v>
      </c>
      <c r="N3761" s="38" t="str">
        <f>IF(OR(ISBLANK(C3761),C3761="",M3761=""),"In Progress",IF(M3761&lt;=J3761,"Met","Breached"))</f>
        <v>Breached</v>
      </c>
    </row>
    <row r="3762" ht="19" customHeight="1" spans="1:14" x14ac:dyDescent="0.25">
      <c r="A3762" s="19" t="s">
        <v>3876</v>
      </c>
      <c r="B3762" s="33">
        <v>46157.15555555555</v>
      </c>
      <c r="C3762" s="33">
        <v>46157.322222222225</v>
      </c>
      <c r="D3762" s="19" t="s">
        <v>33</v>
      </c>
      <c r="E3762" s="19" t="s">
        <v>61</v>
      </c>
      <c r="F3762" s="19" t="s">
        <v>45</v>
      </c>
      <c r="G3762" s="19" t="s">
        <v>126</v>
      </c>
      <c r="H3762" s="19" t="s">
        <v>59</v>
      </c>
      <c r="I3762" s="19" t="s">
        <v>147</v>
      </c>
      <c r="J3762" s="20">
        <v>12</v>
      </c>
      <c r="K3762" s="34">
        <v>0</v>
      </c>
      <c r="M3762" s="19">
        <f>IF(OR(ISBLANK(C3762),C3762=""),"",ROUND((C3762-B3762)*24,2))</f>
        <v>4</v>
      </c>
      <c r="N3762" s="35" t="str">
        <f>IF(OR(ISBLANK(C3762),C3762="",M3762=""),"In Progress",IF(M3762&lt;=J3762,"Met","Breached"))</f>
        <v>Met</v>
      </c>
    </row>
    <row r="3763" ht="19" customHeight="1" spans="1:14" x14ac:dyDescent="0.25">
      <c r="A3763" s="22" t="s">
        <v>3877</v>
      </c>
      <c r="B3763" s="36">
        <v>45670.09236111111</v>
      </c>
      <c r="C3763" s="36">
        <v>45670.72361111111</v>
      </c>
      <c r="D3763" s="22" t="s">
        <v>36</v>
      </c>
      <c r="E3763" s="22" t="s">
        <v>61</v>
      </c>
      <c r="F3763" s="22" t="s">
        <v>40</v>
      </c>
      <c r="G3763" s="22" t="s">
        <v>116</v>
      </c>
      <c r="H3763" s="22" t="s">
        <v>63</v>
      </c>
      <c r="I3763" s="22" t="s">
        <v>108</v>
      </c>
      <c r="J3763" s="23">
        <v>12</v>
      </c>
      <c r="K3763" s="37">
        <v>0</v>
      </c>
      <c r="L3763" s="37">
        <v>3</v>
      </c>
      <c r="M3763" s="22">
        <f>IF(OR(ISBLANK(C3763),C3763=""),"",ROUND((C3763-B3763)*24,2))</f>
        <v>15.15</v>
      </c>
      <c r="N3763" s="38" t="str">
        <f>IF(OR(ISBLANK(C3763),C3763="",M3763=""),"In Progress",IF(M3763&lt;=J3763,"Met","Breached"))</f>
        <v>Breached</v>
      </c>
    </row>
    <row r="3764" ht="19" customHeight="1" spans="1:14" x14ac:dyDescent="0.25">
      <c r="A3764" s="19" t="s">
        <v>3878</v>
      </c>
      <c r="B3764" s="33">
        <v>46241.129166666666</v>
      </c>
      <c r="C3764" s="33">
        <v>46243.02291666667</v>
      </c>
      <c r="D3764" s="19" t="s">
        <v>36</v>
      </c>
      <c r="E3764" s="19" t="s">
        <v>69</v>
      </c>
      <c r="F3764" s="19" t="s">
        <v>40</v>
      </c>
      <c r="G3764" s="19" t="s">
        <v>116</v>
      </c>
      <c r="H3764" s="19" t="s">
        <v>59</v>
      </c>
      <c r="I3764" s="19" t="s">
        <v>108</v>
      </c>
      <c r="J3764" s="20">
        <v>120</v>
      </c>
      <c r="K3764" s="34">
        <v>0</v>
      </c>
      <c r="L3764" s="34">
        <v>1</v>
      </c>
      <c r="M3764" s="19">
        <f>IF(OR(ISBLANK(C3764),C3764=""),"",ROUND((C3764-B3764)*24,2))</f>
        <v>45.45</v>
      </c>
      <c r="N3764" s="35" t="str">
        <f>IF(OR(ISBLANK(C3764),C3764="",M3764=""),"In Progress",IF(M3764&lt;=J3764,"Met","Breached"))</f>
        <v>Met</v>
      </c>
    </row>
    <row r="3765" ht="19" customHeight="1" spans="1:14" x14ac:dyDescent="0.25">
      <c r="A3765" s="22" t="s">
        <v>3879</v>
      </c>
      <c r="B3765" s="36">
        <v>45924.59027777778</v>
      </c>
      <c r="C3765" s="36">
        <v>45926.59513888889</v>
      </c>
      <c r="D3765" s="22" t="s">
        <v>33</v>
      </c>
      <c r="E3765" s="22" t="s">
        <v>69</v>
      </c>
      <c r="F3765" s="22" t="s">
        <v>45</v>
      </c>
      <c r="G3765" s="22" t="s">
        <v>63</v>
      </c>
      <c r="H3765" s="22" t="s">
        <v>59</v>
      </c>
      <c r="I3765" s="22" t="s">
        <v>147</v>
      </c>
      <c r="J3765" s="23">
        <v>120</v>
      </c>
      <c r="K3765" s="37">
        <v>0</v>
      </c>
      <c r="L3765" s="37">
        <v>4</v>
      </c>
      <c r="M3765" s="22">
        <f>IF(OR(ISBLANK(C3765),C3765=""),"",ROUND((C3765-B3765)*24,2))</f>
        <v>48.12</v>
      </c>
      <c r="N3765" s="40" t="str">
        <f>IF(OR(ISBLANK(C3765),C3765="",M3765=""),"In Progress",IF(M3765&lt;=J3765,"Met","Breached"))</f>
        <v>Met</v>
      </c>
    </row>
    <row r="3766" ht="19" customHeight="1" spans="1:14" x14ac:dyDescent="0.25">
      <c r="A3766" s="19" t="s">
        <v>3880</v>
      </c>
      <c r="B3766" s="33">
        <v>46134.472916666666</v>
      </c>
      <c r="D3766" s="19" t="s">
        <v>39</v>
      </c>
      <c r="E3766" s="19" t="s">
        <v>65</v>
      </c>
      <c r="F3766" s="19" t="s">
        <v>34</v>
      </c>
      <c r="G3766" s="19" t="s">
        <v>113</v>
      </c>
      <c r="H3766" s="19" t="s">
        <v>59</v>
      </c>
      <c r="I3766" s="19" t="s">
        <v>123</v>
      </c>
      <c r="J3766" s="20">
        <v>48</v>
      </c>
      <c r="K3766" s="34">
        <v>0</v>
      </c>
      <c r="M3766" s="19" t="str">
        <f>IF(OR(ISBLANK(C3766),C3766=""),"",ROUND((C3766-B3766)*24,2))</f>
        <v/>
      </c>
      <c r="N3766" s="19" t="str">
        <f>IF(OR(ISBLANK(C3766),C3766="",M3766=""),"In Progress",IF(M3766&lt;=J3766,"Met","Breached"))</f>
        <v>In Progress</v>
      </c>
    </row>
    <row r="3767" ht="19" customHeight="1" spans="1:14" x14ac:dyDescent="0.25">
      <c r="A3767" s="22" t="s">
        <v>3881</v>
      </c>
      <c r="B3767" s="36">
        <v>46036.06736111111</v>
      </c>
      <c r="C3767" s="36">
        <v>46037.70347222222</v>
      </c>
      <c r="D3767" s="22" t="s">
        <v>36</v>
      </c>
      <c r="E3767" s="22" t="s">
        <v>65</v>
      </c>
      <c r="F3767" s="22" t="s">
        <v>37</v>
      </c>
      <c r="G3767" s="22" t="s">
        <v>121</v>
      </c>
      <c r="H3767" s="22" t="s">
        <v>63</v>
      </c>
      <c r="I3767" s="22" t="s">
        <v>147</v>
      </c>
      <c r="J3767" s="23">
        <v>48</v>
      </c>
      <c r="K3767" s="37">
        <v>0</v>
      </c>
      <c r="M3767" s="22">
        <f>IF(OR(ISBLANK(C3767),C3767=""),"",ROUND((C3767-B3767)*24,2))</f>
        <v>39.27</v>
      </c>
      <c r="N3767" s="40" t="str">
        <f>IF(OR(ISBLANK(C3767),C3767="",M3767=""),"In Progress",IF(M3767&lt;=J3767,"Met","Breached"))</f>
        <v>Met</v>
      </c>
    </row>
    <row r="3768" ht="19" customHeight="1" spans="1:14" x14ac:dyDescent="0.25">
      <c r="A3768" s="19" t="s">
        <v>3882</v>
      </c>
      <c r="B3768" s="33">
        <v>46179.49861111111</v>
      </c>
      <c r="C3768" s="33">
        <v>46185.93263888889</v>
      </c>
      <c r="D3768" s="19" t="s">
        <v>33</v>
      </c>
      <c r="E3768" s="19" t="s">
        <v>69</v>
      </c>
      <c r="F3768" s="19" t="s">
        <v>34</v>
      </c>
      <c r="G3768" s="19" t="s">
        <v>116</v>
      </c>
      <c r="H3768" s="19" t="s">
        <v>59</v>
      </c>
      <c r="I3768" s="19" t="s">
        <v>111</v>
      </c>
      <c r="J3768" s="20">
        <v>120</v>
      </c>
      <c r="K3768" s="34">
        <v>0</v>
      </c>
      <c r="L3768" s="34">
        <v>3</v>
      </c>
      <c r="M3768" s="19">
        <f>IF(OR(ISBLANK(C3768),C3768=""),"",ROUND((C3768-B3768)*24,2))</f>
        <v>154.42</v>
      </c>
      <c r="N3768" s="39" t="str">
        <f>IF(OR(ISBLANK(C3768),C3768="",M3768=""),"In Progress",IF(M3768&lt;=J3768,"Met","Breached"))</f>
        <v>Breached</v>
      </c>
    </row>
    <row r="3769" ht="19" customHeight="1" spans="1:14" x14ac:dyDescent="0.25">
      <c r="A3769" s="22" t="s">
        <v>3883</v>
      </c>
      <c r="B3769" s="36">
        <v>45928.09305555555</v>
      </c>
      <c r="D3769" s="22" t="s">
        <v>39</v>
      </c>
      <c r="E3769" s="22" t="s">
        <v>65</v>
      </c>
      <c r="F3769" s="22" t="s">
        <v>34</v>
      </c>
      <c r="G3769" s="22" t="s">
        <v>121</v>
      </c>
      <c r="H3769" s="22" t="s">
        <v>63</v>
      </c>
      <c r="I3769" s="22" t="s">
        <v>108</v>
      </c>
      <c r="J3769" s="23">
        <v>48</v>
      </c>
      <c r="K3769" s="37">
        <v>0</v>
      </c>
      <c r="M3769" s="22" t="str">
        <f>IF(OR(ISBLANK(C3769),C3769=""),"",ROUND((C3769-B3769)*24,2))</f>
        <v/>
      </c>
      <c r="N3769" s="22" t="str">
        <f>IF(OR(ISBLANK(C3769),C3769="",M3769=""),"In Progress",IF(M3769&lt;=J3769,"Met","Breached"))</f>
        <v>In Progress</v>
      </c>
    </row>
    <row r="3770" ht="19" customHeight="1" spans="1:14" x14ac:dyDescent="0.25">
      <c r="A3770" s="19" t="s">
        <v>3884</v>
      </c>
      <c r="B3770" s="33">
        <v>46091.90138888889</v>
      </c>
      <c r="D3770" s="19" t="s">
        <v>39</v>
      </c>
      <c r="E3770" s="19" t="s">
        <v>69</v>
      </c>
      <c r="F3770" s="19" t="s">
        <v>40</v>
      </c>
      <c r="G3770" s="19" t="s">
        <v>116</v>
      </c>
      <c r="H3770" s="19" t="s">
        <v>59</v>
      </c>
      <c r="I3770" s="19" t="s">
        <v>123</v>
      </c>
      <c r="J3770" s="20">
        <v>120</v>
      </c>
      <c r="K3770" s="34">
        <v>0</v>
      </c>
      <c r="M3770" s="19" t="str">
        <f>IF(OR(ISBLANK(C3770),C3770=""),"",ROUND((C3770-B3770)*24,2))</f>
        <v/>
      </c>
      <c r="N3770" s="19" t="str">
        <f>IF(OR(ISBLANK(C3770),C3770="",M3770=""),"In Progress",IF(M3770&lt;=J3770,"Met","Breached"))</f>
        <v>In Progress</v>
      </c>
    </row>
    <row r="3771" ht="19" customHeight="1" spans="1:14" x14ac:dyDescent="0.25">
      <c r="A3771" s="22" t="s">
        <v>3885</v>
      </c>
      <c r="B3771" s="36">
        <v>46156.66458333333</v>
      </c>
      <c r="C3771" s="36">
        <v>46159.88888888889</v>
      </c>
      <c r="D3771" s="22" t="s">
        <v>33</v>
      </c>
      <c r="E3771" s="22" t="s">
        <v>65</v>
      </c>
      <c r="F3771" s="22" t="s">
        <v>40</v>
      </c>
      <c r="G3771" s="22" t="s">
        <v>116</v>
      </c>
      <c r="H3771" s="22" t="s">
        <v>59</v>
      </c>
      <c r="I3771" s="22" t="s">
        <v>111</v>
      </c>
      <c r="J3771" s="23">
        <v>48</v>
      </c>
      <c r="K3771" s="37">
        <v>0</v>
      </c>
      <c r="L3771" s="37">
        <v>4</v>
      </c>
      <c r="M3771" s="22">
        <f>IF(OR(ISBLANK(C3771),C3771=""),"",ROUND((C3771-B3771)*24,2))</f>
        <v>77.38</v>
      </c>
      <c r="N3771" s="38" t="str">
        <f>IF(OR(ISBLANK(C3771),C3771="",M3771=""),"In Progress",IF(M3771&lt;=J3771,"Met","Breached"))</f>
        <v>Breached</v>
      </c>
    </row>
    <row r="3772" ht="19" customHeight="1" spans="1:14" x14ac:dyDescent="0.25">
      <c r="A3772" s="19" t="s">
        <v>3886</v>
      </c>
      <c r="B3772" s="33">
        <v>46215.88125</v>
      </c>
      <c r="D3772" s="19" t="s">
        <v>42</v>
      </c>
      <c r="E3772" s="19" t="s">
        <v>69</v>
      </c>
      <c r="F3772" s="19" t="s">
        <v>45</v>
      </c>
      <c r="G3772" s="19" t="s">
        <v>126</v>
      </c>
      <c r="H3772" s="19" t="s">
        <v>59</v>
      </c>
      <c r="I3772" s="19" t="s">
        <v>123</v>
      </c>
      <c r="J3772" s="20">
        <v>120</v>
      </c>
      <c r="K3772" s="34">
        <v>0</v>
      </c>
      <c r="M3772" s="19" t="str">
        <f>IF(OR(ISBLANK(C3772),C3772=""),"",ROUND((C3772-B3772)*24,2))</f>
        <v/>
      </c>
      <c r="N3772" s="19" t="str">
        <f>IF(OR(ISBLANK(C3772),C3772="",M3772=""),"In Progress",IF(M3772&lt;=J3772,"Met","Breached"))</f>
        <v>In Progress</v>
      </c>
    </row>
    <row r="3773" ht="19" customHeight="1" spans="1:14" x14ac:dyDescent="0.25">
      <c r="A3773" s="22" t="s">
        <v>3887</v>
      </c>
      <c r="B3773" s="36">
        <v>45854.42083333334</v>
      </c>
      <c r="D3773" s="22" t="s">
        <v>42</v>
      </c>
      <c r="E3773" s="22" t="s">
        <v>61</v>
      </c>
      <c r="F3773" s="22" t="s">
        <v>40</v>
      </c>
      <c r="G3773" s="22" t="s">
        <v>126</v>
      </c>
      <c r="H3773" s="22" t="s">
        <v>67</v>
      </c>
      <c r="I3773" s="22" t="s">
        <v>114</v>
      </c>
      <c r="J3773" s="23">
        <v>12</v>
      </c>
      <c r="K3773" s="37">
        <v>0</v>
      </c>
      <c r="M3773" s="22" t="str">
        <f>IF(OR(ISBLANK(C3773),C3773=""),"",ROUND((C3773-B3773)*24,2))</f>
        <v/>
      </c>
      <c r="N3773" s="22" t="str">
        <f>IF(OR(ISBLANK(C3773),C3773="",M3773=""),"In Progress",IF(M3773&lt;=J3773,"Met","Breached"))</f>
        <v>In Progress</v>
      </c>
    </row>
    <row r="3774" ht="19" customHeight="1" spans="1:14" x14ac:dyDescent="0.25">
      <c r="A3774" s="19" t="s">
        <v>3888</v>
      </c>
      <c r="B3774" s="33">
        <v>46167.07638888889</v>
      </c>
      <c r="C3774" s="33">
        <v>46167.382638888885</v>
      </c>
      <c r="D3774" s="19" t="s">
        <v>33</v>
      </c>
      <c r="E3774" s="19" t="s">
        <v>61</v>
      </c>
      <c r="F3774" s="19" t="s">
        <v>43</v>
      </c>
      <c r="G3774" s="19" t="s">
        <v>116</v>
      </c>
      <c r="H3774" s="19" t="s">
        <v>59</v>
      </c>
      <c r="I3774" s="19" t="s">
        <v>111</v>
      </c>
      <c r="J3774" s="20">
        <v>12</v>
      </c>
      <c r="K3774" s="34">
        <v>0</v>
      </c>
      <c r="L3774" s="34">
        <v>5</v>
      </c>
      <c r="M3774" s="19">
        <f>IF(OR(ISBLANK(C3774),C3774=""),"",ROUND((C3774-B3774)*24,2))</f>
        <v>7.35</v>
      </c>
      <c r="N3774" s="35" t="str">
        <f>IF(OR(ISBLANK(C3774),C3774="",M3774=""),"In Progress",IF(M3774&lt;=J3774,"Met","Breached"))</f>
        <v>Met</v>
      </c>
    </row>
    <row r="3775" ht="19" customHeight="1" spans="1:14" x14ac:dyDescent="0.25">
      <c r="A3775" s="22" t="s">
        <v>3889</v>
      </c>
      <c r="B3775" s="36">
        <v>45849.46597222222</v>
      </c>
      <c r="C3775" s="36">
        <v>45849.62569444445</v>
      </c>
      <c r="D3775" s="22" t="s">
        <v>33</v>
      </c>
      <c r="E3775" s="22" t="s">
        <v>61</v>
      </c>
      <c r="F3775" s="22" t="s">
        <v>43</v>
      </c>
      <c r="G3775" s="22" t="s">
        <v>126</v>
      </c>
      <c r="H3775" s="22" t="s">
        <v>59</v>
      </c>
      <c r="I3775" s="22" t="s">
        <v>117</v>
      </c>
      <c r="J3775" s="23">
        <v>12</v>
      </c>
      <c r="K3775" s="37">
        <v>0</v>
      </c>
      <c r="L3775" s="37">
        <v>5</v>
      </c>
      <c r="M3775" s="22">
        <f>IF(OR(ISBLANK(C3775),C3775=""),"",ROUND((C3775-B3775)*24,2))</f>
        <v>3.83</v>
      </c>
      <c r="N3775" s="40" t="str">
        <f>IF(OR(ISBLANK(C3775),C3775="",M3775=""),"In Progress",IF(M3775&lt;=J3775,"Met","Breached"))</f>
        <v>Met</v>
      </c>
    </row>
    <row r="3776" ht="19" customHeight="1" spans="1:14" x14ac:dyDescent="0.25">
      <c r="A3776" s="19" t="s">
        <v>3890</v>
      </c>
      <c r="B3776" s="33">
        <v>45719.177777777775</v>
      </c>
      <c r="C3776" s="33">
        <v>45719.89444444445</v>
      </c>
      <c r="D3776" s="19" t="s">
        <v>33</v>
      </c>
      <c r="E3776" s="19" t="s">
        <v>61</v>
      </c>
      <c r="F3776" s="19" t="s">
        <v>34</v>
      </c>
      <c r="G3776" s="19" t="s">
        <v>126</v>
      </c>
      <c r="H3776" s="19" t="s">
        <v>59</v>
      </c>
      <c r="I3776" s="19" t="s">
        <v>147</v>
      </c>
      <c r="J3776" s="20">
        <v>12</v>
      </c>
      <c r="K3776" s="34">
        <v>0</v>
      </c>
      <c r="L3776" s="34">
        <v>5</v>
      </c>
      <c r="M3776" s="19">
        <f>IF(OR(ISBLANK(C3776),C3776=""),"",ROUND((C3776-B3776)*24,2))</f>
        <v>17.2</v>
      </c>
      <c r="N3776" s="39" t="str">
        <f>IF(OR(ISBLANK(C3776),C3776="",M3776=""),"In Progress",IF(M3776&lt;=J3776,"Met","Breached"))</f>
        <v>Breached</v>
      </c>
    </row>
    <row r="3777" ht="19" customHeight="1" spans="1:14" x14ac:dyDescent="0.25">
      <c r="A3777" s="22" t="s">
        <v>3891</v>
      </c>
      <c r="B3777" s="36">
        <v>45961.23611111111</v>
      </c>
      <c r="D3777" s="22" t="s">
        <v>39</v>
      </c>
      <c r="E3777" s="22" t="s">
        <v>69</v>
      </c>
      <c r="F3777" s="22" t="s">
        <v>37</v>
      </c>
      <c r="G3777" s="22" t="s">
        <v>121</v>
      </c>
      <c r="H3777" s="22" t="s">
        <v>59</v>
      </c>
      <c r="I3777" s="22" t="s">
        <v>114</v>
      </c>
      <c r="J3777" s="23">
        <v>120</v>
      </c>
      <c r="K3777" s="37">
        <v>0</v>
      </c>
      <c r="M3777" s="22" t="str">
        <f>IF(OR(ISBLANK(C3777),C3777=""),"",ROUND((C3777-B3777)*24,2))</f>
        <v/>
      </c>
      <c r="N3777" s="22" t="str">
        <f>IF(OR(ISBLANK(C3777),C3777="",M3777=""),"In Progress",IF(M3777&lt;=J3777,"Met","Breached"))</f>
        <v>In Progress</v>
      </c>
    </row>
    <row r="3778" ht="19" customHeight="1" spans="1:14" x14ac:dyDescent="0.25">
      <c r="A3778" s="19" t="s">
        <v>3892</v>
      </c>
      <c r="B3778" s="33">
        <v>45926.74166666667</v>
      </c>
      <c r="C3778" s="33">
        <v>45926.89375</v>
      </c>
      <c r="D3778" s="19" t="s">
        <v>33</v>
      </c>
      <c r="E3778" s="19" t="s">
        <v>61</v>
      </c>
      <c r="F3778" s="19" t="s">
        <v>37</v>
      </c>
      <c r="G3778" s="19" t="s">
        <v>121</v>
      </c>
      <c r="H3778" s="19" t="s">
        <v>71</v>
      </c>
      <c r="I3778" s="19" t="s">
        <v>147</v>
      </c>
      <c r="J3778" s="20">
        <v>12</v>
      </c>
      <c r="K3778" s="34">
        <v>0</v>
      </c>
      <c r="L3778" s="34">
        <v>3</v>
      </c>
      <c r="M3778" s="19">
        <f>IF(OR(ISBLANK(C3778),C3778=""),"",ROUND((C3778-B3778)*24,2))</f>
        <v>3.65</v>
      </c>
      <c r="N3778" s="35" t="str">
        <f>IF(OR(ISBLANK(C3778),C3778="",M3778=""),"In Progress",IF(M3778&lt;=J3778,"Met","Breached"))</f>
        <v>Met</v>
      </c>
    </row>
    <row r="3779" ht="19" customHeight="1" spans="1:14" x14ac:dyDescent="0.25">
      <c r="A3779" s="22" t="s">
        <v>3893</v>
      </c>
      <c r="B3779" s="36">
        <v>45919.226388888885</v>
      </c>
      <c r="C3779" s="36">
        <v>45919.691666666666</v>
      </c>
      <c r="D3779" s="22" t="s">
        <v>33</v>
      </c>
      <c r="E3779" s="22" t="s">
        <v>61</v>
      </c>
      <c r="F3779" s="22" t="s">
        <v>45</v>
      </c>
      <c r="G3779" s="22" t="s">
        <v>63</v>
      </c>
      <c r="H3779" s="22" t="s">
        <v>63</v>
      </c>
      <c r="I3779" s="22" t="s">
        <v>114</v>
      </c>
      <c r="J3779" s="23">
        <v>12</v>
      </c>
      <c r="K3779" s="37">
        <v>0</v>
      </c>
      <c r="M3779" s="22">
        <f>IF(OR(ISBLANK(C3779),C3779=""),"",ROUND((C3779-B3779)*24,2))</f>
        <v>11.17</v>
      </c>
      <c r="N3779" s="40" t="str">
        <f>IF(OR(ISBLANK(C3779),C3779="",M3779=""),"In Progress",IF(M3779&lt;=J3779,"Met","Breached"))</f>
        <v>Met</v>
      </c>
    </row>
    <row r="3780" ht="19" customHeight="1" spans="1:14" x14ac:dyDescent="0.25">
      <c r="A3780" s="19" t="s">
        <v>3894</v>
      </c>
      <c r="B3780" s="33">
        <v>45813.21388888889</v>
      </c>
      <c r="C3780" s="33">
        <v>45820.634722222225</v>
      </c>
      <c r="D3780" s="19" t="s">
        <v>33</v>
      </c>
      <c r="E3780" s="19" t="s">
        <v>69</v>
      </c>
      <c r="F3780" s="19" t="s">
        <v>34</v>
      </c>
      <c r="G3780" s="19" t="s">
        <v>113</v>
      </c>
      <c r="H3780" s="19" t="s">
        <v>63</v>
      </c>
      <c r="I3780" s="19" t="s">
        <v>117</v>
      </c>
      <c r="J3780" s="20">
        <v>120</v>
      </c>
      <c r="K3780" s="34">
        <v>0</v>
      </c>
      <c r="M3780" s="19">
        <f>IF(OR(ISBLANK(C3780),C3780=""),"",ROUND((C3780-B3780)*24,2))</f>
        <v>178.1</v>
      </c>
      <c r="N3780" s="39" t="str">
        <f>IF(OR(ISBLANK(C3780),C3780="",M3780=""),"In Progress",IF(M3780&lt;=J3780,"Met","Breached"))</f>
        <v>Breached</v>
      </c>
    </row>
    <row r="3781" ht="19" customHeight="1" spans="1:14" x14ac:dyDescent="0.25">
      <c r="A3781" s="22" t="s">
        <v>3895</v>
      </c>
      <c r="B3781" s="36">
        <v>45662.27986111111</v>
      </c>
      <c r="C3781" s="36">
        <v>45665.78958333333</v>
      </c>
      <c r="D3781" s="22" t="s">
        <v>33</v>
      </c>
      <c r="E3781" s="22" t="s">
        <v>65</v>
      </c>
      <c r="F3781" s="22" t="s">
        <v>40</v>
      </c>
      <c r="G3781" s="22" t="s">
        <v>63</v>
      </c>
      <c r="H3781" s="22" t="s">
        <v>63</v>
      </c>
      <c r="I3781" s="22" t="s">
        <v>108</v>
      </c>
      <c r="J3781" s="23">
        <v>48</v>
      </c>
      <c r="K3781" s="37">
        <v>0</v>
      </c>
      <c r="L3781" s="37">
        <v>5</v>
      </c>
      <c r="M3781" s="22">
        <f>IF(OR(ISBLANK(C3781),C3781=""),"",ROUND((C3781-B3781)*24,2))</f>
        <v>84.23</v>
      </c>
      <c r="N3781" s="38" t="str">
        <f>IF(OR(ISBLANK(C3781),C3781="",M3781=""),"In Progress",IF(M3781&lt;=J3781,"Met","Breached"))</f>
        <v>Breached</v>
      </c>
    </row>
    <row r="3782" ht="19" customHeight="1" spans="1:14" x14ac:dyDescent="0.25">
      <c r="A3782" s="19" t="s">
        <v>3896</v>
      </c>
      <c r="B3782" s="33">
        <v>45984.32083333333</v>
      </c>
      <c r="C3782" s="33">
        <v>45986.35486111111</v>
      </c>
      <c r="D3782" s="19" t="s">
        <v>36</v>
      </c>
      <c r="E3782" s="19" t="s">
        <v>65</v>
      </c>
      <c r="F3782" s="19" t="s">
        <v>37</v>
      </c>
      <c r="G3782" s="19" t="s">
        <v>110</v>
      </c>
      <c r="H3782" s="19" t="s">
        <v>67</v>
      </c>
      <c r="I3782" s="19" t="s">
        <v>117</v>
      </c>
      <c r="J3782" s="20">
        <v>48</v>
      </c>
      <c r="K3782" s="34">
        <v>0</v>
      </c>
      <c r="L3782" s="34">
        <v>1</v>
      </c>
      <c r="M3782" s="19">
        <f>IF(OR(ISBLANK(C3782),C3782=""),"",ROUND((C3782-B3782)*24,2))</f>
        <v>48.82</v>
      </c>
      <c r="N3782" s="39" t="str">
        <f>IF(OR(ISBLANK(C3782),C3782="",M3782=""),"In Progress",IF(M3782&lt;=J3782,"Met","Breached"))</f>
        <v>Breached</v>
      </c>
    </row>
    <row r="3783" ht="19" customHeight="1" spans="1:14" x14ac:dyDescent="0.25">
      <c r="A3783" s="22" t="s">
        <v>3897</v>
      </c>
      <c r="B3783" s="36">
        <v>45708.79236111111</v>
      </c>
      <c r="C3783" s="36">
        <v>45713.65902777778</v>
      </c>
      <c r="D3783" s="22" t="s">
        <v>36</v>
      </c>
      <c r="E3783" s="22" t="s">
        <v>69</v>
      </c>
      <c r="F3783" s="22" t="s">
        <v>45</v>
      </c>
      <c r="G3783" s="22" t="s">
        <v>116</v>
      </c>
      <c r="H3783" s="22" t="s">
        <v>71</v>
      </c>
      <c r="I3783" s="22" t="s">
        <v>123</v>
      </c>
      <c r="J3783" s="23">
        <v>120</v>
      </c>
      <c r="K3783" s="37">
        <v>0</v>
      </c>
      <c r="L3783" s="37">
        <v>3</v>
      </c>
      <c r="M3783" s="22">
        <f>IF(OR(ISBLANK(C3783),C3783=""),"",ROUND((C3783-B3783)*24,2))</f>
        <v>116.8</v>
      </c>
      <c r="N3783" s="40" t="str">
        <f>IF(OR(ISBLANK(C3783),C3783="",M3783=""),"In Progress",IF(M3783&lt;=J3783,"Met","Breached"))</f>
        <v>Met</v>
      </c>
    </row>
    <row r="3784" ht="19" customHeight="1" spans="1:14" x14ac:dyDescent="0.25">
      <c r="A3784" s="19" t="s">
        <v>3898</v>
      </c>
      <c r="B3784" s="33">
        <v>45828.183333333334</v>
      </c>
      <c r="D3784" s="19" t="s">
        <v>42</v>
      </c>
      <c r="E3784" s="19" t="s">
        <v>65</v>
      </c>
      <c r="F3784" s="19" t="s">
        <v>37</v>
      </c>
      <c r="G3784" s="19" t="s">
        <v>126</v>
      </c>
      <c r="H3784" s="19" t="s">
        <v>71</v>
      </c>
      <c r="I3784" s="19" t="s">
        <v>147</v>
      </c>
      <c r="J3784" s="20">
        <v>48</v>
      </c>
      <c r="K3784" s="34">
        <v>0</v>
      </c>
      <c r="M3784" s="19" t="str">
        <f>IF(OR(ISBLANK(C3784),C3784=""),"",ROUND((C3784-B3784)*24,2))</f>
        <v/>
      </c>
      <c r="N3784" s="19" t="str">
        <f>IF(OR(ISBLANK(C3784),C3784="",M3784=""),"In Progress",IF(M3784&lt;=J3784,"Met","Breached"))</f>
        <v>In Progress</v>
      </c>
    </row>
    <row r="3785" ht="19" customHeight="1" spans="1:14" x14ac:dyDescent="0.25">
      <c r="A3785" s="22" t="s">
        <v>3899</v>
      </c>
      <c r="B3785" s="36">
        <v>46075.646527777775</v>
      </c>
      <c r="C3785" s="36">
        <v>46075.92708333333</v>
      </c>
      <c r="D3785" s="22" t="s">
        <v>33</v>
      </c>
      <c r="E3785" s="22" t="s">
        <v>61</v>
      </c>
      <c r="F3785" s="22" t="s">
        <v>37</v>
      </c>
      <c r="G3785" s="22" t="s">
        <v>63</v>
      </c>
      <c r="H3785" s="22" t="s">
        <v>59</v>
      </c>
      <c r="I3785" s="22" t="s">
        <v>117</v>
      </c>
      <c r="J3785" s="23">
        <v>12</v>
      </c>
      <c r="K3785" s="37">
        <v>0</v>
      </c>
      <c r="L3785" s="37">
        <v>2</v>
      </c>
      <c r="M3785" s="22">
        <f>IF(OR(ISBLANK(C3785),C3785=""),"",ROUND((C3785-B3785)*24,2))</f>
        <v>6.73</v>
      </c>
      <c r="N3785" s="40" t="str">
        <f>IF(OR(ISBLANK(C3785),C3785="",M3785=""),"In Progress",IF(M3785&lt;=J3785,"Met","Breached"))</f>
        <v>Met</v>
      </c>
    </row>
    <row r="3786" ht="19" customHeight="1" spans="1:14" x14ac:dyDescent="0.25">
      <c r="A3786" s="19" t="s">
        <v>3900</v>
      </c>
      <c r="B3786" s="33">
        <v>46248.79861111111</v>
      </c>
      <c r="C3786" s="33">
        <v>46251.85277777778</v>
      </c>
      <c r="D3786" s="19" t="s">
        <v>36</v>
      </c>
      <c r="E3786" s="19" t="s">
        <v>65</v>
      </c>
      <c r="F3786" s="19" t="s">
        <v>40</v>
      </c>
      <c r="G3786" s="19" t="s">
        <v>116</v>
      </c>
      <c r="H3786" s="19" t="s">
        <v>63</v>
      </c>
      <c r="I3786" s="19" t="s">
        <v>147</v>
      </c>
      <c r="J3786" s="20">
        <v>48</v>
      </c>
      <c r="K3786" s="34">
        <v>0</v>
      </c>
      <c r="L3786" s="34">
        <v>2</v>
      </c>
      <c r="M3786" s="19">
        <f>IF(OR(ISBLANK(C3786),C3786=""),"",ROUND((C3786-B3786)*24,2))</f>
        <v>73.3</v>
      </c>
      <c r="N3786" s="39" t="str">
        <f>IF(OR(ISBLANK(C3786),C3786="",M3786=""),"In Progress",IF(M3786&lt;=J3786,"Met","Breached"))</f>
        <v>Breached</v>
      </c>
    </row>
    <row r="3787" ht="19" customHeight="1" spans="1:14" x14ac:dyDescent="0.25">
      <c r="A3787" s="22" t="s">
        <v>3901</v>
      </c>
      <c r="B3787" s="36">
        <v>45690.15</v>
      </c>
      <c r="D3787" s="22" t="s">
        <v>42</v>
      </c>
      <c r="E3787" s="22" t="s">
        <v>65</v>
      </c>
      <c r="F3787" s="22" t="s">
        <v>37</v>
      </c>
      <c r="G3787" s="22" t="s">
        <v>116</v>
      </c>
      <c r="H3787" s="22" t="s">
        <v>67</v>
      </c>
      <c r="I3787" s="22" t="s">
        <v>111</v>
      </c>
      <c r="J3787" s="23">
        <v>48</v>
      </c>
      <c r="K3787" s="37">
        <v>0</v>
      </c>
      <c r="M3787" s="22" t="str">
        <f>IF(OR(ISBLANK(C3787),C3787=""),"",ROUND((C3787-B3787)*24,2))</f>
        <v/>
      </c>
      <c r="N3787" s="22" t="str">
        <f>IF(OR(ISBLANK(C3787),C3787="",M3787=""),"In Progress",IF(M3787&lt;=J3787,"Met","Breached"))</f>
        <v>In Progress</v>
      </c>
    </row>
    <row r="3788" ht="19" customHeight="1" spans="1:14" x14ac:dyDescent="0.25">
      <c r="A3788" s="19" t="s">
        <v>3902</v>
      </c>
      <c r="B3788" s="33">
        <v>46126.19791666667</v>
      </c>
      <c r="D3788" s="19" t="s">
        <v>39</v>
      </c>
      <c r="E3788" s="19" t="s">
        <v>69</v>
      </c>
      <c r="F3788" s="19" t="s">
        <v>43</v>
      </c>
      <c r="G3788" s="19" t="s">
        <v>121</v>
      </c>
      <c r="H3788" s="19" t="s">
        <v>59</v>
      </c>
      <c r="I3788" s="19" t="s">
        <v>147</v>
      </c>
      <c r="J3788" s="20">
        <v>120</v>
      </c>
      <c r="K3788" s="34">
        <v>0</v>
      </c>
      <c r="M3788" s="19" t="str">
        <f>IF(OR(ISBLANK(C3788),C3788=""),"",ROUND((C3788-B3788)*24,2))</f>
        <v/>
      </c>
      <c r="N3788" s="19" t="str">
        <f>IF(OR(ISBLANK(C3788),C3788="",M3788=""),"In Progress",IF(M3788&lt;=J3788,"Met","Breached"))</f>
        <v>In Progress</v>
      </c>
    </row>
    <row r="3789" ht="19" customHeight="1" spans="1:14" x14ac:dyDescent="0.25">
      <c r="A3789" s="22" t="s">
        <v>3903</v>
      </c>
      <c r="B3789" s="36">
        <v>45752.64444444445</v>
      </c>
      <c r="C3789" s="36">
        <v>45755.882638888885</v>
      </c>
      <c r="D3789" s="22" t="s">
        <v>33</v>
      </c>
      <c r="E3789" s="22" t="s">
        <v>65</v>
      </c>
      <c r="F3789" s="22" t="s">
        <v>43</v>
      </c>
      <c r="G3789" s="22" t="s">
        <v>116</v>
      </c>
      <c r="H3789" s="22" t="s">
        <v>59</v>
      </c>
      <c r="I3789" s="22" t="s">
        <v>114</v>
      </c>
      <c r="J3789" s="23">
        <v>48</v>
      </c>
      <c r="K3789" s="37">
        <v>0</v>
      </c>
      <c r="M3789" s="22">
        <f>IF(OR(ISBLANK(C3789),C3789=""),"",ROUND((C3789-B3789)*24,2))</f>
        <v>77.72</v>
      </c>
      <c r="N3789" s="38" t="str">
        <f>IF(OR(ISBLANK(C3789),C3789="",M3789=""),"In Progress",IF(M3789&lt;=J3789,"Met","Breached"))</f>
        <v>Breached</v>
      </c>
    </row>
    <row r="3790" ht="19" customHeight="1" spans="1:14" x14ac:dyDescent="0.25">
      <c r="A3790" s="19" t="s">
        <v>3904</v>
      </c>
      <c r="B3790" s="33">
        <v>46022.00486111111</v>
      </c>
      <c r="C3790" s="33">
        <v>46028.839583333334</v>
      </c>
      <c r="D3790" s="19" t="s">
        <v>33</v>
      </c>
      <c r="E3790" s="19" t="s">
        <v>69</v>
      </c>
      <c r="F3790" s="19" t="s">
        <v>43</v>
      </c>
      <c r="G3790" s="19" t="s">
        <v>121</v>
      </c>
      <c r="H3790" s="19" t="s">
        <v>67</v>
      </c>
      <c r="I3790" s="19" t="s">
        <v>117</v>
      </c>
      <c r="J3790" s="20">
        <v>120</v>
      </c>
      <c r="K3790" s="34">
        <v>0</v>
      </c>
      <c r="L3790" s="34">
        <v>5</v>
      </c>
      <c r="M3790" s="19">
        <f>IF(OR(ISBLANK(C3790),C3790=""),"",ROUND((C3790-B3790)*24,2))</f>
        <v>164.03</v>
      </c>
      <c r="N3790" s="39" t="str">
        <f>IF(OR(ISBLANK(C3790),C3790="",M3790=""),"In Progress",IF(M3790&lt;=J3790,"Met","Breached"))</f>
        <v>Breached</v>
      </c>
    </row>
    <row r="3791" ht="19" customHeight="1" spans="1:14" x14ac:dyDescent="0.25">
      <c r="A3791" s="22" t="s">
        <v>3905</v>
      </c>
      <c r="B3791" s="36">
        <v>46049.481944444444</v>
      </c>
      <c r="C3791" s="36">
        <v>46050.32847222222</v>
      </c>
      <c r="D3791" s="22" t="s">
        <v>33</v>
      </c>
      <c r="E3791" s="22" t="s">
        <v>61</v>
      </c>
      <c r="F3791" s="22" t="s">
        <v>37</v>
      </c>
      <c r="G3791" s="22" t="s">
        <v>110</v>
      </c>
      <c r="H3791" s="22" t="s">
        <v>63</v>
      </c>
      <c r="I3791" s="22" t="s">
        <v>114</v>
      </c>
      <c r="J3791" s="23">
        <v>12</v>
      </c>
      <c r="K3791" s="37">
        <v>0</v>
      </c>
      <c r="L3791" s="37">
        <v>2</v>
      </c>
      <c r="M3791" s="22">
        <f>IF(OR(ISBLANK(C3791),C3791=""),"",ROUND((C3791-B3791)*24,2))</f>
        <v>20.32</v>
      </c>
      <c r="N3791" s="38" t="str">
        <f>IF(OR(ISBLANK(C3791),C3791="",M3791=""),"In Progress",IF(M3791&lt;=J3791,"Met","Breached"))</f>
        <v>Breached</v>
      </c>
    </row>
    <row r="3792" ht="19" customHeight="1" spans="1:14" x14ac:dyDescent="0.25">
      <c r="A3792" s="19" t="s">
        <v>3906</v>
      </c>
      <c r="B3792" s="33">
        <v>45719.30347222222</v>
      </c>
      <c r="C3792" s="33">
        <v>45726.73125</v>
      </c>
      <c r="D3792" s="19" t="s">
        <v>33</v>
      </c>
      <c r="E3792" s="19" t="s">
        <v>69</v>
      </c>
      <c r="F3792" s="19" t="s">
        <v>43</v>
      </c>
      <c r="G3792" s="19" t="s">
        <v>121</v>
      </c>
      <c r="H3792" s="19" t="s">
        <v>59</v>
      </c>
      <c r="I3792" s="19" t="s">
        <v>147</v>
      </c>
      <c r="J3792" s="20">
        <v>120</v>
      </c>
      <c r="K3792" s="34">
        <v>0</v>
      </c>
      <c r="L3792" s="34">
        <v>5</v>
      </c>
      <c r="M3792" s="19">
        <f>IF(OR(ISBLANK(C3792),C3792=""),"",ROUND((C3792-B3792)*24,2))</f>
        <v>178.27</v>
      </c>
      <c r="N3792" s="39" t="str">
        <f>IF(OR(ISBLANK(C3792),C3792="",M3792=""),"In Progress",IF(M3792&lt;=J3792,"Met","Breached"))</f>
        <v>Breached</v>
      </c>
    </row>
    <row r="3793" ht="19" customHeight="1" spans="1:14" x14ac:dyDescent="0.25">
      <c r="A3793" s="22" t="s">
        <v>3907</v>
      </c>
      <c r="B3793" s="36">
        <v>46113.606944444444</v>
      </c>
      <c r="C3793" s="36">
        <v>46116.03333333333</v>
      </c>
      <c r="D3793" s="22" t="s">
        <v>33</v>
      </c>
      <c r="E3793" s="22" t="s">
        <v>65</v>
      </c>
      <c r="F3793" s="22" t="s">
        <v>43</v>
      </c>
      <c r="G3793" s="22" t="s">
        <v>110</v>
      </c>
      <c r="H3793" s="22" t="s">
        <v>63</v>
      </c>
      <c r="I3793" s="22" t="s">
        <v>147</v>
      </c>
      <c r="J3793" s="23">
        <v>48</v>
      </c>
      <c r="K3793" s="37">
        <v>1</v>
      </c>
      <c r="L3793" s="37">
        <v>3</v>
      </c>
      <c r="M3793" s="22">
        <f>IF(OR(ISBLANK(C3793),C3793=""),"",ROUND((C3793-B3793)*24,2))</f>
        <v>58.23</v>
      </c>
      <c r="N3793" s="38" t="str">
        <f>IF(OR(ISBLANK(C3793),C3793="",M3793=""),"In Progress",IF(M3793&lt;=J3793,"Met","Breached"))</f>
        <v>Breached</v>
      </c>
    </row>
    <row r="3794" ht="19" customHeight="1" spans="1:14" x14ac:dyDescent="0.25">
      <c r="A3794" s="19" t="s">
        <v>3908</v>
      </c>
      <c r="B3794" s="33">
        <v>46261.04861111111</v>
      </c>
      <c r="C3794" s="33">
        <v>46261.8125</v>
      </c>
      <c r="D3794" s="19" t="s">
        <v>36</v>
      </c>
      <c r="E3794" s="19" t="s">
        <v>65</v>
      </c>
      <c r="F3794" s="19" t="s">
        <v>45</v>
      </c>
      <c r="G3794" s="19" t="s">
        <v>126</v>
      </c>
      <c r="H3794" s="19" t="s">
        <v>59</v>
      </c>
      <c r="I3794" s="19" t="s">
        <v>108</v>
      </c>
      <c r="J3794" s="20">
        <v>48</v>
      </c>
      <c r="K3794" s="34">
        <v>0</v>
      </c>
      <c r="M3794" s="19">
        <f>IF(OR(ISBLANK(C3794),C3794=""),"",ROUND((C3794-B3794)*24,2))</f>
        <v>18.33</v>
      </c>
      <c r="N3794" s="35" t="str">
        <f>IF(OR(ISBLANK(C3794),C3794="",M3794=""),"In Progress",IF(M3794&lt;=J3794,"Met","Breached"))</f>
        <v>Met</v>
      </c>
    </row>
    <row r="3795" ht="19" customHeight="1" spans="1:14" x14ac:dyDescent="0.25">
      <c r="A3795" s="22" t="s">
        <v>3909</v>
      </c>
      <c r="B3795" s="36">
        <v>46000.93125</v>
      </c>
      <c r="C3795" s="36">
        <v>46002.990277777775</v>
      </c>
      <c r="D3795" s="22" t="s">
        <v>36</v>
      </c>
      <c r="E3795" s="22" t="s">
        <v>65</v>
      </c>
      <c r="F3795" s="22" t="s">
        <v>37</v>
      </c>
      <c r="G3795" s="22" t="s">
        <v>113</v>
      </c>
      <c r="H3795" s="22" t="s">
        <v>67</v>
      </c>
      <c r="I3795" s="22" t="s">
        <v>114</v>
      </c>
      <c r="J3795" s="23">
        <v>48</v>
      </c>
      <c r="K3795" s="37">
        <v>0</v>
      </c>
      <c r="L3795" s="37">
        <v>2</v>
      </c>
      <c r="M3795" s="22">
        <f>IF(OR(ISBLANK(C3795),C3795=""),"",ROUND((C3795-B3795)*24,2))</f>
        <v>49.42</v>
      </c>
      <c r="N3795" s="38" t="str">
        <f>IF(OR(ISBLANK(C3795),C3795="",M3795=""),"In Progress",IF(M3795&lt;=J3795,"Met","Breached"))</f>
        <v>Breached</v>
      </c>
    </row>
    <row r="3796" ht="19" customHeight="1" spans="1:14" x14ac:dyDescent="0.25">
      <c r="A3796" s="19" t="s">
        <v>3910</v>
      </c>
      <c r="B3796" s="33">
        <v>45672.44097222222</v>
      </c>
      <c r="C3796" s="33">
        <v>45673.82083333333</v>
      </c>
      <c r="D3796" s="19" t="s">
        <v>33</v>
      </c>
      <c r="E3796" s="19" t="s">
        <v>65</v>
      </c>
      <c r="F3796" s="19" t="s">
        <v>43</v>
      </c>
      <c r="G3796" s="19" t="s">
        <v>113</v>
      </c>
      <c r="H3796" s="19" t="s">
        <v>71</v>
      </c>
      <c r="I3796" s="19" t="s">
        <v>147</v>
      </c>
      <c r="J3796" s="20">
        <v>48</v>
      </c>
      <c r="K3796" s="34">
        <v>0</v>
      </c>
      <c r="L3796" s="34">
        <v>5</v>
      </c>
      <c r="M3796" s="19">
        <f>IF(OR(ISBLANK(C3796),C3796=""),"",ROUND((C3796-B3796)*24,2))</f>
        <v>33.12</v>
      </c>
      <c r="N3796" s="35" t="str">
        <f>IF(OR(ISBLANK(C3796),C3796="",M3796=""),"In Progress",IF(M3796&lt;=J3796,"Met","Breached"))</f>
        <v>Met</v>
      </c>
    </row>
    <row r="3797" ht="19" customHeight="1" spans="1:14" x14ac:dyDescent="0.25">
      <c r="A3797" s="22" t="s">
        <v>3911</v>
      </c>
      <c r="B3797" s="36">
        <v>46217.38333333333</v>
      </c>
      <c r="D3797" s="22" t="s">
        <v>39</v>
      </c>
      <c r="E3797" s="22" t="s">
        <v>65</v>
      </c>
      <c r="F3797" s="22" t="s">
        <v>34</v>
      </c>
      <c r="G3797" s="22" t="s">
        <v>110</v>
      </c>
      <c r="H3797" s="22" t="s">
        <v>71</v>
      </c>
      <c r="I3797" s="22" t="s">
        <v>117</v>
      </c>
      <c r="J3797" s="23">
        <v>48</v>
      </c>
      <c r="K3797" s="37">
        <v>0</v>
      </c>
      <c r="M3797" s="22" t="str">
        <f>IF(OR(ISBLANK(C3797),C3797=""),"",ROUND((C3797-B3797)*24,2))</f>
        <v/>
      </c>
      <c r="N3797" s="22" t="str">
        <f>IF(OR(ISBLANK(C3797),C3797="",M3797=""),"In Progress",IF(M3797&lt;=J3797,"Met","Breached"))</f>
        <v>In Progress</v>
      </c>
    </row>
    <row r="3798" ht="19" customHeight="1" spans="1:14" x14ac:dyDescent="0.25">
      <c r="A3798" s="19" t="s">
        <v>3912</v>
      </c>
      <c r="B3798" s="33">
        <v>46126.472916666666</v>
      </c>
      <c r="C3798" s="33">
        <v>46129.91111111111</v>
      </c>
      <c r="D3798" s="19" t="s">
        <v>33</v>
      </c>
      <c r="E3798" s="19" t="s">
        <v>65</v>
      </c>
      <c r="F3798" s="19" t="s">
        <v>34</v>
      </c>
      <c r="G3798" s="19" t="s">
        <v>116</v>
      </c>
      <c r="H3798" s="19" t="s">
        <v>59</v>
      </c>
      <c r="I3798" s="19" t="s">
        <v>117</v>
      </c>
      <c r="J3798" s="20">
        <v>48</v>
      </c>
      <c r="K3798" s="34">
        <v>0</v>
      </c>
      <c r="L3798" s="34">
        <v>1</v>
      </c>
      <c r="M3798" s="19">
        <f>IF(OR(ISBLANK(C3798),C3798=""),"",ROUND((C3798-B3798)*24,2))</f>
        <v>82.52</v>
      </c>
      <c r="N3798" s="39" t="str">
        <f>IF(OR(ISBLANK(C3798),C3798="",M3798=""),"In Progress",IF(M3798&lt;=J3798,"Met","Breached"))</f>
        <v>Breached</v>
      </c>
    </row>
    <row r="3799" ht="19" customHeight="1" spans="1:14" x14ac:dyDescent="0.25">
      <c r="A3799" s="22" t="s">
        <v>3913</v>
      </c>
      <c r="B3799" s="36">
        <v>46155.93680555555</v>
      </c>
      <c r="D3799" s="22" t="s">
        <v>39</v>
      </c>
      <c r="E3799" s="22" t="s">
        <v>65</v>
      </c>
      <c r="F3799" s="22" t="s">
        <v>37</v>
      </c>
      <c r="G3799" s="22" t="s">
        <v>113</v>
      </c>
      <c r="H3799" s="22" t="s">
        <v>71</v>
      </c>
      <c r="I3799" s="22" t="s">
        <v>114</v>
      </c>
      <c r="J3799" s="23">
        <v>48</v>
      </c>
      <c r="K3799" s="37">
        <v>0</v>
      </c>
      <c r="M3799" s="22" t="str">
        <f>IF(OR(ISBLANK(C3799),C3799=""),"",ROUND((C3799-B3799)*24,2))</f>
        <v/>
      </c>
      <c r="N3799" s="22" t="str">
        <f>IF(OR(ISBLANK(C3799),C3799="",M3799=""),"In Progress",IF(M3799&lt;=J3799,"Met","Breached"))</f>
        <v>In Progress</v>
      </c>
    </row>
    <row r="3800" ht="19" customHeight="1" spans="1:14" x14ac:dyDescent="0.25">
      <c r="A3800" s="19" t="s">
        <v>3914</v>
      </c>
      <c r="B3800" s="33">
        <v>46272.50833333333</v>
      </c>
      <c r="C3800" s="33">
        <v>46274.351388888885</v>
      </c>
      <c r="D3800" s="19" t="s">
        <v>33</v>
      </c>
      <c r="E3800" s="19" t="s">
        <v>65</v>
      </c>
      <c r="F3800" s="19" t="s">
        <v>43</v>
      </c>
      <c r="G3800" s="19" t="s">
        <v>121</v>
      </c>
      <c r="H3800" s="19" t="s">
        <v>67</v>
      </c>
      <c r="I3800" s="19" t="s">
        <v>108</v>
      </c>
      <c r="J3800" s="20">
        <v>48</v>
      </c>
      <c r="K3800" s="34">
        <v>0</v>
      </c>
      <c r="M3800" s="19">
        <f>IF(OR(ISBLANK(C3800),C3800=""),"",ROUND((C3800-B3800)*24,2))</f>
        <v>44.23</v>
      </c>
      <c r="N3800" s="35" t="str">
        <f>IF(OR(ISBLANK(C3800),C3800="",M3800=""),"In Progress",IF(M3800&lt;=J3800,"Met","Breached"))</f>
        <v>Met</v>
      </c>
    </row>
    <row r="3801" ht="19" customHeight="1" spans="1:14" x14ac:dyDescent="0.25">
      <c r="A3801" s="22" t="s">
        <v>3915</v>
      </c>
      <c r="B3801" s="36">
        <v>46083.87430555555</v>
      </c>
      <c r="C3801" s="36">
        <v>46086.40972222222</v>
      </c>
      <c r="D3801" s="22" t="s">
        <v>36</v>
      </c>
      <c r="E3801" s="22" t="s">
        <v>65</v>
      </c>
      <c r="F3801" s="22" t="s">
        <v>40</v>
      </c>
      <c r="G3801" s="22" t="s">
        <v>113</v>
      </c>
      <c r="H3801" s="22" t="s">
        <v>67</v>
      </c>
      <c r="I3801" s="22" t="s">
        <v>114</v>
      </c>
      <c r="J3801" s="23">
        <v>48</v>
      </c>
      <c r="K3801" s="37">
        <v>0</v>
      </c>
      <c r="L3801" s="37">
        <v>5</v>
      </c>
      <c r="M3801" s="22">
        <f>IF(OR(ISBLANK(C3801),C3801=""),"",ROUND((C3801-B3801)*24,2))</f>
        <v>60.85</v>
      </c>
      <c r="N3801" s="38" t="str">
        <f>IF(OR(ISBLANK(C3801),C3801="",M3801=""),"In Progress",IF(M3801&lt;=J3801,"Met","Breached"))</f>
        <v>Breached</v>
      </c>
    </row>
    <row r="3802" ht="19" customHeight="1" spans="1:14" x14ac:dyDescent="0.25">
      <c r="A3802" s="19" t="s">
        <v>3916</v>
      </c>
      <c r="B3802" s="33">
        <v>45974.98055555555</v>
      </c>
      <c r="C3802" s="33">
        <v>45975.65625</v>
      </c>
      <c r="D3802" s="19" t="s">
        <v>33</v>
      </c>
      <c r="E3802" s="19" t="s">
        <v>61</v>
      </c>
      <c r="F3802" s="19" t="s">
        <v>45</v>
      </c>
      <c r="G3802" s="19" t="s">
        <v>121</v>
      </c>
      <c r="H3802" s="19" t="s">
        <v>59</v>
      </c>
      <c r="I3802" s="19" t="s">
        <v>108</v>
      </c>
      <c r="J3802" s="20">
        <v>12</v>
      </c>
      <c r="K3802" s="34">
        <v>0</v>
      </c>
      <c r="M3802" s="19">
        <f>IF(OR(ISBLANK(C3802),C3802=""),"",ROUND((C3802-B3802)*24,2))</f>
        <v>16.22</v>
      </c>
      <c r="N3802" s="39" t="str">
        <f>IF(OR(ISBLANK(C3802),C3802="",M3802=""),"In Progress",IF(M3802&lt;=J3802,"Met","Breached"))</f>
        <v>Breached</v>
      </c>
    </row>
    <row r="3803" ht="19" customHeight="1" spans="1:14" x14ac:dyDescent="0.25">
      <c r="A3803" s="22" t="s">
        <v>3917</v>
      </c>
      <c r="B3803" s="36">
        <v>46137.80763888889</v>
      </c>
      <c r="C3803" s="36">
        <v>46138.9875</v>
      </c>
      <c r="D3803" s="22" t="s">
        <v>33</v>
      </c>
      <c r="E3803" s="22" t="s">
        <v>65</v>
      </c>
      <c r="F3803" s="22" t="s">
        <v>45</v>
      </c>
      <c r="G3803" s="22" t="s">
        <v>121</v>
      </c>
      <c r="H3803" s="22" t="s">
        <v>59</v>
      </c>
      <c r="I3803" s="22" t="s">
        <v>117</v>
      </c>
      <c r="J3803" s="23">
        <v>48</v>
      </c>
      <c r="K3803" s="37">
        <v>0</v>
      </c>
      <c r="L3803" s="37">
        <v>3</v>
      </c>
      <c r="M3803" s="22">
        <f>IF(OR(ISBLANK(C3803),C3803=""),"",ROUND((C3803-B3803)*24,2))</f>
        <v>28.32</v>
      </c>
      <c r="N3803" s="40" t="str">
        <f>IF(OR(ISBLANK(C3803),C3803="",M3803=""),"In Progress",IF(M3803&lt;=J3803,"Met","Breached"))</f>
        <v>Met</v>
      </c>
    </row>
    <row r="3804" ht="19" customHeight="1" spans="1:14" x14ac:dyDescent="0.25">
      <c r="A3804" s="19" t="s">
        <v>3918</v>
      </c>
      <c r="B3804" s="33">
        <v>46100.93194444444</v>
      </c>
      <c r="C3804" s="33">
        <v>46101.11944444444</v>
      </c>
      <c r="D3804" s="19" t="s">
        <v>33</v>
      </c>
      <c r="E3804" s="19" t="s">
        <v>61</v>
      </c>
      <c r="F3804" s="19" t="s">
        <v>45</v>
      </c>
      <c r="G3804" s="19" t="s">
        <v>126</v>
      </c>
      <c r="H3804" s="19" t="s">
        <v>59</v>
      </c>
      <c r="I3804" s="19" t="s">
        <v>117</v>
      </c>
      <c r="J3804" s="20">
        <v>12</v>
      </c>
      <c r="K3804" s="34">
        <v>0</v>
      </c>
      <c r="M3804" s="19">
        <f>IF(OR(ISBLANK(C3804),C3804=""),"",ROUND((C3804-B3804)*24,2))</f>
        <v>4.5</v>
      </c>
      <c r="N3804" s="35" t="str">
        <f>IF(OR(ISBLANK(C3804),C3804="",M3804=""),"In Progress",IF(M3804&lt;=J3804,"Met","Breached"))</f>
        <v>Met</v>
      </c>
    </row>
    <row r="3805" ht="19" customHeight="1" spans="1:14" x14ac:dyDescent="0.25">
      <c r="A3805" s="22" t="s">
        <v>3919</v>
      </c>
      <c r="B3805" s="36">
        <v>45755.35833333334</v>
      </c>
      <c r="D3805" s="22" t="s">
        <v>39</v>
      </c>
      <c r="E3805" s="22" t="s">
        <v>65</v>
      </c>
      <c r="F3805" s="22" t="s">
        <v>40</v>
      </c>
      <c r="G3805" s="22" t="s">
        <v>63</v>
      </c>
      <c r="H3805" s="22" t="s">
        <v>59</v>
      </c>
      <c r="I3805" s="22" t="s">
        <v>123</v>
      </c>
      <c r="J3805" s="23">
        <v>48</v>
      </c>
      <c r="K3805" s="37">
        <v>0</v>
      </c>
      <c r="M3805" s="22" t="str">
        <f>IF(OR(ISBLANK(C3805),C3805=""),"",ROUND((C3805-B3805)*24,2))</f>
        <v/>
      </c>
      <c r="N3805" s="22" t="str">
        <f>IF(OR(ISBLANK(C3805),C3805="",M3805=""),"In Progress",IF(M3805&lt;=J3805,"Met","Breached"))</f>
        <v>In Progress</v>
      </c>
    </row>
    <row r="3806" ht="19" customHeight="1" spans="1:14" x14ac:dyDescent="0.25">
      <c r="A3806" s="19" t="s">
        <v>3920</v>
      </c>
      <c r="B3806" s="33">
        <v>45736.36875</v>
      </c>
      <c r="C3806" s="33">
        <v>45739.04652777778</v>
      </c>
      <c r="D3806" s="19" t="s">
        <v>33</v>
      </c>
      <c r="E3806" s="19" t="s">
        <v>65</v>
      </c>
      <c r="F3806" s="19" t="s">
        <v>40</v>
      </c>
      <c r="G3806" s="19" t="s">
        <v>121</v>
      </c>
      <c r="H3806" s="19" t="s">
        <v>59</v>
      </c>
      <c r="I3806" s="19" t="s">
        <v>117</v>
      </c>
      <c r="J3806" s="20">
        <v>48</v>
      </c>
      <c r="K3806" s="34">
        <v>1</v>
      </c>
      <c r="L3806" s="34">
        <v>3</v>
      </c>
      <c r="M3806" s="19">
        <f>IF(OR(ISBLANK(C3806),C3806=""),"",ROUND((C3806-B3806)*24,2))</f>
        <v>64.27</v>
      </c>
      <c r="N3806" s="39" t="str">
        <f>IF(OR(ISBLANK(C3806),C3806="",M3806=""),"In Progress",IF(M3806&lt;=J3806,"Met","Breached"))</f>
        <v>Breached</v>
      </c>
    </row>
    <row r="3807" ht="19" customHeight="1" spans="1:14" x14ac:dyDescent="0.25">
      <c r="A3807" s="22" t="s">
        <v>3921</v>
      </c>
      <c r="B3807" s="36">
        <v>46210.54513888889</v>
      </c>
      <c r="D3807" s="22" t="s">
        <v>39</v>
      </c>
      <c r="E3807" s="22" t="s">
        <v>65</v>
      </c>
      <c r="F3807" s="22" t="s">
        <v>34</v>
      </c>
      <c r="G3807" s="22" t="s">
        <v>116</v>
      </c>
      <c r="H3807" s="22" t="s">
        <v>67</v>
      </c>
      <c r="I3807" s="22" t="s">
        <v>147</v>
      </c>
      <c r="J3807" s="23">
        <v>48</v>
      </c>
      <c r="K3807" s="37">
        <v>0</v>
      </c>
      <c r="M3807" s="22" t="str">
        <f>IF(OR(ISBLANK(C3807),C3807=""),"",ROUND((C3807-B3807)*24,2))</f>
        <v/>
      </c>
      <c r="N3807" s="22" t="str">
        <f>IF(OR(ISBLANK(C3807),C3807="",M3807=""),"In Progress",IF(M3807&lt;=J3807,"Met","Breached"))</f>
        <v>In Progress</v>
      </c>
    </row>
    <row r="3808" ht="19" customHeight="1" spans="1:14" x14ac:dyDescent="0.25">
      <c r="A3808" s="19" t="s">
        <v>3922</v>
      </c>
      <c r="B3808" s="33">
        <v>45693.040972222225</v>
      </c>
      <c r="D3808" s="19" t="s">
        <v>42</v>
      </c>
      <c r="E3808" s="19" t="s">
        <v>65</v>
      </c>
      <c r="F3808" s="19" t="s">
        <v>37</v>
      </c>
      <c r="G3808" s="19" t="s">
        <v>126</v>
      </c>
      <c r="H3808" s="19" t="s">
        <v>67</v>
      </c>
      <c r="I3808" s="19" t="s">
        <v>123</v>
      </c>
      <c r="J3808" s="20">
        <v>48</v>
      </c>
      <c r="K3808" s="34">
        <v>0</v>
      </c>
      <c r="M3808" s="19" t="str">
        <f>IF(OR(ISBLANK(C3808),C3808=""),"",ROUND((C3808-B3808)*24,2))</f>
        <v/>
      </c>
      <c r="N3808" s="19" t="str">
        <f>IF(OR(ISBLANK(C3808),C3808="",M3808=""),"In Progress",IF(M3808&lt;=J3808,"Met","Breached"))</f>
        <v>In Progress</v>
      </c>
    </row>
    <row r="3809" ht="19" customHeight="1" spans="1:14" x14ac:dyDescent="0.25">
      <c r="A3809" s="22" t="s">
        <v>3923</v>
      </c>
      <c r="B3809" s="36">
        <v>45683.67013888889</v>
      </c>
      <c r="C3809" s="36">
        <v>45683.79375</v>
      </c>
      <c r="D3809" s="22" t="s">
        <v>33</v>
      </c>
      <c r="E3809" s="22" t="s">
        <v>57</v>
      </c>
      <c r="F3809" s="22" t="s">
        <v>40</v>
      </c>
      <c r="G3809" s="22" t="s">
        <v>126</v>
      </c>
      <c r="H3809" s="22" t="s">
        <v>59</v>
      </c>
      <c r="I3809" s="22" t="s">
        <v>108</v>
      </c>
      <c r="J3809" s="23">
        <v>4</v>
      </c>
      <c r="K3809" s="37">
        <v>0</v>
      </c>
      <c r="L3809" s="37">
        <v>5</v>
      </c>
      <c r="M3809" s="22">
        <f>IF(OR(ISBLANK(C3809),C3809=""),"",ROUND((C3809-B3809)*24,2))</f>
        <v>2.97</v>
      </c>
      <c r="N3809" s="40" t="str">
        <f>IF(OR(ISBLANK(C3809),C3809="",M3809=""),"In Progress",IF(M3809&lt;=J3809,"Met","Breached"))</f>
        <v>Met</v>
      </c>
    </row>
    <row r="3810" ht="19" customHeight="1" spans="1:14" x14ac:dyDescent="0.25">
      <c r="A3810" s="19" t="s">
        <v>3924</v>
      </c>
      <c r="B3810" s="33">
        <v>45930.475</v>
      </c>
      <c r="D3810" s="19" t="s">
        <v>39</v>
      </c>
      <c r="E3810" s="19" t="s">
        <v>65</v>
      </c>
      <c r="F3810" s="19" t="s">
        <v>34</v>
      </c>
      <c r="G3810" s="19" t="s">
        <v>113</v>
      </c>
      <c r="H3810" s="19" t="s">
        <v>59</v>
      </c>
      <c r="I3810" s="19" t="s">
        <v>111</v>
      </c>
      <c r="J3810" s="20">
        <v>48</v>
      </c>
      <c r="K3810" s="34">
        <v>0</v>
      </c>
      <c r="M3810" s="19" t="str">
        <f>IF(OR(ISBLANK(C3810),C3810=""),"",ROUND((C3810-B3810)*24,2))</f>
        <v/>
      </c>
      <c r="N3810" s="19" t="str">
        <f>IF(OR(ISBLANK(C3810),C3810="",M3810=""),"In Progress",IF(M3810&lt;=J3810,"Met","Breached"))</f>
        <v>In Progress</v>
      </c>
    </row>
    <row r="3811" ht="19" customHeight="1" spans="1:14" x14ac:dyDescent="0.25">
      <c r="A3811" s="22" t="s">
        <v>3925</v>
      </c>
      <c r="B3811" s="36">
        <v>45771.71388888889</v>
      </c>
      <c r="D3811" s="22" t="s">
        <v>39</v>
      </c>
      <c r="E3811" s="22" t="s">
        <v>65</v>
      </c>
      <c r="F3811" s="22" t="s">
        <v>34</v>
      </c>
      <c r="G3811" s="22" t="s">
        <v>110</v>
      </c>
      <c r="H3811" s="22" t="s">
        <v>71</v>
      </c>
      <c r="I3811" s="22" t="s">
        <v>111</v>
      </c>
      <c r="J3811" s="23">
        <v>48</v>
      </c>
      <c r="K3811" s="37">
        <v>0</v>
      </c>
      <c r="M3811" s="22" t="str">
        <f>IF(OR(ISBLANK(C3811),C3811=""),"",ROUND((C3811-B3811)*24,2))</f>
        <v/>
      </c>
      <c r="N3811" s="22" t="str">
        <f>IF(OR(ISBLANK(C3811),C3811="",M3811=""),"In Progress",IF(M3811&lt;=J3811,"Met","Breached"))</f>
        <v>In Progress</v>
      </c>
    </row>
    <row r="3812" ht="19" customHeight="1" spans="1:14" x14ac:dyDescent="0.25">
      <c r="A3812" s="19" t="s">
        <v>3926</v>
      </c>
      <c r="B3812" s="33">
        <v>46017.00902777778</v>
      </c>
      <c r="D3812" s="19" t="s">
        <v>42</v>
      </c>
      <c r="E3812" s="19" t="s">
        <v>61</v>
      </c>
      <c r="F3812" s="19" t="s">
        <v>34</v>
      </c>
      <c r="G3812" s="19" t="s">
        <v>113</v>
      </c>
      <c r="H3812" s="19" t="s">
        <v>63</v>
      </c>
      <c r="I3812" s="19" t="s">
        <v>117</v>
      </c>
      <c r="J3812" s="20">
        <v>12</v>
      </c>
      <c r="K3812" s="34">
        <v>0</v>
      </c>
      <c r="M3812" s="19" t="str">
        <f>IF(OR(ISBLANK(C3812),C3812=""),"",ROUND((C3812-B3812)*24,2))</f>
        <v/>
      </c>
      <c r="N3812" s="19" t="str">
        <f>IF(OR(ISBLANK(C3812),C3812="",M3812=""),"In Progress",IF(M3812&lt;=J3812,"Met","Breached"))</f>
        <v>In Progress</v>
      </c>
    </row>
    <row r="3813" ht="19" customHeight="1" spans="1:14" x14ac:dyDescent="0.25">
      <c r="A3813" s="22" t="s">
        <v>3927</v>
      </c>
      <c r="B3813" s="36">
        <v>46211.48263888889</v>
      </c>
      <c r="C3813" s="36">
        <v>46211.65347222222</v>
      </c>
      <c r="D3813" s="22" t="s">
        <v>33</v>
      </c>
      <c r="E3813" s="22" t="s">
        <v>61</v>
      </c>
      <c r="F3813" s="22" t="s">
        <v>40</v>
      </c>
      <c r="G3813" s="22" t="s">
        <v>121</v>
      </c>
      <c r="H3813" s="22" t="s">
        <v>59</v>
      </c>
      <c r="I3813" s="22" t="s">
        <v>123</v>
      </c>
      <c r="J3813" s="23">
        <v>12</v>
      </c>
      <c r="K3813" s="37">
        <v>0</v>
      </c>
      <c r="M3813" s="22">
        <f>IF(OR(ISBLANK(C3813),C3813=""),"",ROUND((C3813-B3813)*24,2))</f>
        <v>4.1</v>
      </c>
      <c r="N3813" s="40" t="str">
        <f>IF(OR(ISBLANK(C3813),C3813="",M3813=""),"In Progress",IF(M3813&lt;=J3813,"Met","Breached"))</f>
        <v>Met</v>
      </c>
    </row>
    <row r="3814" ht="19" customHeight="1" spans="1:14" x14ac:dyDescent="0.25">
      <c r="A3814" s="19" t="s">
        <v>3928</v>
      </c>
      <c r="B3814" s="33">
        <v>46189.132638888885</v>
      </c>
      <c r="C3814" s="33">
        <v>46189.92222222222</v>
      </c>
      <c r="D3814" s="19" t="s">
        <v>33</v>
      </c>
      <c r="E3814" s="19" t="s">
        <v>61</v>
      </c>
      <c r="F3814" s="19" t="s">
        <v>34</v>
      </c>
      <c r="G3814" s="19" t="s">
        <v>121</v>
      </c>
      <c r="H3814" s="19" t="s">
        <v>71</v>
      </c>
      <c r="I3814" s="19" t="s">
        <v>117</v>
      </c>
      <c r="J3814" s="20">
        <v>12</v>
      </c>
      <c r="K3814" s="34">
        <v>0</v>
      </c>
      <c r="L3814" s="34">
        <v>1</v>
      </c>
      <c r="M3814" s="19">
        <f>IF(OR(ISBLANK(C3814),C3814=""),"",ROUND((C3814-B3814)*24,2))</f>
        <v>18.95</v>
      </c>
      <c r="N3814" s="39" t="str">
        <f>IF(OR(ISBLANK(C3814),C3814="",M3814=""),"In Progress",IF(M3814&lt;=J3814,"Met","Breached"))</f>
        <v>Breached</v>
      </c>
    </row>
    <row r="3815" ht="19" customHeight="1" spans="1:14" x14ac:dyDescent="0.25">
      <c r="A3815" s="22" t="s">
        <v>3929</v>
      </c>
      <c r="B3815" s="36">
        <v>45854.34652777778</v>
      </c>
      <c r="D3815" s="22" t="s">
        <v>39</v>
      </c>
      <c r="E3815" s="22" t="s">
        <v>61</v>
      </c>
      <c r="F3815" s="22" t="s">
        <v>45</v>
      </c>
      <c r="G3815" s="22" t="s">
        <v>121</v>
      </c>
      <c r="H3815" s="22" t="s">
        <v>63</v>
      </c>
      <c r="I3815" s="22" t="s">
        <v>147</v>
      </c>
      <c r="J3815" s="23">
        <v>12</v>
      </c>
      <c r="K3815" s="37">
        <v>0</v>
      </c>
      <c r="M3815" s="22" t="str">
        <f>IF(OR(ISBLANK(C3815),C3815=""),"",ROUND((C3815-B3815)*24,2))</f>
        <v/>
      </c>
      <c r="N3815" s="22" t="str">
        <f>IF(OR(ISBLANK(C3815),C3815="",M3815=""),"In Progress",IF(M3815&lt;=J3815,"Met","Breached"))</f>
        <v>In Progress</v>
      </c>
    </row>
    <row r="3816" ht="19" customHeight="1" spans="1:14" x14ac:dyDescent="0.25">
      <c r="A3816" s="19" t="s">
        <v>3930</v>
      </c>
      <c r="B3816" s="33">
        <v>45916.74652777778</v>
      </c>
      <c r="D3816" s="19" t="s">
        <v>39</v>
      </c>
      <c r="E3816" s="19" t="s">
        <v>69</v>
      </c>
      <c r="F3816" s="19" t="s">
        <v>43</v>
      </c>
      <c r="G3816" s="19" t="s">
        <v>113</v>
      </c>
      <c r="H3816" s="19" t="s">
        <v>59</v>
      </c>
      <c r="I3816" s="19" t="s">
        <v>117</v>
      </c>
      <c r="J3816" s="20">
        <v>120</v>
      </c>
      <c r="K3816" s="34">
        <v>0</v>
      </c>
      <c r="M3816" s="19" t="str">
        <f>IF(OR(ISBLANK(C3816),C3816=""),"",ROUND((C3816-B3816)*24,2))</f>
        <v/>
      </c>
      <c r="N3816" s="19" t="str">
        <f>IF(OR(ISBLANK(C3816),C3816="",M3816=""),"In Progress",IF(M3816&lt;=J3816,"Met","Breached"))</f>
        <v>In Progress</v>
      </c>
    </row>
    <row r="3817" ht="19" customHeight="1" spans="1:14" x14ac:dyDescent="0.25">
      <c r="A3817" s="22" t="s">
        <v>3931</v>
      </c>
      <c r="B3817" s="36">
        <v>45988.50486111111</v>
      </c>
      <c r="C3817" s="36">
        <v>45989.226388888885</v>
      </c>
      <c r="D3817" s="22" t="s">
        <v>33</v>
      </c>
      <c r="E3817" s="22" t="s">
        <v>65</v>
      </c>
      <c r="F3817" s="22" t="s">
        <v>34</v>
      </c>
      <c r="G3817" s="22" t="s">
        <v>121</v>
      </c>
      <c r="H3817" s="22" t="s">
        <v>59</v>
      </c>
      <c r="I3817" s="22" t="s">
        <v>117</v>
      </c>
      <c r="J3817" s="23">
        <v>48</v>
      </c>
      <c r="K3817" s="37">
        <v>0</v>
      </c>
      <c r="M3817" s="22">
        <f>IF(OR(ISBLANK(C3817),C3817=""),"",ROUND((C3817-B3817)*24,2))</f>
        <v>17.32</v>
      </c>
      <c r="N3817" s="40" t="str">
        <f>IF(OR(ISBLANK(C3817),C3817="",M3817=""),"In Progress",IF(M3817&lt;=J3817,"Met","Breached"))</f>
        <v>Met</v>
      </c>
    </row>
    <row r="3818" ht="19" customHeight="1" spans="1:14" x14ac:dyDescent="0.25">
      <c r="A3818" s="19" t="s">
        <v>3932</v>
      </c>
      <c r="B3818" s="33">
        <v>45995.697222222225</v>
      </c>
      <c r="D3818" s="19" t="s">
        <v>39</v>
      </c>
      <c r="E3818" s="19" t="s">
        <v>65</v>
      </c>
      <c r="F3818" s="19" t="s">
        <v>45</v>
      </c>
      <c r="G3818" s="19" t="s">
        <v>121</v>
      </c>
      <c r="H3818" s="19" t="s">
        <v>59</v>
      </c>
      <c r="I3818" s="19" t="s">
        <v>117</v>
      </c>
      <c r="J3818" s="20">
        <v>48</v>
      </c>
      <c r="K3818" s="34">
        <v>0</v>
      </c>
      <c r="M3818" s="19" t="str">
        <f>IF(OR(ISBLANK(C3818),C3818=""),"",ROUND((C3818-B3818)*24,2))</f>
        <v/>
      </c>
      <c r="N3818" s="19" t="str">
        <f>IF(OR(ISBLANK(C3818),C3818="",M3818=""),"In Progress",IF(M3818&lt;=J3818,"Met","Breached"))</f>
        <v>In Progress</v>
      </c>
    </row>
    <row r="3819" ht="19" customHeight="1" spans="1:14" x14ac:dyDescent="0.25">
      <c r="A3819" s="22" t="s">
        <v>3933</v>
      </c>
      <c r="B3819" s="36">
        <v>46278.25555555556</v>
      </c>
      <c r="C3819" s="36">
        <v>46279.35416666667</v>
      </c>
      <c r="D3819" s="22" t="s">
        <v>33</v>
      </c>
      <c r="E3819" s="22" t="s">
        <v>65</v>
      </c>
      <c r="F3819" s="22" t="s">
        <v>34</v>
      </c>
      <c r="G3819" s="22" t="s">
        <v>110</v>
      </c>
      <c r="H3819" s="22" t="s">
        <v>63</v>
      </c>
      <c r="I3819" s="22" t="s">
        <v>147</v>
      </c>
      <c r="J3819" s="23">
        <v>48</v>
      </c>
      <c r="K3819" s="37">
        <v>0</v>
      </c>
      <c r="L3819" s="37">
        <v>3</v>
      </c>
      <c r="M3819" s="22">
        <f>IF(OR(ISBLANK(C3819),C3819=""),"",ROUND((C3819-B3819)*24,2))</f>
        <v>26.37</v>
      </c>
      <c r="N3819" s="40" t="str">
        <f>IF(OR(ISBLANK(C3819),C3819="",M3819=""),"In Progress",IF(M3819&lt;=J3819,"Met","Breached"))</f>
        <v>Met</v>
      </c>
    </row>
    <row r="3820" ht="19" customHeight="1" spans="1:14" x14ac:dyDescent="0.25">
      <c r="A3820" s="19" t="s">
        <v>3934</v>
      </c>
      <c r="B3820" s="33">
        <v>45778.94652777778</v>
      </c>
      <c r="C3820" s="33">
        <v>45782.39583333333</v>
      </c>
      <c r="D3820" s="19" t="s">
        <v>36</v>
      </c>
      <c r="E3820" s="19" t="s">
        <v>69</v>
      </c>
      <c r="F3820" s="19" t="s">
        <v>37</v>
      </c>
      <c r="G3820" s="19" t="s">
        <v>116</v>
      </c>
      <c r="H3820" s="19" t="s">
        <v>59</v>
      </c>
      <c r="I3820" s="19" t="s">
        <v>147</v>
      </c>
      <c r="J3820" s="20">
        <v>120</v>
      </c>
      <c r="K3820" s="34">
        <v>0</v>
      </c>
      <c r="L3820" s="34">
        <v>4</v>
      </c>
      <c r="M3820" s="19">
        <f>IF(OR(ISBLANK(C3820),C3820=""),"",ROUND((C3820-B3820)*24,2))</f>
        <v>82.78</v>
      </c>
      <c r="N3820" s="35" t="str">
        <f>IF(OR(ISBLANK(C3820),C3820="",M3820=""),"In Progress",IF(M3820&lt;=J3820,"Met","Breached"))</f>
        <v>Met</v>
      </c>
    </row>
    <row r="3821" ht="19" customHeight="1" spans="1:14" x14ac:dyDescent="0.25">
      <c r="A3821" s="22" t="s">
        <v>3935</v>
      </c>
      <c r="B3821" s="36">
        <v>45938.77569444444</v>
      </c>
      <c r="C3821" s="36">
        <v>45942.231944444444</v>
      </c>
      <c r="D3821" s="22" t="s">
        <v>33</v>
      </c>
      <c r="E3821" s="22" t="s">
        <v>65</v>
      </c>
      <c r="F3821" s="22" t="s">
        <v>37</v>
      </c>
      <c r="G3821" s="22" t="s">
        <v>113</v>
      </c>
      <c r="H3821" s="22" t="s">
        <v>59</v>
      </c>
      <c r="I3821" s="22" t="s">
        <v>123</v>
      </c>
      <c r="J3821" s="23">
        <v>48</v>
      </c>
      <c r="K3821" s="37">
        <v>0</v>
      </c>
      <c r="L3821" s="37">
        <v>1</v>
      </c>
      <c r="M3821" s="22">
        <f>IF(OR(ISBLANK(C3821),C3821=""),"",ROUND((C3821-B3821)*24,2))</f>
        <v>82.95</v>
      </c>
      <c r="N3821" s="38" t="str">
        <f>IF(OR(ISBLANK(C3821),C3821="",M3821=""),"In Progress",IF(M3821&lt;=J3821,"Met","Breached"))</f>
        <v>Breached</v>
      </c>
    </row>
    <row r="3822" ht="19" customHeight="1" spans="1:14" x14ac:dyDescent="0.25">
      <c r="A3822" s="19" t="s">
        <v>3936</v>
      </c>
      <c r="B3822" s="33">
        <v>45993.25486111111</v>
      </c>
      <c r="C3822" s="33">
        <v>45994.847916666666</v>
      </c>
      <c r="D3822" s="19" t="s">
        <v>36</v>
      </c>
      <c r="E3822" s="19" t="s">
        <v>65</v>
      </c>
      <c r="F3822" s="19" t="s">
        <v>34</v>
      </c>
      <c r="G3822" s="19" t="s">
        <v>63</v>
      </c>
      <c r="H3822" s="19" t="s">
        <v>63</v>
      </c>
      <c r="I3822" s="19" t="s">
        <v>117</v>
      </c>
      <c r="J3822" s="20">
        <v>48</v>
      </c>
      <c r="K3822" s="34">
        <v>0</v>
      </c>
      <c r="L3822" s="34">
        <v>1</v>
      </c>
      <c r="M3822" s="19">
        <f>IF(OR(ISBLANK(C3822),C3822=""),"",ROUND((C3822-B3822)*24,2))</f>
        <v>38.23</v>
      </c>
      <c r="N3822" s="35" t="str">
        <f>IF(OR(ISBLANK(C3822),C3822="",M3822=""),"In Progress",IF(M3822&lt;=J3822,"Met","Breached"))</f>
        <v>Met</v>
      </c>
    </row>
    <row r="3823" ht="19" customHeight="1" spans="1:14" x14ac:dyDescent="0.25">
      <c r="A3823" s="22" t="s">
        <v>3937</v>
      </c>
      <c r="B3823" s="36">
        <v>45676.64791666667</v>
      </c>
      <c r="C3823" s="36">
        <v>45677.48472222222</v>
      </c>
      <c r="D3823" s="22" t="s">
        <v>33</v>
      </c>
      <c r="E3823" s="22" t="s">
        <v>61</v>
      </c>
      <c r="F3823" s="22" t="s">
        <v>34</v>
      </c>
      <c r="G3823" s="22" t="s">
        <v>126</v>
      </c>
      <c r="H3823" s="22" t="s">
        <v>63</v>
      </c>
      <c r="I3823" s="22" t="s">
        <v>147</v>
      </c>
      <c r="J3823" s="23">
        <v>12</v>
      </c>
      <c r="K3823" s="37">
        <v>0</v>
      </c>
      <c r="L3823" s="37">
        <v>5</v>
      </c>
      <c r="M3823" s="22">
        <f>IF(OR(ISBLANK(C3823),C3823=""),"",ROUND((C3823-B3823)*24,2))</f>
        <v>20.08</v>
      </c>
      <c r="N3823" s="38" t="str">
        <f>IF(OR(ISBLANK(C3823),C3823="",M3823=""),"In Progress",IF(M3823&lt;=J3823,"Met","Breached"))</f>
        <v>Breached</v>
      </c>
    </row>
    <row r="3824" ht="19" customHeight="1" spans="1:14" x14ac:dyDescent="0.25">
      <c r="A3824" s="19" t="s">
        <v>3938</v>
      </c>
      <c r="B3824" s="33">
        <v>45905.353472222225</v>
      </c>
      <c r="D3824" s="19" t="s">
        <v>42</v>
      </c>
      <c r="E3824" s="19" t="s">
        <v>65</v>
      </c>
      <c r="F3824" s="19" t="s">
        <v>37</v>
      </c>
      <c r="G3824" s="19" t="s">
        <v>126</v>
      </c>
      <c r="H3824" s="19" t="s">
        <v>59</v>
      </c>
      <c r="I3824" s="19" t="s">
        <v>123</v>
      </c>
      <c r="J3824" s="20">
        <v>48</v>
      </c>
      <c r="K3824" s="34">
        <v>0</v>
      </c>
      <c r="M3824" s="19" t="str">
        <f>IF(OR(ISBLANK(C3824),C3824=""),"",ROUND((C3824-B3824)*24,2))</f>
        <v/>
      </c>
      <c r="N3824" s="19" t="str">
        <f>IF(OR(ISBLANK(C3824),C3824="",M3824=""),"In Progress",IF(M3824&lt;=J3824,"Met","Breached"))</f>
        <v>In Progress</v>
      </c>
    </row>
    <row r="3825" ht="19" customHeight="1" spans="1:14" x14ac:dyDescent="0.25">
      <c r="A3825" s="22" t="s">
        <v>3939</v>
      </c>
      <c r="B3825" s="36">
        <v>46180.799305555556</v>
      </c>
      <c r="D3825" s="22" t="s">
        <v>42</v>
      </c>
      <c r="E3825" s="22" t="s">
        <v>69</v>
      </c>
      <c r="F3825" s="22" t="s">
        <v>34</v>
      </c>
      <c r="G3825" s="22" t="s">
        <v>116</v>
      </c>
      <c r="H3825" s="22" t="s">
        <v>63</v>
      </c>
      <c r="I3825" s="22" t="s">
        <v>114</v>
      </c>
      <c r="J3825" s="23">
        <v>120</v>
      </c>
      <c r="K3825" s="37">
        <v>0</v>
      </c>
      <c r="M3825" s="22" t="str">
        <f>IF(OR(ISBLANK(C3825),C3825=""),"",ROUND((C3825-B3825)*24,2))</f>
        <v/>
      </c>
      <c r="N3825" s="22" t="str">
        <f>IF(OR(ISBLANK(C3825),C3825="",M3825=""),"In Progress",IF(M3825&lt;=J3825,"Met","Breached"))</f>
        <v>In Progress</v>
      </c>
    </row>
    <row r="3826" ht="19" customHeight="1" spans="1:14" x14ac:dyDescent="0.25">
      <c r="A3826" s="19" t="s">
        <v>3940</v>
      </c>
      <c r="B3826" s="33">
        <v>45804.04583333334</v>
      </c>
      <c r="C3826" s="33">
        <v>45807.01666666666</v>
      </c>
      <c r="D3826" s="19" t="s">
        <v>33</v>
      </c>
      <c r="E3826" s="19" t="s">
        <v>65</v>
      </c>
      <c r="F3826" s="19" t="s">
        <v>40</v>
      </c>
      <c r="G3826" s="19" t="s">
        <v>113</v>
      </c>
      <c r="H3826" s="19" t="s">
        <v>59</v>
      </c>
      <c r="I3826" s="19" t="s">
        <v>111</v>
      </c>
      <c r="J3826" s="20">
        <v>48</v>
      </c>
      <c r="K3826" s="34">
        <v>0</v>
      </c>
      <c r="L3826" s="34">
        <v>4</v>
      </c>
      <c r="M3826" s="19">
        <f>IF(OR(ISBLANK(C3826),C3826=""),"",ROUND((C3826-B3826)*24,2))</f>
        <v>71.3</v>
      </c>
      <c r="N3826" s="39" t="str">
        <f>IF(OR(ISBLANK(C3826),C3826="",M3826=""),"In Progress",IF(M3826&lt;=J3826,"Met","Breached"))</f>
        <v>Breached</v>
      </c>
    </row>
    <row r="3827" ht="19" customHeight="1" spans="1:14" x14ac:dyDescent="0.25">
      <c r="A3827" s="22" t="s">
        <v>3941</v>
      </c>
      <c r="B3827" s="36">
        <v>46156.86388888889</v>
      </c>
      <c r="C3827" s="36">
        <v>46157.3625</v>
      </c>
      <c r="D3827" s="22" t="s">
        <v>33</v>
      </c>
      <c r="E3827" s="22" t="s">
        <v>61</v>
      </c>
      <c r="F3827" s="22" t="s">
        <v>45</v>
      </c>
      <c r="G3827" s="22" t="s">
        <v>63</v>
      </c>
      <c r="H3827" s="22" t="s">
        <v>71</v>
      </c>
      <c r="I3827" s="22" t="s">
        <v>117</v>
      </c>
      <c r="J3827" s="23">
        <v>12</v>
      </c>
      <c r="K3827" s="37">
        <v>0</v>
      </c>
      <c r="M3827" s="22">
        <f>IF(OR(ISBLANK(C3827),C3827=""),"",ROUND((C3827-B3827)*24,2))</f>
        <v>11.97</v>
      </c>
      <c r="N3827" s="40" t="str">
        <f>IF(OR(ISBLANK(C3827),C3827="",M3827=""),"In Progress",IF(M3827&lt;=J3827,"Met","Breached"))</f>
        <v>Met</v>
      </c>
    </row>
    <row r="3828" ht="19" customHeight="1" spans="1:14" x14ac:dyDescent="0.25">
      <c r="A3828" s="19" t="s">
        <v>3942</v>
      </c>
      <c r="B3828" s="33">
        <v>46155.9125</v>
      </c>
      <c r="C3828" s="33">
        <v>46157.50069444445</v>
      </c>
      <c r="D3828" s="19" t="s">
        <v>33</v>
      </c>
      <c r="E3828" s="19" t="s">
        <v>65</v>
      </c>
      <c r="F3828" s="19" t="s">
        <v>40</v>
      </c>
      <c r="G3828" s="19" t="s">
        <v>116</v>
      </c>
      <c r="H3828" s="19" t="s">
        <v>71</v>
      </c>
      <c r="I3828" s="19" t="s">
        <v>147</v>
      </c>
      <c r="J3828" s="20">
        <v>48</v>
      </c>
      <c r="K3828" s="34">
        <v>0</v>
      </c>
      <c r="L3828" s="34">
        <v>1</v>
      </c>
      <c r="M3828" s="19">
        <f>IF(OR(ISBLANK(C3828),C3828=""),"",ROUND((C3828-B3828)*24,2))</f>
        <v>38.12</v>
      </c>
      <c r="N3828" s="35" t="str">
        <f>IF(OR(ISBLANK(C3828),C3828="",M3828=""),"In Progress",IF(M3828&lt;=J3828,"Met","Breached"))</f>
        <v>Met</v>
      </c>
    </row>
    <row r="3829" ht="19" customHeight="1" spans="1:14" x14ac:dyDescent="0.25">
      <c r="A3829" s="22" t="s">
        <v>3943</v>
      </c>
      <c r="B3829" s="36">
        <v>45724.285416666666</v>
      </c>
      <c r="C3829" s="36">
        <v>45731.66458333333</v>
      </c>
      <c r="D3829" s="22" t="s">
        <v>36</v>
      </c>
      <c r="E3829" s="22" t="s">
        <v>69</v>
      </c>
      <c r="F3829" s="22" t="s">
        <v>37</v>
      </c>
      <c r="G3829" s="22" t="s">
        <v>126</v>
      </c>
      <c r="H3829" s="22" t="s">
        <v>59</v>
      </c>
      <c r="I3829" s="22" t="s">
        <v>111</v>
      </c>
      <c r="J3829" s="23">
        <v>120</v>
      </c>
      <c r="K3829" s="37">
        <v>0</v>
      </c>
      <c r="L3829" s="37">
        <v>5</v>
      </c>
      <c r="M3829" s="22">
        <f>IF(OR(ISBLANK(C3829),C3829=""),"",ROUND((C3829-B3829)*24,2))</f>
        <v>177.1</v>
      </c>
      <c r="N3829" s="38" t="str">
        <f>IF(OR(ISBLANK(C3829),C3829="",M3829=""),"In Progress",IF(M3829&lt;=J3829,"Met","Breached"))</f>
        <v>Breached</v>
      </c>
    </row>
    <row r="3830" ht="19" customHeight="1" spans="1:14" x14ac:dyDescent="0.25">
      <c r="A3830" s="19" t="s">
        <v>3944</v>
      </c>
      <c r="B3830" s="33">
        <v>45663.370833333334</v>
      </c>
      <c r="D3830" s="19" t="s">
        <v>39</v>
      </c>
      <c r="E3830" s="19" t="s">
        <v>57</v>
      </c>
      <c r="F3830" s="19" t="s">
        <v>43</v>
      </c>
      <c r="G3830" s="19" t="s">
        <v>113</v>
      </c>
      <c r="H3830" s="19" t="s">
        <v>67</v>
      </c>
      <c r="I3830" s="19" t="s">
        <v>123</v>
      </c>
      <c r="J3830" s="20">
        <v>4</v>
      </c>
      <c r="K3830" s="34">
        <v>0</v>
      </c>
      <c r="M3830" s="19" t="str">
        <f>IF(OR(ISBLANK(C3830),C3830=""),"",ROUND((C3830-B3830)*24,2))</f>
        <v/>
      </c>
      <c r="N3830" s="19" t="str">
        <f>IF(OR(ISBLANK(C3830),C3830="",M3830=""),"In Progress",IF(M3830&lt;=J3830,"Met","Breached"))</f>
        <v>In Progress</v>
      </c>
    </row>
    <row r="3831" ht="19" customHeight="1" spans="1:14" x14ac:dyDescent="0.25">
      <c r="A3831" s="22" t="s">
        <v>3945</v>
      </c>
      <c r="B3831" s="36">
        <v>45994.61041666666</v>
      </c>
      <c r="C3831" s="36">
        <v>45998.15694444445</v>
      </c>
      <c r="D3831" s="22" t="s">
        <v>33</v>
      </c>
      <c r="E3831" s="22" t="s">
        <v>65</v>
      </c>
      <c r="F3831" s="22" t="s">
        <v>43</v>
      </c>
      <c r="G3831" s="22" t="s">
        <v>121</v>
      </c>
      <c r="H3831" s="22" t="s">
        <v>59</v>
      </c>
      <c r="I3831" s="22" t="s">
        <v>123</v>
      </c>
      <c r="J3831" s="23">
        <v>48</v>
      </c>
      <c r="K3831" s="37">
        <v>1</v>
      </c>
      <c r="L3831" s="37">
        <v>2</v>
      </c>
      <c r="M3831" s="22">
        <f>IF(OR(ISBLANK(C3831),C3831=""),"",ROUND((C3831-B3831)*24,2))</f>
        <v>85.12</v>
      </c>
      <c r="N3831" s="38" t="str">
        <f>IF(OR(ISBLANK(C3831),C3831="",M3831=""),"In Progress",IF(M3831&lt;=J3831,"Met","Breached"))</f>
        <v>Breached</v>
      </c>
    </row>
    <row r="3832" ht="19" customHeight="1" spans="1:14" x14ac:dyDescent="0.25">
      <c r="A3832" s="19" t="s">
        <v>3946</v>
      </c>
      <c r="B3832" s="33">
        <v>45816.88680555555</v>
      </c>
      <c r="C3832" s="33">
        <v>45820.21388888889</v>
      </c>
      <c r="D3832" s="19" t="s">
        <v>36</v>
      </c>
      <c r="E3832" s="19" t="s">
        <v>65</v>
      </c>
      <c r="F3832" s="19" t="s">
        <v>43</v>
      </c>
      <c r="G3832" s="19" t="s">
        <v>121</v>
      </c>
      <c r="H3832" s="19" t="s">
        <v>63</v>
      </c>
      <c r="I3832" s="19" t="s">
        <v>108</v>
      </c>
      <c r="J3832" s="20">
        <v>48</v>
      </c>
      <c r="K3832" s="34">
        <v>0</v>
      </c>
      <c r="L3832" s="34">
        <v>2</v>
      </c>
      <c r="M3832" s="19">
        <f>IF(OR(ISBLANK(C3832),C3832=""),"",ROUND((C3832-B3832)*24,2))</f>
        <v>79.85</v>
      </c>
      <c r="N3832" s="39" t="str">
        <f>IF(OR(ISBLANK(C3832),C3832="",M3832=""),"In Progress",IF(M3832&lt;=J3832,"Met","Breached"))</f>
        <v>Breached</v>
      </c>
    </row>
    <row r="3833" ht="19" customHeight="1" spans="1:14" x14ac:dyDescent="0.25">
      <c r="A3833" s="22" t="s">
        <v>3947</v>
      </c>
      <c r="B3833" s="36">
        <v>46028.27569444444</v>
      </c>
      <c r="C3833" s="36">
        <v>46028.9</v>
      </c>
      <c r="D3833" s="22" t="s">
        <v>33</v>
      </c>
      <c r="E3833" s="22" t="s">
        <v>61</v>
      </c>
      <c r="F3833" s="22" t="s">
        <v>40</v>
      </c>
      <c r="G3833" s="22" t="s">
        <v>126</v>
      </c>
      <c r="H3833" s="22" t="s">
        <v>59</v>
      </c>
      <c r="I3833" s="22" t="s">
        <v>111</v>
      </c>
      <c r="J3833" s="23">
        <v>12</v>
      </c>
      <c r="K3833" s="37">
        <v>0</v>
      </c>
      <c r="L3833" s="37">
        <v>2</v>
      </c>
      <c r="M3833" s="22">
        <f>IF(OR(ISBLANK(C3833),C3833=""),"",ROUND((C3833-B3833)*24,2))</f>
        <v>14.98</v>
      </c>
      <c r="N3833" s="38" t="str">
        <f>IF(OR(ISBLANK(C3833),C3833="",M3833=""),"In Progress",IF(M3833&lt;=J3833,"Met","Breached"))</f>
        <v>Breached</v>
      </c>
    </row>
    <row r="3834" ht="19" customHeight="1" spans="1:14" x14ac:dyDescent="0.25">
      <c r="A3834" s="19" t="s">
        <v>3948</v>
      </c>
      <c r="B3834" s="33">
        <v>45997.21597222222</v>
      </c>
      <c r="C3834" s="33">
        <v>45997.853472222225</v>
      </c>
      <c r="D3834" s="19" t="s">
        <v>33</v>
      </c>
      <c r="E3834" s="19" t="s">
        <v>61</v>
      </c>
      <c r="F3834" s="19" t="s">
        <v>34</v>
      </c>
      <c r="G3834" s="19" t="s">
        <v>126</v>
      </c>
      <c r="H3834" s="19" t="s">
        <v>67</v>
      </c>
      <c r="I3834" s="19" t="s">
        <v>114</v>
      </c>
      <c r="J3834" s="20">
        <v>12</v>
      </c>
      <c r="K3834" s="34">
        <v>0</v>
      </c>
      <c r="L3834" s="34">
        <v>4</v>
      </c>
      <c r="M3834" s="19">
        <f>IF(OR(ISBLANK(C3834),C3834=""),"",ROUND((C3834-B3834)*24,2))</f>
        <v>15.3</v>
      </c>
      <c r="N3834" s="39" t="str">
        <f>IF(OR(ISBLANK(C3834),C3834="",M3834=""),"In Progress",IF(M3834&lt;=J3834,"Met","Breached"))</f>
        <v>Breached</v>
      </c>
    </row>
    <row r="3835" ht="19" customHeight="1" spans="1:14" x14ac:dyDescent="0.25">
      <c r="A3835" s="22" t="s">
        <v>3949</v>
      </c>
      <c r="B3835" s="36">
        <v>45691.64722222222</v>
      </c>
      <c r="C3835" s="36">
        <v>45699.961805555555</v>
      </c>
      <c r="D3835" s="22" t="s">
        <v>33</v>
      </c>
      <c r="E3835" s="22" t="s">
        <v>69</v>
      </c>
      <c r="F3835" s="22" t="s">
        <v>45</v>
      </c>
      <c r="G3835" s="22" t="s">
        <v>63</v>
      </c>
      <c r="H3835" s="22" t="s">
        <v>59</v>
      </c>
      <c r="I3835" s="22" t="s">
        <v>117</v>
      </c>
      <c r="J3835" s="23">
        <v>120</v>
      </c>
      <c r="K3835" s="37">
        <v>1</v>
      </c>
      <c r="L3835" s="37">
        <v>4</v>
      </c>
      <c r="M3835" s="22">
        <f>IF(OR(ISBLANK(C3835),C3835=""),"",ROUND((C3835-B3835)*24,2))</f>
        <v>199.55</v>
      </c>
      <c r="N3835" s="38" t="str">
        <f>IF(OR(ISBLANK(C3835),C3835="",M3835=""),"In Progress",IF(M3835&lt;=J3835,"Met","Breached"))</f>
        <v>Breached</v>
      </c>
    </row>
    <row r="3836" ht="19" customHeight="1" spans="1:14" x14ac:dyDescent="0.25">
      <c r="A3836" s="19" t="s">
        <v>3950</v>
      </c>
      <c r="B3836" s="33">
        <v>46228.839583333334</v>
      </c>
      <c r="C3836" s="33">
        <v>46228.90972222222</v>
      </c>
      <c r="D3836" s="19" t="s">
        <v>33</v>
      </c>
      <c r="E3836" s="19" t="s">
        <v>57</v>
      </c>
      <c r="F3836" s="19" t="s">
        <v>34</v>
      </c>
      <c r="G3836" s="19" t="s">
        <v>113</v>
      </c>
      <c r="H3836" s="19" t="s">
        <v>63</v>
      </c>
      <c r="I3836" s="19" t="s">
        <v>123</v>
      </c>
      <c r="J3836" s="20">
        <v>4</v>
      </c>
      <c r="K3836" s="34">
        <v>0</v>
      </c>
      <c r="M3836" s="19">
        <f>IF(OR(ISBLANK(C3836),C3836=""),"",ROUND((C3836-B3836)*24,2))</f>
        <v>1.68</v>
      </c>
      <c r="N3836" s="35" t="str">
        <f>IF(OR(ISBLANK(C3836),C3836="",M3836=""),"In Progress",IF(M3836&lt;=J3836,"Met","Breached"))</f>
        <v>Met</v>
      </c>
    </row>
    <row r="3837" ht="19" customHeight="1" spans="1:14" x14ac:dyDescent="0.25">
      <c r="A3837" s="22" t="s">
        <v>3951</v>
      </c>
      <c r="B3837" s="36">
        <v>46011.56527777778</v>
      </c>
      <c r="C3837" s="36">
        <v>46015.15416666667</v>
      </c>
      <c r="D3837" s="22" t="s">
        <v>33</v>
      </c>
      <c r="E3837" s="22" t="s">
        <v>65</v>
      </c>
      <c r="F3837" s="22" t="s">
        <v>43</v>
      </c>
      <c r="G3837" s="22" t="s">
        <v>126</v>
      </c>
      <c r="H3837" s="22" t="s">
        <v>63</v>
      </c>
      <c r="I3837" s="22" t="s">
        <v>117</v>
      </c>
      <c r="J3837" s="23">
        <v>48</v>
      </c>
      <c r="K3837" s="37">
        <v>0</v>
      </c>
      <c r="L3837" s="37">
        <v>3</v>
      </c>
      <c r="M3837" s="22">
        <f>IF(OR(ISBLANK(C3837),C3837=""),"",ROUND((C3837-B3837)*24,2))</f>
        <v>86.13</v>
      </c>
      <c r="N3837" s="38" t="str">
        <f>IF(OR(ISBLANK(C3837),C3837="",M3837=""),"In Progress",IF(M3837&lt;=J3837,"Met","Breached"))</f>
        <v>Breached</v>
      </c>
    </row>
    <row r="3838" ht="19" customHeight="1" spans="1:14" x14ac:dyDescent="0.25">
      <c r="A3838" s="19" t="s">
        <v>3952</v>
      </c>
      <c r="B3838" s="33">
        <v>46163.850694444445</v>
      </c>
      <c r="C3838" s="33">
        <v>46166.40486111111</v>
      </c>
      <c r="D3838" s="19" t="s">
        <v>36</v>
      </c>
      <c r="E3838" s="19" t="s">
        <v>65</v>
      </c>
      <c r="F3838" s="19" t="s">
        <v>43</v>
      </c>
      <c r="G3838" s="19" t="s">
        <v>113</v>
      </c>
      <c r="H3838" s="19" t="s">
        <v>67</v>
      </c>
      <c r="I3838" s="19" t="s">
        <v>123</v>
      </c>
      <c r="J3838" s="20">
        <v>48</v>
      </c>
      <c r="K3838" s="34">
        <v>0</v>
      </c>
      <c r="L3838" s="34">
        <v>1</v>
      </c>
      <c r="M3838" s="19">
        <f>IF(OR(ISBLANK(C3838),C3838=""),"",ROUND((C3838-B3838)*24,2))</f>
        <v>61.3</v>
      </c>
      <c r="N3838" s="39" t="str">
        <f>IF(OR(ISBLANK(C3838),C3838="",M3838=""),"In Progress",IF(M3838&lt;=J3838,"Met","Breached"))</f>
        <v>Breached</v>
      </c>
    </row>
    <row r="3839" ht="19" customHeight="1" spans="1:14" x14ac:dyDescent="0.25">
      <c r="A3839" s="22" t="s">
        <v>3953</v>
      </c>
      <c r="B3839" s="36">
        <v>45833.86458333333</v>
      </c>
      <c r="C3839" s="36">
        <v>45836.06458333333</v>
      </c>
      <c r="D3839" s="22" t="s">
        <v>33</v>
      </c>
      <c r="E3839" s="22" t="s">
        <v>65</v>
      </c>
      <c r="F3839" s="22" t="s">
        <v>37</v>
      </c>
      <c r="G3839" s="22" t="s">
        <v>110</v>
      </c>
      <c r="H3839" s="22" t="s">
        <v>71</v>
      </c>
      <c r="I3839" s="22" t="s">
        <v>117</v>
      </c>
      <c r="J3839" s="23">
        <v>48</v>
      </c>
      <c r="K3839" s="37">
        <v>0</v>
      </c>
      <c r="L3839" s="37">
        <v>1</v>
      </c>
      <c r="M3839" s="22">
        <f>IF(OR(ISBLANK(C3839),C3839=""),"",ROUND((C3839-B3839)*24,2))</f>
        <v>52.8</v>
      </c>
      <c r="N3839" s="38" t="str">
        <f>IF(OR(ISBLANK(C3839),C3839="",M3839=""),"In Progress",IF(M3839&lt;=J3839,"Met","Breached"))</f>
        <v>Breached</v>
      </c>
    </row>
    <row r="3840" ht="19" customHeight="1" spans="1:14" x14ac:dyDescent="0.25">
      <c r="A3840" s="19" t="s">
        <v>3954</v>
      </c>
      <c r="B3840" s="33">
        <v>45857.91458333333</v>
      </c>
      <c r="C3840" s="33">
        <v>45865.00555555556</v>
      </c>
      <c r="D3840" s="19" t="s">
        <v>33</v>
      </c>
      <c r="E3840" s="19" t="s">
        <v>69</v>
      </c>
      <c r="F3840" s="19" t="s">
        <v>34</v>
      </c>
      <c r="G3840" s="19" t="s">
        <v>116</v>
      </c>
      <c r="H3840" s="19" t="s">
        <v>67</v>
      </c>
      <c r="I3840" s="19" t="s">
        <v>108</v>
      </c>
      <c r="J3840" s="20">
        <v>120</v>
      </c>
      <c r="K3840" s="34">
        <v>0</v>
      </c>
      <c r="L3840" s="34">
        <v>3</v>
      </c>
      <c r="M3840" s="19">
        <f>IF(OR(ISBLANK(C3840),C3840=""),"",ROUND((C3840-B3840)*24,2))</f>
        <v>170.18</v>
      </c>
      <c r="N3840" s="39" t="str">
        <f>IF(OR(ISBLANK(C3840),C3840="",M3840=""),"In Progress",IF(M3840&lt;=J3840,"Met","Breached"))</f>
        <v>Breached</v>
      </c>
    </row>
    <row r="3841" ht="19" customHeight="1" spans="1:14" x14ac:dyDescent="0.25">
      <c r="A3841" s="22" t="s">
        <v>3955</v>
      </c>
      <c r="B3841" s="36">
        <v>45818.225</v>
      </c>
      <c r="C3841" s="36">
        <v>45822.28611111111</v>
      </c>
      <c r="D3841" s="22" t="s">
        <v>36</v>
      </c>
      <c r="E3841" s="22" t="s">
        <v>69</v>
      </c>
      <c r="F3841" s="22" t="s">
        <v>37</v>
      </c>
      <c r="G3841" s="22" t="s">
        <v>63</v>
      </c>
      <c r="H3841" s="22" t="s">
        <v>67</v>
      </c>
      <c r="I3841" s="22" t="s">
        <v>117</v>
      </c>
      <c r="J3841" s="23">
        <v>120</v>
      </c>
      <c r="K3841" s="37">
        <v>0</v>
      </c>
      <c r="L3841" s="37">
        <v>2</v>
      </c>
      <c r="M3841" s="22">
        <f>IF(OR(ISBLANK(C3841),C3841=""),"",ROUND((C3841-B3841)*24,2))</f>
        <v>97.47</v>
      </c>
      <c r="N3841" s="40" t="str">
        <f>IF(OR(ISBLANK(C3841),C3841="",M3841=""),"In Progress",IF(M3841&lt;=J3841,"Met","Breached"))</f>
        <v>Met</v>
      </c>
    </row>
    <row r="3842" ht="19" customHeight="1" spans="1:14" x14ac:dyDescent="0.25">
      <c r="A3842" s="19" t="s">
        <v>3956</v>
      </c>
      <c r="B3842" s="33">
        <v>45767.05069444445</v>
      </c>
      <c r="C3842" s="33">
        <v>45769.67361111111</v>
      </c>
      <c r="D3842" s="19" t="s">
        <v>36</v>
      </c>
      <c r="E3842" s="19" t="s">
        <v>65</v>
      </c>
      <c r="F3842" s="19" t="s">
        <v>43</v>
      </c>
      <c r="G3842" s="19" t="s">
        <v>121</v>
      </c>
      <c r="H3842" s="19" t="s">
        <v>67</v>
      </c>
      <c r="I3842" s="19" t="s">
        <v>111</v>
      </c>
      <c r="J3842" s="20">
        <v>48</v>
      </c>
      <c r="K3842" s="34">
        <v>0</v>
      </c>
      <c r="M3842" s="19">
        <f>IF(OR(ISBLANK(C3842),C3842=""),"",ROUND((C3842-B3842)*24,2))</f>
        <v>62.95</v>
      </c>
      <c r="N3842" s="39" t="str">
        <f>IF(OR(ISBLANK(C3842),C3842="",M3842=""),"In Progress",IF(M3842&lt;=J3842,"Met","Breached"))</f>
        <v>Breached</v>
      </c>
    </row>
    <row r="3843" ht="19" customHeight="1" spans="1:14" x14ac:dyDescent="0.25">
      <c r="A3843" s="22" t="s">
        <v>3957</v>
      </c>
      <c r="B3843" s="36">
        <v>46287.851388888885</v>
      </c>
      <c r="C3843" s="36">
        <v>46290.70625</v>
      </c>
      <c r="D3843" s="22" t="s">
        <v>33</v>
      </c>
      <c r="E3843" s="22" t="s">
        <v>65</v>
      </c>
      <c r="F3843" s="22" t="s">
        <v>40</v>
      </c>
      <c r="G3843" s="22" t="s">
        <v>126</v>
      </c>
      <c r="H3843" s="22" t="s">
        <v>63</v>
      </c>
      <c r="I3843" s="22" t="s">
        <v>117</v>
      </c>
      <c r="J3843" s="23">
        <v>48</v>
      </c>
      <c r="K3843" s="37">
        <v>0</v>
      </c>
      <c r="L3843" s="37">
        <v>2</v>
      </c>
      <c r="M3843" s="22">
        <f>IF(OR(ISBLANK(C3843),C3843=""),"",ROUND((C3843-B3843)*24,2))</f>
        <v>68.52</v>
      </c>
      <c r="N3843" s="38" t="str">
        <f>IF(OR(ISBLANK(C3843),C3843="",M3843=""),"In Progress",IF(M3843&lt;=J3843,"Met","Breached"))</f>
        <v>Breached</v>
      </c>
    </row>
    <row r="3844" ht="19" customHeight="1" spans="1:14" x14ac:dyDescent="0.25">
      <c r="A3844" s="19" t="s">
        <v>3958</v>
      </c>
      <c r="B3844" s="33">
        <v>46175.132638888885</v>
      </c>
      <c r="D3844" s="19" t="s">
        <v>39</v>
      </c>
      <c r="E3844" s="19" t="s">
        <v>61</v>
      </c>
      <c r="F3844" s="19" t="s">
        <v>45</v>
      </c>
      <c r="G3844" s="19" t="s">
        <v>110</v>
      </c>
      <c r="H3844" s="19" t="s">
        <v>59</v>
      </c>
      <c r="I3844" s="19" t="s">
        <v>114</v>
      </c>
      <c r="J3844" s="20">
        <v>12</v>
      </c>
      <c r="K3844" s="34">
        <v>0</v>
      </c>
      <c r="M3844" s="19" t="str">
        <f>IF(OR(ISBLANK(C3844),C3844=""),"",ROUND((C3844-B3844)*24,2))</f>
        <v/>
      </c>
      <c r="N3844" s="19" t="str">
        <f>IF(OR(ISBLANK(C3844),C3844="",M3844=""),"In Progress",IF(M3844&lt;=J3844,"Met","Breached"))</f>
        <v>In Progress</v>
      </c>
    </row>
    <row r="3845" ht="19" customHeight="1" spans="1:14" x14ac:dyDescent="0.25">
      <c r="A3845" s="22" t="s">
        <v>3959</v>
      </c>
      <c r="B3845" s="36">
        <v>46030.57430555555</v>
      </c>
      <c r="C3845" s="36">
        <v>46030.76527777778</v>
      </c>
      <c r="D3845" s="22" t="s">
        <v>33</v>
      </c>
      <c r="E3845" s="22" t="s">
        <v>57</v>
      </c>
      <c r="F3845" s="22" t="s">
        <v>40</v>
      </c>
      <c r="G3845" s="22" t="s">
        <v>126</v>
      </c>
      <c r="H3845" s="22" t="s">
        <v>59</v>
      </c>
      <c r="I3845" s="22" t="s">
        <v>111</v>
      </c>
      <c r="J3845" s="23">
        <v>4</v>
      </c>
      <c r="K3845" s="37">
        <v>0</v>
      </c>
      <c r="M3845" s="22">
        <f>IF(OR(ISBLANK(C3845),C3845=""),"",ROUND((C3845-B3845)*24,2))</f>
        <v>4.58</v>
      </c>
      <c r="N3845" s="38" t="str">
        <f>IF(OR(ISBLANK(C3845),C3845="",M3845=""),"In Progress",IF(M3845&lt;=J3845,"Met","Breached"))</f>
        <v>Breached</v>
      </c>
    </row>
    <row r="3846" ht="19" customHeight="1" spans="1:14" x14ac:dyDescent="0.25">
      <c r="A3846" s="19" t="s">
        <v>3960</v>
      </c>
      <c r="B3846" s="33">
        <v>45803.71666666667</v>
      </c>
      <c r="D3846" s="19" t="s">
        <v>39</v>
      </c>
      <c r="E3846" s="19" t="s">
        <v>69</v>
      </c>
      <c r="F3846" s="19" t="s">
        <v>34</v>
      </c>
      <c r="G3846" s="19" t="s">
        <v>113</v>
      </c>
      <c r="H3846" s="19" t="s">
        <v>71</v>
      </c>
      <c r="I3846" s="19" t="s">
        <v>147</v>
      </c>
      <c r="J3846" s="20">
        <v>120</v>
      </c>
      <c r="K3846" s="34">
        <v>0</v>
      </c>
      <c r="M3846" s="19" t="str">
        <f>IF(OR(ISBLANK(C3846),C3846=""),"",ROUND((C3846-B3846)*24,2))</f>
        <v/>
      </c>
      <c r="N3846" s="19" t="str">
        <f>IF(OR(ISBLANK(C3846),C3846="",M3846=""),"In Progress",IF(M3846&lt;=J3846,"Met","Breached"))</f>
        <v>In Progress</v>
      </c>
    </row>
    <row r="3847" ht="19" customHeight="1" spans="1:14" x14ac:dyDescent="0.25">
      <c r="A3847" s="22" t="s">
        <v>3961</v>
      </c>
      <c r="B3847" s="36">
        <v>45858.86666666667</v>
      </c>
      <c r="D3847" s="22" t="s">
        <v>42</v>
      </c>
      <c r="E3847" s="22" t="s">
        <v>65</v>
      </c>
      <c r="F3847" s="22" t="s">
        <v>43</v>
      </c>
      <c r="G3847" s="22" t="s">
        <v>110</v>
      </c>
      <c r="H3847" s="22" t="s">
        <v>59</v>
      </c>
      <c r="I3847" s="22" t="s">
        <v>123</v>
      </c>
      <c r="J3847" s="23">
        <v>48</v>
      </c>
      <c r="K3847" s="37">
        <v>0</v>
      </c>
      <c r="M3847" s="22" t="str">
        <f>IF(OR(ISBLANK(C3847),C3847=""),"",ROUND((C3847-B3847)*24,2))</f>
        <v/>
      </c>
      <c r="N3847" s="22" t="str">
        <f>IF(OR(ISBLANK(C3847),C3847="",M3847=""),"In Progress",IF(M3847&lt;=J3847,"Met","Breached"))</f>
        <v>In Progress</v>
      </c>
    </row>
    <row r="3848" ht="19" customHeight="1" spans="1:14" x14ac:dyDescent="0.25">
      <c r="A3848" s="19" t="s">
        <v>3962</v>
      </c>
      <c r="B3848" s="33">
        <v>46165.09444444445</v>
      </c>
      <c r="D3848" s="19" t="s">
        <v>39</v>
      </c>
      <c r="E3848" s="19" t="s">
        <v>61</v>
      </c>
      <c r="F3848" s="19" t="s">
        <v>40</v>
      </c>
      <c r="G3848" s="19" t="s">
        <v>113</v>
      </c>
      <c r="H3848" s="19" t="s">
        <v>63</v>
      </c>
      <c r="I3848" s="19" t="s">
        <v>111</v>
      </c>
      <c r="J3848" s="20">
        <v>12</v>
      </c>
      <c r="K3848" s="34">
        <v>0</v>
      </c>
      <c r="M3848" s="19" t="str">
        <f>IF(OR(ISBLANK(C3848),C3848=""),"",ROUND((C3848-B3848)*24,2))</f>
        <v/>
      </c>
      <c r="N3848" s="19" t="str">
        <f>IF(OR(ISBLANK(C3848),C3848="",M3848=""),"In Progress",IF(M3848&lt;=J3848,"Met","Breached"))</f>
        <v>In Progress</v>
      </c>
    </row>
    <row r="3849" ht="19" customHeight="1" spans="1:14" x14ac:dyDescent="0.25">
      <c r="A3849" s="22" t="s">
        <v>3963</v>
      </c>
      <c r="B3849" s="36">
        <v>45911.07777777778</v>
      </c>
      <c r="D3849" s="22" t="s">
        <v>39</v>
      </c>
      <c r="E3849" s="22" t="s">
        <v>65</v>
      </c>
      <c r="F3849" s="22" t="s">
        <v>40</v>
      </c>
      <c r="G3849" s="22" t="s">
        <v>110</v>
      </c>
      <c r="H3849" s="22" t="s">
        <v>67</v>
      </c>
      <c r="I3849" s="22" t="s">
        <v>117</v>
      </c>
      <c r="J3849" s="23">
        <v>48</v>
      </c>
      <c r="K3849" s="37">
        <v>0</v>
      </c>
      <c r="M3849" s="22" t="str">
        <f>IF(OR(ISBLANK(C3849),C3849=""),"",ROUND((C3849-B3849)*24,2))</f>
        <v/>
      </c>
      <c r="N3849" s="22" t="str">
        <f>IF(OR(ISBLANK(C3849),C3849="",M3849=""),"In Progress",IF(M3849&lt;=J3849,"Met","Breached"))</f>
        <v>In Progress</v>
      </c>
    </row>
    <row r="3850" ht="19" customHeight="1" spans="1:14" x14ac:dyDescent="0.25">
      <c r="A3850" s="19" t="s">
        <v>3964</v>
      </c>
      <c r="B3850" s="33">
        <v>45863.03402777778</v>
      </c>
      <c r="C3850" s="33">
        <v>45866.46041666667</v>
      </c>
      <c r="D3850" s="19" t="s">
        <v>36</v>
      </c>
      <c r="E3850" s="19" t="s">
        <v>65</v>
      </c>
      <c r="F3850" s="19" t="s">
        <v>45</v>
      </c>
      <c r="G3850" s="19" t="s">
        <v>113</v>
      </c>
      <c r="H3850" s="19" t="s">
        <v>63</v>
      </c>
      <c r="I3850" s="19" t="s">
        <v>123</v>
      </c>
      <c r="J3850" s="20">
        <v>48</v>
      </c>
      <c r="K3850" s="34">
        <v>0</v>
      </c>
      <c r="M3850" s="19">
        <f>IF(OR(ISBLANK(C3850),C3850=""),"",ROUND((C3850-B3850)*24,2))</f>
        <v>82.23</v>
      </c>
      <c r="N3850" s="39" t="str">
        <f>IF(OR(ISBLANK(C3850),C3850="",M3850=""),"In Progress",IF(M3850&lt;=J3850,"Met","Breached"))</f>
        <v>Breached</v>
      </c>
    </row>
    <row r="3851" ht="19" customHeight="1" spans="1:14" x14ac:dyDescent="0.25">
      <c r="A3851" s="22" t="s">
        <v>3965</v>
      </c>
      <c r="B3851" s="36">
        <v>45733.27222222222</v>
      </c>
      <c r="C3851" s="36">
        <v>45736.41111111111</v>
      </c>
      <c r="D3851" s="22" t="s">
        <v>33</v>
      </c>
      <c r="E3851" s="22" t="s">
        <v>65</v>
      </c>
      <c r="F3851" s="22" t="s">
        <v>37</v>
      </c>
      <c r="G3851" s="22" t="s">
        <v>126</v>
      </c>
      <c r="H3851" s="22" t="s">
        <v>59</v>
      </c>
      <c r="I3851" s="22" t="s">
        <v>147</v>
      </c>
      <c r="J3851" s="23">
        <v>48</v>
      </c>
      <c r="K3851" s="37">
        <v>0</v>
      </c>
      <c r="L3851" s="37">
        <v>2</v>
      </c>
      <c r="M3851" s="22">
        <f>IF(OR(ISBLANK(C3851),C3851=""),"",ROUND((C3851-B3851)*24,2))</f>
        <v>75.33</v>
      </c>
      <c r="N3851" s="38" t="str">
        <f>IF(OR(ISBLANK(C3851),C3851="",M3851=""),"In Progress",IF(M3851&lt;=J3851,"Met","Breached"))</f>
        <v>Breached</v>
      </c>
    </row>
    <row r="3852" ht="19" customHeight="1" spans="1:14" x14ac:dyDescent="0.25">
      <c r="A3852" s="19" t="s">
        <v>3966</v>
      </c>
      <c r="B3852" s="33">
        <v>45746.975</v>
      </c>
      <c r="C3852" s="33">
        <v>45747.85902777778</v>
      </c>
      <c r="D3852" s="19" t="s">
        <v>33</v>
      </c>
      <c r="E3852" s="19" t="s">
        <v>61</v>
      </c>
      <c r="F3852" s="19" t="s">
        <v>34</v>
      </c>
      <c r="G3852" s="19" t="s">
        <v>121</v>
      </c>
      <c r="H3852" s="19" t="s">
        <v>63</v>
      </c>
      <c r="I3852" s="19" t="s">
        <v>147</v>
      </c>
      <c r="J3852" s="20">
        <v>12</v>
      </c>
      <c r="K3852" s="34">
        <v>0</v>
      </c>
      <c r="M3852" s="19">
        <f>IF(OR(ISBLANK(C3852),C3852=""),"",ROUND((C3852-B3852)*24,2))</f>
        <v>21.22</v>
      </c>
      <c r="N3852" s="39" t="str">
        <f>IF(OR(ISBLANK(C3852),C3852="",M3852=""),"In Progress",IF(M3852&lt;=J3852,"Met","Breached"))</f>
        <v>Breached</v>
      </c>
    </row>
    <row r="3853" ht="19" customHeight="1" spans="1:14" x14ac:dyDescent="0.25">
      <c r="A3853" s="22" t="s">
        <v>3967</v>
      </c>
      <c r="B3853" s="36">
        <v>46082.384722222225</v>
      </c>
      <c r="C3853" s="36">
        <v>46082.89791666667</v>
      </c>
      <c r="D3853" s="22" t="s">
        <v>33</v>
      </c>
      <c r="E3853" s="22" t="s">
        <v>61</v>
      </c>
      <c r="F3853" s="22" t="s">
        <v>34</v>
      </c>
      <c r="G3853" s="22" t="s">
        <v>110</v>
      </c>
      <c r="H3853" s="22" t="s">
        <v>63</v>
      </c>
      <c r="I3853" s="22" t="s">
        <v>111</v>
      </c>
      <c r="J3853" s="23">
        <v>12</v>
      </c>
      <c r="K3853" s="37">
        <v>0</v>
      </c>
      <c r="L3853" s="37">
        <v>3</v>
      </c>
      <c r="M3853" s="22">
        <f>IF(OR(ISBLANK(C3853),C3853=""),"",ROUND((C3853-B3853)*24,2))</f>
        <v>12.32</v>
      </c>
      <c r="N3853" s="38" t="str">
        <f>IF(OR(ISBLANK(C3853),C3853="",M3853=""),"In Progress",IF(M3853&lt;=J3853,"Met","Breached"))</f>
        <v>Breached</v>
      </c>
    </row>
    <row r="3854" ht="19" customHeight="1" spans="1:14" x14ac:dyDescent="0.25">
      <c r="A3854" s="19" t="s">
        <v>3968</v>
      </c>
      <c r="B3854" s="33">
        <v>45771.459027777775</v>
      </c>
      <c r="C3854" s="33">
        <v>45774.947222222225</v>
      </c>
      <c r="D3854" s="19" t="s">
        <v>36</v>
      </c>
      <c r="E3854" s="19" t="s">
        <v>65</v>
      </c>
      <c r="F3854" s="19" t="s">
        <v>34</v>
      </c>
      <c r="G3854" s="19" t="s">
        <v>113</v>
      </c>
      <c r="H3854" s="19" t="s">
        <v>59</v>
      </c>
      <c r="I3854" s="19" t="s">
        <v>117</v>
      </c>
      <c r="J3854" s="20">
        <v>48</v>
      </c>
      <c r="K3854" s="34">
        <v>0</v>
      </c>
      <c r="L3854" s="34">
        <v>2</v>
      </c>
      <c r="M3854" s="19">
        <f>IF(OR(ISBLANK(C3854),C3854=""),"",ROUND((C3854-B3854)*24,2))</f>
        <v>83.72</v>
      </c>
      <c r="N3854" s="39" t="str">
        <f>IF(OR(ISBLANK(C3854),C3854="",M3854=""),"In Progress",IF(M3854&lt;=J3854,"Met","Breached"))</f>
        <v>Breached</v>
      </c>
    </row>
    <row r="3855" ht="19" customHeight="1" spans="1:14" x14ac:dyDescent="0.25">
      <c r="A3855" s="22" t="s">
        <v>3969</v>
      </c>
      <c r="B3855" s="36">
        <v>45769.959027777775</v>
      </c>
      <c r="D3855" s="22" t="s">
        <v>39</v>
      </c>
      <c r="E3855" s="22" t="s">
        <v>65</v>
      </c>
      <c r="F3855" s="22" t="s">
        <v>43</v>
      </c>
      <c r="G3855" s="22" t="s">
        <v>113</v>
      </c>
      <c r="H3855" s="22" t="s">
        <v>59</v>
      </c>
      <c r="I3855" s="22" t="s">
        <v>114</v>
      </c>
      <c r="J3855" s="23">
        <v>48</v>
      </c>
      <c r="K3855" s="37">
        <v>0</v>
      </c>
      <c r="M3855" s="22" t="str">
        <f>IF(OR(ISBLANK(C3855),C3855=""),"",ROUND((C3855-B3855)*24,2))</f>
        <v/>
      </c>
      <c r="N3855" s="22" t="str">
        <f>IF(OR(ISBLANK(C3855),C3855="",M3855=""),"In Progress",IF(M3855&lt;=J3855,"Met","Breached"))</f>
        <v>In Progress</v>
      </c>
    </row>
    <row r="3856" ht="19" customHeight="1" spans="1:14" x14ac:dyDescent="0.25">
      <c r="A3856" s="19" t="s">
        <v>3970</v>
      </c>
      <c r="B3856" s="33">
        <v>45788.665972222225</v>
      </c>
      <c r="C3856" s="33">
        <v>45791.947222222225</v>
      </c>
      <c r="D3856" s="19" t="s">
        <v>33</v>
      </c>
      <c r="E3856" s="19" t="s">
        <v>69</v>
      </c>
      <c r="F3856" s="19" t="s">
        <v>40</v>
      </c>
      <c r="G3856" s="19" t="s">
        <v>126</v>
      </c>
      <c r="H3856" s="19" t="s">
        <v>59</v>
      </c>
      <c r="I3856" s="19" t="s">
        <v>108</v>
      </c>
      <c r="J3856" s="20">
        <v>120</v>
      </c>
      <c r="K3856" s="34">
        <v>0</v>
      </c>
      <c r="L3856" s="34">
        <v>3</v>
      </c>
      <c r="M3856" s="19">
        <f>IF(OR(ISBLANK(C3856),C3856=""),"",ROUND((C3856-B3856)*24,2))</f>
        <v>78.75</v>
      </c>
      <c r="N3856" s="35" t="str">
        <f>IF(OR(ISBLANK(C3856),C3856="",M3856=""),"In Progress",IF(M3856&lt;=J3856,"Met","Breached"))</f>
        <v>Met</v>
      </c>
    </row>
    <row r="3857" ht="19" customHeight="1" spans="1:14" x14ac:dyDescent="0.25">
      <c r="A3857" s="22" t="s">
        <v>3971</v>
      </c>
      <c r="B3857" s="36">
        <v>46103.174305555556</v>
      </c>
      <c r="C3857" s="36">
        <v>46105.53263888889</v>
      </c>
      <c r="D3857" s="22" t="s">
        <v>36</v>
      </c>
      <c r="E3857" s="22" t="s">
        <v>65</v>
      </c>
      <c r="F3857" s="22" t="s">
        <v>34</v>
      </c>
      <c r="G3857" s="22" t="s">
        <v>126</v>
      </c>
      <c r="H3857" s="22" t="s">
        <v>63</v>
      </c>
      <c r="I3857" s="22" t="s">
        <v>111</v>
      </c>
      <c r="J3857" s="23">
        <v>48</v>
      </c>
      <c r="K3857" s="37">
        <v>0</v>
      </c>
      <c r="L3857" s="37">
        <v>4</v>
      </c>
      <c r="M3857" s="22">
        <f>IF(OR(ISBLANK(C3857),C3857=""),"",ROUND((C3857-B3857)*24,2))</f>
        <v>56.6</v>
      </c>
      <c r="N3857" s="38" t="str">
        <f>IF(OR(ISBLANK(C3857),C3857="",M3857=""),"In Progress",IF(M3857&lt;=J3857,"Met","Breached"))</f>
        <v>Breached</v>
      </c>
    </row>
    <row r="3858" ht="19" customHeight="1" spans="1:14" x14ac:dyDescent="0.25">
      <c r="A3858" s="19" t="s">
        <v>3972</v>
      </c>
      <c r="B3858" s="33">
        <v>46145.68472222222</v>
      </c>
      <c r="C3858" s="33">
        <v>46148.75138888889</v>
      </c>
      <c r="D3858" s="19" t="s">
        <v>33</v>
      </c>
      <c r="E3858" s="19" t="s">
        <v>65</v>
      </c>
      <c r="F3858" s="19" t="s">
        <v>37</v>
      </c>
      <c r="G3858" s="19" t="s">
        <v>126</v>
      </c>
      <c r="H3858" s="19" t="s">
        <v>59</v>
      </c>
      <c r="I3858" s="19" t="s">
        <v>123</v>
      </c>
      <c r="J3858" s="20">
        <v>48</v>
      </c>
      <c r="K3858" s="34">
        <v>0</v>
      </c>
      <c r="L3858" s="34">
        <v>5</v>
      </c>
      <c r="M3858" s="19">
        <f>IF(OR(ISBLANK(C3858),C3858=""),"",ROUND((C3858-B3858)*24,2))</f>
        <v>73.6</v>
      </c>
      <c r="N3858" s="39" t="str">
        <f>IF(OR(ISBLANK(C3858),C3858="",M3858=""),"In Progress",IF(M3858&lt;=J3858,"Met","Breached"))</f>
        <v>Breached</v>
      </c>
    </row>
    <row r="3859" ht="19" customHeight="1" spans="1:14" x14ac:dyDescent="0.25">
      <c r="A3859" s="22" t="s">
        <v>3973</v>
      </c>
      <c r="B3859" s="36">
        <v>45839.336805555555</v>
      </c>
      <c r="D3859" s="22" t="s">
        <v>39</v>
      </c>
      <c r="E3859" s="22" t="s">
        <v>57</v>
      </c>
      <c r="F3859" s="22" t="s">
        <v>40</v>
      </c>
      <c r="G3859" s="22" t="s">
        <v>63</v>
      </c>
      <c r="H3859" s="22" t="s">
        <v>63</v>
      </c>
      <c r="I3859" s="22" t="s">
        <v>147</v>
      </c>
      <c r="J3859" s="23">
        <v>4</v>
      </c>
      <c r="K3859" s="37">
        <v>0</v>
      </c>
      <c r="M3859" s="22" t="str">
        <f>IF(OR(ISBLANK(C3859),C3859=""),"",ROUND((C3859-B3859)*24,2))</f>
        <v/>
      </c>
      <c r="N3859" s="22" t="str">
        <f>IF(OR(ISBLANK(C3859),C3859="",M3859=""),"In Progress",IF(M3859&lt;=J3859,"Met","Breached"))</f>
        <v>In Progress</v>
      </c>
    </row>
    <row r="3860" ht="19" customHeight="1" spans="1:14" x14ac:dyDescent="0.25">
      <c r="A3860" s="19" t="s">
        <v>3974</v>
      </c>
      <c r="B3860" s="33">
        <v>46054.8125</v>
      </c>
      <c r="C3860" s="33">
        <v>46060.06458333333</v>
      </c>
      <c r="D3860" s="19" t="s">
        <v>36</v>
      </c>
      <c r="E3860" s="19" t="s">
        <v>69</v>
      </c>
      <c r="F3860" s="19" t="s">
        <v>45</v>
      </c>
      <c r="G3860" s="19" t="s">
        <v>116</v>
      </c>
      <c r="H3860" s="19" t="s">
        <v>67</v>
      </c>
      <c r="I3860" s="19" t="s">
        <v>147</v>
      </c>
      <c r="J3860" s="20">
        <v>120</v>
      </c>
      <c r="K3860" s="34">
        <v>0</v>
      </c>
      <c r="L3860" s="34">
        <v>4</v>
      </c>
      <c r="M3860" s="19">
        <f>IF(OR(ISBLANK(C3860),C3860=""),"",ROUND((C3860-B3860)*24,2))</f>
        <v>126.05</v>
      </c>
      <c r="N3860" s="39" t="str">
        <f>IF(OR(ISBLANK(C3860),C3860="",M3860=""),"In Progress",IF(M3860&lt;=J3860,"Met","Breached"))</f>
        <v>Breached</v>
      </c>
    </row>
    <row r="3861" ht="19" customHeight="1" spans="1:14" x14ac:dyDescent="0.25">
      <c r="A3861" s="22" t="s">
        <v>3975</v>
      </c>
      <c r="B3861" s="36">
        <v>45887.075694444444</v>
      </c>
      <c r="D3861" s="22" t="s">
        <v>42</v>
      </c>
      <c r="E3861" s="22" t="s">
        <v>57</v>
      </c>
      <c r="F3861" s="22" t="s">
        <v>40</v>
      </c>
      <c r="G3861" s="22" t="s">
        <v>126</v>
      </c>
      <c r="H3861" s="22" t="s">
        <v>67</v>
      </c>
      <c r="I3861" s="22" t="s">
        <v>108</v>
      </c>
      <c r="J3861" s="23">
        <v>4</v>
      </c>
      <c r="K3861" s="37">
        <v>0</v>
      </c>
      <c r="M3861" s="22" t="str">
        <f>IF(OR(ISBLANK(C3861),C3861=""),"",ROUND((C3861-B3861)*24,2))</f>
        <v/>
      </c>
      <c r="N3861" s="22" t="str">
        <f>IF(OR(ISBLANK(C3861),C3861="",M3861=""),"In Progress",IF(M3861&lt;=J3861,"Met","Breached"))</f>
        <v>In Progress</v>
      </c>
    </row>
    <row r="3862" ht="19" customHeight="1" spans="1:14" x14ac:dyDescent="0.25">
      <c r="A3862" s="19" t="s">
        <v>3976</v>
      </c>
      <c r="B3862" s="33">
        <v>45693.65833333333</v>
      </c>
      <c r="C3862" s="33">
        <v>45698.75625</v>
      </c>
      <c r="D3862" s="19" t="s">
        <v>33</v>
      </c>
      <c r="E3862" s="19" t="s">
        <v>69</v>
      </c>
      <c r="F3862" s="19" t="s">
        <v>43</v>
      </c>
      <c r="G3862" s="19" t="s">
        <v>126</v>
      </c>
      <c r="H3862" s="19" t="s">
        <v>71</v>
      </c>
      <c r="I3862" s="19" t="s">
        <v>123</v>
      </c>
      <c r="J3862" s="20">
        <v>120</v>
      </c>
      <c r="K3862" s="34">
        <v>0</v>
      </c>
      <c r="L3862" s="34">
        <v>2</v>
      </c>
      <c r="M3862" s="19">
        <f>IF(OR(ISBLANK(C3862),C3862=""),"",ROUND((C3862-B3862)*24,2))</f>
        <v>122.35</v>
      </c>
      <c r="N3862" s="39" t="str">
        <f>IF(OR(ISBLANK(C3862),C3862="",M3862=""),"In Progress",IF(M3862&lt;=J3862,"Met","Breached"))</f>
        <v>Breached</v>
      </c>
    </row>
    <row r="3863" ht="19" customHeight="1" spans="1:14" x14ac:dyDescent="0.25">
      <c r="A3863" s="22" t="s">
        <v>3977</v>
      </c>
      <c r="B3863" s="36">
        <v>46178.0125</v>
      </c>
      <c r="D3863" s="22" t="s">
        <v>39</v>
      </c>
      <c r="E3863" s="22" t="s">
        <v>61</v>
      </c>
      <c r="F3863" s="22" t="s">
        <v>34</v>
      </c>
      <c r="G3863" s="22" t="s">
        <v>121</v>
      </c>
      <c r="H3863" s="22" t="s">
        <v>59</v>
      </c>
      <c r="I3863" s="22" t="s">
        <v>111</v>
      </c>
      <c r="J3863" s="23">
        <v>12</v>
      </c>
      <c r="K3863" s="37">
        <v>0</v>
      </c>
      <c r="M3863" s="22" t="str">
        <f>IF(OR(ISBLANK(C3863),C3863=""),"",ROUND((C3863-B3863)*24,2))</f>
        <v/>
      </c>
      <c r="N3863" s="22" t="str">
        <f>IF(OR(ISBLANK(C3863),C3863="",M3863=""),"In Progress",IF(M3863&lt;=J3863,"Met","Breached"))</f>
        <v>In Progress</v>
      </c>
    </row>
    <row r="3864" ht="19" customHeight="1" spans="1:14" x14ac:dyDescent="0.25">
      <c r="A3864" s="19" t="s">
        <v>3978</v>
      </c>
      <c r="B3864" s="33">
        <v>45797.30694444444</v>
      </c>
      <c r="C3864" s="33">
        <v>45798.228472222225</v>
      </c>
      <c r="D3864" s="19" t="s">
        <v>33</v>
      </c>
      <c r="E3864" s="19" t="s">
        <v>65</v>
      </c>
      <c r="F3864" s="19" t="s">
        <v>37</v>
      </c>
      <c r="G3864" s="19" t="s">
        <v>126</v>
      </c>
      <c r="H3864" s="19" t="s">
        <v>63</v>
      </c>
      <c r="I3864" s="19" t="s">
        <v>114</v>
      </c>
      <c r="J3864" s="20">
        <v>48</v>
      </c>
      <c r="K3864" s="34">
        <v>1</v>
      </c>
      <c r="L3864" s="34">
        <v>1</v>
      </c>
      <c r="M3864" s="19">
        <f>IF(OR(ISBLANK(C3864),C3864=""),"",ROUND((C3864-B3864)*24,2))</f>
        <v>22.12</v>
      </c>
      <c r="N3864" s="35" t="str">
        <f>IF(OR(ISBLANK(C3864),C3864="",M3864=""),"In Progress",IF(M3864&lt;=J3864,"Met","Breached"))</f>
        <v>Met</v>
      </c>
    </row>
    <row r="3865" ht="19" customHeight="1" spans="1:14" x14ac:dyDescent="0.25">
      <c r="A3865" s="22" t="s">
        <v>3979</v>
      </c>
      <c r="B3865" s="36">
        <v>45895.509722222225</v>
      </c>
      <c r="C3865" s="36">
        <v>45896.21875</v>
      </c>
      <c r="D3865" s="22" t="s">
        <v>36</v>
      </c>
      <c r="E3865" s="22" t="s">
        <v>61</v>
      </c>
      <c r="F3865" s="22" t="s">
        <v>34</v>
      </c>
      <c r="G3865" s="22" t="s">
        <v>110</v>
      </c>
      <c r="H3865" s="22" t="s">
        <v>59</v>
      </c>
      <c r="I3865" s="22" t="s">
        <v>111</v>
      </c>
      <c r="J3865" s="23">
        <v>12</v>
      </c>
      <c r="K3865" s="37">
        <v>0</v>
      </c>
      <c r="M3865" s="22">
        <f>IF(OR(ISBLANK(C3865),C3865=""),"",ROUND((C3865-B3865)*24,2))</f>
        <v>17.02</v>
      </c>
      <c r="N3865" s="38" t="str">
        <f>IF(OR(ISBLANK(C3865),C3865="",M3865=""),"In Progress",IF(M3865&lt;=J3865,"Met","Breached"))</f>
        <v>Breached</v>
      </c>
    </row>
    <row r="3866" ht="19" customHeight="1" spans="1:14" x14ac:dyDescent="0.25">
      <c r="A3866" s="19" t="s">
        <v>3980</v>
      </c>
      <c r="B3866" s="33">
        <v>45869.62430555555</v>
      </c>
      <c r="C3866" s="33">
        <v>45870.20138888889</v>
      </c>
      <c r="D3866" s="19" t="s">
        <v>36</v>
      </c>
      <c r="E3866" s="19" t="s">
        <v>61</v>
      </c>
      <c r="F3866" s="19" t="s">
        <v>37</v>
      </c>
      <c r="G3866" s="19" t="s">
        <v>110</v>
      </c>
      <c r="H3866" s="19" t="s">
        <v>67</v>
      </c>
      <c r="I3866" s="19" t="s">
        <v>111</v>
      </c>
      <c r="J3866" s="20">
        <v>12</v>
      </c>
      <c r="K3866" s="34">
        <v>0</v>
      </c>
      <c r="L3866" s="34">
        <v>5</v>
      </c>
      <c r="M3866" s="19">
        <f>IF(OR(ISBLANK(C3866),C3866=""),"",ROUND((C3866-B3866)*24,2))</f>
        <v>13.85</v>
      </c>
      <c r="N3866" s="39" t="str">
        <f>IF(OR(ISBLANK(C3866),C3866="",M3866=""),"In Progress",IF(M3866&lt;=J3866,"Met","Breached"))</f>
        <v>Breached</v>
      </c>
    </row>
    <row r="3867" ht="19" customHeight="1" spans="1:14" x14ac:dyDescent="0.25">
      <c r="A3867" s="22" t="s">
        <v>3981</v>
      </c>
      <c r="B3867" s="36">
        <v>46276.20347222222</v>
      </c>
      <c r="C3867" s="36">
        <v>46280.07847222222</v>
      </c>
      <c r="D3867" s="22" t="s">
        <v>33</v>
      </c>
      <c r="E3867" s="22" t="s">
        <v>69</v>
      </c>
      <c r="F3867" s="22" t="s">
        <v>34</v>
      </c>
      <c r="G3867" s="22" t="s">
        <v>63</v>
      </c>
      <c r="H3867" s="22" t="s">
        <v>71</v>
      </c>
      <c r="I3867" s="22" t="s">
        <v>111</v>
      </c>
      <c r="J3867" s="23">
        <v>120</v>
      </c>
      <c r="K3867" s="37">
        <v>0</v>
      </c>
      <c r="L3867" s="37">
        <v>5</v>
      </c>
      <c r="M3867" s="22">
        <f>IF(OR(ISBLANK(C3867),C3867=""),"",ROUND((C3867-B3867)*24,2))</f>
        <v>93</v>
      </c>
      <c r="N3867" s="40" t="str">
        <f>IF(OR(ISBLANK(C3867),C3867="",M3867=""),"In Progress",IF(M3867&lt;=J3867,"Met","Breached"))</f>
        <v>Met</v>
      </c>
    </row>
    <row r="3868" ht="19" customHeight="1" spans="1:14" x14ac:dyDescent="0.25">
      <c r="A3868" s="19" t="s">
        <v>3982</v>
      </c>
      <c r="B3868" s="33">
        <v>46136.48611111111</v>
      </c>
      <c r="C3868" s="33">
        <v>46142.680555555555</v>
      </c>
      <c r="D3868" s="19" t="s">
        <v>36</v>
      </c>
      <c r="E3868" s="19" t="s">
        <v>69</v>
      </c>
      <c r="F3868" s="19" t="s">
        <v>34</v>
      </c>
      <c r="G3868" s="19" t="s">
        <v>63</v>
      </c>
      <c r="H3868" s="19" t="s">
        <v>71</v>
      </c>
      <c r="I3868" s="19" t="s">
        <v>111</v>
      </c>
      <c r="J3868" s="20">
        <v>120</v>
      </c>
      <c r="K3868" s="34">
        <v>0</v>
      </c>
      <c r="L3868" s="34">
        <v>3</v>
      </c>
      <c r="M3868" s="19">
        <f>IF(OR(ISBLANK(C3868),C3868=""),"",ROUND((C3868-B3868)*24,2))</f>
        <v>148.67</v>
      </c>
      <c r="N3868" s="39" t="str">
        <f>IF(OR(ISBLANK(C3868),C3868="",M3868=""),"In Progress",IF(M3868&lt;=J3868,"Met","Breached"))</f>
        <v>Breached</v>
      </c>
    </row>
    <row r="3869" ht="19" customHeight="1" spans="1:14" x14ac:dyDescent="0.25">
      <c r="A3869" s="22" t="s">
        <v>3983</v>
      </c>
      <c r="B3869" s="36">
        <v>46132.44861111111</v>
      </c>
      <c r="C3869" s="36">
        <v>46133.37638888889</v>
      </c>
      <c r="D3869" s="22" t="s">
        <v>33</v>
      </c>
      <c r="E3869" s="22" t="s">
        <v>65</v>
      </c>
      <c r="F3869" s="22" t="s">
        <v>40</v>
      </c>
      <c r="G3869" s="22" t="s">
        <v>113</v>
      </c>
      <c r="H3869" s="22" t="s">
        <v>59</v>
      </c>
      <c r="I3869" s="22" t="s">
        <v>123</v>
      </c>
      <c r="J3869" s="23">
        <v>48</v>
      </c>
      <c r="K3869" s="37">
        <v>0</v>
      </c>
      <c r="L3869" s="37">
        <v>2</v>
      </c>
      <c r="M3869" s="22">
        <f>IF(OR(ISBLANK(C3869),C3869=""),"",ROUND((C3869-B3869)*24,2))</f>
        <v>22.27</v>
      </c>
      <c r="N3869" s="40" t="str">
        <f>IF(OR(ISBLANK(C3869),C3869="",M3869=""),"In Progress",IF(M3869&lt;=J3869,"Met","Breached"))</f>
        <v>Met</v>
      </c>
    </row>
    <row r="3870" ht="19" customHeight="1" spans="1:14" x14ac:dyDescent="0.25">
      <c r="A3870" s="19" t="s">
        <v>3984</v>
      </c>
      <c r="B3870" s="33">
        <v>46079.875</v>
      </c>
      <c r="D3870" s="19" t="s">
        <v>39</v>
      </c>
      <c r="E3870" s="19" t="s">
        <v>65</v>
      </c>
      <c r="F3870" s="19" t="s">
        <v>34</v>
      </c>
      <c r="G3870" s="19" t="s">
        <v>121</v>
      </c>
      <c r="H3870" s="19" t="s">
        <v>67</v>
      </c>
      <c r="I3870" s="19" t="s">
        <v>111</v>
      </c>
      <c r="J3870" s="20">
        <v>48</v>
      </c>
      <c r="K3870" s="34">
        <v>0</v>
      </c>
      <c r="M3870" s="19" t="str">
        <f>IF(OR(ISBLANK(C3870),C3870=""),"",ROUND((C3870-B3870)*24,2))</f>
        <v/>
      </c>
      <c r="N3870" s="19" t="str">
        <f>IF(OR(ISBLANK(C3870),C3870="",M3870=""),"In Progress",IF(M3870&lt;=J3870,"Met","Breached"))</f>
        <v>In Progress</v>
      </c>
    </row>
    <row r="3871" ht="19" customHeight="1" spans="1:14" x14ac:dyDescent="0.25">
      <c r="A3871" s="22" t="s">
        <v>3985</v>
      </c>
      <c r="B3871" s="36">
        <v>45881.191666666666</v>
      </c>
      <c r="C3871" s="36">
        <v>45882.04166666667</v>
      </c>
      <c r="D3871" s="22" t="s">
        <v>33</v>
      </c>
      <c r="E3871" s="22" t="s">
        <v>61</v>
      </c>
      <c r="F3871" s="22" t="s">
        <v>40</v>
      </c>
      <c r="G3871" s="22" t="s">
        <v>126</v>
      </c>
      <c r="H3871" s="22" t="s">
        <v>59</v>
      </c>
      <c r="I3871" s="22" t="s">
        <v>114</v>
      </c>
      <c r="J3871" s="23">
        <v>12</v>
      </c>
      <c r="K3871" s="37">
        <v>0</v>
      </c>
      <c r="L3871" s="37">
        <v>3</v>
      </c>
      <c r="M3871" s="22">
        <f>IF(OR(ISBLANK(C3871),C3871=""),"",ROUND((C3871-B3871)*24,2))</f>
        <v>20.4</v>
      </c>
      <c r="N3871" s="38" t="str">
        <f>IF(OR(ISBLANK(C3871),C3871="",M3871=""),"In Progress",IF(M3871&lt;=J3871,"Met","Breached"))</f>
        <v>Breached</v>
      </c>
    </row>
    <row r="3872" ht="19" customHeight="1" spans="1:14" x14ac:dyDescent="0.25">
      <c r="A3872" s="19" t="s">
        <v>3986</v>
      </c>
      <c r="B3872" s="33">
        <v>46177.31111111111</v>
      </c>
      <c r="C3872" s="33">
        <v>46181.68194444444</v>
      </c>
      <c r="D3872" s="19" t="s">
        <v>36</v>
      </c>
      <c r="E3872" s="19" t="s">
        <v>69</v>
      </c>
      <c r="F3872" s="19" t="s">
        <v>45</v>
      </c>
      <c r="G3872" s="19" t="s">
        <v>110</v>
      </c>
      <c r="H3872" s="19" t="s">
        <v>71</v>
      </c>
      <c r="I3872" s="19" t="s">
        <v>147</v>
      </c>
      <c r="J3872" s="20">
        <v>120</v>
      </c>
      <c r="K3872" s="34">
        <v>0</v>
      </c>
      <c r="L3872" s="34">
        <v>5</v>
      </c>
      <c r="M3872" s="19">
        <f>IF(OR(ISBLANK(C3872),C3872=""),"",ROUND((C3872-B3872)*24,2))</f>
        <v>104.9</v>
      </c>
      <c r="N3872" s="35" t="str">
        <f>IF(OR(ISBLANK(C3872),C3872="",M3872=""),"In Progress",IF(M3872&lt;=J3872,"Met","Breached"))</f>
        <v>Met</v>
      </c>
    </row>
    <row r="3873" ht="19" customHeight="1" spans="1:14" x14ac:dyDescent="0.25">
      <c r="A3873" s="22" t="s">
        <v>3987</v>
      </c>
      <c r="B3873" s="36">
        <v>46264.87638888889</v>
      </c>
      <c r="D3873" s="22" t="s">
        <v>39</v>
      </c>
      <c r="E3873" s="22" t="s">
        <v>61</v>
      </c>
      <c r="F3873" s="22" t="s">
        <v>34</v>
      </c>
      <c r="G3873" s="22" t="s">
        <v>113</v>
      </c>
      <c r="H3873" s="22" t="s">
        <v>59</v>
      </c>
      <c r="I3873" s="22" t="s">
        <v>123</v>
      </c>
      <c r="J3873" s="23">
        <v>12</v>
      </c>
      <c r="K3873" s="37">
        <v>0</v>
      </c>
      <c r="M3873" s="22" t="str">
        <f>IF(OR(ISBLANK(C3873),C3873=""),"",ROUND((C3873-B3873)*24,2))</f>
        <v/>
      </c>
      <c r="N3873" s="22" t="str">
        <f>IF(OR(ISBLANK(C3873),C3873="",M3873=""),"In Progress",IF(M3873&lt;=J3873,"Met","Breached"))</f>
        <v>In Progress</v>
      </c>
    </row>
    <row r="3874" ht="19" customHeight="1" spans="1:14" x14ac:dyDescent="0.25">
      <c r="A3874" s="19" t="s">
        <v>3988</v>
      </c>
      <c r="B3874" s="33">
        <v>46255.74930555555</v>
      </c>
      <c r="C3874" s="33">
        <v>46262.77847222222</v>
      </c>
      <c r="D3874" s="19" t="s">
        <v>33</v>
      </c>
      <c r="E3874" s="19" t="s">
        <v>69</v>
      </c>
      <c r="F3874" s="19" t="s">
        <v>40</v>
      </c>
      <c r="G3874" s="19" t="s">
        <v>126</v>
      </c>
      <c r="H3874" s="19" t="s">
        <v>59</v>
      </c>
      <c r="I3874" s="19" t="s">
        <v>147</v>
      </c>
      <c r="J3874" s="20">
        <v>120</v>
      </c>
      <c r="K3874" s="34">
        <v>0</v>
      </c>
      <c r="L3874" s="34">
        <v>3</v>
      </c>
      <c r="M3874" s="19">
        <f>IF(OR(ISBLANK(C3874),C3874=""),"",ROUND((C3874-B3874)*24,2))</f>
        <v>168.7</v>
      </c>
      <c r="N3874" s="39" t="str">
        <f>IF(OR(ISBLANK(C3874),C3874="",M3874=""),"In Progress",IF(M3874&lt;=J3874,"Met","Breached"))</f>
        <v>Breached</v>
      </c>
    </row>
    <row r="3875" ht="19" customHeight="1" spans="1:14" x14ac:dyDescent="0.25">
      <c r="A3875" s="22" t="s">
        <v>3989</v>
      </c>
      <c r="B3875" s="36">
        <v>45983.50208333333</v>
      </c>
      <c r="C3875" s="36">
        <v>45988.05138888889</v>
      </c>
      <c r="D3875" s="22" t="s">
        <v>36</v>
      </c>
      <c r="E3875" s="22" t="s">
        <v>69</v>
      </c>
      <c r="F3875" s="22" t="s">
        <v>45</v>
      </c>
      <c r="G3875" s="22" t="s">
        <v>113</v>
      </c>
      <c r="H3875" s="22" t="s">
        <v>63</v>
      </c>
      <c r="I3875" s="22" t="s">
        <v>114</v>
      </c>
      <c r="J3875" s="23">
        <v>120</v>
      </c>
      <c r="K3875" s="37">
        <v>0</v>
      </c>
      <c r="L3875" s="37">
        <v>5</v>
      </c>
      <c r="M3875" s="22">
        <f>IF(OR(ISBLANK(C3875),C3875=""),"",ROUND((C3875-B3875)*24,2))</f>
        <v>109.18</v>
      </c>
      <c r="N3875" s="40" t="str">
        <f>IF(OR(ISBLANK(C3875),C3875="",M3875=""),"In Progress",IF(M3875&lt;=J3875,"Met","Breached"))</f>
        <v>Met</v>
      </c>
    </row>
    <row r="3876" ht="19" customHeight="1" spans="1:14" x14ac:dyDescent="0.25">
      <c r="A3876" s="19" t="s">
        <v>3990</v>
      </c>
      <c r="B3876" s="33">
        <v>45760.209027777775</v>
      </c>
      <c r="C3876" s="33">
        <v>45763.53263888889</v>
      </c>
      <c r="D3876" s="19" t="s">
        <v>33</v>
      </c>
      <c r="E3876" s="19" t="s">
        <v>65</v>
      </c>
      <c r="F3876" s="19" t="s">
        <v>34</v>
      </c>
      <c r="G3876" s="19" t="s">
        <v>110</v>
      </c>
      <c r="H3876" s="19" t="s">
        <v>63</v>
      </c>
      <c r="I3876" s="19" t="s">
        <v>108</v>
      </c>
      <c r="J3876" s="20">
        <v>48</v>
      </c>
      <c r="K3876" s="34">
        <v>0</v>
      </c>
      <c r="M3876" s="19">
        <f>IF(OR(ISBLANK(C3876),C3876=""),"",ROUND((C3876-B3876)*24,2))</f>
        <v>79.77</v>
      </c>
      <c r="N3876" s="39" t="str">
        <f>IF(OR(ISBLANK(C3876),C3876="",M3876=""),"In Progress",IF(M3876&lt;=J3876,"Met","Breached"))</f>
        <v>Breached</v>
      </c>
    </row>
    <row r="3877" ht="19" customHeight="1" spans="1:14" x14ac:dyDescent="0.25">
      <c r="A3877" s="22" t="s">
        <v>3991</v>
      </c>
      <c r="B3877" s="36">
        <v>45843.92083333334</v>
      </c>
      <c r="D3877" s="22" t="s">
        <v>39</v>
      </c>
      <c r="E3877" s="22" t="s">
        <v>69</v>
      </c>
      <c r="F3877" s="22" t="s">
        <v>43</v>
      </c>
      <c r="G3877" s="22" t="s">
        <v>121</v>
      </c>
      <c r="H3877" s="22" t="s">
        <v>59</v>
      </c>
      <c r="I3877" s="22" t="s">
        <v>111</v>
      </c>
      <c r="J3877" s="23">
        <v>120</v>
      </c>
      <c r="K3877" s="37">
        <v>0</v>
      </c>
      <c r="M3877" s="22" t="str">
        <f>IF(OR(ISBLANK(C3877),C3877=""),"",ROUND((C3877-B3877)*24,2))</f>
        <v/>
      </c>
      <c r="N3877" s="22" t="str">
        <f>IF(OR(ISBLANK(C3877),C3877="",M3877=""),"In Progress",IF(M3877&lt;=J3877,"Met","Breached"))</f>
        <v>In Progress</v>
      </c>
    </row>
    <row r="3878" ht="19" customHeight="1" spans="1:14" x14ac:dyDescent="0.25">
      <c r="A3878" s="19" t="s">
        <v>3992</v>
      </c>
      <c r="B3878" s="33">
        <v>46095.402083333334</v>
      </c>
      <c r="D3878" s="19" t="s">
        <v>39</v>
      </c>
      <c r="E3878" s="19" t="s">
        <v>65</v>
      </c>
      <c r="F3878" s="19" t="s">
        <v>37</v>
      </c>
      <c r="G3878" s="19" t="s">
        <v>110</v>
      </c>
      <c r="H3878" s="19" t="s">
        <v>59</v>
      </c>
      <c r="I3878" s="19" t="s">
        <v>108</v>
      </c>
      <c r="J3878" s="20">
        <v>48</v>
      </c>
      <c r="K3878" s="34">
        <v>0</v>
      </c>
      <c r="M3878" s="19" t="str">
        <f>IF(OR(ISBLANK(C3878),C3878=""),"",ROUND((C3878-B3878)*24,2))</f>
        <v/>
      </c>
      <c r="N3878" s="19" t="str">
        <f>IF(OR(ISBLANK(C3878),C3878="",M3878=""),"In Progress",IF(M3878&lt;=J3878,"Met","Breached"))</f>
        <v>In Progress</v>
      </c>
    </row>
    <row r="3879" ht="19" customHeight="1" spans="1:14" x14ac:dyDescent="0.25">
      <c r="A3879" s="22" t="s">
        <v>3993</v>
      </c>
      <c r="B3879" s="36">
        <v>45986.84861111111</v>
      </c>
      <c r="C3879" s="36">
        <v>45990.388194444444</v>
      </c>
      <c r="D3879" s="22" t="s">
        <v>33</v>
      </c>
      <c r="E3879" s="22" t="s">
        <v>65</v>
      </c>
      <c r="F3879" s="22" t="s">
        <v>45</v>
      </c>
      <c r="G3879" s="22" t="s">
        <v>121</v>
      </c>
      <c r="H3879" s="22" t="s">
        <v>67</v>
      </c>
      <c r="I3879" s="22" t="s">
        <v>117</v>
      </c>
      <c r="J3879" s="23">
        <v>48</v>
      </c>
      <c r="K3879" s="37">
        <v>0</v>
      </c>
      <c r="M3879" s="22">
        <f>IF(OR(ISBLANK(C3879),C3879=""),"",ROUND((C3879-B3879)*24,2))</f>
        <v>84.95</v>
      </c>
      <c r="N3879" s="38" t="str">
        <f>IF(OR(ISBLANK(C3879),C3879="",M3879=""),"In Progress",IF(M3879&lt;=J3879,"Met","Breached"))</f>
        <v>Breached</v>
      </c>
    </row>
    <row r="3880" ht="19" customHeight="1" spans="1:14" x14ac:dyDescent="0.25">
      <c r="A3880" s="19" t="s">
        <v>3994</v>
      </c>
      <c r="B3880" s="33">
        <v>46114.211111111115</v>
      </c>
      <c r="C3880" s="33">
        <v>46117.59583333333</v>
      </c>
      <c r="D3880" s="19" t="s">
        <v>33</v>
      </c>
      <c r="E3880" s="19" t="s">
        <v>65</v>
      </c>
      <c r="F3880" s="19" t="s">
        <v>40</v>
      </c>
      <c r="G3880" s="19" t="s">
        <v>126</v>
      </c>
      <c r="H3880" s="19" t="s">
        <v>71</v>
      </c>
      <c r="I3880" s="19" t="s">
        <v>147</v>
      </c>
      <c r="J3880" s="20">
        <v>48</v>
      </c>
      <c r="K3880" s="34">
        <v>0</v>
      </c>
      <c r="L3880" s="34">
        <v>4</v>
      </c>
      <c r="M3880" s="19">
        <f>IF(OR(ISBLANK(C3880),C3880=""),"",ROUND((C3880-B3880)*24,2))</f>
        <v>81.23</v>
      </c>
      <c r="N3880" s="39" t="str">
        <f>IF(OR(ISBLANK(C3880),C3880="",M3880=""),"In Progress",IF(M3880&lt;=J3880,"Met","Breached"))</f>
        <v>Breached</v>
      </c>
    </row>
    <row r="3881" ht="19" customHeight="1" spans="1:14" x14ac:dyDescent="0.25">
      <c r="A3881" s="22" t="s">
        <v>3995</v>
      </c>
      <c r="B3881" s="36">
        <v>45808.830555555556</v>
      </c>
      <c r="C3881" s="36">
        <v>45810.65763888889</v>
      </c>
      <c r="D3881" s="22" t="s">
        <v>36</v>
      </c>
      <c r="E3881" s="22" t="s">
        <v>69</v>
      </c>
      <c r="F3881" s="22" t="s">
        <v>45</v>
      </c>
      <c r="G3881" s="22" t="s">
        <v>113</v>
      </c>
      <c r="H3881" s="22" t="s">
        <v>67</v>
      </c>
      <c r="I3881" s="22" t="s">
        <v>108</v>
      </c>
      <c r="J3881" s="23">
        <v>120</v>
      </c>
      <c r="K3881" s="37">
        <v>0</v>
      </c>
      <c r="L3881" s="37">
        <v>3</v>
      </c>
      <c r="M3881" s="22">
        <f>IF(OR(ISBLANK(C3881),C3881=""),"",ROUND((C3881-B3881)*24,2))</f>
        <v>43.85</v>
      </c>
      <c r="N3881" s="40" t="str">
        <f>IF(OR(ISBLANK(C3881),C3881="",M3881=""),"In Progress",IF(M3881&lt;=J3881,"Met","Breached"))</f>
        <v>Met</v>
      </c>
    </row>
    <row r="3882" ht="19" customHeight="1" spans="1:14" x14ac:dyDescent="0.25">
      <c r="A3882" s="19" t="s">
        <v>3996</v>
      </c>
      <c r="B3882" s="33">
        <v>45708.04791666666</v>
      </c>
      <c r="D3882" s="19" t="s">
        <v>39</v>
      </c>
      <c r="E3882" s="19" t="s">
        <v>69</v>
      </c>
      <c r="F3882" s="19" t="s">
        <v>43</v>
      </c>
      <c r="G3882" s="19" t="s">
        <v>126</v>
      </c>
      <c r="H3882" s="19" t="s">
        <v>67</v>
      </c>
      <c r="I3882" s="19" t="s">
        <v>123</v>
      </c>
      <c r="J3882" s="20">
        <v>120</v>
      </c>
      <c r="K3882" s="34">
        <v>0</v>
      </c>
      <c r="M3882" s="19" t="str">
        <f>IF(OR(ISBLANK(C3882),C3882=""),"",ROUND((C3882-B3882)*24,2))</f>
        <v/>
      </c>
      <c r="N3882" s="19" t="str">
        <f>IF(OR(ISBLANK(C3882),C3882="",M3882=""),"In Progress",IF(M3882&lt;=J3882,"Met","Breached"))</f>
        <v>In Progress</v>
      </c>
    </row>
    <row r="3883" ht="19" customHeight="1" spans="1:14" x14ac:dyDescent="0.25">
      <c r="A3883" s="22" t="s">
        <v>3997</v>
      </c>
      <c r="B3883" s="36">
        <v>46182.61041666666</v>
      </c>
      <c r="D3883" s="22" t="s">
        <v>39</v>
      </c>
      <c r="E3883" s="22" t="s">
        <v>69</v>
      </c>
      <c r="F3883" s="22" t="s">
        <v>45</v>
      </c>
      <c r="G3883" s="22" t="s">
        <v>121</v>
      </c>
      <c r="H3883" s="22" t="s">
        <v>59</v>
      </c>
      <c r="I3883" s="22" t="s">
        <v>114</v>
      </c>
      <c r="J3883" s="23">
        <v>120</v>
      </c>
      <c r="K3883" s="37">
        <v>0</v>
      </c>
      <c r="M3883" s="22" t="str">
        <f>IF(OR(ISBLANK(C3883),C3883=""),"",ROUND((C3883-B3883)*24,2))</f>
        <v/>
      </c>
      <c r="N3883" s="22" t="str">
        <f>IF(OR(ISBLANK(C3883),C3883="",M3883=""),"In Progress",IF(M3883&lt;=J3883,"Met","Breached"))</f>
        <v>In Progress</v>
      </c>
    </row>
    <row r="3884" ht="19" customHeight="1" spans="1:14" x14ac:dyDescent="0.25">
      <c r="A3884" s="19" t="s">
        <v>3998</v>
      </c>
      <c r="B3884" s="33">
        <v>45715.20416666666</v>
      </c>
      <c r="C3884" s="33">
        <v>45716.56111111111</v>
      </c>
      <c r="D3884" s="19" t="s">
        <v>36</v>
      </c>
      <c r="E3884" s="19" t="s">
        <v>65</v>
      </c>
      <c r="F3884" s="19" t="s">
        <v>43</v>
      </c>
      <c r="G3884" s="19" t="s">
        <v>121</v>
      </c>
      <c r="H3884" s="19" t="s">
        <v>63</v>
      </c>
      <c r="I3884" s="19" t="s">
        <v>108</v>
      </c>
      <c r="J3884" s="20">
        <v>48</v>
      </c>
      <c r="K3884" s="34">
        <v>0</v>
      </c>
      <c r="L3884" s="34">
        <v>1</v>
      </c>
      <c r="M3884" s="19">
        <f>IF(OR(ISBLANK(C3884),C3884=""),"",ROUND((C3884-B3884)*24,2))</f>
        <v>32.57</v>
      </c>
      <c r="N3884" s="35" t="str">
        <f>IF(OR(ISBLANK(C3884),C3884="",M3884=""),"In Progress",IF(M3884&lt;=J3884,"Met","Breached"))</f>
        <v>Met</v>
      </c>
    </row>
    <row r="3885" ht="19" customHeight="1" spans="1:14" x14ac:dyDescent="0.25">
      <c r="A3885" s="22" t="s">
        <v>3999</v>
      </c>
      <c r="B3885" s="36">
        <v>45898.53263888889</v>
      </c>
      <c r="D3885" s="22" t="s">
        <v>42</v>
      </c>
      <c r="E3885" s="22" t="s">
        <v>61</v>
      </c>
      <c r="F3885" s="22" t="s">
        <v>37</v>
      </c>
      <c r="G3885" s="22" t="s">
        <v>113</v>
      </c>
      <c r="H3885" s="22" t="s">
        <v>63</v>
      </c>
      <c r="I3885" s="22" t="s">
        <v>111</v>
      </c>
      <c r="J3885" s="23">
        <v>12</v>
      </c>
      <c r="K3885" s="37">
        <v>0</v>
      </c>
      <c r="M3885" s="22" t="str">
        <f>IF(OR(ISBLANK(C3885),C3885=""),"",ROUND((C3885-B3885)*24,2))</f>
        <v/>
      </c>
      <c r="N3885" s="22" t="str">
        <f>IF(OR(ISBLANK(C3885),C3885="",M3885=""),"In Progress",IF(M3885&lt;=J3885,"Met","Breached"))</f>
        <v>In Progress</v>
      </c>
    </row>
    <row r="3886" ht="19" customHeight="1" spans="1:14" x14ac:dyDescent="0.25">
      <c r="A3886" s="19" t="s">
        <v>4000</v>
      </c>
      <c r="B3886" s="33">
        <v>45828.80138888889</v>
      </c>
      <c r="D3886" s="19" t="s">
        <v>39</v>
      </c>
      <c r="E3886" s="19" t="s">
        <v>69</v>
      </c>
      <c r="F3886" s="19" t="s">
        <v>40</v>
      </c>
      <c r="G3886" s="19" t="s">
        <v>116</v>
      </c>
      <c r="H3886" s="19" t="s">
        <v>71</v>
      </c>
      <c r="I3886" s="19" t="s">
        <v>123</v>
      </c>
      <c r="J3886" s="20">
        <v>120</v>
      </c>
      <c r="K3886" s="34">
        <v>0</v>
      </c>
      <c r="M3886" s="19" t="str">
        <f>IF(OR(ISBLANK(C3886),C3886=""),"",ROUND((C3886-B3886)*24,2))</f>
        <v/>
      </c>
      <c r="N3886" s="19" t="str">
        <f>IF(OR(ISBLANK(C3886),C3886="",M3886=""),"In Progress",IF(M3886&lt;=J3886,"Met","Breached"))</f>
        <v>In Progress</v>
      </c>
    </row>
    <row r="3887" ht="19" customHeight="1" spans="1:14" x14ac:dyDescent="0.25">
      <c r="A3887" s="22" t="s">
        <v>4001</v>
      </c>
      <c r="B3887" s="36">
        <v>45699.62986111111</v>
      </c>
      <c r="C3887" s="36">
        <v>45700.99444444444</v>
      </c>
      <c r="D3887" s="22" t="s">
        <v>36</v>
      </c>
      <c r="E3887" s="22" t="s">
        <v>65</v>
      </c>
      <c r="F3887" s="22" t="s">
        <v>45</v>
      </c>
      <c r="G3887" s="22" t="s">
        <v>113</v>
      </c>
      <c r="H3887" s="22" t="s">
        <v>63</v>
      </c>
      <c r="I3887" s="22" t="s">
        <v>117</v>
      </c>
      <c r="J3887" s="23">
        <v>48</v>
      </c>
      <c r="K3887" s="37">
        <v>0</v>
      </c>
      <c r="L3887" s="37">
        <v>3</v>
      </c>
      <c r="M3887" s="22">
        <f>IF(OR(ISBLANK(C3887),C3887=""),"",ROUND((C3887-B3887)*24,2))</f>
        <v>32.75</v>
      </c>
      <c r="N3887" s="40" t="str">
        <f>IF(OR(ISBLANK(C3887),C3887="",M3887=""),"In Progress",IF(M3887&lt;=J3887,"Met","Breached"))</f>
        <v>Met</v>
      </c>
    </row>
    <row r="3888" ht="19" customHeight="1" spans="1:14" x14ac:dyDescent="0.25">
      <c r="A3888" s="19" t="s">
        <v>4002</v>
      </c>
      <c r="B3888" s="33">
        <v>46017.07152777778</v>
      </c>
      <c r="C3888" s="33">
        <v>46022.07986111111</v>
      </c>
      <c r="D3888" s="19" t="s">
        <v>33</v>
      </c>
      <c r="E3888" s="19" t="s">
        <v>69</v>
      </c>
      <c r="F3888" s="19" t="s">
        <v>45</v>
      </c>
      <c r="G3888" s="19" t="s">
        <v>121</v>
      </c>
      <c r="H3888" s="19" t="s">
        <v>59</v>
      </c>
      <c r="I3888" s="19" t="s">
        <v>114</v>
      </c>
      <c r="J3888" s="20">
        <v>120</v>
      </c>
      <c r="K3888" s="34">
        <v>0</v>
      </c>
      <c r="M3888" s="19">
        <f>IF(OR(ISBLANK(C3888),C3888=""),"",ROUND((C3888-B3888)*24,2))</f>
        <v>120.2</v>
      </c>
      <c r="N3888" s="39" t="str">
        <f>IF(OR(ISBLANK(C3888),C3888="",M3888=""),"In Progress",IF(M3888&lt;=J3888,"Met","Breached"))</f>
        <v>Breached</v>
      </c>
    </row>
    <row r="3889" ht="19" customHeight="1" spans="1:14" x14ac:dyDescent="0.25">
      <c r="A3889" s="22" t="s">
        <v>4003</v>
      </c>
      <c r="B3889" s="36">
        <v>45720.75138888889</v>
      </c>
      <c r="D3889" s="22" t="s">
        <v>42</v>
      </c>
      <c r="E3889" s="22" t="s">
        <v>57</v>
      </c>
      <c r="F3889" s="22" t="s">
        <v>43</v>
      </c>
      <c r="G3889" s="22" t="s">
        <v>121</v>
      </c>
      <c r="H3889" s="22" t="s">
        <v>63</v>
      </c>
      <c r="I3889" s="22" t="s">
        <v>111</v>
      </c>
      <c r="J3889" s="23">
        <v>4</v>
      </c>
      <c r="K3889" s="37">
        <v>0</v>
      </c>
      <c r="M3889" s="22" t="str">
        <f>IF(OR(ISBLANK(C3889),C3889=""),"",ROUND((C3889-B3889)*24,2))</f>
        <v/>
      </c>
      <c r="N3889" s="22" t="str">
        <f>IF(OR(ISBLANK(C3889),C3889="",M3889=""),"In Progress",IF(M3889&lt;=J3889,"Met","Breached"))</f>
        <v>In Progress</v>
      </c>
    </row>
    <row r="3890" ht="19" customHeight="1" spans="1:14" x14ac:dyDescent="0.25">
      <c r="A3890" s="19" t="s">
        <v>4004</v>
      </c>
      <c r="B3890" s="33">
        <v>46236.486805555556</v>
      </c>
      <c r="C3890" s="33">
        <v>46236.80208333333</v>
      </c>
      <c r="D3890" s="19" t="s">
        <v>33</v>
      </c>
      <c r="E3890" s="19" t="s">
        <v>61</v>
      </c>
      <c r="F3890" s="19" t="s">
        <v>45</v>
      </c>
      <c r="G3890" s="19" t="s">
        <v>116</v>
      </c>
      <c r="H3890" s="19" t="s">
        <v>63</v>
      </c>
      <c r="I3890" s="19" t="s">
        <v>123</v>
      </c>
      <c r="J3890" s="20">
        <v>12</v>
      </c>
      <c r="K3890" s="34">
        <v>0</v>
      </c>
      <c r="M3890" s="19">
        <f>IF(OR(ISBLANK(C3890),C3890=""),"",ROUND((C3890-B3890)*24,2))</f>
        <v>7.57</v>
      </c>
      <c r="N3890" s="35" t="str">
        <f>IF(OR(ISBLANK(C3890),C3890="",M3890=""),"In Progress",IF(M3890&lt;=J3890,"Met","Breached"))</f>
        <v>Met</v>
      </c>
    </row>
    <row r="3891" ht="19" customHeight="1" spans="1:14" x14ac:dyDescent="0.25">
      <c r="A3891" s="22" t="s">
        <v>4005</v>
      </c>
      <c r="B3891" s="36">
        <v>45660.513194444444</v>
      </c>
      <c r="C3891" s="36">
        <v>45661.50625</v>
      </c>
      <c r="D3891" s="22" t="s">
        <v>36</v>
      </c>
      <c r="E3891" s="22" t="s">
        <v>65</v>
      </c>
      <c r="F3891" s="22" t="s">
        <v>43</v>
      </c>
      <c r="G3891" s="22" t="s">
        <v>126</v>
      </c>
      <c r="H3891" s="22" t="s">
        <v>63</v>
      </c>
      <c r="I3891" s="22" t="s">
        <v>123</v>
      </c>
      <c r="J3891" s="23">
        <v>48</v>
      </c>
      <c r="K3891" s="37">
        <v>0</v>
      </c>
      <c r="M3891" s="22">
        <f>IF(OR(ISBLANK(C3891),C3891=""),"",ROUND((C3891-B3891)*24,2))</f>
        <v>23.83</v>
      </c>
      <c r="N3891" s="40" t="str">
        <f>IF(OR(ISBLANK(C3891),C3891="",M3891=""),"In Progress",IF(M3891&lt;=J3891,"Met","Breached"))</f>
        <v>Met</v>
      </c>
    </row>
    <row r="3892" ht="19" customHeight="1" spans="1:14" x14ac:dyDescent="0.25">
      <c r="A3892" s="19" t="s">
        <v>4006</v>
      </c>
      <c r="B3892" s="33">
        <v>46154.089583333334</v>
      </c>
      <c r="C3892" s="33">
        <v>46157.14791666667</v>
      </c>
      <c r="D3892" s="19" t="s">
        <v>33</v>
      </c>
      <c r="E3892" s="19" t="s">
        <v>65</v>
      </c>
      <c r="F3892" s="19" t="s">
        <v>43</v>
      </c>
      <c r="G3892" s="19" t="s">
        <v>116</v>
      </c>
      <c r="H3892" s="19" t="s">
        <v>59</v>
      </c>
      <c r="I3892" s="19" t="s">
        <v>123</v>
      </c>
      <c r="J3892" s="20">
        <v>48</v>
      </c>
      <c r="K3892" s="34">
        <v>0</v>
      </c>
      <c r="L3892" s="34">
        <v>1</v>
      </c>
      <c r="M3892" s="19">
        <f>IF(OR(ISBLANK(C3892),C3892=""),"",ROUND((C3892-B3892)*24,2))</f>
        <v>73.4</v>
      </c>
      <c r="N3892" s="39" t="str">
        <f>IF(OR(ISBLANK(C3892),C3892="",M3892=""),"In Progress",IF(M3892&lt;=J3892,"Met","Breached"))</f>
        <v>Breached</v>
      </c>
    </row>
    <row r="3893" ht="19" customHeight="1" spans="1:14" x14ac:dyDescent="0.25">
      <c r="A3893" s="22" t="s">
        <v>4007</v>
      </c>
      <c r="B3893" s="36">
        <v>45911.56458333333</v>
      </c>
      <c r="C3893" s="36">
        <v>45912.169444444444</v>
      </c>
      <c r="D3893" s="22" t="s">
        <v>33</v>
      </c>
      <c r="E3893" s="22" t="s">
        <v>61</v>
      </c>
      <c r="F3893" s="22" t="s">
        <v>43</v>
      </c>
      <c r="G3893" s="22" t="s">
        <v>63</v>
      </c>
      <c r="H3893" s="22" t="s">
        <v>63</v>
      </c>
      <c r="I3893" s="22" t="s">
        <v>114</v>
      </c>
      <c r="J3893" s="23">
        <v>12</v>
      </c>
      <c r="K3893" s="37">
        <v>0</v>
      </c>
      <c r="M3893" s="22">
        <f>IF(OR(ISBLANK(C3893),C3893=""),"",ROUND((C3893-B3893)*24,2))</f>
        <v>14.52</v>
      </c>
      <c r="N3893" s="38" t="str">
        <f>IF(OR(ISBLANK(C3893),C3893="",M3893=""),"In Progress",IF(M3893&lt;=J3893,"Met","Breached"))</f>
        <v>Breached</v>
      </c>
    </row>
    <row r="3894" ht="19" customHeight="1" spans="1:14" x14ac:dyDescent="0.25">
      <c r="A3894" s="19" t="s">
        <v>4008</v>
      </c>
      <c r="B3894" s="33">
        <v>46090.97430555556</v>
      </c>
      <c r="C3894" s="33">
        <v>46092.930555555555</v>
      </c>
      <c r="D3894" s="19" t="s">
        <v>33</v>
      </c>
      <c r="E3894" s="19" t="s">
        <v>65</v>
      </c>
      <c r="F3894" s="19" t="s">
        <v>40</v>
      </c>
      <c r="G3894" s="19" t="s">
        <v>63</v>
      </c>
      <c r="H3894" s="19" t="s">
        <v>63</v>
      </c>
      <c r="I3894" s="19" t="s">
        <v>117</v>
      </c>
      <c r="J3894" s="20">
        <v>48</v>
      </c>
      <c r="K3894" s="34">
        <v>0</v>
      </c>
      <c r="L3894" s="34">
        <v>3</v>
      </c>
      <c r="M3894" s="19">
        <f>IF(OR(ISBLANK(C3894),C3894=""),"",ROUND((C3894-B3894)*24,2))</f>
        <v>46.95</v>
      </c>
      <c r="N3894" s="35" t="str">
        <f>IF(OR(ISBLANK(C3894),C3894="",M3894=""),"In Progress",IF(M3894&lt;=J3894,"Met","Breached"))</f>
        <v>Met</v>
      </c>
    </row>
    <row r="3895" ht="19" customHeight="1" spans="1:14" x14ac:dyDescent="0.25">
      <c r="A3895" s="22" t="s">
        <v>4009</v>
      </c>
      <c r="B3895" s="36">
        <v>45985.865277777775</v>
      </c>
      <c r="C3895" s="36">
        <v>45988.00069444445</v>
      </c>
      <c r="D3895" s="22" t="s">
        <v>36</v>
      </c>
      <c r="E3895" s="22" t="s">
        <v>65</v>
      </c>
      <c r="F3895" s="22" t="s">
        <v>34</v>
      </c>
      <c r="G3895" s="22" t="s">
        <v>121</v>
      </c>
      <c r="H3895" s="22" t="s">
        <v>63</v>
      </c>
      <c r="I3895" s="22" t="s">
        <v>108</v>
      </c>
      <c r="J3895" s="23">
        <v>48</v>
      </c>
      <c r="K3895" s="37">
        <v>0</v>
      </c>
      <c r="L3895" s="37">
        <v>5</v>
      </c>
      <c r="M3895" s="22">
        <f>IF(OR(ISBLANK(C3895),C3895=""),"",ROUND((C3895-B3895)*24,2))</f>
        <v>51.25</v>
      </c>
      <c r="N3895" s="38" t="str">
        <f>IF(OR(ISBLANK(C3895),C3895="",M3895=""),"In Progress",IF(M3895&lt;=J3895,"Met","Breached"))</f>
        <v>Breached</v>
      </c>
    </row>
    <row r="3896" ht="19" customHeight="1" spans="1:14" x14ac:dyDescent="0.25">
      <c r="A3896" s="19" t="s">
        <v>4010</v>
      </c>
      <c r="B3896" s="33">
        <v>46132.71805555555</v>
      </c>
      <c r="C3896" s="33">
        <v>46133.73402777778</v>
      </c>
      <c r="D3896" s="19" t="s">
        <v>33</v>
      </c>
      <c r="E3896" s="19" t="s">
        <v>65</v>
      </c>
      <c r="F3896" s="19" t="s">
        <v>34</v>
      </c>
      <c r="G3896" s="19" t="s">
        <v>116</v>
      </c>
      <c r="H3896" s="19" t="s">
        <v>71</v>
      </c>
      <c r="I3896" s="19" t="s">
        <v>147</v>
      </c>
      <c r="J3896" s="20">
        <v>48</v>
      </c>
      <c r="K3896" s="34">
        <v>0</v>
      </c>
      <c r="L3896" s="34">
        <v>4</v>
      </c>
      <c r="M3896" s="19">
        <f>IF(OR(ISBLANK(C3896),C3896=""),"",ROUND((C3896-B3896)*24,2))</f>
        <v>24.38</v>
      </c>
      <c r="N3896" s="35" t="str">
        <f>IF(OR(ISBLANK(C3896),C3896="",M3896=""),"In Progress",IF(M3896&lt;=J3896,"Met","Breached"))</f>
        <v>Met</v>
      </c>
    </row>
    <row r="3897" ht="19" customHeight="1" spans="1:14" x14ac:dyDescent="0.25">
      <c r="A3897" s="22" t="s">
        <v>4011</v>
      </c>
      <c r="B3897" s="36">
        <v>45707.51944444445</v>
      </c>
      <c r="C3897" s="36">
        <v>45707.975694444445</v>
      </c>
      <c r="D3897" s="22" t="s">
        <v>33</v>
      </c>
      <c r="E3897" s="22" t="s">
        <v>61</v>
      </c>
      <c r="F3897" s="22" t="s">
        <v>45</v>
      </c>
      <c r="G3897" s="22" t="s">
        <v>110</v>
      </c>
      <c r="H3897" s="22" t="s">
        <v>71</v>
      </c>
      <c r="I3897" s="22" t="s">
        <v>147</v>
      </c>
      <c r="J3897" s="23">
        <v>12</v>
      </c>
      <c r="K3897" s="37">
        <v>0</v>
      </c>
      <c r="L3897" s="37">
        <v>2</v>
      </c>
      <c r="M3897" s="22">
        <f>IF(OR(ISBLANK(C3897),C3897=""),"",ROUND((C3897-B3897)*24,2))</f>
        <v>10.95</v>
      </c>
      <c r="N3897" s="40" t="str">
        <f>IF(OR(ISBLANK(C3897),C3897="",M3897=""),"In Progress",IF(M3897&lt;=J3897,"Met","Breached"))</f>
        <v>Met</v>
      </c>
    </row>
    <row r="3898" ht="19" customHeight="1" spans="1:14" x14ac:dyDescent="0.25">
      <c r="A3898" s="19" t="s">
        <v>4012</v>
      </c>
      <c r="B3898" s="33">
        <v>45739.91527777778</v>
      </c>
      <c r="C3898" s="33">
        <v>45740.74513888889</v>
      </c>
      <c r="D3898" s="19" t="s">
        <v>33</v>
      </c>
      <c r="E3898" s="19" t="s">
        <v>65</v>
      </c>
      <c r="F3898" s="19" t="s">
        <v>37</v>
      </c>
      <c r="G3898" s="19" t="s">
        <v>126</v>
      </c>
      <c r="H3898" s="19" t="s">
        <v>59</v>
      </c>
      <c r="I3898" s="19" t="s">
        <v>111</v>
      </c>
      <c r="J3898" s="20">
        <v>48</v>
      </c>
      <c r="K3898" s="34">
        <v>0</v>
      </c>
      <c r="M3898" s="19">
        <f>IF(OR(ISBLANK(C3898),C3898=""),"",ROUND((C3898-B3898)*24,2))</f>
        <v>19.92</v>
      </c>
      <c r="N3898" s="35" t="str">
        <f>IF(OR(ISBLANK(C3898),C3898="",M3898=""),"In Progress",IF(M3898&lt;=J3898,"Met","Breached"))</f>
        <v>Met</v>
      </c>
    </row>
    <row r="3899" ht="19" customHeight="1" spans="1:14" x14ac:dyDescent="0.25">
      <c r="A3899" s="22" t="s">
        <v>4013</v>
      </c>
      <c r="B3899" s="36">
        <v>45688.74513888889</v>
      </c>
      <c r="C3899" s="36">
        <v>45691.48402777778</v>
      </c>
      <c r="D3899" s="22" t="s">
        <v>33</v>
      </c>
      <c r="E3899" s="22" t="s">
        <v>65</v>
      </c>
      <c r="F3899" s="22" t="s">
        <v>40</v>
      </c>
      <c r="G3899" s="22" t="s">
        <v>121</v>
      </c>
      <c r="H3899" s="22" t="s">
        <v>67</v>
      </c>
      <c r="I3899" s="22" t="s">
        <v>114</v>
      </c>
      <c r="J3899" s="23">
        <v>48</v>
      </c>
      <c r="K3899" s="37">
        <v>0</v>
      </c>
      <c r="M3899" s="22">
        <f>IF(OR(ISBLANK(C3899),C3899=""),"",ROUND((C3899-B3899)*24,2))</f>
        <v>65.73</v>
      </c>
      <c r="N3899" s="38" t="str">
        <f>IF(OR(ISBLANK(C3899),C3899="",M3899=""),"In Progress",IF(M3899&lt;=J3899,"Met","Breached"))</f>
        <v>Breached</v>
      </c>
    </row>
    <row r="3900" ht="19" customHeight="1" spans="1:14" x14ac:dyDescent="0.25">
      <c r="A3900" s="19" t="s">
        <v>4014</v>
      </c>
      <c r="B3900" s="33">
        <v>46011.64375</v>
      </c>
      <c r="C3900" s="33">
        <v>46013.68680555555</v>
      </c>
      <c r="D3900" s="19" t="s">
        <v>36</v>
      </c>
      <c r="E3900" s="19" t="s">
        <v>65</v>
      </c>
      <c r="F3900" s="19" t="s">
        <v>40</v>
      </c>
      <c r="G3900" s="19" t="s">
        <v>126</v>
      </c>
      <c r="H3900" s="19" t="s">
        <v>71</v>
      </c>
      <c r="I3900" s="19" t="s">
        <v>117</v>
      </c>
      <c r="J3900" s="20">
        <v>48</v>
      </c>
      <c r="K3900" s="34">
        <v>0</v>
      </c>
      <c r="L3900" s="34">
        <v>2</v>
      </c>
      <c r="M3900" s="19">
        <f>IF(OR(ISBLANK(C3900),C3900=""),"",ROUND((C3900-B3900)*24,2))</f>
        <v>49.03</v>
      </c>
      <c r="N3900" s="39" t="str">
        <f>IF(OR(ISBLANK(C3900),C3900="",M3900=""),"In Progress",IF(M3900&lt;=J3900,"Met","Breached"))</f>
        <v>Breached</v>
      </c>
    </row>
    <row r="3901" ht="19" customHeight="1" spans="1:14" x14ac:dyDescent="0.25">
      <c r="A3901" s="22" t="s">
        <v>4015</v>
      </c>
      <c r="B3901" s="36">
        <v>46140.24652777778</v>
      </c>
      <c r="C3901" s="36">
        <v>46140.631944444445</v>
      </c>
      <c r="D3901" s="22" t="s">
        <v>33</v>
      </c>
      <c r="E3901" s="22" t="s">
        <v>61</v>
      </c>
      <c r="F3901" s="22" t="s">
        <v>40</v>
      </c>
      <c r="G3901" s="22" t="s">
        <v>126</v>
      </c>
      <c r="H3901" s="22" t="s">
        <v>59</v>
      </c>
      <c r="I3901" s="22" t="s">
        <v>111</v>
      </c>
      <c r="J3901" s="23">
        <v>12</v>
      </c>
      <c r="K3901" s="37">
        <v>0</v>
      </c>
      <c r="L3901" s="37">
        <v>2</v>
      </c>
      <c r="M3901" s="22">
        <f>IF(OR(ISBLANK(C3901),C3901=""),"",ROUND((C3901-B3901)*24,2))</f>
        <v>9.25</v>
      </c>
      <c r="N3901" s="40" t="str">
        <f>IF(OR(ISBLANK(C3901),C3901="",M3901=""),"In Progress",IF(M3901&lt;=J3901,"Met","Breached"))</f>
        <v>Met</v>
      </c>
    </row>
    <row r="3902" ht="19" customHeight="1" spans="1:14" x14ac:dyDescent="0.25">
      <c r="A3902" s="19" t="s">
        <v>4016</v>
      </c>
      <c r="B3902" s="33">
        <v>45734.04375</v>
      </c>
      <c r="C3902" s="33">
        <v>45735.00277777778</v>
      </c>
      <c r="D3902" s="19" t="s">
        <v>33</v>
      </c>
      <c r="E3902" s="19" t="s">
        <v>65</v>
      </c>
      <c r="F3902" s="19" t="s">
        <v>43</v>
      </c>
      <c r="G3902" s="19" t="s">
        <v>113</v>
      </c>
      <c r="H3902" s="19" t="s">
        <v>59</v>
      </c>
      <c r="I3902" s="19" t="s">
        <v>111</v>
      </c>
      <c r="J3902" s="20">
        <v>48</v>
      </c>
      <c r="K3902" s="34">
        <v>0</v>
      </c>
      <c r="M3902" s="19">
        <f>IF(OR(ISBLANK(C3902),C3902=""),"",ROUND((C3902-B3902)*24,2))</f>
        <v>23.02</v>
      </c>
      <c r="N3902" s="35" t="str">
        <f>IF(OR(ISBLANK(C3902),C3902="",M3902=""),"In Progress",IF(M3902&lt;=J3902,"Met","Breached"))</f>
        <v>Met</v>
      </c>
    </row>
    <row r="3903" ht="19" customHeight="1" spans="1:14" x14ac:dyDescent="0.25">
      <c r="A3903" s="22" t="s">
        <v>4017</v>
      </c>
      <c r="B3903" s="36">
        <v>45734.90902777778</v>
      </c>
      <c r="C3903" s="36">
        <v>45735.61388888889</v>
      </c>
      <c r="D3903" s="22" t="s">
        <v>33</v>
      </c>
      <c r="E3903" s="22" t="s">
        <v>61</v>
      </c>
      <c r="F3903" s="22" t="s">
        <v>37</v>
      </c>
      <c r="G3903" s="22" t="s">
        <v>63</v>
      </c>
      <c r="H3903" s="22" t="s">
        <v>63</v>
      </c>
      <c r="I3903" s="22" t="s">
        <v>114</v>
      </c>
      <c r="J3903" s="23">
        <v>12</v>
      </c>
      <c r="K3903" s="37">
        <v>0</v>
      </c>
      <c r="L3903" s="37">
        <v>2</v>
      </c>
      <c r="M3903" s="22">
        <f>IF(OR(ISBLANK(C3903),C3903=""),"",ROUND((C3903-B3903)*24,2))</f>
        <v>16.92</v>
      </c>
      <c r="N3903" s="38" t="str">
        <f>IF(OR(ISBLANK(C3903),C3903="",M3903=""),"In Progress",IF(M3903&lt;=J3903,"Met","Breached"))</f>
        <v>Breached</v>
      </c>
    </row>
    <row r="3904" ht="19" customHeight="1" spans="1:14" x14ac:dyDescent="0.25">
      <c r="A3904" s="19" t="s">
        <v>4018</v>
      </c>
      <c r="B3904" s="33">
        <v>46227.81805555556</v>
      </c>
      <c r="C3904" s="33">
        <v>46234.59166666667</v>
      </c>
      <c r="D3904" s="19" t="s">
        <v>33</v>
      </c>
      <c r="E3904" s="19" t="s">
        <v>69</v>
      </c>
      <c r="F3904" s="19" t="s">
        <v>43</v>
      </c>
      <c r="G3904" s="19" t="s">
        <v>116</v>
      </c>
      <c r="H3904" s="19" t="s">
        <v>59</v>
      </c>
      <c r="I3904" s="19" t="s">
        <v>108</v>
      </c>
      <c r="J3904" s="20">
        <v>120</v>
      </c>
      <c r="K3904" s="34">
        <v>0</v>
      </c>
      <c r="M3904" s="19">
        <f>IF(OR(ISBLANK(C3904),C3904=""),"",ROUND((C3904-B3904)*24,2))</f>
        <v>162.57</v>
      </c>
      <c r="N3904" s="39" t="str">
        <f>IF(OR(ISBLANK(C3904),C3904="",M3904=""),"In Progress",IF(M3904&lt;=J3904,"Met","Breached"))</f>
        <v>Breached</v>
      </c>
    </row>
    <row r="3905" ht="19" customHeight="1" spans="1:14" x14ac:dyDescent="0.25">
      <c r="A3905" s="22" t="s">
        <v>4019</v>
      </c>
      <c r="B3905" s="36">
        <v>46238.82152777778</v>
      </c>
      <c r="C3905" s="36">
        <v>46239.52777777778</v>
      </c>
      <c r="D3905" s="22" t="s">
        <v>36</v>
      </c>
      <c r="E3905" s="22" t="s">
        <v>61</v>
      </c>
      <c r="F3905" s="22" t="s">
        <v>34</v>
      </c>
      <c r="G3905" s="22" t="s">
        <v>126</v>
      </c>
      <c r="H3905" s="22" t="s">
        <v>63</v>
      </c>
      <c r="I3905" s="22" t="s">
        <v>111</v>
      </c>
      <c r="J3905" s="23">
        <v>12</v>
      </c>
      <c r="K3905" s="37">
        <v>1</v>
      </c>
      <c r="L3905" s="37">
        <v>3</v>
      </c>
      <c r="M3905" s="22">
        <f>IF(OR(ISBLANK(C3905),C3905=""),"",ROUND((C3905-B3905)*24,2))</f>
        <v>16.95</v>
      </c>
      <c r="N3905" s="38" t="str">
        <f>IF(OR(ISBLANK(C3905),C3905="",M3905=""),"In Progress",IF(M3905&lt;=J3905,"Met","Breached"))</f>
        <v>Breached</v>
      </c>
    </row>
    <row r="3906" ht="19" customHeight="1" spans="1:14" x14ac:dyDescent="0.25">
      <c r="A3906" s="19" t="s">
        <v>4020</v>
      </c>
      <c r="B3906" s="33">
        <v>46135.92847222222</v>
      </c>
      <c r="D3906" s="19" t="s">
        <v>39</v>
      </c>
      <c r="E3906" s="19" t="s">
        <v>65</v>
      </c>
      <c r="F3906" s="19" t="s">
        <v>34</v>
      </c>
      <c r="G3906" s="19" t="s">
        <v>121</v>
      </c>
      <c r="H3906" s="19" t="s">
        <v>59</v>
      </c>
      <c r="I3906" s="19" t="s">
        <v>111</v>
      </c>
      <c r="J3906" s="20">
        <v>48</v>
      </c>
      <c r="K3906" s="34">
        <v>0</v>
      </c>
      <c r="M3906" s="19" t="str">
        <f>IF(OR(ISBLANK(C3906),C3906=""),"",ROUND((C3906-B3906)*24,2))</f>
        <v/>
      </c>
      <c r="N3906" s="19" t="str">
        <f>IF(OR(ISBLANK(C3906),C3906="",M3906=""),"In Progress",IF(M3906&lt;=J3906,"Met","Breached"))</f>
        <v>In Progress</v>
      </c>
    </row>
    <row r="3907" ht="19" customHeight="1" spans="1:14" x14ac:dyDescent="0.25">
      <c r="A3907" s="22" t="s">
        <v>4021</v>
      </c>
      <c r="B3907" s="36">
        <v>46064.34722222222</v>
      </c>
      <c r="D3907" s="22" t="s">
        <v>39</v>
      </c>
      <c r="E3907" s="22" t="s">
        <v>65</v>
      </c>
      <c r="F3907" s="22" t="s">
        <v>34</v>
      </c>
      <c r="G3907" s="22" t="s">
        <v>110</v>
      </c>
      <c r="H3907" s="22" t="s">
        <v>59</v>
      </c>
      <c r="I3907" s="22" t="s">
        <v>117</v>
      </c>
      <c r="J3907" s="23">
        <v>48</v>
      </c>
      <c r="K3907" s="37">
        <v>0</v>
      </c>
      <c r="M3907" s="22" t="str">
        <f>IF(OR(ISBLANK(C3907),C3907=""),"",ROUND((C3907-B3907)*24,2))</f>
        <v/>
      </c>
      <c r="N3907" s="22" t="str">
        <f>IF(OR(ISBLANK(C3907),C3907="",M3907=""),"In Progress",IF(M3907&lt;=J3907,"Met","Breached"))</f>
        <v>In Progress</v>
      </c>
    </row>
    <row r="3908" ht="19" customHeight="1" spans="1:14" x14ac:dyDescent="0.25">
      <c r="A3908" s="19" t="s">
        <v>4022</v>
      </c>
      <c r="B3908" s="33">
        <v>46032.99375</v>
      </c>
      <c r="C3908" s="33">
        <v>46040.05</v>
      </c>
      <c r="D3908" s="19" t="s">
        <v>33</v>
      </c>
      <c r="E3908" s="19" t="s">
        <v>69</v>
      </c>
      <c r="F3908" s="19" t="s">
        <v>45</v>
      </c>
      <c r="G3908" s="19" t="s">
        <v>110</v>
      </c>
      <c r="H3908" s="19" t="s">
        <v>63</v>
      </c>
      <c r="I3908" s="19" t="s">
        <v>147</v>
      </c>
      <c r="J3908" s="20">
        <v>120</v>
      </c>
      <c r="K3908" s="34">
        <v>0</v>
      </c>
      <c r="L3908" s="34">
        <v>4</v>
      </c>
      <c r="M3908" s="19">
        <f>IF(OR(ISBLANK(C3908),C3908=""),"",ROUND((C3908-B3908)*24,2))</f>
        <v>169.35</v>
      </c>
      <c r="N3908" s="39" t="str">
        <f>IF(OR(ISBLANK(C3908),C3908="",M3908=""),"In Progress",IF(M3908&lt;=J3908,"Met","Breached"))</f>
        <v>Breached</v>
      </c>
    </row>
    <row r="3909" ht="19" customHeight="1" spans="1:14" x14ac:dyDescent="0.25">
      <c r="A3909" s="22" t="s">
        <v>4023</v>
      </c>
      <c r="B3909" s="36">
        <v>45996.94097222222</v>
      </c>
      <c r="C3909" s="36">
        <v>45996.99166666667</v>
      </c>
      <c r="D3909" s="22" t="s">
        <v>33</v>
      </c>
      <c r="E3909" s="22" t="s">
        <v>57</v>
      </c>
      <c r="F3909" s="22" t="s">
        <v>43</v>
      </c>
      <c r="G3909" s="22" t="s">
        <v>63</v>
      </c>
      <c r="H3909" s="22" t="s">
        <v>59</v>
      </c>
      <c r="I3909" s="22" t="s">
        <v>108</v>
      </c>
      <c r="J3909" s="23">
        <v>4</v>
      </c>
      <c r="K3909" s="37">
        <v>0</v>
      </c>
      <c r="L3909" s="37">
        <v>2</v>
      </c>
      <c r="M3909" s="22">
        <f>IF(OR(ISBLANK(C3909),C3909=""),"",ROUND((C3909-B3909)*24,2))</f>
        <v>1.22</v>
      </c>
      <c r="N3909" s="40" t="str">
        <f>IF(OR(ISBLANK(C3909),C3909="",M3909=""),"In Progress",IF(M3909&lt;=J3909,"Met","Breached"))</f>
        <v>Met</v>
      </c>
    </row>
    <row r="3910" ht="19" customHeight="1" spans="1:14" x14ac:dyDescent="0.25">
      <c r="A3910" s="19" t="s">
        <v>4024</v>
      </c>
      <c r="B3910" s="33">
        <v>45718.87013888889</v>
      </c>
      <c r="C3910" s="33">
        <v>45721.12847222222</v>
      </c>
      <c r="D3910" s="19" t="s">
        <v>33</v>
      </c>
      <c r="E3910" s="19" t="s">
        <v>65</v>
      </c>
      <c r="F3910" s="19" t="s">
        <v>45</v>
      </c>
      <c r="G3910" s="19" t="s">
        <v>126</v>
      </c>
      <c r="H3910" s="19" t="s">
        <v>59</v>
      </c>
      <c r="I3910" s="19" t="s">
        <v>123</v>
      </c>
      <c r="J3910" s="20">
        <v>48</v>
      </c>
      <c r="K3910" s="34">
        <v>0</v>
      </c>
      <c r="L3910" s="34">
        <v>3</v>
      </c>
      <c r="M3910" s="19">
        <f>IF(OR(ISBLANK(C3910),C3910=""),"",ROUND((C3910-B3910)*24,2))</f>
        <v>54.2</v>
      </c>
      <c r="N3910" s="39" t="str">
        <f>IF(OR(ISBLANK(C3910),C3910="",M3910=""),"In Progress",IF(M3910&lt;=J3910,"Met","Breached"))</f>
        <v>Breached</v>
      </c>
    </row>
    <row r="3911" ht="19" customHeight="1" spans="1:14" x14ac:dyDescent="0.25">
      <c r="A3911" s="22" t="s">
        <v>4025</v>
      </c>
      <c r="B3911" s="36">
        <v>46038.01111111111</v>
      </c>
      <c r="C3911" s="36">
        <v>46038.868055555555</v>
      </c>
      <c r="D3911" s="22" t="s">
        <v>33</v>
      </c>
      <c r="E3911" s="22" t="s">
        <v>65</v>
      </c>
      <c r="F3911" s="22" t="s">
        <v>37</v>
      </c>
      <c r="G3911" s="22" t="s">
        <v>110</v>
      </c>
      <c r="H3911" s="22" t="s">
        <v>59</v>
      </c>
      <c r="I3911" s="22" t="s">
        <v>123</v>
      </c>
      <c r="J3911" s="23">
        <v>48</v>
      </c>
      <c r="K3911" s="37">
        <v>0</v>
      </c>
      <c r="M3911" s="22">
        <f>IF(OR(ISBLANK(C3911),C3911=""),"",ROUND((C3911-B3911)*24,2))</f>
        <v>20.57</v>
      </c>
      <c r="N3911" s="40" t="str">
        <f>IF(OR(ISBLANK(C3911),C3911="",M3911=""),"In Progress",IF(M3911&lt;=J3911,"Met","Breached"))</f>
        <v>Met</v>
      </c>
    </row>
    <row r="3912" ht="19" customHeight="1" spans="1:14" x14ac:dyDescent="0.25">
      <c r="A3912" s="19" t="s">
        <v>4026</v>
      </c>
      <c r="B3912" s="33">
        <v>46094.83472222222</v>
      </c>
      <c r="C3912" s="33">
        <v>46095.84305555555</v>
      </c>
      <c r="D3912" s="19" t="s">
        <v>33</v>
      </c>
      <c r="E3912" s="19" t="s">
        <v>65</v>
      </c>
      <c r="F3912" s="19" t="s">
        <v>43</v>
      </c>
      <c r="G3912" s="19" t="s">
        <v>126</v>
      </c>
      <c r="H3912" s="19" t="s">
        <v>67</v>
      </c>
      <c r="I3912" s="19" t="s">
        <v>147</v>
      </c>
      <c r="J3912" s="20">
        <v>48</v>
      </c>
      <c r="K3912" s="34">
        <v>0</v>
      </c>
      <c r="L3912" s="34">
        <v>4</v>
      </c>
      <c r="M3912" s="19">
        <f>IF(OR(ISBLANK(C3912),C3912=""),"",ROUND((C3912-B3912)*24,2))</f>
        <v>24.2</v>
      </c>
      <c r="N3912" s="35" t="str">
        <f>IF(OR(ISBLANK(C3912),C3912="",M3912=""),"In Progress",IF(M3912&lt;=J3912,"Met","Breached"))</f>
        <v>Met</v>
      </c>
    </row>
    <row r="3913" ht="19" customHeight="1" spans="1:14" x14ac:dyDescent="0.25">
      <c r="A3913" s="22" t="s">
        <v>4027</v>
      </c>
      <c r="B3913" s="36">
        <v>45973.42847222222</v>
      </c>
      <c r="C3913" s="36">
        <v>45975.697222222225</v>
      </c>
      <c r="D3913" s="22" t="s">
        <v>36</v>
      </c>
      <c r="E3913" s="22" t="s">
        <v>65</v>
      </c>
      <c r="F3913" s="22" t="s">
        <v>40</v>
      </c>
      <c r="G3913" s="22" t="s">
        <v>113</v>
      </c>
      <c r="H3913" s="22" t="s">
        <v>59</v>
      </c>
      <c r="I3913" s="22" t="s">
        <v>114</v>
      </c>
      <c r="J3913" s="23">
        <v>48</v>
      </c>
      <c r="K3913" s="37">
        <v>0</v>
      </c>
      <c r="L3913" s="37">
        <v>5</v>
      </c>
      <c r="M3913" s="22">
        <f>IF(OR(ISBLANK(C3913),C3913=""),"",ROUND((C3913-B3913)*24,2))</f>
        <v>54.45</v>
      </c>
      <c r="N3913" s="38" t="str">
        <f>IF(OR(ISBLANK(C3913),C3913="",M3913=""),"In Progress",IF(M3913&lt;=J3913,"Met","Breached"))</f>
        <v>Breached</v>
      </c>
    </row>
    <row r="3914" ht="19" customHeight="1" spans="1:14" x14ac:dyDescent="0.25">
      <c r="A3914" s="19" t="s">
        <v>4028</v>
      </c>
      <c r="B3914" s="33">
        <v>45784.42222222222</v>
      </c>
      <c r="C3914" s="33">
        <v>45787.478472222225</v>
      </c>
      <c r="D3914" s="19" t="s">
        <v>36</v>
      </c>
      <c r="E3914" s="19" t="s">
        <v>65</v>
      </c>
      <c r="F3914" s="19" t="s">
        <v>43</v>
      </c>
      <c r="G3914" s="19" t="s">
        <v>116</v>
      </c>
      <c r="H3914" s="19" t="s">
        <v>67</v>
      </c>
      <c r="I3914" s="19" t="s">
        <v>147</v>
      </c>
      <c r="J3914" s="20">
        <v>48</v>
      </c>
      <c r="K3914" s="34">
        <v>0</v>
      </c>
      <c r="L3914" s="34">
        <v>4</v>
      </c>
      <c r="M3914" s="19">
        <f>IF(OR(ISBLANK(C3914),C3914=""),"",ROUND((C3914-B3914)*24,2))</f>
        <v>73.35</v>
      </c>
      <c r="N3914" s="39" t="str">
        <f>IF(OR(ISBLANK(C3914),C3914="",M3914=""),"In Progress",IF(M3914&lt;=J3914,"Met","Breached"))</f>
        <v>Breached</v>
      </c>
    </row>
    <row r="3915" ht="19" customHeight="1" spans="1:14" x14ac:dyDescent="0.25">
      <c r="A3915" s="22" t="s">
        <v>4029</v>
      </c>
      <c r="B3915" s="36">
        <v>45729.71666666667</v>
      </c>
      <c r="C3915" s="36">
        <v>45733.62152777778</v>
      </c>
      <c r="D3915" s="22" t="s">
        <v>36</v>
      </c>
      <c r="E3915" s="22" t="s">
        <v>69</v>
      </c>
      <c r="F3915" s="22" t="s">
        <v>43</v>
      </c>
      <c r="G3915" s="22" t="s">
        <v>63</v>
      </c>
      <c r="H3915" s="22" t="s">
        <v>63</v>
      </c>
      <c r="I3915" s="22" t="s">
        <v>111</v>
      </c>
      <c r="J3915" s="23">
        <v>120</v>
      </c>
      <c r="K3915" s="37">
        <v>0</v>
      </c>
      <c r="L3915" s="37">
        <v>1</v>
      </c>
      <c r="M3915" s="22">
        <f>IF(OR(ISBLANK(C3915),C3915=""),"",ROUND((C3915-B3915)*24,2))</f>
        <v>93.72</v>
      </c>
      <c r="N3915" s="40" t="str">
        <f>IF(OR(ISBLANK(C3915),C3915="",M3915=""),"In Progress",IF(M3915&lt;=J3915,"Met","Breached"))</f>
        <v>Met</v>
      </c>
    </row>
    <row r="3916" ht="19" customHeight="1" spans="1:14" x14ac:dyDescent="0.25">
      <c r="A3916" s="19" t="s">
        <v>4030</v>
      </c>
      <c r="B3916" s="33">
        <v>45845.570138888885</v>
      </c>
      <c r="D3916" s="19" t="s">
        <v>39</v>
      </c>
      <c r="E3916" s="19" t="s">
        <v>65</v>
      </c>
      <c r="F3916" s="19" t="s">
        <v>40</v>
      </c>
      <c r="G3916" s="19" t="s">
        <v>113</v>
      </c>
      <c r="H3916" s="19" t="s">
        <v>59</v>
      </c>
      <c r="I3916" s="19" t="s">
        <v>123</v>
      </c>
      <c r="J3916" s="20">
        <v>48</v>
      </c>
      <c r="K3916" s="34">
        <v>0</v>
      </c>
      <c r="M3916" s="19" t="str">
        <f>IF(OR(ISBLANK(C3916),C3916=""),"",ROUND((C3916-B3916)*24,2))</f>
        <v/>
      </c>
      <c r="N3916" s="19" t="str">
        <f>IF(OR(ISBLANK(C3916),C3916="",M3916=""),"In Progress",IF(M3916&lt;=J3916,"Met","Breached"))</f>
        <v>In Progress</v>
      </c>
    </row>
    <row r="3917" ht="19" customHeight="1" spans="1:14" x14ac:dyDescent="0.25">
      <c r="A3917" s="22" t="s">
        <v>4031</v>
      </c>
      <c r="B3917" s="36">
        <v>45997.06736111111</v>
      </c>
      <c r="D3917" s="22" t="s">
        <v>39</v>
      </c>
      <c r="E3917" s="22" t="s">
        <v>57</v>
      </c>
      <c r="F3917" s="22" t="s">
        <v>40</v>
      </c>
      <c r="G3917" s="22" t="s">
        <v>63</v>
      </c>
      <c r="H3917" s="22" t="s">
        <v>59</v>
      </c>
      <c r="I3917" s="22" t="s">
        <v>117</v>
      </c>
      <c r="J3917" s="23">
        <v>4</v>
      </c>
      <c r="K3917" s="37">
        <v>0</v>
      </c>
      <c r="M3917" s="22" t="str">
        <f>IF(OR(ISBLANK(C3917),C3917=""),"",ROUND((C3917-B3917)*24,2))</f>
        <v/>
      </c>
      <c r="N3917" s="22" t="str">
        <f>IF(OR(ISBLANK(C3917),C3917="",M3917=""),"In Progress",IF(M3917&lt;=J3917,"Met","Breached"))</f>
        <v>In Progress</v>
      </c>
    </row>
    <row r="3918" ht="19" customHeight="1" spans="1:14" x14ac:dyDescent="0.25">
      <c r="A3918" s="19" t="s">
        <v>4032</v>
      </c>
      <c r="B3918" s="33">
        <v>46144.63333333333</v>
      </c>
      <c r="C3918" s="33">
        <v>46147.86875</v>
      </c>
      <c r="D3918" s="19" t="s">
        <v>36</v>
      </c>
      <c r="E3918" s="19" t="s">
        <v>65</v>
      </c>
      <c r="F3918" s="19" t="s">
        <v>34</v>
      </c>
      <c r="G3918" s="19" t="s">
        <v>113</v>
      </c>
      <c r="H3918" s="19" t="s">
        <v>59</v>
      </c>
      <c r="I3918" s="19" t="s">
        <v>114</v>
      </c>
      <c r="J3918" s="20">
        <v>48</v>
      </c>
      <c r="K3918" s="34">
        <v>0</v>
      </c>
      <c r="L3918" s="34">
        <v>3</v>
      </c>
      <c r="M3918" s="19">
        <f>IF(OR(ISBLANK(C3918),C3918=""),"",ROUND((C3918-B3918)*24,2))</f>
        <v>77.65</v>
      </c>
      <c r="N3918" s="39" t="str">
        <f>IF(OR(ISBLANK(C3918),C3918="",M3918=""),"In Progress",IF(M3918&lt;=J3918,"Met","Breached"))</f>
        <v>Breached</v>
      </c>
    </row>
    <row r="3919" ht="19" customHeight="1" spans="1:14" x14ac:dyDescent="0.25">
      <c r="A3919" s="22" t="s">
        <v>4033</v>
      </c>
      <c r="B3919" s="36">
        <v>46007.294444444444</v>
      </c>
      <c r="C3919" s="36">
        <v>46010.57152777778</v>
      </c>
      <c r="D3919" s="22" t="s">
        <v>36</v>
      </c>
      <c r="E3919" s="22" t="s">
        <v>65</v>
      </c>
      <c r="F3919" s="22" t="s">
        <v>37</v>
      </c>
      <c r="G3919" s="22" t="s">
        <v>110</v>
      </c>
      <c r="H3919" s="22" t="s">
        <v>59</v>
      </c>
      <c r="I3919" s="22" t="s">
        <v>111</v>
      </c>
      <c r="J3919" s="23">
        <v>48</v>
      </c>
      <c r="K3919" s="37">
        <v>0</v>
      </c>
      <c r="L3919" s="37">
        <v>5</v>
      </c>
      <c r="M3919" s="22">
        <f>IF(OR(ISBLANK(C3919),C3919=""),"",ROUND((C3919-B3919)*24,2))</f>
        <v>78.65</v>
      </c>
      <c r="N3919" s="38" t="str">
        <f>IF(OR(ISBLANK(C3919),C3919="",M3919=""),"In Progress",IF(M3919&lt;=J3919,"Met","Breached"))</f>
        <v>Breached</v>
      </c>
    </row>
    <row r="3920" ht="19" customHeight="1" spans="1:14" x14ac:dyDescent="0.25">
      <c r="A3920" s="19" t="s">
        <v>4034</v>
      </c>
      <c r="B3920" s="33">
        <v>46018.60555555555</v>
      </c>
      <c r="C3920" s="33">
        <v>46022.14097222222</v>
      </c>
      <c r="D3920" s="19" t="s">
        <v>33</v>
      </c>
      <c r="E3920" s="19" t="s">
        <v>65</v>
      </c>
      <c r="F3920" s="19" t="s">
        <v>45</v>
      </c>
      <c r="G3920" s="19" t="s">
        <v>121</v>
      </c>
      <c r="H3920" s="19" t="s">
        <v>71</v>
      </c>
      <c r="I3920" s="19" t="s">
        <v>147</v>
      </c>
      <c r="J3920" s="20">
        <v>48</v>
      </c>
      <c r="K3920" s="34">
        <v>0</v>
      </c>
      <c r="L3920" s="34">
        <v>4</v>
      </c>
      <c r="M3920" s="19">
        <f>IF(OR(ISBLANK(C3920),C3920=""),"",ROUND((C3920-B3920)*24,2))</f>
        <v>84.85</v>
      </c>
      <c r="N3920" s="39" t="str">
        <f>IF(OR(ISBLANK(C3920),C3920="",M3920=""),"In Progress",IF(M3920&lt;=J3920,"Met","Breached"))</f>
        <v>Breached</v>
      </c>
    </row>
    <row r="3921" ht="19" customHeight="1" spans="1:14" x14ac:dyDescent="0.25">
      <c r="A3921" s="22" t="s">
        <v>4035</v>
      </c>
      <c r="B3921" s="36">
        <v>46202.03125</v>
      </c>
      <c r="C3921" s="36">
        <v>46202.6375</v>
      </c>
      <c r="D3921" s="22" t="s">
        <v>33</v>
      </c>
      <c r="E3921" s="22" t="s">
        <v>61</v>
      </c>
      <c r="F3921" s="22" t="s">
        <v>45</v>
      </c>
      <c r="G3921" s="22" t="s">
        <v>63</v>
      </c>
      <c r="H3921" s="22" t="s">
        <v>59</v>
      </c>
      <c r="I3921" s="22" t="s">
        <v>108</v>
      </c>
      <c r="J3921" s="23">
        <v>12</v>
      </c>
      <c r="K3921" s="37">
        <v>0</v>
      </c>
      <c r="M3921" s="22">
        <f>IF(OR(ISBLANK(C3921),C3921=""),"",ROUND((C3921-B3921)*24,2))</f>
        <v>14.55</v>
      </c>
      <c r="N3921" s="38" t="str">
        <f>IF(OR(ISBLANK(C3921),C3921="",M3921=""),"In Progress",IF(M3921&lt;=J3921,"Met","Breached"))</f>
        <v>Breached</v>
      </c>
    </row>
    <row r="3922" ht="19" customHeight="1" spans="1:14" x14ac:dyDescent="0.25">
      <c r="A3922" s="19" t="s">
        <v>4036</v>
      </c>
      <c r="B3922" s="33">
        <v>46201.790972222225</v>
      </c>
      <c r="C3922" s="33">
        <v>46205.06875</v>
      </c>
      <c r="D3922" s="19" t="s">
        <v>33</v>
      </c>
      <c r="E3922" s="19" t="s">
        <v>65</v>
      </c>
      <c r="F3922" s="19" t="s">
        <v>45</v>
      </c>
      <c r="G3922" s="19" t="s">
        <v>110</v>
      </c>
      <c r="H3922" s="19" t="s">
        <v>67</v>
      </c>
      <c r="I3922" s="19" t="s">
        <v>111</v>
      </c>
      <c r="J3922" s="20">
        <v>48</v>
      </c>
      <c r="K3922" s="34">
        <v>0</v>
      </c>
      <c r="M3922" s="19">
        <f>IF(OR(ISBLANK(C3922),C3922=""),"",ROUND((C3922-B3922)*24,2))</f>
        <v>78.67</v>
      </c>
      <c r="N3922" s="39" t="str">
        <f>IF(OR(ISBLANK(C3922),C3922="",M3922=""),"In Progress",IF(M3922&lt;=J3922,"Met","Breached"))</f>
        <v>Breached</v>
      </c>
    </row>
    <row r="3923" ht="19" customHeight="1" spans="1:14" x14ac:dyDescent="0.25">
      <c r="A3923" s="22" t="s">
        <v>4037</v>
      </c>
      <c r="B3923" s="36">
        <v>46154.29236111111</v>
      </c>
      <c r="D3923" s="22" t="s">
        <v>42</v>
      </c>
      <c r="E3923" s="22" t="s">
        <v>65</v>
      </c>
      <c r="F3923" s="22" t="s">
        <v>37</v>
      </c>
      <c r="G3923" s="22" t="s">
        <v>116</v>
      </c>
      <c r="H3923" s="22" t="s">
        <v>67</v>
      </c>
      <c r="I3923" s="22" t="s">
        <v>117</v>
      </c>
      <c r="J3923" s="23">
        <v>48</v>
      </c>
      <c r="K3923" s="37">
        <v>0</v>
      </c>
      <c r="M3923" s="22" t="str">
        <f>IF(OR(ISBLANK(C3923),C3923=""),"",ROUND((C3923-B3923)*24,2))</f>
        <v/>
      </c>
      <c r="N3923" s="22" t="str">
        <f>IF(OR(ISBLANK(C3923),C3923="",M3923=""),"In Progress",IF(M3923&lt;=J3923,"Met","Breached"))</f>
        <v>In Progress</v>
      </c>
    </row>
    <row r="3924" ht="19" customHeight="1" spans="1:14" x14ac:dyDescent="0.25">
      <c r="A3924" s="19" t="s">
        <v>4038</v>
      </c>
      <c r="B3924" s="33">
        <v>45705.433333333334</v>
      </c>
      <c r="D3924" s="19" t="s">
        <v>42</v>
      </c>
      <c r="E3924" s="19" t="s">
        <v>61</v>
      </c>
      <c r="F3924" s="19" t="s">
        <v>45</v>
      </c>
      <c r="G3924" s="19" t="s">
        <v>121</v>
      </c>
      <c r="H3924" s="19" t="s">
        <v>71</v>
      </c>
      <c r="I3924" s="19" t="s">
        <v>108</v>
      </c>
      <c r="J3924" s="20">
        <v>12</v>
      </c>
      <c r="K3924" s="34">
        <v>0</v>
      </c>
      <c r="M3924" s="19" t="str">
        <f>IF(OR(ISBLANK(C3924),C3924=""),"",ROUND((C3924-B3924)*24,2))</f>
        <v/>
      </c>
      <c r="N3924" s="19" t="str">
        <f>IF(OR(ISBLANK(C3924),C3924="",M3924=""),"In Progress",IF(M3924&lt;=J3924,"Met","Breached"))</f>
        <v>In Progress</v>
      </c>
    </row>
    <row r="3925" ht="19" customHeight="1" spans="1:14" x14ac:dyDescent="0.25">
      <c r="A3925" s="22" t="s">
        <v>4039</v>
      </c>
      <c r="B3925" s="36">
        <v>45814.2</v>
      </c>
      <c r="C3925" s="36">
        <v>45814.49652777778</v>
      </c>
      <c r="D3925" s="22" t="s">
        <v>33</v>
      </c>
      <c r="E3925" s="22" t="s">
        <v>57</v>
      </c>
      <c r="F3925" s="22" t="s">
        <v>40</v>
      </c>
      <c r="G3925" s="22" t="s">
        <v>110</v>
      </c>
      <c r="H3925" s="22" t="s">
        <v>67</v>
      </c>
      <c r="I3925" s="22" t="s">
        <v>147</v>
      </c>
      <c r="J3925" s="23">
        <v>4</v>
      </c>
      <c r="K3925" s="37">
        <v>0</v>
      </c>
      <c r="L3925" s="37">
        <v>3</v>
      </c>
      <c r="M3925" s="22">
        <f>IF(OR(ISBLANK(C3925),C3925=""),"",ROUND((C3925-B3925)*24,2))</f>
        <v>7.12</v>
      </c>
      <c r="N3925" s="38" t="str">
        <f>IF(OR(ISBLANK(C3925),C3925="",M3925=""),"In Progress",IF(M3925&lt;=J3925,"Met","Breached"))</f>
        <v>Breached</v>
      </c>
    </row>
    <row r="3926" ht="19" customHeight="1" spans="1:14" x14ac:dyDescent="0.25">
      <c r="A3926" s="19" t="s">
        <v>4040</v>
      </c>
      <c r="B3926" s="33">
        <v>45882.554861111115</v>
      </c>
      <c r="C3926" s="33">
        <v>45884.42847222222</v>
      </c>
      <c r="D3926" s="19" t="s">
        <v>36</v>
      </c>
      <c r="E3926" s="19" t="s">
        <v>65</v>
      </c>
      <c r="F3926" s="19" t="s">
        <v>45</v>
      </c>
      <c r="G3926" s="19" t="s">
        <v>113</v>
      </c>
      <c r="H3926" s="19" t="s">
        <v>71</v>
      </c>
      <c r="I3926" s="19" t="s">
        <v>147</v>
      </c>
      <c r="J3926" s="20">
        <v>48</v>
      </c>
      <c r="K3926" s="34">
        <v>1</v>
      </c>
      <c r="M3926" s="19">
        <f>IF(OR(ISBLANK(C3926),C3926=""),"",ROUND((C3926-B3926)*24,2))</f>
        <v>44.97</v>
      </c>
      <c r="N3926" s="35" t="str">
        <f>IF(OR(ISBLANK(C3926),C3926="",M3926=""),"In Progress",IF(M3926&lt;=J3926,"Met","Breached"))</f>
        <v>Met</v>
      </c>
    </row>
    <row r="3927" ht="19" customHeight="1" spans="1:14" x14ac:dyDescent="0.25">
      <c r="A3927" s="22" t="s">
        <v>4041</v>
      </c>
      <c r="B3927" s="36">
        <v>46075.96319444444</v>
      </c>
      <c r="C3927" s="36">
        <v>46076.79027777778</v>
      </c>
      <c r="D3927" s="22" t="s">
        <v>33</v>
      </c>
      <c r="E3927" s="22" t="s">
        <v>65</v>
      </c>
      <c r="F3927" s="22" t="s">
        <v>37</v>
      </c>
      <c r="G3927" s="22" t="s">
        <v>116</v>
      </c>
      <c r="H3927" s="22" t="s">
        <v>71</v>
      </c>
      <c r="I3927" s="22" t="s">
        <v>108</v>
      </c>
      <c r="J3927" s="23">
        <v>48</v>
      </c>
      <c r="K3927" s="37">
        <v>0</v>
      </c>
      <c r="M3927" s="22">
        <f>IF(OR(ISBLANK(C3927),C3927=""),"",ROUND((C3927-B3927)*24,2))</f>
        <v>19.85</v>
      </c>
      <c r="N3927" s="40" t="str">
        <f>IF(OR(ISBLANK(C3927),C3927="",M3927=""),"In Progress",IF(M3927&lt;=J3927,"Met","Breached"))</f>
        <v>Met</v>
      </c>
    </row>
    <row r="3928" ht="19" customHeight="1" spans="1:14" x14ac:dyDescent="0.25">
      <c r="A3928" s="19" t="s">
        <v>4042</v>
      </c>
      <c r="B3928" s="33">
        <v>46183.695138888885</v>
      </c>
      <c r="C3928" s="33">
        <v>46190.55625</v>
      </c>
      <c r="D3928" s="19" t="s">
        <v>36</v>
      </c>
      <c r="E3928" s="19" t="s">
        <v>69</v>
      </c>
      <c r="F3928" s="19" t="s">
        <v>34</v>
      </c>
      <c r="G3928" s="19" t="s">
        <v>121</v>
      </c>
      <c r="H3928" s="19" t="s">
        <v>63</v>
      </c>
      <c r="I3928" s="19" t="s">
        <v>123</v>
      </c>
      <c r="J3928" s="20">
        <v>120</v>
      </c>
      <c r="K3928" s="34">
        <v>0</v>
      </c>
      <c r="L3928" s="34">
        <v>1</v>
      </c>
      <c r="M3928" s="19">
        <f>IF(OR(ISBLANK(C3928),C3928=""),"",ROUND((C3928-B3928)*24,2))</f>
        <v>164.67</v>
      </c>
      <c r="N3928" s="39" t="str">
        <f>IF(OR(ISBLANK(C3928),C3928="",M3928=""),"In Progress",IF(M3928&lt;=J3928,"Met","Breached"))</f>
        <v>Breached</v>
      </c>
    </row>
    <row r="3929" ht="19" customHeight="1" spans="1:14" x14ac:dyDescent="0.25">
      <c r="A3929" s="22" t="s">
        <v>4043</v>
      </c>
      <c r="B3929" s="36">
        <v>46133.271527777775</v>
      </c>
      <c r="C3929" s="36">
        <v>46136.17152777778</v>
      </c>
      <c r="D3929" s="22" t="s">
        <v>33</v>
      </c>
      <c r="E3929" s="22" t="s">
        <v>65</v>
      </c>
      <c r="F3929" s="22" t="s">
        <v>37</v>
      </c>
      <c r="G3929" s="22" t="s">
        <v>113</v>
      </c>
      <c r="H3929" s="22" t="s">
        <v>71</v>
      </c>
      <c r="I3929" s="22" t="s">
        <v>108</v>
      </c>
      <c r="J3929" s="23">
        <v>48</v>
      </c>
      <c r="K3929" s="37">
        <v>0</v>
      </c>
      <c r="L3929" s="37">
        <v>4</v>
      </c>
      <c r="M3929" s="22">
        <f>IF(OR(ISBLANK(C3929),C3929=""),"",ROUND((C3929-B3929)*24,2))</f>
        <v>69.6</v>
      </c>
      <c r="N3929" s="38" t="str">
        <f>IF(OR(ISBLANK(C3929),C3929="",M3929=""),"In Progress",IF(M3929&lt;=J3929,"Met","Breached"))</f>
        <v>Breached</v>
      </c>
    </row>
    <row r="3930" ht="19" customHeight="1" spans="1:14" x14ac:dyDescent="0.25">
      <c r="A3930" s="19" t="s">
        <v>4044</v>
      </c>
      <c r="B3930" s="33">
        <v>45818.14513888889</v>
      </c>
      <c r="C3930" s="33">
        <v>45821.23125</v>
      </c>
      <c r="D3930" s="19" t="s">
        <v>33</v>
      </c>
      <c r="E3930" s="19" t="s">
        <v>65</v>
      </c>
      <c r="F3930" s="19" t="s">
        <v>45</v>
      </c>
      <c r="G3930" s="19" t="s">
        <v>110</v>
      </c>
      <c r="H3930" s="19" t="s">
        <v>71</v>
      </c>
      <c r="I3930" s="19" t="s">
        <v>111</v>
      </c>
      <c r="J3930" s="20">
        <v>48</v>
      </c>
      <c r="K3930" s="34">
        <v>0</v>
      </c>
      <c r="L3930" s="34">
        <v>1</v>
      </c>
      <c r="M3930" s="19">
        <f>IF(OR(ISBLANK(C3930),C3930=""),"",ROUND((C3930-B3930)*24,2))</f>
        <v>74.07</v>
      </c>
      <c r="N3930" s="39" t="str">
        <f>IF(OR(ISBLANK(C3930),C3930="",M3930=""),"In Progress",IF(M3930&lt;=J3930,"Met","Breached"))</f>
        <v>Breached</v>
      </c>
    </row>
    <row r="3931" ht="19" customHeight="1" spans="1:14" x14ac:dyDescent="0.25">
      <c r="A3931" s="22" t="s">
        <v>4045</v>
      </c>
      <c r="B3931" s="36">
        <v>45943.100694444445</v>
      </c>
      <c r="C3931" s="36">
        <v>45945.086805555555</v>
      </c>
      <c r="D3931" s="22" t="s">
        <v>33</v>
      </c>
      <c r="E3931" s="22" t="s">
        <v>65</v>
      </c>
      <c r="F3931" s="22" t="s">
        <v>34</v>
      </c>
      <c r="G3931" s="22" t="s">
        <v>126</v>
      </c>
      <c r="H3931" s="22" t="s">
        <v>59</v>
      </c>
      <c r="I3931" s="22" t="s">
        <v>123</v>
      </c>
      <c r="J3931" s="23">
        <v>48</v>
      </c>
      <c r="K3931" s="37">
        <v>0</v>
      </c>
      <c r="L3931" s="37">
        <v>3</v>
      </c>
      <c r="M3931" s="22">
        <f>IF(OR(ISBLANK(C3931),C3931=""),"",ROUND((C3931-B3931)*24,2))</f>
        <v>47.67</v>
      </c>
      <c r="N3931" s="40" t="str">
        <f>IF(OR(ISBLANK(C3931),C3931="",M3931=""),"In Progress",IF(M3931&lt;=J3931,"Met","Breached"))</f>
        <v>Met</v>
      </c>
    </row>
    <row r="3932" ht="19" customHeight="1" spans="1:14" x14ac:dyDescent="0.25">
      <c r="A3932" s="19" t="s">
        <v>4046</v>
      </c>
      <c r="B3932" s="33">
        <v>46049.02916666667</v>
      </c>
      <c r="C3932" s="33">
        <v>46051.06180555555</v>
      </c>
      <c r="D3932" s="19" t="s">
        <v>36</v>
      </c>
      <c r="E3932" s="19" t="s">
        <v>65</v>
      </c>
      <c r="F3932" s="19" t="s">
        <v>34</v>
      </c>
      <c r="G3932" s="19" t="s">
        <v>113</v>
      </c>
      <c r="H3932" s="19" t="s">
        <v>59</v>
      </c>
      <c r="I3932" s="19" t="s">
        <v>114</v>
      </c>
      <c r="J3932" s="20">
        <v>48</v>
      </c>
      <c r="K3932" s="34">
        <v>0</v>
      </c>
      <c r="L3932" s="34">
        <v>5</v>
      </c>
      <c r="M3932" s="19">
        <f>IF(OR(ISBLANK(C3932),C3932=""),"",ROUND((C3932-B3932)*24,2))</f>
        <v>48.78</v>
      </c>
      <c r="N3932" s="39" t="str">
        <f>IF(OR(ISBLANK(C3932),C3932="",M3932=""),"In Progress",IF(M3932&lt;=J3932,"Met","Breached"))</f>
        <v>Breached</v>
      </c>
    </row>
    <row r="3933" ht="19" customHeight="1" spans="1:14" x14ac:dyDescent="0.25">
      <c r="A3933" s="22" t="s">
        <v>4047</v>
      </c>
      <c r="B3933" s="36">
        <v>45731.805555555555</v>
      </c>
      <c r="C3933" s="36">
        <v>45737.28472222222</v>
      </c>
      <c r="D3933" s="22" t="s">
        <v>36</v>
      </c>
      <c r="E3933" s="22" t="s">
        <v>69</v>
      </c>
      <c r="F3933" s="22" t="s">
        <v>43</v>
      </c>
      <c r="G3933" s="22" t="s">
        <v>63</v>
      </c>
      <c r="H3933" s="22" t="s">
        <v>63</v>
      </c>
      <c r="I3933" s="22" t="s">
        <v>114</v>
      </c>
      <c r="J3933" s="23">
        <v>120</v>
      </c>
      <c r="K3933" s="37">
        <v>0</v>
      </c>
      <c r="M3933" s="22">
        <f>IF(OR(ISBLANK(C3933),C3933=""),"",ROUND((C3933-B3933)*24,2))</f>
        <v>131.5</v>
      </c>
      <c r="N3933" s="38" t="str">
        <f>IF(OR(ISBLANK(C3933),C3933="",M3933=""),"In Progress",IF(M3933&lt;=J3933,"Met","Breached"))</f>
        <v>Breached</v>
      </c>
    </row>
    <row r="3934" ht="19" customHeight="1" spans="1:14" x14ac:dyDescent="0.25">
      <c r="A3934" s="19" t="s">
        <v>4048</v>
      </c>
      <c r="B3934" s="33">
        <v>46015.98402777778</v>
      </c>
      <c r="C3934" s="33">
        <v>46024.822222222225</v>
      </c>
      <c r="D3934" s="19" t="s">
        <v>33</v>
      </c>
      <c r="E3934" s="19" t="s">
        <v>69</v>
      </c>
      <c r="F3934" s="19" t="s">
        <v>40</v>
      </c>
      <c r="G3934" s="19" t="s">
        <v>63</v>
      </c>
      <c r="H3934" s="19" t="s">
        <v>59</v>
      </c>
      <c r="I3934" s="19" t="s">
        <v>123</v>
      </c>
      <c r="J3934" s="20">
        <v>120</v>
      </c>
      <c r="K3934" s="34">
        <v>0</v>
      </c>
      <c r="M3934" s="19">
        <f>IF(OR(ISBLANK(C3934),C3934=""),"",ROUND((C3934-B3934)*24,2))</f>
        <v>212.12</v>
      </c>
      <c r="N3934" s="39" t="str">
        <f>IF(OR(ISBLANK(C3934),C3934="",M3934=""),"In Progress",IF(M3934&lt;=J3934,"Met","Breached"))</f>
        <v>Breached</v>
      </c>
    </row>
    <row r="3935" ht="19" customHeight="1" spans="1:14" x14ac:dyDescent="0.25">
      <c r="A3935" s="22" t="s">
        <v>4049</v>
      </c>
      <c r="B3935" s="36">
        <v>45902.304861111115</v>
      </c>
      <c r="C3935" s="36">
        <v>45911.20277777778</v>
      </c>
      <c r="D3935" s="22" t="s">
        <v>33</v>
      </c>
      <c r="E3935" s="22" t="s">
        <v>69</v>
      </c>
      <c r="F3935" s="22" t="s">
        <v>45</v>
      </c>
      <c r="G3935" s="22" t="s">
        <v>121</v>
      </c>
      <c r="H3935" s="22" t="s">
        <v>71</v>
      </c>
      <c r="I3935" s="22" t="s">
        <v>147</v>
      </c>
      <c r="J3935" s="23">
        <v>120</v>
      </c>
      <c r="K3935" s="37">
        <v>0</v>
      </c>
      <c r="M3935" s="22">
        <f>IF(OR(ISBLANK(C3935),C3935=""),"",ROUND((C3935-B3935)*24,2))</f>
        <v>213.55</v>
      </c>
      <c r="N3935" s="38" t="str">
        <f>IF(OR(ISBLANK(C3935),C3935="",M3935=""),"In Progress",IF(M3935&lt;=J3935,"Met","Breached"))</f>
        <v>Breached</v>
      </c>
    </row>
    <row r="3936" ht="19" customHeight="1" spans="1:14" x14ac:dyDescent="0.25">
      <c r="A3936" s="19" t="s">
        <v>4050</v>
      </c>
      <c r="B3936" s="33">
        <v>46040.62986111111</v>
      </c>
      <c r="C3936" s="33">
        <v>46041.444444444445</v>
      </c>
      <c r="D3936" s="19" t="s">
        <v>36</v>
      </c>
      <c r="E3936" s="19" t="s">
        <v>61</v>
      </c>
      <c r="F3936" s="19" t="s">
        <v>40</v>
      </c>
      <c r="G3936" s="19" t="s">
        <v>110</v>
      </c>
      <c r="H3936" s="19" t="s">
        <v>59</v>
      </c>
      <c r="I3936" s="19" t="s">
        <v>117</v>
      </c>
      <c r="J3936" s="20">
        <v>12</v>
      </c>
      <c r="K3936" s="34">
        <v>0</v>
      </c>
      <c r="M3936" s="19">
        <f>IF(OR(ISBLANK(C3936),C3936=""),"",ROUND((C3936-B3936)*24,2))</f>
        <v>19.55</v>
      </c>
      <c r="N3936" s="39" t="str">
        <f>IF(OR(ISBLANK(C3936),C3936="",M3936=""),"In Progress",IF(M3936&lt;=J3936,"Met","Breached"))</f>
        <v>Breached</v>
      </c>
    </row>
    <row r="3937" ht="19" customHeight="1" spans="1:14" x14ac:dyDescent="0.25">
      <c r="A3937" s="22" t="s">
        <v>4051</v>
      </c>
      <c r="B3937" s="36">
        <v>45783.2125</v>
      </c>
      <c r="C3937" s="36">
        <v>45783.38541666667</v>
      </c>
      <c r="D3937" s="22" t="s">
        <v>33</v>
      </c>
      <c r="E3937" s="22" t="s">
        <v>61</v>
      </c>
      <c r="F3937" s="22" t="s">
        <v>37</v>
      </c>
      <c r="G3937" s="22" t="s">
        <v>63</v>
      </c>
      <c r="H3937" s="22" t="s">
        <v>59</v>
      </c>
      <c r="I3937" s="22" t="s">
        <v>147</v>
      </c>
      <c r="J3937" s="23">
        <v>12</v>
      </c>
      <c r="K3937" s="37">
        <v>1</v>
      </c>
      <c r="M3937" s="22">
        <f>IF(OR(ISBLANK(C3937),C3937=""),"",ROUND((C3937-B3937)*24,2))</f>
        <v>4.15</v>
      </c>
      <c r="N3937" s="40" t="str">
        <f>IF(OR(ISBLANK(C3937),C3937="",M3937=""),"In Progress",IF(M3937&lt;=J3937,"Met","Breached"))</f>
        <v>Met</v>
      </c>
    </row>
    <row r="3938" ht="19" customHeight="1" spans="1:14" x14ac:dyDescent="0.25">
      <c r="A3938" s="19" t="s">
        <v>4052</v>
      </c>
      <c r="B3938" s="33">
        <v>45877.148611111115</v>
      </c>
      <c r="C3938" s="33">
        <v>45878.299305555556</v>
      </c>
      <c r="D3938" s="19" t="s">
        <v>36</v>
      </c>
      <c r="E3938" s="19" t="s">
        <v>65</v>
      </c>
      <c r="F3938" s="19" t="s">
        <v>43</v>
      </c>
      <c r="G3938" s="19" t="s">
        <v>113</v>
      </c>
      <c r="H3938" s="19" t="s">
        <v>71</v>
      </c>
      <c r="I3938" s="19" t="s">
        <v>111</v>
      </c>
      <c r="J3938" s="20">
        <v>48</v>
      </c>
      <c r="K3938" s="34">
        <v>0</v>
      </c>
      <c r="L3938" s="34">
        <v>3</v>
      </c>
      <c r="M3938" s="19">
        <f>IF(OR(ISBLANK(C3938),C3938=""),"",ROUND((C3938-B3938)*24,2))</f>
        <v>27.62</v>
      </c>
      <c r="N3938" s="35" t="str">
        <f>IF(OR(ISBLANK(C3938),C3938="",M3938=""),"In Progress",IF(M3938&lt;=J3938,"Met","Breached"))</f>
        <v>Met</v>
      </c>
    </row>
    <row r="3939" ht="19" customHeight="1" spans="1:14" x14ac:dyDescent="0.25">
      <c r="A3939" s="22" t="s">
        <v>4053</v>
      </c>
      <c r="B3939" s="36">
        <v>46103.84652777778</v>
      </c>
      <c r="C3939" s="36">
        <v>46104.665972222225</v>
      </c>
      <c r="D3939" s="22" t="s">
        <v>33</v>
      </c>
      <c r="E3939" s="22" t="s">
        <v>61</v>
      </c>
      <c r="F3939" s="22" t="s">
        <v>40</v>
      </c>
      <c r="G3939" s="22" t="s">
        <v>126</v>
      </c>
      <c r="H3939" s="22" t="s">
        <v>63</v>
      </c>
      <c r="I3939" s="22" t="s">
        <v>108</v>
      </c>
      <c r="J3939" s="23">
        <v>12</v>
      </c>
      <c r="K3939" s="37">
        <v>0</v>
      </c>
      <c r="L3939" s="37">
        <v>1</v>
      </c>
      <c r="M3939" s="22">
        <f>IF(OR(ISBLANK(C3939),C3939=""),"",ROUND((C3939-B3939)*24,2))</f>
        <v>19.67</v>
      </c>
      <c r="N3939" s="38" t="str">
        <f>IF(OR(ISBLANK(C3939),C3939="",M3939=""),"In Progress",IF(M3939&lt;=J3939,"Met","Breached"))</f>
        <v>Breached</v>
      </c>
    </row>
    <row r="3940" ht="19" customHeight="1" spans="1:14" x14ac:dyDescent="0.25">
      <c r="A3940" s="19" t="s">
        <v>4054</v>
      </c>
      <c r="B3940" s="33">
        <v>45742.24791666667</v>
      </c>
      <c r="D3940" s="19" t="s">
        <v>39</v>
      </c>
      <c r="E3940" s="19" t="s">
        <v>61</v>
      </c>
      <c r="F3940" s="19" t="s">
        <v>34</v>
      </c>
      <c r="G3940" s="19" t="s">
        <v>121</v>
      </c>
      <c r="H3940" s="19" t="s">
        <v>59</v>
      </c>
      <c r="I3940" s="19" t="s">
        <v>123</v>
      </c>
      <c r="J3940" s="20">
        <v>12</v>
      </c>
      <c r="K3940" s="34">
        <v>0</v>
      </c>
      <c r="M3940" s="19" t="str">
        <f>IF(OR(ISBLANK(C3940),C3940=""),"",ROUND((C3940-B3940)*24,2))</f>
        <v/>
      </c>
      <c r="N3940" s="19" t="str">
        <f>IF(OR(ISBLANK(C3940),C3940="",M3940=""),"In Progress",IF(M3940&lt;=J3940,"Met","Breached"))</f>
        <v>In Progress</v>
      </c>
    </row>
    <row r="3941" ht="19" customHeight="1" spans="1:14" x14ac:dyDescent="0.25">
      <c r="A3941" s="22" t="s">
        <v>4055</v>
      </c>
      <c r="B3941" s="36">
        <v>46263.69930555555</v>
      </c>
      <c r="C3941" s="36">
        <v>46267.245833333334</v>
      </c>
      <c r="D3941" s="22" t="s">
        <v>36</v>
      </c>
      <c r="E3941" s="22" t="s">
        <v>65</v>
      </c>
      <c r="F3941" s="22" t="s">
        <v>45</v>
      </c>
      <c r="G3941" s="22" t="s">
        <v>110</v>
      </c>
      <c r="H3941" s="22" t="s">
        <v>59</v>
      </c>
      <c r="I3941" s="22" t="s">
        <v>111</v>
      </c>
      <c r="J3941" s="23">
        <v>48</v>
      </c>
      <c r="K3941" s="37">
        <v>0</v>
      </c>
      <c r="L3941" s="37">
        <v>4</v>
      </c>
      <c r="M3941" s="22">
        <f>IF(OR(ISBLANK(C3941),C3941=""),"",ROUND((C3941-B3941)*24,2))</f>
        <v>85.12</v>
      </c>
      <c r="N3941" s="38" t="str">
        <f>IF(OR(ISBLANK(C3941),C3941="",M3941=""),"In Progress",IF(M3941&lt;=J3941,"Met","Breached"))</f>
        <v>Breached</v>
      </c>
    </row>
    <row r="3942" ht="19" customHeight="1" spans="1:14" x14ac:dyDescent="0.25">
      <c r="A3942" s="19" t="s">
        <v>4056</v>
      </c>
      <c r="B3942" s="33">
        <v>45937.84027777778</v>
      </c>
      <c r="C3942" s="33">
        <v>45942.27083333333</v>
      </c>
      <c r="D3942" s="19" t="s">
        <v>33</v>
      </c>
      <c r="E3942" s="19" t="s">
        <v>69</v>
      </c>
      <c r="F3942" s="19" t="s">
        <v>34</v>
      </c>
      <c r="G3942" s="19" t="s">
        <v>63</v>
      </c>
      <c r="H3942" s="19" t="s">
        <v>71</v>
      </c>
      <c r="I3942" s="19" t="s">
        <v>111</v>
      </c>
      <c r="J3942" s="20">
        <v>120</v>
      </c>
      <c r="K3942" s="34">
        <v>0</v>
      </c>
      <c r="L3942" s="34">
        <v>4</v>
      </c>
      <c r="M3942" s="19">
        <f>IF(OR(ISBLANK(C3942),C3942=""),"",ROUND((C3942-B3942)*24,2))</f>
        <v>106.33</v>
      </c>
      <c r="N3942" s="35" t="str">
        <f>IF(OR(ISBLANK(C3942),C3942="",M3942=""),"In Progress",IF(M3942&lt;=J3942,"Met","Breached"))</f>
        <v>Met</v>
      </c>
    </row>
    <row r="3943" ht="19" customHeight="1" spans="1:14" x14ac:dyDescent="0.25">
      <c r="A3943" s="22" t="s">
        <v>4057</v>
      </c>
      <c r="B3943" s="36">
        <v>45924.01527777778</v>
      </c>
      <c r="C3943" s="36">
        <v>45930.929861111115</v>
      </c>
      <c r="D3943" s="22" t="s">
        <v>33</v>
      </c>
      <c r="E3943" s="22" t="s">
        <v>69</v>
      </c>
      <c r="F3943" s="22" t="s">
        <v>37</v>
      </c>
      <c r="G3943" s="22" t="s">
        <v>126</v>
      </c>
      <c r="H3943" s="22" t="s">
        <v>63</v>
      </c>
      <c r="I3943" s="22" t="s">
        <v>117</v>
      </c>
      <c r="J3943" s="23">
        <v>120</v>
      </c>
      <c r="K3943" s="37">
        <v>0</v>
      </c>
      <c r="L3943" s="37">
        <v>4</v>
      </c>
      <c r="M3943" s="22">
        <f>IF(OR(ISBLANK(C3943),C3943=""),"",ROUND((C3943-B3943)*24,2))</f>
        <v>165.95</v>
      </c>
      <c r="N3943" s="38" t="str">
        <f>IF(OR(ISBLANK(C3943),C3943="",M3943=""),"In Progress",IF(M3943&lt;=J3943,"Met","Breached"))</f>
        <v>Breached</v>
      </c>
    </row>
    <row r="3944" ht="19" customHeight="1" spans="1:14" x14ac:dyDescent="0.25">
      <c r="A3944" s="19" t="s">
        <v>4058</v>
      </c>
      <c r="B3944" s="33">
        <v>45755.24652777778</v>
      </c>
      <c r="C3944" s="33">
        <v>45762.419444444444</v>
      </c>
      <c r="D3944" s="19" t="s">
        <v>36</v>
      </c>
      <c r="E3944" s="19" t="s">
        <v>69</v>
      </c>
      <c r="F3944" s="19" t="s">
        <v>40</v>
      </c>
      <c r="G3944" s="19" t="s">
        <v>116</v>
      </c>
      <c r="H3944" s="19" t="s">
        <v>67</v>
      </c>
      <c r="I3944" s="19" t="s">
        <v>108</v>
      </c>
      <c r="J3944" s="20">
        <v>120</v>
      </c>
      <c r="K3944" s="34">
        <v>0</v>
      </c>
      <c r="L3944" s="34">
        <v>5</v>
      </c>
      <c r="M3944" s="19">
        <f>IF(OR(ISBLANK(C3944),C3944=""),"",ROUND((C3944-B3944)*24,2))</f>
        <v>172.15</v>
      </c>
      <c r="N3944" s="39" t="str">
        <f>IF(OR(ISBLANK(C3944),C3944="",M3944=""),"In Progress",IF(M3944&lt;=J3944,"Met","Breached"))</f>
        <v>Breached</v>
      </c>
    </row>
    <row r="3945" ht="19" customHeight="1" spans="1:14" x14ac:dyDescent="0.25">
      <c r="A3945" s="22" t="s">
        <v>4059</v>
      </c>
      <c r="B3945" s="36">
        <v>46004.95416666666</v>
      </c>
      <c r="C3945" s="36">
        <v>46005.23958333333</v>
      </c>
      <c r="D3945" s="22" t="s">
        <v>36</v>
      </c>
      <c r="E3945" s="22" t="s">
        <v>57</v>
      </c>
      <c r="F3945" s="22" t="s">
        <v>43</v>
      </c>
      <c r="G3945" s="22" t="s">
        <v>126</v>
      </c>
      <c r="H3945" s="22" t="s">
        <v>59</v>
      </c>
      <c r="I3945" s="22" t="s">
        <v>117</v>
      </c>
      <c r="J3945" s="23">
        <v>4</v>
      </c>
      <c r="K3945" s="37">
        <v>0</v>
      </c>
      <c r="M3945" s="22">
        <f>IF(OR(ISBLANK(C3945),C3945=""),"",ROUND((C3945-B3945)*24,2))</f>
        <v>6.85</v>
      </c>
      <c r="N3945" s="38" t="str">
        <f>IF(OR(ISBLANK(C3945),C3945="",M3945=""),"In Progress",IF(M3945&lt;=J3945,"Met","Breached"))</f>
        <v>Breached</v>
      </c>
    </row>
    <row r="3946" ht="19" customHeight="1" spans="1:14" x14ac:dyDescent="0.25">
      <c r="A3946" s="19" t="s">
        <v>4060</v>
      </c>
      <c r="B3946" s="33">
        <v>45992.23472222222</v>
      </c>
      <c r="C3946" s="33">
        <v>45993.92569444445</v>
      </c>
      <c r="D3946" s="19" t="s">
        <v>33</v>
      </c>
      <c r="E3946" s="19" t="s">
        <v>65</v>
      </c>
      <c r="F3946" s="19" t="s">
        <v>43</v>
      </c>
      <c r="G3946" s="19" t="s">
        <v>121</v>
      </c>
      <c r="H3946" s="19" t="s">
        <v>59</v>
      </c>
      <c r="I3946" s="19" t="s">
        <v>123</v>
      </c>
      <c r="J3946" s="20">
        <v>48</v>
      </c>
      <c r="K3946" s="34">
        <v>0</v>
      </c>
      <c r="M3946" s="19">
        <f>IF(OR(ISBLANK(C3946),C3946=""),"",ROUND((C3946-B3946)*24,2))</f>
        <v>40.58</v>
      </c>
      <c r="N3946" s="35" t="str">
        <f>IF(OR(ISBLANK(C3946),C3946="",M3946=""),"In Progress",IF(M3946&lt;=J3946,"Met","Breached"))</f>
        <v>Met</v>
      </c>
    </row>
    <row r="3947" ht="19" customHeight="1" spans="1:14" x14ac:dyDescent="0.25">
      <c r="A3947" s="22" t="s">
        <v>4061</v>
      </c>
      <c r="B3947" s="36">
        <v>46038.15972222222</v>
      </c>
      <c r="C3947" s="36">
        <v>46038.58472222222</v>
      </c>
      <c r="D3947" s="22" t="s">
        <v>33</v>
      </c>
      <c r="E3947" s="22" t="s">
        <v>61</v>
      </c>
      <c r="F3947" s="22" t="s">
        <v>45</v>
      </c>
      <c r="G3947" s="22" t="s">
        <v>113</v>
      </c>
      <c r="H3947" s="22" t="s">
        <v>67</v>
      </c>
      <c r="I3947" s="22" t="s">
        <v>108</v>
      </c>
      <c r="J3947" s="23">
        <v>12</v>
      </c>
      <c r="K3947" s="37">
        <v>0</v>
      </c>
      <c r="L3947" s="37">
        <v>3</v>
      </c>
      <c r="M3947" s="22">
        <f>IF(OR(ISBLANK(C3947),C3947=""),"",ROUND((C3947-B3947)*24,2))</f>
        <v>10.2</v>
      </c>
      <c r="N3947" s="40" t="str">
        <f>IF(OR(ISBLANK(C3947),C3947="",M3947=""),"In Progress",IF(M3947&lt;=J3947,"Met","Breached"))</f>
        <v>Met</v>
      </c>
    </row>
    <row r="3948" ht="19" customHeight="1" spans="1:14" x14ac:dyDescent="0.25">
      <c r="A3948" s="19" t="s">
        <v>4062</v>
      </c>
      <c r="B3948" s="33">
        <v>45688.68402777778</v>
      </c>
      <c r="C3948" s="33">
        <v>45691.163888888885</v>
      </c>
      <c r="D3948" s="19" t="s">
        <v>33</v>
      </c>
      <c r="E3948" s="19" t="s">
        <v>65</v>
      </c>
      <c r="F3948" s="19" t="s">
        <v>37</v>
      </c>
      <c r="G3948" s="19" t="s">
        <v>110</v>
      </c>
      <c r="H3948" s="19" t="s">
        <v>71</v>
      </c>
      <c r="I3948" s="19" t="s">
        <v>147</v>
      </c>
      <c r="J3948" s="20">
        <v>48</v>
      </c>
      <c r="K3948" s="34">
        <v>0</v>
      </c>
      <c r="L3948" s="34">
        <v>5</v>
      </c>
      <c r="M3948" s="19">
        <f>IF(OR(ISBLANK(C3948),C3948=""),"",ROUND((C3948-B3948)*24,2))</f>
        <v>59.52</v>
      </c>
      <c r="N3948" s="39" t="str">
        <f>IF(OR(ISBLANK(C3948),C3948="",M3948=""),"In Progress",IF(M3948&lt;=J3948,"Met","Breached"))</f>
        <v>Breached</v>
      </c>
    </row>
    <row r="3949" ht="19" customHeight="1" spans="1:14" x14ac:dyDescent="0.25">
      <c r="A3949" s="22" t="s">
        <v>4063</v>
      </c>
      <c r="B3949" s="36">
        <v>46114.367361111115</v>
      </c>
      <c r="C3949" s="36">
        <v>46117.03611111111</v>
      </c>
      <c r="D3949" s="22" t="s">
        <v>33</v>
      </c>
      <c r="E3949" s="22" t="s">
        <v>65</v>
      </c>
      <c r="F3949" s="22" t="s">
        <v>45</v>
      </c>
      <c r="G3949" s="22" t="s">
        <v>121</v>
      </c>
      <c r="H3949" s="22" t="s">
        <v>59</v>
      </c>
      <c r="I3949" s="22" t="s">
        <v>147</v>
      </c>
      <c r="J3949" s="23">
        <v>48</v>
      </c>
      <c r="K3949" s="37">
        <v>0</v>
      </c>
      <c r="L3949" s="37">
        <v>1</v>
      </c>
      <c r="M3949" s="22">
        <f>IF(OR(ISBLANK(C3949),C3949=""),"",ROUND((C3949-B3949)*24,2))</f>
        <v>64.05</v>
      </c>
      <c r="N3949" s="38" t="str">
        <f>IF(OR(ISBLANK(C3949),C3949="",M3949=""),"In Progress",IF(M3949&lt;=J3949,"Met","Breached"))</f>
        <v>Breached</v>
      </c>
    </row>
    <row r="3950" ht="19" customHeight="1" spans="1:14" x14ac:dyDescent="0.25">
      <c r="A3950" s="19" t="s">
        <v>4064</v>
      </c>
      <c r="B3950" s="33">
        <v>46173.44097222222</v>
      </c>
      <c r="C3950" s="33">
        <v>46174.9875</v>
      </c>
      <c r="D3950" s="19" t="s">
        <v>33</v>
      </c>
      <c r="E3950" s="19" t="s">
        <v>69</v>
      </c>
      <c r="F3950" s="19" t="s">
        <v>40</v>
      </c>
      <c r="G3950" s="19" t="s">
        <v>121</v>
      </c>
      <c r="H3950" s="19" t="s">
        <v>71</v>
      </c>
      <c r="I3950" s="19" t="s">
        <v>117</v>
      </c>
      <c r="J3950" s="20">
        <v>120</v>
      </c>
      <c r="K3950" s="34">
        <v>0</v>
      </c>
      <c r="L3950" s="34">
        <v>2</v>
      </c>
      <c r="M3950" s="19">
        <f>IF(OR(ISBLANK(C3950),C3950=""),"",ROUND((C3950-B3950)*24,2))</f>
        <v>37.12</v>
      </c>
      <c r="N3950" s="35" t="str">
        <f>IF(OR(ISBLANK(C3950),C3950="",M3950=""),"In Progress",IF(M3950&lt;=J3950,"Met","Breached"))</f>
        <v>Met</v>
      </c>
    </row>
    <row r="3951" ht="19" customHeight="1" spans="1:14" x14ac:dyDescent="0.25">
      <c r="A3951" s="22" t="s">
        <v>4065</v>
      </c>
      <c r="B3951" s="36">
        <v>46141.53125</v>
      </c>
      <c r="C3951" s="36">
        <v>46143.629166666666</v>
      </c>
      <c r="D3951" s="22" t="s">
        <v>36</v>
      </c>
      <c r="E3951" s="22" t="s">
        <v>65</v>
      </c>
      <c r="F3951" s="22" t="s">
        <v>34</v>
      </c>
      <c r="G3951" s="22" t="s">
        <v>121</v>
      </c>
      <c r="H3951" s="22" t="s">
        <v>71</v>
      </c>
      <c r="I3951" s="22" t="s">
        <v>147</v>
      </c>
      <c r="J3951" s="23">
        <v>48</v>
      </c>
      <c r="K3951" s="37">
        <v>0</v>
      </c>
      <c r="L3951" s="37">
        <v>2</v>
      </c>
      <c r="M3951" s="22">
        <f>IF(OR(ISBLANK(C3951),C3951=""),"",ROUND((C3951-B3951)*24,2))</f>
        <v>50.35</v>
      </c>
      <c r="N3951" s="38" t="str">
        <f>IF(OR(ISBLANK(C3951),C3951="",M3951=""),"In Progress",IF(M3951&lt;=J3951,"Met","Breached"))</f>
        <v>Breached</v>
      </c>
    </row>
    <row r="3952" ht="19" customHeight="1" spans="1:14" x14ac:dyDescent="0.25">
      <c r="A3952" s="19" t="s">
        <v>4066</v>
      </c>
      <c r="B3952" s="33">
        <v>45678.61875</v>
      </c>
      <c r="C3952" s="33">
        <v>45679.415972222225</v>
      </c>
      <c r="D3952" s="19" t="s">
        <v>36</v>
      </c>
      <c r="E3952" s="19" t="s">
        <v>61</v>
      </c>
      <c r="F3952" s="19" t="s">
        <v>43</v>
      </c>
      <c r="G3952" s="19" t="s">
        <v>126</v>
      </c>
      <c r="H3952" s="19" t="s">
        <v>63</v>
      </c>
      <c r="I3952" s="19" t="s">
        <v>114</v>
      </c>
      <c r="J3952" s="20">
        <v>12</v>
      </c>
      <c r="K3952" s="34">
        <v>0</v>
      </c>
      <c r="L3952" s="34">
        <v>2</v>
      </c>
      <c r="M3952" s="19">
        <f>IF(OR(ISBLANK(C3952),C3952=""),"",ROUND((C3952-B3952)*24,2))</f>
        <v>19.13</v>
      </c>
      <c r="N3952" s="39" t="str">
        <f>IF(OR(ISBLANK(C3952),C3952="",M3952=""),"In Progress",IF(M3952&lt;=J3952,"Met","Breached"))</f>
        <v>Breached</v>
      </c>
    </row>
    <row r="3953" ht="19" customHeight="1" spans="1:14" x14ac:dyDescent="0.25">
      <c r="A3953" s="22" t="s">
        <v>4067</v>
      </c>
      <c r="B3953" s="36">
        <v>45927.42013888889</v>
      </c>
      <c r="C3953" s="36">
        <v>45930.007638888885</v>
      </c>
      <c r="D3953" s="22" t="s">
        <v>36</v>
      </c>
      <c r="E3953" s="22" t="s">
        <v>69</v>
      </c>
      <c r="F3953" s="22" t="s">
        <v>45</v>
      </c>
      <c r="G3953" s="22" t="s">
        <v>113</v>
      </c>
      <c r="H3953" s="22" t="s">
        <v>71</v>
      </c>
      <c r="I3953" s="22" t="s">
        <v>114</v>
      </c>
      <c r="J3953" s="23">
        <v>120</v>
      </c>
      <c r="K3953" s="37">
        <v>0</v>
      </c>
      <c r="M3953" s="22">
        <f>IF(OR(ISBLANK(C3953),C3953=""),"",ROUND((C3953-B3953)*24,2))</f>
        <v>62.1</v>
      </c>
      <c r="N3953" s="40" t="str">
        <f>IF(OR(ISBLANK(C3953),C3953="",M3953=""),"In Progress",IF(M3953&lt;=J3953,"Met","Breached"))</f>
        <v>Met</v>
      </c>
    </row>
    <row r="3954" ht="19" customHeight="1" spans="1:14" x14ac:dyDescent="0.25">
      <c r="A3954" s="19" t="s">
        <v>4068</v>
      </c>
      <c r="B3954" s="33">
        <v>45814.5875</v>
      </c>
      <c r="D3954" s="19" t="s">
        <v>39</v>
      </c>
      <c r="E3954" s="19" t="s">
        <v>57</v>
      </c>
      <c r="F3954" s="19" t="s">
        <v>45</v>
      </c>
      <c r="G3954" s="19" t="s">
        <v>116</v>
      </c>
      <c r="H3954" s="19" t="s">
        <v>71</v>
      </c>
      <c r="I3954" s="19" t="s">
        <v>108</v>
      </c>
      <c r="J3954" s="20">
        <v>4</v>
      </c>
      <c r="K3954" s="34">
        <v>0</v>
      </c>
      <c r="M3954" s="19" t="str">
        <f>IF(OR(ISBLANK(C3954),C3954=""),"",ROUND((C3954-B3954)*24,2))</f>
        <v/>
      </c>
      <c r="N3954" s="19" t="str">
        <f>IF(OR(ISBLANK(C3954),C3954="",M3954=""),"In Progress",IF(M3954&lt;=J3954,"Met","Breached"))</f>
        <v>In Progress</v>
      </c>
    </row>
    <row r="3955" ht="19" customHeight="1" spans="1:14" x14ac:dyDescent="0.25">
      <c r="A3955" s="22" t="s">
        <v>4069</v>
      </c>
      <c r="B3955" s="36">
        <v>45847.006944444445</v>
      </c>
      <c r="C3955" s="36">
        <v>45847.89722222222</v>
      </c>
      <c r="D3955" s="22" t="s">
        <v>33</v>
      </c>
      <c r="E3955" s="22" t="s">
        <v>61</v>
      </c>
      <c r="F3955" s="22" t="s">
        <v>43</v>
      </c>
      <c r="G3955" s="22" t="s">
        <v>63</v>
      </c>
      <c r="H3955" s="22" t="s">
        <v>59</v>
      </c>
      <c r="I3955" s="22" t="s">
        <v>147</v>
      </c>
      <c r="J3955" s="23">
        <v>12</v>
      </c>
      <c r="K3955" s="37">
        <v>0</v>
      </c>
      <c r="M3955" s="22">
        <f>IF(OR(ISBLANK(C3955),C3955=""),"",ROUND((C3955-B3955)*24,2))</f>
        <v>21.37</v>
      </c>
      <c r="N3955" s="38" t="str">
        <f>IF(OR(ISBLANK(C3955),C3955="",M3955=""),"In Progress",IF(M3955&lt;=J3955,"Met","Breached"))</f>
        <v>Breached</v>
      </c>
    </row>
    <row r="3956" ht="19" customHeight="1" spans="1:14" x14ac:dyDescent="0.25">
      <c r="A3956" s="19" t="s">
        <v>4070</v>
      </c>
      <c r="B3956" s="33">
        <v>46019.129166666666</v>
      </c>
      <c r="C3956" s="33">
        <v>46019.36944444444</v>
      </c>
      <c r="D3956" s="19" t="s">
        <v>33</v>
      </c>
      <c r="E3956" s="19" t="s">
        <v>57</v>
      </c>
      <c r="F3956" s="19" t="s">
        <v>40</v>
      </c>
      <c r="G3956" s="19" t="s">
        <v>113</v>
      </c>
      <c r="H3956" s="19" t="s">
        <v>59</v>
      </c>
      <c r="I3956" s="19" t="s">
        <v>123</v>
      </c>
      <c r="J3956" s="20">
        <v>4</v>
      </c>
      <c r="K3956" s="34">
        <v>0</v>
      </c>
      <c r="L3956" s="34">
        <v>2</v>
      </c>
      <c r="M3956" s="19">
        <f>IF(OR(ISBLANK(C3956),C3956=""),"",ROUND((C3956-B3956)*24,2))</f>
        <v>5.77</v>
      </c>
      <c r="N3956" s="39" t="str">
        <f>IF(OR(ISBLANK(C3956),C3956="",M3956=""),"In Progress",IF(M3956&lt;=J3956,"Met","Breached"))</f>
        <v>Breached</v>
      </c>
    </row>
    <row r="3957" ht="19" customHeight="1" spans="1:14" x14ac:dyDescent="0.25">
      <c r="A3957" s="22" t="s">
        <v>4071</v>
      </c>
      <c r="B3957" s="36">
        <v>46235.555555555555</v>
      </c>
      <c r="C3957" s="36">
        <v>46238.47222222222</v>
      </c>
      <c r="D3957" s="22" t="s">
        <v>33</v>
      </c>
      <c r="E3957" s="22" t="s">
        <v>65</v>
      </c>
      <c r="F3957" s="22" t="s">
        <v>45</v>
      </c>
      <c r="G3957" s="22" t="s">
        <v>113</v>
      </c>
      <c r="H3957" s="22" t="s">
        <v>71</v>
      </c>
      <c r="I3957" s="22" t="s">
        <v>114</v>
      </c>
      <c r="J3957" s="23">
        <v>48</v>
      </c>
      <c r="K3957" s="37">
        <v>0</v>
      </c>
      <c r="L3957" s="37">
        <v>2</v>
      </c>
      <c r="M3957" s="22">
        <f>IF(OR(ISBLANK(C3957),C3957=""),"",ROUND((C3957-B3957)*24,2))</f>
        <v>70</v>
      </c>
      <c r="N3957" s="38" t="str">
        <f>IF(OR(ISBLANK(C3957),C3957="",M3957=""),"In Progress",IF(M3957&lt;=J3957,"Met","Breached"))</f>
        <v>Breached</v>
      </c>
    </row>
    <row r="3958" ht="19" customHeight="1" spans="1:14" x14ac:dyDescent="0.25">
      <c r="A3958" s="19" t="s">
        <v>4072</v>
      </c>
      <c r="B3958" s="33">
        <v>46228.61319444445</v>
      </c>
      <c r="C3958" s="33">
        <v>46229.09513888889</v>
      </c>
      <c r="D3958" s="19" t="s">
        <v>33</v>
      </c>
      <c r="E3958" s="19" t="s">
        <v>61</v>
      </c>
      <c r="F3958" s="19" t="s">
        <v>43</v>
      </c>
      <c r="G3958" s="19" t="s">
        <v>121</v>
      </c>
      <c r="H3958" s="19" t="s">
        <v>59</v>
      </c>
      <c r="I3958" s="19" t="s">
        <v>117</v>
      </c>
      <c r="J3958" s="20">
        <v>12</v>
      </c>
      <c r="K3958" s="34">
        <v>1</v>
      </c>
      <c r="L3958" s="34">
        <v>1</v>
      </c>
      <c r="M3958" s="19">
        <f>IF(OR(ISBLANK(C3958),C3958=""),"",ROUND((C3958-B3958)*24,2))</f>
        <v>11.57</v>
      </c>
      <c r="N3958" s="35" t="str">
        <f>IF(OR(ISBLANK(C3958),C3958="",M3958=""),"In Progress",IF(M3958&lt;=J3958,"Met","Breached"))</f>
        <v>Met</v>
      </c>
    </row>
    <row r="3959" ht="19" customHeight="1" spans="1:14" x14ac:dyDescent="0.25">
      <c r="A3959" s="22" t="s">
        <v>4073</v>
      </c>
      <c r="B3959" s="36">
        <v>45861.34722222222</v>
      </c>
      <c r="C3959" s="36">
        <v>45864.82986111111</v>
      </c>
      <c r="D3959" s="22" t="s">
        <v>36</v>
      </c>
      <c r="E3959" s="22" t="s">
        <v>65</v>
      </c>
      <c r="F3959" s="22" t="s">
        <v>45</v>
      </c>
      <c r="G3959" s="22" t="s">
        <v>116</v>
      </c>
      <c r="H3959" s="22" t="s">
        <v>63</v>
      </c>
      <c r="I3959" s="22" t="s">
        <v>117</v>
      </c>
      <c r="J3959" s="23">
        <v>48</v>
      </c>
      <c r="K3959" s="37">
        <v>0</v>
      </c>
      <c r="M3959" s="22">
        <f>IF(OR(ISBLANK(C3959),C3959=""),"",ROUND((C3959-B3959)*24,2))</f>
        <v>83.58</v>
      </c>
      <c r="N3959" s="38" t="str">
        <f>IF(OR(ISBLANK(C3959),C3959="",M3959=""),"In Progress",IF(M3959&lt;=J3959,"Met","Breached"))</f>
        <v>Breached</v>
      </c>
    </row>
    <row r="3960" ht="19" customHeight="1" spans="1:14" x14ac:dyDescent="0.25">
      <c r="A3960" s="19" t="s">
        <v>4074</v>
      </c>
      <c r="B3960" s="33">
        <v>46047.91180555556</v>
      </c>
      <c r="C3960" s="33">
        <v>46051.025</v>
      </c>
      <c r="D3960" s="19" t="s">
        <v>36</v>
      </c>
      <c r="E3960" s="19" t="s">
        <v>65</v>
      </c>
      <c r="F3960" s="19" t="s">
        <v>34</v>
      </c>
      <c r="G3960" s="19" t="s">
        <v>113</v>
      </c>
      <c r="H3960" s="19" t="s">
        <v>59</v>
      </c>
      <c r="I3960" s="19" t="s">
        <v>117</v>
      </c>
      <c r="J3960" s="20">
        <v>48</v>
      </c>
      <c r="K3960" s="34">
        <v>0</v>
      </c>
      <c r="L3960" s="34">
        <v>5</v>
      </c>
      <c r="M3960" s="19">
        <f>IF(OR(ISBLANK(C3960),C3960=""),"",ROUND((C3960-B3960)*24,2))</f>
        <v>74.72</v>
      </c>
      <c r="N3960" s="39" t="str">
        <f>IF(OR(ISBLANK(C3960),C3960="",M3960=""),"In Progress",IF(M3960&lt;=J3960,"Met","Breached"))</f>
        <v>Breached</v>
      </c>
    </row>
    <row r="3961" ht="19" customHeight="1" spans="1:14" x14ac:dyDescent="0.25">
      <c r="A3961" s="22" t="s">
        <v>4075</v>
      </c>
      <c r="B3961" s="36">
        <v>46022.25486111111</v>
      </c>
      <c r="C3961" s="36">
        <v>46024.425</v>
      </c>
      <c r="D3961" s="22" t="s">
        <v>33</v>
      </c>
      <c r="E3961" s="22" t="s">
        <v>65</v>
      </c>
      <c r="F3961" s="22" t="s">
        <v>37</v>
      </c>
      <c r="G3961" s="22" t="s">
        <v>116</v>
      </c>
      <c r="H3961" s="22" t="s">
        <v>63</v>
      </c>
      <c r="I3961" s="22" t="s">
        <v>123</v>
      </c>
      <c r="J3961" s="23">
        <v>48</v>
      </c>
      <c r="K3961" s="37">
        <v>0</v>
      </c>
      <c r="M3961" s="22">
        <f>IF(OR(ISBLANK(C3961),C3961=""),"",ROUND((C3961-B3961)*24,2))</f>
        <v>52.08</v>
      </c>
      <c r="N3961" s="38" t="str">
        <f>IF(OR(ISBLANK(C3961),C3961="",M3961=""),"In Progress",IF(M3961&lt;=J3961,"Met","Breached"))</f>
        <v>Breached</v>
      </c>
    </row>
    <row r="3962" ht="19" customHeight="1" spans="1:14" x14ac:dyDescent="0.25">
      <c r="A3962" s="19" t="s">
        <v>4076</v>
      </c>
      <c r="B3962" s="33">
        <v>46065.53263888889</v>
      </c>
      <c r="C3962" s="33">
        <v>46065.794444444444</v>
      </c>
      <c r="D3962" s="19" t="s">
        <v>36</v>
      </c>
      <c r="E3962" s="19" t="s">
        <v>57</v>
      </c>
      <c r="F3962" s="19" t="s">
        <v>43</v>
      </c>
      <c r="G3962" s="19" t="s">
        <v>116</v>
      </c>
      <c r="H3962" s="19" t="s">
        <v>67</v>
      </c>
      <c r="I3962" s="19" t="s">
        <v>123</v>
      </c>
      <c r="J3962" s="20">
        <v>4</v>
      </c>
      <c r="K3962" s="34">
        <v>0</v>
      </c>
      <c r="M3962" s="19">
        <f>IF(OR(ISBLANK(C3962),C3962=""),"",ROUND((C3962-B3962)*24,2))</f>
        <v>6.28</v>
      </c>
      <c r="N3962" s="39" t="str">
        <f>IF(OR(ISBLANK(C3962),C3962="",M3962=""),"In Progress",IF(M3962&lt;=J3962,"Met","Breached"))</f>
        <v>Breached</v>
      </c>
    </row>
    <row r="3963" ht="19" customHeight="1" spans="1:14" x14ac:dyDescent="0.25">
      <c r="A3963" s="22" t="s">
        <v>4077</v>
      </c>
      <c r="B3963" s="36">
        <v>46263.92569444445</v>
      </c>
      <c r="C3963" s="36">
        <v>46265.98888888889</v>
      </c>
      <c r="D3963" s="22" t="s">
        <v>33</v>
      </c>
      <c r="E3963" s="22" t="s">
        <v>65</v>
      </c>
      <c r="F3963" s="22" t="s">
        <v>34</v>
      </c>
      <c r="G3963" s="22" t="s">
        <v>110</v>
      </c>
      <c r="H3963" s="22" t="s">
        <v>63</v>
      </c>
      <c r="I3963" s="22" t="s">
        <v>117</v>
      </c>
      <c r="J3963" s="23">
        <v>48</v>
      </c>
      <c r="K3963" s="37">
        <v>0</v>
      </c>
      <c r="M3963" s="22">
        <f>IF(OR(ISBLANK(C3963),C3963=""),"",ROUND((C3963-B3963)*24,2))</f>
        <v>49.52</v>
      </c>
      <c r="N3963" s="38" t="str">
        <f>IF(OR(ISBLANK(C3963),C3963="",M3963=""),"In Progress",IF(M3963&lt;=J3963,"Met","Breached"))</f>
        <v>Breached</v>
      </c>
    </row>
    <row r="3964" ht="19" customHeight="1" spans="1:14" x14ac:dyDescent="0.25">
      <c r="A3964" s="19" t="s">
        <v>4078</v>
      </c>
      <c r="B3964" s="33">
        <v>46273.00208333333</v>
      </c>
      <c r="D3964" s="19" t="s">
        <v>39</v>
      </c>
      <c r="E3964" s="19" t="s">
        <v>57</v>
      </c>
      <c r="F3964" s="19" t="s">
        <v>37</v>
      </c>
      <c r="G3964" s="19" t="s">
        <v>63</v>
      </c>
      <c r="H3964" s="19" t="s">
        <v>59</v>
      </c>
      <c r="I3964" s="19" t="s">
        <v>123</v>
      </c>
      <c r="J3964" s="20">
        <v>4</v>
      </c>
      <c r="K3964" s="34">
        <v>0</v>
      </c>
      <c r="M3964" s="19" t="str">
        <f>IF(OR(ISBLANK(C3964),C3964=""),"",ROUND((C3964-B3964)*24,2))</f>
        <v/>
      </c>
      <c r="N3964" s="19" t="str">
        <f>IF(OR(ISBLANK(C3964),C3964="",M3964=""),"In Progress",IF(M3964&lt;=J3964,"Met","Breached"))</f>
        <v>In Progress</v>
      </c>
    </row>
    <row r="3965" ht="19" customHeight="1" spans="1:14" x14ac:dyDescent="0.25">
      <c r="A3965" s="22" t="s">
        <v>4079</v>
      </c>
      <c r="B3965" s="36">
        <v>46230.82986111111</v>
      </c>
      <c r="C3965" s="36">
        <v>46231.493055555555</v>
      </c>
      <c r="D3965" s="22" t="s">
        <v>33</v>
      </c>
      <c r="E3965" s="22" t="s">
        <v>61</v>
      </c>
      <c r="F3965" s="22" t="s">
        <v>37</v>
      </c>
      <c r="G3965" s="22" t="s">
        <v>113</v>
      </c>
      <c r="H3965" s="22" t="s">
        <v>59</v>
      </c>
      <c r="I3965" s="22" t="s">
        <v>114</v>
      </c>
      <c r="J3965" s="23">
        <v>12</v>
      </c>
      <c r="K3965" s="37">
        <v>0</v>
      </c>
      <c r="L3965" s="37">
        <v>1</v>
      </c>
      <c r="M3965" s="22">
        <f>IF(OR(ISBLANK(C3965),C3965=""),"",ROUND((C3965-B3965)*24,2))</f>
        <v>15.92</v>
      </c>
      <c r="N3965" s="38" t="str">
        <f>IF(OR(ISBLANK(C3965),C3965="",M3965=""),"In Progress",IF(M3965&lt;=J3965,"Met","Breached"))</f>
        <v>Breached</v>
      </c>
    </row>
    <row r="3966" ht="19" customHeight="1" spans="1:14" x14ac:dyDescent="0.25">
      <c r="A3966" s="19" t="s">
        <v>4080</v>
      </c>
      <c r="B3966" s="33">
        <v>45858.32152777778</v>
      </c>
      <c r="C3966" s="33">
        <v>45859.3</v>
      </c>
      <c r="D3966" s="19" t="s">
        <v>36</v>
      </c>
      <c r="E3966" s="19" t="s">
        <v>65</v>
      </c>
      <c r="F3966" s="19" t="s">
        <v>45</v>
      </c>
      <c r="G3966" s="19" t="s">
        <v>121</v>
      </c>
      <c r="H3966" s="19" t="s">
        <v>71</v>
      </c>
      <c r="I3966" s="19" t="s">
        <v>114</v>
      </c>
      <c r="J3966" s="20">
        <v>48</v>
      </c>
      <c r="K3966" s="34">
        <v>0</v>
      </c>
      <c r="M3966" s="19">
        <f>IF(OR(ISBLANK(C3966),C3966=""),"",ROUND((C3966-B3966)*24,2))</f>
        <v>23.48</v>
      </c>
      <c r="N3966" s="35" t="str">
        <f>IF(OR(ISBLANK(C3966),C3966="",M3966=""),"In Progress",IF(M3966&lt;=J3966,"Met","Breached"))</f>
        <v>Met</v>
      </c>
    </row>
    <row r="3967" ht="19" customHeight="1" spans="1:14" x14ac:dyDescent="0.25">
      <c r="A3967" s="22" t="s">
        <v>4081</v>
      </c>
      <c r="B3967" s="36">
        <v>45847.36111111111</v>
      </c>
      <c r="C3967" s="36">
        <v>45851.361805555556</v>
      </c>
      <c r="D3967" s="22" t="s">
        <v>36</v>
      </c>
      <c r="E3967" s="22" t="s">
        <v>69</v>
      </c>
      <c r="F3967" s="22" t="s">
        <v>37</v>
      </c>
      <c r="G3967" s="22" t="s">
        <v>110</v>
      </c>
      <c r="H3967" s="22" t="s">
        <v>59</v>
      </c>
      <c r="I3967" s="22" t="s">
        <v>147</v>
      </c>
      <c r="J3967" s="23">
        <v>120</v>
      </c>
      <c r="K3967" s="37">
        <v>0</v>
      </c>
      <c r="L3967" s="37">
        <v>4</v>
      </c>
      <c r="M3967" s="22">
        <f>IF(OR(ISBLANK(C3967),C3967=""),"",ROUND((C3967-B3967)*24,2))</f>
        <v>96.02</v>
      </c>
      <c r="N3967" s="40" t="str">
        <f>IF(OR(ISBLANK(C3967),C3967="",M3967=""),"In Progress",IF(M3967&lt;=J3967,"Met","Breached"))</f>
        <v>Met</v>
      </c>
    </row>
    <row r="3968" ht="19" customHeight="1" spans="1:14" x14ac:dyDescent="0.25">
      <c r="A3968" s="19" t="s">
        <v>4082</v>
      </c>
      <c r="B3968" s="33">
        <v>46205.37361111111</v>
      </c>
      <c r="C3968" s="33">
        <v>46209.06875</v>
      </c>
      <c r="D3968" s="19" t="s">
        <v>33</v>
      </c>
      <c r="E3968" s="19" t="s">
        <v>69</v>
      </c>
      <c r="F3968" s="19" t="s">
        <v>40</v>
      </c>
      <c r="G3968" s="19" t="s">
        <v>110</v>
      </c>
      <c r="H3968" s="19" t="s">
        <v>59</v>
      </c>
      <c r="I3968" s="19" t="s">
        <v>108</v>
      </c>
      <c r="J3968" s="20">
        <v>120</v>
      </c>
      <c r="K3968" s="34">
        <v>0</v>
      </c>
      <c r="L3968" s="34">
        <v>2</v>
      </c>
      <c r="M3968" s="19">
        <f>IF(OR(ISBLANK(C3968),C3968=""),"",ROUND((C3968-B3968)*24,2))</f>
        <v>88.68</v>
      </c>
      <c r="N3968" s="35" t="str">
        <f>IF(OR(ISBLANK(C3968),C3968="",M3968=""),"In Progress",IF(M3968&lt;=J3968,"Met","Breached"))</f>
        <v>Met</v>
      </c>
    </row>
    <row r="3969" ht="19" customHeight="1" spans="1:14" x14ac:dyDescent="0.25">
      <c r="A3969" s="22" t="s">
        <v>4083</v>
      </c>
      <c r="B3969" s="36">
        <v>45731.834027777775</v>
      </c>
      <c r="C3969" s="36">
        <v>45734.4875</v>
      </c>
      <c r="D3969" s="22" t="s">
        <v>33</v>
      </c>
      <c r="E3969" s="22" t="s">
        <v>65</v>
      </c>
      <c r="F3969" s="22" t="s">
        <v>37</v>
      </c>
      <c r="G3969" s="22" t="s">
        <v>121</v>
      </c>
      <c r="H3969" s="22" t="s">
        <v>59</v>
      </c>
      <c r="I3969" s="22" t="s">
        <v>117</v>
      </c>
      <c r="J3969" s="23">
        <v>48</v>
      </c>
      <c r="K3969" s="37">
        <v>0</v>
      </c>
      <c r="L3969" s="37">
        <v>2</v>
      </c>
      <c r="M3969" s="22">
        <f>IF(OR(ISBLANK(C3969),C3969=""),"",ROUND((C3969-B3969)*24,2))</f>
        <v>63.68</v>
      </c>
      <c r="N3969" s="38" t="str">
        <f>IF(OR(ISBLANK(C3969),C3969="",M3969=""),"In Progress",IF(M3969&lt;=J3969,"Met","Breached"))</f>
        <v>Breached</v>
      </c>
    </row>
    <row r="3970" ht="19" customHeight="1" spans="1:14" x14ac:dyDescent="0.25">
      <c r="A3970" s="19" t="s">
        <v>4084</v>
      </c>
      <c r="B3970" s="33">
        <v>46061.26180555555</v>
      </c>
      <c r="D3970" s="19" t="s">
        <v>39</v>
      </c>
      <c r="E3970" s="19" t="s">
        <v>69</v>
      </c>
      <c r="F3970" s="19" t="s">
        <v>37</v>
      </c>
      <c r="G3970" s="19" t="s">
        <v>121</v>
      </c>
      <c r="H3970" s="19" t="s">
        <v>63</v>
      </c>
      <c r="I3970" s="19" t="s">
        <v>147</v>
      </c>
      <c r="J3970" s="20">
        <v>120</v>
      </c>
      <c r="K3970" s="34">
        <v>0</v>
      </c>
      <c r="M3970" s="19" t="str">
        <f>IF(OR(ISBLANK(C3970),C3970=""),"",ROUND((C3970-B3970)*24,2))</f>
        <v/>
      </c>
      <c r="N3970" s="19" t="str">
        <f>IF(OR(ISBLANK(C3970),C3970="",M3970=""),"In Progress",IF(M3970&lt;=J3970,"Met","Breached"))</f>
        <v>In Progress</v>
      </c>
    </row>
    <row r="3971" ht="19" customHeight="1" spans="1:14" x14ac:dyDescent="0.25">
      <c r="A3971" s="22" t="s">
        <v>4085</v>
      </c>
      <c r="B3971" s="36">
        <v>45987.40694444445</v>
      </c>
      <c r="C3971" s="36">
        <v>45987.570138888885</v>
      </c>
      <c r="D3971" s="22" t="s">
        <v>33</v>
      </c>
      <c r="E3971" s="22" t="s">
        <v>57</v>
      </c>
      <c r="F3971" s="22" t="s">
        <v>34</v>
      </c>
      <c r="G3971" s="22" t="s">
        <v>116</v>
      </c>
      <c r="H3971" s="22" t="s">
        <v>67</v>
      </c>
      <c r="I3971" s="22" t="s">
        <v>108</v>
      </c>
      <c r="J3971" s="23">
        <v>4</v>
      </c>
      <c r="K3971" s="37">
        <v>0</v>
      </c>
      <c r="L3971" s="37">
        <v>5</v>
      </c>
      <c r="M3971" s="22">
        <f>IF(OR(ISBLANK(C3971),C3971=""),"",ROUND((C3971-B3971)*24,2))</f>
        <v>3.92</v>
      </c>
      <c r="N3971" s="40" t="str">
        <f>IF(OR(ISBLANK(C3971),C3971="",M3971=""),"In Progress",IF(M3971&lt;=J3971,"Met","Breached"))</f>
        <v>Met</v>
      </c>
    </row>
    <row r="3972" ht="19" customHeight="1" spans="1:14" x14ac:dyDescent="0.25">
      <c r="A3972" s="19" t="s">
        <v>4086</v>
      </c>
      <c r="B3972" s="33">
        <v>46275.32777777778</v>
      </c>
      <c r="C3972" s="33">
        <v>46282.26111111111</v>
      </c>
      <c r="D3972" s="19" t="s">
        <v>36</v>
      </c>
      <c r="E3972" s="19" t="s">
        <v>69</v>
      </c>
      <c r="F3972" s="19" t="s">
        <v>40</v>
      </c>
      <c r="G3972" s="19" t="s">
        <v>116</v>
      </c>
      <c r="H3972" s="19" t="s">
        <v>71</v>
      </c>
      <c r="I3972" s="19" t="s">
        <v>111</v>
      </c>
      <c r="J3972" s="20">
        <v>120</v>
      </c>
      <c r="K3972" s="34">
        <v>0</v>
      </c>
      <c r="L3972" s="34">
        <v>5</v>
      </c>
      <c r="M3972" s="19">
        <f>IF(OR(ISBLANK(C3972),C3972=""),"",ROUND((C3972-B3972)*24,2))</f>
        <v>166.4</v>
      </c>
      <c r="N3972" s="39" t="str">
        <f>IF(OR(ISBLANK(C3972),C3972="",M3972=""),"In Progress",IF(M3972&lt;=J3972,"Met","Breached"))</f>
        <v>Breached</v>
      </c>
    </row>
    <row r="3973" ht="19" customHeight="1" spans="1:14" x14ac:dyDescent="0.25">
      <c r="A3973" s="22" t="s">
        <v>4087</v>
      </c>
      <c r="B3973" s="36">
        <v>45909.35833333334</v>
      </c>
      <c r="C3973" s="36">
        <v>45911.382638888885</v>
      </c>
      <c r="D3973" s="22" t="s">
        <v>33</v>
      </c>
      <c r="E3973" s="22" t="s">
        <v>69</v>
      </c>
      <c r="F3973" s="22" t="s">
        <v>37</v>
      </c>
      <c r="G3973" s="22" t="s">
        <v>110</v>
      </c>
      <c r="H3973" s="22" t="s">
        <v>67</v>
      </c>
      <c r="I3973" s="22" t="s">
        <v>123</v>
      </c>
      <c r="J3973" s="23">
        <v>120</v>
      </c>
      <c r="K3973" s="37">
        <v>0</v>
      </c>
      <c r="L3973" s="37">
        <v>4</v>
      </c>
      <c r="M3973" s="22">
        <f>IF(OR(ISBLANK(C3973),C3973=""),"",ROUND((C3973-B3973)*24,2))</f>
        <v>48.58</v>
      </c>
      <c r="N3973" s="40" t="str">
        <f>IF(OR(ISBLANK(C3973),C3973="",M3973=""),"In Progress",IF(M3973&lt;=J3973,"Met","Breached"))</f>
        <v>Met</v>
      </c>
    </row>
    <row r="3974" ht="19" customHeight="1" spans="1:14" x14ac:dyDescent="0.25">
      <c r="A3974" s="19" t="s">
        <v>4088</v>
      </c>
      <c r="B3974" s="33">
        <v>45798.819444444445</v>
      </c>
      <c r="C3974" s="33">
        <v>45800.634722222225</v>
      </c>
      <c r="D3974" s="19" t="s">
        <v>36</v>
      </c>
      <c r="E3974" s="19" t="s">
        <v>65</v>
      </c>
      <c r="F3974" s="19" t="s">
        <v>40</v>
      </c>
      <c r="G3974" s="19" t="s">
        <v>110</v>
      </c>
      <c r="H3974" s="19" t="s">
        <v>67</v>
      </c>
      <c r="I3974" s="19" t="s">
        <v>123</v>
      </c>
      <c r="J3974" s="20">
        <v>48</v>
      </c>
      <c r="K3974" s="34">
        <v>0</v>
      </c>
      <c r="L3974" s="34">
        <v>4</v>
      </c>
      <c r="M3974" s="19">
        <f>IF(OR(ISBLANK(C3974),C3974=""),"",ROUND((C3974-B3974)*24,2))</f>
        <v>43.57</v>
      </c>
      <c r="N3974" s="35" t="str">
        <f>IF(OR(ISBLANK(C3974),C3974="",M3974=""),"In Progress",IF(M3974&lt;=J3974,"Met","Breached"))</f>
        <v>Met</v>
      </c>
    </row>
    <row r="3975" ht="19" customHeight="1" spans="1:14" x14ac:dyDescent="0.25">
      <c r="A3975" s="22" t="s">
        <v>4089</v>
      </c>
      <c r="B3975" s="36">
        <v>46268.83194444445</v>
      </c>
      <c r="C3975" s="36">
        <v>46269.18263888889</v>
      </c>
      <c r="D3975" s="22" t="s">
        <v>36</v>
      </c>
      <c r="E3975" s="22" t="s">
        <v>61</v>
      </c>
      <c r="F3975" s="22" t="s">
        <v>40</v>
      </c>
      <c r="G3975" s="22" t="s">
        <v>110</v>
      </c>
      <c r="H3975" s="22" t="s">
        <v>63</v>
      </c>
      <c r="I3975" s="22" t="s">
        <v>117</v>
      </c>
      <c r="J3975" s="23">
        <v>12</v>
      </c>
      <c r="K3975" s="37">
        <v>0</v>
      </c>
      <c r="L3975" s="37">
        <v>1</v>
      </c>
      <c r="M3975" s="22">
        <f>IF(OR(ISBLANK(C3975),C3975=""),"",ROUND((C3975-B3975)*24,2))</f>
        <v>8.42</v>
      </c>
      <c r="N3975" s="40" t="str">
        <f>IF(OR(ISBLANK(C3975),C3975="",M3975=""),"In Progress",IF(M3975&lt;=J3975,"Met","Breached"))</f>
        <v>Met</v>
      </c>
    </row>
    <row r="3976" ht="19" customHeight="1" spans="1:14" x14ac:dyDescent="0.25">
      <c r="A3976" s="19" t="s">
        <v>4090</v>
      </c>
      <c r="B3976" s="33">
        <v>46098.59375</v>
      </c>
      <c r="C3976" s="33">
        <v>46100.70763888889</v>
      </c>
      <c r="D3976" s="19" t="s">
        <v>33</v>
      </c>
      <c r="E3976" s="19" t="s">
        <v>65</v>
      </c>
      <c r="F3976" s="19" t="s">
        <v>40</v>
      </c>
      <c r="G3976" s="19" t="s">
        <v>63</v>
      </c>
      <c r="H3976" s="19" t="s">
        <v>59</v>
      </c>
      <c r="I3976" s="19" t="s">
        <v>117</v>
      </c>
      <c r="J3976" s="20">
        <v>48</v>
      </c>
      <c r="K3976" s="34">
        <v>0</v>
      </c>
      <c r="L3976" s="34">
        <v>3</v>
      </c>
      <c r="M3976" s="19">
        <f>IF(OR(ISBLANK(C3976),C3976=""),"",ROUND((C3976-B3976)*24,2))</f>
        <v>50.73</v>
      </c>
      <c r="N3976" s="39" t="str">
        <f>IF(OR(ISBLANK(C3976),C3976="",M3976=""),"In Progress",IF(M3976&lt;=J3976,"Met","Breached"))</f>
        <v>Breached</v>
      </c>
    </row>
    <row r="3977" ht="19" customHeight="1" spans="1:14" x14ac:dyDescent="0.25">
      <c r="A3977" s="22" t="s">
        <v>4091</v>
      </c>
      <c r="B3977" s="36">
        <v>46001.77083333333</v>
      </c>
      <c r="C3977" s="36">
        <v>46002.308333333334</v>
      </c>
      <c r="D3977" s="22" t="s">
        <v>36</v>
      </c>
      <c r="E3977" s="22" t="s">
        <v>61</v>
      </c>
      <c r="F3977" s="22" t="s">
        <v>34</v>
      </c>
      <c r="G3977" s="22" t="s">
        <v>63</v>
      </c>
      <c r="H3977" s="22" t="s">
        <v>63</v>
      </c>
      <c r="I3977" s="22" t="s">
        <v>111</v>
      </c>
      <c r="J3977" s="23">
        <v>12</v>
      </c>
      <c r="K3977" s="37">
        <v>0</v>
      </c>
      <c r="M3977" s="22">
        <f>IF(OR(ISBLANK(C3977),C3977=""),"",ROUND((C3977-B3977)*24,2))</f>
        <v>12.9</v>
      </c>
      <c r="N3977" s="38" t="str">
        <f>IF(OR(ISBLANK(C3977),C3977="",M3977=""),"In Progress",IF(M3977&lt;=J3977,"Met","Breached"))</f>
        <v>Breached</v>
      </c>
    </row>
    <row r="3978" ht="19" customHeight="1" spans="1:14" x14ac:dyDescent="0.25">
      <c r="A3978" s="19" t="s">
        <v>4092</v>
      </c>
      <c r="B3978" s="33">
        <v>45975.40138888889</v>
      </c>
      <c r="C3978" s="33">
        <v>45977.04791666666</v>
      </c>
      <c r="D3978" s="19" t="s">
        <v>33</v>
      </c>
      <c r="E3978" s="19" t="s">
        <v>65</v>
      </c>
      <c r="F3978" s="19" t="s">
        <v>45</v>
      </c>
      <c r="G3978" s="19" t="s">
        <v>110</v>
      </c>
      <c r="H3978" s="19" t="s">
        <v>59</v>
      </c>
      <c r="I3978" s="19" t="s">
        <v>108</v>
      </c>
      <c r="J3978" s="20">
        <v>48</v>
      </c>
      <c r="K3978" s="34">
        <v>1</v>
      </c>
      <c r="M3978" s="19">
        <f>IF(OR(ISBLANK(C3978),C3978=""),"",ROUND((C3978-B3978)*24,2))</f>
        <v>39.52</v>
      </c>
      <c r="N3978" s="35" t="str">
        <f>IF(OR(ISBLANK(C3978),C3978="",M3978=""),"In Progress",IF(M3978&lt;=J3978,"Met","Breached"))</f>
        <v>Met</v>
      </c>
    </row>
    <row r="3979" ht="19" customHeight="1" spans="1:14" x14ac:dyDescent="0.25">
      <c r="A3979" s="22" t="s">
        <v>4093</v>
      </c>
      <c r="B3979" s="36">
        <v>45885.22916666667</v>
      </c>
      <c r="C3979" s="36">
        <v>45885.382638888885</v>
      </c>
      <c r="D3979" s="22" t="s">
        <v>36</v>
      </c>
      <c r="E3979" s="22" t="s">
        <v>57</v>
      </c>
      <c r="F3979" s="22" t="s">
        <v>40</v>
      </c>
      <c r="G3979" s="22" t="s">
        <v>63</v>
      </c>
      <c r="H3979" s="22" t="s">
        <v>63</v>
      </c>
      <c r="I3979" s="22" t="s">
        <v>111</v>
      </c>
      <c r="J3979" s="23">
        <v>4</v>
      </c>
      <c r="K3979" s="37">
        <v>0</v>
      </c>
      <c r="L3979" s="37">
        <v>3</v>
      </c>
      <c r="M3979" s="22">
        <f>IF(OR(ISBLANK(C3979),C3979=""),"",ROUND((C3979-B3979)*24,2))</f>
        <v>3.68</v>
      </c>
      <c r="N3979" s="40" t="str">
        <f>IF(OR(ISBLANK(C3979),C3979="",M3979=""),"In Progress",IF(M3979&lt;=J3979,"Met","Breached"))</f>
        <v>Met</v>
      </c>
    </row>
    <row r="3980" ht="19" customHeight="1" spans="1:14" x14ac:dyDescent="0.25">
      <c r="A3980" s="19" t="s">
        <v>4094</v>
      </c>
      <c r="B3980" s="33">
        <v>46197.80902777778</v>
      </c>
      <c r="C3980" s="33">
        <v>46204.486805555556</v>
      </c>
      <c r="D3980" s="19" t="s">
        <v>33</v>
      </c>
      <c r="E3980" s="19" t="s">
        <v>69</v>
      </c>
      <c r="F3980" s="19" t="s">
        <v>40</v>
      </c>
      <c r="G3980" s="19" t="s">
        <v>126</v>
      </c>
      <c r="H3980" s="19" t="s">
        <v>59</v>
      </c>
      <c r="I3980" s="19" t="s">
        <v>108</v>
      </c>
      <c r="J3980" s="20">
        <v>120</v>
      </c>
      <c r="K3980" s="34">
        <v>0</v>
      </c>
      <c r="L3980" s="34">
        <v>5</v>
      </c>
      <c r="M3980" s="19">
        <f>IF(OR(ISBLANK(C3980),C3980=""),"",ROUND((C3980-B3980)*24,2))</f>
        <v>160.27</v>
      </c>
      <c r="N3980" s="39" t="str">
        <f>IF(OR(ISBLANK(C3980),C3980="",M3980=""),"In Progress",IF(M3980&lt;=J3980,"Met","Breached"))</f>
        <v>Breached</v>
      </c>
    </row>
    <row r="3981" ht="19" customHeight="1" spans="1:14" x14ac:dyDescent="0.25">
      <c r="A3981" s="22" t="s">
        <v>4095</v>
      </c>
      <c r="B3981" s="36">
        <v>45854.11597222222</v>
      </c>
      <c r="C3981" s="36">
        <v>45855.40833333333</v>
      </c>
      <c r="D3981" s="22" t="s">
        <v>33</v>
      </c>
      <c r="E3981" s="22" t="s">
        <v>65</v>
      </c>
      <c r="F3981" s="22" t="s">
        <v>37</v>
      </c>
      <c r="G3981" s="22" t="s">
        <v>110</v>
      </c>
      <c r="H3981" s="22" t="s">
        <v>71</v>
      </c>
      <c r="I3981" s="22" t="s">
        <v>147</v>
      </c>
      <c r="J3981" s="23">
        <v>48</v>
      </c>
      <c r="K3981" s="37">
        <v>0</v>
      </c>
      <c r="M3981" s="22">
        <f>IF(OR(ISBLANK(C3981),C3981=""),"",ROUND((C3981-B3981)*24,2))</f>
        <v>31.02</v>
      </c>
      <c r="N3981" s="40" t="str">
        <f>IF(OR(ISBLANK(C3981),C3981="",M3981=""),"In Progress",IF(M3981&lt;=J3981,"Met","Breached"))</f>
        <v>Met</v>
      </c>
    </row>
    <row r="3982" ht="19" customHeight="1" spans="1:14" x14ac:dyDescent="0.25">
      <c r="A3982" s="19" t="s">
        <v>4096</v>
      </c>
      <c r="B3982" s="33">
        <v>45831.33888888889</v>
      </c>
      <c r="C3982" s="33">
        <v>45831.61875</v>
      </c>
      <c r="D3982" s="19" t="s">
        <v>33</v>
      </c>
      <c r="E3982" s="19" t="s">
        <v>61</v>
      </c>
      <c r="F3982" s="19" t="s">
        <v>40</v>
      </c>
      <c r="G3982" s="19" t="s">
        <v>110</v>
      </c>
      <c r="H3982" s="19" t="s">
        <v>67</v>
      </c>
      <c r="I3982" s="19" t="s">
        <v>117</v>
      </c>
      <c r="J3982" s="20">
        <v>12</v>
      </c>
      <c r="K3982" s="34">
        <v>0</v>
      </c>
      <c r="L3982" s="34">
        <v>3</v>
      </c>
      <c r="M3982" s="19">
        <f>IF(OR(ISBLANK(C3982),C3982=""),"",ROUND((C3982-B3982)*24,2))</f>
        <v>6.72</v>
      </c>
      <c r="N3982" s="35" t="str">
        <f>IF(OR(ISBLANK(C3982),C3982="",M3982=""),"In Progress",IF(M3982&lt;=J3982,"Met","Breached"))</f>
        <v>Met</v>
      </c>
    </row>
    <row r="3983" ht="19" customHeight="1" spans="1:14" x14ac:dyDescent="0.25">
      <c r="A3983" s="22" t="s">
        <v>4097</v>
      </c>
      <c r="B3983" s="36">
        <v>45883.73055555555</v>
      </c>
      <c r="C3983" s="36">
        <v>45885.9</v>
      </c>
      <c r="D3983" s="22" t="s">
        <v>33</v>
      </c>
      <c r="E3983" s="22" t="s">
        <v>69</v>
      </c>
      <c r="F3983" s="22" t="s">
        <v>37</v>
      </c>
      <c r="G3983" s="22" t="s">
        <v>116</v>
      </c>
      <c r="H3983" s="22" t="s">
        <v>59</v>
      </c>
      <c r="I3983" s="22" t="s">
        <v>123</v>
      </c>
      <c r="J3983" s="23">
        <v>120</v>
      </c>
      <c r="K3983" s="37">
        <v>0</v>
      </c>
      <c r="L3983" s="37">
        <v>2</v>
      </c>
      <c r="M3983" s="22">
        <f>IF(OR(ISBLANK(C3983),C3983=""),"",ROUND((C3983-B3983)*24,2))</f>
        <v>52.07</v>
      </c>
      <c r="N3983" s="40" t="str">
        <f>IF(OR(ISBLANK(C3983),C3983="",M3983=""),"In Progress",IF(M3983&lt;=J3983,"Met","Breached"))</f>
        <v>Met</v>
      </c>
    </row>
    <row r="3984" ht="19" customHeight="1" spans="1:14" x14ac:dyDescent="0.25">
      <c r="A3984" s="19" t="s">
        <v>4098</v>
      </c>
      <c r="B3984" s="33">
        <v>45812.674305555556</v>
      </c>
      <c r="C3984" s="33">
        <v>45819.379166666666</v>
      </c>
      <c r="D3984" s="19" t="s">
        <v>36</v>
      </c>
      <c r="E3984" s="19" t="s">
        <v>69</v>
      </c>
      <c r="F3984" s="19" t="s">
        <v>40</v>
      </c>
      <c r="G3984" s="19" t="s">
        <v>126</v>
      </c>
      <c r="H3984" s="19" t="s">
        <v>59</v>
      </c>
      <c r="I3984" s="19" t="s">
        <v>123</v>
      </c>
      <c r="J3984" s="20">
        <v>120</v>
      </c>
      <c r="K3984" s="34">
        <v>0</v>
      </c>
      <c r="L3984" s="34">
        <v>4</v>
      </c>
      <c r="M3984" s="19">
        <f>IF(OR(ISBLANK(C3984),C3984=""),"",ROUND((C3984-B3984)*24,2))</f>
        <v>160.92</v>
      </c>
      <c r="N3984" s="39" t="str">
        <f>IF(OR(ISBLANK(C3984),C3984="",M3984=""),"In Progress",IF(M3984&lt;=J3984,"Met","Breached"))</f>
        <v>Breached</v>
      </c>
    </row>
    <row r="3985" ht="19" customHeight="1" spans="1:14" x14ac:dyDescent="0.25">
      <c r="A3985" s="22" t="s">
        <v>4099</v>
      </c>
      <c r="B3985" s="36">
        <v>45721.075</v>
      </c>
      <c r="C3985" s="36">
        <v>45721.33333333333</v>
      </c>
      <c r="D3985" s="22" t="s">
        <v>33</v>
      </c>
      <c r="E3985" s="22" t="s">
        <v>61</v>
      </c>
      <c r="F3985" s="22" t="s">
        <v>45</v>
      </c>
      <c r="G3985" s="22" t="s">
        <v>110</v>
      </c>
      <c r="H3985" s="22" t="s">
        <v>67</v>
      </c>
      <c r="I3985" s="22" t="s">
        <v>108</v>
      </c>
      <c r="J3985" s="23">
        <v>12</v>
      </c>
      <c r="K3985" s="37">
        <v>0</v>
      </c>
      <c r="M3985" s="22">
        <f>IF(OR(ISBLANK(C3985),C3985=""),"",ROUND((C3985-B3985)*24,2))</f>
        <v>6.2</v>
      </c>
      <c r="N3985" s="40" t="str">
        <f>IF(OR(ISBLANK(C3985),C3985="",M3985=""),"In Progress",IF(M3985&lt;=J3985,"Met","Breached"))</f>
        <v>Met</v>
      </c>
    </row>
    <row r="3986" ht="19" customHeight="1" spans="1:14" x14ac:dyDescent="0.25">
      <c r="A3986" s="19" t="s">
        <v>4100</v>
      </c>
      <c r="B3986" s="33">
        <v>46253.43819444445</v>
      </c>
      <c r="D3986" s="19" t="s">
        <v>39</v>
      </c>
      <c r="E3986" s="19" t="s">
        <v>65</v>
      </c>
      <c r="F3986" s="19" t="s">
        <v>45</v>
      </c>
      <c r="G3986" s="19" t="s">
        <v>116</v>
      </c>
      <c r="H3986" s="19" t="s">
        <v>67</v>
      </c>
      <c r="I3986" s="19" t="s">
        <v>114</v>
      </c>
      <c r="J3986" s="20">
        <v>48</v>
      </c>
      <c r="K3986" s="34">
        <v>0</v>
      </c>
      <c r="M3986" s="19" t="str">
        <f>IF(OR(ISBLANK(C3986),C3986=""),"",ROUND((C3986-B3986)*24,2))</f>
        <v/>
      </c>
      <c r="N3986" s="19" t="str">
        <f>IF(OR(ISBLANK(C3986),C3986="",M3986=""),"In Progress",IF(M3986&lt;=J3986,"Met","Breached"))</f>
        <v>In Progress</v>
      </c>
    </row>
    <row r="3987" ht="19" customHeight="1" spans="1:14" x14ac:dyDescent="0.25">
      <c r="A3987" s="22" t="s">
        <v>4101</v>
      </c>
      <c r="B3987" s="36">
        <v>45917.611805555556</v>
      </c>
      <c r="C3987" s="36">
        <v>45917.82291666667</v>
      </c>
      <c r="D3987" s="22" t="s">
        <v>36</v>
      </c>
      <c r="E3987" s="22" t="s">
        <v>61</v>
      </c>
      <c r="F3987" s="22" t="s">
        <v>37</v>
      </c>
      <c r="G3987" s="22" t="s">
        <v>110</v>
      </c>
      <c r="H3987" s="22" t="s">
        <v>59</v>
      </c>
      <c r="I3987" s="22" t="s">
        <v>111</v>
      </c>
      <c r="J3987" s="23">
        <v>12</v>
      </c>
      <c r="K3987" s="37">
        <v>0</v>
      </c>
      <c r="L3987" s="37">
        <v>5</v>
      </c>
      <c r="M3987" s="22">
        <f>IF(OR(ISBLANK(C3987),C3987=""),"",ROUND((C3987-B3987)*24,2))</f>
        <v>5.07</v>
      </c>
      <c r="N3987" s="40" t="str">
        <f>IF(OR(ISBLANK(C3987),C3987="",M3987=""),"In Progress",IF(M3987&lt;=J3987,"Met","Breached"))</f>
        <v>Met</v>
      </c>
    </row>
    <row r="3988" ht="19" customHeight="1" spans="1:14" x14ac:dyDescent="0.25">
      <c r="A3988" s="19" t="s">
        <v>4102</v>
      </c>
      <c r="B3988" s="33">
        <v>46168.30416666667</v>
      </c>
      <c r="D3988" s="19" t="s">
        <v>39</v>
      </c>
      <c r="E3988" s="19" t="s">
        <v>69</v>
      </c>
      <c r="F3988" s="19" t="s">
        <v>45</v>
      </c>
      <c r="G3988" s="19" t="s">
        <v>63</v>
      </c>
      <c r="H3988" s="19" t="s">
        <v>63</v>
      </c>
      <c r="I3988" s="19" t="s">
        <v>147</v>
      </c>
      <c r="J3988" s="20">
        <v>120</v>
      </c>
      <c r="K3988" s="34">
        <v>0</v>
      </c>
      <c r="M3988" s="19" t="str">
        <f>IF(OR(ISBLANK(C3988),C3988=""),"",ROUND((C3988-B3988)*24,2))</f>
        <v/>
      </c>
      <c r="N3988" s="19" t="str">
        <f>IF(OR(ISBLANK(C3988),C3988="",M3988=""),"In Progress",IF(M3988&lt;=J3988,"Met","Breached"))</f>
        <v>In Progress</v>
      </c>
    </row>
    <row r="3989" ht="19" customHeight="1" spans="1:14" x14ac:dyDescent="0.25">
      <c r="A3989" s="22" t="s">
        <v>4103</v>
      </c>
      <c r="B3989" s="36">
        <v>46125.04305555555</v>
      </c>
      <c r="C3989" s="36">
        <v>46125.41111111111</v>
      </c>
      <c r="D3989" s="22" t="s">
        <v>36</v>
      </c>
      <c r="E3989" s="22" t="s">
        <v>61</v>
      </c>
      <c r="F3989" s="22" t="s">
        <v>43</v>
      </c>
      <c r="G3989" s="22" t="s">
        <v>110</v>
      </c>
      <c r="H3989" s="22" t="s">
        <v>67</v>
      </c>
      <c r="I3989" s="22" t="s">
        <v>111</v>
      </c>
      <c r="J3989" s="23">
        <v>12</v>
      </c>
      <c r="K3989" s="37">
        <v>0</v>
      </c>
      <c r="L3989" s="37">
        <v>2</v>
      </c>
      <c r="M3989" s="22">
        <f>IF(OR(ISBLANK(C3989),C3989=""),"",ROUND((C3989-B3989)*24,2))</f>
        <v>8.83</v>
      </c>
      <c r="N3989" s="40" t="str">
        <f>IF(OR(ISBLANK(C3989),C3989="",M3989=""),"In Progress",IF(M3989&lt;=J3989,"Met","Breached"))</f>
        <v>Met</v>
      </c>
    </row>
    <row r="3990" ht="19" customHeight="1" spans="1:14" x14ac:dyDescent="0.25">
      <c r="A3990" s="19" t="s">
        <v>4104</v>
      </c>
      <c r="B3990" s="33">
        <v>45930.41111111111</v>
      </c>
      <c r="D3990" s="19" t="s">
        <v>42</v>
      </c>
      <c r="E3990" s="19" t="s">
        <v>69</v>
      </c>
      <c r="F3990" s="19" t="s">
        <v>40</v>
      </c>
      <c r="G3990" s="19" t="s">
        <v>63</v>
      </c>
      <c r="H3990" s="19" t="s">
        <v>63</v>
      </c>
      <c r="I3990" s="19" t="s">
        <v>117</v>
      </c>
      <c r="J3990" s="20">
        <v>120</v>
      </c>
      <c r="K3990" s="34">
        <v>0</v>
      </c>
      <c r="M3990" s="19" t="str">
        <f>IF(OR(ISBLANK(C3990),C3990=""),"",ROUND((C3990-B3990)*24,2))</f>
        <v/>
      </c>
      <c r="N3990" s="19" t="str">
        <f>IF(OR(ISBLANK(C3990),C3990="",M3990=""),"In Progress",IF(M3990&lt;=J3990,"Met","Breached"))</f>
        <v>In Progress</v>
      </c>
    </row>
    <row r="3991" ht="19" customHeight="1" spans="1:14" x14ac:dyDescent="0.25">
      <c r="A3991" s="22" t="s">
        <v>4105</v>
      </c>
      <c r="B3991" s="36">
        <v>46072.552777777775</v>
      </c>
      <c r="C3991" s="36">
        <v>46073.072222222225</v>
      </c>
      <c r="D3991" s="22" t="s">
        <v>33</v>
      </c>
      <c r="E3991" s="22" t="s">
        <v>61</v>
      </c>
      <c r="F3991" s="22" t="s">
        <v>34</v>
      </c>
      <c r="G3991" s="22" t="s">
        <v>116</v>
      </c>
      <c r="H3991" s="22" t="s">
        <v>59</v>
      </c>
      <c r="I3991" s="22" t="s">
        <v>108</v>
      </c>
      <c r="J3991" s="23">
        <v>12</v>
      </c>
      <c r="K3991" s="37">
        <v>0</v>
      </c>
      <c r="M3991" s="22">
        <f>IF(OR(ISBLANK(C3991),C3991=""),"",ROUND((C3991-B3991)*24,2))</f>
        <v>12.47</v>
      </c>
      <c r="N3991" s="38" t="str">
        <f>IF(OR(ISBLANK(C3991),C3991="",M3991=""),"In Progress",IF(M3991&lt;=J3991,"Met","Breached"))</f>
        <v>Breached</v>
      </c>
    </row>
    <row r="3992" ht="19" customHeight="1" spans="1:14" x14ac:dyDescent="0.25">
      <c r="A3992" s="19" t="s">
        <v>4106</v>
      </c>
      <c r="B3992" s="33">
        <v>46062.09305555555</v>
      </c>
      <c r="D3992" s="19" t="s">
        <v>42</v>
      </c>
      <c r="E3992" s="19" t="s">
        <v>65</v>
      </c>
      <c r="F3992" s="19" t="s">
        <v>34</v>
      </c>
      <c r="G3992" s="19" t="s">
        <v>126</v>
      </c>
      <c r="H3992" s="19" t="s">
        <v>59</v>
      </c>
      <c r="I3992" s="19" t="s">
        <v>117</v>
      </c>
      <c r="J3992" s="20">
        <v>48</v>
      </c>
      <c r="K3992" s="34">
        <v>0</v>
      </c>
      <c r="M3992" s="19" t="str">
        <f>IF(OR(ISBLANK(C3992),C3992=""),"",ROUND((C3992-B3992)*24,2))</f>
        <v/>
      </c>
      <c r="N3992" s="19" t="str">
        <f>IF(OR(ISBLANK(C3992),C3992="",M3992=""),"In Progress",IF(M3992&lt;=J3992,"Met","Breached"))</f>
        <v>In Progress</v>
      </c>
    </row>
    <row r="3993" ht="19" customHeight="1" spans="1:14" x14ac:dyDescent="0.25">
      <c r="A3993" s="22" t="s">
        <v>4107</v>
      </c>
      <c r="B3993" s="36">
        <v>45949.66458333333</v>
      </c>
      <c r="C3993" s="36">
        <v>45950.691666666666</v>
      </c>
      <c r="D3993" s="22" t="s">
        <v>33</v>
      </c>
      <c r="E3993" s="22" t="s">
        <v>65</v>
      </c>
      <c r="F3993" s="22" t="s">
        <v>40</v>
      </c>
      <c r="G3993" s="22" t="s">
        <v>63</v>
      </c>
      <c r="H3993" s="22" t="s">
        <v>71</v>
      </c>
      <c r="I3993" s="22" t="s">
        <v>111</v>
      </c>
      <c r="J3993" s="23">
        <v>48</v>
      </c>
      <c r="K3993" s="37">
        <v>0</v>
      </c>
      <c r="L3993" s="37">
        <v>2</v>
      </c>
      <c r="M3993" s="22">
        <f>IF(OR(ISBLANK(C3993),C3993=""),"",ROUND((C3993-B3993)*24,2))</f>
        <v>24.65</v>
      </c>
      <c r="N3993" s="40" t="str">
        <f>IF(OR(ISBLANK(C3993),C3993="",M3993=""),"In Progress",IF(M3993&lt;=J3993,"Met","Breached"))</f>
        <v>Met</v>
      </c>
    </row>
    <row r="3994" ht="19" customHeight="1" spans="1:14" x14ac:dyDescent="0.25">
      <c r="A3994" s="19" t="s">
        <v>4108</v>
      </c>
      <c r="B3994" s="33">
        <v>45870.36388888889</v>
      </c>
      <c r="D3994" s="19" t="s">
        <v>39</v>
      </c>
      <c r="E3994" s="19" t="s">
        <v>65</v>
      </c>
      <c r="F3994" s="19" t="s">
        <v>34</v>
      </c>
      <c r="G3994" s="19" t="s">
        <v>121</v>
      </c>
      <c r="H3994" s="19" t="s">
        <v>71</v>
      </c>
      <c r="I3994" s="19" t="s">
        <v>117</v>
      </c>
      <c r="J3994" s="20">
        <v>48</v>
      </c>
      <c r="K3994" s="34">
        <v>0</v>
      </c>
      <c r="M3994" s="19" t="str">
        <f>IF(OR(ISBLANK(C3994),C3994=""),"",ROUND((C3994-B3994)*24,2))</f>
        <v/>
      </c>
      <c r="N3994" s="19" t="str">
        <f>IF(OR(ISBLANK(C3994),C3994="",M3994=""),"In Progress",IF(M3994&lt;=J3994,"Met","Breached"))</f>
        <v>In Progress</v>
      </c>
    </row>
    <row r="3995" ht="19" customHeight="1" spans="1:14" x14ac:dyDescent="0.25">
      <c r="A3995" s="22" t="s">
        <v>4109</v>
      </c>
      <c r="B3995" s="36">
        <v>45946.43194444444</v>
      </c>
      <c r="C3995" s="36">
        <v>45949.76736111111</v>
      </c>
      <c r="D3995" s="22" t="s">
        <v>33</v>
      </c>
      <c r="E3995" s="22" t="s">
        <v>65</v>
      </c>
      <c r="F3995" s="22" t="s">
        <v>40</v>
      </c>
      <c r="G3995" s="22" t="s">
        <v>63</v>
      </c>
      <c r="H3995" s="22" t="s">
        <v>67</v>
      </c>
      <c r="I3995" s="22" t="s">
        <v>117</v>
      </c>
      <c r="J3995" s="23">
        <v>48</v>
      </c>
      <c r="K3995" s="37">
        <v>0</v>
      </c>
      <c r="L3995" s="37">
        <v>4</v>
      </c>
      <c r="M3995" s="22">
        <f>IF(OR(ISBLANK(C3995),C3995=""),"",ROUND((C3995-B3995)*24,2))</f>
        <v>80.05</v>
      </c>
      <c r="N3995" s="38" t="str">
        <f>IF(OR(ISBLANK(C3995),C3995="",M3995=""),"In Progress",IF(M3995&lt;=J3995,"Met","Breached"))</f>
        <v>Breached</v>
      </c>
    </row>
    <row r="3996" ht="19" customHeight="1" spans="1:14" x14ac:dyDescent="0.25">
      <c r="A3996" s="19" t="s">
        <v>4110</v>
      </c>
      <c r="B3996" s="33">
        <v>46104.31041666667</v>
      </c>
      <c r="D3996" s="19" t="s">
        <v>39</v>
      </c>
      <c r="E3996" s="19" t="s">
        <v>65</v>
      </c>
      <c r="F3996" s="19" t="s">
        <v>45</v>
      </c>
      <c r="G3996" s="19" t="s">
        <v>116</v>
      </c>
      <c r="H3996" s="19" t="s">
        <v>59</v>
      </c>
      <c r="I3996" s="19" t="s">
        <v>123</v>
      </c>
      <c r="J3996" s="20">
        <v>48</v>
      </c>
      <c r="K3996" s="34">
        <v>0</v>
      </c>
      <c r="M3996" s="19" t="str">
        <f>IF(OR(ISBLANK(C3996),C3996=""),"",ROUND((C3996-B3996)*24,2))</f>
        <v/>
      </c>
      <c r="N3996" s="19" t="str">
        <f>IF(OR(ISBLANK(C3996),C3996="",M3996=""),"In Progress",IF(M3996&lt;=J3996,"Met","Breached"))</f>
        <v>In Progress</v>
      </c>
    </row>
    <row r="3997" ht="19" customHeight="1" spans="1:14" x14ac:dyDescent="0.25">
      <c r="A3997" s="22" t="s">
        <v>4111</v>
      </c>
      <c r="B3997" s="36">
        <v>46130.59861111111</v>
      </c>
      <c r="C3997" s="36">
        <v>46130.81041666667</v>
      </c>
      <c r="D3997" s="22" t="s">
        <v>33</v>
      </c>
      <c r="E3997" s="22" t="s">
        <v>57</v>
      </c>
      <c r="F3997" s="22" t="s">
        <v>40</v>
      </c>
      <c r="G3997" s="22" t="s">
        <v>121</v>
      </c>
      <c r="H3997" s="22" t="s">
        <v>59</v>
      </c>
      <c r="I3997" s="22" t="s">
        <v>147</v>
      </c>
      <c r="J3997" s="23">
        <v>4</v>
      </c>
      <c r="K3997" s="37">
        <v>0</v>
      </c>
      <c r="L3997" s="37">
        <v>5</v>
      </c>
      <c r="M3997" s="22">
        <f>IF(OR(ISBLANK(C3997),C3997=""),"",ROUND((C3997-B3997)*24,2))</f>
        <v>5.08</v>
      </c>
      <c r="N3997" s="38" t="str">
        <f>IF(OR(ISBLANK(C3997),C3997="",M3997=""),"In Progress",IF(M3997&lt;=J3997,"Met","Breached"))</f>
        <v>Breached</v>
      </c>
    </row>
    <row r="3998" ht="19" customHeight="1" spans="1:14" x14ac:dyDescent="0.25">
      <c r="A3998" s="19" t="s">
        <v>4112</v>
      </c>
      <c r="B3998" s="33">
        <v>45782.99652777778</v>
      </c>
      <c r="C3998" s="33">
        <v>45783.18194444444</v>
      </c>
      <c r="D3998" s="19" t="s">
        <v>33</v>
      </c>
      <c r="E3998" s="19" t="s">
        <v>61</v>
      </c>
      <c r="F3998" s="19" t="s">
        <v>34</v>
      </c>
      <c r="G3998" s="19" t="s">
        <v>116</v>
      </c>
      <c r="H3998" s="19" t="s">
        <v>59</v>
      </c>
      <c r="I3998" s="19" t="s">
        <v>108</v>
      </c>
      <c r="J3998" s="20">
        <v>12</v>
      </c>
      <c r="K3998" s="34">
        <v>0</v>
      </c>
      <c r="L3998" s="34">
        <v>1</v>
      </c>
      <c r="M3998" s="19">
        <f>IF(OR(ISBLANK(C3998),C3998=""),"",ROUND((C3998-B3998)*24,2))</f>
        <v>4.45</v>
      </c>
      <c r="N3998" s="35" t="str">
        <f>IF(OR(ISBLANK(C3998),C3998="",M3998=""),"In Progress",IF(M3998&lt;=J3998,"Met","Breached"))</f>
        <v>Met</v>
      </c>
    </row>
    <row r="3999" ht="19" customHeight="1" spans="1:14" x14ac:dyDescent="0.25">
      <c r="A3999" s="22" t="s">
        <v>4113</v>
      </c>
      <c r="B3999" s="36">
        <v>45787.20694444445</v>
      </c>
      <c r="C3999" s="36">
        <v>45787.75</v>
      </c>
      <c r="D3999" s="22" t="s">
        <v>33</v>
      </c>
      <c r="E3999" s="22" t="s">
        <v>61</v>
      </c>
      <c r="F3999" s="22" t="s">
        <v>40</v>
      </c>
      <c r="G3999" s="22" t="s">
        <v>110</v>
      </c>
      <c r="H3999" s="22" t="s">
        <v>71</v>
      </c>
      <c r="I3999" s="22" t="s">
        <v>117</v>
      </c>
      <c r="J3999" s="23">
        <v>12</v>
      </c>
      <c r="K3999" s="37">
        <v>0</v>
      </c>
      <c r="L3999" s="37">
        <v>1</v>
      </c>
      <c r="M3999" s="22">
        <f>IF(OR(ISBLANK(C3999),C3999=""),"",ROUND((C3999-B3999)*24,2))</f>
        <v>13.03</v>
      </c>
      <c r="N3999" s="38" t="str">
        <f>IF(OR(ISBLANK(C3999),C3999="",M3999=""),"In Progress",IF(M3999&lt;=J3999,"Met","Breached"))</f>
        <v>Breached</v>
      </c>
    </row>
    <row r="4000" ht="19" customHeight="1" spans="1:14" x14ac:dyDescent="0.25">
      <c r="A4000" s="19" t="s">
        <v>4114</v>
      </c>
      <c r="B4000" s="33">
        <v>45891.46597222222</v>
      </c>
      <c r="C4000" s="33">
        <v>45892.52222222222</v>
      </c>
      <c r="D4000" s="19" t="s">
        <v>36</v>
      </c>
      <c r="E4000" s="19" t="s">
        <v>65</v>
      </c>
      <c r="F4000" s="19" t="s">
        <v>43</v>
      </c>
      <c r="G4000" s="19" t="s">
        <v>116</v>
      </c>
      <c r="H4000" s="19" t="s">
        <v>63</v>
      </c>
      <c r="I4000" s="19" t="s">
        <v>111</v>
      </c>
      <c r="J4000" s="20">
        <v>48</v>
      </c>
      <c r="K4000" s="34">
        <v>0</v>
      </c>
      <c r="L4000" s="34">
        <v>3</v>
      </c>
      <c r="M4000" s="19">
        <f>IF(OR(ISBLANK(C4000),C4000=""),"",ROUND((C4000-B4000)*24,2))</f>
        <v>25.35</v>
      </c>
      <c r="N4000" s="35" t="str">
        <f>IF(OR(ISBLANK(C4000),C4000="",M4000=""),"In Progress",IF(M4000&lt;=J4000,"Met","Breached"))</f>
        <v>Met</v>
      </c>
    </row>
    <row r="4001" ht="19" customHeight="1" spans="1:14" x14ac:dyDescent="0.25">
      <c r="A4001" s="22" t="s">
        <v>4115</v>
      </c>
      <c r="B4001" s="36">
        <v>45675.972916666666</v>
      </c>
      <c r="D4001" s="22" t="s">
        <v>42</v>
      </c>
      <c r="E4001" s="22" t="s">
        <v>65</v>
      </c>
      <c r="F4001" s="22" t="s">
        <v>34</v>
      </c>
      <c r="G4001" s="22" t="s">
        <v>126</v>
      </c>
      <c r="H4001" s="22" t="s">
        <v>63</v>
      </c>
      <c r="I4001" s="22" t="s">
        <v>147</v>
      </c>
      <c r="J4001" s="23">
        <v>48</v>
      </c>
      <c r="K4001" s="37">
        <v>0</v>
      </c>
      <c r="M4001" s="22" t="str">
        <f>IF(OR(ISBLANK(C4001),C4001=""),"",ROUND((C4001-B4001)*24,2))</f>
        <v/>
      </c>
      <c r="N4001" s="22" t="str">
        <f>IF(OR(ISBLANK(C4001),C4001="",M4001=""),"In Progress",IF(M4001&lt;=J4001,"Met","Breached"))</f>
        <v>In Progress</v>
      </c>
    </row>
    <row r="4002" ht="19" customHeight="1" spans="1:14" x14ac:dyDescent="0.25">
      <c r="A4002" s="19" t="s">
        <v>4116</v>
      </c>
      <c r="B4002" s="33">
        <v>45936.67013888889</v>
      </c>
      <c r="C4002" s="33">
        <v>45937.36111111111</v>
      </c>
      <c r="D4002" s="19" t="s">
        <v>33</v>
      </c>
      <c r="E4002" s="19" t="s">
        <v>61</v>
      </c>
      <c r="F4002" s="19" t="s">
        <v>37</v>
      </c>
      <c r="G4002" s="19" t="s">
        <v>116</v>
      </c>
      <c r="H4002" s="19" t="s">
        <v>63</v>
      </c>
      <c r="I4002" s="19" t="s">
        <v>147</v>
      </c>
      <c r="J4002" s="20">
        <v>12</v>
      </c>
      <c r="K4002" s="34">
        <v>0</v>
      </c>
      <c r="L4002" s="34">
        <v>5</v>
      </c>
      <c r="M4002" s="19">
        <f>IF(OR(ISBLANK(C4002),C4002=""),"",ROUND((C4002-B4002)*24,2))</f>
        <v>16.58</v>
      </c>
      <c r="N4002" s="39" t="str">
        <f>IF(OR(ISBLANK(C4002),C4002="",M4002=""),"In Progress",IF(M4002&lt;=J4002,"Met","Breached"))</f>
        <v>Breached</v>
      </c>
    </row>
    <row r="4003" ht="19" customHeight="1" spans="1:14" x14ac:dyDescent="0.25">
      <c r="A4003" s="22" t="s">
        <v>4117</v>
      </c>
      <c r="B4003" s="36">
        <v>45994.20347222222</v>
      </c>
      <c r="D4003" s="22" t="s">
        <v>42</v>
      </c>
      <c r="E4003" s="22" t="s">
        <v>65</v>
      </c>
      <c r="F4003" s="22" t="s">
        <v>40</v>
      </c>
      <c r="G4003" s="22" t="s">
        <v>126</v>
      </c>
      <c r="H4003" s="22" t="s">
        <v>59</v>
      </c>
      <c r="I4003" s="22" t="s">
        <v>108</v>
      </c>
      <c r="J4003" s="23">
        <v>48</v>
      </c>
      <c r="K4003" s="37">
        <v>0</v>
      </c>
      <c r="M4003" s="22" t="str">
        <f>IF(OR(ISBLANK(C4003),C4003=""),"",ROUND((C4003-B4003)*24,2))</f>
        <v/>
      </c>
      <c r="N4003" s="22" t="str">
        <f>IF(OR(ISBLANK(C4003),C4003="",M4003=""),"In Progress",IF(M4003&lt;=J4003,"Met","Breached"))</f>
        <v>In Progress</v>
      </c>
    </row>
    <row r="4004" ht="19" customHeight="1" spans="1:14" x14ac:dyDescent="0.25">
      <c r="A4004" s="19" t="s">
        <v>4118</v>
      </c>
      <c r="B4004" s="33">
        <v>45907.33888888889</v>
      </c>
      <c r="C4004" s="33">
        <v>45907.7875</v>
      </c>
      <c r="D4004" s="19" t="s">
        <v>36</v>
      </c>
      <c r="E4004" s="19" t="s">
        <v>61</v>
      </c>
      <c r="F4004" s="19" t="s">
        <v>40</v>
      </c>
      <c r="G4004" s="19" t="s">
        <v>113</v>
      </c>
      <c r="H4004" s="19" t="s">
        <v>59</v>
      </c>
      <c r="I4004" s="19" t="s">
        <v>117</v>
      </c>
      <c r="J4004" s="20">
        <v>12</v>
      </c>
      <c r="K4004" s="34">
        <v>0</v>
      </c>
      <c r="L4004" s="34">
        <v>1</v>
      </c>
      <c r="M4004" s="19">
        <f>IF(OR(ISBLANK(C4004),C4004=""),"",ROUND((C4004-B4004)*24,2))</f>
        <v>10.77</v>
      </c>
      <c r="N4004" s="35" t="str">
        <f>IF(OR(ISBLANK(C4004),C4004="",M4004=""),"In Progress",IF(M4004&lt;=J4004,"Met","Breached"))</f>
        <v>Met</v>
      </c>
    </row>
    <row r="4005" ht="19" customHeight="1" spans="1:14" x14ac:dyDescent="0.25">
      <c r="A4005" s="22" t="s">
        <v>4119</v>
      </c>
      <c r="B4005" s="36">
        <v>46224.44375</v>
      </c>
      <c r="C4005" s="36">
        <v>46224.58819444444</v>
      </c>
      <c r="D4005" s="22" t="s">
        <v>33</v>
      </c>
      <c r="E4005" s="22" t="s">
        <v>57</v>
      </c>
      <c r="F4005" s="22" t="s">
        <v>40</v>
      </c>
      <c r="G4005" s="22" t="s">
        <v>116</v>
      </c>
      <c r="H4005" s="22" t="s">
        <v>67</v>
      </c>
      <c r="I4005" s="22" t="s">
        <v>117</v>
      </c>
      <c r="J4005" s="23">
        <v>4</v>
      </c>
      <c r="K4005" s="37">
        <v>0</v>
      </c>
      <c r="L4005" s="37">
        <v>5</v>
      </c>
      <c r="M4005" s="22">
        <f>IF(OR(ISBLANK(C4005),C4005=""),"",ROUND((C4005-B4005)*24,2))</f>
        <v>3.47</v>
      </c>
      <c r="N4005" s="40" t="str">
        <f>IF(OR(ISBLANK(C4005),C4005="",M4005=""),"In Progress",IF(M4005&lt;=J4005,"Met","Breached"))</f>
        <v>Met</v>
      </c>
    </row>
    <row r="4006" ht="19" customHeight="1" spans="1:14" x14ac:dyDescent="0.25">
      <c r="A4006" s="19" t="s">
        <v>4120</v>
      </c>
      <c r="B4006" s="33">
        <v>46210.143055555556</v>
      </c>
      <c r="C4006" s="33">
        <v>46210.65833333333</v>
      </c>
      <c r="D4006" s="19" t="s">
        <v>33</v>
      </c>
      <c r="E4006" s="19" t="s">
        <v>61</v>
      </c>
      <c r="F4006" s="19" t="s">
        <v>45</v>
      </c>
      <c r="G4006" s="19" t="s">
        <v>113</v>
      </c>
      <c r="H4006" s="19" t="s">
        <v>67</v>
      </c>
      <c r="I4006" s="19" t="s">
        <v>147</v>
      </c>
      <c r="J4006" s="20">
        <v>12</v>
      </c>
      <c r="K4006" s="34">
        <v>0</v>
      </c>
      <c r="L4006" s="34">
        <v>4</v>
      </c>
      <c r="M4006" s="19">
        <f>IF(OR(ISBLANK(C4006),C4006=""),"",ROUND((C4006-B4006)*24,2))</f>
        <v>12.37</v>
      </c>
      <c r="N4006" s="39" t="str">
        <f>IF(OR(ISBLANK(C4006),C4006="",M4006=""),"In Progress",IF(M4006&lt;=J4006,"Met","Breached"))</f>
        <v>Breached</v>
      </c>
    </row>
    <row r="4007" ht="19" customHeight="1" spans="1:14" x14ac:dyDescent="0.25">
      <c r="A4007" s="22" t="s">
        <v>4121</v>
      </c>
      <c r="B4007" s="36">
        <v>45674.304861111115</v>
      </c>
      <c r="D4007" s="22" t="s">
        <v>39</v>
      </c>
      <c r="E4007" s="22" t="s">
        <v>65</v>
      </c>
      <c r="F4007" s="22" t="s">
        <v>43</v>
      </c>
      <c r="G4007" s="22" t="s">
        <v>116</v>
      </c>
      <c r="H4007" s="22" t="s">
        <v>59</v>
      </c>
      <c r="I4007" s="22" t="s">
        <v>114</v>
      </c>
      <c r="J4007" s="23">
        <v>48</v>
      </c>
      <c r="K4007" s="37">
        <v>0</v>
      </c>
      <c r="M4007" s="22" t="str">
        <f>IF(OR(ISBLANK(C4007),C4007=""),"",ROUND((C4007-B4007)*24,2))</f>
        <v/>
      </c>
      <c r="N4007" s="22" t="str">
        <f>IF(OR(ISBLANK(C4007),C4007="",M4007=""),"In Progress",IF(M4007&lt;=J4007,"Met","Breached"))</f>
        <v>In Progress</v>
      </c>
    </row>
    <row r="4008" ht="19" customHeight="1" spans="1:14" x14ac:dyDescent="0.25">
      <c r="A4008" s="19" t="s">
        <v>4122</v>
      </c>
      <c r="B4008" s="33">
        <v>45950.07083333333</v>
      </c>
      <c r="C4008" s="33">
        <v>45951.35625</v>
      </c>
      <c r="D4008" s="19" t="s">
        <v>36</v>
      </c>
      <c r="E4008" s="19" t="s">
        <v>65</v>
      </c>
      <c r="F4008" s="19" t="s">
        <v>40</v>
      </c>
      <c r="G4008" s="19" t="s">
        <v>110</v>
      </c>
      <c r="H4008" s="19" t="s">
        <v>59</v>
      </c>
      <c r="I4008" s="19" t="s">
        <v>123</v>
      </c>
      <c r="J4008" s="20">
        <v>48</v>
      </c>
      <c r="K4008" s="34">
        <v>0</v>
      </c>
      <c r="L4008" s="34">
        <v>5</v>
      </c>
      <c r="M4008" s="19">
        <f>IF(OR(ISBLANK(C4008),C4008=""),"",ROUND((C4008-B4008)*24,2))</f>
        <v>30.85</v>
      </c>
      <c r="N4008" s="35" t="str">
        <f>IF(OR(ISBLANK(C4008),C4008="",M4008=""),"In Progress",IF(M4008&lt;=J4008,"Met","Breached"))</f>
        <v>Met</v>
      </c>
    </row>
    <row r="4009" ht="19" customHeight="1" spans="1:14" x14ac:dyDescent="0.25">
      <c r="A4009" s="22" t="s">
        <v>4123</v>
      </c>
      <c r="B4009" s="36">
        <v>46077.23125</v>
      </c>
      <c r="C4009" s="36">
        <v>46080.30416666667</v>
      </c>
      <c r="D4009" s="22" t="s">
        <v>33</v>
      </c>
      <c r="E4009" s="22" t="s">
        <v>65</v>
      </c>
      <c r="F4009" s="22" t="s">
        <v>34</v>
      </c>
      <c r="G4009" s="22" t="s">
        <v>63</v>
      </c>
      <c r="H4009" s="22" t="s">
        <v>63</v>
      </c>
      <c r="I4009" s="22" t="s">
        <v>117</v>
      </c>
      <c r="J4009" s="23">
        <v>48</v>
      </c>
      <c r="K4009" s="37">
        <v>0</v>
      </c>
      <c r="M4009" s="22">
        <f>IF(OR(ISBLANK(C4009),C4009=""),"",ROUND((C4009-B4009)*24,2))</f>
        <v>73.75</v>
      </c>
      <c r="N4009" s="38" t="str">
        <f>IF(OR(ISBLANK(C4009),C4009="",M4009=""),"In Progress",IF(M4009&lt;=J4009,"Met","Breached"))</f>
        <v>Breached</v>
      </c>
    </row>
    <row r="4010" ht="19" customHeight="1" spans="1:14" x14ac:dyDescent="0.25">
      <c r="A4010" s="19" t="s">
        <v>4124</v>
      </c>
      <c r="B4010" s="33">
        <v>46082.79722222222</v>
      </c>
      <c r="C4010" s="33">
        <v>46083.18125</v>
      </c>
      <c r="D4010" s="19" t="s">
        <v>33</v>
      </c>
      <c r="E4010" s="19" t="s">
        <v>61</v>
      </c>
      <c r="F4010" s="19" t="s">
        <v>34</v>
      </c>
      <c r="G4010" s="19" t="s">
        <v>126</v>
      </c>
      <c r="H4010" s="19" t="s">
        <v>63</v>
      </c>
      <c r="I4010" s="19" t="s">
        <v>147</v>
      </c>
      <c r="J4010" s="20">
        <v>12</v>
      </c>
      <c r="K4010" s="34">
        <v>0</v>
      </c>
      <c r="L4010" s="34">
        <v>3</v>
      </c>
      <c r="M4010" s="19">
        <f>IF(OR(ISBLANK(C4010),C4010=""),"",ROUND((C4010-B4010)*24,2))</f>
        <v>9.22</v>
      </c>
      <c r="N4010" s="35" t="str">
        <f>IF(OR(ISBLANK(C4010),C4010="",M4010=""),"In Progress",IF(M4010&lt;=J4010,"Met","Breached"))</f>
        <v>Met</v>
      </c>
    </row>
    <row r="4011" ht="19" customHeight="1" spans="1:14" x14ac:dyDescent="0.25">
      <c r="A4011" s="22" t="s">
        <v>4125</v>
      </c>
      <c r="B4011" s="36">
        <v>45828.947222222225</v>
      </c>
      <c r="C4011" s="36">
        <v>45831.37222222222</v>
      </c>
      <c r="D4011" s="22" t="s">
        <v>33</v>
      </c>
      <c r="E4011" s="22" t="s">
        <v>69</v>
      </c>
      <c r="F4011" s="22" t="s">
        <v>45</v>
      </c>
      <c r="G4011" s="22" t="s">
        <v>121</v>
      </c>
      <c r="H4011" s="22" t="s">
        <v>59</v>
      </c>
      <c r="I4011" s="22" t="s">
        <v>117</v>
      </c>
      <c r="J4011" s="23">
        <v>120</v>
      </c>
      <c r="K4011" s="37">
        <v>0</v>
      </c>
      <c r="L4011" s="37">
        <v>4</v>
      </c>
      <c r="M4011" s="22">
        <f>IF(OR(ISBLANK(C4011),C4011=""),"",ROUND((C4011-B4011)*24,2))</f>
        <v>58.2</v>
      </c>
      <c r="N4011" s="40" t="str">
        <f>IF(OR(ISBLANK(C4011),C4011="",M4011=""),"In Progress",IF(M4011&lt;=J4011,"Met","Breached"))</f>
        <v>Met</v>
      </c>
    </row>
    <row r="4012" ht="19" customHeight="1" spans="1:14" x14ac:dyDescent="0.25">
      <c r="A4012" s="19" t="s">
        <v>4126</v>
      </c>
      <c r="B4012" s="33">
        <v>46085.65486111111</v>
      </c>
      <c r="C4012" s="33">
        <v>46087.82083333333</v>
      </c>
      <c r="D4012" s="19" t="s">
        <v>36</v>
      </c>
      <c r="E4012" s="19" t="s">
        <v>65</v>
      </c>
      <c r="F4012" s="19" t="s">
        <v>34</v>
      </c>
      <c r="G4012" s="19" t="s">
        <v>126</v>
      </c>
      <c r="H4012" s="19" t="s">
        <v>59</v>
      </c>
      <c r="I4012" s="19" t="s">
        <v>111</v>
      </c>
      <c r="J4012" s="20">
        <v>48</v>
      </c>
      <c r="K4012" s="34">
        <v>0</v>
      </c>
      <c r="L4012" s="34">
        <v>4</v>
      </c>
      <c r="M4012" s="19">
        <f>IF(OR(ISBLANK(C4012),C4012=""),"",ROUND((C4012-B4012)*24,2))</f>
        <v>51.98</v>
      </c>
      <c r="N4012" s="39" t="str">
        <f>IF(OR(ISBLANK(C4012),C4012="",M4012=""),"In Progress",IF(M4012&lt;=J4012,"Met","Breached"))</f>
        <v>Breached</v>
      </c>
    </row>
    <row r="4013" ht="19" customHeight="1" spans="1:14" x14ac:dyDescent="0.25">
      <c r="A4013" s="22" t="s">
        <v>4127</v>
      </c>
      <c r="B4013" s="36">
        <v>45883.81805555556</v>
      </c>
      <c r="D4013" s="22" t="s">
        <v>42</v>
      </c>
      <c r="E4013" s="22" t="s">
        <v>57</v>
      </c>
      <c r="F4013" s="22" t="s">
        <v>34</v>
      </c>
      <c r="G4013" s="22" t="s">
        <v>110</v>
      </c>
      <c r="H4013" s="22" t="s">
        <v>59</v>
      </c>
      <c r="I4013" s="22" t="s">
        <v>147</v>
      </c>
      <c r="J4013" s="23">
        <v>4</v>
      </c>
      <c r="K4013" s="37">
        <v>0</v>
      </c>
      <c r="M4013" s="22" t="str">
        <f>IF(OR(ISBLANK(C4013),C4013=""),"",ROUND((C4013-B4013)*24,2))</f>
        <v/>
      </c>
      <c r="N4013" s="22" t="str">
        <f>IF(OR(ISBLANK(C4013),C4013="",M4013=""),"In Progress",IF(M4013&lt;=J4013,"Met","Breached"))</f>
        <v>In Progress</v>
      </c>
    </row>
    <row r="4014" ht="19" customHeight="1" spans="1:14" x14ac:dyDescent="0.25">
      <c r="A4014" s="19" t="s">
        <v>4128</v>
      </c>
      <c r="B4014" s="33">
        <v>45833.63958333334</v>
      </c>
      <c r="C4014" s="33">
        <v>45835.68819444445</v>
      </c>
      <c r="D4014" s="19" t="s">
        <v>36</v>
      </c>
      <c r="E4014" s="19" t="s">
        <v>65</v>
      </c>
      <c r="F4014" s="19" t="s">
        <v>34</v>
      </c>
      <c r="G4014" s="19" t="s">
        <v>116</v>
      </c>
      <c r="H4014" s="19" t="s">
        <v>63</v>
      </c>
      <c r="I4014" s="19" t="s">
        <v>147</v>
      </c>
      <c r="J4014" s="20">
        <v>48</v>
      </c>
      <c r="K4014" s="34">
        <v>0</v>
      </c>
      <c r="L4014" s="34">
        <v>2</v>
      </c>
      <c r="M4014" s="19">
        <f>IF(OR(ISBLANK(C4014),C4014=""),"",ROUND((C4014-B4014)*24,2))</f>
        <v>49.17</v>
      </c>
      <c r="N4014" s="39" t="str">
        <f>IF(OR(ISBLANK(C4014),C4014="",M4014=""),"In Progress",IF(M4014&lt;=J4014,"Met","Breached"))</f>
        <v>Breached</v>
      </c>
    </row>
    <row r="4015" ht="19" customHeight="1" spans="1:14" x14ac:dyDescent="0.25">
      <c r="A4015" s="22" t="s">
        <v>4129</v>
      </c>
      <c r="B4015" s="36">
        <v>45962.81041666667</v>
      </c>
      <c r="C4015" s="36">
        <v>45965.566666666666</v>
      </c>
      <c r="D4015" s="22" t="s">
        <v>33</v>
      </c>
      <c r="E4015" s="22" t="s">
        <v>65</v>
      </c>
      <c r="F4015" s="22" t="s">
        <v>37</v>
      </c>
      <c r="G4015" s="22" t="s">
        <v>116</v>
      </c>
      <c r="H4015" s="22" t="s">
        <v>67</v>
      </c>
      <c r="I4015" s="22" t="s">
        <v>147</v>
      </c>
      <c r="J4015" s="23">
        <v>48</v>
      </c>
      <c r="K4015" s="37">
        <v>0</v>
      </c>
      <c r="L4015" s="37">
        <v>5</v>
      </c>
      <c r="M4015" s="22">
        <f>IF(OR(ISBLANK(C4015),C4015=""),"",ROUND((C4015-B4015)*24,2))</f>
        <v>66.15</v>
      </c>
      <c r="N4015" s="38" t="str">
        <f>IF(OR(ISBLANK(C4015),C4015="",M4015=""),"In Progress",IF(M4015&lt;=J4015,"Met","Breached"))</f>
        <v>Breached</v>
      </c>
    </row>
    <row r="4016" ht="19" customHeight="1" spans="1:14" x14ac:dyDescent="0.25">
      <c r="A4016" s="19" t="s">
        <v>4130</v>
      </c>
      <c r="B4016" s="33">
        <v>46146.80694444444</v>
      </c>
      <c r="C4016" s="33">
        <v>46147.80138888889</v>
      </c>
      <c r="D4016" s="19" t="s">
        <v>36</v>
      </c>
      <c r="E4016" s="19" t="s">
        <v>65</v>
      </c>
      <c r="F4016" s="19" t="s">
        <v>34</v>
      </c>
      <c r="G4016" s="19" t="s">
        <v>113</v>
      </c>
      <c r="H4016" s="19" t="s">
        <v>59</v>
      </c>
      <c r="I4016" s="19" t="s">
        <v>108</v>
      </c>
      <c r="J4016" s="20">
        <v>48</v>
      </c>
      <c r="K4016" s="34">
        <v>1</v>
      </c>
      <c r="L4016" s="34">
        <v>3</v>
      </c>
      <c r="M4016" s="19">
        <f>IF(OR(ISBLANK(C4016),C4016=""),"",ROUND((C4016-B4016)*24,2))</f>
        <v>23.87</v>
      </c>
      <c r="N4016" s="35" t="str">
        <f>IF(OR(ISBLANK(C4016),C4016="",M4016=""),"In Progress",IF(M4016&lt;=J4016,"Met","Breached"))</f>
        <v>Met</v>
      </c>
    </row>
    <row r="4017" ht="19" customHeight="1" spans="1:14" x14ac:dyDescent="0.25">
      <c r="A4017" s="22" t="s">
        <v>4131</v>
      </c>
      <c r="B4017" s="36">
        <v>45902.26666666666</v>
      </c>
      <c r="C4017" s="36">
        <v>45904.01944444445</v>
      </c>
      <c r="D4017" s="22" t="s">
        <v>36</v>
      </c>
      <c r="E4017" s="22" t="s">
        <v>65</v>
      </c>
      <c r="F4017" s="22" t="s">
        <v>43</v>
      </c>
      <c r="G4017" s="22" t="s">
        <v>126</v>
      </c>
      <c r="H4017" s="22" t="s">
        <v>63</v>
      </c>
      <c r="I4017" s="22" t="s">
        <v>114</v>
      </c>
      <c r="J4017" s="23">
        <v>48</v>
      </c>
      <c r="K4017" s="37">
        <v>0</v>
      </c>
      <c r="M4017" s="22">
        <f>IF(OR(ISBLANK(C4017),C4017=""),"",ROUND((C4017-B4017)*24,2))</f>
        <v>42.07</v>
      </c>
      <c r="N4017" s="40" t="str">
        <f>IF(OR(ISBLANK(C4017),C4017="",M4017=""),"In Progress",IF(M4017&lt;=J4017,"Met","Breached"))</f>
        <v>Met</v>
      </c>
    </row>
    <row r="4018" ht="19" customHeight="1" spans="1:14" x14ac:dyDescent="0.25">
      <c r="A4018" s="19" t="s">
        <v>4132</v>
      </c>
      <c r="B4018" s="33">
        <v>45965.98125</v>
      </c>
      <c r="C4018" s="33">
        <v>45974.56875</v>
      </c>
      <c r="D4018" s="19" t="s">
        <v>33</v>
      </c>
      <c r="E4018" s="19" t="s">
        <v>69</v>
      </c>
      <c r="F4018" s="19" t="s">
        <v>40</v>
      </c>
      <c r="G4018" s="19" t="s">
        <v>121</v>
      </c>
      <c r="H4018" s="19" t="s">
        <v>59</v>
      </c>
      <c r="I4018" s="19" t="s">
        <v>147</v>
      </c>
      <c r="J4018" s="20">
        <v>120</v>
      </c>
      <c r="K4018" s="34">
        <v>0</v>
      </c>
      <c r="L4018" s="34">
        <v>2</v>
      </c>
      <c r="M4018" s="19">
        <f>IF(OR(ISBLANK(C4018),C4018=""),"",ROUND((C4018-B4018)*24,2))</f>
        <v>206.1</v>
      </c>
      <c r="N4018" s="39" t="str">
        <f>IF(OR(ISBLANK(C4018),C4018="",M4018=""),"In Progress",IF(M4018&lt;=J4018,"Met","Breached"))</f>
        <v>Breached</v>
      </c>
    </row>
    <row r="4019" ht="19" customHeight="1" spans="1:14" x14ac:dyDescent="0.25">
      <c r="A4019" s="22" t="s">
        <v>4133</v>
      </c>
      <c r="B4019" s="36">
        <v>45809.240277777775</v>
      </c>
      <c r="C4019" s="36">
        <v>45812.15277777778</v>
      </c>
      <c r="D4019" s="22" t="s">
        <v>36</v>
      </c>
      <c r="E4019" s="22" t="s">
        <v>65</v>
      </c>
      <c r="F4019" s="22" t="s">
        <v>37</v>
      </c>
      <c r="G4019" s="22" t="s">
        <v>121</v>
      </c>
      <c r="H4019" s="22" t="s">
        <v>59</v>
      </c>
      <c r="I4019" s="22" t="s">
        <v>147</v>
      </c>
      <c r="J4019" s="23">
        <v>48</v>
      </c>
      <c r="K4019" s="37">
        <v>0</v>
      </c>
      <c r="L4019" s="37">
        <v>1</v>
      </c>
      <c r="M4019" s="22">
        <f>IF(OR(ISBLANK(C4019),C4019=""),"",ROUND((C4019-B4019)*24,2))</f>
        <v>69.9</v>
      </c>
      <c r="N4019" s="38" t="str">
        <f>IF(OR(ISBLANK(C4019),C4019="",M4019=""),"In Progress",IF(M4019&lt;=J4019,"Met","Breached"))</f>
        <v>Breached</v>
      </c>
    </row>
    <row r="4020" ht="19" customHeight="1" spans="1:14" x14ac:dyDescent="0.25">
      <c r="A4020" s="19" t="s">
        <v>4134</v>
      </c>
      <c r="B4020" s="33">
        <v>46024.06597222222</v>
      </c>
      <c r="C4020" s="33">
        <v>46028.459027777775</v>
      </c>
      <c r="D4020" s="19" t="s">
        <v>36</v>
      </c>
      <c r="E4020" s="19" t="s">
        <v>69</v>
      </c>
      <c r="F4020" s="19" t="s">
        <v>40</v>
      </c>
      <c r="G4020" s="19" t="s">
        <v>63</v>
      </c>
      <c r="H4020" s="19" t="s">
        <v>67</v>
      </c>
      <c r="I4020" s="19" t="s">
        <v>108</v>
      </c>
      <c r="J4020" s="20">
        <v>120</v>
      </c>
      <c r="K4020" s="34">
        <v>0</v>
      </c>
      <c r="L4020" s="34">
        <v>4</v>
      </c>
      <c r="M4020" s="19">
        <f>IF(OR(ISBLANK(C4020),C4020=""),"",ROUND((C4020-B4020)*24,2))</f>
        <v>105.43</v>
      </c>
      <c r="N4020" s="35" t="str">
        <f>IF(OR(ISBLANK(C4020),C4020="",M4020=""),"In Progress",IF(M4020&lt;=J4020,"Met","Breached"))</f>
        <v>Met</v>
      </c>
    </row>
    <row r="4021" ht="19" customHeight="1" spans="1:14" x14ac:dyDescent="0.25">
      <c r="A4021" s="22" t="s">
        <v>4135</v>
      </c>
      <c r="B4021" s="36">
        <v>46166.88680555555</v>
      </c>
      <c r="C4021" s="36">
        <v>46167.61388888889</v>
      </c>
      <c r="D4021" s="22" t="s">
        <v>33</v>
      </c>
      <c r="E4021" s="22" t="s">
        <v>65</v>
      </c>
      <c r="F4021" s="22" t="s">
        <v>34</v>
      </c>
      <c r="G4021" s="22" t="s">
        <v>110</v>
      </c>
      <c r="H4021" s="22" t="s">
        <v>59</v>
      </c>
      <c r="I4021" s="22" t="s">
        <v>111</v>
      </c>
      <c r="J4021" s="23">
        <v>48</v>
      </c>
      <c r="K4021" s="37">
        <v>0</v>
      </c>
      <c r="L4021" s="37">
        <v>2</v>
      </c>
      <c r="M4021" s="22">
        <f>IF(OR(ISBLANK(C4021),C4021=""),"",ROUND((C4021-B4021)*24,2))</f>
        <v>17.45</v>
      </c>
      <c r="N4021" s="40" t="str">
        <f>IF(OR(ISBLANK(C4021),C4021="",M4021=""),"In Progress",IF(M4021&lt;=J4021,"Met","Breached"))</f>
        <v>Met</v>
      </c>
    </row>
    <row r="4022" ht="19" customHeight="1" spans="1:14" x14ac:dyDescent="0.25">
      <c r="A4022" s="19" t="s">
        <v>4136</v>
      </c>
      <c r="B4022" s="33">
        <v>46057.58333333333</v>
      </c>
      <c r="C4022" s="33">
        <v>46059.90902777778</v>
      </c>
      <c r="D4022" s="19" t="s">
        <v>33</v>
      </c>
      <c r="E4022" s="19" t="s">
        <v>65</v>
      </c>
      <c r="F4022" s="19" t="s">
        <v>43</v>
      </c>
      <c r="G4022" s="19" t="s">
        <v>116</v>
      </c>
      <c r="H4022" s="19" t="s">
        <v>59</v>
      </c>
      <c r="I4022" s="19" t="s">
        <v>123</v>
      </c>
      <c r="J4022" s="20">
        <v>48</v>
      </c>
      <c r="K4022" s="34">
        <v>0</v>
      </c>
      <c r="M4022" s="19">
        <f>IF(OR(ISBLANK(C4022),C4022=""),"",ROUND((C4022-B4022)*24,2))</f>
        <v>55.82</v>
      </c>
      <c r="N4022" s="39" t="str">
        <f>IF(OR(ISBLANK(C4022),C4022="",M4022=""),"In Progress",IF(M4022&lt;=J4022,"Met","Breached"))</f>
        <v>Breached</v>
      </c>
    </row>
    <row r="4023" ht="19" customHeight="1" spans="1:14" x14ac:dyDescent="0.25">
      <c r="A4023" s="22" t="s">
        <v>4137</v>
      </c>
      <c r="B4023" s="36">
        <v>45853.308333333334</v>
      </c>
      <c r="C4023" s="36">
        <v>45855.01388888889</v>
      </c>
      <c r="D4023" s="22" t="s">
        <v>36</v>
      </c>
      <c r="E4023" s="22" t="s">
        <v>69</v>
      </c>
      <c r="F4023" s="22" t="s">
        <v>40</v>
      </c>
      <c r="G4023" s="22" t="s">
        <v>126</v>
      </c>
      <c r="H4023" s="22" t="s">
        <v>63</v>
      </c>
      <c r="I4023" s="22" t="s">
        <v>114</v>
      </c>
      <c r="J4023" s="23">
        <v>120</v>
      </c>
      <c r="K4023" s="37">
        <v>0</v>
      </c>
      <c r="L4023" s="37">
        <v>4</v>
      </c>
      <c r="M4023" s="22">
        <f>IF(OR(ISBLANK(C4023),C4023=""),"",ROUND((C4023-B4023)*24,2))</f>
        <v>40.93</v>
      </c>
      <c r="N4023" s="40" t="str">
        <f>IF(OR(ISBLANK(C4023),C4023="",M4023=""),"In Progress",IF(M4023&lt;=J4023,"Met","Breached"))</f>
        <v>Met</v>
      </c>
    </row>
    <row r="4024" ht="19" customHeight="1" spans="1:14" x14ac:dyDescent="0.25">
      <c r="A4024" s="19" t="s">
        <v>4138</v>
      </c>
      <c r="B4024" s="33">
        <v>46071.36875</v>
      </c>
      <c r="D4024" s="19" t="s">
        <v>39</v>
      </c>
      <c r="E4024" s="19" t="s">
        <v>57</v>
      </c>
      <c r="F4024" s="19" t="s">
        <v>34</v>
      </c>
      <c r="G4024" s="19" t="s">
        <v>113</v>
      </c>
      <c r="H4024" s="19" t="s">
        <v>59</v>
      </c>
      <c r="I4024" s="19" t="s">
        <v>108</v>
      </c>
      <c r="J4024" s="20">
        <v>4</v>
      </c>
      <c r="K4024" s="34">
        <v>0</v>
      </c>
      <c r="M4024" s="19" t="str">
        <f>IF(OR(ISBLANK(C4024),C4024=""),"",ROUND((C4024-B4024)*24,2))</f>
        <v/>
      </c>
      <c r="N4024" s="19" t="str">
        <f>IF(OR(ISBLANK(C4024),C4024="",M4024=""),"In Progress",IF(M4024&lt;=J4024,"Met","Breached"))</f>
        <v>In Progress</v>
      </c>
    </row>
    <row r="4025" ht="19" customHeight="1" spans="1:14" x14ac:dyDescent="0.25">
      <c r="A4025" s="22" t="s">
        <v>4139</v>
      </c>
      <c r="B4025" s="36">
        <v>46098.72708333333</v>
      </c>
      <c r="C4025" s="36">
        <v>46106.62291666667</v>
      </c>
      <c r="D4025" s="22" t="s">
        <v>36</v>
      </c>
      <c r="E4025" s="22" t="s">
        <v>69</v>
      </c>
      <c r="F4025" s="22" t="s">
        <v>37</v>
      </c>
      <c r="G4025" s="22" t="s">
        <v>116</v>
      </c>
      <c r="H4025" s="22" t="s">
        <v>63</v>
      </c>
      <c r="I4025" s="22" t="s">
        <v>123</v>
      </c>
      <c r="J4025" s="23">
        <v>120</v>
      </c>
      <c r="K4025" s="37">
        <v>0</v>
      </c>
      <c r="M4025" s="22">
        <f>IF(OR(ISBLANK(C4025),C4025=""),"",ROUND((C4025-B4025)*24,2))</f>
        <v>189.5</v>
      </c>
      <c r="N4025" s="38" t="str">
        <f>IF(OR(ISBLANK(C4025),C4025="",M4025=""),"In Progress",IF(M4025&lt;=J4025,"Met","Breached"))</f>
        <v>Breached</v>
      </c>
    </row>
    <row r="4026" ht="19" customHeight="1" spans="1:14" x14ac:dyDescent="0.25">
      <c r="A4026" s="19" t="s">
        <v>4140</v>
      </c>
      <c r="B4026" s="33">
        <v>45844.143055555556</v>
      </c>
      <c r="D4026" s="19" t="s">
        <v>39</v>
      </c>
      <c r="E4026" s="19" t="s">
        <v>69</v>
      </c>
      <c r="F4026" s="19" t="s">
        <v>45</v>
      </c>
      <c r="G4026" s="19" t="s">
        <v>126</v>
      </c>
      <c r="H4026" s="19" t="s">
        <v>67</v>
      </c>
      <c r="I4026" s="19" t="s">
        <v>108</v>
      </c>
      <c r="J4026" s="20">
        <v>120</v>
      </c>
      <c r="K4026" s="34">
        <v>0</v>
      </c>
      <c r="M4026" s="19" t="str">
        <f>IF(OR(ISBLANK(C4026),C4026=""),"",ROUND((C4026-B4026)*24,2))</f>
        <v/>
      </c>
      <c r="N4026" s="19" t="str">
        <f>IF(OR(ISBLANK(C4026),C4026="",M4026=""),"In Progress",IF(M4026&lt;=J4026,"Met","Breached"))</f>
        <v>In Progress</v>
      </c>
    </row>
    <row r="4027" ht="19" customHeight="1" spans="1:14" x14ac:dyDescent="0.25">
      <c r="A4027" s="22" t="s">
        <v>4141</v>
      </c>
      <c r="B4027" s="36">
        <v>46199.149305555555</v>
      </c>
      <c r="C4027" s="36">
        <v>46199.86875</v>
      </c>
      <c r="D4027" s="22" t="s">
        <v>36</v>
      </c>
      <c r="E4027" s="22" t="s">
        <v>61</v>
      </c>
      <c r="F4027" s="22" t="s">
        <v>37</v>
      </c>
      <c r="G4027" s="22" t="s">
        <v>113</v>
      </c>
      <c r="H4027" s="22" t="s">
        <v>63</v>
      </c>
      <c r="I4027" s="22" t="s">
        <v>123</v>
      </c>
      <c r="J4027" s="23">
        <v>12</v>
      </c>
      <c r="K4027" s="37">
        <v>0</v>
      </c>
      <c r="L4027" s="37">
        <v>4</v>
      </c>
      <c r="M4027" s="22">
        <f>IF(OR(ISBLANK(C4027),C4027=""),"",ROUND((C4027-B4027)*24,2))</f>
        <v>17.27</v>
      </c>
      <c r="N4027" s="38" t="str">
        <f>IF(OR(ISBLANK(C4027),C4027="",M4027=""),"In Progress",IF(M4027&lt;=J4027,"Met","Breached"))</f>
        <v>Breached</v>
      </c>
    </row>
    <row r="4028" ht="19" customHeight="1" spans="1:14" x14ac:dyDescent="0.25">
      <c r="A4028" s="19" t="s">
        <v>4142</v>
      </c>
      <c r="B4028" s="33">
        <v>45712.03055555555</v>
      </c>
      <c r="D4028" s="19" t="s">
        <v>39</v>
      </c>
      <c r="E4028" s="19" t="s">
        <v>65</v>
      </c>
      <c r="F4028" s="19" t="s">
        <v>37</v>
      </c>
      <c r="G4028" s="19" t="s">
        <v>126</v>
      </c>
      <c r="H4028" s="19" t="s">
        <v>67</v>
      </c>
      <c r="I4028" s="19" t="s">
        <v>117</v>
      </c>
      <c r="J4028" s="20">
        <v>48</v>
      </c>
      <c r="K4028" s="34">
        <v>0</v>
      </c>
      <c r="M4028" s="19" t="str">
        <f>IF(OR(ISBLANK(C4028),C4028=""),"",ROUND((C4028-B4028)*24,2))</f>
        <v/>
      </c>
      <c r="N4028" s="19" t="str">
        <f>IF(OR(ISBLANK(C4028),C4028="",M4028=""),"In Progress",IF(M4028&lt;=J4028,"Met","Breached"))</f>
        <v>In Progress</v>
      </c>
    </row>
    <row r="4029" ht="19" customHeight="1" spans="1:14" x14ac:dyDescent="0.25">
      <c r="A4029" s="22" t="s">
        <v>4143</v>
      </c>
      <c r="B4029" s="36">
        <v>46083.552777777775</v>
      </c>
      <c r="C4029" s="36">
        <v>46083.82361111111</v>
      </c>
      <c r="D4029" s="22" t="s">
        <v>36</v>
      </c>
      <c r="E4029" s="22" t="s">
        <v>61</v>
      </c>
      <c r="F4029" s="22" t="s">
        <v>37</v>
      </c>
      <c r="G4029" s="22" t="s">
        <v>126</v>
      </c>
      <c r="H4029" s="22" t="s">
        <v>63</v>
      </c>
      <c r="I4029" s="22" t="s">
        <v>147</v>
      </c>
      <c r="J4029" s="23">
        <v>12</v>
      </c>
      <c r="K4029" s="37">
        <v>0</v>
      </c>
      <c r="L4029" s="37">
        <v>4</v>
      </c>
      <c r="M4029" s="22">
        <f>IF(OR(ISBLANK(C4029),C4029=""),"",ROUND((C4029-B4029)*24,2))</f>
        <v>6.5</v>
      </c>
      <c r="N4029" s="40" t="str">
        <f>IF(OR(ISBLANK(C4029),C4029="",M4029=""),"In Progress",IF(M4029&lt;=J4029,"Met","Breached"))</f>
        <v>Met</v>
      </c>
    </row>
    <row r="4030" ht="19" customHeight="1" spans="1:14" x14ac:dyDescent="0.25">
      <c r="A4030" s="19" t="s">
        <v>4144</v>
      </c>
      <c r="B4030" s="33">
        <v>46152.15833333333</v>
      </c>
      <c r="D4030" s="19" t="s">
        <v>42</v>
      </c>
      <c r="E4030" s="19" t="s">
        <v>69</v>
      </c>
      <c r="F4030" s="19" t="s">
        <v>40</v>
      </c>
      <c r="G4030" s="19" t="s">
        <v>113</v>
      </c>
      <c r="H4030" s="19" t="s">
        <v>63</v>
      </c>
      <c r="I4030" s="19" t="s">
        <v>117</v>
      </c>
      <c r="J4030" s="20">
        <v>120</v>
      </c>
      <c r="K4030" s="34">
        <v>0</v>
      </c>
      <c r="M4030" s="19" t="str">
        <f>IF(OR(ISBLANK(C4030),C4030=""),"",ROUND((C4030-B4030)*24,2))</f>
        <v/>
      </c>
      <c r="N4030" s="19" t="str">
        <f>IF(OR(ISBLANK(C4030),C4030="",M4030=""),"In Progress",IF(M4030&lt;=J4030,"Met","Breached"))</f>
        <v>In Progress</v>
      </c>
    </row>
    <row r="4031" ht="19" customHeight="1" spans="1:14" x14ac:dyDescent="0.25">
      <c r="A4031" s="22" t="s">
        <v>4145</v>
      </c>
      <c r="B4031" s="36">
        <v>45716.586111111115</v>
      </c>
      <c r="C4031" s="36">
        <v>45717.15069444444</v>
      </c>
      <c r="D4031" s="22" t="s">
        <v>33</v>
      </c>
      <c r="E4031" s="22" t="s">
        <v>61</v>
      </c>
      <c r="F4031" s="22" t="s">
        <v>43</v>
      </c>
      <c r="G4031" s="22" t="s">
        <v>113</v>
      </c>
      <c r="H4031" s="22" t="s">
        <v>63</v>
      </c>
      <c r="I4031" s="22" t="s">
        <v>147</v>
      </c>
      <c r="J4031" s="23">
        <v>12</v>
      </c>
      <c r="K4031" s="37">
        <v>0</v>
      </c>
      <c r="L4031" s="37">
        <v>3</v>
      </c>
      <c r="M4031" s="22">
        <f>IF(OR(ISBLANK(C4031),C4031=""),"",ROUND((C4031-B4031)*24,2))</f>
        <v>13.55</v>
      </c>
      <c r="N4031" s="38" t="str">
        <f>IF(OR(ISBLANK(C4031),C4031="",M4031=""),"In Progress",IF(M4031&lt;=J4031,"Met","Breached"))</f>
        <v>Breached</v>
      </c>
    </row>
    <row r="4032" ht="19" customHeight="1" spans="1:14" x14ac:dyDescent="0.25">
      <c r="A4032" s="19" t="s">
        <v>4146</v>
      </c>
      <c r="B4032" s="33">
        <v>46001.08472222222</v>
      </c>
      <c r="C4032" s="33">
        <v>46005.183333333334</v>
      </c>
      <c r="D4032" s="19" t="s">
        <v>36</v>
      </c>
      <c r="E4032" s="19" t="s">
        <v>69</v>
      </c>
      <c r="F4032" s="19" t="s">
        <v>45</v>
      </c>
      <c r="G4032" s="19" t="s">
        <v>121</v>
      </c>
      <c r="H4032" s="19" t="s">
        <v>59</v>
      </c>
      <c r="I4032" s="19" t="s">
        <v>108</v>
      </c>
      <c r="J4032" s="20">
        <v>120</v>
      </c>
      <c r="K4032" s="34">
        <v>0</v>
      </c>
      <c r="L4032" s="34">
        <v>3</v>
      </c>
      <c r="M4032" s="19">
        <f>IF(OR(ISBLANK(C4032),C4032=""),"",ROUND((C4032-B4032)*24,2))</f>
        <v>98.37</v>
      </c>
      <c r="N4032" s="35" t="str">
        <f>IF(OR(ISBLANK(C4032),C4032="",M4032=""),"In Progress",IF(M4032&lt;=J4032,"Met","Breached"))</f>
        <v>Met</v>
      </c>
    </row>
    <row r="4033" ht="19" customHeight="1" spans="1:14" x14ac:dyDescent="0.25">
      <c r="A4033" s="22" t="s">
        <v>4147</v>
      </c>
      <c r="B4033" s="36">
        <v>46194.62777777778</v>
      </c>
      <c r="C4033" s="36">
        <v>46202.97430555556</v>
      </c>
      <c r="D4033" s="22" t="s">
        <v>33</v>
      </c>
      <c r="E4033" s="22" t="s">
        <v>69</v>
      </c>
      <c r="F4033" s="22" t="s">
        <v>34</v>
      </c>
      <c r="G4033" s="22" t="s">
        <v>113</v>
      </c>
      <c r="H4033" s="22" t="s">
        <v>59</v>
      </c>
      <c r="I4033" s="22" t="s">
        <v>117</v>
      </c>
      <c r="J4033" s="23">
        <v>120</v>
      </c>
      <c r="K4033" s="37">
        <v>0</v>
      </c>
      <c r="M4033" s="22">
        <f>IF(OR(ISBLANK(C4033),C4033=""),"",ROUND((C4033-B4033)*24,2))</f>
        <v>200.32</v>
      </c>
      <c r="N4033" s="38" t="str">
        <f>IF(OR(ISBLANK(C4033),C4033="",M4033=""),"In Progress",IF(M4033&lt;=J4033,"Met","Breached"))</f>
        <v>Breached</v>
      </c>
    </row>
    <row r="4034" ht="19" customHeight="1" spans="1:14" x14ac:dyDescent="0.25">
      <c r="A4034" s="19" t="s">
        <v>4148</v>
      </c>
      <c r="B4034" s="33">
        <v>45704.625</v>
      </c>
      <c r="C4034" s="33">
        <v>45707.59027777778</v>
      </c>
      <c r="D4034" s="19" t="s">
        <v>36</v>
      </c>
      <c r="E4034" s="19" t="s">
        <v>65</v>
      </c>
      <c r="F4034" s="19" t="s">
        <v>37</v>
      </c>
      <c r="G4034" s="19" t="s">
        <v>113</v>
      </c>
      <c r="H4034" s="19" t="s">
        <v>67</v>
      </c>
      <c r="I4034" s="19" t="s">
        <v>108</v>
      </c>
      <c r="J4034" s="20">
        <v>48</v>
      </c>
      <c r="K4034" s="34">
        <v>0</v>
      </c>
      <c r="M4034" s="19">
        <f>IF(OR(ISBLANK(C4034),C4034=""),"",ROUND((C4034-B4034)*24,2))</f>
        <v>71.17</v>
      </c>
      <c r="N4034" s="39" t="str">
        <f>IF(OR(ISBLANK(C4034),C4034="",M4034=""),"In Progress",IF(M4034&lt;=J4034,"Met","Breached"))</f>
        <v>Breached</v>
      </c>
    </row>
    <row r="4035" ht="19" customHeight="1" spans="1:14" x14ac:dyDescent="0.25">
      <c r="A4035" s="22" t="s">
        <v>4149</v>
      </c>
      <c r="B4035" s="36">
        <v>46073.927777777775</v>
      </c>
      <c r="D4035" s="22" t="s">
        <v>39</v>
      </c>
      <c r="E4035" s="22" t="s">
        <v>65</v>
      </c>
      <c r="F4035" s="22" t="s">
        <v>40</v>
      </c>
      <c r="G4035" s="22" t="s">
        <v>121</v>
      </c>
      <c r="H4035" s="22" t="s">
        <v>63</v>
      </c>
      <c r="I4035" s="22" t="s">
        <v>117</v>
      </c>
      <c r="J4035" s="23">
        <v>48</v>
      </c>
      <c r="K4035" s="37">
        <v>0</v>
      </c>
      <c r="M4035" s="22" t="str">
        <f>IF(OR(ISBLANK(C4035),C4035=""),"",ROUND((C4035-B4035)*24,2))</f>
        <v/>
      </c>
      <c r="N4035" s="22" t="str">
        <f>IF(OR(ISBLANK(C4035),C4035="",M4035=""),"In Progress",IF(M4035&lt;=J4035,"Met","Breached"))</f>
        <v>In Progress</v>
      </c>
    </row>
    <row r="4036" ht="19" customHeight="1" spans="1:14" x14ac:dyDescent="0.25">
      <c r="A4036" s="19" t="s">
        <v>4150</v>
      </c>
      <c r="B4036" s="33">
        <v>46157.81319444445</v>
      </c>
      <c r="C4036" s="33">
        <v>46159.15694444445</v>
      </c>
      <c r="D4036" s="19" t="s">
        <v>33</v>
      </c>
      <c r="E4036" s="19" t="s">
        <v>65</v>
      </c>
      <c r="F4036" s="19" t="s">
        <v>45</v>
      </c>
      <c r="G4036" s="19" t="s">
        <v>121</v>
      </c>
      <c r="H4036" s="19" t="s">
        <v>71</v>
      </c>
      <c r="I4036" s="19" t="s">
        <v>108</v>
      </c>
      <c r="J4036" s="20">
        <v>48</v>
      </c>
      <c r="K4036" s="34">
        <v>0</v>
      </c>
      <c r="L4036" s="34">
        <v>5</v>
      </c>
      <c r="M4036" s="19">
        <f>IF(OR(ISBLANK(C4036),C4036=""),"",ROUND((C4036-B4036)*24,2))</f>
        <v>32.25</v>
      </c>
      <c r="N4036" s="35" t="str">
        <f>IF(OR(ISBLANK(C4036),C4036="",M4036=""),"In Progress",IF(M4036&lt;=J4036,"Met","Breached"))</f>
        <v>Met</v>
      </c>
    </row>
    <row r="4037" ht="19" customHeight="1" spans="1:14" x14ac:dyDescent="0.25">
      <c r="A4037" s="22" t="s">
        <v>4151</v>
      </c>
      <c r="B4037" s="36">
        <v>46144.22222222222</v>
      </c>
      <c r="C4037" s="36">
        <v>46145.52222222222</v>
      </c>
      <c r="D4037" s="22" t="s">
        <v>33</v>
      </c>
      <c r="E4037" s="22" t="s">
        <v>65</v>
      </c>
      <c r="F4037" s="22" t="s">
        <v>40</v>
      </c>
      <c r="G4037" s="22" t="s">
        <v>126</v>
      </c>
      <c r="H4037" s="22" t="s">
        <v>59</v>
      </c>
      <c r="I4037" s="22" t="s">
        <v>123</v>
      </c>
      <c r="J4037" s="23">
        <v>48</v>
      </c>
      <c r="K4037" s="37">
        <v>0</v>
      </c>
      <c r="L4037" s="37">
        <v>2</v>
      </c>
      <c r="M4037" s="22">
        <f>IF(OR(ISBLANK(C4037),C4037=""),"",ROUND((C4037-B4037)*24,2))</f>
        <v>31.2</v>
      </c>
      <c r="N4037" s="40" t="str">
        <f>IF(OR(ISBLANK(C4037),C4037="",M4037=""),"In Progress",IF(M4037&lt;=J4037,"Met","Breached"))</f>
        <v>Met</v>
      </c>
    </row>
    <row r="4038" ht="19" customHeight="1" spans="1:14" x14ac:dyDescent="0.25">
      <c r="A4038" s="19" t="s">
        <v>4152</v>
      </c>
      <c r="B4038" s="33">
        <v>45981.955555555556</v>
      </c>
      <c r="C4038" s="33">
        <v>45985.32430555555</v>
      </c>
      <c r="D4038" s="19" t="s">
        <v>36</v>
      </c>
      <c r="E4038" s="19" t="s">
        <v>65</v>
      </c>
      <c r="F4038" s="19" t="s">
        <v>40</v>
      </c>
      <c r="G4038" s="19" t="s">
        <v>110</v>
      </c>
      <c r="H4038" s="19" t="s">
        <v>67</v>
      </c>
      <c r="I4038" s="19" t="s">
        <v>111</v>
      </c>
      <c r="J4038" s="20">
        <v>48</v>
      </c>
      <c r="K4038" s="34">
        <v>0</v>
      </c>
      <c r="L4038" s="34">
        <v>5</v>
      </c>
      <c r="M4038" s="19">
        <f>IF(OR(ISBLANK(C4038),C4038=""),"",ROUND((C4038-B4038)*24,2))</f>
        <v>80.85</v>
      </c>
      <c r="N4038" s="39" t="str">
        <f>IF(OR(ISBLANK(C4038),C4038="",M4038=""),"In Progress",IF(M4038&lt;=J4038,"Met","Breached"))</f>
        <v>Breached</v>
      </c>
    </row>
    <row r="4039" ht="19" customHeight="1" spans="1:14" x14ac:dyDescent="0.25">
      <c r="A4039" s="22" t="s">
        <v>4153</v>
      </c>
      <c r="B4039" s="36">
        <v>45744.40555555555</v>
      </c>
      <c r="D4039" s="22" t="s">
        <v>39</v>
      </c>
      <c r="E4039" s="22" t="s">
        <v>69</v>
      </c>
      <c r="F4039" s="22" t="s">
        <v>37</v>
      </c>
      <c r="G4039" s="22" t="s">
        <v>126</v>
      </c>
      <c r="H4039" s="22" t="s">
        <v>71</v>
      </c>
      <c r="I4039" s="22" t="s">
        <v>117</v>
      </c>
      <c r="J4039" s="23">
        <v>120</v>
      </c>
      <c r="K4039" s="37">
        <v>0</v>
      </c>
      <c r="M4039" s="22" t="str">
        <f>IF(OR(ISBLANK(C4039),C4039=""),"",ROUND((C4039-B4039)*24,2))</f>
        <v/>
      </c>
      <c r="N4039" s="22" t="str">
        <f>IF(OR(ISBLANK(C4039),C4039="",M4039=""),"In Progress",IF(M4039&lt;=J4039,"Met","Breached"))</f>
        <v>In Progress</v>
      </c>
    </row>
    <row r="4040" ht="19" customHeight="1" spans="1:14" x14ac:dyDescent="0.25">
      <c r="A4040" s="19" t="s">
        <v>4154</v>
      </c>
      <c r="B4040" s="33">
        <v>45907.57152777778</v>
      </c>
      <c r="C4040" s="33">
        <v>45910.961111111115</v>
      </c>
      <c r="D4040" s="19" t="s">
        <v>33</v>
      </c>
      <c r="E4040" s="19" t="s">
        <v>69</v>
      </c>
      <c r="F4040" s="19" t="s">
        <v>45</v>
      </c>
      <c r="G4040" s="19" t="s">
        <v>110</v>
      </c>
      <c r="H4040" s="19" t="s">
        <v>63</v>
      </c>
      <c r="I4040" s="19" t="s">
        <v>111</v>
      </c>
      <c r="J4040" s="20">
        <v>120</v>
      </c>
      <c r="K4040" s="34">
        <v>0</v>
      </c>
      <c r="L4040" s="34">
        <v>5</v>
      </c>
      <c r="M4040" s="19">
        <f>IF(OR(ISBLANK(C4040),C4040=""),"",ROUND((C4040-B4040)*24,2))</f>
        <v>81.35</v>
      </c>
      <c r="N4040" s="35" t="str">
        <f>IF(OR(ISBLANK(C4040),C4040="",M4040=""),"In Progress",IF(M4040&lt;=J4040,"Met","Breached"))</f>
        <v>Met</v>
      </c>
    </row>
    <row r="4041" ht="19" customHeight="1" spans="1:14" x14ac:dyDescent="0.25">
      <c r="A4041" s="22" t="s">
        <v>4155</v>
      </c>
      <c r="B4041" s="36">
        <v>45671.84027777778</v>
      </c>
      <c r="C4041" s="36">
        <v>45673.08819444444</v>
      </c>
      <c r="D4041" s="22" t="s">
        <v>33</v>
      </c>
      <c r="E4041" s="22" t="s">
        <v>65</v>
      </c>
      <c r="F4041" s="22" t="s">
        <v>43</v>
      </c>
      <c r="G4041" s="22" t="s">
        <v>113</v>
      </c>
      <c r="H4041" s="22" t="s">
        <v>71</v>
      </c>
      <c r="I4041" s="22" t="s">
        <v>123</v>
      </c>
      <c r="J4041" s="23">
        <v>48</v>
      </c>
      <c r="K4041" s="37">
        <v>0</v>
      </c>
      <c r="L4041" s="37">
        <v>2</v>
      </c>
      <c r="M4041" s="22">
        <f>IF(OR(ISBLANK(C4041),C4041=""),"",ROUND((C4041-B4041)*24,2))</f>
        <v>29.95</v>
      </c>
      <c r="N4041" s="40" t="str">
        <f>IF(OR(ISBLANK(C4041),C4041="",M4041=""),"In Progress",IF(M4041&lt;=J4041,"Met","Breached"))</f>
        <v>Met</v>
      </c>
    </row>
    <row r="4042" ht="19" customHeight="1" spans="1:14" x14ac:dyDescent="0.25">
      <c r="A4042" s="19" t="s">
        <v>4156</v>
      </c>
      <c r="B4042" s="33">
        <v>46040.64791666667</v>
      </c>
      <c r="C4042" s="33">
        <v>46041.31736111111</v>
      </c>
      <c r="D4042" s="19" t="s">
        <v>33</v>
      </c>
      <c r="E4042" s="19" t="s">
        <v>65</v>
      </c>
      <c r="F4042" s="19" t="s">
        <v>37</v>
      </c>
      <c r="G4042" s="19" t="s">
        <v>113</v>
      </c>
      <c r="H4042" s="19" t="s">
        <v>59</v>
      </c>
      <c r="I4042" s="19" t="s">
        <v>123</v>
      </c>
      <c r="J4042" s="20">
        <v>48</v>
      </c>
      <c r="K4042" s="34">
        <v>1</v>
      </c>
      <c r="L4042" s="34">
        <v>4</v>
      </c>
      <c r="M4042" s="19">
        <f>IF(OR(ISBLANK(C4042),C4042=""),"",ROUND((C4042-B4042)*24,2))</f>
        <v>16.07</v>
      </c>
      <c r="N4042" s="35" t="str">
        <f>IF(OR(ISBLANK(C4042),C4042="",M4042=""),"In Progress",IF(M4042&lt;=J4042,"Met","Breached"))</f>
        <v>Met</v>
      </c>
    </row>
    <row r="4043" ht="19" customHeight="1" spans="1:14" x14ac:dyDescent="0.25">
      <c r="A4043" s="22" t="s">
        <v>4157</v>
      </c>
      <c r="B4043" s="36">
        <v>46165.07986111111</v>
      </c>
      <c r="D4043" s="22" t="s">
        <v>42</v>
      </c>
      <c r="E4043" s="22" t="s">
        <v>65</v>
      </c>
      <c r="F4043" s="22" t="s">
        <v>43</v>
      </c>
      <c r="G4043" s="22" t="s">
        <v>116</v>
      </c>
      <c r="H4043" s="22" t="s">
        <v>63</v>
      </c>
      <c r="I4043" s="22" t="s">
        <v>114</v>
      </c>
      <c r="J4043" s="23">
        <v>48</v>
      </c>
      <c r="K4043" s="37">
        <v>0</v>
      </c>
      <c r="M4043" s="22" t="str">
        <f>IF(OR(ISBLANK(C4043),C4043=""),"",ROUND((C4043-B4043)*24,2))</f>
        <v/>
      </c>
      <c r="N4043" s="22" t="str">
        <f>IF(OR(ISBLANK(C4043),C4043="",M4043=""),"In Progress",IF(M4043&lt;=J4043,"Met","Breached"))</f>
        <v>In Progress</v>
      </c>
    </row>
    <row r="4044" ht="19" customHeight="1" spans="1:14" x14ac:dyDescent="0.25">
      <c r="A4044" s="19" t="s">
        <v>4158</v>
      </c>
      <c r="B4044" s="33">
        <v>45935.93611111111</v>
      </c>
      <c r="D4044" s="19" t="s">
        <v>42</v>
      </c>
      <c r="E4044" s="19" t="s">
        <v>61</v>
      </c>
      <c r="F4044" s="19" t="s">
        <v>45</v>
      </c>
      <c r="G4044" s="19" t="s">
        <v>113</v>
      </c>
      <c r="H4044" s="19" t="s">
        <v>59</v>
      </c>
      <c r="I4044" s="19" t="s">
        <v>147</v>
      </c>
      <c r="J4044" s="20">
        <v>12</v>
      </c>
      <c r="K4044" s="34">
        <v>0</v>
      </c>
      <c r="M4044" s="19" t="str">
        <f>IF(OR(ISBLANK(C4044),C4044=""),"",ROUND((C4044-B4044)*24,2))</f>
        <v/>
      </c>
      <c r="N4044" s="19" t="str">
        <f>IF(OR(ISBLANK(C4044),C4044="",M4044=""),"In Progress",IF(M4044&lt;=J4044,"Met","Breached"))</f>
        <v>In Progress</v>
      </c>
    </row>
    <row r="4045" ht="19" customHeight="1" spans="1:14" x14ac:dyDescent="0.25">
      <c r="A4045" s="22" t="s">
        <v>4159</v>
      </c>
      <c r="B4045" s="36">
        <v>46015.506944444445</v>
      </c>
      <c r="D4045" s="22" t="s">
        <v>39</v>
      </c>
      <c r="E4045" s="22" t="s">
        <v>69</v>
      </c>
      <c r="F4045" s="22" t="s">
        <v>45</v>
      </c>
      <c r="G4045" s="22" t="s">
        <v>110</v>
      </c>
      <c r="H4045" s="22" t="s">
        <v>59</v>
      </c>
      <c r="I4045" s="22" t="s">
        <v>114</v>
      </c>
      <c r="J4045" s="23">
        <v>120</v>
      </c>
      <c r="K4045" s="37">
        <v>0</v>
      </c>
      <c r="M4045" s="22" t="str">
        <f>IF(OR(ISBLANK(C4045),C4045=""),"",ROUND((C4045-B4045)*24,2))</f>
        <v/>
      </c>
      <c r="N4045" s="22" t="str">
        <f>IF(OR(ISBLANK(C4045),C4045="",M4045=""),"In Progress",IF(M4045&lt;=J4045,"Met","Breached"))</f>
        <v>In Progress</v>
      </c>
    </row>
    <row r="4046" ht="19" customHeight="1" spans="1:14" x14ac:dyDescent="0.25">
      <c r="A4046" s="19" t="s">
        <v>4160</v>
      </c>
      <c r="B4046" s="33">
        <v>45708.80138888889</v>
      </c>
      <c r="C4046" s="33">
        <v>45708.94652777778</v>
      </c>
      <c r="D4046" s="19" t="s">
        <v>36</v>
      </c>
      <c r="E4046" s="19" t="s">
        <v>57</v>
      </c>
      <c r="F4046" s="19" t="s">
        <v>40</v>
      </c>
      <c r="G4046" s="19" t="s">
        <v>113</v>
      </c>
      <c r="H4046" s="19" t="s">
        <v>63</v>
      </c>
      <c r="I4046" s="19" t="s">
        <v>114</v>
      </c>
      <c r="J4046" s="20">
        <v>4</v>
      </c>
      <c r="K4046" s="34">
        <v>0</v>
      </c>
      <c r="M4046" s="19">
        <f>IF(OR(ISBLANK(C4046),C4046=""),"",ROUND((C4046-B4046)*24,2))</f>
        <v>3.48</v>
      </c>
      <c r="N4046" s="35" t="str">
        <f>IF(OR(ISBLANK(C4046),C4046="",M4046=""),"In Progress",IF(M4046&lt;=J4046,"Met","Breached"))</f>
        <v>Met</v>
      </c>
    </row>
    <row r="4047" ht="19" customHeight="1" spans="1:14" x14ac:dyDescent="0.25">
      <c r="A4047" s="22" t="s">
        <v>4161</v>
      </c>
      <c r="B4047" s="36">
        <v>45894.992361111115</v>
      </c>
      <c r="D4047" s="22" t="s">
        <v>42</v>
      </c>
      <c r="E4047" s="22" t="s">
        <v>61</v>
      </c>
      <c r="F4047" s="22" t="s">
        <v>37</v>
      </c>
      <c r="G4047" s="22" t="s">
        <v>63</v>
      </c>
      <c r="H4047" s="22" t="s">
        <v>63</v>
      </c>
      <c r="I4047" s="22" t="s">
        <v>114</v>
      </c>
      <c r="J4047" s="23">
        <v>12</v>
      </c>
      <c r="K4047" s="37">
        <v>0</v>
      </c>
      <c r="M4047" s="22" t="str">
        <f>IF(OR(ISBLANK(C4047),C4047=""),"",ROUND((C4047-B4047)*24,2))</f>
        <v/>
      </c>
      <c r="N4047" s="22" t="str">
        <f>IF(OR(ISBLANK(C4047),C4047="",M4047=""),"In Progress",IF(M4047&lt;=J4047,"Met","Breached"))</f>
        <v>In Progress</v>
      </c>
    </row>
    <row r="4048" ht="19" customHeight="1" spans="1:14" x14ac:dyDescent="0.25">
      <c r="A4048" s="19" t="s">
        <v>4162</v>
      </c>
      <c r="B4048" s="33">
        <v>46155.02847222222</v>
      </c>
      <c r="C4048" s="33">
        <v>46161.56805555556</v>
      </c>
      <c r="D4048" s="19" t="s">
        <v>33</v>
      </c>
      <c r="E4048" s="19" t="s">
        <v>69</v>
      </c>
      <c r="F4048" s="19" t="s">
        <v>43</v>
      </c>
      <c r="G4048" s="19" t="s">
        <v>126</v>
      </c>
      <c r="H4048" s="19" t="s">
        <v>59</v>
      </c>
      <c r="I4048" s="19" t="s">
        <v>108</v>
      </c>
      <c r="J4048" s="20">
        <v>120</v>
      </c>
      <c r="K4048" s="34">
        <v>0</v>
      </c>
      <c r="L4048" s="34">
        <v>4</v>
      </c>
      <c r="M4048" s="19">
        <f>IF(OR(ISBLANK(C4048),C4048=""),"",ROUND((C4048-B4048)*24,2))</f>
        <v>156.95</v>
      </c>
      <c r="N4048" s="39" t="str">
        <f>IF(OR(ISBLANK(C4048),C4048="",M4048=""),"In Progress",IF(M4048&lt;=J4048,"Met","Breached"))</f>
        <v>Breached</v>
      </c>
    </row>
    <row r="4049" ht="19" customHeight="1" spans="1:14" x14ac:dyDescent="0.25">
      <c r="A4049" s="22" t="s">
        <v>4163</v>
      </c>
      <c r="B4049" s="36">
        <v>45964.42569444445</v>
      </c>
      <c r="C4049" s="36">
        <v>45964.7125</v>
      </c>
      <c r="D4049" s="22" t="s">
        <v>33</v>
      </c>
      <c r="E4049" s="22" t="s">
        <v>61</v>
      </c>
      <c r="F4049" s="22" t="s">
        <v>45</v>
      </c>
      <c r="G4049" s="22" t="s">
        <v>116</v>
      </c>
      <c r="H4049" s="22" t="s">
        <v>59</v>
      </c>
      <c r="I4049" s="22" t="s">
        <v>117</v>
      </c>
      <c r="J4049" s="23">
        <v>12</v>
      </c>
      <c r="K4049" s="37">
        <v>0</v>
      </c>
      <c r="L4049" s="37">
        <v>5</v>
      </c>
      <c r="M4049" s="22">
        <f>IF(OR(ISBLANK(C4049),C4049=""),"",ROUND((C4049-B4049)*24,2))</f>
        <v>6.88</v>
      </c>
      <c r="N4049" s="40" t="str">
        <f>IF(OR(ISBLANK(C4049),C4049="",M4049=""),"In Progress",IF(M4049&lt;=J4049,"Met","Breached"))</f>
        <v>Met</v>
      </c>
    </row>
    <row r="4050" ht="19" customHeight="1" spans="1:14" x14ac:dyDescent="0.25">
      <c r="A4050" s="19" t="s">
        <v>4164</v>
      </c>
      <c r="B4050" s="33">
        <v>46275.663194444445</v>
      </c>
      <c r="C4050" s="33">
        <v>46275.81388888889</v>
      </c>
      <c r="D4050" s="19" t="s">
        <v>33</v>
      </c>
      <c r="E4050" s="19" t="s">
        <v>57</v>
      </c>
      <c r="F4050" s="19" t="s">
        <v>40</v>
      </c>
      <c r="G4050" s="19" t="s">
        <v>63</v>
      </c>
      <c r="H4050" s="19" t="s">
        <v>59</v>
      </c>
      <c r="I4050" s="19" t="s">
        <v>114</v>
      </c>
      <c r="J4050" s="20">
        <v>4</v>
      </c>
      <c r="K4050" s="34">
        <v>0</v>
      </c>
      <c r="M4050" s="19">
        <f>IF(OR(ISBLANK(C4050),C4050=""),"",ROUND((C4050-B4050)*24,2))</f>
        <v>3.62</v>
      </c>
      <c r="N4050" s="35" t="str">
        <f>IF(OR(ISBLANK(C4050),C4050="",M4050=""),"In Progress",IF(M4050&lt;=J4050,"Met","Breached"))</f>
        <v>Met</v>
      </c>
    </row>
    <row r="4051" ht="19" customHeight="1" spans="1:14" x14ac:dyDescent="0.25">
      <c r="A4051" s="22" t="s">
        <v>4165</v>
      </c>
      <c r="B4051" s="36">
        <v>46253.90416666667</v>
      </c>
      <c r="C4051" s="36">
        <v>46256.319444444445</v>
      </c>
      <c r="D4051" s="22" t="s">
        <v>36</v>
      </c>
      <c r="E4051" s="22" t="s">
        <v>65</v>
      </c>
      <c r="F4051" s="22" t="s">
        <v>40</v>
      </c>
      <c r="G4051" s="22" t="s">
        <v>126</v>
      </c>
      <c r="H4051" s="22" t="s">
        <v>59</v>
      </c>
      <c r="I4051" s="22" t="s">
        <v>123</v>
      </c>
      <c r="J4051" s="23">
        <v>48</v>
      </c>
      <c r="K4051" s="37">
        <v>0</v>
      </c>
      <c r="L4051" s="37">
        <v>2</v>
      </c>
      <c r="M4051" s="22">
        <f>IF(OR(ISBLANK(C4051),C4051=""),"",ROUND((C4051-B4051)*24,2))</f>
        <v>57.97</v>
      </c>
      <c r="N4051" s="38" t="str">
        <f>IF(OR(ISBLANK(C4051),C4051="",M4051=""),"In Progress",IF(M4051&lt;=J4051,"Met","Breached"))</f>
        <v>Breached</v>
      </c>
    </row>
    <row r="4052" ht="19" customHeight="1" spans="1:14" x14ac:dyDescent="0.25">
      <c r="A4052" s="19" t="s">
        <v>4166</v>
      </c>
      <c r="B4052" s="33">
        <v>46279.28402777778</v>
      </c>
      <c r="C4052" s="33">
        <v>46285.648611111115</v>
      </c>
      <c r="D4052" s="19" t="s">
        <v>33</v>
      </c>
      <c r="E4052" s="19" t="s">
        <v>69</v>
      </c>
      <c r="F4052" s="19" t="s">
        <v>43</v>
      </c>
      <c r="G4052" s="19" t="s">
        <v>110</v>
      </c>
      <c r="H4052" s="19" t="s">
        <v>71</v>
      </c>
      <c r="I4052" s="19" t="s">
        <v>123</v>
      </c>
      <c r="J4052" s="20">
        <v>120</v>
      </c>
      <c r="K4052" s="34">
        <v>0</v>
      </c>
      <c r="L4052" s="34">
        <v>3</v>
      </c>
      <c r="M4052" s="19">
        <f>IF(OR(ISBLANK(C4052),C4052=""),"",ROUND((C4052-B4052)*24,2))</f>
        <v>152.75</v>
      </c>
      <c r="N4052" s="39" t="str">
        <f>IF(OR(ISBLANK(C4052),C4052="",M4052=""),"In Progress",IF(M4052&lt;=J4052,"Met","Breached"))</f>
        <v>Breached</v>
      </c>
    </row>
    <row r="4053" ht="19" customHeight="1" spans="1:14" x14ac:dyDescent="0.25">
      <c r="A4053" s="22" t="s">
        <v>4167</v>
      </c>
      <c r="B4053" s="36">
        <v>46156.851388888885</v>
      </c>
      <c r="C4053" s="36">
        <v>46160.23125</v>
      </c>
      <c r="D4053" s="22" t="s">
        <v>33</v>
      </c>
      <c r="E4053" s="22" t="s">
        <v>65</v>
      </c>
      <c r="F4053" s="22" t="s">
        <v>37</v>
      </c>
      <c r="G4053" s="22" t="s">
        <v>116</v>
      </c>
      <c r="H4053" s="22" t="s">
        <v>59</v>
      </c>
      <c r="I4053" s="22" t="s">
        <v>147</v>
      </c>
      <c r="J4053" s="23">
        <v>48</v>
      </c>
      <c r="K4053" s="37">
        <v>0</v>
      </c>
      <c r="L4053" s="37">
        <v>5</v>
      </c>
      <c r="M4053" s="22">
        <f>IF(OR(ISBLANK(C4053),C4053=""),"",ROUND((C4053-B4053)*24,2))</f>
        <v>81.12</v>
      </c>
      <c r="N4053" s="38" t="str">
        <f>IF(OR(ISBLANK(C4053),C4053="",M4053=""),"In Progress",IF(M4053&lt;=J4053,"Met","Breached"))</f>
        <v>Breached</v>
      </c>
    </row>
    <row r="4054" ht="19" customHeight="1" spans="1:14" x14ac:dyDescent="0.25">
      <c r="A4054" s="19" t="s">
        <v>4168</v>
      </c>
      <c r="B4054" s="33">
        <v>45927.226388888885</v>
      </c>
      <c r="C4054" s="33">
        <v>45928.799305555556</v>
      </c>
      <c r="D4054" s="19" t="s">
        <v>36</v>
      </c>
      <c r="E4054" s="19" t="s">
        <v>65</v>
      </c>
      <c r="F4054" s="19" t="s">
        <v>45</v>
      </c>
      <c r="G4054" s="19" t="s">
        <v>126</v>
      </c>
      <c r="H4054" s="19" t="s">
        <v>59</v>
      </c>
      <c r="I4054" s="19" t="s">
        <v>123</v>
      </c>
      <c r="J4054" s="20">
        <v>48</v>
      </c>
      <c r="K4054" s="34">
        <v>0</v>
      </c>
      <c r="L4054" s="34">
        <v>4</v>
      </c>
      <c r="M4054" s="19">
        <f>IF(OR(ISBLANK(C4054),C4054=""),"",ROUND((C4054-B4054)*24,2))</f>
        <v>37.75</v>
      </c>
      <c r="N4054" s="35" t="str">
        <f>IF(OR(ISBLANK(C4054),C4054="",M4054=""),"In Progress",IF(M4054&lt;=J4054,"Met","Breached"))</f>
        <v>Met</v>
      </c>
    </row>
    <row r="4055" ht="19" customHeight="1" spans="1:14" x14ac:dyDescent="0.25">
      <c r="A4055" s="22" t="s">
        <v>4169</v>
      </c>
      <c r="B4055" s="36">
        <v>46239.59444444445</v>
      </c>
      <c r="D4055" s="22" t="s">
        <v>42</v>
      </c>
      <c r="E4055" s="22" t="s">
        <v>65</v>
      </c>
      <c r="F4055" s="22" t="s">
        <v>43</v>
      </c>
      <c r="G4055" s="22" t="s">
        <v>126</v>
      </c>
      <c r="H4055" s="22" t="s">
        <v>59</v>
      </c>
      <c r="I4055" s="22" t="s">
        <v>114</v>
      </c>
      <c r="J4055" s="23">
        <v>48</v>
      </c>
      <c r="K4055" s="37">
        <v>0</v>
      </c>
      <c r="M4055" s="22" t="str">
        <f>IF(OR(ISBLANK(C4055),C4055=""),"",ROUND((C4055-B4055)*24,2))</f>
        <v/>
      </c>
      <c r="N4055" s="22" t="str">
        <f>IF(OR(ISBLANK(C4055),C4055="",M4055=""),"In Progress",IF(M4055&lt;=J4055,"Met","Breached"))</f>
        <v>In Progress</v>
      </c>
    </row>
    <row r="4056" ht="19" customHeight="1" spans="1:14" x14ac:dyDescent="0.25">
      <c r="A4056" s="19" t="s">
        <v>4170</v>
      </c>
      <c r="B4056" s="33">
        <v>46024.99652777778</v>
      </c>
      <c r="D4056" s="19" t="s">
        <v>39</v>
      </c>
      <c r="E4056" s="19" t="s">
        <v>69</v>
      </c>
      <c r="F4056" s="19" t="s">
        <v>40</v>
      </c>
      <c r="G4056" s="19" t="s">
        <v>113</v>
      </c>
      <c r="H4056" s="19" t="s">
        <v>63</v>
      </c>
      <c r="I4056" s="19" t="s">
        <v>117</v>
      </c>
      <c r="J4056" s="20">
        <v>120</v>
      </c>
      <c r="K4056" s="34">
        <v>0</v>
      </c>
      <c r="M4056" s="19" t="str">
        <f>IF(OR(ISBLANK(C4056),C4056=""),"",ROUND((C4056-B4056)*24,2))</f>
        <v/>
      </c>
      <c r="N4056" s="19" t="str">
        <f>IF(OR(ISBLANK(C4056),C4056="",M4056=""),"In Progress",IF(M4056&lt;=J4056,"Met","Breached"))</f>
        <v>In Progress</v>
      </c>
    </row>
    <row r="4057" ht="19" customHeight="1" spans="1:14" x14ac:dyDescent="0.25">
      <c r="A4057" s="22" t="s">
        <v>4171</v>
      </c>
      <c r="B4057" s="36">
        <v>46077.30625</v>
      </c>
      <c r="C4057" s="36">
        <v>46077.77291666667</v>
      </c>
      <c r="D4057" s="22" t="s">
        <v>36</v>
      </c>
      <c r="E4057" s="22" t="s">
        <v>61</v>
      </c>
      <c r="F4057" s="22" t="s">
        <v>37</v>
      </c>
      <c r="G4057" s="22" t="s">
        <v>110</v>
      </c>
      <c r="H4057" s="22" t="s">
        <v>59</v>
      </c>
      <c r="I4057" s="22" t="s">
        <v>114</v>
      </c>
      <c r="J4057" s="23">
        <v>12</v>
      </c>
      <c r="K4057" s="37">
        <v>0</v>
      </c>
      <c r="M4057" s="22">
        <f>IF(OR(ISBLANK(C4057),C4057=""),"",ROUND((C4057-B4057)*24,2))</f>
        <v>11.2</v>
      </c>
      <c r="N4057" s="40" t="str">
        <f>IF(OR(ISBLANK(C4057),C4057="",M4057=""),"In Progress",IF(M4057&lt;=J4057,"Met","Breached"))</f>
        <v>Met</v>
      </c>
    </row>
    <row r="4058" ht="19" customHeight="1" spans="1:14" x14ac:dyDescent="0.25">
      <c r="A4058" s="19" t="s">
        <v>4172</v>
      </c>
      <c r="B4058" s="33">
        <v>45827.725694444445</v>
      </c>
      <c r="D4058" s="19" t="s">
        <v>42</v>
      </c>
      <c r="E4058" s="19" t="s">
        <v>61</v>
      </c>
      <c r="F4058" s="19" t="s">
        <v>37</v>
      </c>
      <c r="G4058" s="19" t="s">
        <v>116</v>
      </c>
      <c r="H4058" s="19" t="s">
        <v>59</v>
      </c>
      <c r="I4058" s="19" t="s">
        <v>117</v>
      </c>
      <c r="J4058" s="20">
        <v>12</v>
      </c>
      <c r="K4058" s="34">
        <v>0</v>
      </c>
      <c r="M4058" s="19" t="str">
        <f>IF(OR(ISBLANK(C4058),C4058=""),"",ROUND((C4058-B4058)*24,2))</f>
        <v/>
      </c>
      <c r="N4058" s="19" t="str">
        <f>IF(OR(ISBLANK(C4058),C4058="",M4058=""),"In Progress",IF(M4058&lt;=J4058,"Met","Breached"))</f>
        <v>In Progress</v>
      </c>
    </row>
    <row r="4059" ht="19" customHeight="1" spans="1:14" x14ac:dyDescent="0.25">
      <c r="A4059" s="22" t="s">
        <v>4173</v>
      </c>
      <c r="B4059" s="36">
        <v>45743.820138888885</v>
      </c>
      <c r="D4059" s="22" t="s">
        <v>39</v>
      </c>
      <c r="E4059" s="22" t="s">
        <v>57</v>
      </c>
      <c r="F4059" s="22" t="s">
        <v>40</v>
      </c>
      <c r="G4059" s="22" t="s">
        <v>110</v>
      </c>
      <c r="H4059" s="22" t="s">
        <v>63</v>
      </c>
      <c r="I4059" s="22" t="s">
        <v>108</v>
      </c>
      <c r="J4059" s="23">
        <v>4</v>
      </c>
      <c r="K4059" s="37">
        <v>0</v>
      </c>
      <c r="M4059" s="22" t="str">
        <f>IF(OR(ISBLANK(C4059),C4059=""),"",ROUND((C4059-B4059)*24,2))</f>
        <v/>
      </c>
      <c r="N4059" s="22" t="str">
        <f>IF(OR(ISBLANK(C4059),C4059="",M4059=""),"In Progress",IF(M4059&lt;=J4059,"Met","Breached"))</f>
        <v>In Progress</v>
      </c>
    </row>
    <row r="4060" ht="19" customHeight="1" spans="1:14" x14ac:dyDescent="0.25">
      <c r="A4060" s="19" t="s">
        <v>4174</v>
      </c>
      <c r="B4060" s="33">
        <v>46110.80972222222</v>
      </c>
      <c r="C4060" s="33">
        <v>46111.430555555555</v>
      </c>
      <c r="D4060" s="19" t="s">
        <v>33</v>
      </c>
      <c r="E4060" s="19" t="s">
        <v>65</v>
      </c>
      <c r="F4060" s="19" t="s">
        <v>40</v>
      </c>
      <c r="G4060" s="19" t="s">
        <v>116</v>
      </c>
      <c r="H4060" s="19" t="s">
        <v>63</v>
      </c>
      <c r="I4060" s="19" t="s">
        <v>111</v>
      </c>
      <c r="J4060" s="20">
        <v>48</v>
      </c>
      <c r="K4060" s="34">
        <v>0</v>
      </c>
      <c r="M4060" s="19">
        <f>IF(OR(ISBLANK(C4060),C4060=""),"",ROUND((C4060-B4060)*24,2))</f>
        <v>14.9</v>
      </c>
      <c r="N4060" s="35" t="str">
        <f>IF(OR(ISBLANK(C4060),C4060="",M4060=""),"In Progress",IF(M4060&lt;=J4060,"Met","Breached"))</f>
        <v>Met</v>
      </c>
    </row>
    <row r="4061" ht="19" customHeight="1" spans="1:14" x14ac:dyDescent="0.25">
      <c r="A4061" s="22" t="s">
        <v>4175</v>
      </c>
      <c r="B4061" s="36">
        <v>46165.535416666666</v>
      </c>
      <c r="C4061" s="36">
        <v>46165.77083333333</v>
      </c>
      <c r="D4061" s="22" t="s">
        <v>33</v>
      </c>
      <c r="E4061" s="22" t="s">
        <v>57</v>
      </c>
      <c r="F4061" s="22" t="s">
        <v>45</v>
      </c>
      <c r="G4061" s="22" t="s">
        <v>126</v>
      </c>
      <c r="H4061" s="22" t="s">
        <v>63</v>
      </c>
      <c r="I4061" s="22" t="s">
        <v>114</v>
      </c>
      <c r="J4061" s="23">
        <v>4</v>
      </c>
      <c r="K4061" s="37">
        <v>0</v>
      </c>
      <c r="L4061" s="37">
        <v>2</v>
      </c>
      <c r="M4061" s="22">
        <f>IF(OR(ISBLANK(C4061),C4061=""),"",ROUND((C4061-B4061)*24,2))</f>
        <v>5.65</v>
      </c>
      <c r="N4061" s="38" t="str">
        <f>IF(OR(ISBLANK(C4061),C4061="",M4061=""),"In Progress",IF(M4061&lt;=J4061,"Met","Breached"))</f>
        <v>Breached</v>
      </c>
    </row>
    <row r="4062" ht="19" customHeight="1" spans="1:14" x14ac:dyDescent="0.25">
      <c r="A4062" s="19" t="s">
        <v>4176</v>
      </c>
      <c r="B4062" s="33">
        <v>46069.611805555556</v>
      </c>
      <c r="C4062" s="33">
        <v>46074.50208333333</v>
      </c>
      <c r="D4062" s="19" t="s">
        <v>33</v>
      </c>
      <c r="E4062" s="19" t="s">
        <v>69</v>
      </c>
      <c r="F4062" s="19" t="s">
        <v>34</v>
      </c>
      <c r="G4062" s="19" t="s">
        <v>121</v>
      </c>
      <c r="H4062" s="19" t="s">
        <v>67</v>
      </c>
      <c r="I4062" s="19" t="s">
        <v>114</v>
      </c>
      <c r="J4062" s="20">
        <v>120</v>
      </c>
      <c r="K4062" s="34">
        <v>0</v>
      </c>
      <c r="L4062" s="34">
        <v>3</v>
      </c>
      <c r="M4062" s="19">
        <f>IF(OR(ISBLANK(C4062),C4062=""),"",ROUND((C4062-B4062)*24,2))</f>
        <v>117.37</v>
      </c>
      <c r="N4062" s="35" t="str">
        <f>IF(OR(ISBLANK(C4062),C4062="",M4062=""),"In Progress",IF(M4062&lt;=J4062,"Met","Breached"))</f>
        <v>Met</v>
      </c>
    </row>
    <row r="4063" ht="19" customHeight="1" spans="1:14" x14ac:dyDescent="0.25">
      <c r="A4063" s="22" t="s">
        <v>4177</v>
      </c>
      <c r="B4063" s="36">
        <v>45953.40277777778</v>
      </c>
      <c r="C4063" s="36">
        <v>45953.60763888889</v>
      </c>
      <c r="D4063" s="22" t="s">
        <v>36</v>
      </c>
      <c r="E4063" s="22" t="s">
        <v>57</v>
      </c>
      <c r="F4063" s="22" t="s">
        <v>43</v>
      </c>
      <c r="G4063" s="22" t="s">
        <v>113</v>
      </c>
      <c r="H4063" s="22" t="s">
        <v>59</v>
      </c>
      <c r="I4063" s="22" t="s">
        <v>108</v>
      </c>
      <c r="J4063" s="23">
        <v>4</v>
      </c>
      <c r="K4063" s="37">
        <v>0</v>
      </c>
      <c r="L4063" s="37">
        <v>1</v>
      </c>
      <c r="M4063" s="22">
        <f>IF(OR(ISBLANK(C4063),C4063=""),"",ROUND((C4063-B4063)*24,2))</f>
        <v>4.92</v>
      </c>
      <c r="N4063" s="38" t="str">
        <f>IF(OR(ISBLANK(C4063),C4063="",M4063=""),"In Progress",IF(M4063&lt;=J4063,"Met","Breached"))</f>
        <v>Breached</v>
      </c>
    </row>
    <row r="4064" ht="19" customHeight="1" spans="1:14" x14ac:dyDescent="0.25">
      <c r="A4064" s="19" t="s">
        <v>4178</v>
      </c>
      <c r="B4064" s="33">
        <v>45976.20347222222</v>
      </c>
      <c r="C4064" s="33">
        <v>45978.33472222222</v>
      </c>
      <c r="D4064" s="19" t="s">
        <v>33</v>
      </c>
      <c r="E4064" s="19" t="s">
        <v>65</v>
      </c>
      <c r="F4064" s="19" t="s">
        <v>37</v>
      </c>
      <c r="G4064" s="19" t="s">
        <v>116</v>
      </c>
      <c r="H4064" s="19" t="s">
        <v>59</v>
      </c>
      <c r="I4064" s="19" t="s">
        <v>117</v>
      </c>
      <c r="J4064" s="20">
        <v>48</v>
      </c>
      <c r="K4064" s="34">
        <v>0</v>
      </c>
      <c r="L4064" s="34">
        <v>2</v>
      </c>
      <c r="M4064" s="19">
        <f>IF(OR(ISBLANK(C4064),C4064=""),"",ROUND((C4064-B4064)*24,2))</f>
        <v>51.15</v>
      </c>
      <c r="N4064" s="39" t="str">
        <f>IF(OR(ISBLANK(C4064),C4064="",M4064=""),"In Progress",IF(M4064&lt;=J4064,"Met","Breached"))</f>
        <v>Breached</v>
      </c>
    </row>
    <row r="4065" ht="19" customHeight="1" spans="1:14" x14ac:dyDescent="0.25">
      <c r="A4065" s="22" t="s">
        <v>4179</v>
      </c>
      <c r="B4065" s="36">
        <v>45789.89444444445</v>
      </c>
      <c r="C4065" s="36">
        <v>45793.325694444444</v>
      </c>
      <c r="D4065" s="22" t="s">
        <v>36</v>
      </c>
      <c r="E4065" s="22" t="s">
        <v>65</v>
      </c>
      <c r="F4065" s="22" t="s">
        <v>45</v>
      </c>
      <c r="G4065" s="22" t="s">
        <v>126</v>
      </c>
      <c r="H4065" s="22" t="s">
        <v>63</v>
      </c>
      <c r="I4065" s="22" t="s">
        <v>123</v>
      </c>
      <c r="J4065" s="23">
        <v>48</v>
      </c>
      <c r="K4065" s="37">
        <v>0</v>
      </c>
      <c r="M4065" s="22">
        <f>IF(OR(ISBLANK(C4065),C4065=""),"",ROUND((C4065-B4065)*24,2))</f>
        <v>82.35</v>
      </c>
      <c r="N4065" s="38" t="str">
        <f>IF(OR(ISBLANK(C4065),C4065="",M4065=""),"In Progress",IF(M4065&lt;=J4065,"Met","Breached"))</f>
        <v>Breached</v>
      </c>
    </row>
    <row r="4066" ht="19" customHeight="1" spans="1:14" x14ac:dyDescent="0.25">
      <c r="A4066" s="19" t="s">
        <v>4180</v>
      </c>
      <c r="B4066" s="33">
        <v>46212.17847222222</v>
      </c>
      <c r="D4066" s="19" t="s">
        <v>39</v>
      </c>
      <c r="E4066" s="19" t="s">
        <v>65</v>
      </c>
      <c r="F4066" s="19" t="s">
        <v>43</v>
      </c>
      <c r="G4066" s="19" t="s">
        <v>110</v>
      </c>
      <c r="H4066" s="19" t="s">
        <v>67</v>
      </c>
      <c r="I4066" s="19" t="s">
        <v>108</v>
      </c>
      <c r="J4066" s="20">
        <v>48</v>
      </c>
      <c r="K4066" s="34">
        <v>0</v>
      </c>
      <c r="M4066" s="19" t="str">
        <f>IF(OR(ISBLANK(C4066),C4066=""),"",ROUND((C4066-B4066)*24,2))</f>
        <v/>
      </c>
      <c r="N4066" s="19" t="str">
        <f>IF(OR(ISBLANK(C4066),C4066="",M4066=""),"In Progress",IF(M4066&lt;=J4066,"Met","Breached"))</f>
        <v>In Progress</v>
      </c>
    </row>
    <row r="4067" ht="19" customHeight="1" spans="1:14" x14ac:dyDescent="0.25">
      <c r="A4067" s="22" t="s">
        <v>4181</v>
      </c>
      <c r="B4067" s="36">
        <v>46212.1</v>
      </c>
      <c r="C4067" s="36">
        <v>46212.549305555556</v>
      </c>
      <c r="D4067" s="22" t="s">
        <v>33</v>
      </c>
      <c r="E4067" s="22" t="s">
        <v>61</v>
      </c>
      <c r="F4067" s="22" t="s">
        <v>34</v>
      </c>
      <c r="G4067" s="22" t="s">
        <v>121</v>
      </c>
      <c r="H4067" s="22" t="s">
        <v>63</v>
      </c>
      <c r="I4067" s="22" t="s">
        <v>147</v>
      </c>
      <c r="J4067" s="23">
        <v>12</v>
      </c>
      <c r="K4067" s="37">
        <v>0</v>
      </c>
      <c r="L4067" s="37">
        <v>2</v>
      </c>
      <c r="M4067" s="22">
        <f>IF(OR(ISBLANK(C4067),C4067=""),"",ROUND((C4067-B4067)*24,2))</f>
        <v>10.78</v>
      </c>
      <c r="N4067" s="40" t="str">
        <f>IF(OR(ISBLANK(C4067),C4067="",M4067=""),"In Progress",IF(M4067&lt;=J4067,"Met","Breached"))</f>
        <v>Met</v>
      </c>
    </row>
    <row r="4068" ht="19" customHeight="1" spans="1:14" x14ac:dyDescent="0.25">
      <c r="A4068" s="19" t="s">
        <v>4182</v>
      </c>
      <c r="B4068" s="33">
        <v>45881.80069444445</v>
      </c>
      <c r="C4068" s="33">
        <v>45882.67569444445</v>
      </c>
      <c r="D4068" s="19" t="s">
        <v>36</v>
      </c>
      <c r="E4068" s="19" t="s">
        <v>61</v>
      </c>
      <c r="F4068" s="19" t="s">
        <v>45</v>
      </c>
      <c r="G4068" s="19" t="s">
        <v>126</v>
      </c>
      <c r="H4068" s="19" t="s">
        <v>59</v>
      </c>
      <c r="I4068" s="19" t="s">
        <v>111</v>
      </c>
      <c r="J4068" s="20">
        <v>12</v>
      </c>
      <c r="K4068" s="34">
        <v>0</v>
      </c>
      <c r="M4068" s="19">
        <f>IF(OR(ISBLANK(C4068),C4068=""),"",ROUND((C4068-B4068)*24,2))</f>
        <v>21</v>
      </c>
      <c r="N4068" s="39" t="str">
        <f>IF(OR(ISBLANK(C4068),C4068="",M4068=""),"In Progress",IF(M4068&lt;=J4068,"Met","Breached"))</f>
        <v>Breached</v>
      </c>
    </row>
    <row r="4069" ht="19" customHeight="1" spans="1:14" x14ac:dyDescent="0.25">
      <c r="A4069" s="22" t="s">
        <v>4183</v>
      </c>
      <c r="B4069" s="36">
        <v>45999.73541666666</v>
      </c>
      <c r="C4069" s="36">
        <v>46001.19097222222</v>
      </c>
      <c r="D4069" s="22" t="s">
        <v>33</v>
      </c>
      <c r="E4069" s="22" t="s">
        <v>65</v>
      </c>
      <c r="F4069" s="22" t="s">
        <v>37</v>
      </c>
      <c r="G4069" s="22" t="s">
        <v>113</v>
      </c>
      <c r="H4069" s="22" t="s">
        <v>71</v>
      </c>
      <c r="I4069" s="22" t="s">
        <v>147</v>
      </c>
      <c r="J4069" s="23">
        <v>48</v>
      </c>
      <c r="K4069" s="37">
        <v>0</v>
      </c>
      <c r="L4069" s="37">
        <v>5</v>
      </c>
      <c r="M4069" s="22">
        <f>IF(OR(ISBLANK(C4069),C4069=""),"",ROUND((C4069-B4069)*24,2))</f>
        <v>34.93</v>
      </c>
      <c r="N4069" s="40" t="str">
        <f>IF(OR(ISBLANK(C4069),C4069="",M4069=""),"In Progress",IF(M4069&lt;=J4069,"Met","Breached"))</f>
        <v>Met</v>
      </c>
    </row>
    <row r="4070" ht="19" customHeight="1" spans="1:14" x14ac:dyDescent="0.25">
      <c r="A4070" s="19" t="s">
        <v>4184</v>
      </c>
      <c r="B4070" s="33">
        <v>45721.31527777778</v>
      </c>
      <c r="C4070" s="33">
        <v>45724.52777777778</v>
      </c>
      <c r="D4070" s="19" t="s">
        <v>33</v>
      </c>
      <c r="E4070" s="19" t="s">
        <v>65</v>
      </c>
      <c r="F4070" s="19" t="s">
        <v>34</v>
      </c>
      <c r="G4070" s="19" t="s">
        <v>63</v>
      </c>
      <c r="H4070" s="19" t="s">
        <v>67</v>
      </c>
      <c r="I4070" s="19" t="s">
        <v>147</v>
      </c>
      <c r="J4070" s="20">
        <v>48</v>
      </c>
      <c r="K4070" s="34">
        <v>0</v>
      </c>
      <c r="L4070" s="34">
        <v>5</v>
      </c>
      <c r="M4070" s="19">
        <f>IF(OR(ISBLANK(C4070),C4070=""),"",ROUND((C4070-B4070)*24,2))</f>
        <v>77.1</v>
      </c>
      <c r="N4070" s="39" t="str">
        <f>IF(OR(ISBLANK(C4070),C4070="",M4070=""),"In Progress",IF(M4070&lt;=J4070,"Met","Breached"))</f>
        <v>Breached</v>
      </c>
    </row>
    <row r="4071" ht="19" customHeight="1" spans="1:14" x14ac:dyDescent="0.25">
      <c r="A4071" s="22" t="s">
        <v>4185</v>
      </c>
      <c r="B4071" s="36">
        <v>45895.23541666666</v>
      </c>
      <c r="C4071" s="36">
        <v>45895.47222222222</v>
      </c>
      <c r="D4071" s="22" t="s">
        <v>33</v>
      </c>
      <c r="E4071" s="22" t="s">
        <v>61</v>
      </c>
      <c r="F4071" s="22" t="s">
        <v>37</v>
      </c>
      <c r="G4071" s="22" t="s">
        <v>110</v>
      </c>
      <c r="H4071" s="22" t="s">
        <v>63</v>
      </c>
      <c r="I4071" s="22" t="s">
        <v>147</v>
      </c>
      <c r="J4071" s="23">
        <v>12</v>
      </c>
      <c r="K4071" s="37">
        <v>0</v>
      </c>
      <c r="M4071" s="22">
        <f>IF(OR(ISBLANK(C4071),C4071=""),"",ROUND((C4071-B4071)*24,2))</f>
        <v>5.68</v>
      </c>
      <c r="N4071" s="40" t="str">
        <f>IF(OR(ISBLANK(C4071),C4071="",M4071=""),"In Progress",IF(M4071&lt;=J4071,"Met","Breached"))</f>
        <v>Met</v>
      </c>
    </row>
    <row r="4072" ht="19" customHeight="1" spans="1:14" x14ac:dyDescent="0.25">
      <c r="A4072" s="19" t="s">
        <v>4186</v>
      </c>
      <c r="B4072" s="33">
        <v>46070.53402777778</v>
      </c>
      <c r="C4072" s="33">
        <v>46073.87361111111</v>
      </c>
      <c r="D4072" s="19" t="s">
        <v>36</v>
      </c>
      <c r="E4072" s="19" t="s">
        <v>65</v>
      </c>
      <c r="F4072" s="19" t="s">
        <v>40</v>
      </c>
      <c r="G4072" s="19" t="s">
        <v>63</v>
      </c>
      <c r="H4072" s="19" t="s">
        <v>59</v>
      </c>
      <c r="I4072" s="19" t="s">
        <v>111</v>
      </c>
      <c r="J4072" s="20">
        <v>48</v>
      </c>
      <c r="K4072" s="34">
        <v>0</v>
      </c>
      <c r="L4072" s="34">
        <v>2</v>
      </c>
      <c r="M4072" s="19">
        <f>IF(OR(ISBLANK(C4072),C4072=""),"",ROUND((C4072-B4072)*24,2))</f>
        <v>80.15</v>
      </c>
      <c r="N4072" s="39" t="str">
        <f>IF(OR(ISBLANK(C4072),C4072="",M4072=""),"In Progress",IF(M4072&lt;=J4072,"Met","Breached"))</f>
        <v>Breached</v>
      </c>
    </row>
    <row r="4073" ht="19" customHeight="1" spans="1:14" x14ac:dyDescent="0.25">
      <c r="A4073" s="22" t="s">
        <v>4187</v>
      </c>
      <c r="B4073" s="36">
        <v>45957.08888888889</v>
      </c>
      <c r="D4073" s="22" t="s">
        <v>39</v>
      </c>
      <c r="E4073" s="22" t="s">
        <v>65</v>
      </c>
      <c r="F4073" s="22" t="s">
        <v>37</v>
      </c>
      <c r="G4073" s="22" t="s">
        <v>113</v>
      </c>
      <c r="H4073" s="22" t="s">
        <v>59</v>
      </c>
      <c r="I4073" s="22" t="s">
        <v>117</v>
      </c>
      <c r="J4073" s="23">
        <v>48</v>
      </c>
      <c r="K4073" s="37">
        <v>0</v>
      </c>
      <c r="M4073" s="22" t="str">
        <f>IF(OR(ISBLANK(C4073),C4073=""),"",ROUND((C4073-B4073)*24,2))</f>
        <v/>
      </c>
      <c r="N4073" s="22" t="str">
        <f>IF(OR(ISBLANK(C4073),C4073="",M4073=""),"In Progress",IF(M4073&lt;=J4073,"Met","Breached"))</f>
        <v>In Progress</v>
      </c>
    </row>
    <row r="4074" ht="19" customHeight="1" spans="1:14" x14ac:dyDescent="0.25">
      <c r="A4074" s="19" t="s">
        <v>4188</v>
      </c>
      <c r="B4074" s="33">
        <v>46187.93263888889</v>
      </c>
      <c r="C4074" s="33">
        <v>46195.95625</v>
      </c>
      <c r="D4074" s="19" t="s">
        <v>33</v>
      </c>
      <c r="E4074" s="19" t="s">
        <v>69</v>
      </c>
      <c r="F4074" s="19" t="s">
        <v>45</v>
      </c>
      <c r="G4074" s="19" t="s">
        <v>121</v>
      </c>
      <c r="H4074" s="19" t="s">
        <v>67</v>
      </c>
      <c r="I4074" s="19" t="s">
        <v>108</v>
      </c>
      <c r="J4074" s="20">
        <v>120</v>
      </c>
      <c r="K4074" s="34">
        <v>0</v>
      </c>
      <c r="L4074" s="34">
        <v>5</v>
      </c>
      <c r="M4074" s="19">
        <f>IF(OR(ISBLANK(C4074),C4074=""),"",ROUND((C4074-B4074)*24,2))</f>
        <v>192.57</v>
      </c>
      <c r="N4074" s="39" t="str">
        <f>IF(OR(ISBLANK(C4074),C4074="",M4074=""),"In Progress",IF(M4074&lt;=J4074,"Met","Breached"))</f>
        <v>Breached</v>
      </c>
    </row>
    <row r="4075" ht="19" customHeight="1" spans="1:14" x14ac:dyDescent="0.25">
      <c r="A4075" s="22" t="s">
        <v>4189</v>
      </c>
      <c r="B4075" s="36">
        <v>46270.18402777778</v>
      </c>
      <c r="C4075" s="36">
        <v>46271.69305555556</v>
      </c>
      <c r="D4075" s="22" t="s">
        <v>33</v>
      </c>
      <c r="E4075" s="22" t="s">
        <v>65</v>
      </c>
      <c r="F4075" s="22" t="s">
        <v>34</v>
      </c>
      <c r="G4075" s="22" t="s">
        <v>126</v>
      </c>
      <c r="H4075" s="22" t="s">
        <v>63</v>
      </c>
      <c r="I4075" s="22" t="s">
        <v>108</v>
      </c>
      <c r="J4075" s="23">
        <v>48</v>
      </c>
      <c r="K4075" s="37">
        <v>0</v>
      </c>
      <c r="M4075" s="22">
        <f>IF(OR(ISBLANK(C4075),C4075=""),"",ROUND((C4075-B4075)*24,2))</f>
        <v>36.22</v>
      </c>
      <c r="N4075" s="40" t="str">
        <f>IF(OR(ISBLANK(C4075),C4075="",M4075=""),"In Progress",IF(M4075&lt;=J4075,"Met","Breached"))</f>
        <v>Met</v>
      </c>
    </row>
    <row r="4076" ht="19" customHeight="1" spans="1:14" x14ac:dyDescent="0.25">
      <c r="A4076" s="19" t="s">
        <v>4190</v>
      </c>
      <c r="B4076" s="33">
        <v>46086.15069444444</v>
      </c>
      <c r="D4076" s="19" t="s">
        <v>42</v>
      </c>
      <c r="E4076" s="19" t="s">
        <v>61</v>
      </c>
      <c r="F4076" s="19" t="s">
        <v>40</v>
      </c>
      <c r="G4076" s="19" t="s">
        <v>116</v>
      </c>
      <c r="H4076" s="19" t="s">
        <v>67</v>
      </c>
      <c r="I4076" s="19" t="s">
        <v>114</v>
      </c>
      <c r="J4076" s="20">
        <v>12</v>
      </c>
      <c r="K4076" s="34">
        <v>0</v>
      </c>
      <c r="M4076" s="19" t="str">
        <f>IF(OR(ISBLANK(C4076),C4076=""),"",ROUND((C4076-B4076)*24,2))</f>
        <v/>
      </c>
      <c r="N4076" s="19" t="str">
        <f>IF(OR(ISBLANK(C4076),C4076="",M4076=""),"In Progress",IF(M4076&lt;=J4076,"Met","Breached"))</f>
        <v>In Progress</v>
      </c>
    </row>
    <row r="4077" ht="19" customHeight="1" spans="1:14" x14ac:dyDescent="0.25">
      <c r="A4077" s="22" t="s">
        <v>4191</v>
      </c>
      <c r="B4077" s="36">
        <v>45824.81527777778</v>
      </c>
      <c r="C4077" s="36">
        <v>45825.56180555555</v>
      </c>
      <c r="D4077" s="22" t="s">
        <v>33</v>
      </c>
      <c r="E4077" s="22" t="s">
        <v>61</v>
      </c>
      <c r="F4077" s="22" t="s">
        <v>34</v>
      </c>
      <c r="G4077" s="22" t="s">
        <v>63</v>
      </c>
      <c r="H4077" s="22" t="s">
        <v>59</v>
      </c>
      <c r="I4077" s="22" t="s">
        <v>117</v>
      </c>
      <c r="J4077" s="23">
        <v>12</v>
      </c>
      <c r="K4077" s="37">
        <v>0</v>
      </c>
      <c r="L4077" s="37">
        <v>1</v>
      </c>
      <c r="M4077" s="22">
        <f>IF(OR(ISBLANK(C4077),C4077=""),"",ROUND((C4077-B4077)*24,2))</f>
        <v>17.92</v>
      </c>
      <c r="N4077" s="38" t="str">
        <f>IF(OR(ISBLANK(C4077),C4077="",M4077=""),"In Progress",IF(M4077&lt;=J4077,"Met","Breached"))</f>
        <v>Breached</v>
      </c>
    </row>
    <row r="4078" ht="19" customHeight="1" spans="1:14" x14ac:dyDescent="0.25">
      <c r="A4078" s="19" t="s">
        <v>4192</v>
      </c>
      <c r="B4078" s="33">
        <v>45802.31736111111</v>
      </c>
      <c r="D4078" s="19" t="s">
        <v>42</v>
      </c>
      <c r="E4078" s="19" t="s">
        <v>65</v>
      </c>
      <c r="F4078" s="19" t="s">
        <v>37</v>
      </c>
      <c r="G4078" s="19" t="s">
        <v>126</v>
      </c>
      <c r="H4078" s="19" t="s">
        <v>63</v>
      </c>
      <c r="I4078" s="19" t="s">
        <v>111</v>
      </c>
      <c r="J4078" s="20">
        <v>48</v>
      </c>
      <c r="K4078" s="34">
        <v>0</v>
      </c>
      <c r="M4078" s="19" t="str">
        <f>IF(OR(ISBLANK(C4078),C4078=""),"",ROUND((C4078-B4078)*24,2))</f>
        <v/>
      </c>
      <c r="N4078" s="19" t="str">
        <f>IF(OR(ISBLANK(C4078),C4078="",M4078=""),"In Progress",IF(M4078&lt;=J4078,"Met","Breached"))</f>
        <v>In Progress</v>
      </c>
    </row>
    <row r="4079" ht="19" customHeight="1" spans="1:14" x14ac:dyDescent="0.25">
      <c r="A4079" s="22" t="s">
        <v>4193</v>
      </c>
      <c r="B4079" s="36">
        <v>45935.47430555556</v>
      </c>
      <c r="C4079" s="36">
        <v>45937.73541666666</v>
      </c>
      <c r="D4079" s="22" t="s">
        <v>33</v>
      </c>
      <c r="E4079" s="22" t="s">
        <v>65</v>
      </c>
      <c r="F4079" s="22" t="s">
        <v>34</v>
      </c>
      <c r="G4079" s="22" t="s">
        <v>116</v>
      </c>
      <c r="H4079" s="22" t="s">
        <v>63</v>
      </c>
      <c r="I4079" s="22" t="s">
        <v>108</v>
      </c>
      <c r="J4079" s="23">
        <v>48</v>
      </c>
      <c r="K4079" s="37">
        <v>0</v>
      </c>
      <c r="M4079" s="22">
        <f>IF(OR(ISBLANK(C4079),C4079=""),"",ROUND((C4079-B4079)*24,2))</f>
        <v>54.27</v>
      </c>
      <c r="N4079" s="38" t="str">
        <f>IF(OR(ISBLANK(C4079),C4079="",M4079=""),"In Progress",IF(M4079&lt;=J4079,"Met","Breached"))</f>
        <v>Breached</v>
      </c>
    </row>
    <row r="4080" ht="19" customHeight="1" spans="1:14" x14ac:dyDescent="0.25">
      <c r="A4080" s="19" t="s">
        <v>4194</v>
      </c>
      <c r="B4080" s="33">
        <v>45675.209027777775</v>
      </c>
      <c r="C4080" s="33">
        <v>45676.45277777778</v>
      </c>
      <c r="D4080" s="19" t="s">
        <v>36</v>
      </c>
      <c r="E4080" s="19" t="s">
        <v>65</v>
      </c>
      <c r="F4080" s="19" t="s">
        <v>43</v>
      </c>
      <c r="G4080" s="19" t="s">
        <v>116</v>
      </c>
      <c r="H4080" s="19" t="s">
        <v>63</v>
      </c>
      <c r="I4080" s="19" t="s">
        <v>114</v>
      </c>
      <c r="J4080" s="20">
        <v>48</v>
      </c>
      <c r="K4080" s="34">
        <v>0</v>
      </c>
      <c r="L4080" s="34">
        <v>4</v>
      </c>
      <c r="M4080" s="19">
        <f>IF(OR(ISBLANK(C4080),C4080=""),"",ROUND((C4080-B4080)*24,2))</f>
        <v>29.85</v>
      </c>
      <c r="N4080" s="35" t="str">
        <f>IF(OR(ISBLANK(C4080),C4080="",M4080=""),"In Progress",IF(M4080&lt;=J4080,"Met","Breached"))</f>
        <v>Met</v>
      </c>
    </row>
    <row r="4081" ht="19" customHeight="1" spans="1:14" x14ac:dyDescent="0.25">
      <c r="A4081" s="22" t="s">
        <v>4195</v>
      </c>
      <c r="B4081" s="36">
        <v>45702.29305555555</v>
      </c>
      <c r="C4081" s="36">
        <v>45702.92708333333</v>
      </c>
      <c r="D4081" s="22" t="s">
        <v>36</v>
      </c>
      <c r="E4081" s="22" t="s">
        <v>61</v>
      </c>
      <c r="F4081" s="22" t="s">
        <v>37</v>
      </c>
      <c r="G4081" s="22" t="s">
        <v>116</v>
      </c>
      <c r="H4081" s="22" t="s">
        <v>59</v>
      </c>
      <c r="I4081" s="22" t="s">
        <v>114</v>
      </c>
      <c r="J4081" s="23">
        <v>12</v>
      </c>
      <c r="K4081" s="37">
        <v>0</v>
      </c>
      <c r="M4081" s="22">
        <f>IF(OR(ISBLANK(C4081),C4081=""),"",ROUND((C4081-B4081)*24,2))</f>
        <v>15.22</v>
      </c>
      <c r="N4081" s="38" t="str">
        <f>IF(OR(ISBLANK(C4081),C4081="",M4081=""),"In Progress",IF(M4081&lt;=J4081,"Met","Breached"))</f>
        <v>Breached</v>
      </c>
    </row>
    <row r="4082" ht="19" customHeight="1" spans="1:14" x14ac:dyDescent="0.25">
      <c r="A4082" s="19" t="s">
        <v>4196</v>
      </c>
      <c r="B4082" s="33">
        <v>46024.23333333334</v>
      </c>
      <c r="D4082" s="19" t="s">
        <v>39</v>
      </c>
      <c r="E4082" s="19" t="s">
        <v>65</v>
      </c>
      <c r="F4082" s="19" t="s">
        <v>34</v>
      </c>
      <c r="G4082" s="19" t="s">
        <v>126</v>
      </c>
      <c r="H4082" s="19" t="s">
        <v>63</v>
      </c>
      <c r="I4082" s="19" t="s">
        <v>108</v>
      </c>
      <c r="J4082" s="20">
        <v>48</v>
      </c>
      <c r="K4082" s="34">
        <v>0</v>
      </c>
      <c r="M4082" s="19" t="str">
        <f>IF(OR(ISBLANK(C4082),C4082=""),"",ROUND((C4082-B4082)*24,2))</f>
        <v/>
      </c>
      <c r="N4082" s="19" t="str">
        <f>IF(OR(ISBLANK(C4082),C4082="",M4082=""),"In Progress",IF(M4082&lt;=J4082,"Met","Breached"))</f>
        <v>In Progress</v>
      </c>
    </row>
    <row r="4083" ht="19" customHeight="1" spans="1:14" x14ac:dyDescent="0.25">
      <c r="A4083" s="22" t="s">
        <v>4197</v>
      </c>
      <c r="B4083" s="36">
        <v>45958.24513888889</v>
      </c>
      <c r="C4083" s="36">
        <v>45966.38958333334</v>
      </c>
      <c r="D4083" s="22" t="s">
        <v>33</v>
      </c>
      <c r="E4083" s="22" t="s">
        <v>69</v>
      </c>
      <c r="F4083" s="22" t="s">
        <v>34</v>
      </c>
      <c r="G4083" s="22" t="s">
        <v>110</v>
      </c>
      <c r="H4083" s="22" t="s">
        <v>63</v>
      </c>
      <c r="I4083" s="22" t="s">
        <v>117</v>
      </c>
      <c r="J4083" s="23">
        <v>120</v>
      </c>
      <c r="K4083" s="37">
        <v>1</v>
      </c>
      <c r="L4083" s="37">
        <v>5</v>
      </c>
      <c r="M4083" s="22">
        <f>IF(OR(ISBLANK(C4083),C4083=""),"",ROUND((C4083-B4083)*24,2))</f>
        <v>195.47</v>
      </c>
      <c r="N4083" s="38" t="str">
        <f>IF(OR(ISBLANK(C4083),C4083="",M4083=""),"In Progress",IF(M4083&lt;=J4083,"Met","Breached"))</f>
        <v>Breached</v>
      </c>
    </row>
    <row r="4084" ht="19" customHeight="1" spans="1:14" x14ac:dyDescent="0.25">
      <c r="A4084" s="19" t="s">
        <v>4198</v>
      </c>
      <c r="B4084" s="33">
        <v>45775.143055555556</v>
      </c>
      <c r="C4084" s="33">
        <v>45775.25138888889</v>
      </c>
      <c r="D4084" s="19" t="s">
        <v>36</v>
      </c>
      <c r="E4084" s="19" t="s">
        <v>57</v>
      </c>
      <c r="F4084" s="19" t="s">
        <v>40</v>
      </c>
      <c r="G4084" s="19" t="s">
        <v>63</v>
      </c>
      <c r="H4084" s="19" t="s">
        <v>63</v>
      </c>
      <c r="I4084" s="19" t="s">
        <v>117</v>
      </c>
      <c r="J4084" s="20">
        <v>4</v>
      </c>
      <c r="K4084" s="34">
        <v>0</v>
      </c>
      <c r="M4084" s="19">
        <f>IF(OR(ISBLANK(C4084),C4084=""),"",ROUND((C4084-B4084)*24,2))</f>
        <v>2.6</v>
      </c>
      <c r="N4084" s="35" t="str">
        <f>IF(OR(ISBLANK(C4084),C4084="",M4084=""),"In Progress",IF(M4084&lt;=J4084,"Met","Breached"))</f>
        <v>Met</v>
      </c>
    </row>
    <row r="4085" ht="19" customHeight="1" spans="1:14" x14ac:dyDescent="0.25">
      <c r="A4085" s="22" t="s">
        <v>4199</v>
      </c>
      <c r="B4085" s="36">
        <v>46194.51111111111</v>
      </c>
      <c r="C4085" s="36">
        <v>46196.69930555555</v>
      </c>
      <c r="D4085" s="22" t="s">
        <v>36</v>
      </c>
      <c r="E4085" s="22" t="s">
        <v>65</v>
      </c>
      <c r="F4085" s="22" t="s">
        <v>45</v>
      </c>
      <c r="G4085" s="22" t="s">
        <v>110</v>
      </c>
      <c r="H4085" s="22" t="s">
        <v>63</v>
      </c>
      <c r="I4085" s="22" t="s">
        <v>123</v>
      </c>
      <c r="J4085" s="23">
        <v>48</v>
      </c>
      <c r="K4085" s="37">
        <v>0</v>
      </c>
      <c r="L4085" s="37">
        <v>2</v>
      </c>
      <c r="M4085" s="22">
        <f>IF(OR(ISBLANK(C4085),C4085=""),"",ROUND((C4085-B4085)*24,2))</f>
        <v>52.52</v>
      </c>
      <c r="N4085" s="38" t="str">
        <f>IF(OR(ISBLANK(C4085),C4085="",M4085=""),"In Progress",IF(M4085&lt;=J4085,"Met","Breached"))</f>
        <v>Breached</v>
      </c>
    </row>
    <row r="4086" ht="19" customHeight="1" spans="1:14" x14ac:dyDescent="0.25">
      <c r="A4086" s="19" t="s">
        <v>4200</v>
      </c>
      <c r="B4086" s="33">
        <v>45976.13125</v>
      </c>
      <c r="C4086" s="33">
        <v>45976.711805555555</v>
      </c>
      <c r="D4086" s="19" t="s">
        <v>33</v>
      </c>
      <c r="E4086" s="19" t="s">
        <v>61</v>
      </c>
      <c r="F4086" s="19" t="s">
        <v>37</v>
      </c>
      <c r="G4086" s="19" t="s">
        <v>63</v>
      </c>
      <c r="H4086" s="19" t="s">
        <v>63</v>
      </c>
      <c r="I4086" s="19" t="s">
        <v>108</v>
      </c>
      <c r="J4086" s="20">
        <v>12</v>
      </c>
      <c r="K4086" s="34">
        <v>0</v>
      </c>
      <c r="L4086" s="34">
        <v>2</v>
      </c>
      <c r="M4086" s="19">
        <f>IF(OR(ISBLANK(C4086),C4086=""),"",ROUND((C4086-B4086)*24,2))</f>
        <v>13.93</v>
      </c>
      <c r="N4086" s="39" t="str">
        <f>IF(OR(ISBLANK(C4086),C4086="",M4086=""),"In Progress",IF(M4086&lt;=J4086,"Met","Breached"))</f>
        <v>Breached</v>
      </c>
    </row>
    <row r="4087" ht="19" customHeight="1" spans="1:14" x14ac:dyDescent="0.25">
      <c r="A4087" s="22" t="s">
        <v>4201</v>
      </c>
      <c r="B4087" s="36">
        <v>46199.947222222225</v>
      </c>
      <c r="C4087" s="36">
        <v>46200.58888888889</v>
      </c>
      <c r="D4087" s="22" t="s">
        <v>33</v>
      </c>
      <c r="E4087" s="22" t="s">
        <v>61</v>
      </c>
      <c r="F4087" s="22" t="s">
        <v>37</v>
      </c>
      <c r="G4087" s="22" t="s">
        <v>110</v>
      </c>
      <c r="H4087" s="22" t="s">
        <v>59</v>
      </c>
      <c r="I4087" s="22" t="s">
        <v>123</v>
      </c>
      <c r="J4087" s="23">
        <v>12</v>
      </c>
      <c r="K4087" s="37">
        <v>1</v>
      </c>
      <c r="L4087" s="37">
        <v>2</v>
      </c>
      <c r="M4087" s="22">
        <f>IF(OR(ISBLANK(C4087),C4087=""),"",ROUND((C4087-B4087)*24,2))</f>
        <v>15.4</v>
      </c>
      <c r="N4087" s="38" t="str">
        <f>IF(OR(ISBLANK(C4087),C4087="",M4087=""),"In Progress",IF(M4087&lt;=J4087,"Met","Breached"))</f>
        <v>Breached</v>
      </c>
    </row>
    <row r="4088" ht="19" customHeight="1" spans="1:14" x14ac:dyDescent="0.25">
      <c r="A4088" s="19" t="s">
        <v>4202</v>
      </c>
      <c r="B4088" s="33">
        <v>45720.90833333333</v>
      </c>
      <c r="D4088" s="19" t="s">
        <v>42</v>
      </c>
      <c r="E4088" s="19" t="s">
        <v>65</v>
      </c>
      <c r="F4088" s="19" t="s">
        <v>37</v>
      </c>
      <c r="G4088" s="19" t="s">
        <v>121</v>
      </c>
      <c r="H4088" s="19" t="s">
        <v>63</v>
      </c>
      <c r="I4088" s="19" t="s">
        <v>147</v>
      </c>
      <c r="J4088" s="20">
        <v>48</v>
      </c>
      <c r="K4088" s="34">
        <v>0</v>
      </c>
      <c r="M4088" s="19" t="str">
        <f>IF(OR(ISBLANK(C4088),C4088=""),"",ROUND((C4088-B4088)*24,2))</f>
        <v/>
      </c>
      <c r="N4088" s="19" t="str">
        <f>IF(OR(ISBLANK(C4088),C4088="",M4088=""),"In Progress",IF(M4088&lt;=J4088,"Met","Breached"))</f>
        <v>In Progress</v>
      </c>
    </row>
    <row r="4089" ht="19" customHeight="1" spans="1:14" x14ac:dyDescent="0.25">
      <c r="A4089" s="22" t="s">
        <v>4203</v>
      </c>
      <c r="B4089" s="36">
        <v>45794.54027777778</v>
      </c>
      <c r="D4089" s="22" t="s">
        <v>42</v>
      </c>
      <c r="E4089" s="22" t="s">
        <v>69</v>
      </c>
      <c r="F4089" s="22" t="s">
        <v>34</v>
      </c>
      <c r="G4089" s="22" t="s">
        <v>116</v>
      </c>
      <c r="H4089" s="22" t="s">
        <v>67</v>
      </c>
      <c r="I4089" s="22" t="s">
        <v>123</v>
      </c>
      <c r="J4089" s="23">
        <v>120</v>
      </c>
      <c r="K4089" s="37">
        <v>0</v>
      </c>
      <c r="M4089" s="22" t="str">
        <f>IF(OR(ISBLANK(C4089),C4089=""),"",ROUND((C4089-B4089)*24,2))</f>
        <v/>
      </c>
      <c r="N4089" s="22" t="str">
        <f>IF(OR(ISBLANK(C4089),C4089="",M4089=""),"In Progress",IF(M4089&lt;=J4089,"Met","Breached"))</f>
        <v>In Progress</v>
      </c>
    </row>
    <row r="4090" ht="19" customHeight="1" spans="1:14" x14ac:dyDescent="0.25">
      <c r="A4090" s="19" t="s">
        <v>4204</v>
      </c>
      <c r="B4090" s="33">
        <v>45813.56527777778</v>
      </c>
      <c r="C4090" s="33">
        <v>45815.30902777778</v>
      </c>
      <c r="D4090" s="19" t="s">
        <v>33</v>
      </c>
      <c r="E4090" s="19" t="s">
        <v>65</v>
      </c>
      <c r="F4090" s="19" t="s">
        <v>34</v>
      </c>
      <c r="G4090" s="19" t="s">
        <v>110</v>
      </c>
      <c r="H4090" s="19" t="s">
        <v>59</v>
      </c>
      <c r="I4090" s="19" t="s">
        <v>114</v>
      </c>
      <c r="J4090" s="20">
        <v>48</v>
      </c>
      <c r="K4090" s="34">
        <v>0</v>
      </c>
      <c r="L4090" s="34">
        <v>1</v>
      </c>
      <c r="M4090" s="19">
        <f>IF(OR(ISBLANK(C4090),C4090=""),"",ROUND((C4090-B4090)*24,2))</f>
        <v>41.85</v>
      </c>
      <c r="N4090" s="35" t="str">
        <f>IF(OR(ISBLANK(C4090),C4090="",M4090=""),"In Progress",IF(M4090&lt;=J4090,"Met","Breached"))</f>
        <v>Met</v>
      </c>
    </row>
    <row r="4091" ht="19" customHeight="1" spans="1:14" x14ac:dyDescent="0.25">
      <c r="A4091" s="22" t="s">
        <v>4205</v>
      </c>
      <c r="B4091" s="36">
        <v>45715.13680555555</v>
      </c>
      <c r="C4091" s="36">
        <v>45715.95763888889</v>
      </c>
      <c r="D4091" s="22" t="s">
        <v>33</v>
      </c>
      <c r="E4091" s="22" t="s">
        <v>65</v>
      </c>
      <c r="F4091" s="22" t="s">
        <v>40</v>
      </c>
      <c r="G4091" s="22" t="s">
        <v>126</v>
      </c>
      <c r="H4091" s="22" t="s">
        <v>59</v>
      </c>
      <c r="I4091" s="22" t="s">
        <v>108</v>
      </c>
      <c r="J4091" s="23">
        <v>48</v>
      </c>
      <c r="K4091" s="37">
        <v>0</v>
      </c>
      <c r="L4091" s="37">
        <v>1</v>
      </c>
      <c r="M4091" s="22">
        <f>IF(OR(ISBLANK(C4091),C4091=""),"",ROUND((C4091-B4091)*24,2))</f>
        <v>19.7</v>
      </c>
      <c r="N4091" s="40" t="str">
        <f>IF(OR(ISBLANK(C4091),C4091="",M4091=""),"In Progress",IF(M4091&lt;=J4091,"Met","Breached"))</f>
        <v>Met</v>
      </c>
    </row>
    <row r="4092" ht="19" customHeight="1" spans="1:14" x14ac:dyDescent="0.25">
      <c r="A4092" s="19" t="s">
        <v>4206</v>
      </c>
      <c r="B4092" s="33">
        <v>45705.425</v>
      </c>
      <c r="C4092" s="33">
        <v>45705.620833333334</v>
      </c>
      <c r="D4092" s="19" t="s">
        <v>36</v>
      </c>
      <c r="E4092" s="19" t="s">
        <v>61</v>
      </c>
      <c r="F4092" s="19" t="s">
        <v>45</v>
      </c>
      <c r="G4092" s="19" t="s">
        <v>110</v>
      </c>
      <c r="H4092" s="19" t="s">
        <v>59</v>
      </c>
      <c r="I4092" s="19" t="s">
        <v>123</v>
      </c>
      <c r="J4092" s="20">
        <v>12</v>
      </c>
      <c r="K4092" s="34">
        <v>0</v>
      </c>
      <c r="L4092" s="34">
        <v>5</v>
      </c>
      <c r="M4092" s="19">
        <f>IF(OR(ISBLANK(C4092),C4092=""),"",ROUND((C4092-B4092)*24,2))</f>
        <v>4.7</v>
      </c>
      <c r="N4092" s="35" t="str">
        <f>IF(OR(ISBLANK(C4092),C4092="",M4092=""),"In Progress",IF(M4092&lt;=J4092,"Met","Breached"))</f>
        <v>Met</v>
      </c>
    </row>
    <row r="4093" ht="19" customHeight="1" spans="1:14" x14ac:dyDescent="0.25">
      <c r="A4093" s="22" t="s">
        <v>4207</v>
      </c>
      <c r="B4093" s="36">
        <v>46175.97083333333</v>
      </c>
      <c r="C4093" s="36">
        <v>46177.02638888889</v>
      </c>
      <c r="D4093" s="22" t="s">
        <v>33</v>
      </c>
      <c r="E4093" s="22" t="s">
        <v>65</v>
      </c>
      <c r="F4093" s="22" t="s">
        <v>40</v>
      </c>
      <c r="G4093" s="22" t="s">
        <v>110</v>
      </c>
      <c r="H4093" s="22" t="s">
        <v>67</v>
      </c>
      <c r="I4093" s="22" t="s">
        <v>147</v>
      </c>
      <c r="J4093" s="23">
        <v>48</v>
      </c>
      <c r="K4093" s="37">
        <v>0</v>
      </c>
      <c r="L4093" s="37">
        <v>1</v>
      </c>
      <c r="M4093" s="22">
        <f>IF(OR(ISBLANK(C4093),C4093=""),"",ROUND((C4093-B4093)*24,2))</f>
        <v>25.33</v>
      </c>
      <c r="N4093" s="40" t="str">
        <f>IF(OR(ISBLANK(C4093),C4093="",M4093=""),"In Progress",IF(M4093&lt;=J4093,"Met","Breached"))</f>
        <v>Met</v>
      </c>
    </row>
    <row r="4094" ht="19" customHeight="1" spans="1:14" x14ac:dyDescent="0.25">
      <c r="A4094" s="19" t="s">
        <v>4208</v>
      </c>
      <c r="B4094" s="33">
        <v>46197.59375</v>
      </c>
      <c r="C4094" s="33">
        <v>46198.81597222222</v>
      </c>
      <c r="D4094" s="19" t="s">
        <v>36</v>
      </c>
      <c r="E4094" s="19" t="s">
        <v>65</v>
      </c>
      <c r="F4094" s="19" t="s">
        <v>45</v>
      </c>
      <c r="G4094" s="19" t="s">
        <v>110</v>
      </c>
      <c r="H4094" s="19" t="s">
        <v>67</v>
      </c>
      <c r="I4094" s="19" t="s">
        <v>147</v>
      </c>
      <c r="J4094" s="20">
        <v>48</v>
      </c>
      <c r="K4094" s="34">
        <v>0</v>
      </c>
      <c r="L4094" s="34">
        <v>3</v>
      </c>
      <c r="M4094" s="19">
        <f>IF(OR(ISBLANK(C4094),C4094=""),"",ROUND((C4094-B4094)*24,2))</f>
        <v>29.33</v>
      </c>
      <c r="N4094" s="35" t="str">
        <f>IF(OR(ISBLANK(C4094),C4094="",M4094=""),"In Progress",IF(M4094&lt;=J4094,"Met","Breached"))</f>
        <v>Met</v>
      </c>
    </row>
    <row r="4095" ht="19" customHeight="1" spans="1:14" x14ac:dyDescent="0.25">
      <c r="A4095" s="22" t="s">
        <v>4209</v>
      </c>
      <c r="B4095" s="36">
        <v>45950.038194444445</v>
      </c>
      <c r="C4095" s="36">
        <v>45957.93125</v>
      </c>
      <c r="D4095" s="22" t="s">
        <v>33</v>
      </c>
      <c r="E4095" s="22" t="s">
        <v>69</v>
      </c>
      <c r="F4095" s="22" t="s">
        <v>37</v>
      </c>
      <c r="G4095" s="22" t="s">
        <v>121</v>
      </c>
      <c r="H4095" s="22" t="s">
        <v>63</v>
      </c>
      <c r="I4095" s="22" t="s">
        <v>123</v>
      </c>
      <c r="J4095" s="23">
        <v>120</v>
      </c>
      <c r="K4095" s="37">
        <v>0</v>
      </c>
      <c r="L4095" s="37">
        <v>5</v>
      </c>
      <c r="M4095" s="22">
        <f>IF(OR(ISBLANK(C4095),C4095=""),"",ROUND((C4095-B4095)*24,2))</f>
        <v>189.43</v>
      </c>
      <c r="N4095" s="38" t="str">
        <f>IF(OR(ISBLANK(C4095),C4095="",M4095=""),"In Progress",IF(M4095&lt;=J4095,"Met","Breached"))</f>
        <v>Breached</v>
      </c>
    </row>
    <row r="4096" ht="19" customHeight="1" spans="1:14" x14ac:dyDescent="0.25">
      <c r="A4096" s="19" t="s">
        <v>4210</v>
      </c>
      <c r="B4096" s="33">
        <v>45670.175</v>
      </c>
      <c r="D4096" s="19" t="s">
        <v>39</v>
      </c>
      <c r="E4096" s="19" t="s">
        <v>65</v>
      </c>
      <c r="F4096" s="19" t="s">
        <v>40</v>
      </c>
      <c r="G4096" s="19" t="s">
        <v>113</v>
      </c>
      <c r="H4096" s="19" t="s">
        <v>71</v>
      </c>
      <c r="I4096" s="19" t="s">
        <v>123</v>
      </c>
      <c r="J4096" s="20">
        <v>48</v>
      </c>
      <c r="K4096" s="34">
        <v>0</v>
      </c>
      <c r="M4096" s="19" t="str">
        <f>IF(OR(ISBLANK(C4096),C4096=""),"",ROUND((C4096-B4096)*24,2))</f>
        <v/>
      </c>
      <c r="N4096" s="19" t="str">
        <f>IF(OR(ISBLANK(C4096),C4096="",M4096=""),"In Progress",IF(M4096&lt;=J4096,"Met","Breached"))</f>
        <v>In Progress</v>
      </c>
    </row>
    <row r="4097" ht="19" customHeight="1" spans="1:14" x14ac:dyDescent="0.25">
      <c r="A4097" s="22" t="s">
        <v>4211</v>
      </c>
      <c r="B4097" s="36">
        <v>45753.97083333333</v>
      </c>
      <c r="C4097" s="36">
        <v>45756.49722222222</v>
      </c>
      <c r="D4097" s="22" t="s">
        <v>36</v>
      </c>
      <c r="E4097" s="22" t="s">
        <v>69</v>
      </c>
      <c r="F4097" s="22" t="s">
        <v>40</v>
      </c>
      <c r="G4097" s="22" t="s">
        <v>121</v>
      </c>
      <c r="H4097" s="22" t="s">
        <v>59</v>
      </c>
      <c r="I4097" s="22" t="s">
        <v>114</v>
      </c>
      <c r="J4097" s="23">
        <v>120</v>
      </c>
      <c r="K4097" s="37">
        <v>0</v>
      </c>
      <c r="L4097" s="37">
        <v>1</v>
      </c>
      <c r="M4097" s="22">
        <f>IF(OR(ISBLANK(C4097),C4097=""),"",ROUND((C4097-B4097)*24,2))</f>
        <v>60.63</v>
      </c>
      <c r="N4097" s="40" t="str">
        <f>IF(OR(ISBLANK(C4097),C4097="",M4097=""),"In Progress",IF(M4097&lt;=J4097,"Met","Breached"))</f>
        <v>Met</v>
      </c>
    </row>
    <row r="4098" ht="19" customHeight="1" spans="1:14" x14ac:dyDescent="0.25">
      <c r="A4098" s="19" t="s">
        <v>4212</v>
      </c>
      <c r="B4098" s="33">
        <v>46132.41527777778</v>
      </c>
      <c r="C4098" s="33">
        <v>46132.65069444444</v>
      </c>
      <c r="D4098" s="19" t="s">
        <v>33</v>
      </c>
      <c r="E4098" s="19" t="s">
        <v>57</v>
      </c>
      <c r="F4098" s="19" t="s">
        <v>34</v>
      </c>
      <c r="G4098" s="19" t="s">
        <v>113</v>
      </c>
      <c r="H4098" s="19" t="s">
        <v>63</v>
      </c>
      <c r="I4098" s="19" t="s">
        <v>108</v>
      </c>
      <c r="J4098" s="20">
        <v>4</v>
      </c>
      <c r="K4098" s="34">
        <v>0</v>
      </c>
      <c r="M4098" s="19">
        <f>IF(OR(ISBLANK(C4098),C4098=""),"",ROUND((C4098-B4098)*24,2))</f>
        <v>5.65</v>
      </c>
      <c r="N4098" s="39" t="str">
        <f>IF(OR(ISBLANK(C4098),C4098="",M4098=""),"In Progress",IF(M4098&lt;=J4098,"Met","Breached"))</f>
        <v>Breached</v>
      </c>
    </row>
    <row r="4099" ht="19" customHeight="1" spans="1:14" x14ac:dyDescent="0.25">
      <c r="A4099" s="22" t="s">
        <v>4213</v>
      </c>
      <c r="B4099" s="36">
        <v>46071.490277777775</v>
      </c>
      <c r="C4099" s="36">
        <v>46072.429861111115</v>
      </c>
      <c r="D4099" s="22" t="s">
        <v>33</v>
      </c>
      <c r="E4099" s="22" t="s">
        <v>65</v>
      </c>
      <c r="F4099" s="22" t="s">
        <v>34</v>
      </c>
      <c r="G4099" s="22" t="s">
        <v>63</v>
      </c>
      <c r="H4099" s="22" t="s">
        <v>59</v>
      </c>
      <c r="I4099" s="22" t="s">
        <v>123</v>
      </c>
      <c r="J4099" s="23">
        <v>48</v>
      </c>
      <c r="K4099" s="37">
        <v>0</v>
      </c>
      <c r="L4099" s="37">
        <v>3</v>
      </c>
      <c r="M4099" s="22">
        <f>IF(OR(ISBLANK(C4099),C4099=""),"",ROUND((C4099-B4099)*24,2))</f>
        <v>22.55</v>
      </c>
      <c r="N4099" s="40" t="str">
        <f>IF(OR(ISBLANK(C4099),C4099="",M4099=""),"In Progress",IF(M4099&lt;=J4099,"Met","Breached"))</f>
        <v>Met</v>
      </c>
    </row>
    <row r="4100" ht="19" customHeight="1" spans="1:14" x14ac:dyDescent="0.25">
      <c r="A4100" s="19" t="s">
        <v>4214</v>
      </c>
      <c r="B4100" s="33">
        <v>45824.17638888889</v>
      </c>
      <c r="C4100" s="33">
        <v>45824.93194444444</v>
      </c>
      <c r="D4100" s="19" t="s">
        <v>36</v>
      </c>
      <c r="E4100" s="19" t="s">
        <v>61</v>
      </c>
      <c r="F4100" s="19" t="s">
        <v>40</v>
      </c>
      <c r="G4100" s="19" t="s">
        <v>121</v>
      </c>
      <c r="H4100" s="19" t="s">
        <v>67</v>
      </c>
      <c r="I4100" s="19" t="s">
        <v>111</v>
      </c>
      <c r="J4100" s="20">
        <v>12</v>
      </c>
      <c r="K4100" s="34">
        <v>0</v>
      </c>
      <c r="L4100" s="34">
        <v>3</v>
      </c>
      <c r="M4100" s="19">
        <f>IF(OR(ISBLANK(C4100),C4100=""),"",ROUND((C4100-B4100)*24,2))</f>
        <v>18.13</v>
      </c>
      <c r="N4100" s="39" t="str">
        <f>IF(OR(ISBLANK(C4100),C4100="",M4100=""),"In Progress",IF(M4100&lt;=J4100,"Met","Breached"))</f>
        <v>Breached</v>
      </c>
    </row>
    <row r="4101" ht="19" customHeight="1" spans="1:14" x14ac:dyDescent="0.25">
      <c r="A4101" s="22" t="s">
        <v>4215</v>
      </c>
      <c r="B4101" s="36">
        <v>45857.22916666667</v>
      </c>
      <c r="C4101" s="36">
        <v>45859.22986111111</v>
      </c>
      <c r="D4101" s="22" t="s">
        <v>33</v>
      </c>
      <c r="E4101" s="22" t="s">
        <v>65</v>
      </c>
      <c r="F4101" s="22" t="s">
        <v>34</v>
      </c>
      <c r="G4101" s="22" t="s">
        <v>126</v>
      </c>
      <c r="H4101" s="22" t="s">
        <v>59</v>
      </c>
      <c r="I4101" s="22" t="s">
        <v>117</v>
      </c>
      <c r="J4101" s="23">
        <v>48</v>
      </c>
      <c r="K4101" s="37">
        <v>0</v>
      </c>
      <c r="L4101" s="37">
        <v>1</v>
      </c>
      <c r="M4101" s="22">
        <f>IF(OR(ISBLANK(C4101),C4101=""),"",ROUND((C4101-B4101)*24,2))</f>
        <v>48.02</v>
      </c>
      <c r="N4101" s="38" t="str">
        <f>IF(OR(ISBLANK(C4101),C4101="",M4101=""),"In Progress",IF(M4101&lt;=J4101,"Met","Breached"))</f>
        <v>Breached</v>
      </c>
    </row>
    <row r="4102" ht="19" customHeight="1" spans="1:14" x14ac:dyDescent="0.25">
      <c r="A4102" s="19" t="s">
        <v>4216</v>
      </c>
      <c r="B4102" s="33">
        <v>45665.103472222225</v>
      </c>
      <c r="C4102" s="33">
        <v>45668.18541666667</v>
      </c>
      <c r="D4102" s="19" t="s">
        <v>33</v>
      </c>
      <c r="E4102" s="19" t="s">
        <v>65</v>
      </c>
      <c r="F4102" s="19" t="s">
        <v>34</v>
      </c>
      <c r="G4102" s="19" t="s">
        <v>116</v>
      </c>
      <c r="H4102" s="19" t="s">
        <v>59</v>
      </c>
      <c r="I4102" s="19" t="s">
        <v>108</v>
      </c>
      <c r="J4102" s="20">
        <v>48</v>
      </c>
      <c r="K4102" s="34">
        <v>0</v>
      </c>
      <c r="L4102" s="34">
        <v>3</v>
      </c>
      <c r="M4102" s="19">
        <f>IF(OR(ISBLANK(C4102),C4102=""),"",ROUND((C4102-B4102)*24,2))</f>
        <v>73.97</v>
      </c>
      <c r="N4102" s="39" t="str">
        <f>IF(OR(ISBLANK(C4102),C4102="",M4102=""),"In Progress",IF(M4102&lt;=J4102,"Met","Breached"))</f>
        <v>Breached</v>
      </c>
    </row>
    <row r="4103" ht="19" customHeight="1" spans="1:14" x14ac:dyDescent="0.25">
      <c r="A4103" s="22" t="s">
        <v>4217</v>
      </c>
      <c r="B4103" s="36">
        <v>45977.73611111111</v>
      </c>
      <c r="C4103" s="36">
        <v>45978.61041666666</v>
      </c>
      <c r="D4103" s="22" t="s">
        <v>36</v>
      </c>
      <c r="E4103" s="22" t="s">
        <v>65</v>
      </c>
      <c r="F4103" s="22" t="s">
        <v>40</v>
      </c>
      <c r="G4103" s="22" t="s">
        <v>110</v>
      </c>
      <c r="H4103" s="22" t="s">
        <v>59</v>
      </c>
      <c r="I4103" s="22" t="s">
        <v>117</v>
      </c>
      <c r="J4103" s="23">
        <v>48</v>
      </c>
      <c r="K4103" s="37">
        <v>0</v>
      </c>
      <c r="L4103" s="37">
        <v>3</v>
      </c>
      <c r="M4103" s="22">
        <f>IF(OR(ISBLANK(C4103),C4103=""),"",ROUND((C4103-B4103)*24,2))</f>
        <v>20.98</v>
      </c>
      <c r="N4103" s="40" t="str">
        <f>IF(OR(ISBLANK(C4103),C4103="",M4103=""),"In Progress",IF(M4103&lt;=J4103,"Met","Breached"))</f>
        <v>Met</v>
      </c>
    </row>
    <row r="4104" ht="19" customHeight="1" spans="1:14" x14ac:dyDescent="0.25">
      <c r="A4104" s="19" t="s">
        <v>4218</v>
      </c>
      <c r="B4104" s="33">
        <v>46142.57361111111</v>
      </c>
      <c r="C4104" s="33">
        <v>46144.03958333333</v>
      </c>
      <c r="D4104" s="19" t="s">
        <v>33</v>
      </c>
      <c r="E4104" s="19" t="s">
        <v>65</v>
      </c>
      <c r="F4104" s="19" t="s">
        <v>40</v>
      </c>
      <c r="G4104" s="19" t="s">
        <v>126</v>
      </c>
      <c r="H4104" s="19" t="s">
        <v>63</v>
      </c>
      <c r="I4104" s="19" t="s">
        <v>111</v>
      </c>
      <c r="J4104" s="20">
        <v>48</v>
      </c>
      <c r="K4104" s="34">
        <v>0</v>
      </c>
      <c r="M4104" s="19">
        <f>IF(OR(ISBLANK(C4104),C4104=""),"",ROUND((C4104-B4104)*24,2))</f>
        <v>35.18</v>
      </c>
      <c r="N4104" s="35" t="str">
        <f>IF(OR(ISBLANK(C4104),C4104="",M4104=""),"In Progress",IF(M4104&lt;=J4104,"Met","Breached"))</f>
        <v>Met</v>
      </c>
    </row>
    <row r="4105" ht="19" customHeight="1" spans="1:14" x14ac:dyDescent="0.25">
      <c r="A4105" s="22" t="s">
        <v>4219</v>
      </c>
      <c r="B4105" s="36">
        <v>45729.242361111115</v>
      </c>
      <c r="C4105" s="36">
        <v>45731.42569444445</v>
      </c>
      <c r="D4105" s="22" t="s">
        <v>33</v>
      </c>
      <c r="E4105" s="22" t="s">
        <v>69</v>
      </c>
      <c r="F4105" s="22" t="s">
        <v>37</v>
      </c>
      <c r="G4105" s="22" t="s">
        <v>110</v>
      </c>
      <c r="H4105" s="22" t="s">
        <v>63</v>
      </c>
      <c r="I4105" s="22" t="s">
        <v>123</v>
      </c>
      <c r="J4105" s="23">
        <v>120</v>
      </c>
      <c r="K4105" s="37">
        <v>0</v>
      </c>
      <c r="L4105" s="37">
        <v>1</v>
      </c>
      <c r="M4105" s="22">
        <f>IF(OR(ISBLANK(C4105),C4105=""),"",ROUND((C4105-B4105)*24,2))</f>
        <v>52.4</v>
      </c>
      <c r="N4105" s="40" t="str">
        <f>IF(OR(ISBLANK(C4105),C4105="",M4105=""),"In Progress",IF(M4105&lt;=J4105,"Met","Breached"))</f>
        <v>Met</v>
      </c>
    </row>
    <row r="4106" ht="19" customHeight="1" spans="1:14" x14ac:dyDescent="0.25">
      <c r="A4106" s="19" t="s">
        <v>4220</v>
      </c>
      <c r="B4106" s="33">
        <v>45974.06805555556</v>
      </c>
      <c r="C4106" s="33">
        <v>45974.191666666666</v>
      </c>
      <c r="D4106" s="19" t="s">
        <v>33</v>
      </c>
      <c r="E4106" s="19" t="s">
        <v>57</v>
      </c>
      <c r="F4106" s="19" t="s">
        <v>40</v>
      </c>
      <c r="G4106" s="19" t="s">
        <v>110</v>
      </c>
      <c r="H4106" s="19" t="s">
        <v>63</v>
      </c>
      <c r="I4106" s="19" t="s">
        <v>117</v>
      </c>
      <c r="J4106" s="20">
        <v>4</v>
      </c>
      <c r="K4106" s="34">
        <v>0</v>
      </c>
      <c r="L4106" s="34">
        <v>3</v>
      </c>
      <c r="M4106" s="19">
        <f>IF(OR(ISBLANK(C4106),C4106=""),"",ROUND((C4106-B4106)*24,2))</f>
        <v>2.97</v>
      </c>
      <c r="N4106" s="35" t="str">
        <f>IF(OR(ISBLANK(C4106),C4106="",M4106=""),"In Progress",IF(M4106&lt;=J4106,"Met","Breached"))</f>
        <v>Met</v>
      </c>
    </row>
    <row r="4107" ht="19" customHeight="1" spans="1:14" x14ac:dyDescent="0.25">
      <c r="A4107" s="22" t="s">
        <v>4221</v>
      </c>
      <c r="B4107" s="36">
        <v>45747.01597222222</v>
      </c>
      <c r="C4107" s="36">
        <v>45747.148611111115</v>
      </c>
      <c r="D4107" s="22" t="s">
        <v>36</v>
      </c>
      <c r="E4107" s="22" t="s">
        <v>57</v>
      </c>
      <c r="F4107" s="22" t="s">
        <v>34</v>
      </c>
      <c r="G4107" s="22" t="s">
        <v>116</v>
      </c>
      <c r="H4107" s="22" t="s">
        <v>67</v>
      </c>
      <c r="I4107" s="22" t="s">
        <v>117</v>
      </c>
      <c r="J4107" s="23">
        <v>4</v>
      </c>
      <c r="K4107" s="37">
        <v>0</v>
      </c>
      <c r="M4107" s="22">
        <f>IF(OR(ISBLANK(C4107),C4107=""),"",ROUND((C4107-B4107)*24,2))</f>
        <v>3.18</v>
      </c>
      <c r="N4107" s="40" t="str">
        <f>IF(OR(ISBLANK(C4107),C4107="",M4107=""),"In Progress",IF(M4107&lt;=J4107,"Met","Breached"))</f>
        <v>Met</v>
      </c>
    </row>
    <row r="4108" ht="19" customHeight="1" spans="1:14" x14ac:dyDescent="0.25">
      <c r="A4108" s="19" t="s">
        <v>4222</v>
      </c>
      <c r="B4108" s="33">
        <v>46196.24722222222</v>
      </c>
      <c r="D4108" s="19" t="s">
        <v>39</v>
      </c>
      <c r="E4108" s="19" t="s">
        <v>61</v>
      </c>
      <c r="F4108" s="19" t="s">
        <v>40</v>
      </c>
      <c r="G4108" s="19" t="s">
        <v>126</v>
      </c>
      <c r="H4108" s="19" t="s">
        <v>59</v>
      </c>
      <c r="I4108" s="19" t="s">
        <v>114</v>
      </c>
      <c r="J4108" s="20">
        <v>12</v>
      </c>
      <c r="K4108" s="34">
        <v>0</v>
      </c>
      <c r="M4108" s="19" t="str">
        <f>IF(OR(ISBLANK(C4108),C4108=""),"",ROUND((C4108-B4108)*24,2))</f>
        <v/>
      </c>
      <c r="N4108" s="19" t="str">
        <f>IF(OR(ISBLANK(C4108),C4108="",M4108=""),"In Progress",IF(M4108&lt;=J4108,"Met","Breached"))</f>
        <v>In Progress</v>
      </c>
    </row>
    <row r="4109" ht="19" customHeight="1" spans="1:14" x14ac:dyDescent="0.25">
      <c r="A4109" s="22" t="s">
        <v>4223</v>
      </c>
      <c r="B4109" s="36">
        <v>45804.32847222222</v>
      </c>
      <c r="C4109" s="36">
        <v>45808.56319444445</v>
      </c>
      <c r="D4109" s="22" t="s">
        <v>33</v>
      </c>
      <c r="E4109" s="22" t="s">
        <v>69</v>
      </c>
      <c r="F4109" s="22" t="s">
        <v>45</v>
      </c>
      <c r="G4109" s="22" t="s">
        <v>116</v>
      </c>
      <c r="H4109" s="22" t="s">
        <v>59</v>
      </c>
      <c r="I4109" s="22" t="s">
        <v>117</v>
      </c>
      <c r="J4109" s="23">
        <v>120</v>
      </c>
      <c r="K4109" s="37">
        <v>0</v>
      </c>
      <c r="L4109" s="37">
        <v>2</v>
      </c>
      <c r="M4109" s="22">
        <f>IF(OR(ISBLANK(C4109),C4109=""),"",ROUND((C4109-B4109)*24,2))</f>
        <v>101.63</v>
      </c>
      <c r="N4109" s="40" t="str">
        <f>IF(OR(ISBLANK(C4109),C4109="",M4109=""),"In Progress",IF(M4109&lt;=J4109,"Met","Breached"))</f>
        <v>Met</v>
      </c>
    </row>
    <row r="4110" ht="19" customHeight="1" spans="1:14" x14ac:dyDescent="0.25">
      <c r="A4110" s="19" t="s">
        <v>4224</v>
      </c>
      <c r="B4110" s="33">
        <v>45950.79027777778</v>
      </c>
      <c r="C4110" s="33">
        <v>45951.41875</v>
      </c>
      <c r="D4110" s="19" t="s">
        <v>33</v>
      </c>
      <c r="E4110" s="19" t="s">
        <v>65</v>
      </c>
      <c r="F4110" s="19" t="s">
        <v>40</v>
      </c>
      <c r="G4110" s="19" t="s">
        <v>63</v>
      </c>
      <c r="H4110" s="19" t="s">
        <v>67</v>
      </c>
      <c r="I4110" s="19" t="s">
        <v>123</v>
      </c>
      <c r="J4110" s="20">
        <v>48</v>
      </c>
      <c r="K4110" s="34">
        <v>0</v>
      </c>
      <c r="L4110" s="34">
        <v>1</v>
      </c>
      <c r="M4110" s="19">
        <f>IF(OR(ISBLANK(C4110),C4110=""),"",ROUND((C4110-B4110)*24,2))</f>
        <v>15.08</v>
      </c>
      <c r="N4110" s="35" t="str">
        <f>IF(OR(ISBLANK(C4110),C4110="",M4110=""),"In Progress",IF(M4110&lt;=J4110,"Met","Breached"))</f>
        <v>Met</v>
      </c>
    </row>
    <row r="4111" ht="19" customHeight="1" spans="1:14" x14ac:dyDescent="0.25">
      <c r="A4111" s="22" t="s">
        <v>4225</v>
      </c>
      <c r="B4111" s="36">
        <v>46118.10972222222</v>
      </c>
      <c r="C4111" s="36">
        <v>46118.38333333333</v>
      </c>
      <c r="D4111" s="22" t="s">
        <v>33</v>
      </c>
      <c r="E4111" s="22" t="s">
        <v>61</v>
      </c>
      <c r="F4111" s="22" t="s">
        <v>37</v>
      </c>
      <c r="G4111" s="22" t="s">
        <v>126</v>
      </c>
      <c r="H4111" s="22" t="s">
        <v>63</v>
      </c>
      <c r="I4111" s="22" t="s">
        <v>147</v>
      </c>
      <c r="J4111" s="23">
        <v>12</v>
      </c>
      <c r="K4111" s="37">
        <v>0</v>
      </c>
      <c r="L4111" s="37">
        <v>5</v>
      </c>
      <c r="M4111" s="22">
        <f>IF(OR(ISBLANK(C4111),C4111=""),"",ROUND((C4111-B4111)*24,2))</f>
        <v>6.57</v>
      </c>
      <c r="N4111" s="40" t="str">
        <f>IF(OR(ISBLANK(C4111),C4111="",M4111=""),"In Progress",IF(M4111&lt;=J4111,"Met","Breached"))</f>
        <v>Met</v>
      </c>
    </row>
    <row r="4112" ht="19" customHeight="1" spans="1:14" x14ac:dyDescent="0.25">
      <c r="A4112" s="19" t="s">
        <v>4226</v>
      </c>
      <c r="B4112" s="33">
        <v>46002.96944444445</v>
      </c>
      <c r="D4112" s="19" t="s">
        <v>39</v>
      </c>
      <c r="E4112" s="19" t="s">
        <v>65</v>
      </c>
      <c r="F4112" s="19" t="s">
        <v>43</v>
      </c>
      <c r="G4112" s="19" t="s">
        <v>110</v>
      </c>
      <c r="H4112" s="19" t="s">
        <v>59</v>
      </c>
      <c r="I4112" s="19" t="s">
        <v>111</v>
      </c>
      <c r="J4112" s="20">
        <v>48</v>
      </c>
      <c r="K4112" s="34">
        <v>0</v>
      </c>
      <c r="M4112" s="19" t="str">
        <f>IF(OR(ISBLANK(C4112),C4112=""),"",ROUND((C4112-B4112)*24,2))</f>
        <v/>
      </c>
      <c r="N4112" s="19" t="str">
        <f>IF(OR(ISBLANK(C4112),C4112="",M4112=""),"In Progress",IF(M4112&lt;=J4112,"Met","Breached"))</f>
        <v>In Progress</v>
      </c>
    </row>
    <row r="4113" ht="19" customHeight="1" spans="1:14" x14ac:dyDescent="0.25">
      <c r="A4113" s="22" t="s">
        <v>4227</v>
      </c>
      <c r="B4113" s="36">
        <v>45895.84375</v>
      </c>
      <c r="C4113" s="36">
        <v>45898.73472222222</v>
      </c>
      <c r="D4113" s="22" t="s">
        <v>36</v>
      </c>
      <c r="E4113" s="22" t="s">
        <v>65</v>
      </c>
      <c r="F4113" s="22" t="s">
        <v>45</v>
      </c>
      <c r="G4113" s="22" t="s">
        <v>113</v>
      </c>
      <c r="H4113" s="22" t="s">
        <v>63</v>
      </c>
      <c r="I4113" s="22" t="s">
        <v>147</v>
      </c>
      <c r="J4113" s="23">
        <v>48</v>
      </c>
      <c r="K4113" s="37">
        <v>0</v>
      </c>
      <c r="L4113" s="37">
        <v>3</v>
      </c>
      <c r="M4113" s="22">
        <f>IF(OR(ISBLANK(C4113),C4113=""),"",ROUND((C4113-B4113)*24,2))</f>
        <v>69.38</v>
      </c>
      <c r="N4113" s="38" t="str">
        <f>IF(OR(ISBLANK(C4113),C4113="",M4113=""),"In Progress",IF(M4113&lt;=J4113,"Met","Breached"))</f>
        <v>Breached</v>
      </c>
    </row>
    <row r="4114" ht="19" customHeight="1" spans="1:14" x14ac:dyDescent="0.25">
      <c r="A4114" s="19" t="s">
        <v>4228</v>
      </c>
      <c r="B4114" s="33">
        <v>45982.87291666667</v>
      </c>
      <c r="D4114" s="19" t="s">
        <v>42</v>
      </c>
      <c r="E4114" s="19" t="s">
        <v>69</v>
      </c>
      <c r="F4114" s="19" t="s">
        <v>43</v>
      </c>
      <c r="G4114" s="19" t="s">
        <v>63</v>
      </c>
      <c r="H4114" s="19" t="s">
        <v>63</v>
      </c>
      <c r="I4114" s="19" t="s">
        <v>108</v>
      </c>
      <c r="J4114" s="20">
        <v>120</v>
      </c>
      <c r="K4114" s="34">
        <v>0</v>
      </c>
      <c r="M4114" s="19" t="str">
        <f>IF(OR(ISBLANK(C4114),C4114=""),"",ROUND((C4114-B4114)*24,2))</f>
        <v/>
      </c>
      <c r="N4114" s="19" t="str">
        <f>IF(OR(ISBLANK(C4114),C4114="",M4114=""),"In Progress",IF(M4114&lt;=J4114,"Met","Breached"))</f>
        <v>In Progress</v>
      </c>
    </row>
    <row r="4115" ht="19" customHeight="1" spans="1:14" x14ac:dyDescent="0.25">
      <c r="A4115" s="22" t="s">
        <v>4229</v>
      </c>
      <c r="B4115" s="36">
        <v>45806.56875</v>
      </c>
      <c r="C4115" s="36">
        <v>45806.643055555556</v>
      </c>
      <c r="D4115" s="22" t="s">
        <v>33</v>
      </c>
      <c r="E4115" s="22" t="s">
        <v>57</v>
      </c>
      <c r="F4115" s="22" t="s">
        <v>43</v>
      </c>
      <c r="G4115" s="22" t="s">
        <v>121</v>
      </c>
      <c r="H4115" s="22" t="s">
        <v>71</v>
      </c>
      <c r="I4115" s="22" t="s">
        <v>117</v>
      </c>
      <c r="J4115" s="23">
        <v>4</v>
      </c>
      <c r="K4115" s="37">
        <v>0</v>
      </c>
      <c r="L4115" s="37">
        <v>1</v>
      </c>
      <c r="M4115" s="22">
        <f>IF(OR(ISBLANK(C4115),C4115=""),"",ROUND((C4115-B4115)*24,2))</f>
        <v>1.78</v>
      </c>
      <c r="N4115" s="40" t="str">
        <f>IF(OR(ISBLANK(C4115),C4115="",M4115=""),"In Progress",IF(M4115&lt;=J4115,"Met","Breached"))</f>
        <v>Met</v>
      </c>
    </row>
    <row r="4116" ht="19" customHeight="1" spans="1:14" x14ac:dyDescent="0.25">
      <c r="A4116" s="19" t="s">
        <v>4230</v>
      </c>
      <c r="B4116" s="33">
        <v>45779.896527777775</v>
      </c>
      <c r="C4116" s="33">
        <v>45787.856944444444</v>
      </c>
      <c r="D4116" s="19" t="s">
        <v>33</v>
      </c>
      <c r="E4116" s="19" t="s">
        <v>69</v>
      </c>
      <c r="F4116" s="19" t="s">
        <v>40</v>
      </c>
      <c r="G4116" s="19" t="s">
        <v>113</v>
      </c>
      <c r="H4116" s="19" t="s">
        <v>59</v>
      </c>
      <c r="I4116" s="19" t="s">
        <v>111</v>
      </c>
      <c r="J4116" s="20">
        <v>120</v>
      </c>
      <c r="K4116" s="34">
        <v>0</v>
      </c>
      <c r="L4116" s="34">
        <v>1</v>
      </c>
      <c r="M4116" s="19">
        <f>IF(OR(ISBLANK(C4116),C4116=""),"",ROUND((C4116-B4116)*24,2))</f>
        <v>191.05</v>
      </c>
      <c r="N4116" s="39" t="str">
        <f>IF(OR(ISBLANK(C4116),C4116="",M4116=""),"In Progress",IF(M4116&lt;=J4116,"Met","Breached"))</f>
        <v>Breached</v>
      </c>
    </row>
    <row r="4117" ht="19" customHeight="1" spans="1:14" x14ac:dyDescent="0.25">
      <c r="A4117" s="22" t="s">
        <v>4231</v>
      </c>
      <c r="B4117" s="36">
        <v>45918.03958333333</v>
      </c>
      <c r="D4117" s="22" t="s">
        <v>42</v>
      </c>
      <c r="E4117" s="22" t="s">
        <v>61</v>
      </c>
      <c r="F4117" s="22" t="s">
        <v>45</v>
      </c>
      <c r="G4117" s="22" t="s">
        <v>121</v>
      </c>
      <c r="H4117" s="22" t="s">
        <v>67</v>
      </c>
      <c r="I4117" s="22" t="s">
        <v>123</v>
      </c>
      <c r="J4117" s="23">
        <v>12</v>
      </c>
      <c r="K4117" s="37">
        <v>0</v>
      </c>
      <c r="M4117" s="22" t="str">
        <f>IF(OR(ISBLANK(C4117),C4117=""),"",ROUND((C4117-B4117)*24,2))</f>
        <v/>
      </c>
      <c r="N4117" s="22" t="str">
        <f>IF(OR(ISBLANK(C4117),C4117="",M4117=""),"In Progress",IF(M4117&lt;=J4117,"Met","Breached"))</f>
        <v>In Progress</v>
      </c>
    </row>
    <row r="4118" ht="19" customHeight="1" spans="1:14" x14ac:dyDescent="0.25">
      <c r="A4118" s="19" t="s">
        <v>4232</v>
      </c>
      <c r="B4118" s="33">
        <v>46226.7375</v>
      </c>
      <c r="C4118" s="33">
        <v>46233.50486111111</v>
      </c>
      <c r="D4118" s="19" t="s">
        <v>33</v>
      </c>
      <c r="E4118" s="19" t="s">
        <v>69</v>
      </c>
      <c r="F4118" s="19" t="s">
        <v>40</v>
      </c>
      <c r="G4118" s="19" t="s">
        <v>126</v>
      </c>
      <c r="H4118" s="19" t="s">
        <v>59</v>
      </c>
      <c r="I4118" s="19" t="s">
        <v>114</v>
      </c>
      <c r="J4118" s="20">
        <v>120</v>
      </c>
      <c r="K4118" s="34">
        <v>1</v>
      </c>
      <c r="L4118" s="34">
        <v>2</v>
      </c>
      <c r="M4118" s="19">
        <f>IF(OR(ISBLANK(C4118),C4118=""),"",ROUND((C4118-B4118)*24,2))</f>
        <v>162.42</v>
      </c>
      <c r="N4118" s="39" t="str">
        <f>IF(OR(ISBLANK(C4118),C4118="",M4118=""),"In Progress",IF(M4118&lt;=J4118,"Met","Breached"))</f>
        <v>Breached</v>
      </c>
    </row>
    <row r="4119" ht="19" customHeight="1" spans="1:14" x14ac:dyDescent="0.25">
      <c r="A4119" s="22" t="s">
        <v>4233</v>
      </c>
      <c r="B4119" s="36">
        <v>45770.45</v>
      </c>
      <c r="C4119" s="36">
        <v>45771.08125</v>
      </c>
      <c r="D4119" s="22" t="s">
        <v>36</v>
      </c>
      <c r="E4119" s="22" t="s">
        <v>61</v>
      </c>
      <c r="F4119" s="22" t="s">
        <v>37</v>
      </c>
      <c r="G4119" s="22" t="s">
        <v>126</v>
      </c>
      <c r="H4119" s="22" t="s">
        <v>59</v>
      </c>
      <c r="I4119" s="22" t="s">
        <v>123</v>
      </c>
      <c r="J4119" s="23">
        <v>12</v>
      </c>
      <c r="K4119" s="37">
        <v>0</v>
      </c>
      <c r="L4119" s="37">
        <v>2</v>
      </c>
      <c r="M4119" s="22">
        <f>IF(OR(ISBLANK(C4119),C4119=""),"",ROUND((C4119-B4119)*24,2))</f>
        <v>15.15</v>
      </c>
      <c r="N4119" s="38" t="str">
        <f>IF(OR(ISBLANK(C4119),C4119="",M4119=""),"In Progress",IF(M4119&lt;=J4119,"Met","Breached"))</f>
        <v>Breached</v>
      </c>
    </row>
    <row r="4120" ht="19" customHeight="1" spans="1:14" x14ac:dyDescent="0.25">
      <c r="A4120" s="19" t="s">
        <v>4234</v>
      </c>
      <c r="B4120" s="33">
        <v>46005.44583333333</v>
      </c>
      <c r="C4120" s="33">
        <v>46008.913194444445</v>
      </c>
      <c r="D4120" s="19" t="s">
        <v>36</v>
      </c>
      <c r="E4120" s="19" t="s">
        <v>65</v>
      </c>
      <c r="F4120" s="19" t="s">
        <v>34</v>
      </c>
      <c r="G4120" s="19" t="s">
        <v>113</v>
      </c>
      <c r="H4120" s="19" t="s">
        <v>63</v>
      </c>
      <c r="I4120" s="19" t="s">
        <v>117</v>
      </c>
      <c r="J4120" s="20">
        <v>48</v>
      </c>
      <c r="K4120" s="34">
        <v>0</v>
      </c>
      <c r="L4120" s="34">
        <v>5</v>
      </c>
      <c r="M4120" s="19">
        <f>IF(OR(ISBLANK(C4120),C4120=""),"",ROUND((C4120-B4120)*24,2))</f>
        <v>83.22</v>
      </c>
      <c r="N4120" s="39" t="str">
        <f>IF(OR(ISBLANK(C4120),C4120="",M4120=""),"In Progress",IF(M4120&lt;=J4120,"Met","Breached"))</f>
        <v>Breached</v>
      </c>
    </row>
    <row r="4121" ht="19" customHeight="1" spans="1:14" x14ac:dyDescent="0.25">
      <c r="A4121" s="22" t="s">
        <v>4235</v>
      </c>
      <c r="B4121" s="36">
        <v>45834.66458333333</v>
      </c>
      <c r="D4121" s="22" t="s">
        <v>39</v>
      </c>
      <c r="E4121" s="22" t="s">
        <v>65</v>
      </c>
      <c r="F4121" s="22" t="s">
        <v>40</v>
      </c>
      <c r="G4121" s="22" t="s">
        <v>126</v>
      </c>
      <c r="H4121" s="22" t="s">
        <v>67</v>
      </c>
      <c r="I4121" s="22" t="s">
        <v>114</v>
      </c>
      <c r="J4121" s="23">
        <v>48</v>
      </c>
      <c r="K4121" s="37">
        <v>0</v>
      </c>
      <c r="M4121" s="22" t="str">
        <f>IF(OR(ISBLANK(C4121),C4121=""),"",ROUND((C4121-B4121)*24,2))</f>
        <v/>
      </c>
      <c r="N4121" s="22" t="str">
        <f>IF(OR(ISBLANK(C4121),C4121="",M4121=""),"In Progress",IF(M4121&lt;=J4121,"Met","Breached"))</f>
        <v>In Progress</v>
      </c>
    </row>
    <row r="4122" ht="19" customHeight="1" spans="1:14" x14ac:dyDescent="0.25">
      <c r="A4122" s="19" t="s">
        <v>4236</v>
      </c>
      <c r="B4122" s="33">
        <v>45841.49652777778</v>
      </c>
      <c r="C4122" s="33">
        <v>45842.37986111111</v>
      </c>
      <c r="D4122" s="19" t="s">
        <v>36</v>
      </c>
      <c r="E4122" s="19" t="s">
        <v>65</v>
      </c>
      <c r="F4122" s="19" t="s">
        <v>34</v>
      </c>
      <c r="G4122" s="19" t="s">
        <v>121</v>
      </c>
      <c r="H4122" s="19" t="s">
        <v>71</v>
      </c>
      <c r="I4122" s="19" t="s">
        <v>147</v>
      </c>
      <c r="J4122" s="20">
        <v>48</v>
      </c>
      <c r="K4122" s="34">
        <v>0</v>
      </c>
      <c r="M4122" s="19">
        <f>IF(OR(ISBLANK(C4122),C4122=""),"",ROUND((C4122-B4122)*24,2))</f>
        <v>21.2</v>
      </c>
      <c r="N4122" s="35" t="str">
        <f>IF(OR(ISBLANK(C4122),C4122="",M4122=""),"In Progress",IF(M4122&lt;=J4122,"Met","Breached"))</f>
        <v>Met</v>
      </c>
    </row>
    <row r="4123" ht="19" customHeight="1" spans="1:14" x14ac:dyDescent="0.25">
      <c r="A4123" s="22" t="s">
        <v>4237</v>
      </c>
      <c r="B4123" s="36">
        <v>45735.13333333333</v>
      </c>
      <c r="D4123" s="22" t="s">
        <v>42</v>
      </c>
      <c r="E4123" s="22" t="s">
        <v>65</v>
      </c>
      <c r="F4123" s="22" t="s">
        <v>37</v>
      </c>
      <c r="G4123" s="22" t="s">
        <v>63</v>
      </c>
      <c r="H4123" s="22" t="s">
        <v>67</v>
      </c>
      <c r="I4123" s="22" t="s">
        <v>114</v>
      </c>
      <c r="J4123" s="23">
        <v>48</v>
      </c>
      <c r="K4123" s="37">
        <v>0</v>
      </c>
      <c r="M4123" s="22" t="str">
        <f>IF(OR(ISBLANK(C4123),C4123=""),"",ROUND((C4123-B4123)*24,2))</f>
        <v/>
      </c>
      <c r="N4123" s="22" t="str">
        <f>IF(OR(ISBLANK(C4123),C4123="",M4123=""),"In Progress",IF(M4123&lt;=J4123,"Met","Breached"))</f>
        <v>In Progress</v>
      </c>
    </row>
    <row r="4124" ht="19" customHeight="1" spans="1:14" x14ac:dyDescent="0.25">
      <c r="A4124" s="19" t="s">
        <v>4238</v>
      </c>
      <c r="B4124" s="33">
        <v>45801.711805555555</v>
      </c>
      <c r="C4124" s="33">
        <v>45803.72013888889</v>
      </c>
      <c r="D4124" s="19" t="s">
        <v>33</v>
      </c>
      <c r="E4124" s="19" t="s">
        <v>65</v>
      </c>
      <c r="F4124" s="19" t="s">
        <v>45</v>
      </c>
      <c r="G4124" s="19" t="s">
        <v>63</v>
      </c>
      <c r="H4124" s="19" t="s">
        <v>59</v>
      </c>
      <c r="I4124" s="19" t="s">
        <v>123</v>
      </c>
      <c r="J4124" s="20">
        <v>48</v>
      </c>
      <c r="K4124" s="34">
        <v>0</v>
      </c>
      <c r="L4124" s="34">
        <v>1</v>
      </c>
      <c r="M4124" s="19">
        <f>IF(OR(ISBLANK(C4124),C4124=""),"",ROUND((C4124-B4124)*24,2))</f>
        <v>48.2</v>
      </c>
      <c r="N4124" s="39" t="str">
        <f>IF(OR(ISBLANK(C4124),C4124="",M4124=""),"In Progress",IF(M4124&lt;=J4124,"Met","Breached"))</f>
        <v>Breached</v>
      </c>
    </row>
    <row r="4125" ht="19" customHeight="1" spans="1:14" x14ac:dyDescent="0.25">
      <c r="A4125" s="22" t="s">
        <v>4239</v>
      </c>
      <c r="B4125" s="36">
        <v>46022.40138888889</v>
      </c>
      <c r="C4125" s="36">
        <v>46025.90069444444</v>
      </c>
      <c r="D4125" s="22" t="s">
        <v>33</v>
      </c>
      <c r="E4125" s="22" t="s">
        <v>65</v>
      </c>
      <c r="F4125" s="22" t="s">
        <v>45</v>
      </c>
      <c r="G4125" s="22" t="s">
        <v>126</v>
      </c>
      <c r="H4125" s="22" t="s">
        <v>71</v>
      </c>
      <c r="I4125" s="22" t="s">
        <v>123</v>
      </c>
      <c r="J4125" s="23">
        <v>48</v>
      </c>
      <c r="K4125" s="37">
        <v>0</v>
      </c>
      <c r="L4125" s="37">
        <v>1</v>
      </c>
      <c r="M4125" s="22">
        <f>IF(OR(ISBLANK(C4125),C4125=""),"",ROUND((C4125-B4125)*24,2))</f>
        <v>83.98</v>
      </c>
      <c r="N4125" s="38" t="str">
        <f>IF(OR(ISBLANK(C4125),C4125="",M4125=""),"In Progress",IF(M4125&lt;=J4125,"Met","Breached"))</f>
        <v>Breached</v>
      </c>
    </row>
    <row r="4126" ht="19" customHeight="1" spans="1:14" x14ac:dyDescent="0.25">
      <c r="A4126" s="19" t="s">
        <v>4240</v>
      </c>
      <c r="B4126" s="33">
        <v>46078.00277777778</v>
      </c>
      <c r="C4126" s="33">
        <v>46081.18680555555</v>
      </c>
      <c r="D4126" s="19" t="s">
        <v>33</v>
      </c>
      <c r="E4126" s="19" t="s">
        <v>65</v>
      </c>
      <c r="F4126" s="19" t="s">
        <v>43</v>
      </c>
      <c r="G4126" s="19" t="s">
        <v>116</v>
      </c>
      <c r="H4126" s="19" t="s">
        <v>63</v>
      </c>
      <c r="I4126" s="19" t="s">
        <v>117</v>
      </c>
      <c r="J4126" s="20">
        <v>48</v>
      </c>
      <c r="K4126" s="34">
        <v>0</v>
      </c>
      <c r="M4126" s="19">
        <f>IF(OR(ISBLANK(C4126),C4126=""),"",ROUND((C4126-B4126)*24,2))</f>
        <v>76.42</v>
      </c>
      <c r="N4126" s="39" t="str">
        <f>IF(OR(ISBLANK(C4126),C4126="",M4126=""),"In Progress",IF(M4126&lt;=J4126,"Met","Breached"))</f>
        <v>Breached</v>
      </c>
    </row>
    <row r="4127" ht="19" customHeight="1" spans="1:14" x14ac:dyDescent="0.25">
      <c r="A4127" s="22" t="s">
        <v>4241</v>
      </c>
      <c r="B4127" s="36">
        <v>45771.49097222222</v>
      </c>
      <c r="C4127" s="36">
        <v>45772.9125</v>
      </c>
      <c r="D4127" s="22" t="s">
        <v>33</v>
      </c>
      <c r="E4127" s="22" t="s">
        <v>65</v>
      </c>
      <c r="F4127" s="22" t="s">
        <v>34</v>
      </c>
      <c r="G4127" s="22" t="s">
        <v>116</v>
      </c>
      <c r="H4127" s="22" t="s">
        <v>71</v>
      </c>
      <c r="I4127" s="22" t="s">
        <v>108</v>
      </c>
      <c r="J4127" s="23">
        <v>48</v>
      </c>
      <c r="K4127" s="37">
        <v>0</v>
      </c>
      <c r="L4127" s="37">
        <v>2</v>
      </c>
      <c r="M4127" s="22">
        <f>IF(OR(ISBLANK(C4127),C4127=""),"",ROUND((C4127-B4127)*24,2))</f>
        <v>34.12</v>
      </c>
      <c r="N4127" s="40" t="str">
        <f>IF(OR(ISBLANK(C4127),C4127="",M4127=""),"In Progress",IF(M4127&lt;=J4127,"Met","Breached"))</f>
        <v>Met</v>
      </c>
    </row>
    <row r="4128" ht="19" customHeight="1" spans="1:14" x14ac:dyDescent="0.25">
      <c r="A4128" s="19" t="s">
        <v>4242</v>
      </c>
      <c r="B4128" s="33">
        <v>45847.94652777778</v>
      </c>
      <c r="D4128" s="19" t="s">
        <v>42</v>
      </c>
      <c r="E4128" s="19" t="s">
        <v>65</v>
      </c>
      <c r="F4128" s="19" t="s">
        <v>37</v>
      </c>
      <c r="G4128" s="19" t="s">
        <v>121</v>
      </c>
      <c r="H4128" s="19" t="s">
        <v>67</v>
      </c>
      <c r="I4128" s="19" t="s">
        <v>117</v>
      </c>
      <c r="J4128" s="20">
        <v>48</v>
      </c>
      <c r="K4128" s="34">
        <v>0</v>
      </c>
      <c r="M4128" s="19" t="str">
        <f>IF(OR(ISBLANK(C4128),C4128=""),"",ROUND((C4128-B4128)*24,2))</f>
        <v/>
      </c>
      <c r="N4128" s="19" t="str">
        <f>IF(OR(ISBLANK(C4128),C4128="",M4128=""),"In Progress",IF(M4128&lt;=J4128,"Met","Breached"))</f>
        <v>In Progress</v>
      </c>
    </row>
    <row r="4129" ht="19" customHeight="1" spans="1:14" x14ac:dyDescent="0.25">
      <c r="A4129" s="22" t="s">
        <v>4243</v>
      </c>
      <c r="B4129" s="36">
        <v>45853.86111111111</v>
      </c>
      <c r="C4129" s="36">
        <v>45858.55208333333</v>
      </c>
      <c r="D4129" s="22" t="s">
        <v>36</v>
      </c>
      <c r="E4129" s="22" t="s">
        <v>69</v>
      </c>
      <c r="F4129" s="22" t="s">
        <v>34</v>
      </c>
      <c r="G4129" s="22" t="s">
        <v>113</v>
      </c>
      <c r="H4129" s="22" t="s">
        <v>59</v>
      </c>
      <c r="I4129" s="22" t="s">
        <v>117</v>
      </c>
      <c r="J4129" s="23">
        <v>120</v>
      </c>
      <c r="K4129" s="37">
        <v>0</v>
      </c>
      <c r="L4129" s="37">
        <v>5</v>
      </c>
      <c r="M4129" s="22">
        <f>IF(OR(ISBLANK(C4129),C4129=""),"",ROUND((C4129-B4129)*24,2))</f>
        <v>112.58</v>
      </c>
      <c r="N4129" s="40" t="str">
        <f>IF(OR(ISBLANK(C4129),C4129="",M4129=""),"In Progress",IF(M4129&lt;=J4129,"Met","Breached"))</f>
        <v>Met</v>
      </c>
    </row>
    <row r="4130" ht="19" customHeight="1" spans="1:14" x14ac:dyDescent="0.25">
      <c r="A4130" s="19" t="s">
        <v>4244</v>
      </c>
      <c r="B4130" s="33">
        <v>46076.95625</v>
      </c>
      <c r="C4130" s="33">
        <v>46077.55902777778</v>
      </c>
      <c r="D4130" s="19" t="s">
        <v>33</v>
      </c>
      <c r="E4130" s="19" t="s">
        <v>61</v>
      </c>
      <c r="F4130" s="19" t="s">
        <v>34</v>
      </c>
      <c r="G4130" s="19" t="s">
        <v>116</v>
      </c>
      <c r="H4130" s="19" t="s">
        <v>71</v>
      </c>
      <c r="I4130" s="19" t="s">
        <v>111</v>
      </c>
      <c r="J4130" s="20">
        <v>12</v>
      </c>
      <c r="K4130" s="34">
        <v>0</v>
      </c>
      <c r="L4130" s="34">
        <v>5</v>
      </c>
      <c r="M4130" s="19">
        <f>IF(OR(ISBLANK(C4130),C4130=""),"",ROUND((C4130-B4130)*24,2))</f>
        <v>14.47</v>
      </c>
      <c r="N4130" s="39" t="str">
        <f>IF(OR(ISBLANK(C4130),C4130="",M4130=""),"In Progress",IF(M4130&lt;=J4130,"Met","Breached"))</f>
        <v>Breached</v>
      </c>
    </row>
    <row r="4131" ht="19" customHeight="1" spans="1:14" x14ac:dyDescent="0.25">
      <c r="A4131" s="22" t="s">
        <v>4245</v>
      </c>
      <c r="B4131" s="36">
        <v>46041.90763888889</v>
      </c>
      <c r="D4131" s="22" t="s">
        <v>42</v>
      </c>
      <c r="E4131" s="22" t="s">
        <v>65</v>
      </c>
      <c r="F4131" s="22" t="s">
        <v>40</v>
      </c>
      <c r="G4131" s="22" t="s">
        <v>126</v>
      </c>
      <c r="H4131" s="22" t="s">
        <v>71</v>
      </c>
      <c r="I4131" s="22" t="s">
        <v>111</v>
      </c>
      <c r="J4131" s="23">
        <v>48</v>
      </c>
      <c r="K4131" s="37">
        <v>0</v>
      </c>
      <c r="M4131" s="22" t="str">
        <f>IF(OR(ISBLANK(C4131),C4131=""),"",ROUND((C4131-B4131)*24,2))</f>
        <v/>
      </c>
      <c r="N4131" s="22" t="str">
        <f>IF(OR(ISBLANK(C4131),C4131="",M4131=""),"In Progress",IF(M4131&lt;=J4131,"Met","Breached"))</f>
        <v>In Progress</v>
      </c>
    </row>
    <row r="4132" ht="19" customHeight="1" spans="1:14" x14ac:dyDescent="0.25">
      <c r="A4132" s="19" t="s">
        <v>4246</v>
      </c>
      <c r="B4132" s="33">
        <v>46222.35486111111</v>
      </c>
      <c r="C4132" s="33">
        <v>46224.69027777778</v>
      </c>
      <c r="D4132" s="19" t="s">
        <v>36</v>
      </c>
      <c r="E4132" s="19" t="s">
        <v>65</v>
      </c>
      <c r="F4132" s="19" t="s">
        <v>37</v>
      </c>
      <c r="G4132" s="19" t="s">
        <v>63</v>
      </c>
      <c r="H4132" s="19" t="s">
        <v>63</v>
      </c>
      <c r="I4132" s="19" t="s">
        <v>123</v>
      </c>
      <c r="J4132" s="20">
        <v>48</v>
      </c>
      <c r="K4132" s="34">
        <v>0</v>
      </c>
      <c r="L4132" s="34">
        <v>2</v>
      </c>
      <c r="M4132" s="19">
        <f>IF(OR(ISBLANK(C4132),C4132=""),"",ROUND((C4132-B4132)*24,2))</f>
        <v>56.05</v>
      </c>
      <c r="N4132" s="39" t="str">
        <f>IF(OR(ISBLANK(C4132),C4132="",M4132=""),"In Progress",IF(M4132&lt;=J4132,"Met","Breached"))</f>
        <v>Breached</v>
      </c>
    </row>
    <row r="4133" ht="19" customHeight="1" spans="1:14" x14ac:dyDescent="0.25">
      <c r="A4133" s="22" t="s">
        <v>4247</v>
      </c>
      <c r="B4133" s="36">
        <v>46086.91736111111</v>
      </c>
      <c r="D4133" s="22" t="s">
        <v>42</v>
      </c>
      <c r="E4133" s="22" t="s">
        <v>65</v>
      </c>
      <c r="F4133" s="22" t="s">
        <v>43</v>
      </c>
      <c r="G4133" s="22" t="s">
        <v>126</v>
      </c>
      <c r="H4133" s="22" t="s">
        <v>59</v>
      </c>
      <c r="I4133" s="22" t="s">
        <v>123</v>
      </c>
      <c r="J4133" s="23">
        <v>48</v>
      </c>
      <c r="K4133" s="37">
        <v>0</v>
      </c>
      <c r="M4133" s="22" t="str">
        <f>IF(OR(ISBLANK(C4133),C4133=""),"",ROUND((C4133-B4133)*24,2))</f>
        <v/>
      </c>
      <c r="N4133" s="22" t="str">
        <f>IF(OR(ISBLANK(C4133),C4133="",M4133=""),"In Progress",IF(M4133&lt;=J4133,"Met","Breached"))</f>
        <v>In Progress</v>
      </c>
    </row>
    <row r="4134" ht="19" customHeight="1" spans="1:14" x14ac:dyDescent="0.25">
      <c r="A4134" s="19" t="s">
        <v>4248</v>
      </c>
      <c r="B4134" s="33">
        <v>45781.691666666666</v>
      </c>
      <c r="C4134" s="33">
        <v>45782.50069444445</v>
      </c>
      <c r="D4134" s="19" t="s">
        <v>36</v>
      </c>
      <c r="E4134" s="19" t="s">
        <v>61</v>
      </c>
      <c r="F4134" s="19" t="s">
        <v>37</v>
      </c>
      <c r="G4134" s="19" t="s">
        <v>110</v>
      </c>
      <c r="H4134" s="19" t="s">
        <v>67</v>
      </c>
      <c r="I4134" s="19" t="s">
        <v>123</v>
      </c>
      <c r="J4134" s="20">
        <v>12</v>
      </c>
      <c r="K4134" s="34">
        <v>0</v>
      </c>
      <c r="M4134" s="19">
        <f>IF(OR(ISBLANK(C4134),C4134=""),"",ROUND((C4134-B4134)*24,2))</f>
        <v>19.42</v>
      </c>
      <c r="N4134" s="39" t="str">
        <f>IF(OR(ISBLANK(C4134),C4134="",M4134=""),"In Progress",IF(M4134&lt;=J4134,"Met","Breached"))</f>
        <v>Breached</v>
      </c>
    </row>
    <row r="4135" ht="19" customHeight="1" spans="1:14" x14ac:dyDescent="0.25">
      <c r="A4135" s="22" t="s">
        <v>4249</v>
      </c>
      <c r="B4135" s="36">
        <v>45815.81597222222</v>
      </c>
      <c r="C4135" s="36">
        <v>45818.49652777778</v>
      </c>
      <c r="D4135" s="22" t="s">
        <v>33</v>
      </c>
      <c r="E4135" s="22" t="s">
        <v>65</v>
      </c>
      <c r="F4135" s="22" t="s">
        <v>43</v>
      </c>
      <c r="G4135" s="22" t="s">
        <v>121</v>
      </c>
      <c r="H4135" s="22" t="s">
        <v>63</v>
      </c>
      <c r="I4135" s="22" t="s">
        <v>147</v>
      </c>
      <c r="J4135" s="23">
        <v>48</v>
      </c>
      <c r="K4135" s="37">
        <v>0</v>
      </c>
      <c r="L4135" s="37">
        <v>2</v>
      </c>
      <c r="M4135" s="22">
        <f>IF(OR(ISBLANK(C4135),C4135=""),"",ROUND((C4135-B4135)*24,2))</f>
        <v>64.33</v>
      </c>
      <c r="N4135" s="38" t="str">
        <f>IF(OR(ISBLANK(C4135),C4135="",M4135=""),"In Progress",IF(M4135&lt;=J4135,"Met","Breached"))</f>
        <v>Breached</v>
      </c>
    </row>
    <row r="4136" ht="19" customHeight="1" spans="1:14" x14ac:dyDescent="0.25">
      <c r="A4136" s="19" t="s">
        <v>4250</v>
      </c>
      <c r="B4136" s="33">
        <v>45833.455555555556</v>
      </c>
      <c r="C4136" s="33">
        <v>45833.73541666666</v>
      </c>
      <c r="D4136" s="19" t="s">
        <v>33</v>
      </c>
      <c r="E4136" s="19" t="s">
        <v>57</v>
      </c>
      <c r="F4136" s="19" t="s">
        <v>45</v>
      </c>
      <c r="G4136" s="19" t="s">
        <v>126</v>
      </c>
      <c r="H4136" s="19" t="s">
        <v>59</v>
      </c>
      <c r="I4136" s="19" t="s">
        <v>114</v>
      </c>
      <c r="J4136" s="20">
        <v>4</v>
      </c>
      <c r="K4136" s="34">
        <v>0</v>
      </c>
      <c r="M4136" s="19">
        <f>IF(OR(ISBLANK(C4136),C4136=""),"",ROUND((C4136-B4136)*24,2))</f>
        <v>6.72</v>
      </c>
      <c r="N4136" s="39" t="str">
        <f>IF(OR(ISBLANK(C4136),C4136="",M4136=""),"In Progress",IF(M4136&lt;=J4136,"Met","Breached"))</f>
        <v>Breached</v>
      </c>
    </row>
    <row r="4137" ht="19" customHeight="1" spans="1:14" x14ac:dyDescent="0.25">
      <c r="A4137" s="22" t="s">
        <v>4251</v>
      </c>
      <c r="B4137" s="36">
        <v>45736.57847222222</v>
      </c>
      <c r="C4137" s="36">
        <v>45744.44930555555</v>
      </c>
      <c r="D4137" s="22" t="s">
        <v>36</v>
      </c>
      <c r="E4137" s="22" t="s">
        <v>69</v>
      </c>
      <c r="F4137" s="22" t="s">
        <v>45</v>
      </c>
      <c r="G4137" s="22" t="s">
        <v>63</v>
      </c>
      <c r="H4137" s="22" t="s">
        <v>63</v>
      </c>
      <c r="I4137" s="22" t="s">
        <v>111</v>
      </c>
      <c r="J4137" s="23">
        <v>120</v>
      </c>
      <c r="K4137" s="37">
        <v>0</v>
      </c>
      <c r="L4137" s="37">
        <v>2</v>
      </c>
      <c r="M4137" s="22">
        <f>IF(OR(ISBLANK(C4137),C4137=""),"",ROUND((C4137-B4137)*24,2))</f>
        <v>188.9</v>
      </c>
      <c r="N4137" s="38" t="str">
        <f>IF(OR(ISBLANK(C4137),C4137="",M4137=""),"In Progress",IF(M4137&lt;=J4137,"Met","Breached"))</f>
        <v>Breached</v>
      </c>
    </row>
    <row r="4138" ht="19" customHeight="1" spans="1:14" x14ac:dyDescent="0.25">
      <c r="A4138" s="19" t="s">
        <v>4252</v>
      </c>
      <c r="B4138" s="33">
        <v>46237.646527777775</v>
      </c>
      <c r="C4138" s="33">
        <v>46239.56597222222</v>
      </c>
      <c r="D4138" s="19" t="s">
        <v>33</v>
      </c>
      <c r="E4138" s="19" t="s">
        <v>69</v>
      </c>
      <c r="F4138" s="19" t="s">
        <v>37</v>
      </c>
      <c r="G4138" s="19" t="s">
        <v>121</v>
      </c>
      <c r="H4138" s="19" t="s">
        <v>59</v>
      </c>
      <c r="I4138" s="19" t="s">
        <v>123</v>
      </c>
      <c r="J4138" s="20">
        <v>120</v>
      </c>
      <c r="K4138" s="34">
        <v>0</v>
      </c>
      <c r="L4138" s="34">
        <v>4</v>
      </c>
      <c r="M4138" s="19">
        <f>IF(OR(ISBLANK(C4138),C4138=""),"",ROUND((C4138-B4138)*24,2))</f>
        <v>46.07</v>
      </c>
      <c r="N4138" s="35" t="str">
        <f>IF(OR(ISBLANK(C4138),C4138="",M4138=""),"In Progress",IF(M4138&lt;=J4138,"Met","Breached"))</f>
        <v>Met</v>
      </c>
    </row>
    <row r="4139" ht="19" customHeight="1" spans="1:14" x14ac:dyDescent="0.25">
      <c r="A4139" s="22" t="s">
        <v>4253</v>
      </c>
      <c r="B4139" s="36">
        <v>46019.39791666667</v>
      </c>
      <c r="C4139" s="36">
        <v>46021.86944444444</v>
      </c>
      <c r="D4139" s="22" t="s">
        <v>33</v>
      </c>
      <c r="E4139" s="22" t="s">
        <v>65</v>
      </c>
      <c r="F4139" s="22" t="s">
        <v>45</v>
      </c>
      <c r="G4139" s="22" t="s">
        <v>110</v>
      </c>
      <c r="H4139" s="22" t="s">
        <v>63</v>
      </c>
      <c r="I4139" s="22" t="s">
        <v>108</v>
      </c>
      <c r="J4139" s="23">
        <v>48</v>
      </c>
      <c r="K4139" s="37">
        <v>0</v>
      </c>
      <c r="M4139" s="22">
        <f>IF(OR(ISBLANK(C4139),C4139=""),"",ROUND((C4139-B4139)*24,2))</f>
        <v>59.32</v>
      </c>
      <c r="N4139" s="38" t="str">
        <f>IF(OR(ISBLANK(C4139),C4139="",M4139=""),"In Progress",IF(M4139&lt;=J4139,"Met","Breached"))</f>
        <v>Breached</v>
      </c>
    </row>
    <row r="4140" ht="19" customHeight="1" spans="1:14" x14ac:dyDescent="0.25">
      <c r="A4140" s="19" t="s">
        <v>4254</v>
      </c>
      <c r="B4140" s="33">
        <v>46027.683333333334</v>
      </c>
      <c r="C4140" s="33">
        <v>46030.15694444445</v>
      </c>
      <c r="D4140" s="19" t="s">
        <v>36</v>
      </c>
      <c r="E4140" s="19" t="s">
        <v>65</v>
      </c>
      <c r="F4140" s="19" t="s">
        <v>45</v>
      </c>
      <c r="G4140" s="19" t="s">
        <v>121</v>
      </c>
      <c r="H4140" s="19" t="s">
        <v>63</v>
      </c>
      <c r="I4140" s="19" t="s">
        <v>108</v>
      </c>
      <c r="J4140" s="20">
        <v>48</v>
      </c>
      <c r="K4140" s="34">
        <v>0</v>
      </c>
      <c r="L4140" s="34">
        <v>4</v>
      </c>
      <c r="M4140" s="19">
        <f>IF(OR(ISBLANK(C4140),C4140=""),"",ROUND((C4140-B4140)*24,2))</f>
        <v>59.37</v>
      </c>
      <c r="N4140" s="39" t="str">
        <f>IF(OR(ISBLANK(C4140),C4140="",M4140=""),"In Progress",IF(M4140&lt;=J4140,"Met","Breached"))</f>
        <v>Breached</v>
      </c>
    </row>
    <row r="4141" ht="19" customHeight="1" spans="1:14" x14ac:dyDescent="0.25">
      <c r="A4141" s="22" t="s">
        <v>4255</v>
      </c>
      <c r="B4141" s="36">
        <v>45693.70833333333</v>
      </c>
      <c r="C4141" s="36">
        <v>45696.55416666667</v>
      </c>
      <c r="D4141" s="22" t="s">
        <v>33</v>
      </c>
      <c r="E4141" s="22" t="s">
        <v>65</v>
      </c>
      <c r="F4141" s="22" t="s">
        <v>43</v>
      </c>
      <c r="G4141" s="22" t="s">
        <v>110</v>
      </c>
      <c r="H4141" s="22" t="s">
        <v>63</v>
      </c>
      <c r="I4141" s="22" t="s">
        <v>123</v>
      </c>
      <c r="J4141" s="23">
        <v>48</v>
      </c>
      <c r="K4141" s="37">
        <v>0</v>
      </c>
      <c r="L4141" s="37">
        <v>1</v>
      </c>
      <c r="M4141" s="22">
        <f>IF(OR(ISBLANK(C4141),C4141=""),"",ROUND((C4141-B4141)*24,2))</f>
        <v>68.3</v>
      </c>
      <c r="N4141" s="38" t="str">
        <f>IF(OR(ISBLANK(C4141),C4141="",M4141=""),"In Progress",IF(M4141&lt;=J4141,"Met","Breached"))</f>
        <v>Breached</v>
      </c>
    </row>
    <row r="4142" ht="19" customHeight="1" spans="1:14" x14ac:dyDescent="0.25">
      <c r="A4142" s="19" t="s">
        <v>4256</v>
      </c>
      <c r="B4142" s="33">
        <v>45698.84513888889</v>
      </c>
      <c r="C4142" s="33">
        <v>45706.93125</v>
      </c>
      <c r="D4142" s="19" t="s">
        <v>33</v>
      </c>
      <c r="E4142" s="19" t="s">
        <v>69</v>
      </c>
      <c r="F4142" s="19" t="s">
        <v>37</v>
      </c>
      <c r="G4142" s="19" t="s">
        <v>63</v>
      </c>
      <c r="H4142" s="19" t="s">
        <v>71</v>
      </c>
      <c r="I4142" s="19" t="s">
        <v>117</v>
      </c>
      <c r="J4142" s="20">
        <v>120</v>
      </c>
      <c r="K4142" s="34">
        <v>0</v>
      </c>
      <c r="M4142" s="19">
        <f>IF(OR(ISBLANK(C4142),C4142=""),"",ROUND((C4142-B4142)*24,2))</f>
        <v>194.07</v>
      </c>
      <c r="N4142" s="39" t="str">
        <f>IF(OR(ISBLANK(C4142),C4142="",M4142=""),"In Progress",IF(M4142&lt;=J4142,"Met","Breached"))</f>
        <v>Breached</v>
      </c>
    </row>
    <row r="4143" ht="19" customHeight="1" spans="1:14" x14ac:dyDescent="0.25">
      <c r="A4143" s="22" t="s">
        <v>4257</v>
      </c>
      <c r="B4143" s="36">
        <v>45808.45694444445</v>
      </c>
      <c r="C4143" s="36">
        <v>45811.05069444445</v>
      </c>
      <c r="D4143" s="22" t="s">
        <v>36</v>
      </c>
      <c r="E4143" s="22" t="s">
        <v>69</v>
      </c>
      <c r="F4143" s="22" t="s">
        <v>37</v>
      </c>
      <c r="G4143" s="22" t="s">
        <v>121</v>
      </c>
      <c r="H4143" s="22" t="s">
        <v>63</v>
      </c>
      <c r="I4143" s="22" t="s">
        <v>108</v>
      </c>
      <c r="J4143" s="23">
        <v>120</v>
      </c>
      <c r="K4143" s="37">
        <v>0</v>
      </c>
      <c r="M4143" s="22">
        <f>IF(OR(ISBLANK(C4143),C4143=""),"",ROUND((C4143-B4143)*24,2))</f>
        <v>62.25</v>
      </c>
      <c r="N4143" s="40" t="str">
        <f>IF(OR(ISBLANK(C4143),C4143="",M4143=""),"In Progress",IF(M4143&lt;=J4143,"Met","Breached"))</f>
        <v>Met</v>
      </c>
    </row>
    <row r="4144" ht="19" customHeight="1" spans="1:14" x14ac:dyDescent="0.25">
      <c r="A4144" s="19" t="s">
        <v>4258</v>
      </c>
      <c r="B4144" s="33">
        <v>45798.26041666667</v>
      </c>
      <c r="C4144" s="33">
        <v>45801.486805555556</v>
      </c>
      <c r="D4144" s="19" t="s">
        <v>33</v>
      </c>
      <c r="E4144" s="19" t="s">
        <v>65</v>
      </c>
      <c r="F4144" s="19" t="s">
        <v>34</v>
      </c>
      <c r="G4144" s="19" t="s">
        <v>121</v>
      </c>
      <c r="H4144" s="19" t="s">
        <v>59</v>
      </c>
      <c r="I4144" s="19" t="s">
        <v>123</v>
      </c>
      <c r="J4144" s="20">
        <v>48</v>
      </c>
      <c r="K4144" s="34">
        <v>0</v>
      </c>
      <c r="L4144" s="34">
        <v>5</v>
      </c>
      <c r="M4144" s="19">
        <f>IF(OR(ISBLANK(C4144),C4144=""),"",ROUND((C4144-B4144)*24,2))</f>
        <v>77.43</v>
      </c>
      <c r="N4144" s="39" t="str">
        <f>IF(OR(ISBLANK(C4144),C4144="",M4144=""),"In Progress",IF(M4144&lt;=J4144,"Met","Breached"))</f>
        <v>Breached</v>
      </c>
    </row>
    <row r="4145" ht="19" customHeight="1" spans="1:14" x14ac:dyDescent="0.25">
      <c r="A4145" s="22" t="s">
        <v>4259</v>
      </c>
      <c r="B4145" s="36">
        <v>45979.445138888885</v>
      </c>
      <c r="C4145" s="36">
        <v>45982.34375</v>
      </c>
      <c r="D4145" s="22" t="s">
        <v>36</v>
      </c>
      <c r="E4145" s="22" t="s">
        <v>65</v>
      </c>
      <c r="F4145" s="22" t="s">
        <v>40</v>
      </c>
      <c r="G4145" s="22" t="s">
        <v>113</v>
      </c>
      <c r="H4145" s="22" t="s">
        <v>71</v>
      </c>
      <c r="I4145" s="22" t="s">
        <v>123</v>
      </c>
      <c r="J4145" s="23">
        <v>48</v>
      </c>
      <c r="K4145" s="37">
        <v>0</v>
      </c>
      <c r="M4145" s="22">
        <f>IF(OR(ISBLANK(C4145),C4145=""),"",ROUND((C4145-B4145)*24,2))</f>
        <v>69.57</v>
      </c>
      <c r="N4145" s="38" t="str">
        <f>IF(OR(ISBLANK(C4145),C4145="",M4145=""),"In Progress",IF(M4145&lt;=J4145,"Met","Breached"))</f>
        <v>Breached</v>
      </c>
    </row>
    <row r="4146" ht="19" customHeight="1" spans="1:14" x14ac:dyDescent="0.25">
      <c r="A4146" s="19" t="s">
        <v>4260</v>
      </c>
      <c r="B4146" s="33">
        <v>46241.518055555556</v>
      </c>
      <c r="C4146" s="33">
        <v>46243.28333333333</v>
      </c>
      <c r="D4146" s="19" t="s">
        <v>33</v>
      </c>
      <c r="E4146" s="19" t="s">
        <v>65</v>
      </c>
      <c r="F4146" s="19" t="s">
        <v>40</v>
      </c>
      <c r="G4146" s="19" t="s">
        <v>116</v>
      </c>
      <c r="H4146" s="19" t="s">
        <v>59</v>
      </c>
      <c r="I4146" s="19" t="s">
        <v>123</v>
      </c>
      <c r="J4146" s="20">
        <v>48</v>
      </c>
      <c r="K4146" s="34">
        <v>0</v>
      </c>
      <c r="L4146" s="34">
        <v>1</v>
      </c>
      <c r="M4146" s="19">
        <f>IF(OR(ISBLANK(C4146),C4146=""),"",ROUND((C4146-B4146)*24,2))</f>
        <v>42.37</v>
      </c>
      <c r="N4146" s="35" t="str">
        <f>IF(OR(ISBLANK(C4146),C4146="",M4146=""),"In Progress",IF(M4146&lt;=J4146,"Met","Breached"))</f>
        <v>Met</v>
      </c>
    </row>
    <row r="4147" ht="19" customHeight="1" spans="1:14" x14ac:dyDescent="0.25">
      <c r="A4147" s="22" t="s">
        <v>4261</v>
      </c>
      <c r="B4147" s="36">
        <v>45744.24444444444</v>
      </c>
      <c r="D4147" s="22" t="s">
        <v>42</v>
      </c>
      <c r="E4147" s="22" t="s">
        <v>57</v>
      </c>
      <c r="F4147" s="22" t="s">
        <v>34</v>
      </c>
      <c r="G4147" s="22" t="s">
        <v>116</v>
      </c>
      <c r="H4147" s="22" t="s">
        <v>59</v>
      </c>
      <c r="I4147" s="22" t="s">
        <v>123</v>
      </c>
      <c r="J4147" s="23">
        <v>4</v>
      </c>
      <c r="K4147" s="37">
        <v>0</v>
      </c>
      <c r="M4147" s="22" t="str">
        <f>IF(OR(ISBLANK(C4147),C4147=""),"",ROUND((C4147-B4147)*24,2))</f>
        <v/>
      </c>
      <c r="N4147" s="22" t="str">
        <f>IF(OR(ISBLANK(C4147),C4147="",M4147=""),"In Progress",IF(M4147&lt;=J4147,"Met","Breached"))</f>
        <v>In Progress</v>
      </c>
    </row>
    <row r="4148" ht="19" customHeight="1" spans="1:14" x14ac:dyDescent="0.25">
      <c r="A4148" s="19" t="s">
        <v>4262</v>
      </c>
      <c r="B4148" s="33">
        <v>45994.25208333333</v>
      </c>
      <c r="C4148" s="33">
        <v>45997.65</v>
      </c>
      <c r="D4148" s="19" t="s">
        <v>36</v>
      </c>
      <c r="E4148" s="19" t="s">
        <v>69</v>
      </c>
      <c r="F4148" s="19" t="s">
        <v>34</v>
      </c>
      <c r="G4148" s="19" t="s">
        <v>121</v>
      </c>
      <c r="H4148" s="19" t="s">
        <v>71</v>
      </c>
      <c r="I4148" s="19" t="s">
        <v>114</v>
      </c>
      <c r="J4148" s="20">
        <v>120</v>
      </c>
      <c r="K4148" s="34">
        <v>0</v>
      </c>
      <c r="L4148" s="34">
        <v>4</v>
      </c>
      <c r="M4148" s="19">
        <f>IF(OR(ISBLANK(C4148),C4148=""),"",ROUND((C4148-B4148)*24,2))</f>
        <v>81.55</v>
      </c>
      <c r="N4148" s="35" t="str">
        <f>IF(OR(ISBLANK(C4148),C4148="",M4148=""),"In Progress",IF(M4148&lt;=J4148,"Met","Breached"))</f>
        <v>Met</v>
      </c>
    </row>
    <row r="4149" ht="19" customHeight="1" spans="1:14" x14ac:dyDescent="0.25">
      <c r="A4149" s="22" t="s">
        <v>4263</v>
      </c>
      <c r="B4149" s="36">
        <v>45664.99722222222</v>
      </c>
      <c r="C4149" s="36">
        <v>45665.22708333333</v>
      </c>
      <c r="D4149" s="22" t="s">
        <v>33</v>
      </c>
      <c r="E4149" s="22" t="s">
        <v>61</v>
      </c>
      <c r="F4149" s="22" t="s">
        <v>34</v>
      </c>
      <c r="G4149" s="22" t="s">
        <v>113</v>
      </c>
      <c r="H4149" s="22" t="s">
        <v>59</v>
      </c>
      <c r="I4149" s="22" t="s">
        <v>117</v>
      </c>
      <c r="J4149" s="23">
        <v>12</v>
      </c>
      <c r="K4149" s="37">
        <v>0</v>
      </c>
      <c r="L4149" s="37">
        <v>5</v>
      </c>
      <c r="M4149" s="22">
        <f>IF(OR(ISBLANK(C4149),C4149=""),"",ROUND((C4149-B4149)*24,2))</f>
        <v>5.52</v>
      </c>
      <c r="N4149" s="40" t="str">
        <f>IF(OR(ISBLANK(C4149),C4149="",M4149=""),"In Progress",IF(M4149&lt;=J4149,"Met","Breached"))</f>
        <v>Met</v>
      </c>
    </row>
    <row r="4150" ht="19" customHeight="1" spans="1:14" x14ac:dyDescent="0.25">
      <c r="A4150" s="19" t="s">
        <v>4264</v>
      </c>
      <c r="B4150" s="33">
        <v>46270.555555555555</v>
      </c>
      <c r="C4150" s="33">
        <v>46270.775</v>
      </c>
      <c r="D4150" s="19" t="s">
        <v>33</v>
      </c>
      <c r="E4150" s="19" t="s">
        <v>61</v>
      </c>
      <c r="F4150" s="19" t="s">
        <v>34</v>
      </c>
      <c r="G4150" s="19" t="s">
        <v>110</v>
      </c>
      <c r="H4150" s="19" t="s">
        <v>67</v>
      </c>
      <c r="I4150" s="19" t="s">
        <v>147</v>
      </c>
      <c r="J4150" s="20">
        <v>12</v>
      </c>
      <c r="K4150" s="34">
        <v>0</v>
      </c>
      <c r="L4150" s="34">
        <v>5</v>
      </c>
      <c r="M4150" s="19">
        <f>IF(OR(ISBLANK(C4150),C4150=""),"",ROUND((C4150-B4150)*24,2))</f>
        <v>5.27</v>
      </c>
      <c r="N4150" s="35" t="str">
        <f>IF(OR(ISBLANK(C4150),C4150="",M4150=""),"In Progress",IF(M4150&lt;=J4150,"Met","Breached"))</f>
        <v>Met</v>
      </c>
    </row>
    <row r="4151" ht="19" customHeight="1" spans="1:14" x14ac:dyDescent="0.25">
      <c r="A4151" s="22" t="s">
        <v>4265</v>
      </c>
      <c r="B4151" s="36">
        <v>45851.665972222225</v>
      </c>
      <c r="D4151" s="22" t="s">
        <v>39</v>
      </c>
      <c r="E4151" s="22" t="s">
        <v>65</v>
      </c>
      <c r="F4151" s="22" t="s">
        <v>45</v>
      </c>
      <c r="G4151" s="22" t="s">
        <v>110</v>
      </c>
      <c r="H4151" s="22" t="s">
        <v>71</v>
      </c>
      <c r="I4151" s="22" t="s">
        <v>114</v>
      </c>
      <c r="J4151" s="23">
        <v>48</v>
      </c>
      <c r="K4151" s="37">
        <v>0</v>
      </c>
      <c r="M4151" s="22" t="str">
        <f>IF(OR(ISBLANK(C4151),C4151=""),"",ROUND((C4151-B4151)*24,2))</f>
        <v/>
      </c>
      <c r="N4151" s="22" t="str">
        <f>IF(OR(ISBLANK(C4151),C4151="",M4151=""),"In Progress",IF(M4151&lt;=J4151,"Met","Breached"))</f>
        <v>In Progress</v>
      </c>
    </row>
    <row r="4152" ht="19" customHeight="1" spans="1:14" x14ac:dyDescent="0.25">
      <c r="A4152" s="19" t="s">
        <v>4266</v>
      </c>
      <c r="B4152" s="33">
        <v>45813.56458333333</v>
      </c>
      <c r="C4152" s="33">
        <v>45814.31458333333</v>
      </c>
      <c r="D4152" s="19" t="s">
        <v>33</v>
      </c>
      <c r="E4152" s="19" t="s">
        <v>61</v>
      </c>
      <c r="F4152" s="19" t="s">
        <v>40</v>
      </c>
      <c r="G4152" s="19" t="s">
        <v>63</v>
      </c>
      <c r="H4152" s="19" t="s">
        <v>67</v>
      </c>
      <c r="I4152" s="19" t="s">
        <v>114</v>
      </c>
      <c r="J4152" s="20">
        <v>12</v>
      </c>
      <c r="K4152" s="34">
        <v>0</v>
      </c>
      <c r="L4152" s="34">
        <v>5</v>
      </c>
      <c r="M4152" s="19">
        <f>IF(OR(ISBLANK(C4152),C4152=""),"",ROUND((C4152-B4152)*24,2))</f>
        <v>18</v>
      </c>
      <c r="N4152" s="39" t="str">
        <f>IF(OR(ISBLANK(C4152),C4152="",M4152=""),"In Progress",IF(M4152&lt;=J4152,"Met","Breached"))</f>
        <v>Breached</v>
      </c>
    </row>
    <row r="4153" ht="19" customHeight="1" spans="1:14" x14ac:dyDescent="0.25">
      <c r="A4153" s="22" t="s">
        <v>4267</v>
      </c>
      <c r="B4153" s="36">
        <v>46188.46875</v>
      </c>
      <c r="C4153" s="36">
        <v>46189.34305555555</v>
      </c>
      <c r="D4153" s="22" t="s">
        <v>33</v>
      </c>
      <c r="E4153" s="22" t="s">
        <v>65</v>
      </c>
      <c r="F4153" s="22" t="s">
        <v>40</v>
      </c>
      <c r="G4153" s="22" t="s">
        <v>126</v>
      </c>
      <c r="H4153" s="22" t="s">
        <v>63</v>
      </c>
      <c r="I4153" s="22" t="s">
        <v>123</v>
      </c>
      <c r="J4153" s="23">
        <v>48</v>
      </c>
      <c r="K4153" s="37">
        <v>0</v>
      </c>
      <c r="M4153" s="22">
        <f>IF(OR(ISBLANK(C4153),C4153=""),"",ROUND((C4153-B4153)*24,2))</f>
        <v>20.98</v>
      </c>
      <c r="N4153" s="40" t="str">
        <f>IF(OR(ISBLANK(C4153),C4153="",M4153=""),"In Progress",IF(M4153&lt;=J4153,"Met","Breached"))</f>
        <v>Met</v>
      </c>
    </row>
    <row r="4154" ht="19" customHeight="1" spans="1:14" x14ac:dyDescent="0.25">
      <c r="A4154" s="19" t="s">
        <v>4268</v>
      </c>
      <c r="B4154" s="33">
        <v>45901.22361111111</v>
      </c>
      <c r="C4154" s="33">
        <v>45909.02986111111</v>
      </c>
      <c r="D4154" s="19" t="s">
        <v>33</v>
      </c>
      <c r="E4154" s="19" t="s">
        <v>69</v>
      </c>
      <c r="F4154" s="19" t="s">
        <v>40</v>
      </c>
      <c r="G4154" s="19" t="s">
        <v>126</v>
      </c>
      <c r="H4154" s="19" t="s">
        <v>63</v>
      </c>
      <c r="I4154" s="19" t="s">
        <v>123</v>
      </c>
      <c r="J4154" s="20">
        <v>120</v>
      </c>
      <c r="K4154" s="34">
        <v>0</v>
      </c>
      <c r="L4154" s="34">
        <v>3</v>
      </c>
      <c r="M4154" s="19">
        <f>IF(OR(ISBLANK(C4154),C4154=""),"",ROUND((C4154-B4154)*24,2))</f>
        <v>187.35</v>
      </c>
      <c r="N4154" s="39" t="str">
        <f>IF(OR(ISBLANK(C4154),C4154="",M4154=""),"In Progress",IF(M4154&lt;=J4154,"Met","Breached"))</f>
        <v>Breached</v>
      </c>
    </row>
    <row r="4155" ht="19" customHeight="1" spans="1:14" x14ac:dyDescent="0.25">
      <c r="A4155" s="22" t="s">
        <v>4269</v>
      </c>
      <c r="B4155" s="36">
        <v>45979.14097222222</v>
      </c>
      <c r="C4155" s="36">
        <v>45982.481944444444</v>
      </c>
      <c r="D4155" s="22" t="s">
        <v>36</v>
      </c>
      <c r="E4155" s="22" t="s">
        <v>65</v>
      </c>
      <c r="F4155" s="22" t="s">
        <v>34</v>
      </c>
      <c r="G4155" s="22" t="s">
        <v>110</v>
      </c>
      <c r="H4155" s="22" t="s">
        <v>59</v>
      </c>
      <c r="I4155" s="22" t="s">
        <v>123</v>
      </c>
      <c r="J4155" s="23">
        <v>48</v>
      </c>
      <c r="K4155" s="37">
        <v>0</v>
      </c>
      <c r="L4155" s="37">
        <v>5</v>
      </c>
      <c r="M4155" s="22">
        <f>IF(OR(ISBLANK(C4155),C4155=""),"",ROUND((C4155-B4155)*24,2))</f>
        <v>80.18</v>
      </c>
      <c r="N4155" s="38" t="str">
        <f>IF(OR(ISBLANK(C4155),C4155="",M4155=""),"In Progress",IF(M4155&lt;=J4155,"Met","Breached"))</f>
        <v>Breached</v>
      </c>
    </row>
    <row r="4156" ht="19" customHeight="1" spans="1:14" x14ac:dyDescent="0.25">
      <c r="A4156" s="19" t="s">
        <v>4270</v>
      </c>
      <c r="B4156" s="33">
        <v>45816.638194444444</v>
      </c>
      <c r="D4156" s="19" t="s">
        <v>39</v>
      </c>
      <c r="E4156" s="19" t="s">
        <v>69</v>
      </c>
      <c r="F4156" s="19" t="s">
        <v>45</v>
      </c>
      <c r="G4156" s="19" t="s">
        <v>116</v>
      </c>
      <c r="H4156" s="19" t="s">
        <v>63</v>
      </c>
      <c r="I4156" s="19" t="s">
        <v>111</v>
      </c>
      <c r="J4156" s="20">
        <v>120</v>
      </c>
      <c r="K4156" s="34">
        <v>0</v>
      </c>
      <c r="M4156" s="19" t="str">
        <f>IF(OR(ISBLANK(C4156),C4156=""),"",ROUND((C4156-B4156)*24,2))</f>
        <v/>
      </c>
      <c r="N4156" s="19" t="str">
        <f>IF(OR(ISBLANK(C4156),C4156="",M4156=""),"In Progress",IF(M4156&lt;=J4156,"Met","Breached"))</f>
        <v>In Progress</v>
      </c>
    </row>
    <row r="4157" ht="19" customHeight="1" spans="1:14" x14ac:dyDescent="0.25">
      <c r="A4157" s="22" t="s">
        <v>4271</v>
      </c>
      <c r="B4157" s="36">
        <v>45937.09097222222</v>
      </c>
      <c r="C4157" s="36">
        <v>45941.75555555556</v>
      </c>
      <c r="D4157" s="22" t="s">
        <v>36</v>
      </c>
      <c r="E4157" s="22" t="s">
        <v>69</v>
      </c>
      <c r="F4157" s="22" t="s">
        <v>37</v>
      </c>
      <c r="G4157" s="22" t="s">
        <v>110</v>
      </c>
      <c r="H4157" s="22" t="s">
        <v>59</v>
      </c>
      <c r="I4157" s="22" t="s">
        <v>108</v>
      </c>
      <c r="J4157" s="23">
        <v>120</v>
      </c>
      <c r="K4157" s="37">
        <v>0</v>
      </c>
      <c r="L4157" s="37">
        <v>3</v>
      </c>
      <c r="M4157" s="22">
        <f>IF(OR(ISBLANK(C4157),C4157=""),"",ROUND((C4157-B4157)*24,2))</f>
        <v>111.95</v>
      </c>
      <c r="N4157" s="40" t="str">
        <f>IF(OR(ISBLANK(C4157),C4157="",M4157=""),"In Progress",IF(M4157&lt;=J4157,"Met","Breached"))</f>
        <v>Met</v>
      </c>
    </row>
    <row r="4158" ht="19" customHeight="1" spans="1:14" x14ac:dyDescent="0.25">
      <c r="A4158" s="19" t="s">
        <v>4272</v>
      </c>
      <c r="B4158" s="33">
        <v>46083.16805555555</v>
      </c>
      <c r="C4158" s="33">
        <v>46085.32638888889</v>
      </c>
      <c r="D4158" s="19" t="s">
        <v>33</v>
      </c>
      <c r="E4158" s="19" t="s">
        <v>65</v>
      </c>
      <c r="F4158" s="19" t="s">
        <v>40</v>
      </c>
      <c r="G4158" s="19" t="s">
        <v>126</v>
      </c>
      <c r="H4158" s="19" t="s">
        <v>59</v>
      </c>
      <c r="I4158" s="19" t="s">
        <v>114</v>
      </c>
      <c r="J4158" s="20">
        <v>48</v>
      </c>
      <c r="K4158" s="34">
        <v>1</v>
      </c>
      <c r="L4158" s="34">
        <v>2</v>
      </c>
      <c r="M4158" s="19">
        <f>IF(OR(ISBLANK(C4158),C4158=""),"",ROUND((C4158-B4158)*24,2))</f>
        <v>51.8</v>
      </c>
      <c r="N4158" s="39" t="str">
        <f>IF(OR(ISBLANK(C4158),C4158="",M4158=""),"In Progress",IF(M4158&lt;=J4158,"Met","Breached"))</f>
        <v>Breached</v>
      </c>
    </row>
    <row r="4159" ht="19" customHeight="1" spans="1:14" x14ac:dyDescent="0.25">
      <c r="A4159" s="22" t="s">
        <v>4273</v>
      </c>
      <c r="B4159" s="36">
        <v>46281.11041666666</v>
      </c>
      <c r="C4159" s="36">
        <v>46281.450694444444</v>
      </c>
      <c r="D4159" s="22" t="s">
        <v>33</v>
      </c>
      <c r="E4159" s="22" t="s">
        <v>61</v>
      </c>
      <c r="F4159" s="22" t="s">
        <v>37</v>
      </c>
      <c r="G4159" s="22" t="s">
        <v>110</v>
      </c>
      <c r="H4159" s="22" t="s">
        <v>59</v>
      </c>
      <c r="I4159" s="22" t="s">
        <v>147</v>
      </c>
      <c r="J4159" s="23">
        <v>12</v>
      </c>
      <c r="K4159" s="37">
        <v>0</v>
      </c>
      <c r="M4159" s="22">
        <f>IF(OR(ISBLANK(C4159),C4159=""),"",ROUND((C4159-B4159)*24,2))</f>
        <v>8.17</v>
      </c>
      <c r="N4159" s="40" t="str">
        <f>IF(OR(ISBLANK(C4159),C4159="",M4159=""),"In Progress",IF(M4159&lt;=J4159,"Met","Breached"))</f>
        <v>Met</v>
      </c>
    </row>
    <row r="4160" ht="19" customHeight="1" spans="1:14" x14ac:dyDescent="0.25">
      <c r="A4160" s="19" t="s">
        <v>4274</v>
      </c>
      <c r="B4160" s="33">
        <v>45988.09930555556</v>
      </c>
      <c r="C4160" s="33">
        <v>45988.367361111115</v>
      </c>
      <c r="D4160" s="19" t="s">
        <v>33</v>
      </c>
      <c r="E4160" s="19" t="s">
        <v>61</v>
      </c>
      <c r="F4160" s="19" t="s">
        <v>34</v>
      </c>
      <c r="G4160" s="19" t="s">
        <v>63</v>
      </c>
      <c r="H4160" s="19" t="s">
        <v>63</v>
      </c>
      <c r="I4160" s="19" t="s">
        <v>117</v>
      </c>
      <c r="J4160" s="20">
        <v>12</v>
      </c>
      <c r="K4160" s="34">
        <v>0</v>
      </c>
      <c r="L4160" s="34">
        <v>3</v>
      </c>
      <c r="M4160" s="19">
        <f>IF(OR(ISBLANK(C4160),C4160=""),"",ROUND((C4160-B4160)*24,2))</f>
        <v>6.43</v>
      </c>
      <c r="N4160" s="35" t="str">
        <f>IF(OR(ISBLANK(C4160),C4160="",M4160=""),"In Progress",IF(M4160&lt;=J4160,"Met","Breached"))</f>
        <v>Met</v>
      </c>
    </row>
    <row r="4161" ht="19" customHeight="1" spans="1:14" x14ac:dyDescent="0.25">
      <c r="A4161" s="22" t="s">
        <v>4275</v>
      </c>
      <c r="B4161" s="36">
        <v>45827.18958333333</v>
      </c>
      <c r="C4161" s="36">
        <v>45828.69652777778</v>
      </c>
      <c r="D4161" s="22" t="s">
        <v>36</v>
      </c>
      <c r="E4161" s="22" t="s">
        <v>65</v>
      </c>
      <c r="F4161" s="22" t="s">
        <v>45</v>
      </c>
      <c r="G4161" s="22" t="s">
        <v>126</v>
      </c>
      <c r="H4161" s="22" t="s">
        <v>59</v>
      </c>
      <c r="I4161" s="22" t="s">
        <v>111</v>
      </c>
      <c r="J4161" s="23">
        <v>48</v>
      </c>
      <c r="K4161" s="37">
        <v>0</v>
      </c>
      <c r="L4161" s="37">
        <v>4</v>
      </c>
      <c r="M4161" s="22">
        <f>IF(OR(ISBLANK(C4161),C4161=""),"",ROUND((C4161-B4161)*24,2))</f>
        <v>36.17</v>
      </c>
      <c r="N4161" s="40" t="str">
        <f>IF(OR(ISBLANK(C4161),C4161="",M4161=""),"In Progress",IF(M4161&lt;=J4161,"Met","Breached"))</f>
        <v>Met</v>
      </c>
    </row>
    <row r="4162" ht="19" customHeight="1" spans="1:14" x14ac:dyDescent="0.25">
      <c r="A4162" s="19" t="s">
        <v>4276</v>
      </c>
      <c r="B4162" s="33">
        <v>46280.242361111115</v>
      </c>
      <c r="C4162" s="33">
        <v>46280.51111111111</v>
      </c>
      <c r="D4162" s="19" t="s">
        <v>36</v>
      </c>
      <c r="E4162" s="19" t="s">
        <v>61</v>
      </c>
      <c r="F4162" s="19" t="s">
        <v>34</v>
      </c>
      <c r="G4162" s="19" t="s">
        <v>116</v>
      </c>
      <c r="H4162" s="19" t="s">
        <v>59</v>
      </c>
      <c r="I4162" s="19" t="s">
        <v>108</v>
      </c>
      <c r="J4162" s="20">
        <v>12</v>
      </c>
      <c r="K4162" s="34">
        <v>0</v>
      </c>
      <c r="M4162" s="19">
        <f>IF(OR(ISBLANK(C4162),C4162=""),"",ROUND((C4162-B4162)*24,2))</f>
        <v>6.45</v>
      </c>
      <c r="N4162" s="35" t="str">
        <f>IF(OR(ISBLANK(C4162),C4162="",M4162=""),"In Progress",IF(M4162&lt;=J4162,"Met","Breached"))</f>
        <v>Met</v>
      </c>
    </row>
    <row r="4163" ht="19" customHeight="1" spans="1:14" x14ac:dyDescent="0.25">
      <c r="A4163" s="22" t="s">
        <v>4277</v>
      </c>
      <c r="B4163" s="36">
        <v>46091.81805555556</v>
      </c>
      <c r="C4163" s="36">
        <v>46094.03402777778</v>
      </c>
      <c r="D4163" s="22" t="s">
        <v>36</v>
      </c>
      <c r="E4163" s="22" t="s">
        <v>65</v>
      </c>
      <c r="F4163" s="22" t="s">
        <v>40</v>
      </c>
      <c r="G4163" s="22" t="s">
        <v>110</v>
      </c>
      <c r="H4163" s="22" t="s">
        <v>71</v>
      </c>
      <c r="I4163" s="22" t="s">
        <v>123</v>
      </c>
      <c r="J4163" s="23">
        <v>48</v>
      </c>
      <c r="K4163" s="37">
        <v>0</v>
      </c>
      <c r="L4163" s="37">
        <v>5</v>
      </c>
      <c r="M4163" s="22">
        <f>IF(OR(ISBLANK(C4163),C4163=""),"",ROUND((C4163-B4163)*24,2))</f>
        <v>53.18</v>
      </c>
      <c r="N4163" s="38" t="str">
        <f>IF(OR(ISBLANK(C4163),C4163="",M4163=""),"In Progress",IF(M4163&lt;=J4163,"Met","Breached"))</f>
        <v>Breached</v>
      </c>
    </row>
    <row r="4164" ht="19" customHeight="1" spans="1:14" x14ac:dyDescent="0.25">
      <c r="A4164" s="19" t="s">
        <v>4278</v>
      </c>
      <c r="B4164" s="33">
        <v>46058.64722222222</v>
      </c>
      <c r="C4164" s="33">
        <v>46058.95347222222</v>
      </c>
      <c r="D4164" s="19" t="s">
        <v>33</v>
      </c>
      <c r="E4164" s="19" t="s">
        <v>61</v>
      </c>
      <c r="F4164" s="19" t="s">
        <v>45</v>
      </c>
      <c r="G4164" s="19" t="s">
        <v>113</v>
      </c>
      <c r="H4164" s="19" t="s">
        <v>67</v>
      </c>
      <c r="I4164" s="19" t="s">
        <v>114</v>
      </c>
      <c r="J4164" s="20">
        <v>12</v>
      </c>
      <c r="K4164" s="34">
        <v>0</v>
      </c>
      <c r="M4164" s="19">
        <f>IF(OR(ISBLANK(C4164),C4164=""),"",ROUND((C4164-B4164)*24,2))</f>
        <v>7.35</v>
      </c>
      <c r="N4164" s="35" t="str">
        <f>IF(OR(ISBLANK(C4164),C4164="",M4164=""),"In Progress",IF(M4164&lt;=J4164,"Met","Breached"))</f>
        <v>Met</v>
      </c>
    </row>
    <row r="4165" ht="19" customHeight="1" spans="1:14" x14ac:dyDescent="0.25">
      <c r="A4165" s="22" t="s">
        <v>4279</v>
      </c>
      <c r="B4165" s="36">
        <v>46158.12777777778</v>
      </c>
      <c r="C4165" s="36">
        <v>46160.575694444444</v>
      </c>
      <c r="D4165" s="22" t="s">
        <v>33</v>
      </c>
      <c r="E4165" s="22" t="s">
        <v>69</v>
      </c>
      <c r="F4165" s="22" t="s">
        <v>40</v>
      </c>
      <c r="G4165" s="22" t="s">
        <v>126</v>
      </c>
      <c r="H4165" s="22" t="s">
        <v>63</v>
      </c>
      <c r="I4165" s="22" t="s">
        <v>123</v>
      </c>
      <c r="J4165" s="23">
        <v>120</v>
      </c>
      <c r="K4165" s="37">
        <v>0</v>
      </c>
      <c r="L4165" s="37">
        <v>3</v>
      </c>
      <c r="M4165" s="22">
        <f>IF(OR(ISBLANK(C4165),C4165=""),"",ROUND((C4165-B4165)*24,2))</f>
        <v>58.75</v>
      </c>
      <c r="N4165" s="40" t="str">
        <f>IF(OR(ISBLANK(C4165),C4165="",M4165=""),"In Progress",IF(M4165&lt;=J4165,"Met","Breached"))</f>
        <v>Met</v>
      </c>
    </row>
    <row r="4166" ht="19" customHeight="1" spans="1:14" x14ac:dyDescent="0.25">
      <c r="A4166" s="19" t="s">
        <v>4280</v>
      </c>
      <c r="B4166" s="33">
        <v>46118.788194444445</v>
      </c>
      <c r="C4166" s="33">
        <v>46121.367361111115</v>
      </c>
      <c r="D4166" s="19" t="s">
        <v>33</v>
      </c>
      <c r="E4166" s="19" t="s">
        <v>65</v>
      </c>
      <c r="F4166" s="19" t="s">
        <v>45</v>
      </c>
      <c r="G4166" s="19" t="s">
        <v>116</v>
      </c>
      <c r="H4166" s="19" t="s">
        <v>59</v>
      </c>
      <c r="I4166" s="19" t="s">
        <v>123</v>
      </c>
      <c r="J4166" s="20">
        <v>48</v>
      </c>
      <c r="K4166" s="34">
        <v>0</v>
      </c>
      <c r="L4166" s="34">
        <v>3</v>
      </c>
      <c r="M4166" s="19">
        <f>IF(OR(ISBLANK(C4166),C4166=""),"",ROUND((C4166-B4166)*24,2))</f>
        <v>61.9</v>
      </c>
      <c r="N4166" s="39" t="str">
        <f>IF(OR(ISBLANK(C4166),C4166="",M4166=""),"In Progress",IF(M4166&lt;=J4166,"Met","Breached"))</f>
        <v>Breached</v>
      </c>
    </row>
    <row r="4167" ht="19" customHeight="1" spans="1:14" x14ac:dyDescent="0.25">
      <c r="A4167" s="22" t="s">
        <v>4281</v>
      </c>
      <c r="B4167" s="36">
        <v>45721.646527777775</v>
      </c>
      <c r="C4167" s="36">
        <v>45723.11388888889</v>
      </c>
      <c r="D4167" s="22" t="s">
        <v>33</v>
      </c>
      <c r="E4167" s="22" t="s">
        <v>65</v>
      </c>
      <c r="F4167" s="22" t="s">
        <v>40</v>
      </c>
      <c r="G4167" s="22" t="s">
        <v>126</v>
      </c>
      <c r="H4167" s="22" t="s">
        <v>71</v>
      </c>
      <c r="I4167" s="22" t="s">
        <v>117</v>
      </c>
      <c r="J4167" s="23">
        <v>48</v>
      </c>
      <c r="K4167" s="37">
        <v>0</v>
      </c>
      <c r="L4167" s="37">
        <v>5</v>
      </c>
      <c r="M4167" s="22">
        <f>IF(OR(ISBLANK(C4167),C4167=""),"",ROUND((C4167-B4167)*24,2))</f>
        <v>35.22</v>
      </c>
      <c r="N4167" s="40" t="str">
        <f>IF(OR(ISBLANK(C4167),C4167="",M4167=""),"In Progress",IF(M4167&lt;=J4167,"Met","Breached"))</f>
        <v>Met</v>
      </c>
    </row>
    <row r="4168" ht="19" customHeight="1" spans="1:14" x14ac:dyDescent="0.25">
      <c r="A4168" s="19" t="s">
        <v>4282</v>
      </c>
      <c r="B4168" s="33">
        <v>46188.75208333333</v>
      </c>
      <c r="D4168" s="19" t="s">
        <v>39</v>
      </c>
      <c r="E4168" s="19" t="s">
        <v>65</v>
      </c>
      <c r="F4168" s="19" t="s">
        <v>43</v>
      </c>
      <c r="G4168" s="19" t="s">
        <v>110</v>
      </c>
      <c r="H4168" s="19" t="s">
        <v>63</v>
      </c>
      <c r="I4168" s="19" t="s">
        <v>147</v>
      </c>
      <c r="J4168" s="20">
        <v>48</v>
      </c>
      <c r="K4168" s="34">
        <v>0</v>
      </c>
      <c r="M4168" s="19" t="str">
        <f>IF(OR(ISBLANK(C4168),C4168=""),"",ROUND((C4168-B4168)*24,2))</f>
        <v/>
      </c>
      <c r="N4168" s="19" t="str">
        <f>IF(OR(ISBLANK(C4168),C4168="",M4168=""),"In Progress",IF(M4168&lt;=J4168,"Met","Breached"))</f>
        <v>In Progress</v>
      </c>
    </row>
    <row r="4169" ht="19" customHeight="1" spans="1:14" x14ac:dyDescent="0.25">
      <c r="A4169" s="22" t="s">
        <v>4283</v>
      </c>
      <c r="B4169" s="36">
        <v>45825.34444444445</v>
      </c>
      <c r="C4169" s="36">
        <v>45831.62361111111</v>
      </c>
      <c r="D4169" s="22" t="s">
        <v>33</v>
      </c>
      <c r="E4169" s="22" t="s">
        <v>69</v>
      </c>
      <c r="F4169" s="22" t="s">
        <v>40</v>
      </c>
      <c r="G4169" s="22" t="s">
        <v>110</v>
      </c>
      <c r="H4169" s="22" t="s">
        <v>67</v>
      </c>
      <c r="I4169" s="22" t="s">
        <v>108</v>
      </c>
      <c r="J4169" s="23">
        <v>120</v>
      </c>
      <c r="K4169" s="37">
        <v>0</v>
      </c>
      <c r="L4169" s="37">
        <v>1</v>
      </c>
      <c r="M4169" s="22">
        <f>IF(OR(ISBLANK(C4169),C4169=""),"",ROUND((C4169-B4169)*24,2))</f>
        <v>150.7</v>
      </c>
      <c r="N4169" s="38" t="str">
        <f>IF(OR(ISBLANK(C4169),C4169="",M4169=""),"In Progress",IF(M4169&lt;=J4169,"Met","Breached"))</f>
        <v>Breached</v>
      </c>
    </row>
    <row r="4170" ht="19" customHeight="1" spans="1:14" x14ac:dyDescent="0.25">
      <c r="A4170" s="19" t="s">
        <v>4284</v>
      </c>
      <c r="B4170" s="33">
        <v>45986.97361111111</v>
      </c>
      <c r="D4170" s="19" t="s">
        <v>39</v>
      </c>
      <c r="E4170" s="19" t="s">
        <v>65</v>
      </c>
      <c r="F4170" s="19" t="s">
        <v>43</v>
      </c>
      <c r="G4170" s="19" t="s">
        <v>126</v>
      </c>
      <c r="H4170" s="19" t="s">
        <v>63</v>
      </c>
      <c r="I4170" s="19" t="s">
        <v>111</v>
      </c>
      <c r="J4170" s="20">
        <v>48</v>
      </c>
      <c r="K4170" s="34">
        <v>0</v>
      </c>
      <c r="M4170" s="19" t="str">
        <f>IF(OR(ISBLANK(C4170),C4170=""),"",ROUND((C4170-B4170)*24,2))</f>
        <v/>
      </c>
      <c r="N4170" s="19" t="str">
        <f>IF(OR(ISBLANK(C4170),C4170="",M4170=""),"In Progress",IF(M4170&lt;=J4170,"Met","Breached"))</f>
        <v>In Progress</v>
      </c>
    </row>
    <row r="4171" ht="19" customHeight="1" spans="1:14" x14ac:dyDescent="0.25">
      <c r="A4171" s="22" t="s">
        <v>4285</v>
      </c>
      <c r="B4171" s="36">
        <v>45732.95763888889</v>
      </c>
      <c r="C4171" s="36">
        <v>45733.78125</v>
      </c>
      <c r="D4171" s="22" t="s">
        <v>36</v>
      </c>
      <c r="E4171" s="22" t="s">
        <v>65</v>
      </c>
      <c r="F4171" s="22" t="s">
        <v>43</v>
      </c>
      <c r="G4171" s="22" t="s">
        <v>126</v>
      </c>
      <c r="H4171" s="22" t="s">
        <v>71</v>
      </c>
      <c r="I4171" s="22" t="s">
        <v>114</v>
      </c>
      <c r="J4171" s="23">
        <v>48</v>
      </c>
      <c r="K4171" s="37">
        <v>0</v>
      </c>
      <c r="L4171" s="37">
        <v>5</v>
      </c>
      <c r="M4171" s="22">
        <f>IF(OR(ISBLANK(C4171),C4171=""),"",ROUND((C4171-B4171)*24,2))</f>
        <v>19.77</v>
      </c>
      <c r="N4171" s="40" t="str">
        <f>IF(OR(ISBLANK(C4171),C4171="",M4171=""),"In Progress",IF(M4171&lt;=J4171,"Met","Breached"))</f>
        <v>Met</v>
      </c>
    </row>
    <row r="4172" ht="19" customHeight="1" spans="1:14" x14ac:dyDescent="0.25">
      <c r="A4172" s="19" t="s">
        <v>4286</v>
      </c>
      <c r="B4172" s="33">
        <v>45880.89166666666</v>
      </c>
      <c r="C4172" s="33">
        <v>45881.006944444445</v>
      </c>
      <c r="D4172" s="19" t="s">
        <v>33</v>
      </c>
      <c r="E4172" s="19" t="s">
        <v>57</v>
      </c>
      <c r="F4172" s="19" t="s">
        <v>37</v>
      </c>
      <c r="G4172" s="19" t="s">
        <v>126</v>
      </c>
      <c r="H4172" s="19" t="s">
        <v>67</v>
      </c>
      <c r="I4172" s="19" t="s">
        <v>147</v>
      </c>
      <c r="J4172" s="20">
        <v>4</v>
      </c>
      <c r="K4172" s="34">
        <v>0</v>
      </c>
      <c r="L4172" s="34">
        <v>3</v>
      </c>
      <c r="M4172" s="19">
        <f>IF(OR(ISBLANK(C4172),C4172=""),"",ROUND((C4172-B4172)*24,2))</f>
        <v>2.77</v>
      </c>
      <c r="N4172" s="35" t="str">
        <f>IF(OR(ISBLANK(C4172),C4172="",M4172=""),"In Progress",IF(M4172&lt;=J4172,"Met","Breached"))</f>
        <v>Met</v>
      </c>
    </row>
    <row r="4173" ht="19" customHeight="1" spans="1:14" x14ac:dyDescent="0.25">
      <c r="A4173" s="22" t="s">
        <v>4287</v>
      </c>
      <c r="B4173" s="36">
        <v>46036.77847222222</v>
      </c>
      <c r="C4173" s="36">
        <v>46043.73819444445</v>
      </c>
      <c r="D4173" s="22" t="s">
        <v>36</v>
      </c>
      <c r="E4173" s="22" t="s">
        <v>69</v>
      </c>
      <c r="F4173" s="22" t="s">
        <v>37</v>
      </c>
      <c r="G4173" s="22" t="s">
        <v>121</v>
      </c>
      <c r="H4173" s="22" t="s">
        <v>63</v>
      </c>
      <c r="I4173" s="22" t="s">
        <v>117</v>
      </c>
      <c r="J4173" s="23">
        <v>120</v>
      </c>
      <c r="K4173" s="37">
        <v>0</v>
      </c>
      <c r="M4173" s="22">
        <f>IF(OR(ISBLANK(C4173),C4173=""),"",ROUND((C4173-B4173)*24,2))</f>
        <v>167.03</v>
      </c>
      <c r="N4173" s="38" t="str">
        <f>IF(OR(ISBLANK(C4173),C4173="",M4173=""),"In Progress",IF(M4173&lt;=J4173,"Met","Breached"))</f>
        <v>Breached</v>
      </c>
    </row>
    <row r="4174" ht="19" customHeight="1" spans="1:14" x14ac:dyDescent="0.25">
      <c r="A4174" s="19" t="s">
        <v>4288</v>
      </c>
      <c r="B4174" s="33">
        <v>45883.68611111111</v>
      </c>
      <c r="C4174" s="33">
        <v>45884.17569444445</v>
      </c>
      <c r="D4174" s="19" t="s">
        <v>33</v>
      </c>
      <c r="E4174" s="19" t="s">
        <v>61</v>
      </c>
      <c r="F4174" s="19" t="s">
        <v>43</v>
      </c>
      <c r="G4174" s="19" t="s">
        <v>113</v>
      </c>
      <c r="H4174" s="19" t="s">
        <v>59</v>
      </c>
      <c r="I4174" s="19" t="s">
        <v>147</v>
      </c>
      <c r="J4174" s="20">
        <v>12</v>
      </c>
      <c r="K4174" s="34">
        <v>0</v>
      </c>
      <c r="L4174" s="34">
        <v>1</v>
      </c>
      <c r="M4174" s="19">
        <f>IF(OR(ISBLANK(C4174),C4174=""),"",ROUND((C4174-B4174)*24,2))</f>
        <v>11.75</v>
      </c>
      <c r="N4174" s="35" t="str">
        <f>IF(OR(ISBLANK(C4174),C4174="",M4174=""),"In Progress",IF(M4174&lt;=J4174,"Met","Breached"))</f>
        <v>Met</v>
      </c>
    </row>
    <row r="4175" ht="19" customHeight="1" spans="1:14" x14ac:dyDescent="0.25">
      <c r="A4175" s="22" t="s">
        <v>4289</v>
      </c>
      <c r="B4175" s="36">
        <v>45787.26180555555</v>
      </c>
      <c r="C4175" s="36">
        <v>45789.62222222222</v>
      </c>
      <c r="D4175" s="22" t="s">
        <v>36</v>
      </c>
      <c r="E4175" s="22" t="s">
        <v>65</v>
      </c>
      <c r="F4175" s="22" t="s">
        <v>34</v>
      </c>
      <c r="G4175" s="22" t="s">
        <v>121</v>
      </c>
      <c r="H4175" s="22" t="s">
        <v>63</v>
      </c>
      <c r="I4175" s="22" t="s">
        <v>147</v>
      </c>
      <c r="J4175" s="23">
        <v>48</v>
      </c>
      <c r="K4175" s="37">
        <v>0</v>
      </c>
      <c r="L4175" s="37">
        <v>3</v>
      </c>
      <c r="M4175" s="22">
        <f>IF(OR(ISBLANK(C4175),C4175=""),"",ROUND((C4175-B4175)*24,2))</f>
        <v>56.65</v>
      </c>
      <c r="N4175" s="38" t="str">
        <f>IF(OR(ISBLANK(C4175),C4175="",M4175=""),"In Progress",IF(M4175&lt;=J4175,"Met","Breached"))</f>
        <v>Breached</v>
      </c>
    </row>
    <row r="4176" ht="19" customHeight="1" spans="1:14" x14ac:dyDescent="0.25">
      <c r="A4176" s="19" t="s">
        <v>4290</v>
      </c>
      <c r="B4176" s="33">
        <v>45954.35625</v>
      </c>
      <c r="D4176" s="19" t="s">
        <v>39</v>
      </c>
      <c r="E4176" s="19" t="s">
        <v>65</v>
      </c>
      <c r="F4176" s="19" t="s">
        <v>43</v>
      </c>
      <c r="G4176" s="19" t="s">
        <v>116</v>
      </c>
      <c r="H4176" s="19" t="s">
        <v>59</v>
      </c>
      <c r="I4176" s="19" t="s">
        <v>114</v>
      </c>
      <c r="J4176" s="20">
        <v>48</v>
      </c>
      <c r="K4176" s="34">
        <v>0</v>
      </c>
      <c r="M4176" s="19" t="str">
        <f>IF(OR(ISBLANK(C4176),C4176=""),"",ROUND((C4176-B4176)*24,2))</f>
        <v/>
      </c>
      <c r="N4176" s="19" t="str">
        <f>IF(OR(ISBLANK(C4176),C4176="",M4176=""),"In Progress",IF(M4176&lt;=J4176,"Met","Breached"))</f>
        <v>In Progress</v>
      </c>
    </row>
    <row r="4177" ht="19" customHeight="1" spans="1:14" x14ac:dyDescent="0.25">
      <c r="A4177" s="22" t="s">
        <v>4291</v>
      </c>
      <c r="B4177" s="36">
        <v>45933.57430555555</v>
      </c>
      <c r="C4177" s="36">
        <v>45936.70625</v>
      </c>
      <c r="D4177" s="22" t="s">
        <v>33</v>
      </c>
      <c r="E4177" s="22" t="s">
        <v>65</v>
      </c>
      <c r="F4177" s="22" t="s">
        <v>37</v>
      </c>
      <c r="G4177" s="22" t="s">
        <v>121</v>
      </c>
      <c r="H4177" s="22" t="s">
        <v>67</v>
      </c>
      <c r="I4177" s="22" t="s">
        <v>111</v>
      </c>
      <c r="J4177" s="23">
        <v>48</v>
      </c>
      <c r="K4177" s="37">
        <v>0</v>
      </c>
      <c r="L4177" s="37">
        <v>3</v>
      </c>
      <c r="M4177" s="22">
        <f>IF(OR(ISBLANK(C4177),C4177=""),"",ROUND((C4177-B4177)*24,2))</f>
        <v>75.17</v>
      </c>
      <c r="N4177" s="38" t="str">
        <f>IF(OR(ISBLANK(C4177),C4177="",M4177=""),"In Progress",IF(M4177&lt;=J4177,"Met","Breached"))</f>
        <v>Breached</v>
      </c>
    </row>
    <row r="4178" ht="19" customHeight="1" spans="1:14" x14ac:dyDescent="0.25">
      <c r="A4178" s="19" t="s">
        <v>4292</v>
      </c>
      <c r="B4178" s="33">
        <v>46063.899305555555</v>
      </c>
      <c r="C4178" s="33">
        <v>46063.96388888889</v>
      </c>
      <c r="D4178" s="19" t="s">
        <v>33</v>
      </c>
      <c r="E4178" s="19" t="s">
        <v>57</v>
      </c>
      <c r="F4178" s="19" t="s">
        <v>40</v>
      </c>
      <c r="G4178" s="19" t="s">
        <v>121</v>
      </c>
      <c r="H4178" s="19" t="s">
        <v>59</v>
      </c>
      <c r="I4178" s="19" t="s">
        <v>111</v>
      </c>
      <c r="J4178" s="20">
        <v>4</v>
      </c>
      <c r="K4178" s="34">
        <v>0</v>
      </c>
      <c r="M4178" s="19">
        <f>IF(OR(ISBLANK(C4178),C4178=""),"",ROUND((C4178-B4178)*24,2))</f>
        <v>1.55</v>
      </c>
      <c r="N4178" s="35" t="str">
        <f>IF(OR(ISBLANK(C4178),C4178="",M4178=""),"In Progress",IF(M4178&lt;=J4178,"Met","Breached"))</f>
        <v>Met</v>
      </c>
    </row>
    <row r="4179" ht="19" customHeight="1" spans="1:14" x14ac:dyDescent="0.25">
      <c r="A4179" s="22" t="s">
        <v>4293</v>
      </c>
      <c r="B4179" s="36">
        <v>45935.23472222222</v>
      </c>
      <c r="D4179" s="22" t="s">
        <v>39</v>
      </c>
      <c r="E4179" s="22" t="s">
        <v>65</v>
      </c>
      <c r="F4179" s="22" t="s">
        <v>37</v>
      </c>
      <c r="G4179" s="22" t="s">
        <v>113</v>
      </c>
      <c r="H4179" s="22" t="s">
        <v>59</v>
      </c>
      <c r="I4179" s="22" t="s">
        <v>111</v>
      </c>
      <c r="J4179" s="23">
        <v>48</v>
      </c>
      <c r="K4179" s="37">
        <v>0</v>
      </c>
      <c r="M4179" s="22" t="str">
        <f>IF(OR(ISBLANK(C4179),C4179=""),"",ROUND((C4179-B4179)*24,2))</f>
        <v/>
      </c>
      <c r="N4179" s="22" t="str">
        <f>IF(OR(ISBLANK(C4179),C4179="",M4179=""),"In Progress",IF(M4179&lt;=J4179,"Met","Breached"))</f>
        <v>In Progress</v>
      </c>
    </row>
    <row r="4180" ht="19" customHeight="1" spans="1:14" x14ac:dyDescent="0.25">
      <c r="A4180" s="19" t="s">
        <v>4294</v>
      </c>
      <c r="B4180" s="33">
        <v>45945.90972222222</v>
      </c>
      <c r="C4180" s="33">
        <v>45946.09930555556</v>
      </c>
      <c r="D4180" s="19" t="s">
        <v>33</v>
      </c>
      <c r="E4180" s="19" t="s">
        <v>61</v>
      </c>
      <c r="F4180" s="19" t="s">
        <v>34</v>
      </c>
      <c r="G4180" s="19" t="s">
        <v>110</v>
      </c>
      <c r="H4180" s="19" t="s">
        <v>59</v>
      </c>
      <c r="I4180" s="19" t="s">
        <v>123</v>
      </c>
      <c r="J4180" s="20">
        <v>12</v>
      </c>
      <c r="K4180" s="34">
        <v>0</v>
      </c>
      <c r="L4180" s="34">
        <v>1</v>
      </c>
      <c r="M4180" s="19">
        <f>IF(OR(ISBLANK(C4180),C4180=""),"",ROUND((C4180-B4180)*24,2))</f>
        <v>4.55</v>
      </c>
      <c r="N4180" s="35" t="str">
        <f>IF(OR(ISBLANK(C4180),C4180="",M4180=""),"In Progress",IF(M4180&lt;=J4180,"Met","Breached"))</f>
        <v>Met</v>
      </c>
    </row>
    <row r="4181" ht="19" customHeight="1" spans="1:14" x14ac:dyDescent="0.25">
      <c r="A4181" s="22" t="s">
        <v>4295</v>
      </c>
      <c r="B4181" s="36">
        <v>46239.65</v>
      </c>
      <c r="C4181" s="36">
        <v>46242.84583333333</v>
      </c>
      <c r="D4181" s="22" t="s">
        <v>33</v>
      </c>
      <c r="E4181" s="22" t="s">
        <v>65</v>
      </c>
      <c r="F4181" s="22" t="s">
        <v>40</v>
      </c>
      <c r="G4181" s="22" t="s">
        <v>110</v>
      </c>
      <c r="H4181" s="22" t="s">
        <v>59</v>
      </c>
      <c r="I4181" s="22" t="s">
        <v>117</v>
      </c>
      <c r="J4181" s="23">
        <v>48</v>
      </c>
      <c r="K4181" s="37">
        <v>0</v>
      </c>
      <c r="M4181" s="22">
        <f>IF(OR(ISBLANK(C4181),C4181=""),"",ROUND((C4181-B4181)*24,2))</f>
        <v>76.7</v>
      </c>
      <c r="N4181" s="38" t="str">
        <f>IF(OR(ISBLANK(C4181),C4181="",M4181=""),"In Progress",IF(M4181&lt;=J4181,"Met","Breached"))</f>
        <v>Breached</v>
      </c>
    </row>
    <row r="4182" ht="19" customHeight="1" spans="1:14" x14ac:dyDescent="0.25">
      <c r="A4182" s="19" t="s">
        <v>4296</v>
      </c>
      <c r="B4182" s="33">
        <v>45973.46527777778</v>
      </c>
      <c r="C4182" s="33">
        <v>45977.10625</v>
      </c>
      <c r="D4182" s="19" t="s">
        <v>36</v>
      </c>
      <c r="E4182" s="19" t="s">
        <v>69</v>
      </c>
      <c r="F4182" s="19" t="s">
        <v>45</v>
      </c>
      <c r="G4182" s="19" t="s">
        <v>126</v>
      </c>
      <c r="H4182" s="19" t="s">
        <v>63</v>
      </c>
      <c r="I4182" s="19" t="s">
        <v>117</v>
      </c>
      <c r="J4182" s="20">
        <v>120</v>
      </c>
      <c r="K4182" s="34">
        <v>0</v>
      </c>
      <c r="L4182" s="34">
        <v>4</v>
      </c>
      <c r="M4182" s="19">
        <f>IF(OR(ISBLANK(C4182),C4182=""),"",ROUND((C4182-B4182)*24,2))</f>
        <v>87.38</v>
      </c>
      <c r="N4182" s="35" t="str">
        <f>IF(OR(ISBLANK(C4182),C4182="",M4182=""),"In Progress",IF(M4182&lt;=J4182,"Met","Breached"))</f>
        <v>Met</v>
      </c>
    </row>
    <row r="4183" ht="19" customHeight="1" spans="1:14" x14ac:dyDescent="0.25">
      <c r="A4183" s="22" t="s">
        <v>4297</v>
      </c>
      <c r="B4183" s="36">
        <v>45658.96319444444</v>
      </c>
      <c r="C4183" s="36">
        <v>45659.32430555555</v>
      </c>
      <c r="D4183" s="22" t="s">
        <v>33</v>
      </c>
      <c r="E4183" s="22" t="s">
        <v>61</v>
      </c>
      <c r="F4183" s="22" t="s">
        <v>37</v>
      </c>
      <c r="G4183" s="22" t="s">
        <v>63</v>
      </c>
      <c r="H4183" s="22" t="s">
        <v>63</v>
      </c>
      <c r="I4183" s="22" t="s">
        <v>111</v>
      </c>
      <c r="J4183" s="23">
        <v>12</v>
      </c>
      <c r="K4183" s="37">
        <v>0</v>
      </c>
      <c r="L4183" s="37">
        <v>1</v>
      </c>
      <c r="M4183" s="22">
        <f>IF(OR(ISBLANK(C4183),C4183=""),"",ROUND((C4183-B4183)*24,2))</f>
        <v>8.67</v>
      </c>
      <c r="N4183" s="40" t="str">
        <f>IF(OR(ISBLANK(C4183),C4183="",M4183=""),"In Progress",IF(M4183&lt;=J4183,"Met","Breached"))</f>
        <v>Met</v>
      </c>
    </row>
    <row r="4184" ht="19" customHeight="1" spans="1:14" x14ac:dyDescent="0.25">
      <c r="A4184" s="19" t="s">
        <v>4298</v>
      </c>
      <c r="B4184" s="33">
        <v>46206.257638888885</v>
      </c>
      <c r="C4184" s="33">
        <v>46208.48472222222</v>
      </c>
      <c r="D4184" s="19" t="s">
        <v>36</v>
      </c>
      <c r="E4184" s="19" t="s">
        <v>69</v>
      </c>
      <c r="F4184" s="19" t="s">
        <v>40</v>
      </c>
      <c r="G4184" s="19" t="s">
        <v>126</v>
      </c>
      <c r="H4184" s="19" t="s">
        <v>59</v>
      </c>
      <c r="I4184" s="19" t="s">
        <v>123</v>
      </c>
      <c r="J4184" s="20">
        <v>120</v>
      </c>
      <c r="K4184" s="34">
        <v>0</v>
      </c>
      <c r="L4184" s="34">
        <v>5</v>
      </c>
      <c r="M4184" s="19">
        <f>IF(OR(ISBLANK(C4184),C4184=""),"",ROUND((C4184-B4184)*24,2))</f>
        <v>53.45</v>
      </c>
      <c r="N4184" s="35" t="str">
        <f>IF(OR(ISBLANK(C4184),C4184="",M4184=""),"In Progress",IF(M4184&lt;=J4184,"Met","Breached"))</f>
        <v>Met</v>
      </c>
    </row>
    <row r="4185" ht="19" customHeight="1" spans="1:14" x14ac:dyDescent="0.25">
      <c r="A4185" s="22" t="s">
        <v>4299</v>
      </c>
      <c r="B4185" s="36">
        <v>46157.03263888889</v>
      </c>
      <c r="C4185" s="36">
        <v>46157.31736111111</v>
      </c>
      <c r="D4185" s="22" t="s">
        <v>36</v>
      </c>
      <c r="E4185" s="22" t="s">
        <v>57</v>
      </c>
      <c r="F4185" s="22" t="s">
        <v>43</v>
      </c>
      <c r="G4185" s="22" t="s">
        <v>113</v>
      </c>
      <c r="H4185" s="22" t="s">
        <v>63</v>
      </c>
      <c r="I4185" s="22" t="s">
        <v>111</v>
      </c>
      <c r="J4185" s="23">
        <v>4</v>
      </c>
      <c r="K4185" s="37">
        <v>0</v>
      </c>
      <c r="L4185" s="37">
        <v>3</v>
      </c>
      <c r="M4185" s="22">
        <f>IF(OR(ISBLANK(C4185),C4185=""),"",ROUND((C4185-B4185)*24,2))</f>
        <v>6.83</v>
      </c>
      <c r="N4185" s="38" t="str">
        <f>IF(OR(ISBLANK(C4185),C4185="",M4185=""),"In Progress",IF(M4185&lt;=J4185,"Met","Breached"))</f>
        <v>Breached</v>
      </c>
    </row>
    <row r="4186" ht="19" customHeight="1" spans="1:14" x14ac:dyDescent="0.25">
      <c r="A4186" s="19" t="s">
        <v>4300</v>
      </c>
      <c r="B4186" s="33">
        <v>46282.72013888889</v>
      </c>
      <c r="C4186" s="33">
        <v>46290.2125</v>
      </c>
      <c r="D4186" s="19" t="s">
        <v>33</v>
      </c>
      <c r="E4186" s="19" t="s">
        <v>69</v>
      </c>
      <c r="F4186" s="19" t="s">
        <v>34</v>
      </c>
      <c r="G4186" s="19" t="s">
        <v>121</v>
      </c>
      <c r="H4186" s="19" t="s">
        <v>67</v>
      </c>
      <c r="I4186" s="19" t="s">
        <v>123</v>
      </c>
      <c r="J4186" s="20">
        <v>120</v>
      </c>
      <c r="K4186" s="34">
        <v>0</v>
      </c>
      <c r="L4186" s="34">
        <v>3</v>
      </c>
      <c r="M4186" s="19">
        <f>IF(OR(ISBLANK(C4186),C4186=""),"",ROUND((C4186-B4186)*24,2))</f>
        <v>179.82</v>
      </c>
      <c r="N4186" s="39" t="str">
        <f>IF(OR(ISBLANK(C4186),C4186="",M4186=""),"In Progress",IF(M4186&lt;=J4186,"Met","Breached"))</f>
        <v>Breached</v>
      </c>
    </row>
    <row r="4187" ht="19" customHeight="1" spans="1:14" x14ac:dyDescent="0.25">
      <c r="A4187" s="22" t="s">
        <v>4301</v>
      </c>
      <c r="B4187" s="36">
        <v>46196.16736111111</v>
      </c>
      <c r="C4187" s="36">
        <v>46196.93194444444</v>
      </c>
      <c r="D4187" s="22" t="s">
        <v>33</v>
      </c>
      <c r="E4187" s="22" t="s">
        <v>61</v>
      </c>
      <c r="F4187" s="22" t="s">
        <v>45</v>
      </c>
      <c r="G4187" s="22" t="s">
        <v>113</v>
      </c>
      <c r="H4187" s="22" t="s">
        <v>59</v>
      </c>
      <c r="I4187" s="22" t="s">
        <v>114</v>
      </c>
      <c r="J4187" s="23">
        <v>12</v>
      </c>
      <c r="K4187" s="37">
        <v>0</v>
      </c>
      <c r="M4187" s="22">
        <f>IF(OR(ISBLANK(C4187),C4187=""),"",ROUND((C4187-B4187)*24,2))</f>
        <v>18.35</v>
      </c>
      <c r="N4187" s="38" t="str">
        <f>IF(OR(ISBLANK(C4187),C4187="",M4187=""),"In Progress",IF(M4187&lt;=J4187,"Met","Breached"))</f>
        <v>Breached</v>
      </c>
    </row>
    <row r="4188" ht="19" customHeight="1" spans="1:14" x14ac:dyDescent="0.25">
      <c r="A4188" s="19" t="s">
        <v>4302</v>
      </c>
      <c r="B4188" s="33">
        <v>46205.884722222225</v>
      </c>
      <c r="C4188" s="33">
        <v>46208.71875</v>
      </c>
      <c r="D4188" s="19" t="s">
        <v>33</v>
      </c>
      <c r="E4188" s="19" t="s">
        <v>65</v>
      </c>
      <c r="F4188" s="19" t="s">
        <v>40</v>
      </c>
      <c r="G4188" s="19" t="s">
        <v>121</v>
      </c>
      <c r="H4188" s="19" t="s">
        <v>59</v>
      </c>
      <c r="I4188" s="19" t="s">
        <v>117</v>
      </c>
      <c r="J4188" s="20">
        <v>48</v>
      </c>
      <c r="K4188" s="34">
        <v>0</v>
      </c>
      <c r="M4188" s="19">
        <f>IF(OR(ISBLANK(C4188),C4188=""),"",ROUND((C4188-B4188)*24,2))</f>
        <v>68.02</v>
      </c>
      <c r="N4188" s="39" t="str">
        <f>IF(OR(ISBLANK(C4188),C4188="",M4188=""),"In Progress",IF(M4188&lt;=J4188,"Met","Breached"))</f>
        <v>Breached</v>
      </c>
    </row>
    <row r="4189" ht="19" customHeight="1" spans="1:14" x14ac:dyDescent="0.25">
      <c r="A4189" s="22" t="s">
        <v>4303</v>
      </c>
      <c r="B4189" s="36">
        <v>45964.53611111111</v>
      </c>
      <c r="C4189" s="36">
        <v>45965.69097222222</v>
      </c>
      <c r="D4189" s="22" t="s">
        <v>33</v>
      </c>
      <c r="E4189" s="22" t="s">
        <v>65</v>
      </c>
      <c r="F4189" s="22" t="s">
        <v>34</v>
      </c>
      <c r="G4189" s="22" t="s">
        <v>116</v>
      </c>
      <c r="H4189" s="22" t="s">
        <v>59</v>
      </c>
      <c r="I4189" s="22" t="s">
        <v>114</v>
      </c>
      <c r="J4189" s="23">
        <v>48</v>
      </c>
      <c r="K4189" s="37">
        <v>0</v>
      </c>
      <c r="M4189" s="22">
        <f>IF(OR(ISBLANK(C4189),C4189=""),"",ROUND((C4189-B4189)*24,2))</f>
        <v>27.72</v>
      </c>
      <c r="N4189" s="40" t="str">
        <f>IF(OR(ISBLANK(C4189),C4189="",M4189=""),"In Progress",IF(M4189&lt;=J4189,"Met","Breached"))</f>
        <v>Met</v>
      </c>
    </row>
    <row r="4190" ht="19" customHeight="1" spans="1:14" x14ac:dyDescent="0.25">
      <c r="A4190" s="19" t="s">
        <v>4304</v>
      </c>
      <c r="B4190" s="33">
        <v>45936.60833333334</v>
      </c>
      <c r="C4190" s="33">
        <v>45937.71736111111</v>
      </c>
      <c r="D4190" s="19" t="s">
        <v>33</v>
      </c>
      <c r="E4190" s="19" t="s">
        <v>65</v>
      </c>
      <c r="F4190" s="19" t="s">
        <v>45</v>
      </c>
      <c r="G4190" s="19" t="s">
        <v>113</v>
      </c>
      <c r="H4190" s="19" t="s">
        <v>59</v>
      </c>
      <c r="I4190" s="19" t="s">
        <v>108</v>
      </c>
      <c r="J4190" s="20">
        <v>48</v>
      </c>
      <c r="K4190" s="34">
        <v>0</v>
      </c>
      <c r="M4190" s="19">
        <f>IF(OR(ISBLANK(C4190),C4190=""),"",ROUND((C4190-B4190)*24,2))</f>
        <v>26.62</v>
      </c>
      <c r="N4190" s="35" t="str">
        <f>IF(OR(ISBLANK(C4190),C4190="",M4190=""),"In Progress",IF(M4190&lt;=J4190,"Met","Breached"))</f>
        <v>Met</v>
      </c>
    </row>
    <row r="4191" ht="19" customHeight="1" spans="1:14" x14ac:dyDescent="0.25">
      <c r="A4191" s="22" t="s">
        <v>4305</v>
      </c>
      <c r="B4191" s="36">
        <v>45749.88541666667</v>
      </c>
      <c r="D4191" s="22" t="s">
        <v>42</v>
      </c>
      <c r="E4191" s="22" t="s">
        <v>61</v>
      </c>
      <c r="F4191" s="22" t="s">
        <v>43</v>
      </c>
      <c r="G4191" s="22" t="s">
        <v>121</v>
      </c>
      <c r="H4191" s="22" t="s">
        <v>67</v>
      </c>
      <c r="I4191" s="22" t="s">
        <v>117</v>
      </c>
      <c r="J4191" s="23">
        <v>12</v>
      </c>
      <c r="K4191" s="37">
        <v>0</v>
      </c>
      <c r="M4191" s="22" t="str">
        <f>IF(OR(ISBLANK(C4191),C4191=""),"",ROUND((C4191-B4191)*24,2))</f>
        <v/>
      </c>
      <c r="N4191" s="22" t="str">
        <f>IF(OR(ISBLANK(C4191),C4191="",M4191=""),"In Progress",IF(M4191&lt;=J4191,"Met","Breached"))</f>
        <v>In Progress</v>
      </c>
    </row>
    <row r="4192" ht="19" customHeight="1" spans="1:14" x14ac:dyDescent="0.25">
      <c r="A4192" s="19" t="s">
        <v>4306</v>
      </c>
      <c r="B4192" s="33">
        <v>45776.91527777778</v>
      </c>
      <c r="C4192" s="33">
        <v>45778.50833333333</v>
      </c>
      <c r="D4192" s="19" t="s">
        <v>36</v>
      </c>
      <c r="E4192" s="19" t="s">
        <v>65</v>
      </c>
      <c r="F4192" s="19" t="s">
        <v>45</v>
      </c>
      <c r="G4192" s="19" t="s">
        <v>63</v>
      </c>
      <c r="H4192" s="19" t="s">
        <v>63</v>
      </c>
      <c r="I4192" s="19" t="s">
        <v>123</v>
      </c>
      <c r="J4192" s="20">
        <v>48</v>
      </c>
      <c r="K4192" s="34">
        <v>0</v>
      </c>
      <c r="L4192" s="34">
        <v>3</v>
      </c>
      <c r="M4192" s="19">
        <f>IF(OR(ISBLANK(C4192),C4192=""),"",ROUND((C4192-B4192)*24,2))</f>
        <v>38.23</v>
      </c>
      <c r="N4192" s="35" t="str">
        <f>IF(OR(ISBLANK(C4192),C4192="",M4192=""),"In Progress",IF(M4192&lt;=J4192,"Met","Breached"))</f>
        <v>Met</v>
      </c>
    </row>
    <row r="4193" ht="19" customHeight="1" spans="1:14" x14ac:dyDescent="0.25">
      <c r="A4193" s="22" t="s">
        <v>4307</v>
      </c>
      <c r="B4193" s="36">
        <v>46109.09097222222</v>
      </c>
      <c r="C4193" s="36">
        <v>46111.31805555556</v>
      </c>
      <c r="D4193" s="22" t="s">
        <v>36</v>
      </c>
      <c r="E4193" s="22" t="s">
        <v>65</v>
      </c>
      <c r="F4193" s="22" t="s">
        <v>37</v>
      </c>
      <c r="G4193" s="22" t="s">
        <v>126</v>
      </c>
      <c r="H4193" s="22" t="s">
        <v>71</v>
      </c>
      <c r="I4193" s="22" t="s">
        <v>114</v>
      </c>
      <c r="J4193" s="23">
        <v>48</v>
      </c>
      <c r="K4193" s="37">
        <v>0</v>
      </c>
      <c r="M4193" s="22">
        <f>IF(OR(ISBLANK(C4193),C4193=""),"",ROUND((C4193-B4193)*24,2))</f>
        <v>53.45</v>
      </c>
      <c r="N4193" s="38" t="str">
        <f>IF(OR(ISBLANK(C4193),C4193="",M4193=""),"In Progress",IF(M4193&lt;=J4193,"Met","Breached"))</f>
        <v>Breached</v>
      </c>
    </row>
    <row r="4194" ht="19" customHeight="1" spans="1:14" x14ac:dyDescent="0.25">
      <c r="A4194" s="19" t="s">
        <v>4308</v>
      </c>
      <c r="B4194" s="33">
        <v>46052.2625</v>
      </c>
      <c r="C4194" s="33">
        <v>46052.92708333333</v>
      </c>
      <c r="D4194" s="19" t="s">
        <v>33</v>
      </c>
      <c r="E4194" s="19" t="s">
        <v>61</v>
      </c>
      <c r="F4194" s="19" t="s">
        <v>45</v>
      </c>
      <c r="G4194" s="19" t="s">
        <v>121</v>
      </c>
      <c r="H4194" s="19" t="s">
        <v>59</v>
      </c>
      <c r="I4194" s="19" t="s">
        <v>108</v>
      </c>
      <c r="J4194" s="20">
        <v>12</v>
      </c>
      <c r="K4194" s="34">
        <v>0</v>
      </c>
      <c r="M4194" s="19">
        <f>IF(OR(ISBLANK(C4194),C4194=""),"",ROUND((C4194-B4194)*24,2))</f>
        <v>15.95</v>
      </c>
      <c r="N4194" s="39" t="str">
        <f>IF(OR(ISBLANK(C4194),C4194="",M4194=""),"In Progress",IF(M4194&lt;=J4194,"Met","Breached"))</f>
        <v>Breached</v>
      </c>
    </row>
    <row r="4195" ht="19" customHeight="1" spans="1:14" x14ac:dyDescent="0.25">
      <c r="A4195" s="22" t="s">
        <v>4309</v>
      </c>
      <c r="B4195" s="36">
        <v>46021.26041666667</v>
      </c>
      <c r="C4195" s="36">
        <v>46030.17569444445</v>
      </c>
      <c r="D4195" s="22" t="s">
        <v>33</v>
      </c>
      <c r="E4195" s="22" t="s">
        <v>69</v>
      </c>
      <c r="F4195" s="22" t="s">
        <v>37</v>
      </c>
      <c r="G4195" s="22" t="s">
        <v>110</v>
      </c>
      <c r="H4195" s="22" t="s">
        <v>59</v>
      </c>
      <c r="I4195" s="22" t="s">
        <v>147</v>
      </c>
      <c r="J4195" s="23">
        <v>120</v>
      </c>
      <c r="K4195" s="37">
        <v>0</v>
      </c>
      <c r="L4195" s="37">
        <v>5</v>
      </c>
      <c r="M4195" s="22">
        <f>IF(OR(ISBLANK(C4195),C4195=""),"",ROUND((C4195-B4195)*24,2))</f>
        <v>213.97</v>
      </c>
      <c r="N4195" s="38" t="str">
        <f>IF(OR(ISBLANK(C4195),C4195="",M4195=""),"In Progress",IF(M4195&lt;=J4195,"Met","Breached"))</f>
        <v>Breached</v>
      </c>
    </row>
    <row r="4196" ht="19" customHeight="1" spans="1:14" x14ac:dyDescent="0.25">
      <c r="A4196" s="19" t="s">
        <v>4310</v>
      </c>
      <c r="B4196" s="33">
        <v>45791.441666666666</v>
      </c>
      <c r="C4196" s="33">
        <v>45794.459027777775</v>
      </c>
      <c r="D4196" s="19" t="s">
        <v>33</v>
      </c>
      <c r="E4196" s="19" t="s">
        <v>65</v>
      </c>
      <c r="F4196" s="19" t="s">
        <v>40</v>
      </c>
      <c r="G4196" s="19" t="s">
        <v>116</v>
      </c>
      <c r="H4196" s="19" t="s">
        <v>63</v>
      </c>
      <c r="I4196" s="19" t="s">
        <v>108</v>
      </c>
      <c r="J4196" s="20">
        <v>48</v>
      </c>
      <c r="K4196" s="34">
        <v>0</v>
      </c>
      <c r="L4196" s="34">
        <v>1</v>
      </c>
      <c r="M4196" s="19">
        <f>IF(OR(ISBLANK(C4196),C4196=""),"",ROUND((C4196-B4196)*24,2))</f>
        <v>72.42</v>
      </c>
      <c r="N4196" s="39" t="str">
        <f>IF(OR(ISBLANK(C4196),C4196="",M4196=""),"In Progress",IF(M4196&lt;=J4196,"Met","Breached"))</f>
        <v>Breached</v>
      </c>
    </row>
    <row r="4197" ht="19" customHeight="1" spans="1:14" x14ac:dyDescent="0.25">
      <c r="A4197" s="22" t="s">
        <v>4311</v>
      </c>
      <c r="B4197" s="36">
        <v>45963.30208333333</v>
      </c>
      <c r="D4197" s="22" t="s">
        <v>39</v>
      </c>
      <c r="E4197" s="22" t="s">
        <v>65</v>
      </c>
      <c r="F4197" s="22" t="s">
        <v>40</v>
      </c>
      <c r="G4197" s="22" t="s">
        <v>113</v>
      </c>
      <c r="H4197" s="22" t="s">
        <v>59</v>
      </c>
      <c r="I4197" s="22" t="s">
        <v>123</v>
      </c>
      <c r="J4197" s="23">
        <v>48</v>
      </c>
      <c r="K4197" s="37">
        <v>0</v>
      </c>
      <c r="M4197" s="22" t="str">
        <f>IF(OR(ISBLANK(C4197),C4197=""),"",ROUND((C4197-B4197)*24,2))</f>
        <v/>
      </c>
      <c r="N4197" s="22" t="str">
        <f>IF(OR(ISBLANK(C4197),C4197="",M4197=""),"In Progress",IF(M4197&lt;=J4197,"Met","Breached"))</f>
        <v>In Progress</v>
      </c>
    </row>
    <row r="4198" ht="19" customHeight="1" spans="1:14" x14ac:dyDescent="0.25">
      <c r="A4198" s="19" t="s">
        <v>4312</v>
      </c>
      <c r="B4198" s="33">
        <v>46215.20416666666</v>
      </c>
      <c r="C4198" s="33">
        <v>46218.41875</v>
      </c>
      <c r="D4198" s="19" t="s">
        <v>33</v>
      </c>
      <c r="E4198" s="19" t="s">
        <v>65</v>
      </c>
      <c r="F4198" s="19" t="s">
        <v>34</v>
      </c>
      <c r="G4198" s="19" t="s">
        <v>113</v>
      </c>
      <c r="H4198" s="19" t="s">
        <v>59</v>
      </c>
      <c r="I4198" s="19" t="s">
        <v>108</v>
      </c>
      <c r="J4198" s="20">
        <v>48</v>
      </c>
      <c r="K4198" s="34">
        <v>0</v>
      </c>
      <c r="M4198" s="19">
        <f>IF(OR(ISBLANK(C4198),C4198=""),"",ROUND((C4198-B4198)*24,2))</f>
        <v>77.15</v>
      </c>
      <c r="N4198" s="39" t="str">
        <f>IF(OR(ISBLANK(C4198),C4198="",M4198=""),"In Progress",IF(M4198&lt;=J4198,"Met","Breached"))</f>
        <v>Breached</v>
      </c>
    </row>
    <row r="4199" ht="19" customHeight="1" spans="1:14" x14ac:dyDescent="0.25">
      <c r="A4199" s="22" t="s">
        <v>4313</v>
      </c>
      <c r="B4199" s="36">
        <v>45839.39444444445</v>
      </c>
      <c r="D4199" s="22" t="s">
        <v>42</v>
      </c>
      <c r="E4199" s="22" t="s">
        <v>65</v>
      </c>
      <c r="F4199" s="22" t="s">
        <v>34</v>
      </c>
      <c r="G4199" s="22" t="s">
        <v>63</v>
      </c>
      <c r="H4199" s="22" t="s">
        <v>71</v>
      </c>
      <c r="I4199" s="22" t="s">
        <v>114</v>
      </c>
      <c r="J4199" s="23">
        <v>48</v>
      </c>
      <c r="K4199" s="37">
        <v>0</v>
      </c>
      <c r="M4199" s="22" t="str">
        <f>IF(OR(ISBLANK(C4199),C4199=""),"",ROUND((C4199-B4199)*24,2))</f>
        <v/>
      </c>
      <c r="N4199" s="22" t="str">
        <f>IF(OR(ISBLANK(C4199),C4199="",M4199=""),"In Progress",IF(M4199&lt;=J4199,"Met","Breached"))</f>
        <v>In Progress</v>
      </c>
    </row>
    <row r="4200" ht="19" customHeight="1" spans="1:14" x14ac:dyDescent="0.25">
      <c r="A4200" s="19" t="s">
        <v>4314</v>
      </c>
      <c r="B4200" s="33">
        <v>45946.15347222222</v>
      </c>
      <c r="C4200" s="33">
        <v>45946.25347222222</v>
      </c>
      <c r="D4200" s="19" t="s">
        <v>33</v>
      </c>
      <c r="E4200" s="19" t="s">
        <v>57</v>
      </c>
      <c r="F4200" s="19" t="s">
        <v>40</v>
      </c>
      <c r="G4200" s="19" t="s">
        <v>110</v>
      </c>
      <c r="H4200" s="19" t="s">
        <v>59</v>
      </c>
      <c r="I4200" s="19" t="s">
        <v>114</v>
      </c>
      <c r="J4200" s="20">
        <v>4</v>
      </c>
      <c r="K4200" s="34">
        <v>0</v>
      </c>
      <c r="L4200" s="34">
        <v>3</v>
      </c>
      <c r="M4200" s="19">
        <f>IF(OR(ISBLANK(C4200),C4200=""),"",ROUND((C4200-B4200)*24,2))</f>
        <v>2.4</v>
      </c>
      <c r="N4200" s="35" t="str">
        <f>IF(OR(ISBLANK(C4200),C4200="",M4200=""),"In Progress",IF(M4200&lt;=J4200,"Met","Breached"))</f>
        <v>Met</v>
      </c>
    </row>
    <row r="4201" ht="19" customHeight="1" spans="1:14" x14ac:dyDescent="0.25">
      <c r="A4201" s="22" t="s">
        <v>4315</v>
      </c>
      <c r="B4201" s="36">
        <v>46241.88611111111</v>
      </c>
      <c r="D4201" s="22" t="s">
        <v>39</v>
      </c>
      <c r="E4201" s="22" t="s">
        <v>65</v>
      </c>
      <c r="F4201" s="22" t="s">
        <v>34</v>
      </c>
      <c r="G4201" s="22" t="s">
        <v>121</v>
      </c>
      <c r="H4201" s="22" t="s">
        <v>59</v>
      </c>
      <c r="I4201" s="22" t="s">
        <v>123</v>
      </c>
      <c r="J4201" s="23">
        <v>48</v>
      </c>
      <c r="K4201" s="37">
        <v>0</v>
      </c>
      <c r="M4201" s="22" t="str">
        <f>IF(OR(ISBLANK(C4201),C4201=""),"",ROUND((C4201-B4201)*24,2))</f>
        <v/>
      </c>
      <c r="N4201" s="22" t="str">
        <f>IF(OR(ISBLANK(C4201),C4201="",M4201=""),"In Progress",IF(M4201&lt;=J4201,"Met","Breached"))</f>
        <v>In Progress</v>
      </c>
    </row>
    <row r="4202" ht="19" customHeight="1" spans="1:14" x14ac:dyDescent="0.25">
      <c r="A4202" s="19" t="s">
        <v>4316</v>
      </c>
      <c r="B4202" s="33">
        <v>45743.97361111111</v>
      </c>
      <c r="D4202" s="19" t="s">
        <v>39</v>
      </c>
      <c r="E4202" s="19" t="s">
        <v>61</v>
      </c>
      <c r="F4202" s="19" t="s">
        <v>43</v>
      </c>
      <c r="G4202" s="19" t="s">
        <v>121</v>
      </c>
      <c r="H4202" s="19" t="s">
        <v>71</v>
      </c>
      <c r="I4202" s="19" t="s">
        <v>108</v>
      </c>
      <c r="J4202" s="20">
        <v>12</v>
      </c>
      <c r="K4202" s="34">
        <v>0</v>
      </c>
      <c r="M4202" s="19" t="str">
        <f>IF(OR(ISBLANK(C4202),C4202=""),"",ROUND((C4202-B4202)*24,2))</f>
        <v/>
      </c>
      <c r="N4202" s="19" t="str">
        <f>IF(OR(ISBLANK(C4202),C4202="",M4202=""),"In Progress",IF(M4202&lt;=J4202,"Met","Breached"))</f>
        <v>In Progress</v>
      </c>
    </row>
    <row r="4203" ht="19" customHeight="1" spans="1:14" x14ac:dyDescent="0.25">
      <c r="A4203" s="22" t="s">
        <v>4317</v>
      </c>
      <c r="B4203" s="36">
        <v>45871.65555555555</v>
      </c>
      <c r="C4203" s="36">
        <v>45874.425</v>
      </c>
      <c r="D4203" s="22" t="s">
        <v>33</v>
      </c>
      <c r="E4203" s="22" t="s">
        <v>69</v>
      </c>
      <c r="F4203" s="22" t="s">
        <v>40</v>
      </c>
      <c r="G4203" s="22" t="s">
        <v>121</v>
      </c>
      <c r="H4203" s="22" t="s">
        <v>59</v>
      </c>
      <c r="I4203" s="22" t="s">
        <v>111</v>
      </c>
      <c r="J4203" s="23">
        <v>120</v>
      </c>
      <c r="K4203" s="37">
        <v>0</v>
      </c>
      <c r="L4203" s="37">
        <v>3</v>
      </c>
      <c r="M4203" s="22">
        <f>IF(OR(ISBLANK(C4203),C4203=""),"",ROUND((C4203-B4203)*24,2))</f>
        <v>66.47</v>
      </c>
      <c r="N4203" s="40" t="str">
        <f>IF(OR(ISBLANK(C4203),C4203="",M4203=""),"In Progress",IF(M4203&lt;=J4203,"Met","Breached"))</f>
        <v>Met</v>
      </c>
    </row>
    <row r="4204" ht="19" customHeight="1" spans="1:14" x14ac:dyDescent="0.25">
      <c r="A4204" s="19" t="s">
        <v>4318</v>
      </c>
      <c r="B4204" s="33">
        <v>45998.88125</v>
      </c>
      <c r="C4204" s="33">
        <v>46004.759722222225</v>
      </c>
      <c r="D4204" s="19" t="s">
        <v>33</v>
      </c>
      <c r="E4204" s="19" t="s">
        <v>69</v>
      </c>
      <c r="F4204" s="19" t="s">
        <v>37</v>
      </c>
      <c r="G4204" s="19" t="s">
        <v>63</v>
      </c>
      <c r="H4204" s="19" t="s">
        <v>67</v>
      </c>
      <c r="I4204" s="19" t="s">
        <v>111</v>
      </c>
      <c r="J4204" s="20">
        <v>120</v>
      </c>
      <c r="K4204" s="34">
        <v>0</v>
      </c>
      <c r="L4204" s="34">
        <v>1</v>
      </c>
      <c r="M4204" s="19">
        <f>IF(OR(ISBLANK(C4204),C4204=""),"",ROUND((C4204-B4204)*24,2))</f>
        <v>141.08</v>
      </c>
      <c r="N4204" s="39" t="str">
        <f>IF(OR(ISBLANK(C4204),C4204="",M4204=""),"In Progress",IF(M4204&lt;=J4204,"Met","Breached"))</f>
        <v>Breached</v>
      </c>
    </row>
    <row r="4205" ht="19" customHeight="1" spans="1:14" x14ac:dyDescent="0.25">
      <c r="A4205" s="22" t="s">
        <v>4319</v>
      </c>
      <c r="B4205" s="36">
        <v>46273.15902777778</v>
      </c>
      <c r="C4205" s="36">
        <v>46273.768055555556</v>
      </c>
      <c r="D4205" s="22" t="s">
        <v>33</v>
      </c>
      <c r="E4205" s="22" t="s">
        <v>61</v>
      </c>
      <c r="F4205" s="22" t="s">
        <v>37</v>
      </c>
      <c r="G4205" s="22" t="s">
        <v>121</v>
      </c>
      <c r="H4205" s="22" t="s">
        <v>59</v>
      </c>
      <c r="I4205" s="22" t="s">
        <v>147</v>
      </c>
      <c r="J4205" s="23">
        <v>12</v>
      </c>
      <c r="K4205" s="37">
        <v>0</v>
      </c>
      <c r="L4205" s="37">
        <v>1</v>
      </c>
      <c r="M4205" s="22">
        <f>IF(OR(ISBLANK(C4205),C4205=""),"",ROUND((C4205-B4205)*24,2))</f>
        <v>14.62</v>
      </c>
      <c r="N4205" s="38" t="str">
        <f>IF(OR(ISBLANK(C4205),C4205="",M4205=""),"In Progress",IF(M4205&lt;=J4205,"Met","Breached"))</f>
        <v>Breached</v>
      </c>
    </row>
    <row r="4206" ht="19" customHeight="1" spans="1:14" x14ac:dyDescent="0.25">
      <c r="A4206" s="19" t="s">
        <v>4320</v>
      </c>
      <c r="B4206" s="33">
        <v>46228.004166666666</v>
      </c>
      <c r="C4206" s="33">
        <v>46233.25625</v>
      </c>
      <c r="D4206" s="19" t="s">
        <v>33</v>
      </c>
      <c r="E4206" s="19" t="s">
        <v>69</v>
      </c>
      <c r="F4206" s="19" t="s">
        <v>43</v>
      </c>
      <c r="G4206" s="19" t="s">
        <v>63</v>
      </c>
      <c r="H4206" s="19" t="s">
        <v>67</v>
      </c>
      <c r="I4206" s="19" t="s">
        <v>147</v>
      </c>
      <c r="J4206" s="20">
        <v>120</v>
      </c>
      <c r="K4206" s="34">
        <v>0</v>
      </c>
      <c r="M4206" s="19">
        <f>IF(OR(ISBLANK(C4206),C4206=""),"",ROUND((C4206-B4206)*24,2))</f>
        <v>126.05</v>
      </c>
      <c r="N4206" s="39" t="str">
        <f>IF(OR(ISBLANK(C4206),C4206="",M4206=""),"In Progress",IF(M4206&lt;=J4206,"Met","Breached"))</f>
        <v>Breached</v>
      </c>
    </row>
    <row r="4207" ht="19" customHeight="1" spans="1:14" x14ac:dyDescent="0.25">
      <c r="A4207" s="22" t="s">
        <v>4321</v>
      </c>
      <c r="B4207" s="36">
        <v>46051.757638888885</v>
      </c>
      <c r="C4207" s="36">
        <v>46052.92569444445</v>
      </c>
      <c r="D4207" s="22" t="s">
        <v>33</v>
      </c>
      <c r="E4207" s="22" t="s">
        <v>65</v>
      </c>
      <c r="F4207" s="22" t="s">
        <v>43</v>
      </c>
      <c r="G4207" s="22" t="s">
        <v>113</v>
      </c>
      <c r="H4207" s="22" t="s">
        <v>59</v>
      </c>
      <c r="I4207" s="22" t="s">
        <v>114</v>
      </c>
      <c r="J4207" s="23">
        <v>48</v>
      </c>
      <c r="K4207" s="37">
        <v>0</v>
      </c>
      <c r="L4207" s="37">
        <v>5</v>
      </c>
      <c r="M4207" s="22">
        <f>IF(OR(ISBLANK(C4207),C4207=""),"",ROUND((C4207-B4207)*24,2))</f>
        <v>28.03</v>
      </c>
      <c r="N4207" s="40" t="str">
        <f>IF(OR(ISBLANK(C4207),C4207="",M4207=""),"In Progress",IF(M4207&lt;=J4207,"Met","Breached"))</f>
        <v>Met</v>
      </c>
    </row>
    <row r="4208" ht="19" customHeight="1" spans="1:14" x14ac:dyDescent="0.25">
      <c r="A4208" s="19" t="s">
        <v>4322</v>
      </c>
      <c r="B4208" s="33">
        <v>45696.42083333334</v>
      </c>
      <c r="D4208" s="19" t="s">
        <v>39</v>
      </c>
      <c r="E4208" s="19" t="s">
        <v>65</v>
      </c>
      <c r="F4208" s="19" t="s">
        <v>34</v>
      </c>
      <c r="G4208" s="19" t="s">
        <v>116</v>
      </c>
      <c r="H4208" s="19" t="s">
        <v>67</v>
      </c>
      <c r="I4208" s="19" t="s">
        <v>147</v>
      </c>
      <c r="J4208" s="20">
        <v>48</v>
      </c>
      <c r="K4208" s="34">
        <v>0</v>
      </c>
      <c r="M4208" s="19" t="str">
        <f>IF(OR(ISBLANK(C4208),C4208=""),"",ROUND((C4208-B4208)*24,2))</f>
        <v/>
      </c>
      <c r="N4208" s="19" t="str">
        <f>IF(OR(ISBLANK(C4208),C4208="",M4208=""),"In Progress",IF(M4208&lt;=J4208,"Met","Breached"))</f>
        <v>In Progress</v>
      </c>
    </row>
    <row r="4209" ht="19" customHeight="1" spans="1:14" x14ac:dyDescent="0.25">
      <c r="A4209" s="22" t="s">
        <v>4323</v>
      </c>
      <c r="B4209" s="36">
        <v>46142.11597222222</v>
      </c>
      <c r="C4209" s="36">
        <v>46144.861805555556</v>
      </c>
      <c r="D4209" s="22" t="s">
        <v>36</v>
      </c>
      <c r="E4209" s="22" t="s">
        <v>65</v>
      </c>
      <c r="F4209" s="22" t="s">
        <v>40</v>
      </c>
      <c r="G4209" s="22" t="s">
        <v>63</v>
      </c>
      <c r="H4209" s="22" t="s">
        <v>63</v>
      </c>
      <c r="I4209" s="22" t="s">
        <v>111</v>
      </c>
      <c r="J4209" s="23">
        <v>48</v>
      </c>
      <c r="K4209" s="37">
        <v>0</v>
      </c>
      <c r="M4209" s="22">
        <f>IF(OR(ISBLANK(C4209),C4209=""),"",ROUND((C4209-B4209)*24,2))</f>
        <v>65.9</v>
      </c>
      <c r="N4209" s="38" t="str">
        <f>IF(OR(ISBLANK(C4209),C4209="",M4209=""),"In Progress",IF(M4209&lt;=J4209,"Met","Breached"))</f>
        <v>Breached</v>
      </c>
    </row>
    <row r="4210" ht="19" customHeight="1" spans="1:14" x14ac:dyDescent="0.25">
      <c r="A4210" s="19" t="s">
        <v>4324</v>
      </c>
      <c r="B4210" s="33">
        <v>45781.74722222222</v>
      </c>
      <c r="C4210" s="33">
        <v>45784.95486111111</v>
      </c>
      <c r="D4210" s="19" t="s">
        <v>36</v>
      </c>
      <c r="E4210" s="19" t="s">
        <v>65</v>
      </c>
      <c r="F4210" s="19" t="s">
        <v>37</v>
      </c>
      <c r="G4210" s="19" t="s">
        <v>121</v>
      </c>
      <c r="H4210" s="19" t="s">
        <v>63</v>
      </c>
      <c r="I4210" s="19" t="s">
        <v>117</v>
      </c>
      <c r="J4210" s="20">
        <v>48</v>
      </c>
      <c r="K4210" s="34">
        <v>0</v>
      </c>
      <c r="M4210" s="19">
        <f>IF(OR(ISBLANK(C4210),C4210=""),"",ROUND((C4210-B4210)*24,2))</f>
        <v>76.98</v>
      </c>
      <c r="N4210" s="39" t="str">
        <f>IF(OR(ISBLANK(C4210),C4210="",M4210=""),"In Progress",IF(M4210&lt;=J4210,"Met","Breached"))</f>
        <v>Breached</v>
      </c>
    </row>
    <row r="4211" ht="19" customHeight="1" spans="1:14" x14ac:dyDescent="0.25">
      <c r="A4211" s="22" t="s">
        <v>4325</v>
      </c>
      <c r="B4211" s="36">
        <v>45812.15694444445</v>
      </c>
      <c r="D4211" s="22" t="s">
        <v>42</v>
      </c>
      <c r="E4211" s="22" t="s">
        <v>65</v>
      </c>
      <c r="F4211" s="22" t="s">
        <v>37</v>
      </c>
      <c r="G4211" s="22" t="s">
        <v>113</v>
      </c>
      <c r="H4211" s="22" t="s">
        <v>71</v>
      </c>
      <c r="I4211" s="22" t="s">
        <v>108</v>
      </c>
      <c r="J4211" s="23">
        <v>48</v>
      </c>
      <c r="K4211" s="37">
        <v>0</v>
      </c>
      <c r="M4211" s="22" t="str">
        <f>IF(OR(ISBLANK(C4211),C4211=""),"",ROUND((C4211-B4211)*24,2))</f>
        <v/>
      </c>
      <c r="N4211" s="22" t="str">
        <f>IF(OR(ISBLANK(C4211),C4211="",M4211=""),"In Progress",IF(M4211&lt;=J4211,"Met","Breached"))</f>
        <v>In Progress</v>
      </c>
    </row>
    <row r="4212" ht="19" customHeight="1" spans="1:14" x14ac:dyDescent="0.25">
      <c r="A4212" s="19" t="s">
        <v>4326</v>
      </c>
      <c r="B4212" s="33">
        <v>45679.61111111111</v>
      </c>
      <c r="C4212" s="33">
        <v>45680.68125</v>
      </c>
      <c r="D4212" s="19" t="s">
        <v>33</v>
      </c>
      <c r="E4212" s="19" t="s">
        <v>65</v>
      </c>
      <c r="F4212" s="19" t="s">
        <v>34</v>
      </c>
      <c r="G4212" s="19" t="s">
        <v>113</v>
      </c>
      <c r="H4212" s="19" t="s">
        <v>59</v>
      </c>
      <c r="I4212" s="19" t="s">
        <v>108</v>
      </c>
      <c r="J4212" s="20">
        <v>48</v>
      </c>
      <c r="K4212" s="34">
        <v>0</v>
      </c>
      <c r="L4212" s="34">
        <v>3</v>
      </c>
      <c r="M4212" s="19">
        <f>IF(OR(ISBLANK(C4212),C4212=""),"",ROUND((C4212-B4212)*24,2))</f>
        <v>25.68</v>
      </c>
      <c r="N4212" s="35" t="str">
        <f>IF(OR(ISBLANK(C4212),C4212="",M4212=""),"In Progress",IF(M4212&lt;=J4212,"Met","Breached"))</f>
        <v>Met</v>
      </c>
    </row>
    <row r="4213" ht="19" customHeight="1" spans="1:14" x14ac:dyDescent="0.25">
      <c r="A4213" s="22" t="s">
        <v>4327</v>
      </c>
      <c r="B4213" s="36">
        <v>46251.058333333334</v>
      </c>
      <c r="C4213" s="36">
        <v>46253.96666666667</v>
      </c>
      <c r="D4213" s="22" t="s">
        <v>36</v>
      </c>
      <c r="E4213" s="22" t="s">
        <v>65</v>
      </c>
      <c r="F4213" s="22" t="s">
        <v>37</v>
      </c>
      <c r="G4213" s="22" t="s">
        <v>113</v>
      </c>
      <c r="H4213" s="22" t="s">
        <v>59</v>
      </c>
      <c r="I4213" s="22" t="s">
        <v>123</v>
      </c>
      <c r="J4213" s="23">
        <v>48</v>
      </c>
      <c r="K4213" s="37">
        <v>0</v>
      </c>
      <c r="L4213" s="37">
        <v>3</v>
      </c>
      <c r="M4213" s="22">
        <f>IF(OR(ISBLANK(C4213),C4213=""),"",ROUND((C4213-B4213)*24,2))</f>
        <v>69.8</v>
      </c>
      <c r="N4213" s="38" t="str">
        <f>IF(OR(ISBLANK(C4213),C4213="",M4213=""),"In Progress",IF(M4213&lt;=J4213,"Met","Breached"))</f>
        <v>Breached</v>
      </c>
    </row>
    <row r="4214" ht="19" customHeight="1" spans="1:14" x14ac:dyDescent="0.25">
      <c r="A4214" s="19" t="s">
        <v>4328</v>
      </c>
      <c r="B4214" s="33">
        <v>46250.31597222222</v>
      </c>
      <c r="D4214" s="19" t="s">
        <v>42</v>
      </c>
      <c r="E4214" s="19" t="s">
        <v>65</v>
      </c>
      <c r="F4214" s="19" t="s">
        <v>40</v>
      </c>
      <c r="G4214" s="19" t="s">
        <v>113</v>
      </c>
      <c r="H4214" s="19" t="s">
        <v>71</v>
      </c>
      <c r="I4214" s="19" t="s">
        <v>147</v>
      </c>
      <c r="J4214" s="20">
        <v>48</v>
      </c>
      <c r="K4214" s="34">
        <v>0</v>
      </c>
      <c r="M4214" s="19" t="str">
        <f>IF(OR(ISBLANK(C4214),C4214=""),"",ROUND((C4214-B4214)*24,2))</f>
        <v/>
      </c>
      <c r="N4214" s="19" t="str">
        <f>IF(OR(ISBLANK(C4214),C4214="",M4214=""),"In Progress",IF(M4214&lt;=J4214,"Met","Breached"))</f>
        <v>In Progress</v>
      </c>
    </row>
    <row r="4215" ht="19" customHeight="1" spans="1:14" x14ac:dyDescent="0.25">
      <c r="A4215" s="22" t="s">
        <v>4329</v>
      </c>
      <c r="B4215" s="36">
        <v>46054.23958333333</v>
      </c>
      <c r="D4215" s="22" t="s">
        <v>39</v>
      </c>
      <c r="E4215" s="22" t="s">
        <v>61</v>
      </c>
      <c r="F4215" s="22" t="s">
        <v>40</v>
      </c>
      <c r="G4215" s="22" t="s">
        <v>121</v>
      </c>
      <c r="H4215" s="22" t="s">
        <v>63</v>
      </c>
      <c r="I4215" s="22" t="s">
        <v>123</v>
      </c>
      <c r="J4215" s="23">
        <v>12</v>
      </c>
      <c r="K4215" s="37">
        <v>0</v>
      </c>
      <c r="M4215" s="22" t="str">
        <f>IF(OR(ISBLANK(C4215),C4215=""),"",ROUND((C4215-B4215)*24,2))</f>
        <v/>
      </c>
      <c r="N4215" s="22" t="str">
        <f>IF(OR(ISBLANK(C4215),C4215="",M4215=""),"In Progress",IF(M4215&lt;=J4215,"Met","Breached"))</f>
        <v>In Progress</v>
      </c>
    </row>
    <row r="4216" ht="19" customHeight="1" spans="1:14" x14ac:dyDescent="0.25">
      <c r="A4216" s="19" t="s">
        <v>4330</v>
      </c>
      <c r="B4216" s="33">
        <v>46264.271527777775</v>
      </c>
      <c r="C4216" s="33">
        <v>46264.78680555556</v>
      </c>
      <c r="D4216" s="19" t="s">
        <v>33</v>
      </c>
      <c r="E4216" s="19" t="s">
        <v>61</v>
      </c>
      <c r="F4216" s="19" t="s">
        <v>40</v>
      </c>
      <c r="G4216" s="19" t="s">
        <v>113</v>
      </c>
      <c r="H4216" s="19" t="s">
        <v>63</v>
      </c>
      <c r="I4216" s="19" t="s">
        <v>111</v>
      </c>
      <c r="J4216" s="20">
        <v>12</v>
      </c>
      <c r="K4216" s="34">
        <v>0</v>
      </c>
      <c r="L4216" s="34">
        <v>5</v>
      </c>
      <c r="M4216" s="19">
        <f>IF(OR(ISBLANK(C4216),C4216=""),"",ROUND((C4216-B4216)*24,2))</f>
        <v>12.37</v>
      </c>
      <c r="N4216" s="39" t="str">
        <f>IF(OR(ISBLANK(C4216),C4216="",M4216=""),"In Progress",IF(M4216&lt;=J4216,"Met","Breached"))</f>
        <v>Breached</v>
      </c>
    </row>
    <row r="4217" ht="19" customHeight="1" spans="1:14" x14ac:dyDescent="0.25">
      <c r="A4217" s="22" t="s">
        <v>4331</v>
      </c>
      <c r="B4217" s="36">
        <v>46215.379166666666</v>
      </c>
      <c r="C4217" s="36">
        <v>46217.74791666667</v>
      </c>
      <c r="D4217" s="22" t="s">
        <v>33</v>
      </c>
      <c r="E4217" s="22" t="s">
        <v>65</v>
      </c>
      <c r="F4217" s="22" t="s">
        <v>34</v>
      </c>
      <c r="G4217" s="22" t="s">
        <v>126</v>
      </c>
      <c r="H4217" s="22" t="s">
        <v>67</v>
      </c>
      <c r="I4217" s="22" t="s">
        <v>117</v>
      </c>
      <c r="J4217" s="23">
        <v>48</v>
      </c>
      <c r="K4217" s="37">
        <v>0</v>
      </c>
      <c r="L4217" s="37">
        <v>5</v>
      </c>
      <c r="M4217" s="22">
        <f>IF(OR(ISBLANK(C4217),C4217=""),"",ROUND((C4217-B4217)*24,2))</f>
        <v>56.85</v>
      </c>
      <c r="N4217" s="38" t="str">
        <f>IF(OR(ISBLANK(C4217),C4217="",M4217=""),"In Progress",IF(M4217&lt;=J4217,"Met","Breached"))</f>
        <v>Breached</v>
      </c>
    </row>
    <row r="4218" ht="19" customHeight="1" spans="1:14" x14ac:dyDescent="0.25">
      <c r="A4218" s="19" t="s">
        <v>4332</v>
      </c>
      <c r="B4218" s="33">
        <v>45714.84236111111</v>
      </c>
      <c r="C4218" s="33">
        <v>45718.12152777778</v>
      </c>
      <c r="D4218" s="19" t="s">
        <v>33</v>
      </c>
      <c r="E4218" s="19" t="s">
        <v>65</v>
      </c>
      <c r="F4218" s="19" t="s">
        <v>37</v>
      </c>
      <c r="G4218" s="19" t="s">
        <v>110</v>
      </c>
      <c r="H4218" s="19" t="s">
        <v>67</v>
      </c>
      <c r="I4218" s="19" t="s">
        <v>111</v>
      </c>
      <c r="J4218" s="20">
        <v>48</v>
      </c>
      <c r="K4218" s="34">
        <v>0</v>
      </c>
      <c r="M4218" s="19">
        <f>IF(OR(ISBLANK(C4218),C4218=""),"",ROUND((C4218-B4218)*24,2))</f>
        <v>78.7</v>
      </c>
      <c r="N4218" s="39" t="str">
        <f>IF(OR(ISBLANK(C4218),C4218="",M4218=""),"In Progress",IF(M4218&lt;=J4218,"Met","Breached"))</f>
        <v>Breached</v>
      </c>
    </row>
    <row r="4219" ht="19" customHeight="1" spans="1:14" x14ac:dyDescent="0.25">
      <c r="A4219" s="22" t="s">
        <v>4333</v>
      </c>
      <c r="B4219" s="36">
        <v>45896.79305555555</v>
      </c>
      <c r="C4219" s="36">
        <v>45903.15069444444</v>
      </c>
      <c r="D4219" s="22" t="s">
        <v>33</v>
      </c>
      <c r="E4219" s="22" t="s">
        <v>69</v>
      </c>
      <c r="F4219" s="22" t="s">
        <v>40</v>
      </c>
      <c r="G4219" s="22" t="s">
        <v>110</v>
      </c>
      <c r="H4219" s="22" t="s">
        <v>63</v>
      </c>
      <c r="I4219" s="22" t="s">
        <v>111</v>
      </c>
      <c r="J4219" s="23">
        <v>120</v>
      </c>
      <c r="K4219" s="37">
        <v>0</v>
      </c>
      <c r="L4219" s="37">
        <v>5</v>
      </c>
      <c r="M4219" s="22">
        <f>IF(OR(ISBLANK(C4219),C4219=""),"",ROUND((C4219-B4219)*24,2))</f>
        <v>152.58</v>
      </c>
      <c r="N4219" s="38" t="str">
        <f>IF(OR(ISBLANK(C4219),C4219="",M4219=""),"In Progress",IF(M4219&lt;=J4219,"Met","Breached"))</f>
        <v>Breached</v>
      </c>
    </row>
    <row r="4220" ht="19" customHeight="1" spans="1:14" x14ac:dyDescent="0.25">
      <c r="A4220" s="19" t="s">
        <v>4334</v>
      </c>
      <c r="B4220" s="33">
        <v>45937.22222222222</v>
      </c>
      <c r="C4220" s="33">
        <v>45937.81875</v>
      </c>
      <c r="D4220" s="19" t="s">
        <v>33</v>
      </c>
      <c r="E4220" s="19" t="s">
        <v>61</v>
      </c>
      <c r="F4220" s="19" t="s">
        <v>34</v>
      </c>
      <c r="G4220" s="19" t="s">
        <v>126</v>
      </c>
      <c r="H4220" s="19" t="s">
        <v>59</v>
      </c>
      <c r="I4220" s="19" t="s">
        <v>123</v>
      </c>
      <c r="J4220" s="20">
        <v>12</v>
      </c>
      <c r="K4220" s="34">
        <v>0</v>
      </c>
      <c r="L4220" s="34">
        <v>5</v>
      </c>
      <c r="M4220" s="19">
        <f>IF(OR(ISBLANK(C4220),C4220=""),"",ROUND((C4220-B4220)*24,2))</f>
        <v>14.32</v>
      </c>
      <c r="N4220" s="39" t="str">
        <f>IF(OR(ISBLANK(C4220),C4220="",M4220=""),"In Progress",IF(M4220&lt;=J4220,"Met","Breached"))</f>
        <v>Breached</v>
      </c>
    </row>
    <row r="4221" ht="19" customHeight="1" spans="1:14" x14ac:dyDescent="0.25">
      <c r="A4221" s="22" t="s">
        <v>4335</v>
      </c>
      <c r="B4221" s="36">
        <v>45785.76111111111</v>
      </c>
      <c r="C4221" s="36">
        <v>45789.856944444444</v>
      </c>
      <c r="D4221" s="22" t="s">
        <v>36</v>
      </c>
      <c r="E4221" s="22" t="s">
        <v>69</v>
      </c>
      <c r="F4221" s="22" t="s">
        <v>43</v>
      </c>
      <c r="G4221" s="22" t="s">
        <v>110</v>
      </c>
      <c r="H4221" s="22" t="s">
        <v>63</v>
      </c>
      <c r="I4221" s="22" t="s">
        <v>108</v>
      </c>
      <c r="J4221" s="23">
        <v>120</v>
      </c>
      <c r="K4221" s="37">
        <v>0</v>
      </c>
      <c r="L4221" s="37">
        <v>2</v>
      </c>
      <c r="M4221" s="22">
        <f>IF(OR(ISBLANK(C4221),C4221=""),"",ROUND((C4221-B4221)*24,2))</f>
        <v>98.3</v>
      </c>
      <c r="N4221" s="40" t="str">
        <f>IF(OR(ISBLANK(C4221),C4221="",M4221=""),"In Progress",IF(M4221&lt;=J4221,"Met","Breached"))</f>
        <v>Met</v>
      </c>
    </row>
    <row r="4222" ht="19" customHeight="1" spans="1:14" x14ac:dyDescent="0.25">
      <c r="A4222" s="19" t="s">
        <v>4336</v>
      </c>
      <c r="B4222" s="33">
        <v>45678.98819444445</v>
      </c>
      <c r="C4222" s="33">
        <v>45679.70416666666</v>
      </c>
      <c r="D4222" s="19" t="s">
        <v>33</v>
      </c>
      <c r="E4222" s="19" t="s">
        <v>65</v>
      </c>
      <c r="F4222" s="19" t="s">
        <v>37</v>
      </c>
      <c r="G4222" s="19" t="s">
        <v>113</v>
      </c>
      <c r="H4222" s="19" t="s">
        <v>71</v>
      </c>
      <c r="I4222" s="19" t="s">
        <v>114</v>
      </c>
      <c r="J4222" s="20">
        <v>48</v>
      </c>
      <c r="K4222" s="34">
        <v>0</v>
      </c>
      <c r="L4222" s="34">
        <v>1</v>
      </c>
      <c r="M4222" s="19">
        <f>IF(OR(ISBLANK(C4222),C4222=""),"",ROUND((C4222-B4222)*24,2))</f>
        <v>17.18</v>
      </c>
      <c r="N4222" s="35" t="str">
        <f>IF(OR(ISBLANK(C4222),C4222="",M4222=""),"In Progress",IF(M4222&lt;=J4222,"Met","Breached"))</f>
        <v>Met</v>
      </c>
    </row>
    <row r="4223" ht="19" customHeight="1" spans="1:14" x14ac:dyDescent="0.25">
      <c r="A4223" s="22" t="s">
        <v>4337</v>
      </c>
      <c r="B4223" s="36">
        <v>45962.413888888885</v>
      </c>
      <c r="C4223" s="36">
        <v>45963.23958333333</v>
      </c>
      <c r="D4223" s="22" t="s">
        <v>36</v>
      </c>
      <c r="E4223" s="22" t="s">
        <v>61</v>
      </c>
      <c r="F4223" s="22" t="s">
        <v>37</v>
      </c>
      <c r="G4223" s="22" t="s">
        <v>63</v>
      </c>
      <c r="H4223" s="22" t="s">
        <v>59</v>
      </c>
      <c r="I4223" s="22" t="s">
        <v>147</v>
      </c>
      <c r="J4223" s="23">
        <v>12</v>
      </c>
      <c r="K4223" s="37">
        <v>0</v>
      </c>
      <c r="L4223" s="37">
        <v>2</v>
      </c>
      <c r="M4223" s="22">
        <f>IF(OR(ISBLANK(C4223),C4223=""),"",ROUND((C4223-B4223)*24,2))</f>
        <v>19.82</v>
      </c>
      <c r="N4223" s="38" t="str">
        <f>IF(OR(ISBLANK(C4223),C4223="",M4223=""),"In Progress",IF(M4223&lt;=J4223,"Met","Breached"))</f>
        <v>Breached</v>
      </c>
    </row>
    <row r="4224" ht="19" customHeight="1" spans="1:14" x14ac:dyDescent="0.25">
      <c r="A4224" s="19" t="s">
        <v>4338</v>
      </c>
      <c r="B4224" s="33">
        <v>45867</v>
      </c>
      <c r="C4224" s="33">
        <v>45870.26736111111</v>
      </c>
      <c r="D4224" s="19" t="s">
        <v>33</v>
      </c>
      <c r="E4224" s="19" t="s">
        <v>69</v>
      </c>
      <c r="F4224" s="19" t="s">
        <v>43</v>
      </c>
      <c r="G4224" s="19" t="s">
        <v>113</v>
      </c>
      <c r="H4224" s="19" t="s">
        <v>59</v>
      </c>
      <c r="I4224" s="19" t="s">
        <v>111</v>
      </c>
      <c r="J4224" s="20">
        <v>120</v>
      </c>
      <c r="K4224" s="34">
        <v>0</v>
      </c>
      <c r="M4224" s="19">
        <f>IF(OR(ISBLANK(C4224),C4224=""),"",ROUND((C4224-B4224)*24,2))</f>
        <v>78.42</v>
      </c>
      <c r="N4224" s="35" t="str">
        <f>IF(OR(ISBLANK(C4224),C4224="",M4224=""),"In Progress",IF(M4224&lt;=J4224,"Met","Breached"))</f>
        <v>Met</v>
      </c>
    </row>
    <row r="4225" ht="19" customHeight="1" spans="1:14" x14ac:dyDescent="0.25">
      <c r="A4225" s="22" t="s">
        <v>4339</v>
      </c>
      <c r="B4225" s="36">
        <v>46056.21597222222</v>
      </c>
      <c r="C4225" s="36">
        <v>46058.42916666667</v>
      </c>
      <c r="D4225" s="22" t="s">
        <v>33</v>
      </c>
      <c r="E4225" s="22" t="s">
        <v>65</v>
      </c>
      <c r="F4225" s="22" t="s">
        <v>34</v>
      </c>
      <c r="G4225" s="22" t="s">
        <v>63</v>
      </c>
      <c r="H4225" s="22" t="s">
        <v>59</v>
      </c>
      <c r="I4225" s="22" t="s">
        <v>147</v>
      </c>
      <c r="J4225" s="23">
        <v>48</v>
      </c>
      <c r="K4225" s="37">
        <v>0</v>
      </c>
      <c r="L4225" s="37">
        <v>2</v>
      </c>
      <c r="M4225" s="22">
        <f>IF(OR(ISBLANK(C4225),C4225=""),"",ROUND((C4225-B4225)*24,2))</f>
        <v>53.12</v>
      </c>
      <c r="N4225" s="38" t="str">
        <f>IF(OR(ISBLANK(C4225),C4225="",M4225=""),"In Progress",IF(M4225&lt;=J4225,"Met","Breached"))</f>
        <v>Breached</v>
      </c>
    </row>
    <row r="4226" ht="19" customHeight="1" spans="1:14" x14ac:dyDescent="0.25">
      <c r="A4226" s="19" t="s">
        <v>4340</v>
      </c>
      <c r="B4226" s="33">
        <v>46096.17222222222</v>
      </c>
      <c r="C4226" s="33">
        <v>46102.785416666666</v>
      </c>
      <c r="D4226" s="19" t="s">
        <v>33</v>
      </c>
      <c r="E4226" s="19" t="s">
        <v>69</v>
      </c>
      <c r="F4226" s="19" t="s">
        <v>43</v>
      </c>
      <c r="G4226" s="19" t="s">
        <v>126</v>
      </c>
      <c r="H4226" s="19" t="s">
        <v>71</v>
      </c>
      <c r="I4226" s="19" t="s">
        <v>123</v>
      </c>
      <c r="J4226" s="20">
        <v>120</v>
      </c>
      <c r="K4226" s="34">
        <v>0</v>
      </c>
      <c r="L4226" s="34">
        <v>3</v>
      </c>
      <c r="M4226" s="19">
        <f>IF(OR(ISBLANK(C4226),C4226=""),"",ROUND((C4226-B4226)*24,2))</f>
        <v>158.72</v>
      </c>
      <c r="N4226" s="39" t="str">
        <f>IF(OR(ISBLANK(C4226),C4226="",M4226=""),"In Progress",IF(M4226&lt;=J4226,"Met","Breached"))</f>
        <v>Breached</v>
      </c>
    </row>
    <row r="4227" ht="19" customHeight="1" spans="1:14" x14ac:dyDescent="0.25">
      <c r="A4227" s="22" t="s">
        <v>4341</v>
      </c>
      <c r="B4227" s="36">
        <v>46066.75833333333</v>
      </c>
      <c r="D4227" s="22" t="s">
        <v>42</v>
      </c>
      <c r="E4227" s="22" t="s">
        <v>69</v>
      </c>
      <c r="F4227" s="22" t="s">
        <v>40</v>
      </c>
      <c r="G4227" s="22" t="s">
        <v>116</v>
      </c>
      <c r="H4227" s="22" t="s">
        <v>59</v>
      </c>
      <c r="I4227" s="22" t="s">
        <v>117</v>
      </c>
      <c r="J4227" s="23">
        <v>120</v>
      </c>
      <c r="K4227" s="37">
        <v>0</v>
      </c>
      <c r="M4227" s="22" t="str">
        <f>IF(OR(ISBLANK(C4227),C4227=""),"",ROUND((C4227-B4227)*24,2))</f>
        <v/>
      </c>
      <c r="N4227" s="22" t="str">
        <f>IF(OR(ISBLANK(C4227),C4227="",M4227=""),"In Progress",IF(M4227&lt;=J4227,"Met","Breached"))</f>
        <v>In Progress</v>
      </c>
    </row>
    <row r="4228" ht="19" customHeight="1" spans="1:14" x14ac:dyDescent="0.25">
      <c r="A4228" s="19" t="s">
        <v>4342</v>
      </c>
      <c r="B4228" s="33">
        <v>46065.22361111111</v>
      </c>
      <c r="C4228" s="33">
        <v>46067.15833333333</v>
      </c>
      <c r="D4228" s="19" t="s">
        <v>33</v>
      </c>
      <c r="E4228" s="19" t="s">
        <v>65</v>
      </c>
      <c r="F4228" s="19" t="s">
        <v>37</v>
      </c>
      <c r="G4228" s="19" t="s">
        <v>63</v>
      </c>
      <c r="H4228" s="19" t="s">
        <v>71</v>
      </c>
      <c r="I4228" s="19" t="s">
        <v>114</v>
      </c>
      <c r="J4228" s="20">
        <v>48</v>
      </c>
      <c r="K4228" s="34">
        <v>0</v>
      </c>
      <c r="L4228" s="34">
        <v>4</v>
      </c>
      <c r="M4228" s="19">
        <f>IF(OR(ISBLANK(C4228),C4228=""),"",ROUND((C4228-B4228)*24,2))</f>
        <v>46.43</v>
      </c>
      <c r="N4228" s="35" t="str">
        <f>IF(OR(ISBLANK(C4228),C4228="",M4228=""),"In Progress",IF(M4228&lt;=J4228,"Met","Breached"))</f>
        <v>Met</v>
      </c>
    </row>
    <row r="4229" ht="19" customHeight="1" spans="1:14" x14ac:dyDescent="0.25">
      <c r="A4229" s="22" t="s">
        <v>4343</v>
      </c>
      <c r="B4229" s="36">
        <v>46016.94097222222</v>
      </c>
      <c r="C4229" s="36">
        <v>46018.38541666667</v>
      </c>
      <c r="D4229" s="22" t="s">
        <v>33</v>
      </c>
      <c r="E4229" s="22" t="s">
        <v>65</v>
      </c>
      <c r="F4229" s="22" t="s">
        <v>45</v>
      </c>
      <c r="G4229" s="22" t="s">
        <v>121</v>
      </c>
      <c r="H4229" s="22" t="s">
        <v>63</v>
      </c>
      <c r="I4229" s="22" t="s">
        <v>117</v>
      </c>
      <c r="J4229" s="23">
        <v>48</v>
      </c>
      <c r="K4229" s="37">
        <v>0</v>
      </c>
      <c r="L4229" s="37">
        <v>5</v>
      </c>
      <c r="M4229" s="22">
        <f>IF(OR(ISBLANK(C4229),C4229=""),"",ROUND((C4229-B4229)*24,2))</f>
        <v>34.67</v>
      </c>
      <c r="N4229" s="40" t="str">
        <f>IF(OR(ISBLANK(C4229),C4229="",M4229=""),"In Progress",IF(M4229&lt;=J4229,"Met","Breached"))</f>
        <v>Met</v>
      </c>
    </row>
    <row r="4230" ht="19" customHeight="1" spans="1:14" x14ac:dyDescent="0.25">
      <c r="A4230" s="19" t="s">
        <v>4344</v>
      </c>
      <c r="B4230" s="33">
        <v>45677.27777777778</v>
      </c>
      <c r="C4230" s="33">
        <v>45677.705555555556</v>
      </c>
      <c r="D4230" s="19" t="s">
        <v>33</v>
      </c>
      <c r="E4230" s="19" t="s">
        <v>61</v>
      </c>
      <c r="F4230" s="19" t="s">
        <v>45</v>
      </c>
      <c r="G4230" s="19" t="s">
        <v>63</v>
      </c>
      <c r="H4230" s="19" t="s">
        <v>59</v>
      </c>
      <c r="I4230" s="19" t="s">
        <v>147</v>
      </c>
      <c r="J4230" s="20">
        <v>12</v>
      </c>
      <c r="K4230" s="34">
        <v>0</v>
      </c>
      <c r="L4230" s="34">
        <v>3</v>
      </c>
      <c r="M4230" s="19">
        <f>IF(OR(ISBLANK(C4230),C4230=""),"",ROUND((C4230-B4230)*24,2))</f>
        <v>10.27</v>
      </c>
      <c r="N4230" s="35" t="str">
        <f>IF(OR(ISBLANK(C4230),C4230="",M4230=""),"In Progress",IF(M4230&lt;=J4230,"Met","Breached"))</f>
        <v>Met</v>
      </c>
    </row>
    <row r="4231" ht="19" customHeight="1" spans="1:14" x14ac:dyDescent="0.25">
      <c r="A4231" s="22" t="s">
        <v>4345</v>
      </c>
      <c r="B4231" s="36">
        <v>45696.00138888889</v>
      </c>
      <c r="C4231" s="36">
        <v>45699.024305555555</v>
      </c>
      <c r="D4231" s="22" t="s">
        <v>36</v>
      </c>
      <c r="E4231" s="22" t="s">
        <v>65</v>
      </c>
      <c r="F4231" s="22" t="s">
        <v>45</v>
      </c>
      <c r="G4231" s="22" t="s">
        <v>110</v>
      </c>
      <c r="H4231" s="22" t="s">
        <v>63</v>
      </c>
      <c r="I4231" s="22" t="s">
        <v>114</v>
      </c>
      <c r="J4231" s="23">
        <v>48</v>
      </c>
      <c r="K4231" s="37">
        <v>0</v>
      </c>
      <c r="L4231" s="37">
        <v>4</v>
      </c>
      <c r="M4231" s="22">
        <f>IF(OR(ISBLANK(C4231),C4231=""),"",ROUND((C4231-B4231)*24,2))</f>
        <v>72.55</v>
      </c>
      <c r="N4231" s="38" t="str">
        <f>IF(OR(ISBLANK(C4231),C4231="",M4231=""),"In Progress",IF(M4231&lt;=J4231,"Met","Breached"))</f>
        <v>Breached</v>
      </c>
    </row>
    <row r="4232" ht="19" customHeight="1" spans="1:14" x14ac:dyDescent="0.25">
      <c r="A4232" s="19" t="s">
        <v>4346</v>
      </c>
      <c r="B4232" s="33">
        <v>46110.856944444444</v>
      </c>
      <c r="C4232" s="33">
        <v>46112.88680555555</v>
      </c>
      <c r="D4232" s="19" t="s">
        <v>33</v>
      </c>
      <c r="E4232" s="19" t="s">
        <v>65</v>
      </c>
      <c r="F4232" s="19" t="s">
        <v>37</v>
      </c>
      <c r="G4232" s="19" t="s">
        <v>63</v>
      </c>
      <c r="H4232" s="19" t="s">
        <v>71</v>
      </c>
      <c r="I4232" s="19" t="s">
        <v>111</v>
      </c>
      <c r="J4232" s="20">
        <v>48</v>
      </c>
      <c r="K4232" s="34">
        <v>0</v>
      </c>
      <c r="L4232" s="34">
        <v>1</v>
      </c>
      <c r="M4232" s="19">
        <f>IF(OR(ISBLANK(C4232),C4232=""),"",ROUND((C4232-B4232)*24,2))</f>
        <v>48.72</v>
      </c>
      <c r="N4232" s="39" t="str">
        <f>IF(OR(ISBLANK(C4232),C4232="",M4232=""),"In Progress",IF(M4232&lt;=J4232,"Met","Breached"))</f>
        <v>Breached</v>
      </c>
    </row>
    <row r="4233" ht="19" customHeight="1" spans="1:14" x14ac:dyDescent="0.25">
      <c r="A4233" s="22" t="s">
        <v>4347</v>
      </c>
      <c r="B4233" s="36">
        <v>45843.825</v>
      </c>
      <c r="C4233" s="36">
        <v>45845.05208333333</v>
      </c>
      <c r="D4233" s="22" t="s">
        <v>33</v>
      </c>
      <c r="E4233" s="22" t="s">
        <v>65</v>
      </c>
      <c r="F4233" s="22" t="s">
        <v>43</v>
      </c>
      <c r="G4233" s="22" t="s">
        <v>121</v>
      </c>
      <c r="H4233" s="22" t="s">
        <v>71</v>
      </c>
      <c r="I4233" s="22" t="s">
        <v>111</v>
      </c>
      <c r="J4233" s="23">
        <v>48</v>
      </c>
      <c r="K4233" s="37">
        <v>0</v>
      </c>
      <c r="M4233" s="22">
        <f>IF(OR(ISBLANK(C4233),C4233=""),"",ROUND((C4233-B4233)*24,2))</f>
        <v>29.45</v>
      </c>
      <c r="N4233" s="40" t="str">
        <f>IF(OR(ISBLANK(C4233),C4233="",M4233=""),"In Progress",IF(M4233&lt;=J4233,"Met","Breached"))</f>
        <v>Met</v>
      </c>
    </row>
    <row r="4234" ht="19" customHeight="1" spans="1:14" x14ac:dyDescent="0.25">
      <c r="A4234" s="19" t="s">
        <v>4348</v>
      </c>
      <c r="B4234" s="33">
        <v>46052.10902777778</v>
      </c>
      <c r="C4234" s="33">
        <v>46059.76388888889</v>
      </c>
      <c r="D4234" s="19" t="s">
        <v>36</v>
      </c>
      <c r="E4234" s="19" t="s">
        <v>69</v>
      </c>
      <c r="F4234" s="19" t="s">
        <v>34</v>
      </c>
      <c r="G4234" s="19" t="s">
        <v>121</v>
      </c>
      <c r="H4234" s="19" t="s">
        <v>59</v>
      </c>
      <c r="I4234" s="19" t="s">
        <v>117</v>
      </c>
      <c r="J4234" s="20">
        <v>120</v>
      </c>
      <c r="K4234" s="34">
        <v>0</v>
      </c>
      <c r="M4234" s="19">
        <f>IF(OR(ISBLANK(C4234),C4234=""),"",ROUND((C4234-B4234)*24,2))</f>
        <v>183.72</v>
      </c>
      <c r="N4234" s="39" t="str">
        <f>IF(OR(ISBLANK(C4234),C4234="",M4234=""),"In Progress",IF(M4234&lt;=J4234,"Met","Breached"))</f>
        <v>Breached</v>
      </c>
    </row>
    <row r="4235" ht="19" customHeight="1" spans="1:14" x14ac:dyDescent="0.25">
      <c r="A4235" s="22" t="s">
        <v>4349</v>
      </c>
      <c r="B4235" s="36">
        <v>45803.179861111115</v>
      </c>
      <c r="C4235" s="36">
        <v>45806.52013888889</v>
      </c>
      <c r="D4235" s="22" t="s">
        <v>33</v>
      </c>
      <c r="E4235" s="22" t="s">
        <v>65</v>
      </c>
      <c r="F4235" s="22" t="s">
        <v>40</v>
      </c>
      <c r="G4235" s="22" t="s">
        <v>110</v>
      </c>
      <c r="H4235" s="22" t="s">
        <v>63</v>
      </c>
      <c r="I4235" s="22" t="s">
        <v>114</v>
      </c>
      <c r="J4235" s="23">
        <v>48</v>
      </c>
      <c r="K4235" s="37">
        <v>0</v>
      </c>
      <c r="L4235" s="37">
        <v>3</v>
      </c>
      <c r="M4235" s="22">
        <f>IF(OR(ISBLANK(C4235),C4235=""),"",ROUND((C4235-B4235)*24,2))</f>
        <v>80.17</v>
      </c>
      <c r="N4235" s="38" t="str">
        <f>IF(OR(ISBLANK(C4235),C4235="",M4235=""),"In Progress",IF(M4235&lt;=J4235,"Met","Breached"))</f>
        <v>Breached</v>
      </c>
    </row>
    <row r="4236" ht="19" customHeight="1" spans="1:14" x14ac:dyDescent="0.25">
      <c r="A4236" s="19" t="s">
        <v>4350</v>
      </c>
      <c r="B4236" s="33">
        <v>45886.45625</v>
      </c>
      <c r="C4236" s="33">
        <v>45894.36875</v>
      </c>
      <c r="D4236" s="19" t="s">
        <v>33</v>
      </c>
      <c r="E4236" s="19" t="s">
        <v>69</v>
      </c>
      <c r="F4236" s="19" t="s">
        <v>37</v>
      </c>
      <c r="G4236" s="19" t="s">
        <v>121</v>
      </c>
      <c r="H4236" s="19" t="s">
        <v>63</v>
      </c>
      <c r="I4236" s="19" t="s">
        <v>123</v>
      </c>
      <c r="J4236" s="20">
        <v>120</v>
      </c>
      <c r="K4236" s="34">
        <v>0</v>
      </c>
      <c r="L4236" s="34">
        <v>4</v>
      </c>
      <c r="M4236" s="19">
        <f>IF(OR(ISBLANK(C4236),C4236=""),"",ROUND((C4236-B4236)*24,2))</f>
        <v>189.9</v>
      </c>
      <c r="N4236" s="39" t="str">
        <f>IF(OR(ISBLANK(C4236),C4236="",M4236=""),"In Progress",IF(M4236&lt;=J4236,"Met","Breached"))</f>
        <v>Breached</v>
      </c>
    </row>
    <row r="4237" ht="19" customHeight="1" spans="1:14" x14ac:dyDescent="0.25">
      <c r="A4237" s="22" t="s">
        <v>4351</v>
      </c>
      <c r="B4237" s="36">
        <v>45677.316666666666</v>
      </c>
      <c r="C4237" s="36">
        <v>45677.589583333334</v>
      </c>
      <c r="D4237" s="22" t="s">
        <v>36</v>
      </c>
      <c r="E4237" s="22" t="s">
        <v>61</v>
      </c>
      <c r="F4237" s="22" t="s">
        <v>43</v>
      </c>
      <c r="G4237" s="22" t="s">
        <v>63</v>
      </c>
      <c r="H4237" s="22" t="s">
        <v>59</v>
      </c>
      <c r="I4237" s="22" t="s">
        <v>108</v>
      </c>
      <c r="J4237" s="23">
        <v>12</v>
      </c>
      <c r="K4237" s="37">
        <v>0</v>
      </c>
      <c r="L4237" s="37">
        <v>1</v>
      </c>
      <c r="M4237" s="22">
        <f>IF(OR(ISBLANK(C4237),C4237=""),"",ROUND((C4237-B4237)*24,2))</f>
        <v>6.55</v>
      </c>
      <c r="N4237" s="40" t="str">
        <f>IF(OR(ISBLANK(C4237),C4237="",M4237=""),"In Progress",IF(M4237&lt;=J4237,"Met","Breached"))</f>
        <v>Met</v>
      </c>
    </row>
    <row r="4238" ht="19" customHeight="1" spans="1:14" x14ac:dyDescent="0.25">
      <c r="A4238" s="19" t="s">
        <v>4352</v>
      </c>
      <c r="B4238" s="33">
        <v>45945.929861111115</v>
      </c>
      <c r="C4238" s="33">
        <v>45953.39236111111</v>
      </c>
      <c r="D4238" s="19" t="s">
        <v>33</v>
      </c>
      <c r="E4238" s="19" t="s">
        <v>69</v>
      </c>
      <c r="F4238" s="19" t="s">
        <v>37</v>
      </c>
      <c r="G4238" s="19" t="s">
        <v>116</v>
      </c>
      <c r="H4238" s="19" t="s">
        <v>59</v>
      </c>
      <c r="I4238" s="19" t="s">
        <v>108</v>
      </c>
      <c r="J4238" s="20">
        <v>120</v>
      </c>
      <c r="K4238" s="34">
        <v>0</v>
      </c>
      <c r="L4238" s="34">
        <v>3</v>
      </c>
      <c r="M4238" s="19">
        <f>IF(OR(ISBLANK(C4238),C4238=""),"",ROUND((C4238-B4238)*24,2))</f>
        <v>179.1</v>
      </c>
      <c r="N4238" s="39" t="str">
        <f>IF(OR(ISBLANK(C4238),C4238="",M4238=""),"In Progress",IF(M4238&lt;=J4238,"Met","Breached"))</f>
        <v>Breached</v>
      </c>
    </row>
    <row r="4239" ht="19" customHeight="1" spans="1:14" x14ac:dyDescent="0.25">
      <c r="A4239" s="22" t="s">
        <v>4353</v>
      </c>
      <c r="B4239" s="36">
        <v>45892.95138888889</v>
      </c>
      <c r="C4239" s="36">
        <v>45893.839583333334</v>
      </c>
      <c r="D4239" s="22" t="s">
        <v>36</v>
      </c>
      <c r="E4239" s="22" t="s">
        <v>61</v>
      </c>
      <c r="F4239" s="22" t="s">
        <v>34</v>
      </c>
      <c r="G4239" s="22" t="s">
        <v>63</v>
      </c>
      <c r="H4239" s="22" t="s">
        <v>59</v>
      </c>
      <c r="I4239" s="22" t="s">
        <v>117</v>
      </c>
      <c r="J4239" s="23">
        <v>12</v>
      </c>
      <c r="K4239" s="37">
        <v>0</v>
      </c>
      <c r="M4239" s="22">
        <f>IF(OR(ISBLANK(C4239),C4239=""),"",ROUND((C4239-B4239)*24,2))</f>
        <v>21.32</v>
      </c>
      <c r="N4239" s="38" t="str">
        <f>IF(OR(ISBLANK(C4239),C4239="",M4239=""),"In Progress",IF(M4239&lt;=J4239,"Met","Breached"))</f>
        <v>Breached</v>
      </c>
    </row>
    <row r="4240" ht="19" customHeight="1" spans="1:14" x14ac:dyDescent="0.25">
      <c r="A4240" s="19" t="s">
        <v>4354</v>
      </c>
      <c r="B4240" s="33">
        <v>46223.302777777775</v>
      </c>
      <c r="D4240" s="19" t="s">
        <v>39</v>
      </c>
      <c r="E4240" s="19" t="s">
        <v>69</v>
      </c>
      <c r="F4240" s="19" t="s">
        <v>40</v>
      </c>
      <c r="G4240" s="19" t="s">
        <v>126</v>
      </c>
      <c r="H4240" s="19" t="s">
        <v>59</v>
      </c>
      <c r="I4240" s="19" t="s">
        <v>114</v>
      </c>
      <c r="J4240" s="20">
        <v>120</v>
      </c>
      <c r="K4240" s="34">
        <v>0</v>
      </c>
      <c r="M4240" s="19" t="str">
        <f>IF(OR(ISBLANK(C4240),C4240=""),"",ROUND((C4240-B4240)*24,2))</f>
        <v/>
      </c>
      <c r="N4240" s="19" t="str">
        <f>IF(OR(ISBLANK(C4240),C4240="",M4240=""),"In Progress",IF(M4240&lt;=J4240,"Met","Breached"))</f>
        <v>In Progress</v>
      </c>
    </row>
    <row r="4241" ht="19" customHeight="1" spans="1:14" x14ac:dyDescent="0.25">
      <c r="A4241" s="22" t="s">
        <v>4355</v>
      </c>
      <c r="B4241" s="36">
        <v>45829.84166666667</v>
      </c>
      <c r="C4241" s="36">
        <v>45832.492361111115</v>
      </c>
      <c r="D4241" s="22" t="s">
        <v>33</v>
      </c>
      <c r="E4241" s="22" t="s">
        <v>65</v>
      </c>
      <c r="F4241" s="22" t="s">
        <v>34</v>
      </c>
      <c r="G4241" s="22" t="s">
        <v>116</v>
      </c>
      <c r="H4241" s="22" t="s">
        <v>71</v>
      </c>
      <c r="I4241" s="22" t="s">
        <v>114</v>
      </c>
      <c r="J4241" s="23">
        <v>48</v>
      </c>
      <c r="K4241" s="37">
        <v>0</v>
      </c>
      <c r="L4241" s="37">
        <v>4</v>
      </c>
      <c r="M4241" s="22">
        <f>IF(OR(ISBLANK(C4241),C4241=""),"",ROUND((C4241-B4241)*24,2))</f>
        <v>63.62</v>
      </c>
      <c r="N4241" s="38" t="str">
        <f>IF(OR(ISBLANK(C4241),C4241="",M4241=""),"In Progress",IF(M4241&lt;=J4241,"Met","Breached"))</f>
        <v>Breached</v>
      </c>
    </row>
    <row r="4242" ht="19" customHeight="1" spans="1:14" x14ac:dyDescent="0.25">
      <c r="A4242" s="19" t="s">
        <v>4356</v>
      </c>
      <c r="B4242" s="33">
        <v>46018.6125</v>
      </c>
      <c r="D4242" s="19" t="s">
        <v>39</v>
      </c>
      <c r="E4242" s="19" t="s">
        <v>69</v>
      </c>
      <c r="F4242" s="19" t="s">
        <v>40</v>
      </c>
      <c r="G4242" s="19" t="s">
        <v>63</v>
      </c>
      <c r="H4242" s="19" t="s">
        <v>59</v>
      </c>
      <c r="I4242" s="19" t="s">
        <v>108</v>
      </c>
      <c r="J4242" s="20">
        <v>120</v>
      </c>
      <c r="K4242" s="34">
        <v>0</v>
      </c>
      <c r="M4242" s="19" t="str">
        <f>IF(OR(ISBLANK(C4242),C4242=""),"",ROUND((C4242-B4242)*24,2))</f>
        <v/>
      </c>
      <c r="N4242" s="19" t="str">
        <f>IF(OR(ISBLANK(C4242),C4242="",M4242=""),"In Progress",IF(M4242&lt;=J4242,"Met","Breached"))</f>
        <v>In Progress</v>
      </c>
    </row>
    <row r="4243" ht="19" customHeight="1" spans="1:14" x14ac:dyDescent="0.25">
      <c r="A4243" s="22" t="s">
        <v>4357</v>
      </c>
      <c r="B4243" s="36">
        <v>45907.40763888889</v>
      </c>
      <c r="C4243" s="36">
        <v>45907.663888888885</v>
      </c>
      <c r="D4243" s="22" t="s">
        <v>33</v>
      </c>
      <c r="E4243" s="22" t="s">
        <v>61</v>
      </c>
      <c r="F4243" s="22" t="s">
        <v>37</v>
      </c>
      <c r="G4243" s="22" t="s">
        <v>110</v>
      </c>
      <c r="H4243" s="22" t="s">
        <v>63</v>
      </c>
      <c r="I4243" s="22" t="s">
        <v>123</v>
      </c>
      <c r="J4243" s="23">
        <v>12</v>
      </c>
      <c r="K4243" s="37">
        <v>0</v>
      </c>
      <c r="L4243" s="37">
        <v>3</v>
      </c>
      <c r="M4243" s="22">
        <f>IF(OR(ISBLANK(C4243),C4243=""),"",ROUND((C4243-B4243)*24,2))</f>
        <v>6.15</v>
      </c>
      <c r="N4243" s="40" t="str">
        <f>IF(OR(ISBLANK(C4243),C4243="",M4243=""),"In Progress",IF(M4243&lt;=J4243,"Met","Breached"))</f>
        <v>Met</v>
      </c>
    </row>
    <row r="4244" ht="19" customHeight="1" spans="1:14" x14ac:dyDescent="0.25">
      <c r="A4244" s="19" t="s">
        <v>4358</v>
      </c>
      <c r="B4244" s="33">
        <v>45775.63888888889</v>
      </c>
      <c r="C4244" s="33">
        <v>45776.080555555556</v>
      </c>
      <c r="D4244" s="19" t="s">
        <v>36</v>
      </c>
      <c r="E4244" s="19" t="s">
        <v>61</v>
      </c>
      <c r="F4244" s="19" t="s">
        <v>43</v>
      </c>
      <c r="G4244" s="19" t="s">
        <v>121</v>
      </c>
      <c r="H4244" s="19" t="s">
        <v>59</v>
      </c>
      <c r="I4244" s="19" t="s">
        <v>111</v>
      </c>
      <c r="J4244" s="20">
        <v>12</v>
      </c>
      <c r="K4244" s="34">
        <v>0</v>
      </c>
      <c r="L4244" s="34">
        <v>4</v>
      </c>
      <c r="M4244" s="19">
        <f>IF(OR(ISBLANK(C4244),C4244=""),"",ROUND((C4244-B4244)*24,2))</f>
        <v>10.6</v>
      </c>
      <c r="N4244" s="35" t="str">
        <f>IF(OR(ISBLANK(C4244),C4244="",M4244=""),"In Progress",IF(M4244&lt;=J4244,"Met","Breached"))</f>
        <v>Met</v>
      </c>
    </row>
    <row r="4245" ht="19" customHeight="1" spans="1:14" x14ac:dyDescent="0.25">
      <c r="A4245" s="22" t="s">
        <v>4359</v>
      </c>
      <c r="B4245" s="36">
        <v>45859.191666666666</v>
      </c>
      <c r="C4245" s="36">
        <v>45859.65347222222</v>
      </c>
      <c r="D4245" s="22" t="s">
        <v>33</v>
      </c>
      <c r="E4245" s="22" t="s">
        <v>61</v>
      </c>
      <c r="F4245" s="22" t="s">
        <v>40</v>
      </c>
      <c r="G4245" s="22" t="s">
        <v>63</v>
      </c>
      <c r="H4245" s="22" t="s">
        <v>63</v>
      </c>
      <c r="I4245" s="22" t="s">
        <v>123</v>
      </c>
      <c r="J4245" s="23">
        <v>12</v>
      </c>
      <c r="K4245" s="37">
        <v>1</v>
      </c>
      <c r="M4245" s="22">
        <f>IF(OR(ISBLANK(C4245),C4245=""),"",ROUND((C4245-B4245)*24,2))</f>
        <v>11.08</v>
      </c>
      <c r="N4245" s="40" t="str">
        <f>IF(OR(ISBLANK(C4245),C4245="",M4245=""),"In Progress",IF(M4245&lt;=J4245,"Met","Breached"))</f>
        <v>Met</v>
      </c>
    </row>
    <row r="4246" ht="19" customHeight="1" spans="1:14" x14ac:dyDescent="0.25">
      <c r="A4246" s="19" t="s">
        <v>4360</v>
      </c>
      <c r="B4246" s="33">
        <v>46086.15625</v>
      </c>
      <c r="C4246" s="33">
        <v>46086.62569444445</v>
      </c>
      <c r="D4246" s="19" t="s">
        <v>36</v>
      </c>
      <c r="E4246" s="19" t="s">
        <v>61</v>
      </c>
      <c r="F4246" s="19" t="s">
        <v>34</v>
      </c>
      <c r="G4246" s="19" t="s">
        <v>63</v>
      </c>
      <c r="H4246" s="19" t="s">
        <v>63</v>
      </c>
      <c r="I4246" s="19" t="s">
        <v>147</v>
      </c>
      <c r="J4246" s="20">
        <v>12</v>
      </c>
      <c r="K4246" s="34">
        <v>0</v>
      </c>
      <c r="M4246" s="19">
        <f>IF(OR(ISBLANK(C4246),C4246=""),"",ROUND((C4246-B4246)*24,2))</f>
        <v>11.27</v>
      </c>
      <c r="N4246" s="35" t="str">
        <f>IF(OR(ISBLANK(C4246),C4246="",M4246=""),"In Progress",IF(M4246&lt;=J4246,"Met","Breached"))</f>
        <v>Met</v>
      </c>
    </row>
    <row r="4247" ht="19" customHeight="1" spans="1:14" x14ac:dyDescent="0.25">
      <c r="A4247" s="22" t="s">
        <v>4361</v>
      </c>
      <c r="B4247" s="36">
        <v>45762.00138888889</v>
      </c>
      <c r="D4247" s="22" t="s">
        <v>39</v>
      </c>
      <c r="E4247" s="22" t="s">
        <v>61</v>
      </c>
      <c r="F4247" s="22" t="s">
        <v>37</v>
      </c>
      <c r="G4247" s="22" t="s">
        <v>63</v>
      </c>
      <c r="H4247" s="22" t="s">
        <v>63</v>
      </c>
      <c r="I4247" s="22" t="s">
        <v>114</v>
      </c>
      <c r="J4247" s="23">
        <v>12</v>
      </c>
      <c r="K4247" s="37">
        <v>0</v>
      </c>
      <c r="M4247" s="22" t="str">
        <f>IF(OR(ISBLANK(C4247),C4247=""),"",ROUND((C4247-B4247)*24,2))</f>
        <v/>
      </c>
      <c r="N4247" s="22" t="str">
        <f>IF(OR(ISBLANK(C4247),C4247="",M4247=""),"In Progress",IF(M4247&lt;=J4247,"Met","Breached"))</f>
        <v>In Progress</v>
      </c>
    </row>
    <row r="4248" ht="19" customHeight="1" spans="1:14" x14ac:dyDescent="0.25">
      <c r="A4248" s="19" t="s">
        <v>4362</v>
      </c>
      <c r="B4248" s="33">
        <v>46176.25833333333</v>
      </c>
      <c r="C4248" s="33">
        <v>46178.004166666666</v>
      </c>
      <c r="D4248" s="19" t="s">
        <v>33</v>
      </c>
      <c r="E4248" s="19" t="s">
        <v>69</v>
      </c>
      <c r="F4248" s="19" t="s">
        <v>45</v>
      </c>
      <c r="G4248" s="19" t="s">
        <v>63</v>
      </c>
      <c r="H4248" s="19" t="s">
        <v>59</v>
      </c>
      <c r="I4248" s="19" t="s">
        <v>117</v>
      </c>
      <c r="J4248" s="20">
        <v>120</v>
      </c>
      <c r="K4248" s="34">
        <v>0</v>
      </c>
      <c r="L4248" s="34">
        <v>4</v>
      </c>
      <c r="M4248" s="19">
        <f>IF(OR(ISBLANK(C4248),C4248=""),"",ROUND((C4248-B4248)*24,2))</f>
        <v>41.9</v>
      </c>
      <c r="N4248" s="35" t="str">
        <f>IF(OR(ISBLANK(C4248),C4248="",M4248=""),"In Progress",IF(M4248&lt;=J4248,"Met","Breached"))</f>
        <v>Met</v>
      </c>
    </row>
    <row r="4249" ht="19" customHeight="1" spans="1:14" x14ac:dyDescent="0.25">
      <c r="A4249" s="22" t="s">
        <v>4363</v>
      </c>
      <c r="B4249" s="36">
        <v>46259.82847222222</v>
      </c>
      <c r="D4249" s="22" t="s">
        <v>39</v>
      </c>
      <c r="E4249" s="22" t="s">
        <v>65</v>
      </c>
      <c r="F4249" s="22" t="s">
        <v>34</v>
      </c>
      <c r="G4249" s="22" t="s">
        <v>63</v>
      </c>
      <c r="H4249" s="22" t="s">
        <v>71</v>
      </c>
      <c r="I4249" s="22" t="s">
        <v>114</v>
      </c>
      <c r="J4249" s="23">
        <v>48</v>
      </c>
      <c r="K4249" s="37">
        <v>0</v>
      </c>
      <c r="M4249" s="22" t="str">
        <f>IF(OR(ISBLANK(C4249),C4249=""),"",ROUND((C4249-B4249)*24,2))</f>
        <v/>
      </c>
      <c r="N4249" s="22" t="str">
        <f>IF(OR(ISBLANK(C4249),C4249="",M4249=""),"In Progress",IF(M4249&lt;=J4249,"Met","Breached"))</f>
        <v>In Progress</v>
      </c>
    </row>
    <row r="4250" ht="19" customHeight="1" spans="1:14" x14ac:dyDescent="0.25">
      <c r="A4250" s="19" t="s">
        <v>4364</v>
      </c>
      <c r="B4250" s="33">
        <v>46087.87291666667</v>
      </c>
      <c r="D4250" s="19" t="s">
        <v>42</v>
      </c>
      <c r="E4250" s="19" t="s">
        <v>69</v>
      </c>
      <c r="F4250" s="19" t="s">
        <v>45</v>
      </c>
      <c r="G4250" s="19" t="s">
        <v>116</v>
      </c>
      <c r="H4250" s="19" t="s">
        <v>59</v>
      </c>
      <c r="I4250" s="19" t="s">
        <v>108</v>
      </c>
      <c r="J4250" s="20">
        <v>120</v>
      </c>
      <c r="K4250" s="34">
        <v>0</v>
      </c>
      <c r="M4250" s="19" t="str">
        <f>IF(OR(ISBLANK(C4250),C4250=""),"",ROUND((C4250-B4250)*24,2))</f>
        <v/>
      </c>
      <c r="N4250" s="19" t="str">
        <f>IF(OR(ISBLANK(C4250),C4250="",M4250=""),"In Progress",IF(M4250&lt;=J4250,"Met","Breached"))</f>
        <v>In Progress</v>
      </c>
    </row>
    <row r="4251" ht="19" customHeight="1" spans="1:14" x14ac:dyDescent="0.25">
      <c r="A4251" s="22" t="s">
        <v>4365</v>
      </c>
      <c r="B4251" s="36">
        <v>46064.23472222222</v>
      </c>
      <c r="C4251" s="36">
        <v>46067.13541666667</v>
      </c>
      <c r="D4251" s="22" t="s">
        <v>33</v>
      </c>
      <c r="E4251" s="22" t="s">
        <v>69</v>
      </c>
      <c r="F4251" s="22" t="s">
        <v>40</v>
      </c>
      <c r="G4251" s="22" t="s">
        <v>110</v>
      </c>
      <c r="H4251" s="22" t="s">
        <v>59</v>
      </c>
      <c r="I4251" s="22" t="s">
        <v>117</v>
      </c>
      <c r="J4251" s="23">
        <v>120</v>
      </c>
      <c r="K4251" s="37">
        <v>1</v>
      </c>
      <c r="L4251" s="37">
        <v>1</v>
      </c>
      <c r="M4251" s="22">
        <f>IF(OR(ISBLANK(C4251),C4251=""),"",ROUND((C4251-B4251)*24,2))</f>
        <v>69.62</v>
      </c>
      <c r="N4251" s="40" t="str">
        <f>IF(OR(ISBLANK(C4251),C4251="",M4251=""),"In Progress",IF(M4251&lt;=J4251,"Met","Breached"))</f>
        <v>Met</v>
      </c>
    </row>
    <row r="4252" ht="19" customHeight="1" spans="1:14" x14ac:dyDescent="0.25">
      <c r="A4252" s="19" t="s">
        <v>4366</v>
      </c>
      <c r="B4252" s="33">
        <v>46219.43819444445</v>
      </c>
      <c r="C4252" s="33">
        <v>46222.271527777775</v>
      </c>
      <c r="D4252" s="19" t="s">
        <v>36</v>
      </c>
      <c r="E4252" s="19" t="s">
        <v>65</v>
      </c>
      <c r="F4252" s="19" t="s">
        <v>45</v>
      </c>
      <c r="G4252" s="19" t="s">
        <v>113</v>
      </c>
      <c r="H4252" s="19" t="s">
        <v>59</v>
      </c>
      <c r="I4252" s="19" t="s">
        <v>111</v>
      </c>
      <c r="J4252" s="20">
        <v>48</v>
      </c>
      <c r="K4252" s="34">
        <v>0</v>
      </c>
      <c r="L4252" s="34">
        <v>5</v>
      </c>
      <c r="M4252" s="19">
        <f>IF(OR(ISBLANK(C4252),C4252=""),"",ROUND((C4252-B4252)*24,2))</f>
        <v>68</v>
      </c>
      <c r="N4252" s="39" t="str">
        <f>IF(OR(ISBLANK(C4252),C4252="",M4252=""),"In Progress",IF(M4252&lt;=J4252,"Met","Breached"))</f>
        <v>Breached</v>
      </c>
    </row>
    <row r="4253" ht="19" customHeight="1" spans="1:14" x14ac:dyDescent="0.25">
      <c r="A4253" s="22" t="s">
        <v>4367</v>
      </c>
      <c r="B4253" s="36">
        <v>45992.544444444444</v>
      </c>
      <c r="C4253" s="36">
        <v>45993.004166666666</v>
      </c>
      <c r="D4253" s="22" t="s">
        <v>33</v>
      </c>
      <c r="E4253" s="22" t="s">
        <v>61</v>
      </c>
      <c r="F4253" s="22" t="s">
        <v>45</v>
      </c>
      <c r="G4253" s="22" t="s">
        <v>63</v>
      </c>
      <c r="H4253" s="22" t="s">
        <v>59</v>
      </c>
      <c r="I4253" s="22" t="s">
        <v>108</v>
      </c>
      <c r="J4253" s="23">
        <v>12</v>
      </c>
      <c r="K4253" s="37">
        <v>0</v>
      </c>
      <c r="M4253" s="22">
        <f>IF(OR(ISBLANK(C4253),C4253=""),"",ROUND((C4253-B4253)*24,2))</f>
        <v>11.03</v>
      </c>
      <c r="N4253" s="40" t="str">
        <f>IF(OR(ISBLANK(C4253),C4253="",M4253=""),"In Progress",IF(M4253&lt;=J4253,"Met","Breached"))</f>
        <v>Met</v>
      </c>
    </row>
    <row r="4254" ht="19" customHeight="1" spans="1:14" x14ac:dyDescent="0.25">
      <c r="A4254" s="19" t="s">
        <v>4368</v>
      </c>
      <c r="B4254" s="33">
        <v>45930.43263888889</v>
      </c>
      <c r="C4254" s="33">
        <v>45930.98333333334</v>
      </c>
      <c r="D4254" s="19" t="s">
        <v>33</v>
      </c>
      <c r="E4254" s="19" t="s">
        <v>61</v>
      </c>
      <c r="F4254" s="19" t="s">
        <v>45</v>
      </c>
      <c r="G4254" s="19" t="s">
        <v>113</v>
      </c>
      <c r="H4254" s="19" t="s">
        <v>59</v>
      </c>
      <c r="I4254" s="19" t="s">
        <v>147</v>
      </c>
      <c r="J4254" s="20">
        <v>12</v>
      </c>
      <c r="K4254" s="34">
        <v>0</v>
      </c>
      <c r="M4254" s="19">
        <f>IF(OR(ISBLANK(C4254),C4254=""),"",ROUND((C4254-B4254)*24,2))</f>
        <v>13.22</v>
      </c>
      <c r="N4254" s="39" t="str">
        <f>IF(OR(ISBLANK(C4254),C4254="",M4254=""),"In Progress",IF(M4254&lt;=J4254,"Met","Breached"))</f>
        <v>Breached</v>
      </c>
    </row>
    <row r="4255" ht="19" customHeight="1" spans="1:14" x14ac:dyDescent="0.25">
      <c r="A4255" s="22" t="s">
        <v>4369</v>
      </c>
      <c r="B4255" s="36">
        <v>46152.77777777778</v>
      </c>
      <c r="C4255" s="36">
        <v>46153.606944444444</v>
      </c>
      <c r="D4255" s="22" t="s">
        <v>33</v>
      </c>
      <c r="E4255" s="22" t="s">
        <v>61</v>
      </c>
      <c r="F4255" s="22" t="s">
        <v>34</v>
      </c>
      <c r="G4255" s="22" t="s">
        <v>110</v>
      </c>
      <c r="H4255" s="22" t="s">
        <v>59</v>
      </c>
      <c r="I4255" s="22" t="s">
        <v>114</v>
      </c>
      <c r="J4255" s="23">
        <v>12</v>
      </c>
      <c r="K4255" s="37">
        <v>0</v>
      </c>
      <c r="L4255" s="37">
        <v>1</v>
      </c>
      <c r="M4255" s="22">
        <f>IF(OR(ISBLANK(C4255),C4255=""),"",ROUND((C4255-B4255)*24,2))</f>
        <v>19.9</v>
      </c>
      <c r="N4255" s="38" t="str">
        <f>IF(OR(ISBLANK(C4255),C4255="",M4255=""),"In Progress",IF(M4255&lt;=J4255,"Met","Breached"))</f>
        <v>Breached</v>
      </c>
    </row>
    <row r="4256" ht="19" customHeight="1" spans="1:14" x14ac:dyDescent="0.25">
      <c r="A4256" s="19" t="s">
        <v>4370</v>
      </c>
      <c r="B4256" s="33">
        <v>45675.165972222225</v>
      </c>
      <c r="C4256" s="33">
        <v>45676.697222222225</v>
      </c>
      <c r="D4256" s="19" t="s">
        <v>36</v>
      </c>
      <c r="E4256" s="19" t="s">
        <v>65</v>
      </c>
      <c r="F4256" s="19" t="s">
        <v>43</v>
      </c>
      <c r="G4256" s="19" t="s">
        <v>121</v>
      </c>
      <c r="H4256" s="19" t="s">
        <v>67</v>
      </c>
      <c r="I4256" s="19" t="s">
        <v>108</v>
      </c>
      <c r="J4256" s="20">
        <v>48</v>
      </c>
      <c r="K4256" s="34">
        <v>0</v>
      </c>
      <c r="L4256" s="34">
        <v>5</v>
      </c>
      <c r="M4256" s="19">
        <f>IF(OR(ISBLANK(C4256),C4256=""),"",ROUND((C4256-B4256)*24,2))</f>
        <v>36.75</v>
      </c>
      <c r="N4256" s="35" t="str">
        <f>IF(OR(ISBLANK(C4256),C4256="",M4256=""),"In Progress",IF(M4256&lt;=J4256,"Met","Breached"))</f>
        <v>Met</v>
      </c>
    </row>
    <row r="4257" ht="19" customHeight="1" spans="1:14" x14ac:dyDescent="0.25">
      <c r="A4257" s="22" t="s">
        <v>4371</v>
      </c>
      <c r="B4257" s="36">
        <v>45742.90555555555</v>
      </c>
      <c r="C4257" s="36">
        <v>45745.56180555555</v>
      </c>
      <c r="D4257" s="22" t="s">
        <v>33</v>
      </c>
      <c r="E4257" s="22" t="s">
        <v>65</v>
      </c>
      <c r="F4257" s="22" t="s">
        <v>45</v>
      </c>
      <c r="G4257" s="22" t="s">
        <v>116</v>
      </c>
      <c r="H4257" s="22" t="s">
        <v>67</v>
      </c>
      <c r="I4257" s="22" t="s">
        <v>108</v>
      </c>
      <c r="J4257" s="23">
        <v>48</v>
      </c>
      <c r="K4257" s="37">
        <v>0</v>
      </c>
      <c r="L4257" s="37">
        <v>2</v>
      </c>
      <c r="M4257" s="22">
        <f>IF(OR(ISBLANK(C4257),C4257=""),"",ROUND((C4257-B4257)*24,2))</f>
        <v>63.75</v>
      </c>
      <c r="N4257" s="38" t="str">
        <f>IF(OR(ISBLANK(C4257),C4257="",M4257=""),"In Progress",IF(M4257&lt;=J4257,"Met","Breached"))</f>
        <v>Breached</v>
      </c>
    </row>
    <row r="4258" ht="19" customHeight="1" spans="1:14" x14ac:dyDescent="0.25">
      <c r="A4258" s="19" t="s">
        <v>4372</v>
      </c>
      <c r="B4258" s="33">
        <v>46284.34236111111</v>
      </c>
      <c r="C4258" s="33">
        <v>46293.274305555555</v>
      </c>
      <c r="D4258" s="19" t="s">
        <v>33</v>
      </c>
      <c r="E4258" s="19" t="s">
        <v>69</v>
      </c>
      <c r="F4258" s="19" t="s">
        <v>45</v>
      </c>
      <c r="G4258" s="19" t="s">
        <v>121</v>
      </c>
      <c r="H4258" s="19" t="s">
        <v>67</v>
      </c>
      <c r="I4258" s="19" t="s">
        <v>123</v>
      </c>
      <c r="J4258" s="20">
        <v>120</v>
      </c>
      <c r="K4258" s="34">
        <v>0</v>
      </c>
      <c r="L4258" s="34">
        <v>3</v>
      </c>
      <c r="M4258" s="19">
        <f>IF(OR(ISBLANK(C4258),C4258=""),"",ROUND((C4258-B4258)*24,2))</f>
        <v>214.37</v>
      </c>
      <c r="N4258" s="39" t="str">
        <f>IF(OR(ISBLANK(C4258),C4258="",M4258=""),"In Progress",IF(M4258&lt;=J4258,"Met","Breached"))</f>
        <v>Breached</v>
      </c>
    </row>
    <row r="4259" ht="19" customHeight="1" spans="1:14" x14ac:dyDescent="0.25">
      <c r="A4259" s="22" t="s">
        <v>4373</v>
      </c>
      <c r="B4259" s="36">
        <v>45694.3375</v>
      </c>
      <c r="C4259" s="36">
        <v>45697.90694444445</v>
      </c>
      <c r="D4259" s="22" t="s">
        <v>36</v>
      </c>
      <c r="E4259" s="22" t="s">
        <v>65</v>
      </c>
      <c r="F4259" s="22" t="s">
        <v>43</v>
      </c>
      <c r="G4259" s="22" t="s">
        <v>116</v>
      </c>
      <c r="H4259" s="22" t="s">
        <v>67</v>
      </c>
      <c r="I4259" s="22" t="s">
        <v>111</v>
      </c>
      <c r="J4259" s="23">
        <v>48</v>
      </c>
      <c r="K4259" s="37">
        <v>0</v>
      </c>
      <c r="L4259" s="37">
        <v>2</v>
      </c>
      <c r="M4259" s="22">
        <f>IF(OR(ISBLANK(C4259),C4259=""),"",ROUND((C4259-B4259)*24,2))</f>
        <v>85.67</v>
      </c>
      <c r="N4259" s="38" t="str">
        <f>IF(OR(ISBLANK(C4259),C4259="",M4259=""),"In Progress",IF(M4259&lt;=J4259,"Met","Breached"))</f>
        <v>Breached</v>
      </c>
    </row>
    <row r="4260" ht="19" customHeight="1" spans="1:14" x14ac:dyDescent="0.25">
      <c r="A4260" s="19" t="s">
        <v>4374</v>
      </c>
      <c r="B4260" s="33">
        <v>46085.43541666667</v>
      </c>
      <c r="C4260" s="33">
        <v>46086.02638888889</v>
      </c>
      <c r="D4260" s="19" t="s">
        <v>33</v>
      </c>
      <c r="E4260" s="19" t="s">
        <v>61</v>
      </c>
      <c r="F4260" s="19" t="s">
        <v>37</v>
      </c>
      <c r="G4260" s="19" t="s">
        <v>110</v>
      </c>
      <c r="H4260" s="19" t="s">
        <v>67</v>
      </c>
      <c r="I4260" s="19" t="s">
        <v>147</v>
      </c>
      <c r="J4260" s="20">
        <v>12</v>
      </c>
      <c r="K4260" s="34">
        <v>0</v>
      </c>
      <c r="L4260" s="34">
        <v>4</v>
      </c>
      <c r="M4260" s="19">
        <f>IF(OR(ISBLANK(C4260),C4260=""),"",ROUND((C4260-B4260)*24,2))</f>
        <v>14.18</v>
      </c>
      <c r="N4260" s="39" t="str">
        <f>IF(OR(ISBLANK(C4260),C4260="",M4260=""),"In Progress",IF(M4260&lt;=J4260,"Met","Breached"))</f>
        <v>Breached</v>
      </c>
    </row>
    <row r="4261" ht="19" customHeight="1" spans="1:14" x14ac:dyDescent="0.25">
      <c r="A4261" s="22" t="s">
        <v>4375</v>
      </c>
      <c r="B4261" s="36">
        <v>46137.101388888885</v>
      </c>
      <c r="C4261" s="36">
        <v>46137.66458333333</v>
      </c>
      <c r="D4261" s="22" t="s">
        <v>33</v>
      </c>
      <c r="E4261" s="22" t="s">
        <v>61</v>
      </c>
      <c r="F4261" s="22" t="s">
        <v>34</v>
      </c>
      <c r="G4261" s="22" t="s">
        <v>113</v>
      </c>
      <c r="H4261" s="22" t="s">
        <v>63</v>
      </c>
      <c r="I4261" s="22" t="s">
        <v>123</v>
      </c>
      <c r="J4261" s="23">
        <v>12</v>
      </c>
      <c r="K4261" s="37">
        <v>0</v>
      </c>
      <c r="L4261" s="37">
        <v>4</v>
      </c>
      <c r="M4261" s="22">
        <f>IF(OR(ISBLANK(C4261),C4261=""),"",ROUND((C4261-B4261)*24,2))</f>
        <v>13.52</v>
      </c>
      <c r="N4261" s="38" t="str">
        <f>IF(OR(ISBLANK(C4261),C4261="",M4261=""),"In Progress",IF(M4261&lt;=J4261,"Met","Breached"))</f>
        <v>Breached</v>
      </c>
    </row>
    <row r="4262" ht="19" customHeight="1" spans="1:14" x14ac:dyDescent="0.25">
      <c r="A4262" s="19" t="s">
        <v>4376</v>
      </c>
      <c r="B4262" s="33">
        <v>45705.24166666667</v>
      </c>
      <c r="D4262" s="19" t="s">
        <v>39</v>
      </c>
      <c r="E4262" s="19" t="s">
        <v>65</v>
      </c>
      <c r="F4262" s="19" t="s">
        <v>37</v>
      </c>
      <c r="G4262" s="19" t="s">
        <v>110</v>
      </c>
      <c r="H4262" s="19" t="s">
        <v>59</v>
      </c>
      <c r="I4262" s="19" t="s">
        <v>111</v>
      </c>
      <c r="J4262" s="20">
        <v>48</v>
      </c>
      <c r="K4262" s="34">
        <v>0</v>
      </c>
      <c r="M4262" s="19" t="str">
        <f>IF(OR(ISBLANK(C4262),C4262=""),"",ROUND((C4262-B4262)*24,2))</f>
        <v/>
      </c>
      <c r="N4262" s="19" t="str">
        <f>IF(OR(ISBLANK(C4262),C4262="",M4262=""),"In Progress",IF(M4262&lt;=J4262,"Met","Breached"))</f>
        <v>In Progress</v>
      </c>
    </row>
    <row r="4263" ht="19" customHeight="1" spans="1:14" x14ac:dyDescent="0.25">
      <c r="A4263" s="22" t="s">
        <v>4377</v>
      </c>
      <c r="B4263" s="36">
        <v>45930.98333333334</v>
      </c>
      <c r="D4263" s="22" t="s">
        <v>42</v>
      </c>
      <c r="E4263" s="22" t="s">
        <v>65</v>
      </c>
      <c r="F4263" s="22" t="s">
        <v>40</v>
      </c>
      <c r="G4263" s="22" t="s">
        <v>116</v>
      </c>
      <c r="H4263" s="22" t="s">
        <v>59</v>
      </c>
      <c r="I4263" s="22" t="s">
        <v>117</v>
      </c>
      <c r="J4263" s="23">
        <v>48</v>
      </c>
      <c r="K4263" s="37">
        <v>0</v>
      </c>
      <c r="M4263" s="22" t="str">
        <f>IF(OR(ISBLANK(C4263),C4263=""),"",ROUND((C4263-B4263)*24,2))</f>
        <v/>
      </c>
      <c r="N4263" s="22" t="str">
        <f>IF(OR(ISBLANK(C4263),C4263="",M4263=""),"In Progress",IF(M4263&lt;=J4263,"Met","Breached"))</f>
        <v>In Progress</v>
      </c>
    </row>
    <row r="4264" ht="19" customHeight="1" spans="1:14" x14ac:dyDescent="0.25">
      <c r="A4264" s="19" t="s">
        <v>4378</v>
      </c>
      <c r="B4264" s="33">
        <v>45897.26736111111</v>
      </c>
      <c r="C4264" s="33">
        <v>45897.98263888889</v>
      </c>
      <c r="D4264" s="19" t="s">
        <v>33</v>
      </c>
      <c r="E4264" s="19" t="s">
        <v>61</v>
      </c>
      <c r="F4264" s="19" t="s">
        <v>43</v>
      </c>
      <c r="G4264" s="19" t="s">
        <v>126</v>
      </c>
      <c r="H4264" s="19" t="s">
        <v>59</v>
      </c>
      <c r="I4264" s="19" t="s">
        <v>117</v>
      </c>
      <c r="J4264" s="20">
        <v>12</v>
      </c>
      <c r="K4264" s="34">
        <v>0</v>
      </c>
      <c r="L4264" s="34">
        <v>2</v>
      </c>
      <c r="M4264" s="19">
        <f>IF(OR(ISBLANK(C4264),C4264=""),"",ROUND((C4264-B4264)*24,2))</f>
        <v>17.17</v>
      </c>
      <c r="N4264" s="39" t="str">
        <f>IF(OR(ISBLANK(C4264),C4264="",M4264=""),"In Progress",IF(M4264&lt;=J4264,"Met","Breached"))</f>
        <v>Breached</v>
      </c>
    </row>
    <row r="4265" ht="19" customHeight="1" spans="1:14" x14ac:dyDescent="0.25">
      <c r="A4265" s="22" t="s">
        <v>4379</v>
      </c>
      <c r="B4265" s="36">
        <v>45717.95694444445</v>
      </c>
      <c r="C4265" s="36">
        <v>45718.61041666666</v>
      </c>
      <c r="D4265" s="22" t="s">
        <v>33</v>
      </c>
      <c r="E4265" s="22" t="s">
        <v>61</v>
      </c>
      <c r="F4265" s="22" t="s">
        <v>45</v>
      </c>
      <c r="G4265" s="22" t="s">
        <v>113</v>
      </c>
      <c r="H4265" s="22" t="s">
        <v>67</v>
      </c>
      <c r="I4265" s="22" t="s">
        <v>147</v>
      </c>
      <c r="J4265" s="23">
        <v>12</v>
      </c>
      <c r="K4265" s="37">
        <v>0</v>
      </c>
      <c r="M4265" s="22">
        <f>IF(OR(ISBLANK(C4265),C4265=""),"",ROUND((C4265-B4265)*24,2))</f>
        <v>15.68</v>
      </c>
      <c r="N4265" s="38" t="str">
        <f>IF(OR(ISBLANK(C4265),C4265="",M4265=""),"In Progress",IF(M4265&lt;=J4265,"Met","Breached"))</f>
        <v>Breached</v>
      </c>
    </row>
    <row r="4266" ht="19" customHeight="1" spans="1:14" x14ac:dyDescent="0.25">
      <c r="A4266" s="19" t="s">
        <v>4380</v>
      </c>
      <c r="B4266" s="33">
        <v>45765.89791666667</v>
      </c>
      <c r="D4266" s="19" t="s">
        <v>42</v>
      </c>
      <c r="E4266" s="19" t="s">
        <v>65</v>
      </c>
      <c r="F4266" s="19" t="s">
        <v>34</v>
      </c>
      <c r="G4266" s="19" t="s">
        <v>121</v>
      </c>
      <c r="H4266" s="19" t="s">
        <v>59</v>
      </c>
      <c r="I4266" s="19" t="s">
        <v>123</v>
      </c>
      <c r="J4266" s="20">
        <v>48</v>
      </c>
      <c r="K4266" s="34">
        <v>0</v>
      </c>
      <c r="M4266" s="19" t="str">
        <f>IF(OR(ISBLANK(C4266),C4266=""),"",ROUND((C4266-B4266)*24,2))</f>
        <v/>
      </c>
      <c r="N4266" s="19" t="str">
        <f>IF(OR(ISBLANK(C4266),C4266="",M4266=""),"In Progress",IF(M4266&lt;=J4266,"Met","Breached"))</f>
        <v>In Progress</v>
      </c>
    </row>
    <row r="4267" ht="19" customHeight="1" spans="1:14" x14ac:dyDescent="0.25">
      <c r="A4267" s="22" t="s">
        <v>4381</v>
      </c>
      <c r="B4267" s="36">
        <v>46173.992361111115</v>
      </c>
      <c r="C4267" s="36">
        <v>46176.5</v>
      </c>
      <c r="D4267" s="22" t="s">
        <v>36</v>
      </c>
      <c r="E4267" s="22" t="s">
        <v>65</v>
      </c>
      <c r="F4267" s="22" t="s">
        <v>40</v>
      </c>
      <c r="G4267" s="22" t="s">
        <v>116</v>
      </c>
      <c r="H4267" s="22" t="s">
        <v>59</v>
      </c>
      <c r="I4267" s="22" t="s">
        <v>108</v>
      </c>
      <c r="J4267" s="23">
        <v>48</v>
      </c>
      <c r="K4267" s="37">
        <v>0</v>
      </c>
      <c r="L4267" s="37">
        <v>4</v>
      </c>
      <c r="M4267" s="22">
        <f>IF(OR(ISBLANK(C4267),C4267=""),"",ROUND((C4267-B4267)*24,2))</f>
        <v>60.18</v>
      </c>
      <c r="N4267" s="38" t="str">
        <f>IF(OR(ISBLANK(C4267),C4267="",M4267=""),"In Progress",IF(M4267&lt;=J4267,"Met","Breached"))</f>
        <v>Breached</v>
      </c>
    </row>
    <row r="4268" ht="19" customHeight="1" spans="1:14" x14ac:dyDescent="0.25">
      <c r="A4268" s="19" t="s">
        <v>4382</v>
      </c>
      <c r="B4268" s="33">
        <v>46150.94097222222</v>
      </c>
      <c r="C4268" s="33">
        <v>46151.445138888885</v>
      </c>
      <c r="D4268" s="19" t="s">
        <v>33</v>
      </c>
      <c r="E4268" s="19" t="s">
        <v>61</v>
      </c>
      <c r="F4268" s="19" t="s">
        <v>34</v>
      </c>
      <c r="G4268" s="19" t="s">
        <v>63</v>
      </c>
      <c r="H4268" s="19" t="s">
        <v>67</v>
      </c>
      <c r="I4268" s="19" t="s">
        <v>147</v>
      </c>
      <c r="J4268" s="20">
        <v>12</v>
      </c>
      <c r="K4268" s="34">
        <v>0</v>
      </c>
      <c r="L4268" s="34">
        <v>4</v>
      </c>
      <c r="M4268" s="19">
        <f>IF(OR(ISBLANK(C4268),C4268=""),"",ROUND((C4268-B4268)*24,2))</f>
        <v>12.1</v>
      </c>
      <c r="N4268" s="39" t="str">
        <f>IF(OR(ISBLANK(C4268),C4268="",M4268=""),"In Progress",IF(M4268&lt;=J4268,"Met","Breached"))</f>
        <v>Breached</v>
      </c>
    </row>
    <row r="4269" ht="19" customHeight="1" spans="1:14" x14ac:dyDescent="0.25">
      <c r="A4269" s="22" t="s">
        <v>4383</v>
      </c>
      <c r="B4269" s="36">
        <v>46209.01180555555</v>
      </c>
      <c r="C4269" s="36">
        <v>46209.73611111111</v>
      </c>
      <c r="D4269" s="22" t="s">
        <v>36</v>
      </c>
      <c r="E4269" s="22" t="s">
        <v>61</v>
      </c>
      <c r="F4269" s="22" t="s">
        <v>43</v>
      </c>
      <c r="G4269" s="22" t="s">
        <v>126</v>
      </c>
      <c r="H4269" s="22" t="s">
        <v>59</v>
      </c>
      <c r="I4269" s="22" t="s">
        <v>111</v>
      </c>
      <c r="J4269" s="23">
        <v>12</v>
      </c>
      <c r="K4269" s="37">
        <v>0</v>
      </c>
      <c r="L4269" s="37">
        <v>4</v>
      </c>
      <c r="M4269" s="22">
        <f>IF(OR(ISBLANK(C4269),C4269=""),"",ROUND((C4269-B4269)*24,2))</f>
        <v>17.38</v>
      </c>
      <c r="N4269" s="38" t="str">
        <f>IF(OR(ISBLANK(C4269),C4269="",M4269=""),"In Progress",IF(M4269&lt;=J4269,"Met","Breached"))</f>
        <v>Breached</v>
      </c>
    </row>
    <row r="4270" ht="19" customHeight="1" spans="1:14" x14ac:dyDescent="0.25">
      <c r="A4270" s="19" t="s">
        <v>4384</v>
      </c>
      <c r="B4270" s="33">
        <v>46266.31805555556</v>
      </c>
      <c r="C4270" s="33">
        <v>46271.54375</v>
      </c>
      <c r="D4270" s="19" t="s">
        <v>36</v>
      </c>
      <c r="E4270" s="19" t="s">
        <v>69</v>
      </c>
      <c r="F4270" s="19" t="s">
        <v>37</v>
      </c>
      <c r="G4270" s="19" t="s">
        <v>126</v>
      </c>
      <c r="H4270" s="19" t="s">
        <v>67</v>
      </c>
      <c r="I4270" s="19" t="s">
        <v>114</v>
      </c>
      <c r="J4270" s="20">
        <v>120</v>
      </c>
      <c r="K4270" s="34">
        <v>0</v>
      </c>
      <c r="L4270" s="34">
        <v>2</v>
      </c>
      <c r="M4270" s="19">
        <f>IF(OR(ISBLANK(C4270),C4270=""),"",ROUND((C4270-B4270)*24,2))</f>
        <v>125.42</v>
      </c>
      <c r="N4270" s="39" t="str">
        <f>IF(OR(ISBLANK(C4270),C4270="",M4270=""),"In Progress",IF(M4270&lt;=J4270,"Met","Breached"))</f>
        <v>Breached</v>
      </c>
    </row>
    <row r="4271" ht="19" customHeight="1" spans="1:14" x14ac:dyDescent="0.25">
      <c r="A4271" s="22" t="s">
        <v>4385</v>
      </c>
      <c r="B4271" s="36">
        <v>45770.695138888885</v>
      </c>
      <c r="C4271" s="36">
        <v>45773.50486111111</v>
      </c>
      <c r="D4271" s="22" t="s">
        <v>33</v>
      </c>
      <c r="E4271" s="22" t="s">
        <v>65</v>
      </c>
      <c r="F4271" s="22" t="s">
        <v>37</v>
      </c>
      <c r="G4271" s="22" t="s">
        <v>116</v>
      </c>
      <c r="H4271" s="22" t="s">
        <v>59</v>
      </c>
      <c r="I4271" s="22" t="s">
        <v>114</v>
      </c>
      <c r="J4271" s="23">
        <v>48</v>
      </c>
      <c r="K4271" s="37">
        <v>0</v>
      </c>
      <c r="L4271" s="37">
        <v>4</v>
      </c>
      <c r="M4271" s="22">
        <f>IF(OR(ISBLANK(C4271),C4271=""),"",ROUND((C4271-B4271)*24,2))</f>
        <v>67.43</v>
      </c>
      <c r="N4271" s="38" t="str">
        <f>IF(OR(ISBLANK(C4271),C4271="",M4271=""),"In Progress",IF(M4271&lt;=J4271,"Met","Breached"))</f>
        <v>Breached</v>
      </c>
    </row>
    <row r="4272" ht="19" customHeight="1" spans="1:14" x14ac:dyDescent="0.25">
      <c r="A4272" s="19" t="s">
        <v>4386</v>
      </c>
      <c r="B4272" s="33">
        <v>45725.00208333333</v>
      </c>
      <c r="D4272" s="19" t="s">
        <v>39</v>
      </c>
      <c r="E4272" s="19" t="s">
        <v>65</v>
      </c>
      <c r="F4272" s="19" t="s">
        <v>43</v>
      </c>
      <c r="G4272" s="19" t="s">
        <v>116</v>
      </c>
      <c r="H4272" s="19" t="s">
        <v>67</v>
      </c>
      <c r="I4272" s="19" t="s">
        <v>108</v>
      </c>
      <c r="J4272" s="20">
        <v>48</v>
      </c>
      <c r="K4272" s="34">
        <v>0</v>
      </c>
      <c r="M4272" s="19" t="str">
        <f>IF(OR(ISBLANK(C4272),C4272=""),"",ROUND((C4272-B4272)*24,2))</f>
        <v/>
      </c>
      <c r="N4272" s="19" t="str">
        <f>IF(OR(ISBLANK(C4272),C4272="",M4272=""),"In Progress",IF(M4272&lt;=J4272,"Met","Breached"))</f>
        <v>In Progress</v>
      </c>
    </row>
    <row r="4273" ht="19" customHeight="1" spans="1:14" x14ac:dyDescent="0.25">
      <c r="A4273" s="22" t="s">
        <v>4387</v>
      </c>
      <c r="B4273" s="36">
        <v>45843.15277777778</v>
      </c>
      <c r="C4273" s="36">
        <v>45845.74791666667</v>
      </c>
      <c r="D4273" s="22" t="s">
        <v>36</v>
      </c>
      <c r="E4273" s="22" t="s">
        <v>69</v>
      </c>
      <c r="F4273" s="22" t="s">
        <v>43</v>
      </c>
      <c r="G4273" s="22" t="s">
        <v>126</v>
      </c>
      <c r="H4273" s="22" t="s">
        <v>71</v>
      </c>
      <c r="I4273" s="22" t="s">
        <v>147</v>
      </c>
      <c r="J4273" s="23">
        <v>120</v>
      </c>
      <c r="K4273" s="37">
        <v>0</v>
      </c>
      <c r="L4273" s="37">
        <v>1</v>
      </c>
      <c r="M4273" s="22">
        <f>IF(OR(ISBLANK(C4273),C4273=""),"",ROUND((C4273-B4273)*24,2))</f>
        <v>62.28</v>
      </c>
      <c r="N4273" s="40" t="str">
        <f>IF(OR(ISBLANK(C4273),C4273="",M4273=""),"In Progress",IF(M4273&lt;=J4273,"Met","Breached"))</f>
        <v>Met</v>
      </c>
    </row>
    <row r="4274" ht="19" customHeight="1" spans="1:14" x14ac:dyDescent="0.25">
      <c r="A4274" s="19" t="s">
        <v>4388</v>
      </c>
      <c r="B4274" s="33">
        <v>45845.893055555556</v>
      </c>
      <c r="D4274" s="19" t="s">
        <v>39</v>
      </c>
      <c r="E4274" s="19" t="s">
        <v>57</v>
      </c>
      <c r="F4274" s="19" t="s">
        <v>45</v>
      </c>
      <c r="G4274" s="19" t="s">
        <v>116</v>
      </c>
      <c r="H4274" s="19" t="s">
        <v>59</v>
      </c>
      <c r="I4274" s="19" t="s">
        <v>111</v>
      </c>
      <c r="J4274" s="20">
        <v>4</v>
      </c>
      <c r="K4274" s="34">
        <v>0</v>
      </c>
      <c r="M4274" s="19" t="str">
        <f>IF(OR(ISBLANK(C4274),C4274=""),"",ROUND((C4274-B4274)*24,2))</f>
        <v/>
      </c>
      <c r="N4274" s="19" t="str">
        <f>IF(OR(ISBLANK(C4274),C4274="",M4274=""),"In Progress",IF(M4274&lt;=J4274,"Met","Breached"))</f>
        <v>In Progress</v>
      </c>
    </row>
    <row r="4275" ht="19" customHeight="1" spans="1:14" x14ac:dyDescent="0.25">
      <c r="A4275" s="22" t="s">
        <v>4389</v>
      </c>
      <c r="B4275" s="36">
        <v>46281.15555555555</v>
      </c>
      <c r="C4275" s="36">
        <v>46281.97013888889</v>
      </c>
      <c r="D4275" s="22" t="s">
        <v>33</v>
      </c>
      <c r="E4275" s="22" t="s">
        <v>61</v>
      </c>
      <c r="F4275" s="22" t="s">
        <v>40</v>
      </c>
      <c r="G4275" s="22" t="s">
        <v>63</v>
      </c>
      <c r="H4275" s="22" t="s">
        <v>67</v>
      </c>
      <c r="I4275" s="22" t="s">
        <v>117</v>
      </c>
      <c r="J4275" s="23">
        <v>12</v>
      </c>
      <c r="K4275" s="37">
        <v>0</v>
      </c>
      <c r="L4275" s="37">
        <v>3</v>
      </c>
      <c r="M4275" s="22">
        <f>IF(OR(ISBLANK(C4275),C4275=""),"",ROUND((C4275-B4275)*24,2))</f>
        <v>19.55</v>
      </c>
      <c r="N4275" s="38" t="str">
        <f>IF(OR(ISBLANK(C4275),C4275="",M4275=""),"In Progress",IF(M4275&lt;=J4275,"Met","Breached"))</f>
        <v>Breached</v>
      </c>
    </row>
    <row r="4276" ht="19" customHeight="1" spans="1:14" x14ac:dyDescent="0.25">
      <c r="A4276" s="19" t="s">
        <v>4390</v>
      </c>
      <c r="B4276" s="33">
        <v>46133.64375</v>
      </c>
      <c r="C4276" s="33">
        <v>46133.959027777775</v>
      </c>
      <c r="D4276" s="19" t="s">
        <v>33</v>
      </c>
      <c r="E4276" s="19" t="s">
        <v>61</v>
      </c>
      <c r="F4276" s="19" t="s">
        <v>34</v>
      </c>
      <c r="G4276" s="19" t="s">
        <v>63</v>
      </c>
      <c r="H4276" s="19" t="s">
        <v>67</v>
      </c>
      <c r="I4276" s="19" t="s">
        <v>111</v>
      </c>
      <c r="J4276" s="20">
        <v>12</v>
      </c>
      <c r="K4276" s="34">
        <v>0</v>
      </c>
      <c r="L4276" s="34">
        <v>1</v>
      </c>
      <c r="M4276" s="19">
        <f>IF(OR(ISBLANK(C4276),C4276=""),"",ROUND((C4276-B4276)*24,2))</f>
        <v>7.57</v>
      </c>
      <c r="N4276" s="35" t="str">
        <f>IF(OR(ISBLANK(C4276),C4276="",M4276=""),"In Progress",IF(M4276&lt;=J4276,"Met","Breached"))</f>
        <v>Met</v>
      </c>
    </row>
    <row r="4277" ht="19" customHeight="1" spans="1:14" x14ac:dyDescent="0.25">
      <c r="A4277" s="22" t="s">
        <v>4391</v>
      </c>
      <c r="B4277" s="36">
        <v>46224.58333333333</v>
      </c>
      <c r="D4277" s="22" t="s">
        <v>39</v>
      </c>
      <c r="E4277" s="22" t="s">
        <v>65</v>
      </c>
      <c r="F4277" s="22" t="s">
        <v>45</v>
      </c>
      <c r="G4277" s="22" t="s">
        <v>110</v>
      </c>
      <c r="H4277" s="22" t="s">
        <v>59</v>
      </c>
      <c r="I4277" s="22" t="s">
        <v>111</v>
      </c>
      <c r="J4277" s="23">
        <v>48</v>
      </c>
      <c r="K4277" s="37">
        <v>0</v>
      </c>
      <c r="M4277" s="22" t="str">
        <f>IF(OR(ISBLANK(C4277),C4277=""),"",ROUND((C4277-B4277)*24,2))</f>
        <v/>
      </c>
      <c r="N4277" s="22" t="str">
        <f>IF(OR(ISBLANK(C4277),C4277="",M4277=""),"In Progress",IF(M4277&lt;=J4277,"Met","Breached"))</f>
        <v>In Progress</v>
      </c>
    </row>
    <row r="4278" ht="19" customHeight="1" spans="1:14" x14ac:dyDescent="0.25">
      <c r="A4278" s="19" t="s">
        <v>4392</v>
      </c>
      <c r="B4278" s="33">
        <v>45671.95277777778</v>
      </c>
      <c r="C4278" s="33">
        <v>45672.19930555555</v>
      </c>
      <c r="D4278" s="19" t="s">
        <v>33</v>
      </c>
      <c r="E4278" s="19" t="s">
        <v>61</v>
      </c>
      <c r="F4278" s="19" t="s">
        <v>45</v>
      </c>
      <c r="G4278" s="19" t="s">
        <v>126</v>
      </c>
      <c r="H4278" s="19" t="s">
        <v>59</v>
      </c>
      <c r="I4278" s="19" t="s">
        <v>117</v>
      </c>
      <c r="J4278" s="20">
        <v>12</v>
      </c>
      <c r="K4278" s="34">
        <v>0</v>
      </c>
      <c r="M4278" s="19">
        <f>IF(OR(ISBLANK(C4278),C4278=""),"",ROUND((C4278-B4278)*24,2))</f>
        <v>5.92</v>
      </c>
      <c r="N4278" s="35" t="str">
        <f>IF(OR(ISBLANK(C4278),C4278="",M4278=""),"In Progress",IF(M4278&lt;=J4278,"Met","Breached"))</f>
        <v>Met</v>
      </c>
    </row>
    <row r="4279" ht="19" customHeight="1" spans="1:14" x14ac:dyDescent="0.25">
      <c r="A4279" s="22" t="s">
        <v>4393</v>
      </c>
      <c r="B4279" s="36">
        <v>45756.69791666667</v>
      </c>
      <c r="C4279" s="36">
        <v>45756.99375</v>
      </c>
      <c r="D4279" s="22" t="s">
        <v>33</v>
      </c>
      <c r="E4279" s="22" t="s">
        <v>57</v>
      </c>
      <c r="F4279" s="22" t="s">
        <v>43</v>
      </c>
      <c r="G4279" s="22" t="s">
        <v>63</v>
      </c>
      <c r="H4279" s="22" t="s">
        <v>63</v>
      </c>
      <c r="I4279" s="22" t="s">
        <v>147</v>
      </c>
      <c r="J4279" s="23">
        <v>4</v>
      </c>
      <c r="K4279" s="37">
        <v>0</v>
      </c>
      <c r="L4279" s="37">
        <v>1</v>
      </c>
      <c r="M4279" s="22">
        <f>IF(OR(ISBLANK(C4279),C4279=""),"",ROUND((C4279-B4279)*24,2))</f>
        <v>7.1</v>
      </c>
      <c r="N4279" s="38" t="str">
        <f>IF(OR(ISBLANK(C4279),C4279="",M4279=""),"In Progress",IF(M4279&lt;=J4279,"Met","Breached"))</f>
        <v>Breached</v>
      </c>
    </row>
    <row r="4280" ht="19" customHeight="1" spans="1:14" x14ac:dyDescent="0.25">
      <c r="A4280" s="19" t="s">
        <v>4394</v>
      </c>
      <c r="B4280" s="33">
        <v>46009.35763888889</v>
      </c>
      <c r="D4280" s="19" t="s">
        <v>39</v>
      </c>
      <c r="E4280" s="19" t="s">
        <v>65</v>
      </c>
      <c r="F4280" s="19" t="s">
        <v>37</v>
      </c>
      <c r="G4280" s="19" t="s">
        <v>110</v>
      </c>
      <c r="H4280" s="19" t="s">
        <v>67</v>
      </c>
      <c r="I4280" s="19" t="s">
        <v>123</v>
      </c>
      <c r="J4280" s="20">
        <v>48</v>
      </c>
      <c r="K4280" s="34">
        <v>0</v>
      </c>
      <c r="M4280" s="19" t="str">
        <f>IF(OR(ISBLANK(C4280),C4280=""),"",ROUND((C4280-B4280)*24,2))</f>
        <v/>
      </c>
      <c r="N4280" s="19" t="str">
        <f>IF(OR(ISBLANK(C4280),C4280="",M4280=""),"In Progress",IF(M4280&lt;=J4280,"Met","Breached"))</f>
        <v>In Progress</v>
      </c>
    </row>
    <row r="4281" ht="19" customHeight="1" spans="1:14" x14ac:dyDescent="0.25">
      <c r="A4281" s="22" t="s">
        <v>4395</v>
      </c>
      <c r="B4281" s="36">
        <v>46283.47361111111</v>
      </c>
      <c r="C4281" s="36">
        <v>46285.018055555556</v>
      </c>
      <c r="D4281" s="22" t="s">
        <v>33</v>
      </c>
      <c r="E4281" s="22" t="s">
        <v>69</v>
      </c>
      <c r="F4281" s="22" t="s">
        <v>34</v>
      </c>
      <c r="G4281" s="22" t="s">
        <v>116</v>
      </c>
      <c r="H4281" s="22" t="s">
        <v>63</v>
      </c>
      <c r="I4281" s="22" t="s">
        <v>111</v>
      </c>
      <c r="J4281" s="23">
        <v>120</v>
      </c>
      <c r="K4281" s="37">
        <v>1</v>
      </c>
      <c r="L4281" s="37">
        <v>1</v>
      </c>
      <c r="M4281" s="22">
        <f>IF(OR(ISBLANK(C4281),C4281=""),"",ROUND((C4281-B4281)*24,2))</f>
        <v>37.07</v>
      </c>
      <c r="N4281" s="40" t="str">
        <f>IF(OR(ISBLANK(C4281),C4281="",M4281=""),"In Progress",IF(M4281&lt;=J4281,"Met","Breached"))</f>
        <v>Met</v>
      </c>
    </row>
    <row r="4282" ht="19" customHeight="1" spans="1:14" x14ac:dyDescent="0.25">
      <c r="A4282" s="19" t="s">
        <v>4396</v>
      </c>
      <c r="B4282" s="33">
        <v>45895.26736111111</v>
      </c>
      <c r="D4282" s="19" t="s">
        <v>39</v>
      </c>
      <c r="E4282" s="19" t="s">
        <v>69</v>
      </c>
      <c r="F4282" s="19" t="s">
        <v>34</v>
      </c>
      <c r="G4282" s="19" t="s">
        <v>63</v>
      </c>
      <c r="H4282" s="19" t="s">
        <v>63</v>
      </c>
      <c r="I4282" s="19" t="s">
        <v>108</v>
      </c>
      <c r="J4282" s="20">
        <v>120</v>
      </c>
      <c r="K4282" s="34">
        <v>0</v>
      </c>
      <c r="M4282" s="19" t="str">
        <f>IF(OR(ISBLANK(C4282),C4282=""),"",ROUND((C4282-B4282)*24,2))</f>
        <v/>
      </c>
      <c r="N4282" s="19" t="str">
        <f>IF(OR(ISBLANK(C4282),C4282="",M4282=""),"In Progress",IF(M4282&lt;=J4282,"Met","Breached"))</f>
        <v>In Progress</v>
      </c>
    </row>
    <row r="4283" ht="19" customHeight="1" spans="1:14" x14ac:dyDescent="0.25">
      <c r="A4283" s="22" t="s">
        <v>4397</v>
      </c>
      <c r="B4283" s="36">
        <v>46115.86666666667</v>
      </c>
      <c r="C4283" s="36">
        <v>46118.28333333333</v>
      </c>
      <c r="D4283" s="22" t="s">
        <v>33</v>
      </c>
      <c r="E4283" s="22" t="s">
        <v>65</v>
      </c>
      <c r="F4283" s="22" t="s">
        <v>40</v>
      </c>
      <c r="G4283" s="22" t="s">
        <v>110</v>
      </c>
      <c r="H4283" s="22" t="s">
        <v>63</v>
      </c>
      <c r="I4283" s="22" t="s">
        <v>147</v>
      </c>
      <c r="J4283" s="23">
        <v>48</v>
      </c>
      <c r="K4283" s="37">
        <v>0</v>
      </c>
      <c r="L4283" s="37">
        <v>5</v>
      </c>
      <c r="M4283" s="22">
        <f>IF(OR(ISBLANK(C4283),C4283=""),"",ROUND((C4283-B4283)*24,2))</f>
        <v>58</v>
      </c>
      <c r="N4283" s="38" t="str">
        <f>IF(OR(ISBLANK(C4283),C4283="",M4283=""),"In Progress",IF(M4283&lt;=J4283,"Met","Breached"))</f>
        <v>Breached</v>
      </c>
    </row>
    <row r="4284" ht="19" customHeight="1" spans="1:14" x14ac:dyDescent="0.25">
      <c r="A4284" s="19" t="s">
        <v>4398</v>
      </c>
      <c r="B4284" s="33">
        <v>45852.225</v>
      </c>
      <c r="C4284" s="33">
        <v>45857.44097222222</v>
      </c>
      <c r="D4284" s="19" t="s">
        <v>33</v>
      </c>
      <c r="E4284" s="19" t="s">
        <v>69</v>
      </c>
      <c r="F4284" s="19" t="s">
        <v>45</v>
      </c>
      <c r="G4284" s="19" t="s">
        <v>126</v>
      </c>
      <c r="H4284" s="19" t="s">
        <v>71</v>
      </c>
      <c r="I4284" s="19" t="s">
        <v>147</v>
      </c>
      <c r="J4284" s="20">
        <v>120</v>
      </c>
      <c r="K4284" s="34">
        <v>0</v>
      </c>
      <c r="L4284" s="34">
        <v>1</v>
      </c>
      <c r="M4284" s="19">
        <f>IF(OR(ISBLANK(C4284),C4284=""),"",ROUND((C4284-B4284)*24,2))</f>
        <v>125.18</v>
      </c>
      <c r="N4284" s="39" t="str">
        <f>IF(OR(ISBLANK(C4284),C4284="",M4284=""),"In Progress",IF(M4284&lt;=J4284,"Met","Breached"))</f>
        <v>Breached</v>
      </c>
    </row>
    <row r="4285" ht="19" customHeight="1" spans="1:14" x14ac:dyDescent="0.25">
      <c r="A4285" s="22" t="s">
        <v>4399</v>
      </c>
      <c r="B4285" s="36">
        <v>46060.3375</v>
      </c>
      <c r="C4285" s="36">
        <v>46060.90416666667</v>
      </c>
      <c r="D4285" s="22" t="s">
        <v>33</v>
      </c>
      <c r="E4285" s="22" t="s">
        <v>61</v>
      </c>
      <c r="F4285" s="22" t="s">
        <v>37</v>
      </c>
      <c r="G4285" s="22" t="s">
        <v>126</v>
      </c>
      <c r="H4285" s="22" t="s">
        <v>63</v>
      </c>
      <c r="I4285" s="22" t="s">
        <v>123</v>
      </c>
      <c r="J4285" s="23">
        <v>12</v>
      </c>
      <c r="K4285" s="37">
        <v>0</v>
      </c>
      <c r="L4285" s="37">
        <v>3</v>
      </c>
      <c r="M4285" s="22">
        <f>IF(OR(ISBLANK(C4285),C4285=""),"",ROUND((C4285-B4285)*24,2))</f>
        <v>13.6</v>
      </c>
      <c r="N4285" s="38" t="str">
        <f>IF(OR(ISBLANK(C4285),C4285="",M4285=""),"In Progress",IF(M4285&lt;=J4285,"Met","Breached"))</f>
        <v>Breached</v>
      </c>
    </row>
    <row r="4286" ht="19" customHeight="1" spans="1:14" x14ac:dyDescent="0.25">
      <c r="A4286" s="19" t="s">
        <v>4400</v>
      </c>
      <c r="B4286" s="33">
        <v>46246.82638888889</v>
      </c>
      <c r="C4286" s="33">
        <v>46248.336111111115</v>
      </c>
      <c r="D4286" s="19" t="s">
        <v>36</v>
      </c>
      <c r="E4286" s="19" t="s">
        <v>65</v>
      </c>
      <c r="F4286" s="19" t="s">
        <v>34</v>
      </c>
      <c r="G4286" s="19" t="s">
        <v>116</v>
      </c>
      <c r="H4286" s="19" t="s">
        <v>67</v>
      </c>
      <c r="I4286" s="19" t="s">
        <v>123</v>
      </c>
      <c r="J4286" s="20">
        <v>48</v>
      </c>
      <c r="K4286" s="34">
        <v>0</v>
      </c>
      <c r="M4286" s="19">
        <f>IF(OR(ISBLANK(C4286),C4286=""),"",ROUND((C4286-B4286)*24,2))</f>
        <v>36.23</v>
      </c>
      <c r="N4286" s="35" t="str">
        <f>IF(OR(ISBLANK(C4286),C4286="",M4286=""),"In Progress",IF(M4286&lt;=J4286,"Met","Breached"))</f>
        <v>Met</v>
      </c>
    </row>
    <row r="4287" ht="19" customHeight="1" spans="1:14" x14ac:dyDescent="0.25">
      <c r="A4287" s="22" t="s">
        <v>4401</v>
      </c>
      <c r="B4287" s="36">
        <v>45929.90763888889</v>
      </c>
      <c r="D4287" s="22" t="s">
        <v>39</v>
      </c>
      <c r="E4287" s="22" t="s">
        <v>69</v>
      </c>
      <c r="F4287" s="22" t="s">
        <v>40</v>
      </c>
      <c r="G4287" s="22" t="s">
        <v>110</v>
      </c>
      <c r="H4287" s="22" t="s">
        <v>63</v>
      </c>
      <c r="I4287" s="22" t="s">
        <v>108</v>
      </c>
      <c r="J4287" s="23">
        <v>120</v>
      </c>
      <c r="K4287" s="37">
        <v>0</v>
      </c>
      <c r="M4287" s="22" t="str">
        <f>IF(OR(ISBLANK(C4287),C4287=""),"",ROUND((C4287-B4287)*24,2))</f>
        <v/>
      </c>
      <c r="N4287" s="22" t="str">
        <f>IF(OR(ISBLANK(C4287),C4287="",M4287=""),"In Progress",IF(M4287&lt;=J4287,"Met","Breached"))</f>
        <v>In Progress</v>
      </c>
    </row>
    <row r="4288" ht="19" customHeight="1" spans="1:14" x14ac:dyDescent="0.25">
      <c r="A4288" s="19" t="s">
        <v>4402</v>
      </c>
      <c r="B4288" s="33">
        <v>45917.27083333333</v>
      </c>
      <c r="C4288" s="33">
        <v>45917.89722222222</v>
      </c>
      <c r="D4288" s="19" t="s">
        <v>36</v>
      </c>
      <c r="E4288" s="19" t="s">
        <v>65</v>
      </c>
      <c r="F4288" s="19" t="s">
        <v>40</v>
      </c>
      <c r="G4288" s="19" t="s">
        <v>63</v>
      </c>
      <c r="H4288" s="19" t="s">
        <v>67</v>
      </c>
      <c r="I4288" s="19" t="s">
        <v>147</v>
      </c>
      <c r="J4288" s="20">
        <v>48</v>
      </c>
      <c r="K4288" s="34">
        <v>0</v>
      </c>
      <c r="L4288" s="34">
        <v>5</v>
      </c>
      <c r="M4288" s="19">
        <f>IF(OR(ISBLANK(C4288),C4288=""),"",ROUND((C4288-B4288)*24,2))</f>
        <v>15.03</v>
      </c>
      <c r="N4288" s="35" t="str">
        <f>IF(OR(ISBLANK(C4288),C4288="",M4288=""),"In Progress",IF(M4288&lt;=J4288,"Met","Breached"))</f>
        <v>Met</v>
      </c>
    </row>
    <row r="4289" ht="19" customHeight="1" spans="1:14" x14ac:dyDescent="0.25">
      <c r="A4289" s="22" t="s">
        <v>4403</v>
      </c>
      <c r="B4289" s="36">
        <v>46123.12152777778</v>
      </c>
      <c r="C4289" s="36">
        <v>46126.08263888889</v>
      </c>
      <c r="D4289" s="22" t="s">
        <v>33</v>
      </c>
      <c r="E4289" s="22" t="s">
        <v>65</v>
      </c>
      <c r="F4289" s="22" t="s">
        <v>34</v>
      </c>
      <c r="G4289" s="22" t="s">
        <v>116</v>
      </c>
      <c r="H4289" s="22" t="s">
        <v>59</v>
      </c>
      <c r="I4289" s="22" t="s">
        <v>147</v>
      </c>
      <c r="J4289" s="23">
        <v>48</v>
      </c>
      <c r="K4289" s="37">
        <v>0</v>
      </c>
      <c r="L4289" s="37">
        <v>1</v>
      </c>
      <c r="M4289" s="22">
        <f>IF(OR(ISBLANK(C4289),C4289=""),"",ROUND((C4289-B4289)*24,2))</f>
        <v>71.07</v>
      </c>
      <c r="N4289" s="38" t="str">
        <f>IF(OR(ISBLANK(C4289),C4289="",M4289=""),"In Progress",IF(M4289&lt;=J4289,"Met","Breached"))</f>
        <v>Breached</v>
      </c>
    </row>
    <row r="4290" ht="19" customHeight="1" spans="1:14" x14ac:dyDescent="0.25">
      <c r="A4290" s="19" t="s">
        <v>4404</v>
      </c>
      <c r="B4290" s="33">
        <v>45814.81111111111</v>
      </c>
      <c r="C4290" s="33">
        <v>45814.97152777778</v>
      </c>
      <c r="D4290" s="19" t="s">
        <v>33</v>
      </c>
      <c r="E4290" s="19" t="s">
        <v>57</v>
      </c>
      <c r="F4290" s="19" t="s">
        <v>34</v>
      </c>
      <c r="G4290" s="19" t="s">
        <v>113</v>
      </c>
      <c r="H4290" s="19" t="s">
        <v>59</v>
      </c>
      <c r="I4290" s="19" t="s">
        <v>111</v>
      </c>
      <c r="J4290" s="20">
        <v>4</v>
      </c>
      <c r="K4290" s="34">
        <v>0</v>
      </c>
      <c r="M4290" s="19">
        <f>IF(OR(ISBLANK(C4290),C4290=""),"",ROUND((C4290-B4290)*24,2))</f>
        <v>3.85</v>
      </c>
      <c r="N4290" s="35" t="str">
        <f>IF(OR(ISBLANK(C4290),C4290="",M4290=""),"In Progress",IF(M4290&lt;=J4290,"Met","Breached"))</f>
        <v>Met</v>
      </c>
    </row>
    <row r="4291" ht="19" customHeight="1" spans="1:14" x14ac:dyDescent="0.25">
      <c r="A4291" s="22" t="s">
        <v>4405</v>
      </c>
      <c r="B4291" s="36">
        <v>45820.61319444445</v>
      </c>
      <c r="D4291" s="22" t="s">
        <v>39</v>
      </c>
      <c r="E4291" s="22" t="s">
        <v>69</v>
      </c>
      <c r="F4291" s="22" t="s">
        <v>34</v>
      </c>
      <c r="G4291" s="22" t="s">
        <v>110</v>
      </c>
      <c r="H4291" s="22" t="s">
        <v>63</v>
      </c>
      <c r="I4291" s="22" t="s">
        <v>117</v>
      </c>
      <c r="J4291" s="23">
        <v>120</v>
      </c>
      <c r="K4291" s="37">
        <v>0</v>
      </c>
      <c r="M4291" s="22" t="str">
        <f>IF(OR(ISBLANK(C4291),C4291=""),"",ROUND((C4291-B4291)*24,2))</f>
        <v/>
      </c>
      <c r="N4291" s="22" t="str">
        <f>IF(OR(ISBLANK(C4291),C4291="",M4291=""),"In Progress",IF(M4291&lt;=J4291,"Met","Breached"))</f>
        <v>In Progress</v>
      </c>
    </row>
    <row r="4292" ht="19" customHeight="1" spans="1:14" x14ac:dyDescent="0.25">
      <c r="A4292" s="19" t="s">
        <v>4406</v>
      </c>
      <c r="B4292" s="33">
        <v>45876.23819444445</v>
      </c>
      <c r="D4292" s="19" t="s">
        <v>42</v>
      </c>
      <c r="E4292" s="19" t="s">
        <v>65</v>
      </c>
      <c r="F4292" s="19" t="s">
        <v>34</v>
      </c>
      <c r="G4292" s="19" t="s">
        <v>126</v>
      </c>
      <c r="H4292" s="19" t="s">
        <v>59</v>
      </c>
      <c r="I4292" s="19" t="s">
        <v>123</v>
      </c>
      <c r="J4292" s="20">
        <v>48</v>
      </c>
      <c r="K4292" s="34">
        <v>0</v>
      </c>
      <c r="M4292" s="19" t="str">
        <f>IF(OR(ISBLANK(C4292),C4292=""),"",ROUND((C4292-B4292)*24,2))</f>
        <v/>
      </c>
      <c r="N4292" s="19" t="str">
        <f>IF(OR(ISBLANK(C4292),C4292="",M4292=""),"In Progress",IF(M4292&lt;=J4292,"Met","Breached"))</f>
        <v>In Progress</v>
      </c>
    </row>
    <row r="4293" ht="19" customHeight="1" spans="1:14" x14ac:dyDescent="0.25">
      <c r="A4293" s="22" t="s">
        <v>4407</v>
      </c>
      <c r="B4293" s="36">
        <v>45724.35833333334</v>
      </c>
      <c r="C4293" s="36">
        <v>45731.84236111111</v>
      </c>
      <c r="D4293" s="22" t="s">
        <v>33</v>
      </c>
      <c r="E4293" s="22" t="s">
        <v>69</v>
      </c>
      <c r="F4293" s="22" t="s">
        <v>40</v>
      </c>
      <c r="G4293" s="22" t="s">
        <v>110</v>
      </c>
      <c r="H4293" s="22" t="s">
        <v>59</v>
      </c>
      <c r="I4293" s="22" t="s">
        <v>114</v>
      </c>
      <c r="J4293" s="23">
        <v>120</v>
      </c>
      <c r="K4293" s="37">
        <v>0</v>
      </c>
      <c r="M4293" s="22">
        <f>IF(OR(ISBLANK(C4293),C4293=""),"",ROUND((C4293-B4293)*24,2))</f>
        <v>179.62</v>
      </c>
      <c r="N4293" s="38" t="str">
        <f>IF(OR(ISBLANK(C4293),C4293="",M4293=""),"In Progress",IF(M4293&lt;=J4293,"Met","Breached"))</f>
        <v>Breached</v>
      </c>
    </row>
    <row r="4294" ht="19" customHeight="1" spans="1:14" x14ac:dyDescent="0.25">
      <c r="A4294" s="19" t="s">
        <v>4408</v>
      </c>
      <c r="B4294" s="33">
        <v>45897.53472222222</v>
      </c>
      <c r="C4294" s="33">
        <v>45901.68888888889</v>
      </c>
      <c r="D4294" s="19" t="s">
        <v>33</v>
      </c>
      <c r="E4294" s="19" t="s">
        <v>69</v>
      </c>
      <c r="F4294" s="19" t="s">
        <v>40</v>
      </c>
      <c r="G4294" s="19" t="s">
        <v>63</v>
      </c>
      <c r="H4294" s="19" t="s">
        <v>63</v>
      </c>
      <c r="I4294" s="19" t="s">
        <v>123</v>
      </c>
      <c r="J4294" s="20">
        <v>120</v>
      </c>
      <c r="K4294" s="34">
        <v>0</v>
      </c>
      <c r="M4294" s="19">
        <f>IF(OR(ISBLANK(C4294),C4294=""),"",ROUND((C4294-B4294)*24,2))</f>
        <v>99.7</v>
      </c>
      <c r="N4294" s="35" t="str">
        <f>IF(OR(ISBLANK(C4294),C4294="",M4294=""),"In Progress",IF(M4294&lt;=J4294,"Met","Breached"))</f>
        <v>Met</v>
      </c>
    </row>
    <row r="4295" ht="19" customHeight="1" spans="1:14" x14ac:dyDescent="0.25">
      <c r="A4295" s="22" t="s">
        <v>4409</v>
      </c>
      <c r="B4295" s="36">
        <v>46034.21041666667</v>
      </c>
      <c r="D4295" s="22" t="s">
        <v>39</v>
      </c>
      <c r="E4295" s="22" t="s">
        <v>65</v>
      </c>
      <c r="F4295" s="22" t="s">
        <v>43</v>
      </c>
      <c r="G4295" s="22" t="s">
        <v>126</v>
      </c>
      <c r="H4295" s="22" t="s">
        <v>67</v>
      </c>
      <c r="I4295" s="22" t="s">
        <v>123</v>
      </c>
      <c r="J4295" s="23">
        <v>48</v>
      </c>
      <c r="K4295" s="37">
        <v>0</v>
      </c>
      <c r="M4295" s="22" t="str">
        <f>IF(OR(ISBLANK(C4295),C4295=""),"",ROUND((C4295-B4295)*24,2))</f>
        <v/>
      </c>
      <c r="N4295" s="22" t="str">
        <f>IF(OR(ISBLANK(C4295),C4295="",M4295=""),"In Progress",IF(M4295&lt;=J4295,"Met","Breached"))</f>
        <v>In Progress</v>
      </c>
    </row>
    <row r="4296" ht="19" customHeight="1" spans="1:14" x14ac:dyDescent="0.25">
      <c r="A4296" s="19" t="s">
        <v>4410</v>
      </c>
      <c r="B4296" s="33">
        <v>45889.86944444444</v>
      </c>
      <c r="C4296" s="33">
        <v>45891.24791666667</v>
      </c>
      <c r="D4296" s="19" t="s">
        <v>36</v>
      </c>
      <c r="E4296" s="19" t="s">
        <v>65</v>
      </c>
      <c r="F4296" s="19" t="s">
        <v>43</v>
      </c>
      <c r="G4296" s="19" t="s">
        <v>110</v>
      </c>
      <c r="H4296" s="19" t="s">
        <v>59</v>
      </c>
      <c r="I4296" s="19" t="s">
        <v>117</v>
      </c>
      <c r="J4296" s="20">
        <v>48</v>
      </c>
      <c r="K4296" s="34">
        <v>0</v>
      </c>
      <c r="L4296" s="34">
        <v>5</v>
      </c>
      <c r="M4296" s="19">
        <f>IF(OR(ISBLANK(C4296),C4296=""),"",ROUND((C4296-B4296)*24,2))</f>
        <v>33.08</v>
      </c>
      <c r="N4296" s="35" t="str">
        <f>IF(OR(ISBLANK(C4296),C4296="",M4296=""),"In Progress",IF(M4296&lt;=J4296,"Met","Breached"))</f>
        <v>Met</v>
      </c>
    </row>
    <row r="4297" ht="19" customHeight="1" spans="1:14" x14ac:dyDescent="0.25">
      <c r="A4297" s="22" t="s">
        <v>4411</v>
      </c>
      <c r="B4297" s="36">
        <v>46171.98541666666</v>
      </c>
      <c r="C4297" s="36">
        <v>46172.23125</v>
      </c>
      <c r="D4297" s="22" t="s">
        <v>33</v>
      </c>
      <c r="E4297" s="22" t="s">
        <v>61</v>
      </c>
      <c r="F4297" s="22" t="s">
        <v>45</v>
      </c>
      <c r="G4297" s="22" t="s">
        <v>121</v>
      </c>
      <c r="H4297" s="22" t="s">
        <v>59</v>
      </c>
      <c r="I4297" s="22" t="s">
        <v>147</v>
      </c>
      <c r="J4297" s="23">
        <v>12</v>
      </c>
      <c r="K4297" s="37">
        <v>0</v>
      </c>
      <c r="M4297" s="22">
        <f>IF(OR(ISBLANK(C4297),C4297=""),"",ROUND((C4297-B4297)*24,2))</f>
        <v>5.9</v>
      </c>
      <c r="N4297" s="40" t="str">
        <f>IF(OR(ISBLANK(C4297),C4297="",M4297=""),"In Progress",IF(M4297&lt;=J4297,"Met","Breached"))</f>
        <v>Met</v>
      </c>
    </row>
    <row r="4298" ht="19" customHeight="1" spans="1:14" x14ac:dyDescent="0.25">
      <c r="A4298" s="19" t="s">
        <v>4412</v>
      </c>
      <c r="B4298" s="33">
        <v>46079.06736111111</v>
      </c>
      <c r="C4298" s="33">
        <v>46080.76041666667</v>
      </c>
      <c r="D4298" s="19" t="s">
        <v>36</v>
      </c>
      <c r="E4298" s="19" t="s">
        <v>65</v>
      </c>
      <c r="F4298" s="19" t="s">
        <v>37</v>
      </c>
      <c r="G4298" s="19" t="s">
        <v>126</v>
      </c>
      <c r="H4298" s="19" t="s">
        <v>63</v>
      </c>
      <c r="I4298" s="19" t="s">
        <v>123</v>
      </c>
      <c r="J4298" s="20">
        <v>48</v>
      </c>
      <c r="K4298" s="34">
        <v>0</v>
      </c>
      <c r="M4298" s="19">
        <f>IF(OR(ISBLANK(C4298),C4298=""),"",ROUND((C4298-B4298)*24,2))</f>
        <v>40.63</v>
      </c>
      <c r="N4298" s="35" t="str">
        <f>IF(OR(ISBLANK(C4298),C4298="",M4298=""),"In Progress",IF(M4298&lt;=J4298,"Met","Breached"))</f>
        <v>Met</v>
      </c>
    </row>
    <row r="4299" ht="19" customHeight="1" spans="1:14" x14ac:dyDescent="0.25">
      <c r="A4299" s="22" t="s">
        <v>4413</v>
      </c>
      <c r="B4299" s="36">
        <v>46151.67291666666</v>
      </c>
      <c r="C4299" s="36">
        <v>46151.92083333334</v>
      </c>
      <c r="D4299" s="22" t="s">
        <v>33</v>
      </c>
      <c r="E4299" s="22" t="s">
        <v>57</v>
      </c>
      <c r="F4299" s="22" t="s">
        <v>43</v>
      </c>
      <c r="G4299" s="22" t="s">
        <v>113</v>
      </c>
      <c r="H4299" s="22" t="s">
        <v>63</v>
      </c>
      <c r="I4299" s="22" t="s">
        <v>114</v>
      </c>
      <c r="J4299" s="23">
        <v>4</v>
      </c>
      <c r="K4299" s="37">
        <v>0</v>
      </c>
      <c r="L4299" s="37">
        <v>2</v>
      </c>
      <c r="M4299" s="22">
        <f>IF(OR(ISBLANK(C4299),C4299=""),"",ROUND((C4299-B4299)*24,2))</f>
        <v>5.95</v>
      </c>
      <c r="N4299" s="38" t="str">
        <f>IF(OR(ISBLANK(C4299),C4299="",M4299=""),"In Progress",IF(M4299&lt;=J4299,"Met","Breached"))</f>
        <v>Breached</v>
      </c>
    </row>
    <row r="4300" ht="19" customHeight="1" spans="1:14" x14ac:dyDescent="0.25">
      <c r="A4300" s="19" t="s">
        <v>4414</v>
      </c>
      <c r="B4300" s="33">
        <v>45821.768055555556</v>
      </c>
      <c r="D4300" s="19" t="s">
        <v>39</v>
      </c>
      <c r="E4300" s="19" t="s">
        <v>61</v>
      </c>
      <c r="F4300" s="19" t="s">
        <v>40</v>
      </c>
      <c r="G4300" s="19" t="s">
        <v>113</v>
      </c>
      <c r="H4300" s="19" t="s">
        <v>59</v>
      </c>
      <c r="I4300" s="19" t="s">
        <v>111</v>
      </c>
      <c r="J4300" s="20">
        <v>12</v>
      </c>
      <c r="K4300" s="34">
        <v>0</v>
      </c>
      <c r="M4300" s="19" t="str">
        <f>IF(OR(ISBLANK(C4300),C4300=""),"",ROUND((C4300-B4300)*24,2))</f>
        <v/>
      </c>
      <c r="N4300" s="19" t="str">
        <f>IF(OR(ISBLANK(C4300),C4300="",M4300=""),"In Progress",IF(M4300&lt;=J4300,"Met","Breached"))</f>
        <v>In Progress</v>
      </c>
    </row>
    <row r="4301" ht="19" customHeight="1" spans="1:14" x14ac:dyDescent="0.25">
      <c r="A4301" s="22" t="s">
        <v>4415</v>
      </c>
      <c r="B4301" s="36">
        <v>45771.902083333334</v>
      </c>
      <c r="D4301" s="22" t="s">
        <v>42</v>
      </c>
      <c r="E4301" s="22" t="s">
        <v>65</v>
      </c>
      <c r="F4301" s="22" t="s">
        <v>43</v>
      </c>
      <c r="G4301" s="22" t="s">
        <v>113</v>
      </c>
      <c r="H4301" s="22" t="s">
        <v>59</v>
      </c>
      <c r="I4301" s="22" t="s">
        <v>111</v>
      </c>
      <c r="J4301" s="23">
        <v>48</v>
      </c>
      <c r="K4301" s="37">
        <v>0</v>
      </c>
      <c r="M4301" s="22" t="str">
        <f>IF(OR(ISBLANK(C4301),C4301=""),"",ROUND((C4301-B4301)*24,2))</f>
        <v/>
      </c>
      <c r="N4301" s="22" t="str">
        <f>IF(OR(ISBLANK(C4301),C4301="",M4301=""),"In Progress",IF(M4301&lt;=J4301,"Met","Breached"))</f>
        <v>In Progress</v>
      </c>
    </row>
    <row r="4302" ht="19" customHeight="1" spans="1:14" x14ac:dyDescent="0.25">
      <c r="A4302" s="19" t="s">
        <v>4416</v>
      </c>
      <c r="B4302" s="33">
        <v>45741.97777777778</v>
      </c>
      <c r="C4302" s="33">
        <v>45750.51111111111</v>
      </c>
      <c r="D4302" s="19" t="s">
        <v>33</v>
      </c>
      <c r="E4302" s="19" t="s">
        <v>69</v>
      </c>
      <c r="F4302" s="19" t="s">
        <v>37</v>
      </c>
      <c r="G4302" s="19" t="s">
        <v>63</v>
      </c>
      <c r="H4302" s="19" t="s">
        <v>71</v>
      </c>
      <c r="I4302" s="19" t="s">
        <v>114</v>
      </c>
      <c r="J4302" s="20">
        <v>120</v>
      </c>
      <c r="K4302" s="34">
        <v>0</v>
      </c>
      <c r="L4302" s="34">
        <v>2</v>
      </c>
      <c r="M4302" s="19">
        <f>IF(OR(ISBLANK(C4302),C4302=""),"",ROUND((C4302-B4302)*24,2))</f>
        <v>204.8</v>
      </c>
      <c r="N4302" s="39" t="str">
        <f>IF(OR(ISBLANK(C4302),C4302="",M4302=""),"In Progress",IF(M4302&lt;=J4302,"Met","Breached"))</f>
        <v>Breached</v>
      </c>
    </row>
    <row r="4303" ht="19" customHeight="1" spans="1:14" x14ac:dyDescent="0.25">
      <c r="A4303" s="22" t="s">
        <v>4417</v>
      </c>
      <c r="B4303" s="36">
        <v>46096.933333333334</v>
      </c>
      <c r="C4303" s="36">
        <v>46098.23819444445</v>
      </c>
      <c r="D4303" s="22" t="s">
        <v>33</v>
      </c>
      <c r="E4303" s="22" t="s">
        <v>65</v>
      </c>
      <c r="F4303" s="22" t="s">
        <v>43</v>
      </c>
      <c r="G4303" s="22" t="s">
        <v>63</v>
      </c>
      <c r="H4303" s="22" t="s">
        <v>59</v>
      </c>
      <c r="I4303" s="22" t="s">
        <v>117</v>
      </c>
      <c r="J4303" s="23">
        <v>48</v>
      </c>
      <c r="K4303" s="37">
        <v>0</v>
      </c>
      <c r="L4303" s="37">
        <v>3</v>
      </c>
      <c r="M4303" s="22">
        <f>IF(OR(ISBLANK(C4303),C4303=""),"",ROUND((C4303-B4303)*24,2))</f>
        <v>31.32</v>
      </c>
      <c r="N4303" s="40" t="str">
        <f>IF(OR(ISBLANK(C4303),C4303="",M4303=""),"In Progress",IF(M4303&lt;=J4303,"Met","Breached"))</f>
        <v>Met</v>
      </c>
    </row>
    <row r="4304" ht="19" customHeight="1" spans="1:14" x14ac:dyDescent="0.25">
      <c r="A4304" s="19" t="s">
        <v>4418</v>
      </c>
      <c r="B4304" s="33">
        <v>46140.76180555555</v>
      </c>
      <c r="C4304" s="33">
        <v>46146.29652777778</v>
      </c>
      <c r="D4304" s="19" t="s">
        <v>36</v>
      </c>
      <c r="E4304" s="19" t="s">
        <v>69</v>
      </c>
      <c r="F4304" s="19" t="s">
        <v>45</v>
      </c>
      <c r="G4304" s="19" t="s">
        <v>63</v>
      </c>
      <c r="H4304" s="19" t="s">
        <v>63</v>
      </c>
      <c r="I4304" s="19" t="s">
        <v>111</v>
      </c>
      <c r="J4304" s="20">
        <v>120</v>
      </c>
      <c r="K4304" s="34">
        <v>0</v>
      </c>
      <c r="M4304" s="19">
        <f>IF(OR(ISBLANK(C4304),C4304=""),"",ROUND((C4304-B4304)*24,2))</f>
        <v>132.83</v>
      </c>
      <c r="N4304" s="39" t="str">
        <f>IF(OR(ISBLANK(C4304),C4304="",M4304=""),"In Progress",IF(M4304&lt;=J4304,"Met","Breached"))</f>
        <v>Breached</v>
      </c>
    </row>
    <row r="4305" ht="19" customHeight="1" spans="1:14" x14ac:dyDescent="0.25">
      <c r="A4305" s="22" t="s">
        <v>4419</v>
      </c>
      <c r="B4305" s="36">
        <v>45904.830555555556</v>
      </c>
      <c r="C4305" s="36">
        <v>45906.40625</v>
      </c>
      <c r="D4305" s="22" t="s">
        <v>33</v>
      </c>
      <c r="E4305" s="22" t="s">
        <v>65</v>
      </c>
      <c r="F4305" s="22" t="s">
        <v>40</v>
      </c>
      <c r="G4305" s="22" t="s">
        <v>113</v>
      </c>
      <c r="H4305" s="22" t="s">
        <v>63</v>
      </c>
      <c r="I4305" s="22" t="s">
        <v>114</v>
      </c>
      <c r="J4305" s="23">
        <v>48</v>
      </c>
      <c r="K4305" s="37">
        <v>0</v>
      </c>
      <c r="L4305" s="37">
        <v>4</v>
      </c>
      <c r="M4305" s="22">
        <f>IF(OR(ISBLANK(C4305),C4305=""),"",ROUND((C4305-B4305)*24,2))</f>
        <v>37.82</v>
      </c>
      <c r="N4305" s="40" t="str">
        <f>IF(OR(ISBLANK(C4305),C4305="",M4305=""),"In Progress",IF(M4305&lt;=J4305,"Met","Breached"))</f>
        <v>Met</v>
      </c>
    </row>
    <row r="4306" ht="19" customHeight="1" spans="1:14" x14ac:dyDescent="0.25">
      <c r="A4306" s="19" t="s">
        <v>4420</v>
      </c>
      <c r="B4306" s="33">
        <v>45897.84027777778</v>
      </c>
      <c r="D4306" s="19" t="s">
        <v>42</v>
      </c>
      <c r="E4306" s="19" t="s">
        <v>65</v>
      </c>
      <c r="F4306" s="19" t="s">
        <v>43</v>
      </c>
      <c r="G4306" s="19" t="s">
        <v>63</v>
      </c>
      <c r="H4306" s="19" t="s">
        <v>59</v>
      </c>
      <c r="I4306" s="19" t="s">
        <v>117</v>
      </c>
      <c r="J4306" s="20">
        <v>48</v>
      </c>
      <c r="K4306" s="34">
        <v>0</v>
      </c>
      <c r="M4306" s="19" t="str">
        <f>IF(OR(ISBLANK(C4306),C4306=""),"",ROUND((C4306-B4306)*24,2))</f>
        <v/>
      </c>
      <c r="N4306" s="19" t="str">
        <f>IF(OR(ISBLANK(C4306),C4306="",M4306=""),"In Progress",IF(M4306&lt;=J4306,"Met","Breached"))</f>
        <v>In Progress</v>
      </c>
    </row>
    <row r="4307" ht="19" customHeight="1" spans="1:14" x14ac:dyDescent="0.25">
      <c r="A4307" s="22" t="s">
        <v>4421</v>
      </c>
      <c r="B4307" s="36">
        <v>46031.84513888889</v>
      </c>
      <c r="C4307" s="36">
        <v>46038.07152777778</v>
      </c>
      <c r="D4307" s="22" t="s">
        <v>33</v>
      </c>
      <c r="E4307" s="22" t="s">
        <v>69</v>
      </c>
      <c r="F4307" s="22" t="s">
        <v>45</v>
      </c>
      <c r="G4307" s="22" t="s">
        <v>63</v>
      </c>
      <c r="H4307" s="22" t="s">
        <v>59</v>
      </c>
      <c r="I4307" s="22" t="s">
        <v>123</v>
      </c>
      <c r="J4307" s="23">
        <v>120</v>
      </c>
      <c r="K4307" s="37">
        <v>0</v>
      </c>
      <c r="L4307" s="37">
        <v>2</v>
      </c>
      <c r="M4307" s="22">
        <f>IF(OR(ISBLANK(C4307),C4307=""),"",ROUND((C4307-B4307)*24,2))</f>
        <v>149.43</v>
      </c>
      <c r="N4307" s="38" t="str">
        <f>IF(OR(ISBLANK(C4307),C4307="",M4307=""),"In Progress",IF(M4307&lt;=J4307,"Met","Breached"))</f>
        <v>Breached</v>
      </c>
    </row>
    <row r="4308" ht="19" customHeight="1" spans="1:14" x14ac:dyDescent="0.25">
      <c r="A4308" s="19" t="s">
        <v>4422</v>
      </c>
      <c r="B4308" s="33">
        <v>45996.34722222222</v>
      </c>
      <c r="D4308" s="19" t="s">
        <v>42</v>
      </c>
      <c r="E4308" s="19" t="s">
        <v>57</v>
      </c>
      <c r="F4308" s="19" t="s">
        <v>45</v>
      </c>
      <c r="G4308" s="19" t="s">
        <v>126</v>
      </c>
      <c r="H4308" s="19" t="s">
        <v>67</v>
      </c>
      <c r="I4308" s="19" t="s">
        <v>147</v>
      </c>
      <c r="J4308" s="20">
        <v>4</v>
      </c>
      <c r="K4308" s="34">
        <v>0</v>
      </c>
      <c r="M4308" s="19" t="str">
        <f>IF(OR(ISBLANK(C4308),C4308=""),"",ROUND((C4308-B4308)*24,2))</f>
        <v/>
      </c>
      <c r="N4308" s="19" t="str">
        <f>IF(OR(ISBLANK(C4308),C4308="",M4308=""),"In Progress",IF(M4308&lt;=J4308,"Met","Breached"))</f>
        <v>In Progress</v>
      </c>
    </row>
    <row r="4309" ht="19" customHeight="1" spans="1:14" x14ac:dyDescent="0.25">
      <c r="A4309" s="22" t="s">
        <v>4423</v>
      </c>
      <c r="B4309" s="36">
        <v>45733.22430555556</v>
      </c>
      <c r="C4309" s="36">
        <v>45733.486805555556</v>
      </c>
      <c r="D4309" s="22" t="s">
        <v>33</v>
      </c>
      <c r="E4309" s="22" t="s">
        <v>57</v>
      </c>
      <c r="F4309" s="22" t="s">
        <v>45</v>
      </c>
      <c r="G4309" s="22" t="s">
        <v>116</v>
      </c>
      <c r="H4309" s="22" t="s">
        <v>67</v>
      </c>
      <c r="I4309" s="22" t="s">
        <v>147</v>
      </c>
      <c r="J4309" s="23">
        <v>4</v>
      </c>
      <c r="K4309" s="37">
        <v>0</v>
      </c>
      <c r="M4309" s="22">
        <f>IF(OR(ISBLANK(C4309),C4309=""),"",ROUND((C4309-B4309)*24,2))</f>
        <v>6.3</v>
      </c>
      <c r="N4309" s="38" t="str">
        <f>IF(OR(ISBLANK(C4309),C4309="",M4309=""),"In Progress",IF(M4309&lt;=J4309,"Met","Breached"))</f>
        <v>Breached</v>
      </c>
    </row>
    <row r="4310" ht="19" customHeight="1" spans="1:14" x14ac:dyDescent="0.25">
      <c r="A4310" s="19" t="s">
        <v>4424</v>
      </c>
      <c r="B4310" s="33">
        <v>45934.45694444445</v>
      </c>
      <c r="D4310" s="19" t="s">
        <v>42</v>
      </c>
      <c r="E4310" s="19" t="s">
        <v>65</v>
      </c>
      <c r="F4310" s="19" t="s">
        <v>34</v>
      </c>
      <c r="G4310" s="19" t="s">
        <v>126</v>
      </c>
      <c r="H4310" s="19" t="s">
        <v>59</v>
      </c>
      <c r="I4310" s="19" t="s">
        <v>111</v>
      </c>
      <c r="J4310" s="20">
        <v>48</v>
      </c>
      <c r="K4310" s="34">
        <v>0</v>
      </c>
      <c r="M4310" s="19" t="str">
        <f>IF(OR(ISBLANK(C4310),C4310=""),"",ROUND((C4310-B4310)*24,2))</f>
        <v/>
      </c>
      <c r="N4310" s="19" t="str">
        <f>IF(OR(ISBLANK(C4310),C4310="",M4310=""),"In Progress",IF(M4310&lt;=J4310,"Met","Breached"))</f>
        <v>In Progress</v>
      </c>
    </row>
    <row r="4311" ht="19" customHeight="1" spans="1:14" x14ac:dyDescent="0.25">
      <c r="A4311" s="22" t="s">
        <v>4425</v>
      </c>
      <c r="B4311" s="36">
        <v>45712.75277777778</v>
      </c>
      <c r="D4311" s="22" t="s">
        <v>39</v>
      </c>
      <c r="E4311" s="22" t="s">
        <v>61</v>
      </c>
      <c r="F4311" s="22" t="s">
        <v>45</v>
      </c>
      <c r="G4311" s="22" t="s">
        <v>121</v>
      </c>
      <c r="H4311" s="22" t="s">
        <v>67</v>
      </c>
      <c r="I4311" s="22" t="s">
        <v>123</v>
      </c>
      <c r="J4311" s="23">
        <v>12</v>
      </c>
      <c r="K4311" s="37">
        <v>0</v>
      </c>
      <c r="M4311" s="22" t="str">
        <f>IF(OR(ISBLANK(C4311),C4311=""),"",ROUND((C4311-B4311)*24,2))</f>
        <v/>
      </c>
      <c r="N4311" s="22" t="str">
        <f>IF(OR(ISBLANK(C4311),C4311="",M4311=""),"In Progress",IF(M4311&lt;=J4311,"Met","Breached"))</f>
        <v>In Progress</v>
      </c>
    </row>
    <row r="4312" ht="19" customHeight="1" spans="1:14" x14ac:dyDescent="0.25">
      <c r="A4312" s="19" t="s">
        <v>4426</v>
      </c>
      <c r="B4312" s="33">
        <v>45701.67013888889</v>
      </c>
      <c r="C4312" s="33">
        <v>45701.88958333334</v>
      </c>
      <c r="D4312" s="19" t="s">
        <v>33</v>
      </c>
      <c r="E4312" s="19" t="s">
        <v>57</v>
      </c>
      <c r="F4312" s="19" t="s">
        <v>45</v>
      </c>
      <c r="G4312" s="19" t="s">
        <v>63</v>
      </c>
      <c r="H4312" s="19" t="s">
        <v>67</v>
      </c>
      <c r="I4312" s="19" t="s">
        <v>117</v>
      </c>
      <c r="J4312" s="20">
        <v>4</v>
      </c>
      <c r="K4312" s="34">
        <v>0</v>
      </c>
      <c r="M4312" s="19">
        <f>IF(OR(ISBLANK(C4312),C4312=""),"",ROUND((C4312-B4312)*24,2))</f>
        <v>5.27</v>
      </c>
      <c r="N4312" s="39" t="str">
        <f>IF(OR(ISBLANK(C4312),C4312="",M4312=""),"In Progress",IF(M4312&lt;=J4312,"Met","Breached"))</f>
        <v>Breached</v>
      </c>
    </row>
    <row r="4313" ht="19" customHeight="1" spans="1:14" x14ac:dyDescent="0.25">
      <c r="A4313" s="22" t="s">
        <v>4427</v>
      </c>
      <c r="B4313" s="36">
        <v>45686.025</v>
      </c>
      <c r="D4313" s="22" t="s">
        <v>42</v>
      </c>
      <c r="E4313" s="22" t="s">
        <v>69</v>
      </c>
      <c r="F4313" s="22" t="s">
        <v>34</v>
      </c>
      <c r="G4313" s="22" t="s">
        <v>110</v>
      </c>
      <c r="H4313" s="22" t="s">
        <v>71</v>
      </c>
      <c r="I4313" s="22" t="s">
        <v>123</v>
      </c>
      <c r="J4313" s="23">
        <v>120</v>
      </c>
      <c r="K4313" s="37">
        <v>0</v>
      </c>
      <c r="M4313" s="22" t="str">
        <f>IF(OR(ISBLANK(C4313),C4313=""),"",ROUND((C4313-B4313)*24,2))</f>
        <v/>
      </c>
      <c r="N4313" s="22" t="str">
        <f>IF(OR(ISBLANK(C4313),C4313="",M4313=""),"In Progress",IF(M4313&lt;=J4313,"Met","Breached"))</f>
        <v>In Progress</v>
      </c>
    </row>
    <row r="4314" ht="19" customHeight="1" spans="1:14" x14ac:dyDescent="0.25">
      <c r="A4314" s="19" t="s">
        <v>4428</v>
      </c>
      <c r="B4314" s="33">
        <v>45812.07847222222</v>
      </c>
      <c r="D4314" s="19" t="s">
        <v>39</v>
      </c>
      <c r="E4314" s="19" t="s">
        <v>69</v>
      </c>
      <c r="F4314" s="19" t="s">
        <v>37</v>
      </c>
      <c r="G4314" s="19" t="s">
        <v>126</v>
      </c>
      <c r="H4314" s="19" t="s">
        <v>59</v>
      </c>
      <c r="I4314" s="19" t="s">
        <v>123</v>
      </c>
      <c r="J4314" s="20">
        <v>120</v>
      </c>
      <c r="K4314" s="34">
        <v>0</v>
      </c>
      <c r="M4314" s="19" t="str">
        <f>IF(OR(ISBLANK(C4314),C4314=""),"",ROUND((C4314-B4314)*24,2))</f>
        <v/>
      </c>
      <c r="N4314" s="19" t="str">
        <f>IF(OR(ISBLANK(C4314),C4314="",M4314=""),"In Progress",IF(M4314&lt;=J4314,"Met","Breached"))</f>
        <v>In Progress</v>
      </c>
    </row>
    <row r="4315" ht="19" customHeight="1" spans="1:14" x14ac:dyDescent="0.25">
      <c r="A4315" s="22" t="s">
        <v>4429</v>
      </c>
      <c r="B4315" s="36">
        <v>45732.07638888889</v>
      </c>
      <c r="C4315" s="36">
        <v>45733.92152777778</v>
      </c>
      <c r="D4315" s="22" t="s">
        <v>36</v>
      </c>
      <c r="E4315" s="22" t="s">
        <v>65</v>
      </c>
      <c r="F4315" s="22" t="s">
        <v>40</v>
      </c>
      <c r="G4315" s="22" t="s">
        <v>126</v>
      </c>
      <c r="H4315" s="22" t="s">
        <v>59</v>
      </c>
      <c r="I4315" s="22" t="s">
        <v>123</v>
      </c>
      <c r="J4315" s="23">
        <v>48</v>
      </c>
      <c r="K4315" s="37">
        <v>0</v>
      </c>
      <c r="M4315" s="22">
        <f>IF(OR(ISBLANK(C4315),C4315=""),"",ROUND((C4315-B4315)*24,2))</f>
        <v>44.28</v>
      </c>
      <c r="N4315" s="40" t="str">
        <f>IF(OR(ISBLANK(C4315),C4315="",M4315=""),"In Progress",IF(M4315&lt;=J4315,"Met","Breached"))</f>
        <v>Met</v>
      </c>
    </row>
    <row r="4316" ht="19" customHeight="1" spans="1:14" x14ac:dyDescent="0.25">
      <c r="A4316" s="19" t="s">
        <v>4430</v>
      </c>
      <c r="B4316" s="33">
        <v>46201.54236111111</v>
      </c>
      <c r="C4316" s="33">
        <v>46210.2625</v>
      </c>
      <c r="D4316" s="19" t="s">
        <v>36</v>
      </c>
      <c r="E4316" s="19" t="s">
        <v>69</v>
      </c>
      <c r="F4316" s="19" t="s">
        <v>34</v>
      </c>
      <c r="G4316" s="19" t="s">
        <v>113</v>
      </c>
      <c r="H4316" s="19" t="s">
        <v>59</v>
      </c>
      <c r="I4316" s="19" t="s">
        <v>147</v>
      </c>
      <c r="J4316" s="20">
        <v>120</v>
      </c>
      <c r="K4316" s="34">
        <v>0</v>
      </c>
      <c r="L4316" s="34">
        <v>1</v>
      </c>
      <c r="M4316" s="19">
        <f>IF(OR(ISBLANK(C4316),C4316=""),"",ROUND((C4316-B4316)*24,2))</f>
        <v>209.28</v>
      </c>
      <c r="N4316" s="39" t="str">
        <f>IF(OR(ISBLANK(C4316),C4316="",M4316=""),"In Progress",IF(M4316&lt;=J4316,"Met","Breached"))</f>
        <v>Breached</v>
      </c>
    </row>
    <row r="4317" ht="19" customHeight="1" spans="1:14" x14ac:dyDescent="0.25">
      <c r="A4317" s="22" t="s">
        <v>4431</v>
      </c>
      <c r="B4317" s="36">
        <v>46045.27847222222</v>
      </c>
      <c r="C4317" s="36">
        <v>46045.99513888889</v>
      </c>
      <c r="D4317" s="22" t="s">
        <v>33</v>
      </c>
      <c r="E4317" s="22" t="s">
        <v>61</v>
      </c>
      <c r="F4317" s="22" t="s">
        <v>37</v>
      </c>
      <c r="G4317" s="22" t="s">
        <v>110</v>
      </c>
      <c r="H4317" s="22" t="s">
        <v>59</v>
      </c>
      <c r="I4317" s="22" t="s">
        <v>117</v>
      </c>
      <c r="J4317" s="23">
        <v>12</v>
      </c>
      <c r="K4317" s="37">
        <v>0</v>
      </c>
      <c r="M4317" s="22">
        <f>IF(OR(ISBLANK(C4317),C4317=""),"",ROUND((C4317-B4317)*24,2))</f>
        <v>17.2</v>
      </c>
      <c r="N4317" s="38" t="str">
        <f>IF(OR(ISBLANK(C4317),C4317="",M4317=""),"In Progress",IF(M4317&lt;=J4317,"Met","Breached"))</f>
        <v>Breached</v>
      </c>
    </row>
    <row r="4318" ht="19" customHeight="1" spans="1:14" x14ac:dyDescent="0.25">
      <c r="A4318" s="19" t="s">
        <v>4432</v>
      </c>
      <c r="B4318" s="33">
        <v>45820.22986111111</v>
      </c>
      <c r="C4318" s="33">
        <v>45820.75902777778</v>
      </c>
      <c r="D4318" s="19" t="s">
        <v>33</v>
      </c>
      <c r="E4318" s="19" t="s">
        <v>61</v>
      </c>
      <c r="F4318" s="19" t="s">
        <v>34</v>
      </c>
      <c r="G4318" s="19" t="s">
        <v>113</v>
      </c>
      <c r="H4318" s="19" t="s">
        <v>63</v>
      </c>
      <c r="I4318" s="19" t="s">
        <v>108</v>
      </c>
      <c r="J4318" s="20">
        <v>12</v>
      </c>
      <c r="K4318" s="34">
        <v>0</v>
      </c>
      <c r="L4318" s="34">
        <v>2</v>
      </c>
      <c r="M4318" s="19">
        <f>IF(OR(ISBLANK(C4318),C4318=""),"",ROUND((C4318-B4318)*24,2))</f>
        <v>12.7</v>
      </c>
      <c r="N4318" s="39" t="str">
        <f>IF(OR(ISBLANK(C4318),C4318="",M4318=""),"In Progress",IF(M4318&lt;=J4318,"Met","Breached"))</f>
        <v>Breached</v>
      </c>
    </row>
    <row r="4319" ht="19" customHeight="1" spans="1:14" x14ac:dyDescent="0.25">
      <c r="A4319" s="22" t="s">
        <v>4433</v>
      </c>
      <c r="B4319" s="36">
        <v>45812.63055555556</v>
      </c>
      <c r="C4319" s="36">
        <v>45818.06875</v>
      </c>
      <c r="D4319" s="22" t="s">
        <v>33</v>
      </c>
      <c r="E4319" s="22" t="s">
        <v>69</v>
      </c>
      <c r="F4319" s="22" t="s">
        <v>45</v>
      </c>
      <c r="G4319" s="22" t="s">
        <v>126</v>
      </c>
      <c r="H4319" s="22" t="s">
        <v>67</v>
      </c>
      <c r="I4319" s="22" t="s">
        <v>147</v>
      </c>
      <c r="J4319" s="23">
        <v>120</v>
      </c>
      <c r="K4319" s="37">
        <v>1</v>
      </c>
      <c r="L4319" s="37">
        <v>3</v>
      </c>
      <c r="M4319" s="22">
        <f>IF(OR(ISBLANK(C4319),C4319=""),"",ROUND((C4319-B4319)*24,2))</f>
        <v>130.52</v>
      </c>
      <c r="N4319" s="38" t="str">
        <f>IF(OR(ISBLANK(C4319),C4319="",M4319=""),"In Progress",IF(M4319&lt;=J4319,"Met","Breached"))</f>
        <v>Breached</v>
      </c>
    </row>
    <row r="4320" ht="19" customHeight="1" spans="1:14" x14ac:dyDescent="0.25">
      <c r="A4320" s="19" t="s">
        <v>4434</v>
      </c>
      <c r="B4320" s="33">
        <v>46251.76597222222</v>
      </c>
      <c r="D4320" s="19" t="s">
        <v>42</v>
      </c>
      <c r="E4320" s="19" t="s">
        <v>69</v>
      </c>
      <c r="F4320" s="19" t="s">
        <v>43</v>
      </c>
      <c r="G4320" s="19" t="s">
        <v>113</v>
      </c>
      <c r="H4320" s="19" t="s">
        <v>59</v>
      </c>
      <c r="I4320" s="19" t="s">
        <v>123</v>
      </c>
      <c r="J4320" s="20">
        <v>120</v>
      </c>
      <c r="K4320" s="34">
        <v>0</v>
      </c>
      <c r="M4320" s="19" t="str">
        <f>IF(OR(ISBLANK(C4320),C4320=""),"",ROUND((C4320-B4320)*24,2))</f>
        <v/>
      </c>
      <c r="N4320" s="19" t="str">
        <f>IF(OR(ISBLANK(C4320),C4320="",M4320=""),"In Progress",IF(M4320&lt;=J4320,"Met","Breached"))</f>
        <v>In Progress</v>
      </c>
    </row>
    <row r="4321" ht="19" customHeight="1" spans="1:14" x14ac:dyDescent="0.25">
      <c r="A4321" s="22" t="s">
        <v>4435</v>
      </c>
      <c r="B4321" s="36">
        <v>45978.76458333334</v>
      </c>
      <c r="C4321" s="36">
        <v>45978.91875</v>
      </c>
      <c r="D4321" s="22" t="s">
        <v>33</v>
      </c>
      <c r="E4321" s="22" t="s">
        <v>61</v>
      </c>
      <c r="F4321" s="22" t="s">
        <v>43</v>
      </c>
      <c r="G4321" s="22" t="s">
        <v>116</v>
      </c>
      <c r="H4321" s="22" t="s">
        <v>59</v>
      </c>
      <c r="I4321" s="22" t="s">
        <v>117</v>
      </c>
      <c r="J4321" s="23">
        <v>12</v>
      </c>
      <c r="K4321" s="37">
        <v>0</v>
      </c>
      <c r="L4321" s="37">
        <v>4</v>
      </c>
      <c r="M4321" s="22">
        <f>IF(OR(ISBLANK(C4321),C4321=""),"",ROUND((C4321-B4321)*24,2))</f>
        <v>3.7</v>
      </c>
      <c r="N4321" s="40" t="str">
        <f>IF(OR(ISBLANK(C4321),C4321="",M4321=""),"In Progress",IF(M4321&lt;=J4321,"Met","Breached"))</f>
        <v>Met</v>
      </c>
    </row>
    <row r="4322" ht="19" customHeight="1" spans="1:14" x14ac:dyDescent="0.25">
      <c r="A4322" s="19" t="s">
        <v>4436</v>
      </c>
      <c r="B4322" s="33">
        <v>46086.57361111111</v>
      </c>
      <c r="D4322" s="19" t="s">
        <v>42</v>
      </c>
      <c r="E4322" s="19" t="s">
        <v>57</v>
      </c>
      <c r="F4322" s="19" t="s">
        <v>34</v>
      </c>
      <c r="G4322" s="19" t="s">
        <v>116</v>
      </c>
      <c r="H4322" s="19" t="s">
        <v>59</v>
      </c>
      <c r="I4322" s="19" t="s">
        <v>117</v>
      </c>
      <c r="J4322" s="20">
        <v>4</v>
      </c>
      <c r="K4322" s="34">
        <v>0</v>
      </c>
      <c r="M4322" s="19" t="str">
        <f>IF(OR(ISBLANK(C4322),C4322=""),"",ROUND((C4322-B4322)*24,2))</f>
        <v/>
      </c>
      <c r="N4322" s="19" t="str">
        <f>IF(OR(ISBLANK(C4322),C4322="",M4322=""),"In Progress",IF(M4322&lt;=J4322,"Met","Breached"))</f>
        <v>In Progress</v>
      </c>
    </row>
    <row r="4323" ht="19" customHeight="1" spans="1:14" x14ac:dyDescent="0.25">
      <c r="A4323" s="22" t="s">
        <v>4437</v>
      </c>
      <c r="B4323" s="36">
        <v>46152.51458333334</v>
      </c>
      <c r="C4323" s="36">
        <v>46153.294444444444</v>
      </c>
      <c r="D4323" s="22" t="s">
        <v>36</v>
      </c>
      <c r="E4323" s="22" t="s">
        <v>65</v>
      </c>
      <c r="F4323" s="22" t="s">
        <v>40</v>
      </c>
      <c r="G4323" s="22" t="s">
        <v>116</v>
      </c>
      <c r="H4323" s="22" t="s">
        <v>67</v>
      </c>
      <c r="I4323" s="22" t="s">
        <v>108</v>
      </c>
      <c r="J4323" s="23">
        <v>48</v>
      </c>
      <c r="K4323" s="37">
        <v>0</v>
      </c>
      <c r="M4323" s="22">
        <f>IF(OR(ISBLANK(C4323),C4323=""),"",ROUND((C4323-B4323)*24,2))</f>
        <v>18.72</v>
      </c>
      <c r="N4323" s="40" t="str">
        <f>IF(OR(ISBLANK(C4323),C4323="",M4323=""),"In Progress",IF(M4323&lt;=J4323,"Met","Breached"))</f>
        <v>Met</v>
      </c>
    </row>
    <row r="4324" ht="19" customHeight="1" spans="1:14" x14ac:dyDescent="0.25">
      <c r="A4324" s="19" t="s">
        <v>4438</v>
      </c>
      <c r="B4324" s="33">
        <v>46026.81527777778</v>
      </c>
      <c r="D4324" s="19" t="s">
        <v>39</v>
      </c>
      <c r="E4324" s="19" t="s">
        <v>65</v>
      </c>
      <c r="F4324" s="19" t="s">
        <v>37</v>
      </c>
      <c r="G4324" s="19" t="s">
        <v>113</v>
      </c>
      <c r="H4324" s="19" t="s">
        <v>59</v>
      </c>
      <c r="I4324" s="19" t="s">
        <v>123</v>
      </c>
      <c r="J4324" s="20">
        <v>48</v>
      </c>
      <c r="K4324" s="34">
        <v>0</v>
      </c>
      <c r="M4324" s="19" t="str">
        <f>IF(OR(ISBLANK(C4324),C4324=""),"",ROUND((C4324-B4324)*24,2))</f>
        <v/>
      </c>
      <c r="N4324" s="19" t="str">
        <f>IF(OR(ISBLANK(C4324),C4324="",M4324=""),"In Progress",IF(M4324&lt;=J4324,"Met","Breached"))</f>
        <v>In Progress</v>
      </c>
    </row>
    <row r="4325" ht="19" customHeight="1" spans="1:14" x14ac:dyDescent="0.25">
      <c r="A4325" s="22" t="s">
        <v>4439</v>
      </c>
      <c r="B4325" s="36">
        <v>46073.96041666667</v>
      </c>
      <c r="C4325" s="36">
        <v>46077.64236111111</v>
      </c>
      <c r="D4325" s="22" t="s">
        <v>33</v>
      </c>
      <c r="E4325" s="22" t="s">
        <v>69</v>
      </c>
      <c r="F4325" s="22" t="s">
        <v>34</v>
      </c>
      <c r="G4325" s="22" t="s">
        <v>63</v>
      </c>
      <c r="H4325" s="22" t="s">
        <v>63</v>
      </c>
      <c r="I4325" s="22" t="s">
        <v>114</v>
      </c>
      <c r="J4325" s="23">
        <v>120</v>
      </c>
      <c r="K4325" s="37">
        <v>0</v>
      </c>
      <c r="L4325" s="37">
        <v>1</v>
      </c>
      <c r="M4325" s="22">
        <f>IF(OR(ISBLANK(C4325),C4325=""),"",ROUND((C4325-B4325)*24,2))</f>
        <v>88.37</v>
      </c>
      <c r="N4325" s="40" t="str">
        <f>IF(OR(ISBLANK(C4325),C4325="",M4325=""),"In Progress",IF(M4325&lt;=J4325,"Met","Breached"))</f>
        <v>Met</v>
      </c>
    </row>
    <row r="4326" ht="19" customHeight="1" spans="1:14" x14ac:dyDescent="0.25">
      <c r="A4326" s="19" t="s">
        <v>4440</v>
      </c>
      <c r="B4326" s="33">
        <v>46165.75069444445</v>
      </c>
      <c r="C4326" s="33">
        <v>46166.61597222222</v>
      </c>
      <c r="D4326" s="19" t="s">
        <v>33</v>
      </c>
      <c r="E4326" s="19" t="s">
        <v>61</v>
      </c>
      <c r="F4326" s="19" t="s">
        <v>43</v>
      </c>
      <c r="G4326" s="19" t="s">
        <v>121</v>
      </c>
      <c r="H4326" s="19" t="s">
        <v>71</v>
      </c>
      <c r="I4326" s="19" t="s">
        <v>114</v>
      </c>
      <c r="J4326" s="20">
        <v>12</v>
      </c>
      <c r="K4326" s="34">
        <v>0</v>
      </c>
      <c r="M4326" s="19">
        <f>IF(OR(ISBLANK(C4326),C4326=""),"",ROUND((C4326-B4326)*24,2))</f>
        <v>20.77</v>
      </c>
      <c r="N4326" s="39" t="str">
        <f>IF(OR(ISBLANK(C4326),C4326="",M4326=""),"In Progress",IF(M4326&lt;=J4326,"Met","Breached"))</f>
        <v>Breached</v>
      </c>
    </row>
    <row r="4327" ht="19" customHeight="1" spans="1:14" x14ac:dyDescent="0.25">
      <c r="A4327" s="22" t="s">
        <v>4441</v>
      </c>
      <c r="B4327" s="36">
        <v>46247.47708333333</v>
      </c>
      <c r="C4327" s="36">
        <v>46247.74652777778</v>
      </c>
      <c r="D4327" s="22" t="s">
        <v>36</v>
      </c>
      <c r="E4327" s="22" t="s">
        <v>61</v>
      </c>
      <c r="F4327" s="22" t="s">
        <v>45</v>
      </c>
      <c r="G4327" s="22" t="s">
        <v>126</v>
      </c>
      <c r="H4327" s="22" t="s">
        <v>59</v>
      </c>
      <c r="I4327" s="22" t="s">
        <v>111</v>
      </c>
      <c r="J4327" s="23">
        <v>12</v>
      </c>
      <c r="K4327" s="37">
        <v>0</v>
      </c>
      <c r="L4327" s="37">
        <v>4</v>
      </c>
      <c r="M4327" s="22">
        <f>IF(OR(ISBLANK(C4327),C4327=""),"",ROUND((C4327-B4327)*24,2))</f>
        <v>6.47</v>
      </c>
      <c r="N4327" s="40" t="str">
        <f>IF(OR(ISBLANK(C4327),C4327="",M4327=""),"In Progress",IF(M4327&lt;=J4327,"Met","Breached"))</f>
        <v>Met</v>
      </c>
    </row>
    <row r="4328" ht="19" customHeight="1" spans="1:14" x14ac:dyDescent="0.25">
      <c r="A4328" s="19" t="s">
        <v>4442</v>
      </c>
      <c r="B4328" s="33">
        <v>46194.84166666667</v>
      </c>
      <c r="C4328" s="33">
        <v>46196.58194444445</v>
      </c>
      <c r="D4328" s="19" t="s">
        <v>33</v>
      </c>
      <c r="E4328" s="19" t="s">
        <v>65</v>
      </c>
      <c r="F4328" s="19" t="s">
        <v>43</v>
      </c>
      <c r="G4328" s="19" t="s">
        <v>126</v>
      </c>
      <c r="H4328" s="19" t="s">
        <v>59</v>
      </c>
      <c r="I4328" s="19" t="s">
        <v>114</v>
      </c>
      <c r="J4328" s="20">
        <v>48</v>
      </c>
      <c r="K4328" s="34">
        <v>0</v>
      </c>
      <c r="L4328" s="34">
        <v>2</v>
      </c>
      <c r="M4328" s="19">
        <f>IF(OR(ISBLANK(C4328),C4328=""),"",ROUND((C4328-B4328)*24,2))</f>
        <v>41.77</v>
      </c>
      <c r="N4328" s="35" t="str">
        <f>IF(OR(ISBLANK(C4328),C4328="",M4328=""),"In Progress",IF(M4328&lt;=J4328,"Met","Breached"))</f>
        <v>Met</v>
      </c>
    </row>
    <row r="4329" ht="19" customHeight="1" spans="1:14" x14ac:dyDescent="0.25">
      <c r="A4329" s="22" t="s">
        <v>4443</v>
      </c>
      <c r="B4329" s="36">
        <v>45801.89791666667</v>
      </c>
      <c r="C4329" s="36">
        <v>45804.20694444445</v>
      </c>
      <c r="D4329" s="22" t="s">
        <v>33</v>
      </c>
      <c r="E4329" s="22" t="s">
        <v>69</v>
      </c>
      <c r="F4329" s="22" t="s">
        <v>43</v>
      </c>
      <c r="G4329" s="22" t="s">
        <v>116</v>
      </c>
      <c r="H4329" s="22" t="s">
        <v>59</v>
      </c>
      <c r="I4329" s="22" t="s">
        <v>114</v>
      </c>
      <c r="J4329" s="23">
        <v>120</v>
      </c>
      <c r="K4329" s="37">
        <v>0</v>
      </c>
      <c r="L4329" s="37">
        <v>3</v>
      </c>
      <c r="M4329" s="22">
        <f>IF(OR(ISBLANK(C4329),C4329=""),"",ROUND((C4329-B4329)*24,2))</f>
        <v>55.42</v>
      </c>
      <c r="N4329" s="40" t="str">
        <f>IF(OR(ISBLANK(C4329),C4329="",M4329=""),"In Progress",IF(M4329&lt;=J4329,"Met","Breached"))</f>
        <v>Met</v>
      </c>
    </row>
    <row r="4330" ht="19" customHeight="1" spans="1:14" x14ac:dyDescent="0.25">
      <c r="A4330" s="19" t="s">
        <v>4444</v>
      </c>
      <c r="B4330" s="33">
        <v>45813.95138888889</v>
      </c>
      <c r="C4330" s="33">
        <v>45814.04513888889</v>
      </c>
      <c r="D4330" s="19" t="s">
        <v>36</v>
      </c>
      <c r="E4330" s="19" t="s">
        <v>57</v>
      </c>
      <c r="F4330" s="19" t="s">
        <v>37</v>
      </c>
      <c r="G4330" s="19" t="s">
        <v>110</v>
      </c>
      <c r="H4330" s="19" t="s">
        <v>59</v>
      </c>
      <c r="I4330" s="19" t="s">
        <v>111</v>
      </c>
      <c r="J4330" s="20">
        <v>4</v>
      </c>
      <c r="K4330" s="34">
        <v>0</v>
      </c>
      <c r="L4330" s="34">
        <v>2</v>
      </c>
      <c r="M4330" s="19">
        <f>IF(OR(ISBLANK(C4330),C4330=""),"",ROUND((C4330-B4330)*24,2))</f>
        <v>2.25</v>
      </c>
      <c r="N4330" s="35" t="str">
        <f>IF(OR(ISBLANK(C4330),C4330="",M4330=""),"In Progress",IF(M4330&lt;=J4330,"Met","Breached"))</f>
        <v>Met</v>
      </c>
    </row>
    <row r="4331" ht="19" customHeight="1" spans="1:14" x14ac:dyDescent="0.25">
      <c r="A4331" s="22" t="s">
        <v>4445</v>
      </c>
      <c r="B4331" s="36">
        <v>45836.73541666666</v>
      </c>
      <c r="C4331" s="36">
        <v>45839.39722222222</v>
      </c>
      <c r="D4331" s="22" t="s">
        <v>36</v>
      </c>
      <c r="E4331" s="22" t="s">
        <v>65</v>
      </c>
      <c r="F4331" s="22" t="s">
        <v>37</v>
      </c>
      <c r="G4331" s="22" t="s">
        <v>121</v>
      </c>
      <c r="H4331" s="22" t="s">
        <v>71</v>
      </c>
      <c r="I4331" s="22" t="s">
        <v>147</v>
      </c>
      <c r="J4331" s="23">
        <v>48</v>
      </c>
      <c r="K4331" s="37">
        <v>0</v>
      </c>
      <c r="L4331" s="37">
        <v>2</v>
      </c>
      <c r="M4331" s="22">
        <f>IF(OR(ISBLANK(C4331),C4331=""),"",ROUND((C4331-B4331)*24,2))</f>
        <v>63.88</v>
      </c>
      <c r="N4331" s="38" t="str">
        <f>IF(OR(ISBLANK(C4331),C4331="",M4331=""),"In Progress",IF(M4331&lt;=J4331,"Met","Breached"))</f>
        <v>Breached</v>
      </c>
    </row>
    <row r="4332" ht="19" customHeight="1" spans="1:14" x14ac:dyDescent="0.25">
      <c r="A4332" s="19" t="s">
        <v>4446</v>
      </c>
      <c r="B4332" s="33">
        <v>46107.55902777778</v>
      </c>
      <c r="C4332" s="33">
        <v>46107.70347222222</v>
      </c>
      <c r="D4332" s="19" t="s">
        <v>33</v>
      </c>
      <c r="E4332" s="19" t="s">
        <v>57</v>
      </c>
      <c r="F4332" s="19" t="s">
        <v>45</v>
      </c>
      <c r="G4332" s="19" t="s">
        <v>126</v>
      </c>
      <c r="H4332" s="19" t="s">
        <v>59</v>
      </c>
      <c r="I4332" s="19" t="s">
        <v>114</v>
      </c>
      <c r="J4332" s="20">
        <v>4</v>
      </c>
      <c r="K4332" s="34">
        <v>0</v>
      </c>
      <c r="M4332" s="19">
        <f>IF(OR(ISBLANK(C4332),C4332=""),"",ROUND((C4332-B4332)*24,2))</f>
        <v>3.47</v>
      </c>
      <c r="N4332" s="35" t="str">
        <f>IF(OR(ISBLANK(C4332),C4332="",M4332=""),"In Progress",IF(M4332&lt;=J4332,"Met","Breached"))</f>
        <v>Met</v>
      </c>
    </row>
    <row r="4333" ht="19" customHeight="1" spans="1:14" x14ac:dyDescent="0.25">
      <c r="A4333" s="22" t="s">
        <v>4447</v>
      </c>
      <c r="B4333" s="36">
        <v>45786.69236111111</v>
      </c>
      <c r="D4333" s="22" t="s">
        <v>42</v>
      </c>
      <c r="E4333" s="22" t="s">
        <v>65</v>
      </c>
      <c r="F4333" s="22" t="s">
        <v>45</v>
      </c>
      <c r="G4333" s="22" t="s">
        <v>126</v>
      </c>
      <c r="H4333" s="22" t="s">
        <v>71</v>
      </c>
      <c r="I4333" s="22" t="s">
        <v>108</v>
      </c>
      <c r="J4333" s="23">
        <v>48</v>
      </c>
      <c r="K4333" s="37">
        <v>0</v>
      </c>
      <c r="M4333" s="22" t="str">
        <f>IF(OR(ISBLANK(C4333),C4333=""),"",ROUND((C4333-B4333)*24,2))</f>
        <v/>
      </c>
      <c r="N4333" s="22" t="str">
        <f>IF(OR(ISBLANK(C4333),C4333="",M4333=""),"In Progress",IF(M4333&lt;=J4333,"Met","Breached"))</f>
        <v>In Progress</v>
      </c>
    </row>
    <row r="4334" ht="19" customHeight="1" spans="1:14" x14ac:dyDescent="0.25">
      <c r="A4334" s="19" t="s">
        <v>4448</v>
      </c>
      <c r="B4334" s="33">
        <v>45763.24166666667</v>
      </c>
      <c r="C4334" s="33">
        <v>45766.31041666667</v>
      </c>
      <c r="D4334" s="19" t="s">
        <v>36</v>
      </c>
      <c r="E4334" s="19" t="s">
        <v>65</v>
      </c>
      <c r="F4334" s="19" t="s">
        <v>40</v>
      </c>
      <c r="G4334" s="19" t="s">
        <v>126</v>
      </c>
      <c r="H4334" s="19" t="s">
        <v>67</v>
      </c>
      <c r="I4334" s="19" t="s">
        <v>114</v>
      </c>
      <c r="J4334" s="20">
        <v>48</v>
      </c>
      <c r="K4334" s="34">
        <v>0</v>
      </c>
      <c r="L4334" s="34">
        <v>2</v>
      </c>
      <c r="M4334" s="19">
        <f>IF(OR(ISBLANK(C4334),C4334=""),"",ROUND((C4334-B4334)*24,2))</f>
        <v>73.65</v>
      </c>
      <c r="N4334" s="39" t="str">
        <f>IF(OR(ISBLANK(C4334),C4334="",M4334=""),"In Progress",IF(M4334&lt;=J4334,"Met","Breached"))</f>
        <v>Breached</v>
      </c>
    </row>
    <row r="4335" ht="19" customHeight="1" spans="1:14" x14ac:dyDescent="0.25">
      <c r="A4335" s="22" t="s">
        <v>4449</v>
      </c>
      <c r="B4335" s="36">
        <v>45701.58472222222</v>
      </c>
      <c r="C4335" s="36">
        <v>45702.60416666667</v>
      </c>
      <c r="D4335" s="22" t="s">
        <v>33</v>
      </c>
      <c r="E4335" s="22" t="s">
        <v>65</v>
      </c>
      <c r="F4335" s="22" t="s">
        <v>45</v>
      </c>
      <c r="G4335" s="22" t="s">
        <v>116</v>
      </c>
      <c r="H4335" s="22" t="s">
        <v>63</v>
      </c>
      <c r="I4335" s="22" t="s">
        <v>123</v>
      </c>
      <c r="J4335" s="23">
        <v>48</v>
      </c>
      <c r="K4335" s="37">
        <v>0</v>
      </c>
      <c r="L4335" s="37">
        <v>5</v>
      </c>
      <c r="M4335" s="22">
        <f>IF(OR(ISBLANK(C4335),C4335=""),"",ROUND((C4335-B4335)*24,2))</f>
        <v>24.47</v>
      </c>
      <c r="N4335" s="40" t="str">
        <f>IF(OR(ISBLANK(C4335),C4335="",M4335=""),"In Progress",IF(M4335&lt;=J4335,"Met","Breached"))</f>
        <v>Met</v>
      </c>
    </row>
    <row r="4336" ht="19" customHeight="1" spans="1:14" x14ac:dyDescent="0.25">
      <c r="A4336" s="19" t="s">
        <v>4450</v>
      </c>
      <c r="B4336" s="33">
        <v>45958.22152777778</v>
      </c>
      <c r="C4336" s="33">
        <v>45964.69097222222</v>
      </c>
      <c r="D4336" s="19" t="s">
        <v>33</v>
      </c>
      <c r="E4336" s="19" t="s">
        <v>69</v>
      </c>
      <c r="F4336" s="19" t="s">
        <v>34</v>
      </c>
      <c r="G4336" s="19" t="s">
        <v>121</v>
      </c>
      <c r="H4336" s="19" t="s">
        <v>59</v>
      </c>
      <c r="I4336" s="19" t="s">
        <v>114</v>
      </c>
      <c r="J4336" s="20">
        <v>120</v>
      </c>
      <c r="K4336" s="34">
        <v>0</v>
      </c>
      <c r="M4336" s="19">
        <f>IF(OR(ISBLANK(C4336),C4336=""),"",ROUND((C4336-B4336)*24,2))</f>
        <v>155.27</v>
      </c>
      <c r="N4336" s="39" t="str">
        <f>IF(OR(ISBLANK(C4336),C4336="",M4336=""),"In Progress",IF(M4336&lt;=J4336,"Met","Breached"))</f>
        <v>Breached</v>
      </c>
    </row>
    <row r="4337" ht="19" customHeight="1" spans="1:14" x14ac:dyDescent="0.25">
      <c r="A4337" s="22" t="s">
        <v>4451</v>
      </c>
      <c r="B4337" s="36">
        <v>45925.7125</v>
      </c>
      <c r="D4337" s="22" t="s">
        <v>42</v>
      </c>
      <c r="E4337" s="22" t="s">
        <v>61</v>
      </c>
      <c r="F4337" s="22" t="s">
        <v>34</v>
      </c>
      <c r="G4337" s="22" t="s">
        <v>126</v>
      </c>
      <c r="H4337" s="22" t="s">
        <v>59</v>
      </c>
      <c r="I4337" s="22" t="s">
        <v>123</v>
      </c>
      <c r="J4337" s="23">
        <v>12</v>
      </c>
      <c r="K4337" s="37">
        <v>0</v>
      </c>
      <c r="M4337" s="22" t="str">
        <f>IF(OR(ISBLANK(C4337),C4337=""),"",ROUND((C4337-B4337)*24,2))</f>
        <v/>
      </c>
      <c r="N4337" s="22" t="str">
        <f>IF(OR(ISBLANK(C4337),C4337="",M4337=""),"In Progress",IF(M4337&lt;=J4337,"Met","Breached"))</f>
        <v>In Progress</v>
      </c>
    </row>
    <row r="4338" ht="19" customHeight="1" spans="1:14" x14ac:dyDescent="0.25">
      <c r="A4338" s="19" t="s">
        <v>4452</v>
      </c>
      <c r="B4338" s="33">
        <v>45924.163194444445</v>
      </c>
      <c r="C4338" s="33">
        <v>45925.256944444445</v>
      </c>
      <c r="D4338" s="19" t="s">
        <v>33</v>
      </c>
      <c r="E4338" s="19" t="s">
        <v>65</v>
      </c>
      <c r="F4338" s="19" t="s">
        <v>37</v>
      </c>
      <c r="G4338" s="19" t="s">
        <v>121</v>
      </c>
      <c r="H4338" s="19" t="s">
        <v>59</v>
      </c>
      <c r="I4338" s="19" t="s">
        <v>117</v>
      </c>
      <c r="J4338" s="20">
        <v>48</v>
      </c>
      <c r="K4338" s="34">
        <v>0</v>
      </c>
      <c r="L4338" s="34">
        <v>5</v>
      </c>
      <c r="M4338" s="19">
        <f>IF(OR(ISBLANK(C4338),C4338=""),"",ROUND((C4338-B4338)*24,2))</f>
        <v>26.25</v>
      </c>
      <c r="N4338" s="35" t="str">
        <f>IF(OR(ISBLANK(C4338),C4338="",M4338=""),"In Progress",IF(M4338&lt;=J4338,"Met","Breached"))</f>
        <v>Met</v>
      </c>
    </row>
    <row r="4339" ht="19" customHeight="1" spans="1:14" x14ac:dyDescent="0.25">
      <c r="A4339" s="22" t="s">
        <v>4453</v>
      </c>
      <c r="B4339" s="36">
        <v>46125.51111111111</v>
      </c>
      <c r="D4339" s="22" t="s">
        <v>39</v>
      </c>
      <c r="E4339" s="22" t="s">
        <v>65</v>
      </c>
      <c r="F4339" s="22" t="s">
        <v>34</v>
      </c>
      <c r="G4339" s="22" t="s">
        <v>113</v>
      </c>
      <c r="H4339" s="22" t="s">
        <v>59</v>
      </c>
      <c r="I4339" s="22" t="s">
        <v>108</v>
      </c>
      <c r="J4339" s="23">
        <v>48</v>
      </c>
      <c r="K4339" s="37">
        <v>0</v>
      </c>
      <c r="M4339" s="22" t="str">
        <f>IF(OR(ISBLANK(C4339),C4339=""),"",ROUND((C4339-B4339)*24,2))</f>
        <v/>
      </c>
      <c r="N4339" s="22" t="str">
        <f>IF(OR(ISBLANK(C4339),C4339="",M4339=""),"In Progress",IF(M4339&lt;=J4339,"Met","Breached"))</f>
        <v>In Progress</v>
      </c>
    </row>
    <row r="4340" ht="19" customHeight="1" spans="1:14" x14ac:dyDescent="0.25">
      <c r="A4340" s="19" t="s">
        <v>4454</v>
      </c>
      <c r="B4340" s="33">
        <v>45950.334027777775</v>
      </c>
      <c r="D4340" s="19" t="s">
        <v>39</v>
      </c>
      <c r="E4340" s="19" t="s">
        <v>69</v>
      </c>
      <c r="F4340" s="19" t="s">
        <v>37</v>
      </c>
      <c r="G4340" s="19" t="s">
        <v>110</v>
      </c>
      <c r="H4340" s="19" t="s">
        <v>63</v>
      </c>
      <c r="I4340" s="19" t="s">
        <v>111</v>
      </c>
      <c r="J4340" s="20">
        <v>120</v>
      </c>
      <c r="K4340" s="34">
        <v>0</v>
      </c>
      <c r="M4340" s="19" t="str">
        <f>IF(OR(ISBLANK(C4340),C4340=""),"",ROUND((C4340-B4340)*24,2))</f>
        <v/>
      </c>
      <c r="N4340" s="19" t="str">
        <f>IF(OR(ISBLANK(C4340),C4340="",M4340=""),"In Progress",IF(M4340&lt;=J4340,"Met","Breached"))</f>
        <v>In Progress</v>
      </c>
    </row>
    <row r="4341" ht="19" customHeight="1" spans="1:14" x14ac:dyDescent="0.25">
      <c r="A4341" s="22" t="s">
        <v>4455</v>
      </c>
      <c r="B4341" s="36">
        <v>45870.65</v>
      </c>
      <c r="C4341" s="36">
        <v>45878.18541666667</v>
      </c>
      <c r="D4341" s="22" t="s">
        <v>33</v>
      </c>
      <c r="E4341" s="22" t="s">
        <v>69</v>
      </c>
      <c r="F4341" s="22" t="s">
        <v>45</v>
      </c>
      <c r="G4341" s="22" t="s">
        <v>63</v>
      </c>
      <c r="H4341" s="22" t="s">
        <v>63</v>
      </c>
      <c r="I4341" s="22" t="s">
        <v>117</v>
      </c>
      <c r="J4341" s="23">
        <v>120</v>
      </c>
      <c r="K4341" s="37">
        <v>0</v>
      </c>
      <c r="L4341" s="37">
        <v>3</v>
      </c>
      <c r="M4341" s="22">
        <f>IF(OR(ISBLANK(C4341),C4341=""),"",ROUND((C4341-B4341)*24,2))</f>
        <v>180.85</v>
      </c>
      <c r="N4341" s="38" t="str">
        <f>IF(OR(ISBLANK(C4341),C4341="",M4341=""),"In Progress",IF(M4341&lt;=J4341,"Met","Breached"))</f>
        <v>Breached</v>
      </c>
    </row>
    <row r="4342" ht="19" customHeight="1" spans="1:14" x14ac:dyDescent="0.25">
      <c r="A4342" s="19" t="s">
        <v>4456</v>
      </c>
      <c r="B4342" s="33">
        <v>46137.1125</v>
      </c>
      <c r="D4342" s="19" t="s">
        <v>42</v>
      </c>
      <c r="E4342" s="19" t="s">
        <v>57</v>
      </c>
      <c r="F4342" s="19" t="s">
        <v>40</v>
      </c>
      <c r="G4342" s="19" t="s">
        <v>116</v>
      </c>
      <c r="H4342" s="19" t="s">
        <v>59</v>
      </c>
      <c r="I4342" s="19" t="s">
        <v>123</v>
      </c>
      <c r="J4342" s="20">
        <v>4</v>
      </c>
      <c r="K4342" s="34">
        <v>0</v>
      </c>
      <c r="M4342" s="19" t="str">
        <f>IF(OR(ISBLANK(C4342),C4342=""),"",ROUND((C4342-B4342)*24,2))</f>
        <v/>
      </c>
      <c r="N4342" s="19" t="str">
        <f>IF(OR(ISBLANK(C4342),C4342="",M4342=""),"In Progress",IF(M4342&lt;=J4342,"Met","Breached"))</f>
        <v>In Progress</v>
      </c>
    </row>
    <row r="4343" ht="19" customHeight="1" spans="1:14" x14ac:dyDescent="0.25">
      <c r="A4343" s="22" t="s">
        <v>4457</v>
      </c>
      <c r="B4343" s="36">
        <v>45705.066666666666</v>
      </c>
      <c r="C4343" s="36">
        <v>45707.39791666667</v>
      </c>
      <c r="D4343" s="22" t="s">
        <v>36</v>
      </c>
      <c r="E4343" s="22" t="s">
        <v>65</v>
      </c>
      <c r="F4343" s="22" t="s">
        <v>40</v>
      </c>
      <c r="G4343" s="22" t="s">
        <v>121</v>
      </c>
      <c r="H4343" s="22" t="s">
        <v>63</v>
      </c>
      <c r="I4343" s="22" t="s">
        <v>108</v>
      </c>
      <c r="J4343" s="23">
        <v>48</v>
      </c>
      <c r="K4343" s="37">
        <v>0</v>
      </c>
      <c r="L4343" s="37">
        <v>5</v>
      </c>
      <c r="M4343" s="22">
        <f>IF(OR(ISBLANK(C4343),C4343=""),"",ROUND((C4343-B4343)*24,2))</f>
        <v>55.95</v>
      </c>
      <c r="N4343" s="38" t="str">
        <f>IF(OR(ISBLANK(C4343),C4343="",M4343=""),"In Progress",IF(M4343&lt;=J4343,"Met","Breached"))</f>
        <v>Breached</v>
      </c>
    </row>
    <row r="4344" ht="19" customHeight="1" spans="1:14" x14ac:dyDescent="0.25">
      <c r="A4344" s="19" t="s">
        <v>4458</v>
      </c>
      <c r="B4344" s="33">
        <v>46209.56458333333</v>
      </c>
      <c r="C4344" s="33">
        <v>46211.21805555555</v>
      </c>
      <c r="D4344" s="19" t="s">
        <v>33</v>
      </c>
      <c r="E4344" s="19" t="s">
        <v>69</v>
      </c>
      <c r="F4344" s="19" t="s">
        <v>34</v>
      </c>
      <c r="G4344" s="19" t="s">
        <v>126</v>
      </c>
      <c r="H4344" s="19" t="s">
        <v>63</v>
      </c>
      <c r="I4344" s="19" t="s">
        <v>123</v>
      </c>
      <c r="J4344" s="20">
        <v>120</v>
      </c>
      <c r="K4344" s="34">
        <v>0</v>
      </c>
      <c r="M4344" s="19">
        <f>IF(OR(ISBLANK(C4344),C4344=""),"",ROUND((C4344-B4344)*24,2))</f>
        <v>39.68</v>
      </c>
      <c r="N4344" s="35" t="str">
        <f>IF(OR(ISBLANK(C4344),C4344="",M4344=""),"In Progress",IF(M4344&lt;=J4344,"Met","Breached"))</f>
        <v>Met</v>
      </c>
    </row>
    <row r="4345" ht="19" customHeight="1" spans="1:14" x14ac:dyDescent="0.25">
      <c r="A4345" s="22" t="s">
        <v>4459</v>
      </c>
      <c r="B4345" s="36">
        <v>45697.62638888889</v>
      </c>
      <c r="C4345" s="36">
        <v>45699.43541666667</v>
      </c>
      <c r="D4345" s="22" t="s">
        <v>33</v>
      </c>
      <c r="E4345" s="22" t="s">
        <v>65</v>
      </c>
      <c r="F4345" s="22" t="s">
        <v>34</v>
      </c>
      <c r="G4345" s="22" t="s">
        <v>116</v>
      </c>
      <c r="H4345" s="22" t="s">
        <v>63</v>
      </c>
      <c r="I4345" s="22" t="s">
        <v>117</v>
      </c>
      <c r="J4345" s="23">
        <v>48</v>
      </c>
      <c r="K4345" s="37">
        <v>0</v>
      </c>
      <c r="M4345" s="22">
        <f>IF(OR(ISBLANK(C4345),C4345=""),"",ROUND((C4345-B4345)*24,2))</f>
        <v>43.42</v>
      </c>
      <c r="N4345" s="40" t="str">
        <f>IF(OR(ISBLANK(C4345),C4345="",M4345=""),"In Progress",IF(M4345&lt;=J4345,"Met","Breached"))</f>
        <v>Met</v>
      </c>
    </row>
    <row r="4346" ht="19" customHeight="1" spans="1:14" x14ac:dyDescent="0.25">
      <c r="A4346" s="19" t="s">
        <v>4460</v>
      </c>
      <c r="B4346" s="33">
        <v>45969.38680555555</v>
      </c>
      <c r="C4346" s="33">
        <v>45969.99513888889</v>
      </c>
      <c r="D4346" s="19" t="s">
        <v>33</v>
      </c>
      <c r="E4346" s="19" t="s">
        <v>61</v>
      </c>
      <c r="F4346" s="19" t="s">
        <v>34</v>
      </c>
      <c r="G4346" s="19" t="s">
        <v>116</v>
      </c>
      <c r="H4346" s="19" t="s">
        <v>67</v>
      </c>
      <c r="I4346" s="19" t="s">
        <v>108</v>
      </c>
      <c r="J4346" s="20">
        <v>12</v>
      </c>
      <c r="K4346" s="34">
        <v>0</v>
      </c>
      <c r="L4346" s="34">
        <v>4</v>
      </c>
      <c r="M4346" s="19">
        <f>IF(OR(ISBLANK(C4346),C4346=""),"",ROUND((C4346-B4346)*24,2))</f>
        <v>14.6</v>
      </c>
      <c r="N4346" s="39" t="str">
        <f>IF(OR(ISBLANK(C4346),C4346="",M4346=""),"In Progress",IF(M4346&lt;=J4346,"Met","Breached"))</f>
        <v>Breached</v>
      </c>
    </row>
    <row r="4347" ht="19" customHeight="1" spans="1:14" x14ac:dyDescent="0.25">
      <c r="A4347" s="22" t="s">
        <v>4461</v>
      </c>
      <c r="B4347" s="36">
        <v>45955.865277777775</v>
      </c>
      <c r="D4347" s="22" t="s">
        <v>39</v>
      </c>
      <c r="E4347" s="22" t="s">
        <v>69</v>
      </c>
      <c r="F4347" s="22" t="s">
        <v>40</v>
      </c>
      <c r="G4347" s="22" t="s">
        <v>116</v>
      </c>
      <c r="H4347" s="22" t="s">
        <v>67</v>
      </c>
      <c r="I4347" s="22" t="s">
        <v>111</v>
      </c>
      <c r="J4347" s="23">
        <v>120</v>
      </c>
      <c r="K4347" s="37">
        <v>0</v>
      </c>
      <c r="M4347" s="22" t="str">
        <f>IF(OR(ISBLANK(C4347),C4347=""),"",ROUND((C4347-B4347)*24,2))</f>
        <v/>
      </c>
      <c r="N4347" s="22" t="str">
        <f>IF(OR(ISBLANK(C4347),C4347="",M4347=""),"In Progress",IF(M4347&lt;=J4347,"Met","Breached"))</f>
        <v>In Progress</v>
      </c>
    </row>
    <row r="4348" ht="19" customHeight="1" spans="1:14" x14ac:dyDescent="0.25">
      <c r="A4348" s="19" t="s">
        <v>4462</v>
      </c>
      <c r="B4348" s="33">
        <v>46225.82777777778</v>
      </c>
      <c r="C4348" s="33">
        <v>46225.91527777778</v>
      </c>
      <c r="D4348" s="19" t="s">
        <v>36</v>
      </c>
      <c r="E4348" s="19" t="s">
        <v>57</v>
      </c>
      <c r="F4348" s="19" t="s">
        <v>34</v>
      </c>
      <c r="G4348" s="19" t="s">
        <v>110</v>
      </c>
      <c r="H4348" s="19" t="s">
        <v>59</v>
      </c>
      <c r="I4348" s="19" t="s">
        <v>123</v>
      </c>
      <c r="J4348" s="20">
        <v>4</v>
      </c>
      <c r="K4348" s="34">
        <v>0</v>
      </c>
      <c r="L4348" s="34">
        <v>4</v>
      </c>
      <c r="M4348" s="19">
        <f>IF(OR(ISBLANK(C4348),C4348=""),"",ROUND((C4348-B4348)*24,2))</f>
        <v>2.1</v>
      </c>
      <c r="N4348" s="35" t="str">
        <f>IF(OR(ISBLANK(C4348),C4348="",M4348=""),"In Progress",IF(M4348&lt;=J4348,"Met","Breached"))</f>
        <v>Met</v>
      </c>
    </row>
    <row r="4349" ht="19" customHeight="1" spans="1:14" x14ac:dyDescent="0.25">
      <c r="A4349" s="22" t="s">
        <v>4463</v>
      </c>
      <c r="B4349" s="36">
        <v>45818.23958333333</v>
      </c>
      <c r="C4349" s="36">
        <v>45820.540972222225</v>
      </c>
      <c r="D4349" s="22" t="s">
        <v>33</v>
      </c>
      <c r="E4349" s="22" t="s">
        <v>65</v>
      </c>
      <c r="F4349" s="22" t="s">
        <v>43</v>
      </c>
      <c r="G4349" s="22" t="s">
        <v>113</v>
      </c>
      <c r="H4349" s="22" t="s">
        <v>59</v>
      </c>
      <c r="I4349" s="22" t="s">
        <v>147</v>
      </c>
      <c r="J4349" s="23">
        <v>48</v>
      </c>
      <c r="K4349" s="37">
        <v>1</v>
      </c>
      <c r="L4349" s="37">
        <v>2</v>
      </c>
      <c r="M4349" s="22">
        <f>IF(OR(ISBLANK(C4349),C4349=""),"",ROUND((C4349-B4349)*24,2))</f>
        <v>55.23</v>
      </c>
      <c r="N4349" s="38" t="str">
        <f>IF(OR(ISBLANK(C4349),C4349="",M4349=""),"In Progress",IF(M4349&lt;=J4349,"Met","Breached"))</f>
        <v>Breached</v>
      </c>
    </row>
    <row r="4350" ht="19" customHeight="1" spans="1:14" x14ac:dyDescent="0.25">
      <c r="A4350" s="19" t="s">
        <v>4464</v>
      </c>
      <c r="B4350" s="33">
        <v>46285.18958333333</v>
      </c>
      <c r="D4350" s="19" t="s">
        <v>42</v>
      </c>
      <c r="E4350" s="19" t="s">
        <v>69</v>
      </c>
      <c r="F4350" s="19" t="s">
        <v>45</v>
      </c>
      <c r="G4350" s="19" t="s">
        <v>113</v>
      </c>
      <c r="H4350" s="19" t="s">
        <v>59</v>
      </c>
      <c r="I4350" s="19" t="s">
        <v>111</v>
      </c>
      <c r="J4350" s="20">
        <v>120</v>
      </c>
      <c r="K4350" s="34">
        <v>0</v>
      </c>
      <c r="M4350" s="19" t="str">
        <f>IF(OR(ISBLANK(C4350),C4350=""),"",ROUND((C4350-B4350)*24,2))</f>
        <v/>
      </c>
      <c r="N4350" s="19" t="str">
        <f>IF(OR(ISBLANK(C4350),C4350="",M4350=""),"In Progress",IF(M4350&lt;=J4350,"Met","Breached"))</f>
        <v>In Progress</v>
      </c>
    </row>
    <row r="4351" ht="19" customHeight="1" spans="1:14" x14ac:dyDescent="0.25">
      <c r="A4351" s="22" t="s">
        <v>4465</v>
      </c>
      <c r="B4351" s="36">
        <v>45802.038194444445</v>
      </c>
      <c r="C4351" s="36">
        <v>45805.075</v>
      </c>
      <c r="D4351" s="22" t="s">
        <v>33</v>
      </c>
      <c r="E4351" s="22" t="s">
        <v>65</v>
      </c>
      <c r="F4351" s="22" t="s">
        <v>37</v>
      </c>
      <c r="G4351" s="22" t="s">
        <v>126</v>
      </c>
      <c r="H4351" s="22" t="s">
        <v>71</v>
      </c>
      <c r="I4351" s="22" t="s">
        <v>117</v>
      </c>
      <c r="J4351" s="23">
        <v>48</v>
      </c>
      <c r="K4351" s="37">
        <v>0</v>
      </c>
      <c r="M4351" s="22">
        <f>IF(OR(ISBLANK(C4351),C4351=""),"",ROUND((C4351-B4351)*24,2))</f>
        <v>72.88</v>
      </c>
      <c r="N4351" s="38" t="str">
        <f>IF(OR(ISBLANK(C4351),C4351="",M4351=""),"In Progress",IF(M4351&lt;=J4351,"Met","Breached"))</f>
        <v>Breached</v>
      </c>
    </row>
    <row r="4352" ht="19" customHeight="1" spans="1:14" x14ac:dyDescent="0.25">
      <c r="A4352" s="19" t="s">
        <v>4466</v>
      </c>
      <c r="B4352" s="33">
        <v>46144.44930555555</v>
      </c>
      <c r="D4352" s="19" t="s">
        <v>39</v>
      </c>
      <c r="E4352" s="19" t="s">
        <v>65</v>
      </c>
      <c r="F4352" s="19" t="s">
        <v>37</v>
      </c>
      <c r="G4352" s="19" t="s">
        <v>116</v>
      </c>
      <c r="H4352" s="19" t="s">
        <v>59</v>
      </c>
      <c r="I4352" s="19" t="s">
        <v>123</v>
      </c>
      <c r="J4352" s="20">
        <v>48</v>
      </c>
      <c r="K4352" s="34">
        <v>0</v>
      </c>
      <c r="M4352" s="19" t="str">
        <f>IF(OR(ISBLANK(C4352),C4352=""),"",ROUND((C4352-B4352)*24,2))</f>
        <v/>
      </c>
      <c r="N4352" s="19" t="str">
        <f>IF(OR(ISBLANK(C4352),C4352="",M4352=""),"In Progress",IF(M4352&lt;=J4352,"Met","Breached"))</f>
        <v>In Progress</v>
      </c>
    </row>
    <row r="4353" ht="19" customHeight="1" spans="1:14" x14ac:dyDescent="0.25">
      <c r="A4353" s="22" t="s">
        <v>4467</v>
      </c>
      <c r="B4353" s="36">
        <v>46051.773611111115</v>
      </c>
      <c r="C4353" s="36">
        <v>46054.169444444444</v>
      </c>
      <c r="D4353" s="22" t="s">
        <v>33</v>
      </c>
      <c r="E4353" s="22" t="s">
        <v>65</v>
      </c>
      <c r="F4353" s="22" t="s">
        <v>40</v>
      </c>
      <c r="G4353" s="22" t="s">
        <v>110</v>
      </c>
      <c r="H4353" s="22" t="s">
        <v>59</v>
      </c>
      <c r="I4353" s="22" t="s">
        <v>111</v>
      </c>
      <c r="J4353" s="23">
        <v>48</v>
      </c>
      <c r="K4353" s="37">
        <v>0</v>
      </c>
      <c r="L4353" s="37">
        <v>4</v>
      </c>
      <c r="M4353" s="22">
        <f>IF(OR(ISBLANK(C4353),C4353=""),"",ROUND((C4353-B4353)*24,2))</f>
        <v>57.5</v>
      </c>
      <c r="N4353" s="38" t="str">
        <f>IF(OR(ISBLANK(C4353),C4353="",M4353=""),"In Progress",IF(M4353&lt;=J4353,"Met","Breached"))</f>
        <v>Breached</v>
      </c>
    </row>
    <row r="4354" ht="19" customHeight="1" spans="1:14" x14ac:dyDescent="0.25">
      <c r="A4354" s="19" t="s">
        <v>4468</v>
      </c>
      <c r="B4354" s="33">
        <v>45944.58263888889</v>
      </c>
      <c r="C4354" s="33">
        <v>45947.70763888889</v>
      </c>
      <c r="D4354" s="19" t="s">
        <v>33</v>
      </c>
      <c r="E4354" s="19" t="s">
        <v>65</v>
      </c>
      <c r="F4354" s="19" t="s">
        <v>34</v>
      </c>
      <c r="G4354" s="19" t="s">
        <v>63</v>
      </c>
      <c r="H4354" s="19" t="s">
        <v>63</v>
      </c>
      <c r="I4354" s="19" t="s">
        <v>114</v>
      </c>
      <c r="J4354" s="20">
        <v>48</v>
      </c>
      <c r="K4354" s="34">
        <v>0</v>
      </c>
      <c r="L4354" s="34">
        <v>1</v>
      </c>
      <c r="M4354" s="19">
        <f>IF(OR(ISBLANK(C4354),C4354=""),"",ROUND((C4354-B4354)*24,2))</f>
        <v>75</v>
      </c>
      <c r="N4354" s="39" t="str">
        <f>IF(OR(ISBLANK(C4354),C4354="",M4354=""),"In Progress",IF(M4354&lt;=J4354,"Met","Breached"))</f>
        <v>Breached</v>
      </c>
    </row>
    <row r="4355" ht="19" customHeight="1" spans="1:14" x14ac:dyDescent="0.25">
      <c r="A4355" s="22" t="s">
        <v>4469</v>
      </c>
      <c r="B4355" s="36">
        <v>45756.12708333333</v>
      </c>
      <c r="C4355" s="36">
        <v>45758.589583333334</v>
      </c>
      <c r="D4355" s="22" t="s">
        <v>33</v>
      </c>
      <c r="E4355" s="22" t="s">
        <v>65</v>
      </c>
      <c r="F4355" s="22" t="s">
        <v>45</v>
      </c>
      <c r="G4355" s="22" t="s">
        <v>110</v>
      </c>
      <c r="H4355" s="22" t="s">
        <v>59</v>
      </c>
      <c r="I4355" s="22" t="s">
        <v>147</v>
      </c>
      <c r="J4355" s="23">
        <v>48</v>
      </c>
      <c r="K4355" s="37">
        <v>0</v>
      </c>
      <c r="L4355" s="37">
        <v>3</v>
      </c>
      <c r="M4355" s="22">
        <f>IF(OR(ISBLANK(C4355),C4355=""),"",ROUND((C4355-B4355)*24,2))</f>
        <v>59.1</v>
      </c>
      <c r="N4355" s="38" t="str">
        <f>IF(OR(ISBLANK(C4355),C4355="",M4355=""),"In Progress",IF(M4355&lt;=J4355,"Met","Breached"))</f>
        <v>Breached</v>
      </c>
    </row>
    <row r="4356" ht="19" customHeight="1" spans="1:14" x14ac:dyDescent="0.25">
      <c r="A4356" s="19" t="s">
        <v>4470</v>
      </c>
      <c r="B4356" s="33">
        <v>46122.70972222222</v>
      </c>
      <c r="C4356" s="33">
        <v>46123.413888888885</v>
      </c>
      <c r="D4356" s="19" t="s">
        <v>36</v>
      </c>
      <c r="E4356" s="19" t="s">
        <v>65</v>
      </c>
      <c r="F4356" s="19" t="s">
        <v>43</v>
      </c>
      <c r="G4356" s="19" t="s">
        <v>113</v>
      </c>
      <c r="H4356" s="19" t="s">
        <v>63</v>
      </c>
      <c r="I4356" s="19" t="s">
        <v>117</v>
      </c>
      <c r="J4356" s="20">
        <v>48</v>
      </c>
      <c r="K4356" s="34">
        <v>0</v>
      </c>
      <c r="L4356" s="34">
        <v>3</v>
      </c>
      <c r="M4356" s="19">
        <f>IF(OR(ISBLANK(C4356),C4356=""),"",ROUND((C4356-B4356)*24,2))</f>
        <v>16.9</v>
      </c>
      <c r="N4356" s="35" t="str">
        <f>IF(OR(ISBLANK(C4356),C4356="",M4356=""),"In Progress",IF(M4356&lt;=J4356,"Met","Breached"))</f>
        <v>Met</v>
      </c>
    </row>
    <row r="4357" ht="19" customHeight="1" spans="1:14" x14ac:dyDescent="0.25">
      <c r="A4357" s="22" t="s">
        <v>4471</v>
      </c>
      <c r="B4357" s="36">
        <v>46025.79166666667</v>
      </c>
      <c r="C4357" s="36">
        <v>46026.05208333333</v>
      </c>
      <c r="D4357" s="22" t="s">
        <v>36</v>
      </c>
      <c r="E4357" s="22" t="s">
        <v>61</v>
      </c>
      <c r="F4357" s="22" t="s">
        <v>40</v>
      </c>
      <c r="G4357" s="22" t="s">
        <v>63</v>
      </c>
      <c r="H4357" s="22" t="s">
        <v>59</v>
      </c>
      <c r="I4357" s="22" t="s">
        <v>147</v>
      </c>
      <c r="J4357" s="23">
        <v>12</v>
      </c>
      <c r="K4357" s="37">
        <v>0</v>
      </c>
      <c r="L4357" s="37">
        <v>2</v>
      </c>
      <c r="M4357" s="22">
        <f>IF(OR(ISBLANK(C4357),C4357=""),"",ROUND((C4357-B4357)*24,2))</f>
        <v>6.25</v>
      </c>
      <c r="N4357" s="40" t="str">
        <f>IF(OR(ISBLANK(C4357),C4357="",M4357=""),"In Progress",IF(M4357&lt;=J4357,"Met","Breached"))</f>
        <v>Met</v>
      </c>
    </row>
    <row r="4358" ht="19" customHeight="1" spans="1:14" x14ac:dyDescent="0.25">
      <c r="A4358" s="19" t="s">
        <v>4472</v>
      </c>
      <c r="B4358" s="33">
        <v>46280.05</v>
      </c>
      <c r="D4358" s="19" t="s">
        <v>39</v>
      </c>
      <c r="E4358" s="19" t="s">
        <v>61</v>
      </c>
      <c r="F4358" s="19" t="s">
        <v>43</v>
      </c>
      <c r="G4358" s="19" t="s">
        <v>110</v>
      </c>
      <c r="H4358" s="19" t="s">
        <v>63</v>
      </c>
      <c r="I4358" s="19" t="s">
        <v>108</v>
      </c>
      <c r="J4358" s="20">
        <v>12</v>
      </c>
      <c r="K4358" s="34">
        <v>0</v>
      </c>
      <c r="M4358" s="19" t="str">
        <f>IF(OR(ISBLANK(C4358),C4358=""),"",ROUND((C4358-B4358)*24,2))</f>
        <v/>
      </c>
      <c r="N4358" s="19" t="str">
        <f>IF(OR(ISBLANK(C4358),C4358="",M4358=""),"In Progress",IF(M4358&lt;=J4358,"Met","Breached"))</f>
        <v>In Progress</v>
      </c>
    </row>
    <row r="4359" ht="19" customHeight="1" spans="1:14" x14ac:dyDescent="0.25">
      <c r="A4359" s="22" t="s">
        <v>4473</v>
      </c>
      <c r="B4359" s="36">
        <v>46158.70277777778</v>
      </c>
      <c r="C4359" s="36">
        <v>46159.65416666667</v>
      </c>
      <c r="D4359" s="22" t="s">
        <v>33</v>
      </c>
      <c r="E4359" s="22" t="s">
        <v>65</v>
      </c>
      <c r="F4359" s="22" t="s">
        <v>37</v>
      </c>
      <c r="G4359" s="22" t="s">
        <v>110</v>
      </c>
      <c r="H4359" s="22" t="s">
        <v>63</v>
      </c>
      <c r="I4359" s="22" t="s">
        <v>147</v>
      </c>
      <c r="J4359" s="23">
        <v>48</v>
      </c>
      <c r="K4359" s="37">
        <v>1</v>
      </c>
      <c r="M4359" s="22">
        <f>IF(OR(ISBLANK(C4359),C4359=""),"",ROUND((C4359-B4359)*24,2))</f>
        <v>22.83</v>
      </c>
      <c r="N4359" s="40" t="str">
        <f>IF(OR(ISBLANK(C4359),C4359="",M4359=""),"In Progress",IF(M4359&lt;=J4359,"Met","Breached"))</f>
        <v>Met</v>
      </c>
    </row>
    <row r="4360" ht="19" customHeight="1" spans="1:14" x14ac:dyDescent="0.25">
      <c r="A4360" s="19" t="s">
        <v>4474</v>
      </c>
      <c r="B4360" s="33">
        <v>46210.82708333334</v>
      </c>
      <c r="D4360" s="19" t="s">
        <v>39</v>
      </c>
      <c r="E4360" s="19" t="s">
        <v>57</v>
      </c>
      <c r="F4360" s="19" t="s">
        <v>34</v>
      </c>
      <c r="G4360" s="19" t="s">
        <v>110</v>
      </c>
      <c r="H4360" s="19" t="s">
        <v>59</v>
      </c>
      <c r="I4360" s="19" t="s">
        <v>108</v>
      </c>
      <c r="J4360" s="20">
        <v>4</v>
      </c>
      <c r="K4360" s="34">
        <v>0</v>
      </c>
      <c r="M4360" s="19" t="str">
        <f>IF(OR(ISBLANK(C4360),C4360=""),"",ROUND((C4360-B4360)*24,2))</f>
        <v/>
      </c>
      <c r="N4360" s="19" t="str">
        <f>IF(OR(ISBLANK(C4360),C4360="",M4360=""),"In Progress",IF(M4360&lt;=J4360,"Met","Breached"))</f>
        <v>In Progress</v>
      </c>
    </row>
    <row r="4361" ht="19" customHeight="1" spans="1:14" x14ac:dyDescent="0.25">
      <c r="A4361" s="22" t="s">
        <v>4475</v>
      </c>
      <c r="B4361" s="36">
        <v>45815.35277777778</v>
      </c>
      <c r="C4361" s="36">
        <v>45815.58125</v>
      </c>
      <c r="D4361" s="22" t="s">
        <v>33</v>
      </c>
      <c r="E4361" s="22" t="s">
        <v>61</v>
      </c>
      <c r="F4361" s="22" t="s">
        <v>37</v>
      </c>
      <c r="G4361" s="22" t="s">
        <v>63</v>
      </c>
      <c r="H4361" s="22" t="s">
        <v>63</v>
      </c>
      <c r="I4361" s="22" t="s">
        <v>108</v>
      </c>
      <c r="J4361" s="23">
        <v>12</v>
      </c>
      <c r="K4361" s="37">
        <v>1</v>
      </c>
      <c r="L4361" s="37">
        <v>4</v>
      </c>
      <c r="M4361" s="22">
        <f>IF(OR(ISBLANK(C4361),C4361=""),"",ROUND((C4361-B4361)*24,2))</f>
        <v>5.48</v>
      </c>
      <c r="N4361" s="40" t="str">
        <f>IF(OR(ISBLANK(C4361),C4361="",M4361=""),"In Progress",IF(M4361&lt;=J4361,"Met","Breached"))</f>
        <v>Met</v>
      </c>
    </row>
    <row r="4362" ht="19" customHeight="1" spans="1:14" x14ac:dyDescent="0.25">
      <c r="A4362" s="19" t="s">
        <v>4476</v>
      </c>
      <c r="B4362" s="33">
        <v>46108.134722222225</v>
      </c>
      <c r="C4362" s="33">
        <v>46108.37847222222</v>
      </c>
      <c r="D4362" s="19" t="s">
        <v>33</v>
      </c>
      <c r="E4362" s="19" t="s">
        <v>57</v>
      </c>
      <c r="F4362" s="19" t="s">
        <v>45</v>
      </c>
      <c r="G4362" s="19" t="s">
        <v>126</v>
      </c>
      <c r="H4362" s="19" t="s">
        <v>59</v>
      </c>
      <c r="I4362" s="19" t="s">
        <v>114</v>
      </c>
      <c r="J4362" s="20">
        <v>4</v>
      </c>
      <c r="K4362" s="34">
        <v>0</v>
      </c>
      <c r="L4362" s="34">
        <v>3</v>
      </c>
      <c r="M4362" s="19">
        <f>IF(OR(ISBLANK(C4362),C4362=""),"",ROUND((C4362-B4362)*24,2))</f>
        <v>5.85</v>
      </c>
      <c r="N4362" s="39" t="str">
        <f>IF(OR(ISBLANK(C4362),C4362="",M4362=""),"In Progress",IF(M4362&lt;=J4362,"Met","Breached"))</f>
        <v>Breached</v>
      </c>
    </row>
    <row r="4363" ht="19" customHeight="1" spans="1:14" x14ac:dyDescent="0.25">
      <c r="A4363" s="22" t="s">
        <v>4477</v>
      </c>
      <c r="B4363" s="36">
        <v>45943.566666666666</v>
      </c>
      <c r="D4363" s="22" t="s">
        <v>42</v>
      </c>
      <c r="E4363" s="22" t="s">
        <v>65</v>
      </c>
      <c r="F4363" s="22" t="s">
        <v>45</v>
      </c>
      <c r="G4363" s="22" t="s">
        <v>113</v>
      </c>
      <c r="H4363" s="22" t="s">
        <v>59</v>
      </c>
      <c r="I4363" s="22" t="s">
        <v>114</v>
      </c>
      <c r="J4363" s="23">
        <v>48</v>
      </c>
      <c r="K4363" s="37">
        <v>0</v>
      </c>
      <c r="M4363" s="22" t="str">
        <f>IF(OR(ISBLANK(C4363),C4363=""),"",ROUND((C4363-B4363)*24,2))</f>
        <v/>
      </c>
      <c r="N4363" s="22" t="str">
        <f>IF(OR(ISBLANK(C4363),C4363="",M4363=""),"In Progress",IF(M4363&lt;=J4363,"Met","Breached"))</f>
        <v>In Progress</v>
      </c>
    </row>
    <row r="4364" ht="19" customHeight="1" spans="1:14" x14ac:dyDescent="0.25">
      <c r="A4364" s="19" t="s">
        <v>4478</v>
      </c>
      <c r="B4364" s="33">
        <v>46222.35625</v>
      </c>
      <c r="D4364" s="19" t="s">
        <v>42</v>
      </c>
      <c r="E4364" s="19" t="s">
        <v>65</v>
      </c>
      <c r="F4364" s="19" t="s">
        <v>40</v>
      </c>
      <c r="G4364" s="19" t="s">
        <v>110</v>
      </c>
      <c r="H4364" s="19" t="s">
        <v>59</v>
      </c>
      <c r="I4364" s="19" t="s">
        <v>114</v>
      </c>
      <c r="J4364" s="20">
        <v>48</v>
      </c>
      <c r="K4364" s="34">
        <v>0</v>
      </c>
      <c r="M4364" s="19" t="str">
        <f>IF(OR(ISBLANK(C4364),C4364=""),"",ROUND((C4364-B4364)*24,2))</f>
        <v/>
      </c>
      <c r="N4364" s="19" t="str">
        <f>IF(OR(ISBLANK(C4364),C4364="",M4364=""),"In Progress",IF(M4364&lt;=J4364,"Met","Breached"))</f>
        <v>In Progress</v>
      </c>
    </row>
    <row r="4365" ht="19" customHeight="1" spans="1:14" x14ac:dyDescent="0.25">
      <c r="A4365" s="22" t="s">
        <v>4479</v>
      </c>
      <c r="B4365" s="36">
        <v>45709.66736111111</v>
      </c>
      <c r="C4365" s="36">
        <v>45711.381944444445</v>
      </c>
      <c r="D4365" s="22" t="s">
        <v>36</v>
      </c>
      <c r="E4365" s="22" t="s">
        <v>65</v>
      </c>
      <c r="F4365" s="22" t="s">
        <v>40</v>
      </c>
      <c r="G4365" s="22" t="s">
        <v>110</v>
      </c>
      <c r="H4365" s="22" t="s">
        <v>71</v>
      </c>
      <c r="I4365" s="22" t="s">
        <v>117</v>
      </c>
      <c r="J4365" s="23">
        <v>48</v>
      </c>
      <c r="K4365" s="37">
        <v>0</v>
      </c>
      <c r="L4365" s="37">
        <v>3</v>
      </c>
      <c r="M4365" s="22">
        <f>IF(OR(ISBLANK(C4365),C4365=""),"",ROUND((C4365-B4365)*24,2))</f>
        <v>41.15</v>
      </c>
      <c r="N4365" s="40" t="str">
        <f>IF(OR(ISBLANK(C4365),C4365="",M4365=""),"In Progress",IF(M4365&lt;=J4365,"Met","Breached"))</f>
        <v>Met</v>
      </c>
    </row>
    <row r="4366" ht="19" customHeight="1" spans="1:14" x14ac:dyDescent="0.25">
      <c r="A4366" s="19" t="s">
        <v>4480</v>
      </c>
      <c r="B4366" s="33">
        <v>45976.33333333333</v>
      </c>
      <c r="D4366" s="19" t="s">
        <v>39</v>
      </c>
      <c r="E4366" s="19" t="s">
        <v>65</v>
      </c>
      <c r="F4366" s="19" t="s">
        <v>34</v>
      </c>
      <c r="G4366" s="19" t="s">
        <v>63</v>
      </c>
      <c r="H4366" s="19" t="s">
        <v>71</v>
      </c>
      <c r="I4366" s="19" t="s">
        <v>111</v>
      </c>
      <c r="J4366" s="20">
        <v>48</v>
      </c>
      <c r="K4366" s="34">
        <v>0</v>
      </c>
      <c r="M4366" s="19" t="str">
        <f>IF(OR(ISBLANK(C4366),C4366=""),"",ROUND((C4366-B4366)*24,2))</f>
        <v/>
      </c>
      <c r="N4366" s="19" t="str">
        <f>IF(OR(ISBLANK(C4366),C4366="",M4366=""),"In Progress",IF(M4366&lt;=J4366,"Met","Breached"))</f>
        <v>In Progress</v>
      </c>
    </row>
    <row r="4367" ht="19" customHeight="1" spans="1:14" x14ac:dyDescent="0.25">
      <c r="A4367" s="22" t="s">
        <v>4481</v>
      </c>
      <c r="B4367" s="36">
        <v>45920.975694444445</v>
      </c>
      <c r="D4367" s="22" t="s">
        <v>39</v>
      </c>
      <c r="E4367" s="22" t="s">
        <v>65</v>
      </c>
      <c r="F4367" s="22" t="s">
        <v>34</v>
      </c>
      <c r="G4367" s="22" t="s">
        <v>113</v>
      </c>
      <c r="H4367" s="22" t="s">
        <v>63</v>
      </c>
      <c r="I4367" s="22" t="s">
        <v>147</v>
      </c>
      <c r="J4367" s="23">
        <v>48</v>
      </c>
      <c r="K4367" s="37">
        <v>0</v>
      </c>
      <c r="M4367" s="22" t="str">
        <f>IF(OR(ISBLANK(C4367),C4367=""),"",ROUND((C4367-B4367)*24,2))</f>
        <v/>
      </c>
      <c r="N4367" s="22" t="str">
        <f>IF(OR(ISBLANK(C4367),C4367="",M4367=""),"In Progress",IF(M4367&lt;=J4367,"Met","Breached"))</f>
        <v>In Progress</v>
      </c>
    </row>
    <row r="4368" ht="19" customHeight="1" spans="1:14" x14ac:dyDescent="0.25">
      <c r="A4368" s="19" t="s">
        <v>4482</v>
      </c>
      <c r="B4368" s="33">
        <v>46131.90416666667</v>
      </c>
      <c r="C4368" s="33">
        <v>46137.18194444444</v>
      </c>
      <c r="D4368" s="19" t="s">
        <v>36</v>
      </c>
      <c r="E4368" s="19" t="s">
        <v>69</v>
      </c>
      <c r="F4368" s="19" t="s">
        <v>43</v>
      </c>
      <c r="G4368" s="19" t="s">
        <v>121</v>
      </c>
      <c r="H4368" s="19" t="s">
        <v>59</v>
      </c>
      <c r="I4368" s="19" t="s">
        <v>111</v>
      </c>
      <c r="J4368" s="20">
        <v>120</v>
      </c>
      <c r="K4368" s="34">
        <v>0</v>
      </c>
      <c r="L4368" s="34">
        <v>4</v>
      </c>
      <c r="M4368" s="19">
        <f>IF(OR(ISBLANK(C4368),C4368=""),"",ROUND((C4368-B4368)*24,2))</f>
        <v>126.67</v>
      </c>
      <c r="N4368" s="39" t="str">
        <f>IF(OR(ISBLANK(C4368),C4368="",M4368=""),"In Progress",IF(M4368&lt;=J4368,"Met","Breached"))</f>
        <v>Breached</v>
      </c>
    </row>
    <row r="4369" ht="19" customHeight="1" spans="1:14" x14ac:dyDescent="0.25">
      <c r="A4369" s="22" t="s">
        <v>4483</v>
      </c>
      <c r="B4369" s="36">
        <v>45740.870833333334</v>
      </c>
      <c r="C4369" s="36">
        <v>45741.10486111111</v>
      </c>
      <c r="D4369" s="22" t="s">
        <v>33</v>
      </c>
      <c r="E4369" s="22" t="s">
        <v>57</v>
      </c>
      <c r="F4369" s="22" t="s">
        <v>34</v>
      </c>
      <c r="G4369" s="22" t="s">
        <v>110</v>
      </c>
      <c r="H4369" s="22" t="s">
        <v>59</v>
      </c>
      <c r="I4369" s="22" t="s">
        <v>111</v>
      </c>
      <c r="J4369" s="23">
        <v>4</v>
      </c>
      <c r="K4369" s="37">
        <v>0</v>
      </c>
      <c r="L4369" s="37">
        <v>3</v>
      </c>
      <c r="M4369" s="22">
        <f>IF(OR(ISBLANK(C4369),C4369=""),"",ROUND((C4369-B4369)*24,2))</f>
        <v>5.62</v>
      </c>
      <c r="N4369" s="38" t="str">
        <f>IF(OR(ISBLANK(C4369),C4369="",M4369=""),"In Progress",IF(M4369&lt;=J4369,"Met","Breached"))</f>
        <v>Breached</v>
      </c>
    </row>
    <row r="4370" ht="19" customHeight="1" spans="1:14" x14ac:dyDescent="0.25">
      <c r="A4370" s="19" t="s">
        <v>4484</v>
      </c>
      <c r="B4370" s="33">
        <v>45832.35</v>
      </c>
      <c r="C4370" s="33">
        <v>45835.64583333333</v>
      </c>
      <c r="D4370" s="19" t="s">
        <v>36</v>
      </c>
      <c r="E4370" s="19" t="s">
        <v>65</v>
      </c>
      <c r="F4370" s="19" t="s">
        <v>40</v>
      </c>
      <c r="G4370" s="19" t="s">
        <v>121</v>
      </c>
      <c r="H4370" s="19" t="s">
        <v>67</v>
      </c>
      <c r="I4370" s="19" t="s">
        <v>117</v>
      </c>
      <c r="J4370" s="20">
        <v>48</v>
      </c>
      <c r="K4370" s="34">
        <v>0</v>
      </c>
      <c r="L4370" s="34">
        <v>1</v>
      </c>
      <c r="M4370" s="19">
        <f>IF(OR(ISBLANK(C4370),C4370=""),"",ROUND((C4370-B4370)*24,2))</f>
        <v>79.1</v>
      </c>
      <c r="N4370" s="39" t="str">
        <f>IF(OR(ISBLANK(C4370),C4370="",M4370=""),"In Progress",IF(M4370&lt;=J4370,"Met","Breached"))</f>
        <v>Breached</v>
      </c>
    </row>
    <row r="4371" ht="19" customHeight="1" spans="1:14" x14ac:dyDescent="0.25">
      <c r="A4371" s="22" t="s">
        <v>4485</v>
      </c>
      <c r="B4371" s="36">
        <v>45810.648611111115</v>
      </c>
      <c r="C4371" s="36">
        <v>45813.68402777778</v>
      </c>
      <c r="D4371" s="22" t="s">
        <v>33</v>
      </c>
      <c r="E4371" s="22" t="s">
        <v>65</v>
      </c>
      <c r="F4371" s="22" t="s">
        <v>37</v>
      </c>
      <c r="G4371" s="22" t="s">
        <v>110</v>
      </c>
      <c r="H4371" s="22" t="s">
        <v>63</v>
      </c>
      <c r="I4371" s="22" t="s">
        <v>108</v>
      </c>
      <c r="J4371" s="23">
        <v>48</v>
      </c>
      <c r="K4371" s="37">
        <v>0</v>
      </c>
      <c r="L4371" s="37">
        <v>1</v>
      </c>
      <c r="M4371" s="22">
        <f>IF(OR(ISBLANK(C4371),C4371=""),"",ROUND((C4371-B4371)*24,2))</f>
        <v>72.85</v>
      </c>
      <c r="N4371" s="38" t="str">
        <f>IF(OR(ISBLANK(C4371),C4371="",M4371=""),"In Progress",IF(M4371&lt;=J4371,"Met","Breached"))</f>
        <v>Breached</v>
      </c>
    </row>
    <row r="4372" ht="19" customHeight="1" spans="1:14" x14ac:dyDescent="0.25">
      <c r="A4372" s="19" t="s">
        <v>4486</v>
      </c>
      <c r="B4372" s="33">
        <v>46214.70277777778</v>
      </c>
      <c r="C4372" s="33">
        <v>46217.6125</v>
      </c>
      <c r="D4372" s="19" t="s">
        <v>33</v>
      </c>
      <c r="E4372" s="19" t="s">
        <v>65</v>
      </c>
      <c r="F4372" s="19" t="s">
        <v>37</v>
      </c>
      <c r="G4372" s="19" t="s">
        <v>116</v>
      </c>
      <c r="H4372" s="19" t="s">
        <v>59</v>
      </c>
      <c r="I4372" s="19" t="s">
        <v>108</v>
      </c>
      <c r="J4372" s="20">
        <v>48</v>
      </c>
      <c r="K4372" s="34">
        <v>0</v>
      </c>
      <c r="L4372" s="34">
        <v>5</v>
      </c>
      <c r="M4372" s="19">
        <f>IF(OR(ISBLANK(C4372),C4372=""),"",ROUND((C4372-B4372)*24,2))</f>
        <v>69.83</v>
      </c>
      <c r="N4372" s="39" t="str">
        <f>IF(OR(ISBLANK(C4372),C4372="",M4372=""),"In Progress",IF(M4372&lt;=J4372,"Met","Breached"))</f>
        <v>Breached</v>
      </c>
    </row>
    <row r="4373" ht="19" customHeight="1" spans="1:14" x14ac:dyDescent="0.25">
      <c r="A4373" s="22" t="s">
        <v>4487</v>
      </c>
      <c r="B4373" s="36">
        <v>46198.504166666666</v>
      </c>
      <c r="D4373" s="22" t="s">
        <v>42</v>
      </c>
      <c r="E4373" s="22" t="s">
        <v>69</v>
      </c>
      <c r="F4373" s="22" t="s">
        <v>45</v>
      </c>
      <c r="G4373" s="22" t="s">
        <v>63</v>
      </c>
      <c r="H4373" s="22" t="s">
        <v>71</v>
      </c>
      <c r="I4373" s="22" t="s">
        <v>111</v>
      </c>
      <c r="J4373" s="23">
        <v>120</v>
      </c>
      <c r="K4373" s="37">
        <v>0</v>
      </c>
      <c r="M4373" s="22" t="str">
        <f>IF(OR(ISBLANK(C4373),C4373=""),"",ROUND((C4373-B4373)*24,2))</f>
        <v/>
      </c>
      <c r="N4373" s="22" t="str">
        <f>IF(OR(ISBLANK(C4373),C4373="",M4373=""),"In Progress",IF(M4373&lt;=J4373,"Met","Breached"))</f>
        <v>In Progress</v>
      </c>
    </row>
    <row r="4374" ht="19" customHeight="1" spans="1:14" x14ac:dyDescent="0.25">
      <c r="A4374" s="19" t="s">
        <v>4488</v>
      </c>
      <c r="B4374" s="33">
        <v>46081.12638888889</v>
      </c>
      <c r="D4374" s="19" t="s">
        <v>39</v>
      </c>
      <c r="E4374" s="19" t="s">
        <v>61</v>
      </c>
      <c r="F4374" s="19" t="s">
        <v>45</v>
      </c>
      <c r="G4374" s="19" t="s">
        <v>113</v>
      </c>
      <c r="H4374" s="19" t="s">
        <v>71</v>
      </c>
      <c r="I4374" s="19" t="s">
        <v>108</v>
      </c>
      <c r="J4374" s="20">
        <v>12</v>
      </c>
      <c r="K4374" s="34">
        <v>0</v>
      </c>
      <c r="M4374" s="19" t="str">
        <f>IF(OR(ISBLANK(C4374),C4374=""),"",ROUND((C4374-B4374)*24,2))</f>
        <v/>
      </c>
      <c r="N4374" s="19" t="str">
        <f>IF(OR(ISBLANK(C4374),C4374="",M4374=""),"In Progress",IF(M4374&lt;=J4374,"Met","Breached"))</f>
        <v>In Progress</v>
      </c>
    </row>
    <row r="4375" ht="19" customHeight="1" spans="1:14" x14ac:dyDescent="0.25">
      <c r="A4375" s="22" t="s">
        <v>4489</v>
      </c>
      <c r="B4375" s="36">
        <v>45758.81805555556</v>
      </c>
      <c r="C4375" s="36">
        <v>45761.21597222222</v>
      </c>
      <c r="D4375" s="22" t="s">
        <v>33</v>
      </c>
      <c r="E4375" s="22" t="s">
        <v>65</v>
      </c>
      <c r="F4375" s="22" t="s">
        <v>45</v>
      </c>
      <c r="G4375" s="22" t="s">
        <v>116</v>
      </c>
      <c r="H4375" s="22" t="s">
        <v>59</v>
      </c>
      <c r="I4375" s="22" t="s">
        <v>117</v>
      </c>
      <c r="J4375" s="23">
        <v>48</v>
      </c>
      <c r="K4375" s="37">
        <v>1</v>
      </c>
      <c r="M4375" s="22">
        <f>IF(OR(ISBLANK(C4375),C4375=""),"",ROUND((C4375-B4375)*24,2))</f>
        <v>57.55</v>
      </c>
      <c r="N4375" s="38" t="str">
        <f>IF(OR(ISBLANK(C4375),C4375="",M4375=""),"In Progress",IF(M4375&lt;=J4375,"Met","Breached"))</f>
        <v>Breached</v>
      </c>
    </row>
    <row r="4376" ht="19" customHeight="1" spans="1:14" x14ac:dyDescent="0.25">
      <c r="A4376" s="19" t="s">
        <v>4490</v>
      </c>
      <c r="B4376" s="33">
        <v>45877.01111111111</v>
      </c>
      <c r="C4376" s="33">
        <v>45879.49513888889</v>
      </c>
      <c r="D4376" s="19" t="s">
        <v>33</v>
      </c>
      <c r="E4376" s="19" t="s">
        <v>65</v>
      </c>
      <c r="F4376" s="19" t="s">
        <v>34</v>
      </c>
      <c r="G4376" s="19" t="s">
        <v>126</v>
      </c>
      <c r="H4376" s="19" t="s">
        <v>59</v>
      </c>
      <c r="I4376" s="19" t="s">
        <v>111</v>
      </c>
      <c r="J4376" s="20">
        <v>48</v>
      </c>
      <c r="K4376" s="34">
        <v>0</v>
      </c>
      <c r="L4376" s="34">
        <v>5</v>
      </c>
      <c r="M4376" s="19">
        <f>IF(OR(ISBLANK(C4376),C4376=""),"",ROUND((C4376-B4376)*24,2))</f>
        <v>59.62</v>
      </c>
      <c r="N4376" s="39" t="str">
        <f>IF(OR(ISBLANK(C4376),C4376="",M4376=""),"In Progress",IF(M4376&lt;=J4376,"Met","Breached"))</f>
        <v>Breached</v>
      </c>
    </row>
    <row r="4377" ht="19" customHeight="1" spans="1:14" x14ac:dyDescent="0.25">
      <c r="A4377" s="22" t="s">
        <v>4491</v>
      </c>
      <c r="B4377" s="36">
        <v>46002.225</v>
      </c>
      <c r="C4377" s="36">
        <v>46005.509722222225</v>
      </c>
      <c r="D4377" s="22" t="s">
        <v>33</v>
      </c>
      <c r="E4377" s="22" t="s">
        <v>65</v>
      </c>
      <c r="F4377" s="22" t="s">
        <v>43</v>
      </c>
      <c r="G4377" s="22" t="s">
        <v>63</v>
      </c>
      <c r="H4377" s="22" t="s">
        <v>59</v>
      </c>
      <c r="I4377" s="22" t="s">
        <v>117</v>
      </c>
      <c r="J4377" s="23">
        <v>48</v>
      </c>
      <c r="K4377" s="37">
        <v>0</v>
      </c>
      <c r="L4377" s="37">
        <v>1</v>
      </c>
      <c r="M4377" s="22">
        <f>IF(OR(ISBLANK(C4377),C4377=""),"",ROUND((C4377-B4377)*24,2))</f>
        <v>78.83</v>
      </c>
      <c r="N4377" s="38" t="str">
        <f>IF(OR(ISBLANK(C4377),C4377="",M4377=""),"In Progress",IF(M4377&lt;=J4377,"Met","Breached"))</f>
        <v>Breached</v>
      </c>
    </row>
    <row r="4378" ht="19" customHeight="1" spans="1:14" x14ac:dyDescent="0.25">
      <c r="A4378" s="19" t="s">
        <v>4492</v>
      </c>
      <c r="B4378" s="33">
        <v>45912.29166666667</v>
      </c>
      <c r="C4378" s="33">
        <v>45912.60902777778</v>
      </c>
      <c r="D4378" s="19" t="s">
        <v>36</v>
      </c>
      <c r="E4378" s="19" t="s">
        <v>61</v>
      </c>
      <c r="F4378" s="19" t="s">
        <v>43</v>
      </c>
      <c r="G4378" s="19" t="s">
        <v>121</v>
      </c>
      <c r="H4378" s="19" t="s">
        <v>63</v>
      </c>
      <c r="I4378" s="19" t="s">
        <v>147</v>
      </c>
      <c r="J4378" s="20">
        <v>12</v>
      </c>
      <c r="K4378" s="34">
        <v>0</v>
      </c>
      <c r="M4378" s="19">
        <f>IF(OR(ISBLANK(C4378),C4378=""),"",ROUND((C4378-B4378)*24,2))</f>
        <v>7.62</v>
      </c>
      <c r="N4378" s="35" t="str">
        <f>IF(OR(ISBLANK(C4378),C4378="",M4378=""),"In Progress",IF(M4378&lt;=J4378,"Met","Breached"))</f>
        <v>Met</v>
      </c>
    </row>
    <row r="4379" ht="19" customHeight="1" spans="1:14" x14ac:dyDescent="0.25">
      <c r="A4379" s="22" t="s">
        <v>4493</v>
      </c>
      <c r="B4379" s="36">
        <v>45901.70972222222</v>
      </c>
      <c r="C4379" s="36">
        <v>45903.43680555555</v>
      </c>
      <c r="D4379" s="22" t="s">
        <v>33</v>
      </c>
      <c r="E4379" s="22" t="s">
        <v>65</v>
      </c>
      <c r="F4379" s="22" t="s">
        <v>34</v>
      </c>
      <c r="G4379" s="22" t="s">
        <v>110</v>
      </c>
      <c r="H4379" s="22" t="s">
        <v>59</v>
      </c>
      <c r="I4379" s="22" t="s">
        <v>147</v>
      </c>
      <c r="J4379" s="23">
        <v>48</v>
      </c>
      <c r="K4379" s="37">
        <v>0</v>
      </c>
      <c r="M4379" s="22">
        <f>IF(OR(ISBLANK(C4379),C4379=""),"",ROUND((C4379-B4379)*24,2))</f>
        <v>41.45</v>
      </c>
      <c r="N4379" s="40" t="str">
        <f>IF(OR(ISBLANK(C4379),C4379="",M4379=""),"In Progress",IF(M4379&lt;=J4379,"Met","Breached"))</f>
        <v>Met</v>
      </c>
    </row>
    <row r="4380" ht="19" customHeight="1" spans="1:14" x14ac:dyDescent="0.25">
      <c r="A4380" s="19" t="s">
        <v>4494</v>
      </c>
      <c r="B4380" s="33">
        <v>45948.646527777775</v>
      </c>
      <c r="C4380" s="33">
        <v>45950.98472222222</v>
      </c>
      <c r="D4380" s="19" t="s">
        <v>36</v>
      </c>
      <c r="E4380" s="19" t="s">
        <v>69</v>
      </c>
      <c r="F4380" s="19" t="s">
        <v>43</v>
      </c>
      <c r="G4380" s="19" t="s">
        <v>126</v>
      </c>
      <c r="H4380" s="19" t="s">
        <v>67</v>
      </c>
      <c r="I4380" s="19" t="s">
        <v>114</v>
      </c>
      <c r="J4380" s="20">
        <v>120</v>
      </c>
      <c r="K4380" s="34">
        <v>0</v>
      </c>
      <c r="M4380" s="19">
        <f>IF(OR(ISBLANK(C4380),C4380=""),"",ROUND((C4380-B4380)*24,2))</f>
        <v>56.12</v>
      </c>
      <c r="N4380" s="35" t="str">
        <f>IF(OR(ISBLANK(C4380),C4380="",M4380=""),"In Progress",IF(M4380&lt;=J4380,"Met","Breached"))</f>
        <v>Met</v>
      </c>
    </row>
    <row r="4381" ht="19" customHeight="1" spans="1:14" x14ac:dyDescent="0.25">
      <c r="A4381" s="22" t="s">
        <v>4495</v>
      </c>
      <c r="B4381" s="36">
        <v>46241.95</v>
      </c>
      <c r="C4381" s="36">
        <v>46242.20208333334</v>
      </c>
      <c r="D4381" s="22" t="s">
        <v>33</v>
      </c>
      <c r="E4381" s="22" t="s">
        <v>61</v>
      </c>
      <c r="F4381" s="22" t="s">
        <v>45</v>
      </c>
      <c r="G4381" s="22" t="s">
        <v>113</v>
      </c>
      <c r="H4381" s="22" t="s">
        <v>63</v>
      </c>
      <c r="I4381" s="22" t="s">
        <v>114</v>
      </c>
      <c r="J4381" s="23">
        <v>12</v>
      </c>
      <c r="K4381" s="37">
        <v>0</v>
      </c>
      <c r="L4381" s="37">
        <v>1</v>
      </c>
      <c r="M4381" s="22">
        <f>IF(OR(ISBLANK(C4381),C4381=""),"",ROUND((C4381-B4381)*24,2))</f>
        <v>6.05</v>
      </c>
      <c r="N4381" s="40" t="str">
        <f>IF(OR(ISBLANK(C4381),C4381="",M4381=""),"In Progress",IF(M4381&lt;=J4381,"Met","Breached"))</f>
        <v>Met</v>
      </c>
    </row>
    <row r="4382" ht="19" customHeight="1" spans="1:14" x14ac:dyDescent="0.25">
      <c r="A4382" s="19" t="s">
        <v>4496</v>
      </c>
      <c r="B4382" s="33">
        <v>46032.31597222222</v>
      </c>
      <c r="C4382" s="33">
        <v>46032.850694444445</v>
      </c>
      <c r="D4382" s="19" t="s">
        <v>36</v>
      </c>
      <c r="E4382" s="19" t="s">
        <v>61</v>
      </c>
      <c r="F4382" s="19" t="s">
        <v>43</v>
      </c>
      <c r="G4382" s="19" t="s">
        <v>63</v>
      </c>
      <c r="H4382" s="19" t="s">
        <v>71</v>
      </c>
      <c r="I4382" s="19" t="s">
        <v>114</v>
      </c>
      <c r="J4382" s="20">
        <v>12</v>
      </c>
      <c r="K4382" s="34">
        <v>0</v>
      </c>
      <c r="L4382" s="34">
        <v>2</v>
      </c>
      <c r="M4382" s="19">
        <f>IF(OR(ISBLANK(C4382),C4382=""),"",ROUND((C4382-B4382)*24,2))</f>
        <v>12.83</v>
      </c>
      <c r="N4382" s="39" t="str">
        <f>IF(OR(ISBLANK(C4382),C4382="",M4382=""),"In Progress",IF(M4382&lt;=J4382,"Met","Breached"))</f>
        <v>Breached</v>
      </c>
    </row>
    <row r="4383" ht="19" customHeight="1" spans="1:14" x14ac:dyDescent="0.25">
      <c r="A4383" s="22" t="s">
        <v>4497</v>
      </c>
      <c r="B4383" s="36">
        <v>45962.25069444445</v>
      </c>
      <c r="C4383" s="36">
        <v>45970.97777777778</v>
      </c>
      <c r="D4383" s="22" t="s">
        <v>36</v>
      </c>
      <c r="E4383" s="22" t="s">
        <v>69</v>
      </c>
      <c r="F4383" s="22" t="s">
        <v>43</v>
      </c>
      <c r="G4383" s="22" t="s">
        <v>116</v>
      </c>
      <c r="H4383" s="22" t="s">
        <v>63</v>
      </c>
      <c r="I4383" s="22" t="s">
        <v>147</v>
      </c>
      <c r="J4383" s="23">
        <v>120</v>
      </c>
      <c r="K4383" s="37">
        <v>0</v>
      </c>
      <c r="L4383" s="37">
        <v>4</v>
      </c>
      <c r="M4383" s="22">
        <f>IF(OR(ISBLANK(C4383),C4383=""),"",ROUND((C4383-B4383)*24,2))</f>
        <v>209.45</v>
      </c>
      <c r="N4383" s="38" t="str">
        <f>IF(OR(ISBLANK(C4383),C4383="",M4383=""),"In Progress",IF(M4383&lt;=J4383,"Met","Breached"))</f>
        <v>Breached</v>
      </c>
    </row>
    <row r="4384" ht="19" customHeight="1" spans="1:14" x14ac:dyDescent="0.25">
      <c r="A4384" s="19" t="s">
        <v>4498</v>
      </c>
      <c r="B4384" s="33">
        <v>45813.34722222222</v>
      </c>
      <c r="C4384" s="33">
        <v>45814.04375</v>
      </c>
      <c r="D4384" s="19" t="s">
        <v>33</v>
      </c>
      <c r="E4384" s="19" t="s">
        <v>65</v>
      </c>
      <c r="F4384" s="19" t="s">
        <v>45</v>
      </c>
      <c r="G4384" s="19" t="s">
        <v>121</v>
      </c>
      <c r="H4384" s="19" t="s">
        <v>59</v>
      </c>
      <c r="I4384" s="19" t="s">
        <v>123</v>
      </c>
      <c r="J4384" s="20">
        <v>48</v>
      </c>
      <c r="K4384" s="34">
        <v>0</v>
      </c>
      <c r="L4384" s="34">
        <v>3</v>
      </c>
      <c r="M4384" s="19">
        <f>IF(OR(ISBLANK(C4384),C4384=""),"",ROUND((C4384-B4384)*24,2))</f>
        <v>16.72</v>
      </c>
      <c r="N4384" s="35" t="str">
        <f>IF(OR(ISBLANK(C4384),C4384="",M4384=""),"In Progress",IF(M4384&lt;=J4384,"Met","Breached"))</f>
        <v>Met</v>
      </c>
    </row>
    <row r="4385" ht="19" customHeight="1" spans="1:14" x14ac:dyDescent="0.25">
      <c r="A4385" s="22" t="s">
        <v>4499</v>
      </c>
      <c r="B4385" s="36">
        <v>45676.97361111111</v>
      </c>
      <c r="C4385" s="36">
        <v>45684.93680555555</v>
      </c>
      <c r="D4385" s="22" t="s">
        <v>36</v>
      </c>
      <c r="E4385" s="22" t="s">
        <v>69</v>
      </c>
      <c r="F4385" s="22" t="s">
        <v>43</v>
      </c>
      <c r="G4385" s="22" t="s">
        <v>126</v>
      </c>
      <c r="H4385" s="22" t="s">
        <v>59</v>
      </c>
      <c r="I4385" s="22" t="s">
        <v>111</v>
      </c>
      <c r="J4385" s="23">
        <v>120</v>
      </c>
      <c r="K4385" s="37">
        <v>0</v>
      </c>
      <c r="M4385" s="22">
        <f>IF(OR(ISBLANK(C4385),C4385=""),"",ROUND((C4385-B4385)*24,2))</f>
        <v>191.12</v>
      </c>
      <c r="N4385" s="38" t="str">
        <f>IF(OR(ISBLANK(C4385),C4385="",M4385=""),"In Progress",IF(M4385&lt;=J4385,"Met","Breached"))</f>
        <v>Breached</v>
      </c>
    </row>
    <row r="4386" ht="19" customHeight="1" spans="1:14" x14ac:dyDescent="0.25">
      <c r="A4386" s="19" t="s">
        <v>4500</v>
      </c>
      <c r="B4386" s="33">
        <v>45851.78611111111</v>
      </c>
      <c r="C4386" s="33">
        <v>45853.722916666666</v>
      </c>
      <c r="D4386" s="19" t="s">
        <v>36</v>
      </c>
      <c r="E4386" s="19" t="s">
        <v>65</v>
      </c>
      <c r="F4386" s="19" t="s">
        <v>34</v>
      </c>
      <c r="G4386" s="19" t="s">
        <v>63</v>
      </c>
      <c r="H4386" s="19" t="s">
        <v>63</v>
      </c>
      <c r="I4386" s="19" t="s">
        <v>123</v>
      </c>
      <c r="J4386" s="20">
        <v>48</v>
      </c>
      <c r="K4386" s="34">
        <v>0</v>
      </c>
      <c r="L4386" s="34">
        <v>1</v>
      </c>
      <c r="M4386" s="19">
        <f>IF(OR(ISBLANK(C4386),C4386=""),"",ROUND((C4386-B4386)*24,2))</f>
        <v>46.48</v>
      </c>
      <c r="N4386" s="35" t="str">
        <f>IF(OR(ISBLANK(C4386),C4386="",M4386=""),"In Progress",IF(M4386&lt;=J4386,"Met","Breached"))</f>
        <v>Met</v>
      </c>
    </row>
    <row r="4387" ht="19" customHeight="1" spans="1:14" x14ac:dyDescent="0.25">
      <c r="A4387" s="22" t="s">
        <v>4501</v>
      </c>
      <c r="B4387" s="36">
        <v>45949.285416666666</v>
      </c>
      <c r="D4387" s="22" t="s">
        <v>42</v>
      </c>
      <c r="E4387" s="22" t="s">
        <v>61</v>
      </c>
      <c r="F4387" s="22" t="s">
        <v>40</v>
      </c>
      <c r="G4387" s="22" t="s">
        <v>116</v>
      </c>
      <c r="H4387" s="22" t="s">
        <v>63</v>
      </c>
      <c r="I4387" s="22" t="s">
        <v>108</v>
      </c>
      <c r="J4387" s="23">
        <v>12</v>
      </c>
      <c r="K4387" s="37">
        <v>0</v>
      </c>
      <c r="M4387" s="22" t="str">
        <f>IF(OR(ISBLANK(C4387),C4387=""),"",ROUND((C4387-B4387)*24,2))</f>
        <v/>
      </c>
      <c r="N4387" s="22" t="str">
        <f>IF(OR(ISBLANK(C4387),C4387="",M4387=""),"In Progress",IF(M4387&lt;=J4387,"Met","Breached"))</f>
        <v>In Progress</v>
      </c>
    </row>
    <row r="4388" ht="19" customHeight="1" spans="1:14" x14ac:dyDescent="0.25">
      <c r="A4388" s="19" t="s">
        <v>4502</v>
      </c>
      <c r="B4388" s="33">
        <v>46162.84722222222</v>
      </c>
      <c r="D4388" s="19" t="s">
        <v>42</v>
      </c>
      <c r="E4388" s="19" t="s">
        <v>61</v>
      </c>
      <c r="F4388" s="19" t="s">
        <v>40</v>
      </c>
      <c r="G4388" s="19" t="s">
        <v>121</v>
      </c>
      <c r="H4388" s="19" t="s">
        <v>59</v>
      </c>
      <c r="I4388" s="19" t="s">
        <v>114</v>
      </c>
      <c r="J4388" s="20">
        <v>12</v>
      </c>
      <c r="K4388" s="34">
        <v>0</v>
      </c>
      <c r="M4388" s="19" t="str">
        <f>IF(OR(ISBLANK(C4388),C4388=""),"",ROUND((C4388-B4388)*24,2))</f>
        <v/>
      </c>
      <c r="N4388" s="19" t="str">
        <f>IF(OR(ISBLANK(C4388),C4388="",M4388=""),"In Progress",IF(M4388&lt;=J4388,"Met","Breached"))</f>
        <v>In Progress</v>
      </c>
    </row>
    <row r="4389" ht="19" customHeight="1" spans="1:14" x14ac:dyDescent="0.25">
      <c r="A4389" s="22" t="s">
        <v>4503</v>
      </c>
      <c r="B4389" s="36">
        <v>46250.94305555556</v>
      </c>
      <c r="D4389" s="22" t="s">
        <v>39</v>
      </c>
      <c r="E4389" s="22" t="s">
        <v>65</v>
      </c>
      <c r="F4389" s="22" t="s">
        <v>40</v>
      </c>
      <c r="G4389" s="22" t="s">
        <v>116</v>
      </c>
      <c r="H4389" s="22" t="s">
        <v>59</v>
      </c>
      <c r="I4389" s="22" t="s">
        <v>114</v>
      </c>
      <c r="J4389" s="23">
        <v>48</v>
      </c>
      <c r="K4389" s="37">
        <v>0</v>
      </c>
      <c r="M4389" s="22" t="str">
        <f>IF(OR(ISBLANK(C4389),C4389=""),"",ROUND((C4389-B4389)*24,2))</f>
        <v/>
      </c>
      <c r="N4389" s="22" t="str">
        <f>IF(OR(ISBLANK(C4389),C4389="",M4389=""),"In Progress",IF(M4389&lt;=J4389,"Met","Breached"))</f>
        <v>In Progress</v>
      </c>
    </row>
    <row r="4390" ht="19" customHeight="1" spans="1:14" x14ac:dyDescent="0.25">
      <c r="A4390" s="19" t="s">
        <v>4504</v>
      </c>
      <c r="B4390" s="33">
        <v>46024.15416666667</v>
      </c>
      <c r="C4390" s="33">
        <v>46028.14375</v>
      </c>
      <c r="D4390" s="19" t="s">
        <v>33</v>
      </c>
      <c r="E4390" s="19" t="s">
        <v>69</v>
      </c>
      <c r="F4390" s="19" t="s">
        <v>43</v>
      </c>
      <c r="G4390" s="19" t="s">
        <v>110</v>
      </c>
      <c r="H4390" s="19" t="s">
        <v>63</v>
      </c>
      <c r="I4390" s="19" t="s">
        <v>111</v>
      </c>
      <c r="J4390" s="20">
        <v>120</v>
      </c>
      <c r="K4390" s="34">
        <v>0</v>
      </c>
      <c r="M4390" s="19">
        <f>IF(OR(ISBLANK(C4390),C4390=""),"",ROUND((C4390-B4390)*24,2))</f>
        <v>95.75</v>
      </c>
      <c r="N4390" s="35" t="str">
        <f>IF(OR(ISBLANK(C4390),C4390="",M4390=""),"In Progress",IF(M4390&lt;=J4390,"Met","Breached"))</f>
        <v>Met</v>
      </c>
    </row>
    <row r="4391" ht="19" customHeight="1" spans="1:14" x14ac:dyDescent="0.25">
      <c r="A4391" s="22" t="s">
        <v>4505</v>
      </c>
      <c r="B4391" s="36">
        <v>46158.899305555555</v>
      </c>
      <c r="C4391" s="36">
        <v>46159.18680555555</v>
      </c>
      <c r="D4391" s="22" t="s">
        <v>36</v>
      </c>
      <c r="E4391" s="22" t="s">
        <v>61</v>
      </c>
      <c r="F4391" s="22" t="s">
        <v>40</v>
      </c>
      <c r="G4391" s="22" t="s">
        <v>126</v>
      </c>
      <c r="H4391" s="22" t="s">
        <v>71</v>
      </c>
      <c r="I4391" s="22" t="s">
        <v>114</v>
      </c>
      <c r="J4391" s="23">
        <v>12</v>
      </c>
      <c r="K4391" s="37">
        <v>0</v>
      </c>
      <c r="L4391" s="37">
        <v>2</v>
      </c>
      <c r="M4391" s="22">
        <f>IF(OR(ISBLANK(C4391),C4391=""),"",ROUND((C4391-B4391)*24,2))</f>
        <v>6.9</v>
      </c>
      <c r="N4391" s="40" t="str">
        <f>IF(OR(ISBLANK(C4391),C4391="",M4391=""),"In Progress",IF(M4391&lt;=J4391,"Met","Breached"))</f>
        <v>Met</v>
      </c>
    </row>
    <row r="4392" ht="19" customHeight="1" spans="1:14" x14ac:dyDescent="0.25">
      <c r="A4392" s="19" t="s">
        <v>4506</v>
      </c>
      <c r="B4392" s="33">
        <v>46260.20486111111</v>
      </c>
      <c r="D4392" s="19" t="s">
        <v>39</v>
      </c>
      <c r="E4392" s="19" t="s">
        <v>65</v>
      </c>
      <c r="F4392" s="19" t="s">
        <v>37</v>
      </c>
      <c r="G4392" s="19" t="s">
        <v>116</v>
      </c>
      <c r="H4392" s="19" t="s">
        <v>67</v>
      </c>
      <c r="I4392" s="19" t="s">
        <v>117</v>
      </c>
      <c r="J4392" s="20">
        <v>48</v>
      </c>
      <c r="K4392" s="34">
        <v>0</v>
      </c>
      <c r="M4392" s="19" t="str">
        <f>IF(OR(ISBLANK(C4392),C4392=""),"",ROUND((C4392-B4392)*24,2))</f>
        <v/>
      </c>
      <c r="N4392" s="19" t="str">
        <f>IF(OR(ISBLANK(C4392),C4392="",M4392=""),"In Progress",IF(M4392&lt;=J4392,"Met","Breached"))</f>
        <v>In Progress</v>
      </c>
    </row>
    <row r="4393" ht="19" customHeight="1" spans="1:14" x14ac:dyDescent="0.25">
      <c r="A4393" s="22" t="s">
        <v>4507</v>
      </c>
      <c r="B4393" s="36">
        <v>45697.55416666667</v>
      </c>
      <c r="C4393" s="36">
        <v>45699.91875</v>
      </c>
      <c r="D4393" s="22" t="s">
        <v>36</v>
      </c>
      <c r="E4393" s="22" t="s">
        <v>65</v>
      </c>
      <c r="F4393" s="22" t="s">
        <v>43</v>
      </c>
      <c r="G4393" s="22" t="s">
        <v>110</v>
      </c>
      <c r="H4393" s="22" t="s">
        <v>59</v>
      </c>
      <c r="I4393" s="22" t="s">
        <v>117</v>
      </c>
      <c r="J4393" s="23">
        <v>48</v>
      </c>
      <c r="K4393" s="37">
        <v>0</v>
      </c>
      <c r="L4393" s="37">
        <v>2</v>
      </c>
      <c r="M4393" s="22">
        <f>IF(OR(ISBLANK(C4393),C4393=""),"",ROUND((C4393-B4393)*24,2))</f>
        <v>56.75</v>
      </c>
      <c r="N4393" s="38" t="str">
        <f>IF(OR(ISBLANK(C4393),C4393="",M4393=""),"In Progress",IF(M4393&lt;=J4393,"Met","Breached"))</f>
        <v>Breached</v>
      </c>
    </row>
    <row r="4394" ht="19" customHeight="1" spans="1:14" x14ac:dyDescent="0.25">
      <c r="A4394" s="19" t="s">
        <v>4508</v>
      </c>
      <c r="B4394" s="33">
        <v>45831.76736111111</v>
      </c>
      <c r="D4394" s="19" t="s">
        <v>39</v>
      </c>
      <c r="E4394" s="19" t="s">
        <v>61</v>
      </c>
      <c r="F4394" s="19" t="s">
        <v>34</v>
      </c>
      <c r="G4394" s="19" t="s">
        <v>113</v>
      </c>
      <c r="H4394" s="19" t="s">
        <v>59</v>
      </c>
      <c r="I4394" s="19" t="s">
        <v>114</v>
      </c>
      <c r="J4394" s="20">
        <v>12</v>
      </c>
      <c r="K4394" s="34">
        <v>0</v>
      </c>
      <c r="M4394" s="19" t="str">
        <f>IF(OR(ISBLANK(C4394),C4394=""),"",ROUND((C4394-B4394)*24,2))</f>
        <v/>
      </c>
      <c r="N4394" s="19" t="str">
        <f>IF(OR(ISBLANK(C4394),C4394="",M4394=""),"In Progress",IF(M4394&lt;=J4394,"Met","Breached"))</f>
        <v>In Progress</v>
      </c>
    </row>
    <row r="4395" ht="19" customHeight="1" spans="1:14" x14ac:dyDescent="0.25">
      <c r="A4395" s="22" t="s">
        <v>4509</v>
      </c>
      <c r="B4395" s="36">
        <v>46067.56527777778</v>
      </c>
      <c r="C4395" s="36">
        <v>46076.555555555555</v>
      </c>
      <c r="D4395" s="22" t="s">
        <v>36</v>
      </c>
      <c r="E4395" s="22" t="s">
        <v>69</v>
      </c>
      <c r="F4395" s="22" t="s">
        <v>45</v>
      </c>
      <c r="G4395" s="22" t="s">
        <v>110</v>
      </c>
      <c r="H4395" s="22" t="s">
        <v>67</v>
      </c>
      <c r="I4395" s="22" t="s">
        <v>111</v>
      </c>
      <c r="J4395" s="23">
        <v>120</v>
      </c>
      <c r="K4395" s="37">
        <v>0</v>
      </c>
      <c r="M4395" s="22">
        <f>IF(OR(ISBLANK(C4395),C4395=""),"",ROUND((C4395-B4395)*24,2))</f>
        <v>215.77</v>
      </c>
      <c r="N4395" s="38" t="str">
        <f>IF(OR(ISBLANK(C4395),C4395="",M4395=""),"In Progress",IF(M4395&lt;=J4395,"Met","Breached"))</f>
        <v>Breached</v>
      </c>
    </row>
    <row r="4396" ht="19" customHeight="1" spans="1:14" x14ac:dyDescent="0.25">
      <c r="A4396" s="19" t="s">
        <v>4510</v>
      </c>
      <c r="B4396" s="33">
        <v>46159.825694444444</v>
      </c>
      <c r="C4396" s="33">
        <v>46160.43472222222</v>
      </c>
      <c r="D4396" s="19" t="s">
        <v>33</v>
      </c>
      <c r="E4396" s="19" t="s">
        <v>65</v>
      </c>
      <c r="F4396" s="19" t="s">
        <v>40</v>
      </c>
      <c r="G4396" s="19" t="s">
        <v>110</v>
      </c>
      <c r="H4396" s="19" t="s">
        <v>59</v>
      </c>
      <c r="I4396" s="19" t="s">
        <v>108</v>
      </c>
      <c r="J4396" s="20">
        <v>48</v>
      </c>
      <c r="K4396" s="34">
        <v>0</v>
      </c>
      <c r="L4396" s="34">
        <v>1</v>
      </c>
      <c r="M4396" s="19">
        <f>IF(OR(ISBLANK(C4396),C4396=""),"",ROUND((C4396-B4396)*24,2))</f>
        <v>14.62</v>
      </c>
      <c r="N4396" s="35" t="str">
        <f>IF(OR(ISBLANK(C4396),C4396="",M4396=""),"In Progress",IF(M4396&lt;=J4396,"Met","Breached"))</f>
        <v>Met</v>
      </c>
    </row>
    <row r="4397" ht="19" customHeight="1" spans="1:14" x14ac:dyDescent="0.25">
      <c r="A4397" s="22" t="s">
        <v>4511</v>
      </c>
      <c r="B4397" s="36">
        <v>46161.08819444444</v>
      </c>
      <c r="C4397" s="36">
        <v>46169.39097222222</v>
      </c>
      <c r="D4397" s="22" t="s">
        <v>33</v>
      </c>
      <c r="E4397" s="22" t="s">
        <v>69</v>
      </c>
      <c r="F4397" s="22" t="s">
        <v>34</v>
      </c>
      <c r="G4397" s="22" t="s">
        <v>113</v>
      </c>
      <c r="H4397" s="22" t="s">
        <v>67</v>
      </c>
      <c r="I4397" s="22" t="s">
        <v>117</v>
      </c>
      <c r="J4397" s="23">
        <v>120</v>
      </c>
      <c r="K4397" s="37">
        <v>0</v>
      </c>
      <c r="L4397" s="37">
        <v>2</v>
      </c>
      <c r="M4397" s="22">
        <f>IF(OR(ISBLANK(C4397),C4397=""),"",ROUND((C4397-B4397)*24,2))</f>
        <v>199.27</v>
      </c>
      <c r="N4397" s="38" t="str">
        <f>IF(OR(ISBLANK(C4397),C4397="",M4397=""),"In Progress",IF(M4397&lt;=J4397,"Met","Breached"))</f>
        <v>Breached</v>
      </c>
    </row>
    <row r="4398" ht="19" customHeight="1" spans="1:14" x14ac:dyDescent="0.25">
      <c r="A4398" s="19" t="s">
        <v>4512</v>
      </c>
      <c r="B4398" s="33">
        <v>46114.820138888885</v>
      </c>
      <c r="C4398" s="33">
        <v>46116.33472222222</v>
      </c>
      <c r="D4398" s="19" t="s">
        <v>33</v>
      </c>
      <c r="E4398" s="19" t="s">
        <v>69</v>
      </c>
      <c r="F4398" s="19" t="s">
        <v>37</v>
      </c>
      <c r="G4398" s="19" t="s">
        <v>126</v>
      </c>
      <c r="H4398" s="19" t="s">
        <v>63</v>
      </c>
      <c r="I4398" s="19" t="s">
        <v>147</v>
      </c>
      <c r="J4398" s="20">
        <v>120</v>
      </c>
      <c r="K4398" s="34">
        <v>0</v>
      </c>
      <c r="L4398" s="34">
        <v>1</v>
      </c>
      <c r="M4398" s="19">
        <f>IF(OR(ISBLANK(C4398),C4398=""),"",ROUND((C4398-B4398)*24,2))</f>
        <v>36.35</v>
      </c>
      <c r="N4398" s="35" t="str">
        <f>IF(OR(ISBLANK(C4398),C4398="",M4398=""),"In Progress",IF(M4398&lt;=J4398,"Met","Breached"))</f>
        <v>Met</v>
      </c>
    </row>
    <row r="4399" ht="19" customHeight="1" spans="1:14" x14ac:dyDescent="0.25">
      <c r="A4399" s="22" t="s">
        <v>4513</v>
      </c>
      <c r="B4399" s="36">
        <v>45663.339583333334</v>
      </c>
      <c r="D4399" s="22" t="s">
        <v>39</v>
      </c>
      <c r="E4399" s="22" t="s">
        <v>65</v>
      </c>
      <c r="F4399" s="22" t="s">
        <v>45</v>
      </c>
      <c r="G4399" s="22" t="s">
        <v>110</v>
      </c>
      <c r="H4399" s="22" t="s">
        <v>59</v>
      </c>
      <c r="I4399" s="22" t="s">
        <v>108</v>
      </c>
      <c r="J4399" s="23">
        <v>48</v>
      </c>
      <c r="K4399" s="37">
        <v>0</v>
      </c>
      <c r="M4399" s="22" t="str">
        <f>IF(OR(ISBLANK(C4399),C4399=""),"",ROUND((C4399-B4399)*24,2))</f>
        <v/>
      </c>
      <c r="N4399" s="22" t="str">
        <f>IF(OR(ISBLANK(C4399),C4399="",M4399=""),"In Progress",IF(M4399&lt;=J4399,"Met","Breached"))</f>
        <v>In Progress</v>
      </c>
    </row>
    <row r="4400" ht="19" customHeight="1" spans="1:14" x14ac:dyDescent="0.25">
      <c r="A4400" s="19" t="s">
        <v>4514</v>
      </c>
      <c r="B4400" s="33">
        <v>45958.961111111115</v>
      </c>
      <c r="C4400" s="33">
        <v>45959.444444444445</v>
      </c>
      <c r="D4400" s="19" t="s">
        <v>33</v>
      </c>
      <c r="E4400" s="19" t="s">
        <v>61</v>
      </c>
      <c r="F4400" s="19" t="s">
        <v>37</v>
      </c>
      <c r="G4400" s="19" t="s">
        <v>113</v>
      </c>
      <c r="H4400" s="19" t="s">
        <v>67</v>
      </c>
      <c r="I4400" s="19" t="s">
        <v>114</v>
      </c>
      <c r="J4400" s="20">
        <v>12</v>
      </c>
      <c r="K4400" s="34">
        <v>0</v>
      </c>
      <c r="L4400" s="34">
        <v>1</v>
      </c>
      <c r="M4400" s="19">
        <f>IF(OR(ISBLANK(C4400),C4400=""),"",ROUND((C4400-B4400)*24,2))</f>
        <v>11.6</v>
      </c>
      <c r="N4400" s="35" t="str">
        <f>IF(OR(ISBLANK(C4400),C4400="",M4400=""),"In Progress",IF(M4400&lt;=J4400,"Met","Breached"))</f>
        <v>Met</v>
      </c>
    </row>
    <row r="4401" ht="19" customHeight="1" spans="1:14" x14ac:dyDescent="0.25">
      <c r="A4401" s="22" t="s">
        <v>4515</v>
      </c>
      <c r="B4401" s="36">
        <v>45813.78611111111</v>
      </c>
      <c r="C4401" s="36">
        <v>45815.03680555556</v>
      </c>
      <c r="D4401" s="22" t="s">
        <v>33</v>
      </c>
      <c r="E4401" s="22" t="s">
        <v>65</v>
      </c>
      <c r="F4401" s="22" t="s">
        <v>37</v>
      </c>
      <c r="G4401" s="22" t="s">
        <v>63</v>
      </c>
      <c r="H4401" s="22" t="s">
        <v>63</v>
      </c>
      <c r="I4401" s="22" t="s">
        <v>117</v>
      </c>
      <c r="J4401" s="23">
        <v>48</v>
      </c>
      <c r="K4401" s="37">
        <v>0</v>
      </c>
      <c r="L4401" s="37">
        <v>2</v>
      </c>
      <c r="M4401" s="22">
        <f>IF(OR(ISBLANK(C4401),C4401=""),"",ROUND((C4401-B4401)*24,2))</f>
        <v>30.02</v>
      </c>
      <c r="N4401" s="40" t="str">
        <f>IF(OR(ISBLANK(C4401),C4401="",M4401=""),"In Progress",IF(M4401&lt;=J4401,"Met","Breached"))</f>
        <v>Met</v>
      </c>
    </row>
    <row r="4402" ht="19" customHeight="1" spans="1:14" x14ac:dyDescent="0.25">
      <c r="A4402" s="19" t="s">
        <v>4516</v>
      </c>
      <c r="B4402" s="33">
        <v>46073.035416666666</v>
      </c>
      <c r="C4402" s="33">
        <v>46075.58194444445</v>
      </c>
      <c r="D4402" s="19" t="s">
        <v>36</v>
      </c>
      <c r="E4402" s="19" t="s">
        <v>65</v>
      </c>
      <c r="F4402" s="19" t="s">
        <v>45</v>
      </c>
      <c r="G4402" s="19" t="s">
        <v>116</v>
      </c>
      <c r="H4402" s="19" t="s">
        <v>67</v>
      </c>
      <c r="I4402" s="19" t="s">
        <v>147</v>
      </c>
      <c r="J4402" s="20">
        <v>48</v>
      </c>
      <c r="K4402" s="34">
        <v>0</v>
      </c>
      <c r="L4402" s="34">
        <v>1</v>
      </c>
      <c r="M4402" s="19">
        <f>IF(OR(ISBLANK(C4402),C4402=""),"",ROUND((C4402-B4402)*24,2))</f>
        <v>61.12</v>
      </c>
      <c r="N4402" s="39" t="str">
        <f>IF(OR(ISBLANK(C4402),C4402="",M4402=""),"In Progress",IF(M4402&lt;=J4402,"Met","Breached"))</f>
        <v>Breached</v>
      </c>
    </row>
    <row r="4403" ht="19" customHeight="1" spans="1:14" x14ac:dyDescent="0.25">
      <c r="A4403" s="22" t="s">
        <v>4517</v>
      </c>
      <c r="B4403" s="36">
        <v>45774.99444444444</v>
      </c>
      <c r="C4403" s="36">
        <v>45775.49097222222</v>
      </c>
      <c r="D4403" s="22" t="s">
        <v>36</v>
      </c>
      <c r="E4403" s="22" t="s">
        <v>61</v>
      </c>
      <c r="F4403" s="22" t="s">
        <v>43</v>
      </c>
      <c r="G4403" s="22" t="s">
        <v>63</v>
      </c>
      <c r="H4403" s="22" t="s">
        <v>67</v>
      </c>
      <c r="I4403" s="22" t="s">
        <v>108</v>
      </c>
      <c r="J4403" s="23">
        <v>12</v>
      </c>
      <c r="K4403" s="37">
        <v>0</v>
      </c>
      <c r="L4403" s="37">
        <v>5</v>
      </c>
      <c r="M4403" s="22">
        <f>IF(OR(ISBLANK(C4403),C4403=""),"",ROUND((C4403-B4403)*24,2))</f>
        <v>11.92</v>
      </c>
      <c r="N4403" s="40" t="str">
        <f>IF(OR(ISBLANK(C4403),C4403="",M4403=""),"In Progress",IF(M4403&lt;=J4403,"Met","Breached"))</f>
        <v>Met</v>
      </c>
    </row>
    <row r="4404" ht="19" customHeight="1" spans="1:14" x14ac:dyDescent="0.25">
      <c r="A4404" s="19" t="s">
        <v>4518</v>
      </c>
      <c r="B4404" s="33">
        <v>46123.709027777775</v>
      </c>
      <c r="C4404" s="33">
        <v>46123.8125</v>
      </c>
      <c r="D4404" s="19" t="s">
        <v>36</v>
      </c>
      <c r="E4404" s="19" t="s">
        <v>57</v>
      </c>
      <c r="F4404" s="19" t="s">
        <v>43</v>
      </c>
      <c r="G4404" s="19" t="s">
        <v>121</v>
      </c>
      <c r="H4404" s="19" t="s">
        <v>59</v>
      </c>
      <c r="I4404" s="19" t="s">
        <v>147</v>
      </c>
      <c r="J4404" s="20">
        <v>4</v>
      </c>
      <c r="K4404" s="34">
        <v>0</v>
      </c>
      <c r="L4404" s="34">
        <v>2</v>
      </c>
      <c r="M4404" s="19">
        <f>IF(OR(ISBLANK(C4404),C4404=""),"",ROUND((C4404-B4404)*24,2))</f>
        <v>2.48</v>
      </c>
      <c r="N4404" s="35" t="str">
        <f>IF(OR(ISBLANK(C4404),C4404="",M4404=""),"In Progress",IF(M4404&lt;=J4404,"Met","Breached"))</f>
        <v>Met</v>
      </c>
    </row>
    <row r="4405" ht="19" customHeight="1" spans="1:14" x14ac:dyDescent="0.25">
      <c r="A4405" s="22" t="s">
        <v>4519</v>
      </c>
      <c r="B4405" s="36">
        <v>45957.63541666667</v>
      </c>
      <c r="C4405" s="36">
        <v>45958.17152777778</v>
      </c>
      <c r="D4405" s="22" t="s">
        <v>33</v>
      </c>
      <c r="E4405" s="22" t="s">
        <v>61</v>
      </c>
      <c r="F4405" s="22" t="s">
        <v>43</v>
      </c>
      <c r="G4405" s="22" t="s">
        <v>113</v>
      </c>
      <c r="H4405" s="22" t="s">
        <v>59</v>
      </c>
      <c r="I4405" s="22" t="s">
        <v>114</v>
      </c>
      <c r="J4405" s="23">
        <v>12</v>
      </c>
      <c r="K4405" s="37">
        <v>0</v>
      </c>
      <c r="L4405" s="37">
        <v>4</v>
      </c>
      <c r="M4405" s="22">
        <f>IF(OR(ISBLANK(C4405),C4405=""),"",ROUND((C4405-B4405)*24,2))</f>
        <v>12.87</v>
      </c>
      <c r="N4405" s="38" t="str">
        <f>IF(OR(ISBLANK(C4405),C4405="",M4405=""),"In Progress",IF(M4405&lt;=J4405,"Met","Breached"))</f>
        <v>Breached</v>
      </c>
    </row>
    <row r="4406" ht="19" customHeight="1" spans="1:14" x14ac:dyDescent="0.25">
      <c r="A4406" s="19" t="s">
        <v>4520</v>
      </c>
      <c r="B4406" s="33">
        <v>45906.68611111111</v>
      </c>
      <c r="D4406" s="19" t="s">
        <v>42</v>
      </c>
      <c r="E4406" s="19" t="s">
        <v>65</v>
      </c>
      <c r="F4406" s="19" t="s">
        <v>37</v>
      </c>
      <c r="G4406" s="19" t="s">
        <v>113</v>
      </c>
      <c r="H4406" s="19" t="s">
        <v>63</v>
      </c>
      <c r="I4406" s="19" t="s">
        <v>147</v>
      </c>
      <c r="J4406" s="20">
        <v>48</v>
      </c>
      <c r="K4406" s="34">
        <v>0</v>
      </c>
      <c r="M4406" s="19" t="str">
        <f>IF(OR(ISBLANK(C4406),C4406=""),"",ROUND((C4406-B4406)*24,2))</f>
        <v/>
      </c>
      <c r="N4406" s="19" t="str">
        <f>IF(OR(ISBLANK(C4406),C4406="",M4406=""),"In Progress",IF(M4406&lt;=J4406,"Met","Breached"))</f>
        <v>In Progress</v>
      </c>
    </row>
    <row r="4407" ht="19" customHeight="1" spans="1:14" x14ac:dyDescent="0.25">
      <c r="A4407" s="22" t="s">
        <v>4521</v>
      </c>
      <c r="B4407" s="36">
        <v>46270.41875</v>
      </c>
      <c r="D4407" s="22" t="s">
        <v>39</v>
      </c>
      <c r="E4407" s="22" t="s">
        <v>65</v>
      </c>
      <c r="F4407" s="22" t="s">
        <v>34</v>
      </c>
      <c r="G4407" s="22" t="s">
        <v>116</v>
      </c>
      <c r="H4407" s="22" t="s">
        <v>59</v>
      </c>
      <c r="I4407" s="22" t="s">
        <v>117</v>
      </c>
      <c r="J4407" s="23">
        <v>48</v>
      </c>
      <c r="K4407" s="37">
        <v>0</v>
      </c>
      <c r="M4407" s="22" t="str">
        <f>IF(OR(ISBLANK(C4407),C4407=""),"",ROUND((C4407-B4407)*24,2))</f>
        <v/>
      </c>
      <c r="N4407" s="22" t="str">
        <f>IF(OR(ISBLANK(C4407),C4407="",M4407=""),"In Progress",IF(M4407&lt;=J4407,"Met","Breached"))</f>
        <v>In Progress</v>
      </c>
    </row>
    <row r="4408" ht="19" customHeight="1" spans="1:14" x14ac:dyDescent="0.25">
      <c r="A4408" s="19" t="s">
        <v>4522</v>
      </c>
      <c r="B4408" s="33">
        <v>46104.913888888885</v>
      </c>
      <c r="C4408" s="33">
        <v>46106.91180555556</v>
      </c>
      <c r="D4408" s="19" t="s">
        <v>33</v>
      </c>
      <c r="E4408" s="19" t="s">
        <v>65</v>
      </c>
      <c r="F4408" s="19" t="s">
        <v>37</v>
      </c>
      <c r="G4408" s="19" t="s">
        <v>63</v>
      </c>
      <c r="H4408" s="19" t="s">
        <v>63</v>
      </c>
      <c r="I4408" s="19" t="s">
        <v>123</v>
      </c>
      <c r="J4408" s="20">
        <v>48</v>
      </c>
      <c r="K4408" s="34">
        <v>0</v>
      </c>
      <c r="L4408" s="34">
        <v>4</v>
      </c>
      <c r="M4408" s="19">
        <f>IF(OR(ISBLANK(C4408),C4408=""),"",ROUND((C4408-B4408)*24,2))</f>
        <v>47.95</v>
      </c>
      <c r="N4408" s="35" t="str">
        <f>IF(OR(ISBLANK(C4408),C4408="",M4408=""),"In Progress",IF(M4408&lt;=J4408,"Met","Breached"))</f>
        <v>Met</v>
      </c>
    </row>
    <row r="4409" ht="19" customHeight="1" spans="1:14" x14ac:dyDescent="0.25">
      <c r="A4409" s="22" t="s">
        <v>4523</v>
      </c>
      <c r="B4409" s="36">
        <v>46183.49791666667</v>
      </c>
      <c r="C4409" s="36">
        <v>46184.15694444445</v>
      </c>
      <c r="D4409" s="22" t="s">
        <v>33</v>
      </c>
      <c r="E4409" s="22" t="s">
        <v>65</v>
      </c>
      <c r="F4409" s="22" t="s">
        <v>34</v>
      </c>
      <c r="G4409" s="22" t="s">
        <v>110</v>
      </c>
      <c r="H4409" s="22" t="s">
        <v>63</v>
      </c>
      <c r="I4409" s="22" t="s">
        <v>117</v>
      </c>
      <c r="J4409" s="23">
        <v>48</v>
      </c>
      <c r="K4409" s="37">
        <v>0</v>
      </c>
      <c r="M4409" s="22">
        <f>IF(OR(ISBLANK(C4409),C4409=""),"",ROUND((C4409-B4409)*24,2))</f>
        <v>15.82</v>
      </c>
      <c r="N4409" s="40" t="str">
        <f>IF(OR(ISBLANK(C4409),C4409="",M4409=""),"In Progress",IF(M4409&lt;=J4409,"Met","Breached"))</f>
        <v>Met</v>
      </c>
    </row>
    <row r="4410" ht="19" customHeight="1" spans="1:14" x14ac:dyDescent="0.25">
      <c r="A4410" s="19" t="s">
        <v>4524</v>
      </c>
      <c r="B4410" s="33">
        <v>46116.77222222222</v>
      </c>
      <c r="C4410" s="33">
        <v>46120.34930555556</v>
      </c>
      <c r="D4410" s="19" t="s">
        <v>33</v>
      </c>
      <c r="E4410" s="19" t="s">
        <v>69</v>
      </c>
      <c r="F4410" s="19" t="s">
        <v>34</v>
      </c>
      <c r="G4410" s="19" t="s">
        <v>121</v>
      </c>
      <c r="H4410" s="19" t="s">
        <v>63</v>
      </c>
      <c r="I4410" s="19" t="s">
        <v>111</v>
      </c>
      <c r="J4410" s="20">
        <v>120</v>
      </c>
      <c r="K4410" s="34">
        <v>0</v>
      </c>
      <c r="L4410" s="34">
        <v>3</v>
      </c>
      <c r="M4410" s="19">
        <f>IF(OR(ISBLANK(C4410),C4410=""),"",ROUND((C4410-B4410)*24,2))</f>
        <v>85.85</v>
      </c>
      <c r="N4410" s="35" t="str">
        <f>IF(OR(ISBLANK(C4410),C4410="",M4410=""),"In Progress",IF(M4410&lt;=J4410,"Met","Breached"))</f>
        <v>Met</v>
      </c>
    </row>
    <row r="4411" ht="19" customHeight="1" spans="1:14" x14ac:dyDescent="0.25">
      <c r="A4411" s="22" t="s">
        <v>4525</v>
      </c>
      <c r="B4411" s="36">
        <v>45832.76527777778</v>
      </c>
      <c r="C4411" s="36">
        <v>45836.12222222222</v>
      </c>
      <c r="D4411" s="22" t="s">
        <v>36</v>
      </c>
      <c r="E4411" s="22" t="s">
        <v>65</v>
      </c>
      <c r="F4411" s="22" t="s">
        <v>43</v>
      </c>
      <c r="G4411" s="22" t="s">
        <v>110</v>
      </c>
      <c r="H4411" s="22" t="s">
        <v>67</v>
      </c>
      <c r="I4411" s="22" t="s">
        <v>114</v>
      </c>
      <c r="J4411" s="23">
        <v>48</v>
      </c>
      <c r="K4411" s="37">
        <v>0</v>
      </c>
      <c r="L4411" s="37">
        <v>1</v>
      </c>
      <c r="M4411" s="22">
        <f>IF(OR(ISBLANK(C4411),C4411=""),"",ROUND((C4411-B4411)*24,2))</f>
        <v>80.57</v>
      </c>
      <c r="N4411" s="38" t="str">
        <f>IF(OR(ISBLANK(C4411),C4411="",M4411=""),"In Progress",IF(M4411&lt;=J4411,"Met","Breached"))</f>
        <v>Breached</v>
      </c>
    </row>
    <row r="4412" ht="19" customHeight="1" spans="1:14" x14ac:dyDescent="0.25">
      <c r="A4412" s="19" t="s">
        <v>4526</v>
      </c>
      <c r="B4412" s="33">
        <v>45789.60555555555</v>
      </c>
      <c r="C4412" s="33">
        <v>45790.013194444444</v>
      </c>
      <c r="D4412" s="19" t="s">
        <v>33</v>
      </c>
      <c r="E4412" s="19" t="s">
        <v>61</v>
      </c>
      <c r="F4412" s="19" t="s">
        <v>37</v>
      </c>
      <c r="G4412" s="19" t="s">
        <v>121</v>
      </c>
      <c r="H4412" s="19" t="s">
        <v>59</v>
      </c>
      <c r="I4412" s="19" t="s">
        <v>111</v>
      </c>
      <c r="J4412" s="20">
        <v>12</v>
      </c>
      <c r="K4412" s="34">
        <v>0</v>
      </c>
      <c r="L4412" s="34">
        <v>1</v>
      </c>
      <c r="M4412" s="19">
        <f>IF(OR(ISBLANK(C4412),C4412=""),"",ROUND((C4412-B4412)*24,2))</f>
        <v>9.78</v>
      </c>
      <c r="N4412" s="35" t="str">
        <f>IF(OR(ISBLANK(C4412),C4412="",M4412=""),"In Progress",IF(M4412&lt;=J4412,"Met","Breached"))</f>
        <v>Met</v>
      </c>
    </row>
    <row r="4413" ht="19" customHeight="1" spans="1:14" x14ac:dyDescent="0.25">
      <c r="A4413" s="22" t="s">
        <v>4527</v>
      </c>
      <c r="B4413" s="36">
        <v>45748.992361111115</v>
      </c>
      <c r="D4413" s="22" t="s">
        <v>42</v>
      </c>
      <c r="E4413" s="22" t="s">
        <v>57</v>
      </c>
      <c r="F4413" s="22" t="s">
        <v>45</v>
      </c>
      <c r="G4413" s="22" t="s">
        <v>113</v>
      </c>
      <c r="H4413" s="22" t="s">
        <v>67</v>
      </c>
      <c r="I4413" s="22" t="s">
        <v>111</v>
      </c>
      <c r="J4413" s="23">
        <v>4</v>
      </c>
      <c r="K4413" s="37">
        <v>0</v>
      </c>
      <c r="M4413" s="22" t="str">
        <f>IF(OR(ISBLANK(C4413),C4413=""),"",ROUND((C4413-B4413)*24,2))</f>
        <v/>
      </c>
      <c r="N4413" s="22" t="str">
        <f>IF(OR(ISBLANK(C4413),C4413="",M4413=""),"In Progress",IF(M4413&lt;=J4413,"Met","Breached"))</f>
        <v>In Progress</v>
      </c>
    </row>
    <row r="4414" ht="19" customHeight="1" spans="1:14" x14ac:dyDescent="0.25">
      <c r="A4414" s="19" t="s">
        <v>4528</v>
      </c>
      <c r="B4414" s="33">
        <v>46152.089583333334</v>
      </c>
      <c r="D4414" s="19" t="s">
        <v>39</v>
      </c>
      <c r="E4414" s="19" t="s">
        <v>61</v>
      </c>
      <c r="F4414" s="19" t="s">
        <v>37</v>
      </c>
      <c r="G4414" s="19" t="s">
        <v>121</v>
      </c>
      <c r="H4414" s="19" t="s">
        <v>59</v>
      </c>
      <c r="I4414" s="19" t="s">
        <v>117</v>
      </c>
      <c r="J4414" s="20">
        <v>12</v>
      </c>
      <c r="K4414" s="34">
        <v>0</v>
      </c>
      <c r="M4414" s="19" t="str">
        <f>IF(OR(ISBLANK(C4414),C4414=""),"",ROUND((C4414-B4414)*24,2))</f>
        <v/>
      </c>
      <c r="N4414" s="19" t="str">
        <f>IF(OR(ISBLANK(C4414),C4414="",M4414=""),"In Progress",IF(M4414&lt;=J4414,"Met","Breached"))</f>
        <v>In Progress</v>
      </c>
    </row>
    <row r="4415" ht="19" customHeight="1" spans="1:14" x14ac:dyDescent="0.25">
      <c r="A4415" s="22" t="s">
        <v>4529</v>
      </c>
      <c r="B4415" s="36">
        <v>45711.554861111115</v>
      </c>
      <c r="C4415" s="36">
        <v>45714.62430555555</v>
      </c>
      <c r="D4415" s="22" t="s">
        <v>36</v>
      </c>
      <c r="E4415" s="22" t="s">
        <v>69</v>
      </c>
      <c r="F4415" s="22" t="s">
        <v>43</v>
      </c>
      <c r="G4415" s="22" t="s">
        <v>110</v>
      </c>
      <c r="H4415" s="22" t="s">
        <v>67</v>
      </c>
      <c r="I4415" s="22" t="s">
        <v>117</v>
      </c>
      <c r="J4415" s="23">
        <v>120</v>
      </c>
      <c r="K4415" s="37">
        <v>0</v>
      </c>
      <c r="M4415" s="22">
        <f>IF(OR(ISBLANK(C4415),C4415=""),"",ROUND((C4415-B4415)*24,2))</f>
        <v>73.67</v>
      </c>
      <c r="N4415" s="40" t="str">
        <f>IF(OR(ISBLANK(C4415),C4415="",M4415=""),"In Progress",IF(M4415&lt;=J4415,"Met","Breached"))</f>
        <v>Met</v>
      </c>
    </row>
    <row r="4416" ht="19" customHeight="1" spans="1:14" x14ac:dyDescent="0.25">
      <c r="A4416" s="19" t="s">
        <v>4530</v>
      </c>
      <c r="B4416" s="33">
        <v>45747.10277777778</v>
      </c>
      <c r="D4416" s="19" t="s">
        <v>39</v>
      </c>
      <c r="E4416" s="19" t="s">
        <v>61</v>
      </c>
      <c r="F4416" s="19" t="s">
        <v>34</v>
      </c>
      <c r="G4416" s="19" t="s">
        <v>121</v>
      </c>
      <c r="H4416" s="19" t="s">
        <v>59</v>
      </c>
      <c r="I4416" s="19" t="s">
        <v>123</v>
      </c>
      <c r="J4416" s="20">
        <v>12</v>
      </c>
      <c r="K4416" s="34">
        <v>0</v>
      </c>
      <c r="M4416" s="19" t="str">
        <f>IF(OR(ISBLANK(C4416),C4416=""),"",ROUND((C4416-B4416)*24,2))</f>
        <v/>
      </c>
      <c r="N4416" s="19" t="str">
        <f>IF(OR(ISBLANK(C4416),C4416="",M4416=""),"In Progress",IF(M4416&lt;=J4416,"Met","Breached"))</f>
        <v>In Progress</v>
      </c>
    </row>
    <row r="4417" ht="19" customHeight="1" spans="1:14" x14ac:dyDescent="0.25">
      <c r="A4417" s="22" t="s">
        <v>4531</v>
      </c>
      <c r="B4417" s="36">
        <v>45852.59930555556</v>
      </c>
      <c r="C4417" s="36">
        <v>45856.24444444444</v>
      </c>
      <c r="D4417" s="22" t="s">
        <v>33</v>
      </c>
      <c r="E4417" s="22" t="s">
        <v>69</v>
      </c>
      <c r="F4417" s="22" t="s">
        <v>40</v>
      </c>
      <c r="G4417" s="22" t="s">
        <v>116</v>
      </c>
      <c r="H4417" s="22" t="s">
        <v>71</v>
      </c>
      <c r="I4417" s="22" t="s">
        <v>117</v>
      </c>
      <c r="J4417" s="23">
        <v>120</v>
      </c>
      <c r="K4417" s="37">
        <v>0</v>
      </c>
      <c r="M4417" s="22">
        <f>IF(OR(ISBLANK(C4417),C4417=""),"",ROUND((C4417-B4417)*24,2))</f>
        <v>87.48</v>
      </c>
      <c r="N4417" s="40" t="str">
        <f>IF(OR(ISBLANK(C4417),C4417="",M4417=""),"In Progress",IF(M4417&lt;=J4417,"Met","Breached"))</f>
        <v>Met</v>
      </c>
    </row>
    <row r="4418" ht="19" customHeight="1" spans="1:14" x14ac:dyDescent="0.25">
      <c r="A4418" s="19" t="s">
        <v>4532</v>
      </c>
      <c r="B4418" s="33">
        <v>46195.62291666667</v>
      </c>
      <c r="C4418" s="33">
        <v>46197.41527777778</v>
      </c>
      <c r="D4418" s="19" t="s">
        <v>33</v>
      </c>
      <c r="E4418" s="19" t="s">
        <v>65</v>
      </c>
      <c r="F4418" s="19" t="s">
        <v>43</v>
      </c>
      <c r="G4418" s="19" t="s">
        <v>126</v>
      </c>
      <c r="H4418" s="19" t="s">
        <v>63</v>
      </c>
      <c r="I4418" s="19" t="s">
        <v>123</v>
      </c>
      <c r="J4418" s="20">
        <v>48</v>
      </c>
      <c r="K4418" s="34">
        <v>0</v>
      </c>
      <c r="L4418" s="34">
        <v>2</v>
      </c>
      <c r="M4418" s="19">
        <f>IF(OR(ISBLANK(C4418),C4418=""),"",ROUND((C4418-B4418)*24,2))</f>
        <v>43.02</v>
      </c>
      <c r="N4418" s="35" t="str">
        <f>IF(OR(ISBLANK(C4418),C4418="",M4418=""),"In Progress",IF(M4418&lt;=J4418,"Met","Breached"))</f>
        <v>Met</v>
      </c>
    </row>
    <row r="4419" ht="19" customHeight="1" spans="1:14" x14ac:dyDescent="0.25">
      <c r="A4419" s="22" t="s">
        <v>4533</v>
      </c>
      <c r="B4419" s="36">
        <v>46028.27777777778</v>
      </c>
      <c r="C4419" s="36">
        <v>46029.91736111111</v>
      </c>
      <c r="D4419" s="22" t="s">
        <v>33</v>
      </c>
      <c r="E4419" s="22" t="s">
        <v>65</v>
      </c>
      <c r="F4419" s="22" t="s">
        <v>43</v>
      </c>
      <c r="G4419" s="22" t="s">
        <v>113</v>
      </c>
      <c r="H4419" s="22" t="s">
        <v>59</v>
      </c>
      <c r="I4419" s="22" t="s">
        <v>123</v>
      </c>
      <c r="J4419" s="23">
        <v>48</v>
      </c>
      <c r="K4419" s="37">
        <v>0</v>
      </c>
      <c r="M4419" s="22">
        <f>IF(OR(ISBLANK(C4419),C4419=""),"",ROUND((C4419-B4419)*24,2))</f>
        <v>39.35</v>
      </c>
      <c r="N4419" s="40" t="str">
        <f>IF(OR(ISBLANK(C4419),C4419="",M4419=""),"In Progress",IF(M4419&lt;=J4419,"Met","Breached"))</f>
        <v>Met</v>
      </c>
    </row>
    <row r="4420" ht="19" customHeight="1" spans="1:14" x14ac:dyDescent="0.25">
      <c r="A4420" s="19" t="s">
        <v>4534</v>
      </c>
      <c r="B4420" s="33">
        <v>45929.85416666667</v>
      </c>
      <c r="C4420" s="33">
        <v>45934.898611111115</v>
      </c>
      <c r="D4420" s="19" t="s">
        <v>36</v>
      </c>
      <c r="E4420" s="19" t="s">
        <v>69</v>
      </c>
      <c r="F4420" s="19" t="s">
        <v>37</v>
      </c>
      <c r="G4420" s="19" t="s">
        <v>110</v>
      </c>
      <c r="H4420" s="19" t="s">
        <v>59</v>
      </c>
      <c r="I4420" s="19" t="s">
        <v>117</v>
      </c>
      <c r="J4420" s="20">
        <v>120</v>
      </c>
      <c r="K4420" s="34">
        <v>0</v>
      </c>
      <c r="L4420" s="34">
        <v>1</v>
      </c>
      <c r="M4420" s="19">
        <f>IF(OR(ISBLANK(C4420),C4420=""),"",ROUND((C4420-B4420)*24,2))</f>
        <v>121.07</v>
      </c>
      <c r="N4420" s="39" t="str">
        <f>IF(OR(ISBLANK(C4420),C4420="",M4420=""),"In Progress",IF(M4420&lt;=J4420,"Met","Breached"))</f>
        <v>Breached</v>
      </c>
    </row>
    <row r="4421" ht="19" customHeight="1" spans="1:14" x14ac:dyDescent="0.25">
      <c r="A4421" s="22" t="s">
        <v>4535</v>
      </c>
      <c r="B4421" s="36">
        <v>45924.37222222222</v>
      </c>
      <c r="C4421" s="36">
        <v>45926.76597222222</v>
      </c>
      <c r="D4421" s="22" t="s">
        <v>33</v>
      </c>
      <c r="E4421" s="22" t="s">
        <v>69</v>
      </c>
      <c r="F4421" s="22" t="s">
        <v>43</v>
      </c>
      <c r="G4421" s="22" t="s">
        <v>110</v>
      </c>
      <c r="H4421" s="22" t="s">
        <v>59</v>
      </c>
      <c r="I4421" s="22" t="s">
        <v>117</v>
      </c>
      <c r="J4421" s="23">
        <v>120</v>
      </c>
      <c r="K4421" s="37">
        <v>0</v>
      </c>
      <c r="L4421" s="37">
        <v>5</v>
      </c>
      <c r="M4421" s="22">
        <f>IF(OR(ISBLANK(C4421),C4421=""),"",ROUND((C4421-B4421)*24,2))</f>
        <v>57.45</v>
      </c>
      <c r="N4421" s="40" t="str">
        <f>IF(OR(ISBLANK(C4421),C4421="",M4421=""),"In Progress",IF(M4421&lt;=J4421,"Met","Breached"))</f>
        <v>Met</v>
      </c>
    </row>
    <row r="4422" ht="19" customHeight="1" spans="1:14" x14ac:dyDescent="0.25">
      <c r="A4422" s="19" t="s">
        <v>4536</v>
      </c>
      <c r="B4422" s="33">
        <v>46240.87291666667</v>
      </c>
      <c r="C4422" s="33">
        <v>46243.37847222222</v>
      </c>
      <c r="D4422" s="19" t="s">
        <v>33</v>
      </c>
      <c r="E4422" s="19" t="s">
        <v>65</v>
      </c>
      <c r="F4422" s="19" t="s">
        <v>37</v>
      </c>
      <c r="G4422" s="19" t="s">
        <v>110</v>
      </c>
      <c r="H4422" s="19" t="s">
        <v>67</v>
      </c>
      <c r="I4422" s="19" t="s">
        <v>117</v>
      </c>
      <c r="J4422" s="20">
        <v>48</v>
      </c>
      <c r="K4422" s="34">
        <v>0</v>
      </c>
      <c r="L4422" s="34">
        <v>4</v>
      </c>
      <c r="M4422" s="19">
        <f>IF(OR(ISBLANK(C4422),C4422=""),"",ROUND((C4422-B4422)*24,2))</f>
        <v>60.13</v>
      </c>
      <c r="N4422" s="39" t="str">
        <f>IF(OR(ISBLANK(C4422),C4422="",M4422=""),"In Progress",IF(M4422&lt;=J4422,"Met","Breached"))</f>
        <v>Breached</v>
      </c>
    </row>
    <row r="4423" ht="19" customHeight="1" spans="1:14" x14ac:dyDescent="0.25">
      <c r="A4423" s="22" t="s">
        <v>4537</v>
      </c>
      <c r="B4423" s="36">
        <v>46018.05208333333</v>
      </c>
      <c r="C4423" s="36">
        <v>46018.57083333333</v>
      </c>
      <c r="D4423" s="22" t="s">
        <v>33</v>
      </c>
      <c r="E4423" s="22" t="s">
        <v>61</v>
      </c>
      <c r="F4423" s="22" t="s">
        <v>40</v>
      </c>
      <c r="G4423" s="22" t="s">
        <v>63</v>
      </c>
      <c r="H4423" s="22" t="s">
        <v>71</v>
      </c>
      <c r="I4423" s="22" t="s">
        <v>108</v>
      </c>
      <c r="J4423" s="23">
        <v>12</v>
      </c>
      <c r="K4423" s="37">
        <v>0</v>
      </c>
      <c r="L4423" s="37">
        <v>3</v>
      </c>
      <c r="M4423" s="22">
        <f>IF(OR(ISBLANK(C4423),C4423=""),"",ROUND((C4423-B4423)*24,2))</f>
        <v>12.45</v>
      </c>
      <c r="N4423" s="38" t="str">
        <f>IF(OR(ISBLANK(C4423),C4423="",M4423=""),"In Progress",IF(M4423&lt;=J4423,"Met","Breached"))</f>
        <v>Breached</v>
      </c>
    </row>
    <row r="4424" ht="19" customHeight="1" spans="1:14" x14ac:dyDescent="0.25">
      <c r="A4424" s="19" t="s">
        <v>4538</v>
      </c>
      <c r="B4424" s="33">
        <v>46224.37430555555</v>
      </c>
      <c r="C4424" s="33">
        <v>46233.36597222222</v>
      </c>
      <c r="D4424" s="19" t="s">
        <v>36</v>
      </c>
      <c r="E4424" s="19" t="s">
        <v>69</v>
      </c>
      <c r="F4424" s="19" t="s">
        <v>34</v>
      </c>
      <c r="G4424" s="19" t="s">
        <v>116</v>
      </c>
      <c r="H4424" s="19" t="s">
        <v>71</v>
      </c>
      <c r="I4424" s="19" t="s">
        <v>123</v>
      </c>
      <c r="J4424" s="20">
        <v>120</v>
      </c>
      <c r="K4424" s="34">
        <v>0</v>
      </c>
      <c r="L4424" s="34">
        <v>3</v>
      </c>
      <c r="M4424" s="19">
        <f>IF(OR(ISBLANK(C4424),C4424=""),"",ROUND((C4424-B4424)*24,2))</f>
        <v>215.8</v>
      </c>
      <c r="N4424" s="39" t="str">
        <f>IF(OR(ISBLANK(C4424),C4424="",M4424=""),"In Progress",IF(M4424&lt;=J4424,"Met","Breached"))</f>
        <v>Breached</v>
      </c>
    </row>
    <row r="4425" ht="19" customHeight="1" spans="1:14" x14ac:dyDescent="0.25">
      <c r="A4425" s="22" t="s">
        <v>4539</v>
      </c>
      <c r="B4425" s="36">
        <v>46055.350694444445</v>
      </c>
      <c r="C4425" s="36">
        <v>46058.18402777778</v>
      </c>
      <c r="D4425" s="22" t="s">
        <v>36</v>
      </c>
      <c r="E4425" s="22" t="s">
        <v>65</v>
      </c>
      <c r="F4425" s="22" t="s">
        <v>45</v>
      </c>
      <c r="G4425" s="22" t="s">
        <v>116</v>
      </c>
      <c r="H4425" s="22" t="s">
        <v>67</v>
      </c>
      <c r="I4425" s="22" t="s">
        <v>114</v>
      </c>
      <c r="J4425" s="23">
        <v>48</v>
      </c>
      <c r="K4425" s="37">
        <v>0</v>
      </c>
      <c r="L4425" s="37">
        <v>2</v>
      </c>
      <c r="M4425" s="22">
        <f>IF(OR(ISBLANK(C4425),C4425=""),"",ROUND((C4425-B4425)*24,2))</f>
        <v>68</v>
      </c>
      <c r="N4425" s="38" t="str">
        <f>IF(OR(ISBLANK(C4425),C4425="",M4425=""),"In Progress",IF(M4425&lt;=J4425,"Met","Breached"))</f>
        <v>Breached</v>
      </c>
    </row>
    <row r="4426" ht="19" customHeight="1" spans="1:14" x14ac:dyDescent="0.25">
      <c r="A4426" s="19" t="s">
        <v>4540</v>
      </c>
      <c r="B4426" s="33">
        <v>45839.98472222222</v>
      </c>
      <c r="C4426" s="33">
        <v>45842.538888888885</v>
      </c>
      <c r="D4426" s="19" t="s">
        <v>33</v>
      </c>
      <c r="E4426" s="19" t="s">
        <v>65</v>
      </c>
      <c r="F4426" s="19" t="s">
        <v>43</v>
      </c>
      <c r="G4426" s="19" t="s">
        <v>113</v>
      </c>
      <c r="H4426" s="19" t="s">
        <v>59</v>
      </c>
      <c r="I4426" s="19" t="s">
        <v>111</v>
      </c>
      <c r="J4426" s="20">
        <v>48</v>
      </c>
      <c r="K4426" s="34">
        <v>0</v>
      </c>
      <c r="L4426" s="34">
        <v>4</v>
      </c>
      <c r="M4426" s="19">
        <f>IF(OR(ISBLANK(C4426),C4426=""),"",ROUND((C4426-B4426)*24,2))</f>
        <v>61.3</v>
      </c>
      <c r="N4426" s="39" t="str">
        <f>IF(OR(ISBLANK(C4426),C4426="",M4426=""),"In Progress",IF(M4426&lt;=J4426,"Met","Breached"))</f>
        <v>Breached</v>
      </c>
    </row>
    <row r="4427" ht="19" customHeight="1" spans="1:14" x14ac:dyDescent="0.25">
      <c r="A4427" s="22" t="s">
        <v>4541</v>
      </c>
      <c r="B4427" s="36">
        <v>46286.00486111111</v>
      </c>
      <c r="C4427" s="36">
        <v>46291.43819444445</v>
      </c>
      <c r="D4427" s="22" t="s">
        <v>33</v>
      </c>
      <c r="E4427" s="22" t="s">
        <v>69</v>
      </c>
      <c r="F4427" s="22" t="s">
        <v>40</v>
      </c>
      <c r="G4427" s="22" t="s">
        <v>63</v>
      </c>
      <c r="H4427" s="22" t="s">
        <v>59</v>
      </c>
      <c r="I4427" s="22" t="s">
        <v>108</v>
      </c>
      <c r="J4427" s="23">
        <v>120</v>
      </c>
      <c r="K4427" s="37">
        <v>0</v>
      </c>
      <c r="M4427" s="22">
        <f>IF(OR(ISBLANK(C4427),C4427=""),"",ROUND((C4427-B4427)*24,2))</f>
        <v>130.4</v>
      </c>
      <c r="N4427" s="38" t="str">
        <f>IF(OR(ISBLANK(C4427),C4427="",M4427=""),"In Progress",IF(M4427&lt;=J4427,"Met","Breached"))</f>
        <v>Breached</v>
      </c>
    </row>
    <row r="4428" ht="19" customHeight="1" spans="1:14" x14ac:dyDescent="0.25">
      <c r="A4428" s="19" t="s">
        <v>4542</v>
      </c>
      <c r="B4428" s="33">
        <v>45671.211805555555</v>
      </c>
      <c r="C4428" s="33">
        <v>45671.472916666666</v>
      </c>
      <c r="D4428" s="19" t="s">
        <v>36</v>
      </c>
      <c r="E4428" s="19" t="s">
        <v>61</v>
      </c>
      <c r="F4428" s="19" t="s">
        <v>45</v>
      </c>
      <c r="G4428" s="19" t="s">
        <v>126</v>
      </c>
      <c r="H4428" s="19" t="s">
        <v>71</v>
      </c>
      <c r="I4428" s="19" t="s">
        <v>108</v>
      </c>
      <c r="J4428" s="20">
        <v>12</v>
      </c>
      <c r="K4428" s="34">
        <v>0</v>
      </c>
      <c r="L4428" s="34">
        <v>5</v>
      </c>
      <c r="M4428" s="19">
        <f>IF(OR(ISBLANK(C4428),C4428=""),"",ROUND((C4428-B4428)*24,2))</f>
        <v>6.27</v>
      </c>
      <c r="N4428" s="35" t="str">
        <f>IF(OR(ISBLANK(C4428),C4428="",M4428=""),"In Progress",IF(M4428&lt;=J4428,"Met","Breached"))</f>
        <v>Met</v>
      </c>
    </row>
    <row r="4429" ht="19" customHeight="1" spans="1:14" x14ac:dyDescent="0.25">
      <c r="A4429" s="22" t="s">
        <v>4543</v>
      </c>
      <c r="B4429" s="36">
        <v>45726.42152777778</v>
      </c>
      <c r="C4429" s="36">
        <v>45728.04375</v>
      </c>
      <c r="D4429" s="22" t="s">
        <v>33</v>
      </c>
      <c r="E4429" s="22" t="s">
        <v>65</v>
      </c>
      <c r="F4429" s="22" t="s">
        <v>37</v>
      </c>
      <c r="G4429" s="22" t="s">
        <v>110</v>
      </c>
      <c r="H4429" s="22" t="s">
        <v>63</v>
      </c>
      <c r="I4429" s="22" t="s">
        <v>123</v>
      </c>
      <c r="J4429" s="23">
        <v>48</v>
      </c>
      <c r="K4429" s="37">
        <v>0</v>
      </c>
      <c r="L4429" s="37">
        <v>3</v>
      </c>
      <c r="M4429" s="22">
        <f>IF(OR(ISBLANK(C4429),C4429=""),"",ROUND((C4429-B4429)*24,2))</f>
        <v>38.93</v>
      </c>
      <c r="N4429" s="40" t="str">
        <f>IF(OR(ISBLANK(C4429),C4429="",M4429=""),"In Progress",IF(M4429&lt;=J4429,"Met","Breached"))</f>
        <v>Met</v>
      </c>
    </row>
    <row r="4430" ht="19" customHeight="1" spans="1:14" x14ac:dyDescent="0.25">
      <c r="A4430" s="19" t="s">
        <v>4544</v>
      </c>
      <c r="B4430" s="33">
        <v>45774.910416666666</v>
      </c>
      <c r="C4430" s="33">
        <v>45776.72361111111</v>
      </c>
      <c r="D4430" s="19" t="s">
        <v>36</v>
      </c>
      <c r="E4430" s="19" t="s">
        <v>69</v>
      </c>
      <c r="F4430" s="19" t="s">
        <v>43</v>
      </c>
      <c r="G4430" s="19" t="s">
        <v>121</v>
      </c>
      <c r="H4430" s="19" t="s">
        <v>59</v>
      </c>
      <c r="I4430" s="19" t="s">
        <v>117</v>
      </c>
      <c r="J4430" s="20">
        <v>120</v>
      </c>
      <c r="K4430" s="34">
        <v>0</v>
      </c>
      <c r="L4430" s="34">
        <v>1</v>
      </c>
      <c r="M4430" s="19">
        <f>IF(OR(ISBLANK(C4430),C4430=""),"",ROUND((C4430-B4430)*24,2))</f>
        <v>43.52</v>
      </c>
      <c r="N4430" s="35" t="str">
        <f>IF(OR(ISBLANK(C4430),C4430="",M4430=""),"In Progress",IF(M4430&lt;=J4430,"Met","Breached"))</f>
        <v>Met</v>
      </c>
    </row>
    <row r="4431" ht="19" customHeight="1" spans="1:14" x14ac:dyDescent="0.25">
      <c r="A4431" s="22" t="s">
        <v>4545</v>
      </c>
      <c r="B4431" s="36">
        <v>45886.74444444444</v>
      </c>
      <c r="D4431" s="22" t="s">
        <v>42</v>
      </c>
      <c r="E4431" s="22" t="s">
        <v>65</v>
      </c>
      <c r="F4431" s="22" t="s">
        <v>40</v>
      </c>
      <c r="G4431" s="22" t="s">
        <v>121</v>
      </c>
      <c r="H4431" s="22" t="s">
        <v>59</v>
      </c>
      <c r="I4431" s="22" t="s">
        <v>114</v>
      </c>
      <c r="J4431" s="23">
        <v>48</v>
      </c>
      <c r="K4431" s="37">
        <v>0</v>
      </c>
      <c r="M4431" s="22" t="str">
        <f>IF(OR(ISBLANK(C4431),C4431=""),"",ROUND((C4431-B4431)*24,2))</f>
        <v/>
      </c>
      <c r="N4431" s="22" t="str">
        <f>IF(OR(ISBLANK(C4431),C4431="",M4431=""),"In Progress",IF(M4431&lt;=J4431,"Met","Breached"))</f>
        <v>In Progress</v>
      </c>
    </row>
    <row r="4432" ht="19" customHeight="1" spans="1:14" x14ac:dyDescent="0.25">
      <c r="A4432" s="19" t="s">
        <v>4546</v>
      </c>
      <c r="B4432" s="33">
        <v>45870.42638888889</v>
      </c>
      <c r="D4432" s="19" t="s">
        <v>39</v>
      </c>
      <c r="E4432" s="19" t="s">
        <v>69</v>
      </c>
      <c r="F4432" s="19" t="s">
        <v>40</v>
      </c>
      <c r="G4432" s="19" t="s">
        <v>110</v>
      </c>
      <c r="H4432" s="19" t="s">
        <v>59</v>
      </c>
      <c r="I4432" s="19" t="s">
        <v>108</v>
      </c>
      <c r="J4432" s="20">
        <v>120</v>
      </c>
      <c r="K4432" s="34">
        <v>0</v>
      </c>
      <c r="M4432" s="19" t="str">
        <f>IF(OR(ISBLANK(C4432),C4432=""),"",ROUND((C4432-B4432)*24,2))</f>
        <v/>
      </c>
      <c r="N4432" s="19" t="str">
        <f>IF(OR(ISBLANK(C4432),C4432="",M4432=""),"In Progress",IF(M4432&lt;=J4432,"Met","Breached"))</f>
        <v>In Progress</v>
      </c>
    </row>
    <row r="4433" ht="19" customHeight="1" spans="1:14" x14ac:dyDescent="0.25">
      <c r="A4433" s="22" t="s">
        <v>4547</v>
      </c>
      <c r="B4433" s="36">
        <v>45785.163194444445</v>
      </c>
      <c r="C4433" s="36">
        <v>45785.33819444444</v>
      </c>
      <c r="D4433" s="22" t="s">
        <v>33</v>
      </c>
      <c r="E4433" s="22" t="s">
        <v>61</v>
      </c>
      <c r="F4433" s="22" t="s">
        <v>37</v>
      </c>
      <c r="G4433" s="22" t="s">
        <v>126</v>
      </c>
      <c r="H4433" s="22" t="s">
        <v>67</v>
      </c>
      <c r="I4433" s="22" t="s">
        <v>117</v>
      </c>
      <c r="J4433" s="23">
        <v>12</v>
      </c>
      <c r="K4433" s="37">
        <v>0</v>
      </c>
      <c r="L4433" s="37">
        <v>1</v>
      </c>
      <c r="M4433" s="22">
        <f>IF(OR(ISBLANK(C4433),C4433=""),"",ROUND((C4433-B4433)*24,2))</f>
        <v>4.2</v>
      </c>
      <c r="N4433" s="40" t="str">
        <f>IF(OR(ISBLANK(C4433),C4433="",M4433=""),"In Progress",IF(M4433&lt;=J4433,"Met","Breached"))</f>
        <v>Met</v>
      </c>
    </row>
    <row r="4434" ht="19" customHeight="1" spans="1:14" x14ac:dyDescent="0.25">
      <c r="A4434" s="19" t="s">
        <v>4548</v>
      </c>
      <c r="B4434" s="33">
        <v>46203.67083333334</v>
      </c>
      <c r="C4434" s="33">
        <v>46206.03263888889</v>
      </c>
      <c r="D4434" s="19" t="s">
        <v>33</v>
      </c>
      <c r="E4434" s="19" t="s">
        <v>69</v>
      </c>
      <c r="F4434" s="19" t="s">
        <v>45</v>
      </c>
      <c r="G4434" s="19" t="s">
        <v>126</v>
      </c>
      <c r="H4434" s="19" t="s">
        <v>67</v>
      </c>
      <c r="I4434" s="19" t="s">
        <v>147</v>
      </c>
      <c r="J4434" s="20">
        <v>120</v>
      </c>
      <c r="K4434" s="34">
        <v>0</v>
      </c>
      <c r="L4434" s="34">
        <v>2</v>
      </c>
      <c r="M4434" s="19">
        <f>IF(OR(ISBLANK(C4434),C4434=""),"",ROUND((C4434-B4434)*24,2))</f>
        <v>56.68</v>
      </c>
      <c r="N4434" s="35" t="str">
        <f>IF(OR(ISBLANK(C4434),C4434="",M4434=""),"In Progress",IF(M4434&lt;=J4434,"Met","Breached"))</f>
        <v>Met</v>
      </c>
    </row>
    <row r="4435" ht="19" customHeight="1" spans="1:14" x14ac:dyDescent="0.25">
      <c r="A4435" s="22" t="s">
        <v>4549</v>
      </c>
      <c r="B4435" s="36">
        <v>45923.55138888889</v>
      </c>
      <c r="C4435" s="36">
        <v>45924.36458333333</v>
      </c>
      <c r="D4435" s="22" t="s">
        <v>33</v>
      </c>
      <c r="E4435" s="22" t="s">
        <v>65</v>
      </c>
      <c r="F4435" s="22" t="s">
        <v>43</v>
      </c>
      <c r="G4435" s="22" t="s">
        <v>110</v>
      </c>
      <c r="H4435" s="22" t="s">
        <v>71</v>
      </c>
      <c r="I4435" s="22" t="s">
        <v>117</v>
      </c>
      <c r="J4435" s="23">
        <v>48</v>
      </c>
      <c r="K4435" s="37">
        <v>0</v>
      </c>
      <c r="L4435" s="37">
        <v>3</v>
      </c>
      <c r="M4435" s="22">
        <f>IF(OR(ISBLANK(C4435),C4435=""),"",ROUND((C4435-B4435)*24,2))</f>
        <v>19.52</v>
      </c>
      <c r="N4435" s="40" t="str">
        <f>IF(OR(ISBLANK(C4435),C4435="",M4435=""),"In Progress",IF(M4435&lt;=J4435,"Met","Breached"))</f>
        <v>Met</v>
      </c>
    </row>
    <row r="4436" ht="19" customHeight="1" spans="1:14" x14ac:dyDescent="0.25">
      <c r="A4436" s="19" t="s">
        <v>4550</v>
      </c>
      <c r="B4436" s="33">
        <v>46035.40347222222</v>
      </c>
      <c r="C4436" s="33">
        <v>46038.384722222225</v>
      </c>
      <c r="D4436" s="19" t="s">
        <v>33</v>
      </c>
      <c r="E4436" s="19" t="s">
        <v>65</v>
      </c>
      <c r="F4436" s="19" t="s">
        <v>45</v>
      </c>
      <c r="G4436" s="19" t="s">
        <v>110</v>
      </c>
      <c r="H4436" s="19" t="s">
        <v>59</v>
      </c>
      <c r="I4436" s="19" t="s">
        <v>123</v>
      </c>
      <c r="J4436" s="20">
        <v>48</v>
      </c>
      <c r="K4436" s="34">
        <v>0</v>
      </c>
      <c r="L4436" s="34">
        <v>2</v>
      </c>
      <c r="M4436" s="19">
        <f>IF(OR(ISBLANK(C4436),C4436=""),"",ROUND((C4436-B4436)*24,2))</f>
        <v>71.55</v>
      </c>
      <c r="N4436" s="39" t="str">
        <f>IF(OR(ISBLANK(C4436),C4436="",M4436=""),"In Progress",IF(M4436&lt;=J4436,"Met","Breached"))</f>
        <v>Breached</v>
      </c>
    </row>
    <row r="4437" ht="19" customHeight="1" spans="1:14" x14ac:dyDescent="0.25">
      <c r="A4437" s="22" t="s">
        <v>4551</v>
      </c>
      <c r="B4437" s="36">
        <v>46186.711111111115</v>
      </c>
      <c r="D4437" s="22" t="s">
        <v>42</v>
      </c>
      <c r="E4437" s="22" t="s">
        <v>61</v>
      </c>
      <c r="F4437" s="22" t="s">
        <v>37</v>
      </c>
      <c r="G4437" s="22" t="s">
        <v>126</v>
      </c>
      <c r="H4437" s="22" t="s">
        <v>59</v>
      </c>
      <c r="I4437" s="22" t="s">
        <v>108</v>
      </c>
      <c r="J4437" s="23">
        <v>12</v>
      </c>
      <c r="K4437" s="37">
        <v>0</v>
      </c>
      <c r="M4437" s="22" t="str">
        <f>IF(OR(ISBLANK(C4437),C4437=""),"",ROUND((C4437-B4437)*24,2))</f>
        <v/>
      </c>
      <c r="N4437" s="22" t="str">
        <f>IF(OR(ISBLANK(C4437),C4437="",M4437=""),"In Progress",IF(M4437&lt;=J4437,"Met","Breached"))</f>
        <v>In Progress</v>
      </c>
    </row>
    <row r="4438" ht="19" customHeight="1" spans="1:14" x14ac:dyDescent="0.25">
      <c r="A4438" s="19" t="s">
        <v>4552</v>
      </c>
      <c r="B4438" s="33">
        <v>46001.48402777778</v>
      </c>
      <c r="C4438" s="33">
        <v>46003.89513888889</v>
      </c>
      <c r="D4438" s="19" t="s">
        <v>33</v>
      </c>
      <c r="E4438" s="19" t="s">
        <v>65</v>
      </c>
      <c r="F4438" s="19" t="s">
        <v>34</v>
      </c>
      <c r="G4438" s="19" t="s">
        <v>126</v>
      </c>
      <c r="H4438" s="19" t="s">
        <v>67</v>
      </c>
      <c r="I4438" s="19" t="s">
        <v>108</v>
      </c>
      <c r="J4438" s="20">
        <v>48</v>
      </c>
      <c r="K4438" s="34">
        <v>0</v>
      </c>
      <c r="M4438" s="19">
        <f>IF(OR(ISBLANK(C4438),C4438=""),"",ROUND((C4438-B4438)*24,2))</f>
        <v>57.87</v>
      </c>
      <c r="N4438" s="39" t="str">
        <f>IF(OR(ISBLANK(C4438),C4438="",M4438=""),"In Progress",IF(M4438&lt;=J4438,"Met","Breached"))</f>
        <v>Breached</v>
      </c>
    </row>
    <row r="4439" ht="19" customHeight="1" spans="1:14" x14ac:dyDescent="0.25">
      <c r="A4439" s="22" t="s">
        <v>4553</v>
      </c>
      <c r="B4439" s="36">
        <v>45948.57638888889</v>
      </c>
      <c r="D4439" s="22" t="s">
        <v>39</v>
      </c>
      <c r="E4439" s="22" t="s">
        <v>65</v>
      </c>
      <c r="F4439" s="22" t="s">
        <v>34</v>
      </c>
      <c r="G4439" s="22" t="s">
        <v>126</v>
      </c>
      <c r="H4439" s="22" t="s">
        <v>63</v>
      </c>
      <c r="I4439" s="22" t="s">
        <v>108</v>
      </c>
      <c r="J4439" s="23">
        <v>48</v>
      </c>
      <c r="K4439" s="37">
        <v>0</v>
      </c>
      <c r="M4439" s="22" t="str">
        <f>IF(OR(ISBLANK(C4439),C4439=""),"",ROUND((C4439-B4439)*24,2))</f>
        <v/>
      </c>
      <c r="N4439" s="22" t="str">
        <f>IF(OR(ISBLANK(C4439),C4439="",M4439=""),"In Progress",IF(M4439&lt;=J4439,"Met","Breached"))</f>
        <v>In Progress</v>
      </c>
    </row>
    <row r="4440" ht="19" customHeight="1" spans="1:14" x14ac:dyDescent="0.25">
      <c r="A4440" s="19" t="s">
        <v>4554</v>
      </c>
      <c r="B4440" s="33">
        <v>45874.51041666667</v>
      </c>
      <c r="C4440" s="33">
        <v>45878.03958333333</v>
      </c>
      <c r="D4440" s="19" t="s">
        <v>36</v>
      </c>
      <c r="E4440" s="19" t="s">
        <v>65</v>
      </c>
      <c r="F4440" s="19" t="s">
        <v>45</v>
      </c>
      <c r="G4440" s="19" t="s">
        <v>121</v>
      </c>
      <c r="H4440" s="19" t="s">
        <v>67</v>
      </c>
      <c r="I4440" s="19" t="s">
        <v>114</v>
      </c>
      <c r="J4440" s="20">
        <v>48</v>
      </c>
      <c r="K4440" s="34">
        <v>0</v>
      </c>
      <c r="L4440" s="34">
        <v>1</v>
      </c>
      <c r="M4440" s="19">
        <f>IF(OR(ISBLANK(C4440),C4440=""),"",ROUND((C4440-B4440)*24,2))</f>
        <v>84.7</v>
      </c>
      <c r="N4440" s="39" t="str">
        <f>IF(OR(ISBLANK(C4440),C4440="",M4440=""),"In Progress",IF(M4440&lt;=J4440,"Met","Breached"))</f>
        <v>Breached</v>
      </c>
    </row>
    <row r="4441" ht="19" customHeight="1" spans="1:14" x14ac:dyDescent="0.25">
      <c r="A4441" s="22" t="s">
        <v>4555</v>
      </c>
      <c r="B4441" s="36">
        <v>45690.447222222225</v>
      </c>
      <c r="C4441" s="36">
        <v>45693.21041666667</v>
      </c>
      <c r="D4441" s="22" t="s">
        <v>36</v>
      </c>
      <c r="E4441" s="22" t="s">
        <v>65</v>
      </c>
      <c r="F4441" s="22" t="s">
        <v>40</v>
      </c>
      <c r="G4441" s="22" t="s">
        <v>113</v>
      </c>
      <c r="H4441" s="22" t="s">
        <v>59</v>
      </c>
      <c r="I4441" s="22" t="s">
        <v>108</v>
      </c>
      <c r="J4441" s="23">
        <v>48</v>
      </c>
      <c r="K4441" s="37">
        <v>0</v>
      </c>
      <c r="M4441" s="22">
        <f>IF(OR(ISBLANK(C4441),C4441=""),"",ROUND((C4441-B4441)*24,2))</f>
        <v>66.32</v>
      </c>
      <c r="N4441" s="38" t="str">
        <f>IF(OR(ISBLANK(C4441),C4441="",M4441=""),"In Progress",IF(M4441&lt;=J4441,"Met","Breached"))</f>
        <v>Breached</v>
      </c>
    </row>
    <row r="4442" ht="19" customHeight="1" spans="1:14" x14ac:dyDescent="0.25">
      <c r="A4442" s="19" t="s">
        <v>4556</v>
      </c>
      <c r="B4442" s="33">
        <v>45702.50347222222</v>
      </c>
      <c r="C4442" s="33">
        <v>45706.21736111111</v>
      </c>
      <c r="D4442" s="19" t="s">
        <v>36</v>
      </c>
      <c r="E4442" s="19" t="s">
        <v>69</v>
      </c>
      <c r="F4442" s="19" t="s">
        <v>37</v>
      </c>
      <c r="G4442" s="19" t="s">
        <v>126</v>
      </c>
      <c r="H4442" s="19" t="s">
        <v>63</v>
      </c>
      <c r="I4442" s="19" t="s">
        <v>114</v>
      </c>
      <c r="J4442" s="20">
        <v>120</v>
      </c>
      <c r="K4442" s="34">
        <v>0</v>
      </c>
      <c r="L4442" s="34">
        <v>1</v>
      </c>
      <c r="M4442" s="19">
        <f>IF(OR(ISBLANK(C4442),C4442=""),"",ROUND((C4442-B4442)*24,2))</f>
        <v>89.13</v>
      </c>
      <c r="N4442" s="35" t="str">
        <f>IF(OR(ISBLANK(C4442),C4442="",M4442=""),"In Progress",IF(M4442&lt;=J4442,"Met","Breached"))</f>
        <v>Met</v>
      </c>
    </row>
    <row r="4443" ht="19" customHeight="1" spans="1:14" x14ac:dyDescent="0.25">
      <c r="A4443" s="22" t="s">
        <v>4557</v>
      </c>
      <c r="B4443" s="36">
        <v>45744.631944444445</v>
      </c>
      <c r="D4443" s="22" t="s">
        <v>39</v>
      </c>
      <c r="E4443" s="22" t="s">
        <v>61</v>
      </c>
      <c r="F4443" s="22" t="s">
        <v>45</v>
      </c>
      <c r="G4443" s="22" t="s">
        <v>63</v>
      </c>
      <c r="H4443" s="22" t="s">
        <v>63</v>
      </c>
      <c r="I4443" s="22" t="s">
        <v>108</v>
      </c>
      <c r="J4443" s="23">
        <v>12</v>
      </c>
      <c r="K4443" s="37">
        <v>0</v>
      </c>
      <c r="M4443" s="22" t="str">
        <f>IF(OR(ISBLANK(C4443),C4443=""),"",ROUND((C4443-B4443)*24,2))</f>
        <v/>
      </c>
      <c r="N4443" s="22" t="str">
        <f>IF(OR(ISBLANK(C4443),C4443="",M4443=""),"In Progress",IF(M4443&lt;=J4443,"Met","Breached"))</f>
        <v>In Progress</v>
      </c>
    </row>
    <row r="4444" ht="19" customHeight="1" spans="1:14" x14ac:dyDescent="0.25">
      <c r="A4444" s="19" t="s">
        <v>4558</v>
      </c>
      <c r="B4444" s="33">
        <v>45999.98611111111</v>
      </c>
      <c r="C4444" s="33">
        <v>46006.77013888889</v>
      </c>
      <c r="D4444" s="19" t="s">
        <v>33</v>
      </c>
      <c r="E4444" s="19" t="s">
        <v>69</v>
      </c>
      <c r="F4444" s="19" t="s">
        <v>43</v>
      </c>
      <c r="G4444" s="19" t="s">
        <v>63</v>
      </c>
      <c r="H4444" s="19" t="s">
        <v>63</v>
      </c>
      <c r="I4444" s="19" t="s">
        <v>123</v>
      </c>
      <c r="J4444" s="20">
        <v>120</v>
      </c>
      <c r="K4444" s="34">
        <v>0</v>
      </c>
      <c r="L4444" s="34">
        <v>5</v>
      </c>
      <c r="M4444" s="19">
        <f>IF(OR(ISBLANK(C4444),C4444=""),"",ROUND((C4444-B4444)*24,2))</f>
        <v>162.82</v>
      </c>
      <c r="N4444" s="39" t="str">
        <f>IF(OR(ISBLANK(C4444),C4444="",M4444=""),"In Progress",IF(M4444&lt;=J4444,"Met","Breached"))</f>
        <v>Breached</v>
      </c>
    </row>
    <row r="4445" ht="19" customHeight="1" spans="1:14" x14ac:dyDescent="0.25">
      <c r="A4445" s="22" t="s">
        <v>4559</v>
      </c>
      <c r="B4445" s="36">
        <v>45684.26736111111</v>
      </c>
      <c r="C4445" s="36">
        <v>45684.37638888889</v>
      </c>
      <c r="D4445" s="22" t="s">
        <v>36</v>
      </c>
      <c r="E4445" s="22" t="s">
        <v>57</v>
      </c>
      <c r="F4445" s="22" t="s">
        <v>34</v>
      </c>
      <c r="G4445" s="22" t="s">
        <v>116</v>
      </c>
      <c r="H4445" s="22" t="s">
        <v>67</v>
      </c>
      <c r="I4445" s="22" t="s">
        <v>117</v>
      </c>
      <c r="J4445" s="23">
        <v>4</v>
      </c>
      <c r="K4445" s="37">
        <v>0</v>
      </c>
      <c r="L4445" s="37">
        <v>1</v>
      </c>
      <c r="M4445" s="22">
        <f>IF(OR(ISBLANK(C4445),C4445=""),"",ROUND((C4445-B4445)*24,2))</f>
        <v>2.62</v>
      </c>
      <c r="N4445" s="40" t="str">
        <f>IF(OR(ISBLANK(C4445),C4445="",M4445=""),"In Progress",IF(M4445&lt;=J4445,"Met","Breached"))</f>
        <v>Met</v>
      </c>
    </row>
    <row r="4446" ht="19" customHeight="1" spans="1:14" x14ac:dyDescent="0.25">
      <c r="A4446" s="19" t="s">
        <v>4560</v>
      </c>
      <c r="B4446" s="33">
        <v>46234.07430555555</v>
      </c>
      <c r="C4446" s="33">
        <v>46236.93263888889</v>
      </c>
      <c r="D4446" s="19" t="s">
        <v>33</v>
      </c>
      <c r="E4446" s="19" t="s">
        <v>69</v>
      </c>
      <c r="F4446" s="19" t="s">
        <v>37</v>
      </c>
      <c r="G4446" s="19" t="s">
        <v>126</v>
      </c>
      <c r="H4446" s="19" t="s">
        <v>59</v>
      </c>
      <c r="I4446" s="19" t="s">
        <v>114</v>
      </c>
      <c r="J4446" s="20">
        <v>120</v>
      </c>
      <c r="K4446" s="34">
        <v>0</v>
      </c>
      <c r="L4446" s="34">
        <v>5</v>
      </c>
      <c r="M4446" s="19">
        <f>IF(OR(ISBLANK(C4446),C4446=""),"",ROUND((C4446-B4446)*24,2))</f>
        <v>68.6</v>
      </c>
      <c r="N4446" s="35" t="str">
        <f>IF(OR(ISBLANK(C4446),C4446="",M4446=""),"In Progress",IF(M4446&lt;=J4446,"Met","Breached"))</f>
        <v>Met</v>
      </c>
    </row>
    <row r="4447" ht="19" customHeight="1" spans="1:14" x14ac:dyDescent="0.25">
      <c r="A4447" s="22" t="s">
        <v>4561</v>
      </c>
      <c r="B4447" s="36">
        <v>46250.99722222222</v>
      </c>
      <c r="D4447" s="22" t="s">
        <v>42</v>
      </c>
      <c r="E4447" s="22" t="s">
        <v>61</v>
      </c>
      <c r="F4447" s="22" t="s">
        <v>40</v>
      </c>
      <c r="G4447" s="22" t="s">
        <v>126</v>
      </c>
      <c r="H4447" s="22" t="s">
        <v>63</v>
      </c>
      <c r="I4447" s="22" t="s">
        <v>114</v>
      </c>
      <c r="J4447" s="23">
        <v>12</v>
      </c>
      <c r="K4447" s="37">
        <v>0</v>
      </c>
      <c r="M4447" s="22" t="str">
        <f>IF(OR(ISBLANK(C4447),C4447=""),"",ROUND((C4447-B4447)*24,2))</f>
        <v/>
      </c>
      <c r="N4447" s="22" t="str">
        <f>IF(OR(ISBLANK(C4447),C4447="",M4447=""),"In Progress",IF(M4447&lt;=J4447,"Met","Breached"))</f>
        <v>In Progress</v>
      </c>
    </row>
    <row r="4448" ht="19" customHeight="1" spans="1:14" x14ac:dyDescent="0.25">
      <c r="A4448" s="19" t="s">
        <v>4562</v>
      </c>
      <c r="B4448" s="33">
        <v>45835.794444444444</v>
      </c>
      <c r="D4448" s="19" t="s">
        <v>39</v>
      </c>
      <c r="E4448" s="19" t="s">
        <v>65</v>
      </c>
      <c r="F4448" s="19" t="s">
        <v>43</v>
      </c>
      <c r="G4448" s="19" t="s">
        <v>121</v>
      </c>
      <c r="H4448" s="19" t="s">
        <v>67</v>
      </c>
      <c r="I4448" s="19" t="s">
        <v>114</v>
      </c>
      <c r="J4448" s="20">
        <v>48</v>
      </c>
      <c r="K4448" s="34">
        <v>0</v>
      </c>
      <c r="M4448" s="19" t="str">
        <f>IF(OR(ISBLANK(C4448),C4448=""),"",ROUND((C4448-B4448)*24,2))</f>
        <v/>
      </c>
      <c r="N4448" s="19" t="str">
        <f>IF(OR(ISBLANK(C4448),C4448="",M4448=""),"In Progress",IF(M4448&lt;=J4448,"Met","Breached"))</f>
        <v>In Progress</v>
      </c>
    </row>
    <row r="4449" ht="19" customHeight="1" spans="1:14" x14ac:dyDescent="0.25">
      <c r="A4449" s="22" t="s">
        <v>4563</v>
      </c>
      <c r="B4449" s="36">
        <v>46277.722916666666</v>
      </c>
      <c r="C4449" s="36">
        <v>46278.275</v>
      </c>
      <c r="D4449" s="22" t="s">
        <v>33</v>
      </c>
      <c r="E4449" s="22" t="s">
        <v>61</v>
      </c>
      <c r="F4449" s="22" t="s">
        <v>34</v>
      </c>
      <c r="G4449" s="22" t="s">
        <v>113</v>
      </c>
      <c r="H4449" s="22" t="s">
        <v>59</v>
      </c>
      <c r="I4449" s="22" t="s">
        <v>123</v>
      </c>
      <c r="J4449" s="23">
        <v>12</v>
      </c>
      <c r="K4449" s="37">
        <v>0</v>
      </c>
      <c r="M4449" s="22">
        <f>IF(OR(ISBLANK(C4449),C4449=""),"",ROUND((C4449-B4449)*24,2))</f>
        <v>13.25</v>
      </c>
      <c r="N4449" s="38" t="str">
        <f>IF(OR(ISBLANK(C4449),C4449="",M4449=""),"In Progress",IF(M4449&lt;=J4449,"Met","Breached"))</f>
        <v>Breached</v>
      </c>
    </row>
    <row r="4450" ht="19" customHeight="1" spans="1:14" x14ac:dyDescent="0.25">
      <c r="A4450" s="19" t="s">
        <v>4564</v>
      </c>
      <c r="B4450" s="33">
        <v>46193.38958333334</v>
      </c>
      <c r="C4450" s="33">
        <v>46193.679861111115</v>
      </c>
      <c r="D4450" s="19" t="s">
        <v>33</v>
      </c>
      <c r="E4450" s="19" t="s">
        <v>57</v>
      </c>
      <c r="F4450" s="19" t="s">
        <v>34</v>
      </c>
      <c r="G4450" s="19" t="s">
        <v>126</v>
      </c>
      <c r="H4450" s="19" t="s">
        <v>59</v>
      </c>
      <c r="I4450" s="19" t="s">
        <v>147</v>
      </c>
      <c r="J4450" s="20">
        <v>4</v>
      </c>
      <c r="K4450" s="34">
        <v>0</v>
      </c>
      <c r="L4450" s="34">
        <v>3</v>
      </c>
      <c r="M4450" s="19">
        <f>IF(OR(ISBLANK(C4450),C4450=""),"",ROUND((C4450-B4450)*24,2))</f>
        <v>6.97</v>
      </c>
      <c r="N4450" s="39" t="str">
        <f>IF(OR(ISBLANK(C4450),C4450="",M4450=""),"In Progress",IF(M4450&lt;=J4450,"Met","Breached"))</f>
        <v>Breached</v>
      </c>
    </row>
    <row r="4451" ht="19" customHeight="1" spans="1:14" x14ac:dyDescent="0.25">
      <c r="A4451" s="22" t="s">
        <v>4565</v>
      </c>
      <c r="B4451" s="36">
        <v>46129.28472222222</v>
      </c>
      <c r="C4451" s="36">
        <v>46136.225694444445</v>
      </c>
      <c r="D4451" s="22" t="s">
        <v>33</v>
      </c>
      <c r="E4451" s="22" t="s">
        <v>69</v>
      </c>
      <c r="F4451" s="22" t="s">
        <v>34</v>
      </c>
      <c r="G4451" s="22" t="s">
        <v>113</v>
      </c>
      <c r="H4451" s="22" t="s">
        <v>59</v>
      </c>
      <c r="I4451" s="22" t="s">
        <v>111</v>
      </c>
      <c r="J4451" s="23">
        <v>120</v>
      </c>
      <c r="K4451" s="37">
        <v>0</v>
      </c>
      <c r="L4451" s="37">
        <v>3</v>
      </c>
      <c r="M4451" s="22">
        <f>IF(OR(ISBLANK(C4451),C4451=""),"",ROUND((C4451-B4451)*24,2))</f>
        <v>166.58</v>
      </c>
      <c r="N4451" s="38" t="str">
        <f>IF(OR(ISBLANK(C4451),C4451="",M4451=""),"In Progress",IF(M4451&lt;=J4451,"Met","Breached"))</f>
        <v>Breached</v>
      </c>
    </row>
    <row r="4452" ht="19" customHeight="1" spans="1:14" x14ac:dyDescent="0.25">
      <c r="A4452" s="19" t="s">
        <v>4566</v>
      </c>
      <c r="B4452" s="33">
        <v>46036.46319444444</v>
      </c>
      <c r="C4452" s="33">
        <v>46037.26527777778</v>
      </c>
      <c r="D4452" s="19" t="s">
        <v>36</v>
      </c>
      <c r="E4452" s="19" t="s">
        <v>61</v>
      </c>
      <c r="F4452" s="19" t="s">
        <v>37</v>
      </c>
      <c r="G4452" s="19" t="s">
        <v>63</v>
      </c>
      <c r="H4452" s="19" t="s">
        <v>59</v>
      </c>
      <c r="I4452" s="19" t="s">
        <v>147</v>
      </c>
      <c r="J4452" s="20">
        <v>12</v>
      </c>
      <c r="K4452" s="34">
        <v>0</v>
      </c>
      <c r="M4452" s="19">
        <f>IF(OR(ISBLANK(C4452),C4452=""),"",ROUND((C4452-B4452)*24,2))</f>
        <v>19.25</v>
      </c>
      <c r="N4452" s="39" t="str">
        <f>IF(OR(ISBLANK(C4452),C4452="",M4452=""),"In Progress",IF(M4452&lt;=J4452,"Met","Breached"))</f>
        <v>Breached</v>
      </c>
    </row>
    <row r="4453" ht="19" customHeight="1" spans="1:14" x14ac:dyDescent="0.25">
      <c r="A4453" s="22" t="s">
        <v>4567</v>
      </c>
      <c r="B4453" s="36">
        <v>46024.80972222222</v>
      </c>
      <c r="C4453" s="36">
        <v>46027.59444444445</v>
      </c>
      <c r="D4453" s="22" t="s">
        <v>36</v>
      </c>
      <c r="E4453" s="22" t="s">
        <v>65</v>
      </c>
      <c r="F4453" s="22" t="s">
        <v>40</v>
      </c>
      <c r="G4453" s="22" t="s">
        <v>116</v>
      </c>
      <c r="H4453" s="22" t="s">
        <v>59</v>
      </c>
      <c r="I4453" s="22" t="s">
        <v>108</v>
      </c>
      <c r="J4453" s="23">
        <v>48</v>
      </c>
      <c r="K4453" s="37">
        <v>0</v>
      </c>
      <c r="L4453" s="37">
        <v>2</v>
      </c>
      <c r="M4453" s="22">
        <f>IF(OR(ISBLANK(C4453),C4453=""),"",ROUND((C4453-B4453)*24,2))</f>
        <v>66.83</v>
      </c>
      <c r="N4453" s="38" t="str">
        <f>IF(OR(ISBLANK(C4453),C4453="",M4453=""),"In Progress",IF(M4453&lt;=J4453,"Met","Breached"))</f>
        <v>Breached</v>
      </c>
    </row>
    <row r="4454" ht="19" customHeight="1" spans="1:14" x14ac:dyDescent="0.25">
      <c r="A4454" s="19" t="s">
        <v>4568</v>
      </c>
      <c r="B4454" s="33">
        <v>45892.04236111111</v>
      </c>
      <c r="C4454" s="33">
        <v>45892.31736111111</v>
      </c>
      <c r="D4454" s="19" t="s">
        <v>33</v>
      </c>
      <c r="E4454" s="19" t="s">
        <v>57</v>
      </c>
      <c r="F4454" s="19" t="s">
        <v>40</v>
      </c>
      <c r="G4454" s="19" t="s">
        <v>121</v>
      </c>
      <c r="H4454" s="19" t="s">
        <v>67</v>
      </c>
      <c r="I4454" s="19" t="s">
        <v>147</v>
      </c>
      <c r="J4454" s="20">
        <v>4</v>
      </c>
      <c r="K4454" s="34">
        <v>0</v>
      </c>
      <c r="L4454" s="34">
        <v>3</v>
      </c>
      <c r="M4454" s="19">
        <f>IF(OR(ISBLANK(C4454),C4454=""),"",ROUND((C4454-B4454)*24,2))</f>
        <v>6.6</v>
      </c>
      <c r="N4454" s="39" t="str">
        <f>IF(OR(ISBLANK(C4454),C4454="",M4454=""),"In Progress",IF(M4454&lt;=J4454,"Met","Breached"))</f>
        <v>Breached</v>
      </c>
    </row>
    <row r="4455" ht="19" customHeight="1" spans="1:14" x14ac:dyDescent="0.25">
      <c r="A4455" s="22" t="s">
        <v>4569</v>
      </c>
      <c r="B4455" s="36">
        <v>46084.40069444444</v>
      </c>
      <c r="D4455" s="22" t="s">
        <v>39</v>
      </c>
      <c r="E4455" s="22" t="s">
        <v>65</v>
      </c>
      <c r="F4455" s="22" t="s">
        <v>37</v>
      </c>
      <c r="G4455" s="22" t="s">
        <v>116</v>
      </c>
      <c r="H4455" s="22" t="s">
        <v>71</v>
      </c>
      <c r="I4455" s="22" t="s">
        <v>117</v>
      </c>
      <c r="J4455" s="23">
        <v>48</v>
      </c>
      <c r="K4455" s="37">
        <v>0</v>
      </c>
      <c r="M4455" s="22" t="str">
        <f>IF(OR(ISBLANK(C4455),C4455=""),"",ROUND((C4455-B4455)*24,2))</f>
        <v/>
      </c>
      <c r="N4455" s="22" t="str">
        <f>IF(OR(ISBLANK(C4455),C4455="",M4455=""),"In Progress",IF(M4455&lt;=J4455,"Met","Breached"))</f>
        <v>In Progress</v>
      </c>
    </row>
    <row r="4456" ht="19" customHeight="1" spans="1:14" x14ac:dyDescent="0.25">
      <c r="A4456" s="19" t="s">
        <v>4570</v>
      </c>
      <c r="B4456" s="33">
        <v>45832.30138888889</v>
      </c>
      <c r="C4456" s="33">
        <v>45832.59305555555</v>
      </c>
      <c r="D4456" s="19" t="s">
        <v>33</v>
      </c>
      <c r="E4456" s="19" t="s">
        <v>61</v>
      </c>
      <c r="F4456" s="19" t="s">
        <v>43</v>
      </c>
      <c r="G4456" s="19" t="s">
        <v>63</v>
      </c>
      <c r="H4456" s="19" t="s">
        <v>71</v>
      </c>
      <c r="I4456" s="19" t="s">
        <v>117</v>
      </c>
      <c r="J4456" s="20">
        <v>12</v>
      </c>
      <c r="K4456" s="34">
        <v>0</v>
      </c>
      <c r="L4456" s="34">
        <v>4</v>
      </c>
      <c r="M4456" s="19">
        <f>IF(OR(ISBLANK(C4456),C4456=""),"",ROUND((C4456-B4456)*24,2))</f>
        <v>7</v>
      </c>
      <c r="N4456" s="35" t="str">
        <f>IF(OR(ISBLANK(C4456),C4456="",M4456=""),"In Progress",IF(M4456&lt;=J4456,"Met","Breached"))</f>
        <v>Met</v>
      </c>
    </row>
    <row r="4457" ht="19" customHeight="1" spans="1:14" x14ac:dyDescent="0.25">
      <c r="A4457" s="22" t="s">
        <v>4571</v>
      </c>
      <c r="B4457" s="36">
        <v>46094.48541666666</v>
      </c>
      <c r="C4457" s="36">
        <v>46097.450694444444</v>
      </c>
      <c r="D4457" s="22" t="s">
        <v>33</v>
      </c>
      <c r="E4457" s="22" t="s">
        <v>65</v>
      </c>
      <c r="F4457" s="22" t="s">
        <v>43</v>
      </c>
      <c r="G4457" s="22" t="s">
        <v>113</v>
      </c>
      <c r="H4457" s="22" t="s">
        <v>59</v>
      </c>
      <c r="I4457" s="22" t="s">
        <v>117</v>
      </c>
      <c r="J4457" s="23">
        <v>48</v>
      </c>
      <c r="K4457" s="37">
        <v>0</v>
      </c>
      <c r="M4457" s="22">
        <f>IF(OR(ISBLANK(C4457),C4457=""),"",ROUND((C4457-B4457)*24,2))</f>
        <v>71.17</v>
      </c>
      <c r="N4457" s="38" t="str">
        <f>IF(OR(ISBLANK(C4457),C4457="",M4457=""),"In Progress",IF(M4457&lt;=J4457,"Met","Breached"))</f>
        <v>Breached</v>
      </c>
    </row>
    <row r="4458" ht="19" customHeight="1" spans="1:14" x14ac:dyDescent="0.25">
      <c r="A4458" s="19" t="s">
        <v>4572</v>
      </c>
      <c r="B4458" s="33">
        <v>45962.804861111115</v>
      </c>
      <c r="C4458" s="33">
        <v>45963.71527777778</v>
      </c>
      <c r="D4458" s="19" t="s">
        <v>33</v>
      </c>
      <c r="E4458" s="19" t="s">
        <v>65</v>
      </c>
      <c r="F4458" s="19" t="s">
        <v>45</v>
      </c>
      <c r="G4458" s="19" t="s">
        <v>121</v>
      </c>
      <c r="H4458" s="19" t="s">
        <v>63</v>
      </c>
      <c r="I4458" s="19" t="s">
        <v>111</v>
      </c>
      <c r="J4458" s="20">
        <v>48</v>
      </c>
      <c r="K4458" s="34">
        <v>0</v>
      </c>
      <c r="L4458" s="34">
        <v>5</v>
      </c>
      <c r="M4458" s="19">
        <f>IF(OR(ISBLANK(C4458),C4458=""),"",ROUND((C4458-B4458)*24,2))</f>
        <v>21.85</v>
      </c>
      <c r="N4458" s="35" t="str">
        <f>IF(OR(ISBLANK(C4458),C4458="",M4458=""),"In Progress",IF(M4458&lt;=J4458,"Met","Breached"))</f>
        <v>Met</v>
      </c>
    </row>
    <row r="4459" ht="19" customHeight="1" spans="1:14" x14ac:dyDescent="0.25">
      <c r="A4459" s="22" t="s">
        <v>4573</v>
      </c>
      <c r="B4459" s="36">
        <v>46235.29236111111</v>
      </c>
      <c r="D4459" s="22" t="s">
        <v>39</v>
      </c>
      <c r="E4459" s="22" t="s">
        <v>69</v>
      </c>
      <c r="F4459" s="22" t="s">
        <v>37</v>
      </c>
      <c r="G4459" s="22" t="s">
        <v>63</v>
      </c>
      <c r="H4459" s="22" t="s">
        <v>63</v>
      </c>
      <c r="I4459" s="22" t="s">
        <v>147</v>
      </c>
      <c r="J4459" s="23">
        <v>120</v>
      </c>
      <c r="K4459" s="37">
        <v>0</v>
      </c>
      <c r="M4459" s="22" t="str">
        <f>IF(OR(ISBLANK(C4459),C4459=""),"",ROUND((C4459-B4459)*24,2))</f>
        <v/>
      </c>
      <c r="N4459" s="22" t="str">
        <f>IF(OR(ISBLANK(C4459),C4459="",M4459=""),"In Progress",IF(M4459&lt;=J4459,"Met","Breached"))</f>
        <v>In Progress</v>
      </c>
    </row>
    <row r="4460" ht="19" customHeight="1" spans="1:14" x14ac:dyDescent="0.25">
      <c r="A4460" s="19" t="s">
        <v>4574</v>
      </c>
      <c r="B4460" s="33">
        <v>46047.152083333334</v>
      </c>
      <c r="C4460" s="33">
        <v>46047.58472222222</v>
      </c>
      <c r="D4460" s="19" t="s">
        <v>33</v>
      </c>
      <c r="E4460" s="19" t="s">
        <v>61</v>
      </c>
      <c r="F4460" s="19" t="s">
        <v>40</v>
      </c>
      <c r="G4460" s="19" t="s">
        <v>113</v>
      </c>
      <c r="H4460" s="19" t="s">
        <v>71</v>
      </c>
      <c r="I4460" s="19" t="s">
        <v>123</v>
      </c>
      <c r="J4460" s="20">
        <v>12</v>
      </c>
      <c r="K4460" s="34">
        <v>0</v>
      </c>
      <c r="L4460" s="34">
        <v>1</v>
      </c>
      <c r="M4460" s="19">
        <f>IF(OR(ISBLANK(C4460),C4460=""),"",ROUND((C4460-B4460)*24,2))</f>
        <v>10.38</v>
      </c>
      <c r="N4460" s="35" t="str">
        <f>IF(OR(ISBLANK(C4460),C4460="",M4460=""),"In Progress",IF(M4460&lt;=J4460,"Met","Breached"))</f>
        <v>Met</v>
      </c>
    </row>
    <row r="4461" ht="19" customHeight="1" spans="1:14" x14ac:dyDescent="0.25">
      <c r="A4461" s="22" t="s">
        <v>4575</v>
      </c>
      <c r="B4461" s="36">
        <v>45686.32777777778</v>
      </c>
      <c r="C4461" s="36">
        <v>45686.79305555555</v>
      </c>
      <c r="D4461" s="22" t="s">
        <v>33</v>
      </c>
      <c r="E4461" s="22" t="s">
        <v>61</v>
      </c>
      <c r="F4461" s="22" t="s">
        <v>45</v>
      </c>
      <c r="G4461" s="22" t="s">
        <v>126</v>
      </c>
      <c r="H4461" s="22" t="s">
        <v>59</v>
      </c>
      <c r="I4461" s="22" t="s">
        <v>108</v>
      </c>
      <c r="J4461" s="23">
        <v>12</v>
      </c>
      <c r="K4461" s="37">
        <v>0</v>
      </c>
      <c r="L4461" s="37">
        <v>3</v>
      </c>
      <c r="M4461" s="22">
        <f>IF(OR(ISBLANK(C4461),C4461=""),"",ROUND((C4461-B4461)*24,2))</f>
        <v>11.17</v>
      </c>
      <c r="N4461" s="40" t="str">
        <f>IF(OR(ISBLANK(C4461),C4461="",M4461=""),"In Progress",IF(M4461&lt;=J4461,"Met","Breached"))</f>
        <v>Met</v>
      </c>
    </row>
    <row r="4462" ht="19" customHeight="1" spans="1:14" x14ac:dyDescent="0.25">
      <c r="A4462" s="19" t="s">
        <v>4576</v>
      </c>
      <c r="B4462" s="33">
        <v>46162.804861111115</v>
      </c>
      <c r="D4462" s="19" t="s">
        <v>42</v>
      </c>
      <c r="E4462" s="19" t="s">
        <v>65</v>
      </c>
      <c r="F4462" s="19" t="s">
        <v>34</v>
      </c>
      <c r="G4462" s="19" t="s">
        <v>121</v>
      </c>
      <c r="H4462" s="19" t="s">
        <v>71</v>
      </c>
      <c r="I4462" s="19" t="s">
        <v>147</v>
      </c>
      <c r="J4462" s="20">
        <v>48</v>
      </c>
      <c r="K4462" s="34">
        <v>0</v>
      </c>
      <c r="M4462" s="19" t="str">
        <f>IF(OR(ISBLANK(C4462),C4462=""),"",ROUND((C4462-B4462)*24,2))</f>
        <v/>
      </c>
      <c r="N4462" s="19" t="str">
        <f>IF(OR(ISBLANK(C4462),C4462="",M4462=""),"In Progress",IF(M4462&lt;=J4462,"Met","Breached"))</f>
        <v>In Progress</v>
      </c>
    </row>
    <row r="4463" ht="19" customHeight="1" spans="1:14" x14ac:dyDescent="0.25">
      <c r="A4463" s="22" t="s">
        <v>4577</v>
      </c>
      <c r="B4463" s="36">
        <v>46204.27291666667</v>
      </c>
      <c r="D4463" s="22" t="s">
        <v>39</v>
      </c>
      <c r="E4463" s="22" t="s">
        <v>65</v>
      </c>
      <c r="F4463" s="22" t="s">
        <v>40</v>
      </c>
      <c r="G4463" s="22" t="s">
        <v>63</v>
      </c>
      <c r="H4463" s="22" t="s">
        <v>59</v>
      </c>
      <c r="I4463" s="22" t="s">
        <v>123</v>
      </c>
      <c r="J4463" s="23">
        <v>48</v>
      </c>
      <c r="K4463" s="37">
        <v>0</v>
      </c>
      <c r="M4463" s="22" t="str">
        <f>IF(OR(ISBLANK(C4463),C4463=""),"",ROUND((C4463-B4463)*24,2))</f>
        <v/>
      </c>
      <c r="N4463" s="22" t="str">
        <f>IF(OR(ISBLANK(C4463),C4463="",M4463=""),"In Progress",IF(M4463&lt;=J4463,"Met","Breached"))</f>
        <v>In Progress</v>
      </c>
    </row>
    <row r="4464" ht="19" customHeight="1" spans="1:14" x14ac:dyDescent="0.25">
      <c r="A4464" s="19" t="s">
        <v>4578</v>
      </c>
      <c r="B4464" s="33">
        <v>46164.26388888889</v>
      </c>
      <c r="C4464" s="33">
        <v>46167.39722222222</v>
      </c>
      <c r="D4464" s="19" t="s">
        <v>36</v>
      </c>
      <c r="E4464" s="19" t="s">
        <v>69</v>
      </c>
      <c r="F4464" s="19" t="s">
        <v>34</v>
      </c>
      <c r="G4464" s="19" t="s">
        <v>116</v>
      </c>
      <c r="H4464" s="19" t="s">
        <v>71</v>
      </c>
      <c r="I4464" s="19" t="s">
        <v>147</v>
      </c>
      <c r="J4464" s="20">
        <v>120</v>
      </c>
      <c r="K4464" s="34">
        <v>0</v>
      </c>
      <c r="L4464" s="34">
        <v>5</v>
      </c>
      <c r="M4464" s="19">
        <f>IF(OR(ISBLANK(C4464),C4464=""),"",ROUND((C4464-B4464)*24,2))</f>
        <v>75.2</v>
      </c>
      <c r="N4464" s="35" t="str">
        <f>IF(OR(ISBLANK(C4464),C4464="",M4464=""),"In Progress",IF(M4464&lt;=J4464,"Met","Breached"))</f>
        <v>Met</v>
      </c>
    </row>
    <row r="4465" ht="19" customHeight="1" spans="1:14" x14ac:dyDescent="0.25">
      <c r="A4465" s="22" t="s">
        <v>4579</v>
      </c>
      <c r="B4465" s="36">
        <v>46249.711805555555</v>
      </c>
      <c r="C4465" s="36">
        <v>46249.88888888889</v>
      </c>
      <c r="D4465" s="22" t="s">
        <v>36</v>
      </c>
      <c r="E4465" s="22" t="s">
        <v>61</v>
      </c>
      <c r="F4465" s="22" t="s">
        <v>45</v>
      </c>
      <c r="G4465" s="22" t="s">
        <v>116</v>
      </c>
      <c r="H4465" s="22" t="s">
        <v>59</v>
      </c>
      <c r="I4465" s="22" t="s">
        <v>111</v>
      </c>
      <c r="J4465" s="23">
        <v>12</v>
      </c>
      <c r="K4465" s="37">
        <v>0</v>
      </c>
      <c r="L4465" s="37">
        <v>1</v>
      </c>
      <c r="M4465" s="22">
        <f>IF(OR(ISBLANK(C4465),C4465=""),"",ROUND((C4465-B4465)*24,2))</f>
        <v>4.25</v>
      </c>
      <c r="N4465" s="40" t="str">
        <f>IF(OR(ISBLANK(C4465),C4465="",M4465=""),"In Progress",IF(M4465&lt;=J4465,"Met","Breached"))</f>
        <v>Met</v>
      </c>
    </row>
    <row r="4466" ht="19" customHeight="1" spans="1:14" x14ac:dyDescent="0.25">
      <c r="A4466" s="19" t="s">
        <v>4580</v>
      </c>
      <c r="B4466" s="33">
        <v>45984.91527777778</v>
      </c>
      <c r="C4466" s="33">
        <v>45986.47013888889</v>
      </c>
      <c r="D4466" s="19" t="s">
        <v>33</v>
      </c>
      <c r="E4466" s="19" t="s">
        <v>65</v>
      </c>
      <c r="F4466" s="19" t="s">
        <v>45</v>
      </c>
      <c r="G4466" s="19" t="s">
        <v>116</v>
      </c>
      <c r="H4466" s="19" t="s">
        <v>59</v>
      </c>
      <c r="I4466" s="19" t="s">
        <v>111</v>
      </c>
      <c r="J4466" s="20">
        <v>48</v>
      </c>
      <c r="K4466" s="34">
        <v>0</v>
      </c>
      <c r="L4466" s="34">
        <v>1</v>
      </c>
      <c r="M4466" s="19">
        <f>IF(OR(ISBLANK(C4466),C4466=""),"",ROUND((C4466-B4466)*24,2))</f>
        <v>37.32</v>
      </c>
      <c r="N4466" s="35" t="str">
        <f>IF(OR(ISBLANK(C4466),C4466="",M4466=""),"In Progress",IF(M4466&lt;=J4466,"Met","Breached"))</f>
        <v>Met</v>
      </c>
    </row>
    <row r="4467" ht="19" customHeight="1" spans="1:14" x14ac:dyDescent="0.25">
      <c r="A4467" s="22" t="s">
        <v>4581</v>
      </c>
      <c r="B4467" s="36">
        <v>46072.83125</v>
      </c>
      <c r="C4467" s="36">
        <v>46073.57083333333</v>
      </c>
      <c r="D4467" s="22" t="s">
        <v>33</v>
      </c>
      <c r="E4467" s="22" t="s">
        <v>61</v>
      </c>
      <c r="F4467" s="22" t="s">
        <v>40</v>
      </c>
      <c r="G4467" s="22" t="s">
        <v>116</v>
      </c>
      <c r="H4467" s="22" t="s">
        <v>63</v>
      </c>
      <c r="I4467" s="22" t="s">
        <v>111</v>
      </c>
      <c r="J4467" s="23">
        <v>12</v>
      </c>
      <c r="K4467" s="37">
        <v>0</v>
      </c>
      <c r="L4467" s="37">
        <v>4</v>
      </c>
      <c r="M4467" s="22">
        <f>IF(OR(ISBLANK(C4467),C4467=""),"",ROUND((C4467-B4467)*24,2))</f>
        <v>17.75</v>
      </c>
      <c r="N4467" s="38" t="str">
        <f>IF(OR(ISBLANK(C4467),C4467="",M4467=""),"In Progress",IF(M4467&lt;=J4467,"Met","Breached"))</f>
        <v>Breached</v>
      </c>
    </row>
    <row r="4468" ht="19" customHeight="1" spans="1:14" x14ac:dyDescent="0.25">
      <c r="A4468" s="19" t="s">
        <v>4582</v>
      </c>
      <c r="B4468" s="33">
        <v>45985.356944444444</v>
      </c>
      <c r="C4468" s="33">
        <v>45986.924305555556</v>
      </c>
      <c r="D4468" s="19" t="s">
        <v>36</v>
      </c>
      <c r="E4468" s="19" t="s">
        <v>65</v>
      </c>
      <c r="F4468" s="19" t="s">
        <v>34</v>
      </c>
      <c r="G4468" s="19" t="s">
        <v>63</v>
      </c>
      <c r="H4468" s="19" t="s">
        <v>63</v>
      </c>
      <c r="I4468" s="19" t="s">
        <v>108</v>
      </c>
      <c r="J4468" s="20">
        <v>48</v>
      </c>
      <c r="K4468" s="34">
        <v>0</v>
      </c>
      <c r="L4468" s="34">
        <v>3</v>
      </c>
      <c r="M4468" s="19">
        <f>IF(OR(ISBLANK(C4468),C4468=""),"",ROUND((C4468-B4468)*24,2))</f>
        <v>37.62</v>
      </c>
      <c r="N4468" s="35" t="str">
        <f>IF(OR(ISBLANK(C4468),C4468="",M4468=""),"In Progress",IF(M4468&lt;=J4468,"Met","Breached"))</f>
        <v>Met</v>
      </c>
    </row>
    <row r="4469" ht="19" customHeight="1" spans="1:14" x14ac:dyDescent="0.25">
      <c r="A4469" s="22" t="s">
        <v>4583</v>
      </c>
      <c r="B4469" s="36">
        <v>45958.825</v>
      </c>
      <c r="D4469" s="22" t="s">
        <v>39</v>
      </c>
      <c r="E4469" s="22" t="s">
        <v>65</v>
      </c>
      <c r="F4469" s="22" t="s">
        <v>45</v>
      </c>
      <c r="G4469" s="22" t="s">
        <v>63</v>
      </c>
      <c r="H4469" s="22" t="s">
        <v>59</v>
      </c>
      <c r="I4469" s="22" t="s">
        <v>117</v>
      </c>
      <c r="J4469" s="23">
        <v>48</v>
      </c>
      <c r="K4469" s="37">
        <v>0</v>
      </c>
      <c r="M4469" s="22" t="str">
        <f>IF(OR(ISBLANK(C4469),C4469=""),"",ROUND((C4469-B4469)*24,2))</f>
        <v/>
      </c>
      <c r="N4469" s="22" t="str">
        <f>IF(OR(ISBLANK(C4469),C4469="",M4469=""),"In Progress",IF(M4469&lt;=J4469,"Met","Breached"))</f>
        <v>In Progress</v>
      </c>
    </row>
    <row r="4470" ht="19" customHeight="1" spans="1:14" x14ac:dyDescent="0.25">
      <c r="A4470" s="19" t="s">
        <v>4584</v>
      </c>
      <c r="B4470" s="33">
        <v>45670.58819444444</v>
      </c>
      <c r="D4470" s="19" t="s">
        <v>39</v>
      </c>
      <c r="E4470" s="19" t="s">
        <v>65</v>
      </c>
      <c r="F4470" s="19" t="s">
        <v>45</v>
      </c>
      <c r="G4470" s="19" t="s">
        <v>121</v>
      </c>
      <c r="H4470" s="19" t="s">
        <v>63</v>
      </c>
      <c r="I4470" s="19" t="s">
        <v>111</v>
      </c>
      <c r="J4470" s="20">
        <v>48</v>
      </c>
      <c r="K4470" s="34">
        <v>0</v>
      </c>
      <c r="M4470" s="19" t="str">
        <f>IF(OR(ISBLANK(C4470),C4470=""),"",ROUND((C4470-B4470)*24,2))</f>
        <v/>
      </c>
      <c r="N4470" s="19" t="str">
        <f>IF(OR(ISBLANK(C4470),C4470="",M4470=""),"In Progress",IF(M4470&lt;=J4470,"Met","Breached"))</f>
        <v>In Progress</v>
      </c>
    </row>
    <row r="4471" ht="19" customHeight="1" spans="1:14" x14ac:dyDescent="0.25">
      <c r="A4471" s="22" t="s">
        <v>4585</v>
      </c>
      <c r="B4471" s="36">
        <v>45785.69791666667</v>
      </c>
      <c r="C4471" s="36">
        <v>45788.736805555556</v>
      </c>
      <c r="D4471" s="22" t="s">
        <v>33</v>
      </c>
      <c r="E4471" s="22" t="s">
        <v>65</v>
      </c>
      <c r="F4471" s="22" t="s">
        <v>45</v>
      </c>
      <c r="G4471" s="22" t="s">
        <v>63</v>
      </c>
      <c r="H4471" s="22" t="s">
        <v>67</v>
      </c>
      <c r="I4471" s="22" t="s">
        <v>108</v>
      </c>
      <c r="J4471" s="23">
        <v>48</v>
      </c>
      <c r="K4471" s="37">
        <v>0</v>
      </c>
      <c r="L4471" s="37">
        <v>3</v>
      </c>
      <c r="M4471" s="22">
        <f>IF(OR(ISBLANK(C4471),C4471=""),"",ROUND((C4471-B4471)*24,2))</f>
        <v>72.93</v>
      </c>
      <c r="N4471" s="38" t="str">
        <f>IF(OR(ISBLANK(C4471),C4471="",M4471=""),"In Progress",IF(M4471&lt;=J4471,"Met","Breached"))</f>
        <v>Breached</v>
      </c>
    </row>
    <row r="4472" ht="19" customHeight="1" spans="1:14" x14ac:dyDescent="0.25">
      <c r="A4472" s="19" t="s">
        <v>4586</v>
      </c>
      <c r="B4472" s="33">
        <v>45738.36388888889</v>
      </c>
      <c r="D4472" s="19" t="s">
        <v>42</v>
      </c>
      <c r="E4472" s="19" t="s">
        <v>65</v>
      </c>
      <c r="F4472" s="19" t="s">
        <v>34</v>
      </c>
      <c r="G4472" s="19" t="s">
        <v>121</v>
      </c>
      <c r="H4472" s="19" t="s">
        <v>63</v>
      </c>
      <c r="I4472" s="19" t="s">
        <v>123</v>
      </c>
      <c r="J4472" s="20">
        <v>48</v>
      </c>
      <c r="K4472" s="34">
        <v>0</v>
      </c>
      <c r="M4472" s="19" t="str">
        <f>IF(OR(ISBLANK(C4472),C4472=""),"",ROUND((C4472-B4472)*24,2))</f>
        <v/>
      </c>
      <c r="N4472" s="19" t="str">
        <f>IF(OR(ISBLANK(C4472),C4472="",M4472=""),"In Progress",IF(M4472&lt;=J4472,"Met","Breached"))</f>
        <v>In Progress</v>
      </c>
    </row>
    <row r="4473" ht="19" customHeight="1" spans="1:14" x14ac:dyDescent="0.25">
      <c r="A4473" s="22" t="s">
        <v>4587</v>
      </c>
      <c r="B4473" s="36">
        <v>45721.3375</v>
      </c>
      <c r="C4473" s="36">
        <v>45722.87638888889</v>
      </c>
      <c r="D4473" s="22" t="s">
        <v>33</v>
      </c>
      <c r="E4473" s="22" t="s">
        <v>65</v>
      </c>
      <c r="F4473" s="22" t="s">
        <v>45</v>
      </c>
      <c r="G4473" s="22" t="s">
        <v>116</v>
      </c>
      <c r="H4473" s="22" t="s">
        <v>63</v>
      </c>
      <c r="I4473" s="22" t="s">
        <v>123</v>
      </c>
      <c r="J4473" s="23">
        <v>48</v>
      </c>
      <c r="K4473" s="37">
        <v>0</v>
      </c>
      <c r="L4473" s="37">
        <v>4</v>
      </c>
      <c r="M4473" s="22">
        <f>IF(OR(ISBLANK(C4473),C4473=""),"",ROUND((C4473-B4473)*24,2))</f>
        <v>36.93</v>
      </c>
      <c r="N4473" s="40" t="str">
        <f>IF(OR(ISBLANK(C4473),C4473="",M4473=""),"In Progress",IF(M4473&lt;=J4473,"Met","Breached"))</f>
        <v>Met</v>
      </c>
    </row>
    <row r="4474" ht="19" customHeight="1" spans="1:14" x14ac:dyDescent="0.25">
      <c r="A4474" s="19" t="s">
        <v>4588</v>
      </c>
      <c r="B4474" s="33">
        <v>46023.46319444444</v>
      </c>
      <c r="C4474" s="33">
        <v>46031.95763888889</v>
      </c>
      <c r="D4474" s="19" t="s">
        <v>33</v>
      </c>
      <c r="E4474" s="19" t="s">
        <v>69</v>
      </c>
      <c r="F4474" s="19" t="s">
        <v>43</v>
      </c>
      <c r="G4474" s="19" t="s">
        <v>121</v>
      </c>
      <c r="H4474" s="19" t="s">
        <v>63</v>
      </c>
      <c r="I4474" s="19" t="s">
        <v>108</v>
      </c>
      <c r="J4474" s="20">
        <v>120</v>
      </c>
      <c r="K4474" s="34">
        <v>0</v>
      </c>
      <c r="M4474" s="19">
        <f>IF(OR(ISBLANK(C4474),C4474=""),"",ROUND((C4474-B4474)*24,2))</f>
        <v>203.87</v>
      </c>
      <c r="N4474" s="39" t="str">
        <f>IF(OR(ISBLANK(C4474),C4474="",M4474=""),"In Progress",IF(M4474&lt;=J4474,"Met","Breached"))</f>
        <v>Breached</v>
      </c>
    </row>
    <row r="4475" ht="19" customHeight="1" spans="1:14" x14ac:dyDescent="0.25">
      <c r="A4475" s="22" t="s">
        <v>4589</v>
      </c>
      <c r="B4475" s="36">
        <v>45751.70138888889</v>
      </c>
      <c r="C4475" s="36">
        <v>45752.10763888889</v>
      </c>
      <c r="D4475" s="22" t="s">
        <v>33</v>
      </c>
      <c r="E4475" s="22" t="s">
        <v>61</v>
      </c>
      <c r="F4475" s="22" t="s">
        <v>37</v>
      </c>
      <c r="G4475" s="22" t="s">
        <v>116</v>
      </c>
      <c r="H4475" s="22" t="s">
        <v>67</v>
      </c>
      <c r="I4475" s="22" t="s">
        <v>114</v>
      </c>
      <c r="J4475" s="23">
        <v>12</v>
      </c>
      <c r="K4475" s="37">
        <v>0</v>
      </c>
      <c r="L4475" s="37">
        <v>3</v>
      </c>
      <c r="M4475" s="22">
        <f>IF(OR(ISBLANK(C4475),C4475=""),"",ROUND((C4475-B4475)*24,2))</f>
        <v>9.75</v>
      </c>
      <c r="N4475" s="40" t="str">
        <f>IF(OR(ISBLANK(C4475),C4475="",M4475=""),"In Progress",IF(M4475&lt;=J4475,"Met","Breached"))</f>
        <v>Met</v>
      </c>
    </row>
    <row r="4476" ht="19" customHeight="1" spans="1:14" x14ac:dyDescent="0.25">
      <c r="A4476" s="19" t="s">
        <v>4590</v>
      </c>
      <c r="B4476" s="33">
        <v>46153.851388888885</v>
      </c>
      <c r="C4476" s="33">
        <v>46155.044444444444</v>
      </c>
      <c r="D4476" s="19" t="s">
        <v>33</v>
      </c>
      <c r="E4476" s="19" t="s">
        <v>65</v>
      </c>
      <c r="F4476" s="19" t="s">
        <v>37</v>
      </c>
      <c r="G4476" s="19" t="s">
        <v>126</v>
      </c>
      <c r="H4476" s="19" t="s">
        <v>71</v>
      </c>
      <c r="I4476" s="19" t="s">
        <v>117</v>
      </c>
      <c r="J4476" s="20">
        <v>48</v>
      </c>
      <c r="K4476" s="34">
        <v>0</v>
      </c>
      <c r="L4476" s="34">
        <v>4</v>
      </c>
      <c r="M4476" s="19">
        <f>IF(OR(ISBLANK(C4476),C4476=""),"",ROUND((C4476-B4476)*24,2))</f>
        <v>28.63</v>
      </c>
      <c r="N4476" s="35" t="str">
        <f>IF(OR(ISBLANK(C4476),C4476="",M4476=""),"In Progress",IF(M4476&lt;=J4476,"Met","Breached"))</f>
        <v>Met</v>
      </c>
    </row>
    <row r="4477" ht="19" customHeight="1" spans="1:14" x14ac:dyDescent="0.25">
      <c r="A4477" s="22" t="s">
        <v>4591</v>
      </c>
      <c r="B4477" s="36">
        <v>46098.399305555555</v>
      </c>
      <c r="C4477" s="36">
        <v>46100.95347222222</v>
      </c>
      <c r="D4477" s="22" t="s">
        <v>33</v>
      </c>
      <c r="E4477" s="22" t="s">
        <v>65</v>
      </c>
      <c r="F4477" s="22" t="s">
        <v>37</v>
      </c>
      <c r="G4477" s="22" t="s">
        <v>110</v>
      </c>
      <c r="H4477" s="22" t="s">
        <v>59</v>
      </c>
      <c r="I4477" s="22" t="s">
        <v>108</v>
      </c>
      <c r="J4477" s="23">
        <v>48</v>
      </c>
      <c r="K4477" s="37">
        <v>0</v>
      </c>
      <c r="L4477" s="37">
        <v>5</v>
      </c>
      <c r="M4477" s="22">
        <f>IF(OR(ISBLANK(C4477),C4477=""),"",ROUND((C4477-B4477)*24,2))</f>
        <v>61.3</v>
      </c>
      <c r="N4477" s="38" t="str">
        <f>IF(OR(ISBLANK(C4477),C4477="",M4477=""),"In Progress",IF(M4477&lt;=J4477,"Met","Breached"))</f>
        <v>Breached</v>
      </c>
    </row>
    <row r="4478" ht="19" customHeight="1" spans="1:14" x14ac:dyDescent="0.25">
      <c r="A4478" s="19" t="s">
        <v>4592</v>
      </c>
      <c r="B4478" s="33">
        <v>45735.31041666667</v>
      </c>
      <c r="D4478" s="19" t="s">
        <v>39</v>
      </c>
      <c r="E4478" s="19" t="s">
        <v>61</v>
      </c>
      <c r="F4478" s="19" t="s">
        <v>45</v>
      </c>
      <c r="G4478" s="19" t="s">
        <v>113</v>
      </c>
      <c r="H4478" s="19" t="s">
        <v>71</v>
      </c>
      <c r="I4478" s="19" t="s">
        <v>123</v>
      </c>
      <c r="J4478" s="20">
        <v>12</v>
      </c>
      <c r="K4478" s="34">
        <v>0</v>
      </c>
      <c r="M4478" s="19" t="str">
        <f>IF(OR(ISBLANK(C4478),C4478=""),"",ROUND((C4478-B4478)*24,2))</f>
        <v/>
      </c>
      <c r="N4478" s="19" t="str">
        <f>IF(OR(ISBLANK(C4478),C4478="",M4478=""),"In Progress",IF(M4478&lt;=J4478,"Met","Breached"))</f>
        <v>In Progress</v>
      </c>
    </row>
    <row r="4479" ht="19" customHeight="1" spans="1:14" x14ac:dyDescent="0.25">
      <c r="A4479" s="22" t="s">
        <v>4593</v>
      </c>
      <c r="B4479" s="36">
        <v>45783.57361111111</v>
      </c>
      <c r="C4479" s="36">
        <v>45786.90902777778</v>
      </c>
      <c r="D4479" s="22" t="s">
        <v>36</v>
      </c>
      <c r="E4479" s="22" t="s">
        <v>69</v>
      </c>
      <c r="F4479" s="22" t="s">
        <v>37</v>
      </c>
      <c r="G4479" s="22" t="s">
        <v>126</v>
      </c>
      <c r="H4479" s="22" t="s">
        <v>63</v>
      </c>
      <c r="I4479" s="22" t="s">
        <v>123</v>
      </c>
      <c r="J4479" s="23">
        <v>120</v>
      </c>
      <c r="K4479" s="37">
        <v>0</v>
      </c>
      <c r="L4479" s="37">
        <v>1</v>
      </c>
      <c r="M4479" s="22">
        <f>IF(OR(ISBLANK(C4479),C4479=""),"",ROUND((C4479-B4479)*24,2))</f>
        <v>80.05</v>
      </c>
      <c r="N4479" s="40" t="str">
        <f>IF(OR(ISBLANK(C4479),C4479="",M4479=""),"In Progress",IF(M4479&lt;=J4479,"Met","Breached"))</f>
        <v>Met</v>
      </c>
    </row>
    <row r="4480" ht="19" customHeight="1" spans="1:14" x14ac:dyDescent="0.25">
      <c r="A4480" s="19" t="s">
        <v>4594</v>
      </c>
      <c r="B4480" s="33">
        <v>45764.27222222222</v>
      </c>
      <c r="C4480" s="33">
        <v>45765.31805555556</v>
      </c>
      <c r="D4480" s="19" t="s">
        <v>33</v>
      </c>
      <c r="E4480" s="19" t="s">
        <v>65</v>
      </c>
      <c r="F4480" s="19" t="s">
        <v>37</v>
      </c>
      <c r="G4480" s="19" t="s">
        <v>113</v>
      </c>
      <c r="H4480" s="19" t="s">
        <v>71</v>
      </c>
      <c r="I4480" s="19" t="s">
        <v>111</v>
      </c>
      <c r="J4480" s="20">
        <v>48</v>
      </c>
      <c r="K4480" s="34">
        <v>0</v>
      </c>
      <c r="L4480" s="34">
        <v>2</v>
      </c>
      <c r="M4480" s="19">
        <f>IF(OR(ISBLANK(C4480),C4480=""),"",ROUND((C4480-B4480)*24,2))</f>
        <v>25.1</v>
      </c>
      <c r="N4480" s="35" t="str">
        <f>IF(OR(ISBLANK(C4480),C4480="",M4480=""),"In Progress",IF(M4480&lt;=J4480,"Met","Breached"))</f>
        <v>Met</v>
      </c>
    </row>
    <row r="4481" ht="19" customHeight="1" spans="1:14" x14ac:dyDescent="0.25">
      <c r="A4481" s="22" t="s">
        <v>4595</v>
      </c>
      <c r="B4481" s="36">
        <v>45822.21944444445</v>
      </c>
      <c r="C4481" s="36">
        <v>45822.825694444444</v>
      </c>
      <c r="D4481" s="22" t="s">
        <v>36</v>
      </c>
      <c r="E4481" s="22" t="s">
        <v>61</v>
      </c>
      <c r="F4481" s="22" t="s">
        <v>45</v>
      </c>
      <c r="G4481" s="22" t="s">
        <v>116</v>
      </c>
      <c r="H4481" s="22" t="s">
        <v>63</v>
      </c>
      <c r="I4481" s="22" t="s">
        <v>147</v>
      </c>
      <c r="J4481" s="23">
        <v>12</v>
      </c>
      <c r="K4481" s="37">
        <v>0</v>
      </c>
      <c r="L4481" s="37">
        <v>1</v>
      </c>
      <c r="M4481" s="22">
        <f>IF(OR(ISBLANK(C4481),C4481=""),"",ROUND((C4481-B4481)*24,2))</f>
        <v>14.55</v>
      </c>
      <c r="N4481" s="38" t="str">
        <f>IF(OR(ISBLANK(C4481),C4481="",M4481=""),"In Progress",IF(M4481&lt;=J4481,"Met","Breached"))</f>
        <v>Breached</v>
      </c>
    </row>
    <row r="4482" ht="19" customHeight="1" spans="1:14" x14ac:dyDescent="0.25">
      <c r="A4482" s="19" t="s">
        <v>4596</v>
      </c>
      <c r="B4482" s="33">
        <v>45801.65416666667</v>
      </c>
      <c r="C4482" s="33">
        <v>45802.16875</v>
      </c>
      <c r="D4482" s="19" t="s">
        <v>33</v>
      </c>
      <c r="E4482" s="19" t="s">
        <v>61</v>
      </c>
      <c r="F4482" s="19" t="s">
        <v>45</v>
      </c>
      <c r="G4482" s="19" t="s">
        <v>121</v>
      </c>
      <c r="H4482" s="19" t="s">
        <v>63</v>
      </c>
      <c r="I4482" s="19" t="s">
        <v>117</v>
      </c>
      <c r="J4482" s="20">
        <v>12</v>
      </c>
      <c r="K4482" s="34">
        <v>0</v>
      </c>
      <c r="L4482" s="34">
        <v>5</v>
      </c>
      <c r="M4482" s="19">
        <f>IF(OR(ISBLANK(C4482),C4482=""),"",ROUND((C4482-B4482)*24,2))</f>
        <v>12.35</v>
      </c>
      <c r="N4482" s="39" t="str">
        <f>IF(OR(ISBLANK(C4482),C4482="",M4482=""),"In Progress",IF(M4482&lt;=J4482,"Met","Breached"))</f>
        <v>Breached</v>
      </c>
    </row>
    <row r="4483" ht="19" customHeight="1" spans="1:14" x14ac:dyDescent="0.25">
      <c r="A4483" s="22" t="s">
        <v>4597</v>
      </c>
      <c r="B4483" s="36">
        <v>46010.12013888889</v>
      </c>
      <c r="C4483" s="36">
        <v>46011.652083333334</v>
      </c>
      <c r="D4483" s="22" t="s">
        <v>33</v>
      </c>
      <c r="E4483" s="22" t="s">
        <v>65</v>
      </c>
      <c r="F4483" s="22" t="s">
        <v>37</v>
      </c>
      <c r="G4483" s="22" t="s">
        <v>121</v>
      </c>
      <c r="H4483" s="22" t="s">
        <v>67</v>
      </c>
      <c r="I4483" s="22" t="s">
        <v>108</v>
      </c>
      <c r="J4483" s="23">
        <v>48</v>
      </c>
      <c r="K4483" s="37">
        <v>0</v>
      </c>
      <c r="L4483" s="37">
        <v>1</v>
      </c>
      <c r="M4483" s="22">
        <f>IF(OR(ISBLANK(C4483),C4483=""),"",ROUND((C4483-B4483)*24,2))</f>
        <v>36.77</v>
      </c>
      <c r="N4483" s="40" t="str">
        <f>IF(OR(ISBLANK(C4483),C4483="",M4483=""),"In Progress",IF(M4483&lt;=J4483,"Met","Breached"))</f>
        <v>Met</v>
      </c>
    </row>
    <row r="4484" ht="19" customHeight="1" spans="1:14" x14ac:dyDescent="0.25">
      <c r="A4484" s="19" t="s">
        <v>4598</v>
      </c>
      <c r="B4484" s="33">
        <v>46154.39097222222</v>
      </c>
      <c r="C4484" s="33">
        <v>46163.27569444444</v>
      </c>
      <c r="D4484" s="19" t="s">
        <v>36</v>
      </c>
      <c r="E4484" s="19" t="s">
        <v>69</v>
      </c>
      <c r="F4484" s="19" t="s">
        <v>34</v>
      </c>
      <c r="G4484" s="19" t="s">
        <v>110</v>
      </c>
      <c r="H4484" s="19" t="s">
        <v>63</v>
      </c>
      <c r="I4484" s="19" t="s">
        <v>147</v>
      </c>
      <c r="J4484" s="20">
        <v>120</v>
      </c>
      <c r="K4484" s="34">
        <v>1</v>
      </c>
      <c r="M4484" s="19">
        <f>IF(OR(ISBLANK(C4484),C4484=""),"",ROUND((C4484-B4484)*24,2))</f>
        <v>213.23</v>
      </c>
      <c r="N4484" s="39" t="str">
        <f>IF(OR(ISBLANK(C4484),C4484="",M4484=""),"In Progress",IF(M4484&lt;=J4484,"Met","Breached"))</f>
        <v>Breached</v>
      </c>
    </row>
    <row r="4485" ht="19" customHeight="1" spans="1:14" x14ac:dyDescent="0.25">
      <c r="A4485" s="22" t="s">
        <v>4599</v>
      </c>
      <c r="B4485" s="36">
        <v>45683.45694444445</v>
      </c>
      <c r="C4485" s="36">
        <v>45687.209027777775</v>
      </c>
      <c r="D4485" s="22" t="s">
        <v>36</v>
      </c>
      <c r="E4485" s="22" t="s">
        <v>69</v>
      </c>
      <c r="F4485" s="22" t="s">
        <v>34</v>
      </c>
      <c r="G4485" s="22" t="s">
        <v>126</v>
      </c>
      <c r="H4485" s="22" t="s">
        <v>67</v>
      </c>
      <c r="I4485" s="22" t="s">
        <v>147</v>
      </c>
      <c r="J4485" s="23">
        <v>120</v>
      </c>
      <c r="K4485" s="37">
        <v>0</v>
      </c>
      <c r="M4485" s="22">
        <f>IF(OR(ISBLANK(C4485),C4485=""),"",ROUND((C4485-B4485)*24,2))</f>
        <v>90.05</v>
      </c>
      <c r="N4485" s="40" t="str">
        <f>IF(OR(ISBLANK(C4485),C4485="",M4485=""),"In Progress",IF(M4485&lt;=J4485,"Met","Breached"))</f>
        <v>Met</v>
      </c>
    </row>
    <row r="4486" ht="19" customHeight="1" spans="1:14" x14ac:dyDescent="0.25">
      <c r="A4486" s="19" t="s">
        <v>4600</v>
      </c>
      <c r="B4486" s="33">
        <v>45753.15625</v>
      </c>
      <c r="D4486" s="19" t="s">
        <v>42</v>
      </c>
      <c r="E4486" s="19" t="s">
        <v>65</v>
      </c>
      <c r="F4486" s="19" t="s">
        <v>45</v>
      </c>
      <c r="G4486" s="19" t="s">
        <v>116</v>
      </c>
      <c r="H4486" s="19" t="s">
        <v>71</v>
      </c>
      <c r="I4486" s="19" t="s">
        <v>117</v>
      </c>
      <c r="J4486" s="20">
        <v>48</v>
      </c>
      <c r="K4486" s="34">
        <v>0</v>
      </c>
      <c r="M4486" s="19" t="str">
        <f>IF(OR(ISBLANK(C4486),C4486=""),"",ROUND((C4486-B4486)*24,2))</f>
        <v/>
      </c>
      <c r="N4486" s="19" t="str">
        <f>IF(OR(ISBLANK(C4486),C4486="",M4486=""),"In Progress",IF(M4486&lt;=J4486,"Met","Breached"))</f>
        <v>In Progress</v>
      </c>
    </row>
    <row r="4487" ht="19" customHeight="1" spans="1:14" x14ac:dyDescent="0.25">
      <c r="A4487" s="22" t="s">
        <v>4601</v>
      </c>
      <c r="B4487" s="36">
        <v>45781.81527777778</v>
      </c>
      <c r="D4487" s="22" t="s">
        <v>39</v>
      </c>
      <c r="E4487" s="22" t="s">
        <v>61</v>
      </c>
      <c r="F4487" s="22" t="s">
        <v>34</v>
      </c>
      <c r="G4487" s="22" t="s">
        <v>63</v>
      </c>
      <c r="H4487" s="22" t="s">
        <v>59</v>
      </c>
      <c r="I4487" s="22" t="s">
        <v>114</v>
      </c>
      <c r="J4487" s="23">
        <v>12</v>
      </c>
      <c r="K4487" s="37">
        <v>0</v>
      </c>
      <c r="M4487" s="22" t="str">
        <f>IF(OR(ISBLANK(C4487),C4487=""),"",ROUND((C4487-B4487)*24,2))</f>
        <v/>
      </c>
      <c r="N4487" s="22" t="str">
        <f>IF(OR(ISBLANK(C4487),C4487="",M4487=""),"In Progress",IF(M4487&lt;=J4487,"Met","Breached"))</f>
        <v>In Progress</v>
      </c>
    </row>
    <row r="4488" ht="19" customHeight="1" spans="1:14" x14ac:dyDescent="0.25">
      <c r="A4488" s="19" t="s">
        <v>4602</v>
      </c>
      <c r="B4488" s="33">
        <v>46211.70347222222</v>
      </c>
      <c r="D4488" s="19" t="s">
        <v>39</v>
      </c>
      <c r="E4488" s="19" t="s">
        <v>69</v>
      </c>
      <c r="F4488" s="19" t="s">
        <v>34</v>
      </c>
      <c r="G4488" s="19" t="s">
        <v>110</v>
      </c>
      <c r="H4488" s="19" t="s">
        <v>67</v>
      </c>
      <c r="I4488" s="19" t="s">
        <v>111</v>
      </c>
      <c r="J4488" s="20">
        <v>120</v>
      </c>
      <c r="K4488" s="34">
        <v>0</v>
      </c>
      <c r="M4488" s="19" t="str">
        <f>IF(OR(ISBLANK(C4488),C4488=""),"",ROUND((C4488-B4488)*24,2))</f>
        <v/>
      </c>
      <c r="N4488" s="19" t="str">
        <f>IF(OR(ISBLANK(C4488),C4488="",M4488=""),"In Progress",IF(M4488&lt;=J4488,"Met","Breached"))</f>
        <v>In Progress</v>
      </c>
    </row>
    <row r="4489" ht="19" customHeight="1" spans="1:14" x14ac:dyDescent="0.25">
      <c r="A4489" s="22" t="s">
        <v>4603</v>
      </c>
      <c r="B4489" s="36">
        <v>46078.85902777778</v>
      </c>
      <c r="C4489" s="36">
        <v>46078.96666666667</v>
      </c>
      <c r="D4489" s="22" t="s">
        <v>33</v>
      </c>
      <c r="E4489" s="22" t="s">
        <v>57</v>
      </c>
      <c r="F4489" s="22" t="s">
        <v>43</v>
      </c>
      <c r="G4489" s="22" t="s">
        <v>121</v>
      </c>
      <c r="H4489" s="22" t="s">
        <v>63</v>
      </c>
      <c r="I4489" s="22" t="s">
        <v>111</v>
      </c>
      <c r="J4489" s="23">
        <v>4</v>
      </c>
      <c r="K4489" s="37">
        <v>0</v>
      </c>
      <c r="M4489" s="22">
        <f>IF(OR(ISBLANK(C4489),C4489=""),"",ROUND((C4489-B4489)*24,2))</f>
        <v>2.58</v>
      </c>
      <c r="N4489" s="40" t="str">
        <f>IF(OR(ISBLANK(C4489),C4489="",M4489=""),"In Progress",IF(M4489&lt;=J4489,"Met","Breached"))</f>
        <v>Met</v>
      </c>
    </row>
    <row r="4490" ht="19" customHeight="1" spans="1:14" x14ac:dyDescent="0.25">
      <c r="A4490" s="19" t="s">
        <v>4604</v>
      </c>
      <c r="B4490" s="33">
        <v>45975.61875</v>
      </c>
      <c r="C4490" s="33">
        <v>45977.38541666667</v>
      </c>
      <c r="D4490" s="19" t="s">
        <v>33</v>
      </c>
      <c r="E4490" s="19" t="s">
        <v>65</v>
      </c>
      <c r="F4490" s="19" t="s">
        <v>40</v>
      </c>
      <c r="G4490" s="19" t="s">
        <v>116</v>
      </c>
      <c r="H4490" s="19" t="s">
        <v>63</v>
      </c>
      <c r="I4490" s="19" t="s">
        <v>111</v>
      </c>
      <c r="J4490" s="20">
        <v>48</v>
      </c>
      <c r="K4490" s="34">
        <v>0</v>
      </c>
      <c r="L4490" s="34">
        <v>5</v>
      </c>
      <c r="M4490" s="19">
        <f>IF(OR(ISBLANK(C4490),C4490=""),"",ROUND((C4490-B4490)*24,2))</f>
        <v>42.4</v>
      </c>
      <c r="N4490" s="35" t="str">
        <f>IF(OR(ISBLANK(C4490),C4490="",M4490=""),"In Progress",IF(M4490&lt;=J4490,"Met","Breached"))</f>
        <v>Met</v>
      </c>
    </row>
    <row r="4491" ht="19" customHeight="1" spans="1:14" x14ac:dyDescent="0.25">
      <c r="A4491" s="22" t="s">
        <v>4605</v>
      </c>
      <c r="B4491" s="36">
        <v>45932.518055555556</v>
      </c>
      <c r="C4491" s="36">
        <v>45932.74444444444</v>
      </c>
      <c r="D4491" s="22" t="s">
        <v>36</v>
      </c>
      <c r="E4491" s="22" t="s">
        <v>61</v>
      </c>
      <c r="F4491" s="22" t="s">
        <v>34</v>
      </c>
      <c r="G4491" s="22" t="s">
        <v>113</v>
      </c>
      <c r="H4491" s="22" t="s">
        <v>59</v>
      </c>
      <c r="I4491" s="22" t="s">
        <v>114</v>
      </c>
      <c r="J4491" s="23">
        <v>12</v>
      </c>
      <c r="K4491" s="37">
        <v>0</v>
      </c>
      <c r="M4491" s="22">
        <f>IF(OR(ISBLANK(C4491),C4491=""),"",ROUND((C4491-B4491)*24,2))</f>
        <v>5.43</v>
      </c>
      <c r="N4491" s="40" t="str">
        <f>IF(OR(ISBLANK(C4491),C4491="",M4491=""),"In Progress",IF(M4491&lt;=J4491,"Met","Breached"))</f>
        <v>Met</v>
      </c>
    </row>
    <row r="4492" ht="19" customHeight="1" spans="1:14" x14ac:dyDescent="0.25">
      <c r="A4492" s="19" t="s">
        <v>4606</v>
      </c>
      <c r="B4492" s="33">
        <v>45713.163194444445</v>
      </c>
      <c r="D4492" s="19" t="s">
        <v>39</v>
      </c>
      <c r="E4492" s="19" t="s">
        <v>57</v>
      </c>
      <c r="F4492" s="19" t="s">
        <v>37</v>
      </c>
      <c r="G4492" s="19" t="s">
        <v>110</v>
      </c>
      <c r="H4492" s="19" t="s">
        <v>59</v>
      </c>
      <c r="I4492" s="19" t="s">
        <v>117</v>
      </c>
      <c r="J4492" s="20">
        <v>4</v>
      </c>
      <c r="K4492" s="34">
        <v>0</v>
      </c>
      <c r="M4492" s="19" t="str">
        <f>IF(OR(ISBLANK(C4492),C4492=""),"",ROUND((C4492-B4492)*24,2))</f>
        <v/>
      </c>
      <c r="N4492" s="19" t="str">
        <f>IF(OR(ISBLANK(C4492),C4492="",M4492=""),"In Progress",IF(M4492&lt;=J4492,"Met","Breached"))</f>
        <v>In Progress</v>
      </c>
    </row>
    <row r="4493" ht="19" customHeight="1" spans="1:14" x14ac:dyDescent="0.25">
      <c r="A4493" s="22" t="s">
        <v>4607</v>
      </c>
      <c r="B4493" s="36">
        <v>45785.525</v>
      </c>
      <c r="C4493" s="36">
        <v>45787.05208333333</v>
      </c>
      <c r="D4493" s="22" t="s">
        <v>33</v>
      </c>
      <c r="E4493" s="22" t="s">
        <v>65</v>
      </c>
      <c r="F4493" s="22" t="s">
        <v>40</v>
      </c>
      <c r="G4493" s="22" t="s">
        <v>121</v>
      </c>
      <c r="H4493" s="22" t="s">
        <v>59</v>
      </c>
      <c r="I4493" s="22" t="s">
        <v>147</v>
      </c>
      <c r="J4493" s="23">
        <v>48</v>
      </c>
      <c r="K4493" s="37">
        <v>0</v>
      </c>
      <c r="L4493" s="37">
        <v>3</v>
      </c>
      <c r="M4493" s="22">
        <f>IF(OR(ISBLANK(C4493),C4493=""),"",ROUND((C4493-B4493)*24,2))</f>
        <v>36.65</v>
      </c>
      <c r="N4493" s="40" t="str">
        <f>IF(OR(ISBLANK(C4493),C4493="",M4493=""),"In Progress",IF(M4493&lt;=J4493,"Met","Breached"))</f>
        <v>Met</v>
      </c>
    </row>
    <row r="4494" ht="19" customHeight="1" spans="1:14" x14ac:dyDescent="0.25">
      <c r="A4494" s="19" t="s">
        <v>4608</v>
      </c>
      <c r="B4494" s="33">
        <v>46274.132638888885</v>
      </c>
      <c r="D4494" s="19" t="s">
        <v>39</v>
      </c>
      <c r="E4494" s="19" t="s">
        <v>61</v>
      </c>
      <c r="F4494" s="19" t="s">
        <v>40</v>
      </c>
      <c r="G4494" s="19" t="s">
        <v>121</v>
      </c>
      <c r="H4494" s="19" t="s">
        <v>59</v>
      </c>
      <c r="I4494" s="19" t="s">
        <v>147</v>
      </c>
      <c r="J4494" s="20">
        <v>12</v>
      </c>
      <c r="K4494" s="34">
        <v>0</v>
      </c>
      <c r="M4494" s="19" t="str">
        <f>IF(OR(ISBLANK(C4494),C4494=""),"",ROUND((C4494-B4494)*24,2))</f>
        <v/>
      </c>
      <c r="N4494" s="19" t="str">
        <f>IF(OR(ISBLANK(C4494),C4494="",M4494=""),"In Progress",IF(M4494&lt;=J4494,"Met","Breached"))</f>
        <v>In Progress</v>
      </c>
    </row>
    <row r="4495" ht="19" customHeight="1" spans="1:14" x14ac:dyDescent="0.25">
      <c r="A4495" s="22" t="s">
        <v>4609</v>
      </c>
      <c r="B4495" s="36">
        <v>45903.32986111111</v>
      </c>
      <c r="C4495" s="36">
        <v>45906.66527777778</v>
      </c>
      <c r="D4495" s="22" t="s">
        <v>33</v>
      </c>
      <c r="E4495" s="22" t="s">
        <v>65</v>
      </c>
      <c r="F4495" s="22" t="s">
        <v>34</v>
      </c>
      <c r="G4495" s="22" t="s">
        <v>126</v>
      </c>
      <c r="H4495" s="22" t="s">
        <v>59</v>
      </c>
      <c r="I4495" s="22" t="s">
        <v>123</v>
      </c>
      <c r="J4495" s="23">
        <v>48</v>
      </c>
      <c r="K4495" s="37">
        <v>1</v>
      </c>
      <c r="L4495" s="37">
        <v>4</v>
      </c>
      <c r="M4495" s="22">
        <f>IF(OR(ISBLANK(C4495),C4495=""),"",ROUND((C4495-B4495)*24,2))</f>
        <v>80.05</v>
      </c>
      <c r="N4495" s="38" t="str">
        <f>IF(OR(ISBLANK(C4495),C4495="",M4495=""),"In Progress",IF(M4495&lt;=J4495,"Met","Breached"))</f>
        <v>Breached</v>
      </c>
    </row>
    <row r="4496" ht="19" customHeight="1" spans="1:14" x14ac:dyDescent="0.25">
      <c r="A4496" s="19" t="s">
        <v>4610</v>
      </c>
      <c r="B4496" s="33">
        <v>45847.66805555555</v>
      </c>
      <c r="C4496" s="33">
        <v>45847.847916666666</v>
      </c>
      <c r="D4496" s="19" t="s">
        <v>33</v>
      </c>
      <c r="E4496" s="19" t="s">
        <v>61</v>
      </c>
      <c r="F4496" s="19" t="s">
        <v>40</v>
      </c>
      <c r="G4496" s="19" t="s">
        <v>113</v>
      </c>
      <c r="H4496" s="19" t="s">
        <v>63</v>
      </c>
      <c r="I4496" s="19" t="s">
        <v>108</v>
      </c>
      <c r="J4496" s="20">
        <v>12</v>
      </c>
      <c r="K4496" s="34">
        <v>0</v>
      </c>
      <c r="L4496" s="34">
        <v>3</v>
      </c>
      <c r="M4496" s="19">
        <f>IF(OR(ISBLANK(C4496),C4496=""),"",ROUND((C4496-B4496)*24,2))</f>
        <v>4.32</v>
      </c>
      <c r="N4496" s="35" t="str">
        <f>IF(OR(ISBLANK(C4496),C4496="",M4496=""),"In Progress",IF(M4496&lt;=J4496,"Met","Breached"))</f>
        <v>Met</v>
      </c>
    </row>
    <row r="4497" ht="19" customHeight="1" spans="1:14" x14ac:dyDescent="0.25">
      <c r="A4497" s="22" t="s">
        <v>4611</v>
      </c>
      <c r="B4497" s="36">
        <v>45995.044444444444</v>
      </c>
      <c r="C4497" s="36">
        <v>45999.481944444444</v>
      </c>
      <c r="D4497" s="22" t="s">
        <v>33</v>
      </c>
      <c r="E4497" s="22" t="s">
        <v>69</v>
      </c>
      <c r="F4497" s="22" t="s">
        <v>34</v>
      </c>
      <c r="G4497" s="22" t="s">
        <v>121</v>
      </c>
      <c r="H4497" s="22" t="s">
        <v>59</v>
      </c>
      <c r="I4497" s="22" t="s">
        <v>111</v>
      </c>
      <c r="J4497" s="23">
        <v>120</v>
      </c>
      <c r="K4497" s="37">
        <v>0</v>
      </c>
      <c r="L4497" s="37">
        <v>3</v>
      </c>
      <c r="M4497" s="22">
        <f>IF(OR(ISBLANK(C4497),C4497=""),"",ROUND((C4497-B4497)*24,2))</f>
        <v>106.5</v>
      </c>
      <c r="N4497" s="40" t="str">
        <f>IF(OR(ISBLANK(C4497),C4497="",M4497=""),"In Progress",IF(M4497&lt;=J4497,"Met","Breached"))</f>
        <v>Met</v>
      </c>
    </row>
    <row r="4498" ht="19" customHeight="1" spans="1:14" x14ac:dyDescent="0.25">
      <c r="A4498" s="19" t="s">
        <v>4612</v>
      </c>
      <c r="B4498" s="33">
        <v>45957.6125</v>
      </c>
      <c r="D4498" s="19" t="s">
        <v>39</v>
      </c>
      <c r="E4498" s="19" t="s">
        <v>65</v>
      </c>
      <c r="F4498" s="19" t="s">
        <v>45</v>
      </c>
      <c r="G4498" s="19" t="s">
        <v>63</v>
      </c>
      <c r="H4498" s="19" t="s">
        <v>59</v>
      </c>
      <c r="I4498" s="19" t="s">
        <v>108</v>
      </c>
      <c r="J4498" s="20">
        <v>48</v>
      </c>
      <c r="K4498" s="34">
        <v>0</v>
      </c>
      <c r="M4498" s="19" t="str">
        <f>IF(OR(ISBLANK(C4498),C4498=""),"",ROUND((C4498-B4498)*24,2))</f>
        <v/>
      </c>
      <c r="N4498" s="19" t="str">
        <f>IF(OR(ISBLANK(C4498),C4498="",M4498=""),"In Progress",IF(M4498&lt;=J4498,"Met","Breached"))</f>
        <v>In Progress</v>
      </c>
    </row>
    <row r="4499" ht="19" customHeight="1" spans="1:14" x14ac:dyDescent="0.25">
      <c r="A4499" s="22" t="s">
        <v>4613</v>
      </c>
      <c r="B4499" s="36">
        <v>45820.075</v>
      </c>
      <c r="C4499" s="36">
        <v>45822.39583333333</v>
      </c>
      <c r="D4499" s="22" t="s">
        <v>36</v>
      </c>
      <c r="E4499" s="22" t="s">
        <v>65</v>
      </c>
      <c r="F4499" s="22" t="s">
        <v>40</v>
      </c>
      <c r="G4499" s="22" t="s">
        <v>121</v>
      </c>
      <c r="H4499" s="22" t="s">
        <v>63</v>
      </c>
      <c r="I4499" s="22" t="s">
        <v>111</v>
      </c>
      <c r="J4499" s="23">
        <v>48</v>
      </c>
      <c r="K4499" s="37">
        <v>0</v>
      </c>
      <c r="L4499" s="37">
        <v>5</v>
      </c>
      <c r="M4499" s="22">
        <f>IF(OR(ISBLANK(C4499),C4499=""),"",ROUND((C4499-B4499)*24,2))</f>
        <v>55.7</v>
      </c>
      <c r="N4499" s="38" t="str">
        <f>IF(OR(ISBLANK(C4499),C4499="",M4499=""),"In Progress",IF(M4499&lt;=J4499,"Met","Breached"))</f>
        <v>Breached</v>
      </c>
    </row>
    <row r="4500" ht="19" customHeight="1" spans="1:14" x14ac:dyDescent="0.25">
      <c r="A4500" s="19" t="s">
        <v>4614</v>
      </c>
      <c r="B4500" s="33">
        <v>46082.89097222222</v>
      </c>
      <c r="C4500" s="33">
        <v>46085.68125</v>
      </c>
      <c r="D4500" s="19" t="s">
        <v>33</v>
      </c>
      <c r="E4500" s="19" t="s">
        <v>65</v>
      </c>
      <c r="F4500" s="19" t="s">
        <v>34</v>
      </c>
      <c r="G4500" s="19" t="s">
        <v>113</v>
      </c>
      <c r="H4500" s="19" t="s">
        <v>63</v>
      </c>
      <c r="I4500" s="19" t="s">
        <v>117</v>
      </c>
      <c r="J4500" s="20">
        <v>48</v>
      </c>
      <c r="K4500" s="34">
        <v>0</v>
      </c>
      <c r="L4500" s="34">
        <v>4</v>
      </c>
      <c r="M4500" s="19">
        <f>IF(OR(ISBLANK(C4500),C4500=""),"",ROUND((C4500-B4500)*24,2))</f>
        <v>66.97</v>
      </c>
      <c r="N4500" s="39" t="str">
        <f>IF(OR(ISBLANK(C4500),C4500="",M4500=""),"In Progress",IF(M4500&lt;=J4500,"Met","Breached"))</f>
        <v>Breached</v>
      </c>
    </row>
    <row r="4501" ht="19" customHeight="1" spans="1:14" x14ac:dyDescent="0.25">
      <c r="A4501" s="22" t="s">
        <v>4615</v>
      </c>
      <c r="B4501" s="36">
        <v>45716.7625</v>
      </c>
      <c r="C4501" s="36">
        <v>45717.81736111111</v>
      </c>
      <c r="D4501" s="22" t="s">
        <v>36</v>
      </c>
      <c r="E4501" s="22" t="s">
        <v>65</v>
      </c>
      <c r="F4501" s="22" t="s">
        <v>37</v>
      </c>
      <c r="G4501" s="22" t="s">
        <v>110</v>
      </c>
      <c r="H4501" s="22" t="s">
        <v>63</v>
      </c>
      <c r="I4501" s="22" t="s">
        <v>108</v>
      </c>
      <c r="J4501" s="23">
        <v>48</v>
      </c>
      <c r="K4501" s="37">
        <v>1</v>
      </c>
      <c r="L4501" s="37">
        <v>3</v>
      </c>
      <c r="M4501" s="22">
        <f>IF(OR(ISBLANK(C4501),C4501=""),"",ROUND((C4501-B4501)*24,2))</f>
        <v>25.32</v>
      </c>
      <c r="N4501" s="40" t="str">
        <f>IF(OR(ISBLANK(C4501),C4501="",M4501=""),"In Progress",IF(M4501&lt;=J4501,"Met","Breached"))</f>
        <v>Met</v>
      </c>
    </row>
    <row r="4502" ht="19" customHeight="1" spans="1:14" x14ac:dyDescent="0.25">
      <c r="A4502" s="19" t="s">
        <v>4616</v>
      </c>
      <c r="B4502" s="33">
        <v>46029.111805555556</v>
      </c>
      <c r="D4502" s="19" t="s">
        <v>39</v>
      </c>
      <c r="E4502" s="19" t="s">
        <v>69</v>
      </c>
      <c r="F4502" s="19" t="s">
        <v>45</v>
      </c>
      <c r="G4502" s="19" t="s">
        <v>110</v>
      </c>
      <c r="H4502" s="19" t="s">
        <v>63</v>
      </c>
      <c r="I4502" s="19" t="s">
        <v>117</v>
      </c>
      <c r="J4502" s="20">
        <v>120</v>
      </c>
      <c r="K4502" s="34">
        <v>0</v>
      </c>
      <c r="M4502" s="19" t="str">
        <f>IF(OR(ISBLANK(C4502),C4502=""),"",ROUND((C4502-B4502)*24,2))</f>
        <v/>
      </c>
      <c r="N4502" s="19" t="str">
        <f>IF(OR(ISBLANK(C4502),C4502="",M4502=""),"In Progress",IF(M4502&lt;=J4502,"Met","Breached"))</f>
        <v>In Progress</v>
      </c>
    </row>
    <row r="4503" ht="19" customHeight="1" spans="1:14" x14ac:dyDescent="0.25">
      <c r="A4503" s="22" t="s">
        <v>4617</v>
      </c>
      <c r="B4503" s="36">
        <v>45688.57638888889</v>
      </c>
      <c r="C4503" s="36">
        <v>45693.70833333333</v>
      </c>
      <c r="D4503" s="22" t="s">
        <v>36</v>
      </c>
      <c r="E4503" s="22" t="s">
        <v>69</v>
      </c>
      <c r="F4503" s="22" t="s">
        <v>40</v>
      </c>
      <c r="G4503" s="22" t="s">
        <v>121</v>
      </c>
      <c r="H4503" s="22" t="s">
        <v>59</v>
      </c>
      <c r="I4503" s="22" t="s">
        <v>147</v>
      </c>
      <c r="J4503" s="23">
        <v>120</v>
      </c>
      <c r="K4503" s="37">
        <v>0</v>
      </c>
      <c r="M4503" s="22">
        <f>IF(OR(ISBLANK(C4503),C4503=""),"",ROUND((C4503-B4503)*24,2))</f>
        <v>123.17</v>
      </c>
      <c r="N4503" s="38" t="str">
        <f>IF(OR(ISBLANK(C4503),C4503="",M4503=""),"In Progress",IF(M4503&lt;=J4503,"Met","Breached"))</f>
        <v>Breached</v>
      </c>
    </row>
    <row r="4504" ht="19" customHeight="1" spans="1:14" x14ac:dyDescent="0.25">
      <c r="A4504" s="19" t="s">
        <v>4618</v>
      </c>
      <c r="B4504" s="33">
        <v>45913.575694444444</v>
      </c>
      <c r="C4504" s="33">
        <v>45916.705555555556</v>
      </c>
      <c r="D4504" s="19" t="s">
        <v>33</v>
      </c>
      <c r="E4504" s="19" t="s">
        <v>69</v>
      </c>
      <c r="F4504" s="19" t="s">
        <v>40</v>
      </c>
      <c r="G4504" s="19" t="s">
        <v>113</v>
      </c>
      <c r="H4504" s="19" t="s">
        <v>67</v>
      </c>
      <c r="I4504" s="19" t="s">
        <v>117</v>
      </c>
      <c r="J4504" s="20">
        <v>120</v>
      </c>
      <c r="K4504" s="34">
        <v>0</v>
      </c>
      <c r="M4504" s="19">
        <f>IF(OR(ISBLANK(C4504),C4504=""),"",ROUND((C4504-B4504)*24,2))</f>
        <v>75.12</v>
      </c>
      <c r="N4504" s="35" t="str">
        <f>IF(OR(ISBLANK(C4504),C4504="",M4504=""),"In Progress",IF(M4504&lt;=J4504,"Met","Breached"))</f>
        <v>Met</v>
      </c>
    </row>
    <row r="4505" ht="19" customHeight="1" spans="1:14" x14ac:dyDescent="0.25">
      <c r="A4505" s="22" t="s">
        <v>4619</v>
      </c>
      <c r="B4505" s="36">
        <v>46034.69861111111</v>
      </c>
      <c r="C4505" s="36">
        <v>46036.65694444445</v>
      </c>
      <c r="D4505" s="22" t="s">
        <v>36</v>
      </c>
      <c r="E4505" s="22" t="s">
        <v>65</v>
      </c>
      <c r="F4505" s="22" t="s">
        <v>40</v>
      </c>
      <c r="G4505" s="22" t="s">
        <v>126</v>
      </c>
      <c r="H4505" s="22" t="s">
        <v>67</v>
      </c>
      <c r="I4505" s="22" t="s">
        <v>108</v>
      </c>
      <c r="J4505" s="23">
        <v>48</v>
      </c>
      <c r="K4505" s="37">
        <v>0</v>
      </c>
      <c r="L4505" s="37">
        <v>1</v>
      </c>
      <c r="M4505" s="22">
        <f>IF(OR(ISBLANK(C4505),C4505=""),"",ROUND((C4505-B4505)*24,2))</f>
        <v>47</v>
      </c>
      <c r="N4505" s="40" t="str">
        <f>IF(OR(ISBLANK(C4505),C4505="",M4505=""),"In Progress",IF(M4505&lt;=J4505,"Met","Breached"))</f>
        <v>Met</v>
      </c>
    </row>
    <row r="4506" ht="19" customHeight="1" spans="1:14" x14ac:dyDescent="0.25">
      <c r="A4506" s="19" t="s">
        <v>4620</v>
      </c>
      <c r="B4506" s="33">
        <v>45959.308333333334</v>
      </c>
      <c r="C4506" s="33">
        <v>45959.53194444445</v>
      </c>
      <c r="D4506" s="19" t="s">
        <v>33</v>
      </c>
      <c r="E4506" s="19" t="s">
        <v>61</v>
      </c>
      <c r="F4506" s="19" t="s">
        <v>37</v>
      </c>
      <c r="G4506" s="19" t="s">
        <v>63</v>
      </c>
      <c r="H4506" s="19" t="s">
        <v>59</v>
      </c>
      <c r="I4506" s="19" t="s">
        <v>108</v>
      </c>
      <c r="J4506" s="20">
        <v>12</v>
      </c>
      <c r="K4506" s="34">
        <v>0</v>
      </c>
      <c r="L4506" s="34">
        <v>2</v>
      </c>
      <c r="M4506" s="19">
        <f>IF(OR(ISBLANK(C4506),C4506=""),"",ROUND((C4506-B4506)*24,2))</f>
        <v>5.37</v>
      </c>
      <c r="N4506" s="35" t="str">
        <f>IF(OR(ISBLANK(C4506),C4506="",M4506=""),"In Progress",IF(M4506&lt;=J4506,"Met","Breached"))</f>
        <v>Met</v>
      </c>
    </row>
    <row r="4507" ht="19" customHeight="1" spans="1:14" x14ac:dyDescent="0.25">
      <c r="A4507" s="22" t="s">
        <v>4621</v>
      </c>
      <c r="B4507" s="36">
        <v>45784.38888888889</v>
      </c>
      <c r="C4507" s="36">
        <v>45786.37638888889</v>
      </c>
      <c r="D4507" s="22" t="s">
        <v>33</v>
      </c>
      <c r="E4507" s="22" t="s">
        <v>65</v>
      </c>
      <c r="F4507" s="22" t="s">
        <v>45</v>
      </c>
      <c r="G4507" s="22" t="s">
        <v>113</v>
      </c>
      <c r="H4507" s="22" t="s">
        <v>67</v>
      </c>
      <c r="I4507" s="22" t="s">
        <v>111</v>
      </c>
      <c r="J4507" s="23">
        <v>48</v>
      </c>
      <c r="K4507" s="37">
        <v>0</v>
      </c>
      <c r="L4507" s="37">
        <v>4</v>
      </c>
      <c r="M4507" s="22">
        <f>IF(OR(ISBLANK(C4507),C4507=""),"",ROUND((C4507-B4507)*24,2))</f>
        <v>47.7</v>
      </c>
      <c r="N4507" s="40" t="str">
        <f>IF(OR(ISBLANK(C4507),C4507="",M4507=""),"In Progress",IF(M4507&lt;=J4507,"Met","Breached"))</f>
        <v>Met</v>
      </c>
    </row>
    <row r="4508" ht="19" customHeight="1" spans="1:14" x14ac:dyDescent="0.25">
      <c r="A4508" s="19" t="s">
        <v>4622</v>
      </c>
      <c r="B4508" s="33">
        <v>46258.20416666666</v>
      </c>
      <c r="C4508" s="33">
        <v>46258.381944444445</v>
      </c>
      <c r="D4508" s="19" t="s">
        <v>33</v>
      </c>
      <c r="E4508" s="19" t="s">
        <v>61</v>
      </c>
      <c r="F4508" s="19" t="s">
        <v>43</v>
      </c>
      <c r="G4508" s="19" t="s">
        <v>126</v>
      </c>
      <c r="H4508" s="19" t="s">
        <v>59</v>
      </c>
      <c r="I4508" s="19" t="s">
        <v>114</v>
      </c>
      <c r="J4508" s="20">
        <v>12</v>
      </c>
      <c r="K4508" s="34">
        <v>0</v>
      </c>
      <c r="M4508" s="19">
        <f>IF(OR(ISBLANK(C4508),C4508=""),"",ROUND((C4508-B4508)*24,2))</f>
        <v>4.27</v>
      </c>
      <c r="N4508" s="35" t="str">
        <f>IF(OR(ISBLANK(C4508),C4508="",M4508=""),"In Progress",IF(M4508&lt;=J4508,"Met","Breached"))</f>
        <v>Met</v>
      </c>
    </row>
    <row r="4509" ht="19" customHeight="1" spans="1:14" x14ac:dyDescent="0.25">
      <c r="A4509" s="22" t="s">
        <v>4623</v>
      </c>
      <c r="B4509" s="36">
        <v>45773.77291666667</v>
      </c>
      <c r="C4509" s="36">
        <v>45773.82638888889</v>
      </c>
      <c r="D4509" s="22" t="s">
        <v>36</v>
      </c>
      <c r="E4509" s="22" t="s">
        <v>57</v>
      </c>
      <c r="F4509" s="22" t="s">
        <v>45</v>
      </c>
      <c r="G4509" s="22" t="s">
        <v>63</v>
      </c>
      <c r="H4509" s="22" t="s">
        <v>59</v>
      </c>
      <c r="I4509" s="22" t="s">
        <v>147</v>
      </c>
      <c r="J4509" s="23">
        <v>4</v>
      </c>
      <c r="K4509" s="37">
        <v>0</v>
      </c>
      <c r="M4509" s="22">
        <f>IF(OR(ISBLANK(C4509),C4509=""),"",ROUND((C4509-B4509)*24,2))</f>
        <v>1.28</v>
      </c>
      <c r="N4509" s="40" t="str">
        <f>IF(OR(ISBLANK(C4509),C4509="",M4509=""),"In Progress",IF(M4509&lt;=J4509,"Met","Breached"))</f>
        <v>Met</v>
      </c>
    </row>
    <row r="4510" ht="19" customHeight="1" spans="1:14" x14ac:dyDescent="0.25">
      <c r="A4510" s="19" t="s">
        <v>4624</v>
      </c>
      <c r="B4510" s="33">
        <v>45756.98333333334</v>
      </c>
      <c r="C4510" s="33">
        <v>45757.663888888885</v>
      </c>
      <c r="D4510" s="19" t="s">
        <v>33</v>
      </c>
      <c r="E4510" s="19" t="s">
        <v>61</v>
      </c>
      <c r="F4510" s="19" t="s">
        <v>45</v>
      </c>
      <c r="G4510" s="19" t="s">
        <v>110</v>
      </c>
      <c r="H4510" s="19" t="s">
        <v>59</v>
      </c>
      <c r="I4510" s="19" t="s">
        <v>108</v>
      </c>
      <c r="J4510" s="20">
        <v>12</v>
      </c>
      <c r="K4510" s="34">
        <v>0</v>
      </c>
      <c r="M4510" s="19">
        <f>IF(OR(ISBLANK(C4510),C4510=""),"",ROUND((C4510-B4510)*24,2))</f>
        <v>16.33</v>
      </c>
      <c r="N4510" s="39" t="str">
        <f>IF(OR(ISBLANK(C4510),C4510="",M4510=""),"In Progress",IF(M4510&lt;=J4510,"Met","Breached"))</f>
        <v>Breached</v>
      </c>
    </row>
    <row r="4511" ht="19" customHeight="1" spans="1:14" x14ac:dyDescent="0.25">
      <c r="A4511" s="22" t="s">
        <v>4625</v>
      </c>
      <c r="B4511" s="36">
        <v>46044.73263888889</v>
      </c>
      <c r="C4511" s="36">
        <v>46046.65347222222</v>
      </c>
      <c r="D4511" s="22" t="s">
        <v>33</v>
      </c>
      <c r="E4511" s="22" t="s">
        <v>65</v>
      </c>
      <c r="F4511" s="22" t="s">
        <v>40</v>
      </c>
      <c r="G4511" s="22" t="s">
        <v>126</v>
      </c>
      <c r="H4511" s="22" t="s">
        <v>59</v>
      </c>
      <c r="I4511" s="22" t="s">
        <v>108</v>
      </c>
      <c r="J4511" s="23">
        <v>48</v>
      </c>
      <c r="K4511" s="37">
        <v>0</v>
      </c>
      <c r="L4511" s="37">
        <v>4</v>
      </c>
      <c r="M4511" s="22">
        <f>IF(OR(ISBLANK(C4511),C4511=""),"",ROUND((C4511-B4511)*24,2))</f>
        <v>46.1</v>
      </c>
      <c r="N4511" s="40" t="str">
        <f>IF(OR(ISBLANK(C4511),C4511="",M4511=""),"In Progress",IF(M4511&lt;=J4511,"Met","Breached"))</f>
        <v>Met</v>
      </c>
    </row>
    <row r="4512" ht="19" customHeight="1" spans="1:14" x14ac:dyDescent="0.25">
      <c r="A4512" s="19" t="s">
        <v>4626</v>
      </c>
      <c r="B4512" s="33">
        <v>46083.24930555555</v>
      </c>
      <c r="C4512" s="33">
        <v>46083.4375</v>
      </c>
      <c r="D4512" s="19" t="s">
        <v>36</v>
      </c>
      <c r="E4512" s="19" t="s">
        <v>61</v>
      </c>
      <c r="F4512" s="19" t="s">
        <v>45</v>
      </c>
      <c r="G4512" s="19" t="s">
        <v>113</v>
      </c>
      <c r="H4512" s="19" t="s">
        <v>63</v>
      </c>
      <c r="I4512" s="19" t="s">
        <v>147</v>
      </c>
      <c r="J4512" s="20">
        <v>12</v>
      </c>
      <c r="K4512" s="34">
        <v>0</v>
      </c>
      <c r="L4512" s="34">
        <v>5</v>
      </c>
      <c r="M4512" s="19">
        <f>IF(OR(ISBLANK(C4512),C4512=""),"",ROUND((C4512-B4512)*24,2))</f>
        <v>4.52</v>
      </c>
      <c r="N4512" s="35" t="str">
        <f>IF(OR(ISBLANK(C4512),C4512="",M4512=""),"In Progress",IF(M4512&lt;=J4512,"Met","Breached"))</f>
        <v>Met</v>
      </c>
    </row>
    <row r="4513" ht="19" customHeight="1" spans="1:14" x14ac:dyDescent="0.25">
      <c r="A4513" s="22" t="s">
        <v>4627</v>
      </c>
      <c r="B4513" s="36">
        <v>45863.12777777778</v>
      </c>
      <c r="C4513" s="36">
        <v>45870.768055555556</v>
      </c>
      <c r="D4513" s="22" t="s">
        <v>36</v>
      </c>
      <c r="E4513" s="22" t="s">
        <v>69</v>
      </c>
      <c r="F4513" s="22" t="s">
        <v>43</v>
      </c>
      <c r="G4513" s="22" t="s">
        <v>116</v>
      </c>
      <c r="H4513" s="22" t="s">
        <v>59</v>
      </c>
      <c r="I4513" s="22" t="s">
        <v>111</v>
      </c>
      <c r="J4513" s="23">
        <v>120</v>
      </c>
      <c r="K4513" s="37">
        <v>0</v>
      </c>
      <c r="L4513" s="37">
        <v>5</v>
      </c>
      <c r="M4513" s="22">
        <f>IF(OR(ISBLANK(C4513),C4513=""),"",ROUND((C4513-B4513)*24,2))</f>
        <v>183.37</v>
      </c>
      <c r="N4513" s="38" t="str">
        <f>IF(OR(ISBLANK(C4513),C4513="",M4513=""),"In Progress",IF(M4513&lt;=J4513,"Met","Breached"))</f>
        <v>Breached</v>
      </c>
    </row>
    <row r="4514" ht="19" customHeight="1" spans="1:14" x14ac:dyDescent="0.25">
      <c r="A4514" s="19" t="s">
        <v>4628</v>
      </c>
      <c r="B4514" s="33">
        <v>45986.149305555555</v>
      </c>
      <c r="D4514" s="19" t="s">
        <v>42</v>
      </c>
      <c r="E4514" s="19" t="s">
        <v>69</v>
      </c>
      <c r="F4514" s="19" t="s">
        <v>45</v>
      </c>
      <c r="G4514" s="19" t="s">
        <v>113</v>
      </c>
      <c r="H4514" s="19" t="s">
        <v>71</v>
      </c>
      <c r="I4514" s="19" t="s">
        <v>123</v>
      </c>
      <c r="J4514" s="20">
        <v>120</v>
      </c>
      <c r="K4514" s="34">
        <v>0</v>
      </c>
      <c r="M4514" s="19" t="str">
        <f>IF(OR(ISBLANK(C4514),C4514=""),"",ROUND((C4514-B4514)*24,2))</f>
        <v/>
      </c>
      <c r="N4514" s="19" t="str">
        <f>IF(OR(ISBLANK(C4514),C4514="",M4514=""),"In Progress",IF(M4514&lt;=J4514,"Met","Breached"))</f>
        <v>In Progress</v>
      </c>
    </row>
    <row r="4515" ht="19" customHeight="1" spans="1:14" x14ac:dyDescent="0.25">
      <c r="A4515" s="22" t="s">
        <v>4629</v>
      </c>
      <c r="B4515" s="36">
        <v>45856.87013888889</v>
      </c>
      <c r="C4515" s="36">
        <v>45859.20833333333</v>
      </c>
      <c r="D4515" s="22" t="s">
        <v>33</v>
      </c>
      <c r="E4515" s="22" t="s">
        <v>69</v>
      </c>
      <c r="F4515" s="22" t="s">
        <v>43</v>
      </c>
      <c r="G4515" s="22" t="s">
        <v>126</v>
      </c>
      <c r="H4515" s="22" t="s">
        <v>59</v>
      </c>
      <c r="I4515" s="22" t="s">
        <v>117</v>
      </c>
      <c r="J4515" s="23">
        <v>120</v>
      </c>
      <c r="K4515" s="37">
        <v>0</v>
      </c>
      <c r="L4515" s="37">
        <v>3</v>
      </c>
      <c r="M4515" s="22">
        <f>IF(OR(ISBLANK(C4515),C4515=""),"",ROUND((C4515-B4515)*24,2))</f>
        <v>56.12</v>
      </c>
      <c r="N4515" s="40" t="str">
        <f>IF(OR(ISBLANK(C4515),C4515="",M4515=""),"In Progress",IF(M4515&lt;=J4515,"Met","Breached"))</f>
        <v>Met</v>
      </c>
    </row>
    <row r="4516" ht="19" customHeight="1" spans="1:14" x14ac:dyDescent="0.25">
      <c r="A4516" s="19" t="s">
        <v>4630</v>
      </c>
      <c r="B4516" s="33">
        <v>45995.74166666667</v>
      </c>
      <c r="C4516" s="33">
        <v>45999.33541666667</v>
      </c>
      <c r="D4516" s="19" t="s">
        <v>33</v>
      </c>
      <c r="E4516" s="19" t="s">
        <v>69</v>
      </c>
      <c r="F4516" s="19" t="s">
        <v>45</v>
      </c>
      <c r="G4516" s="19" t="s">
        <v>121</v>
      </c>
      <c r="H4516" s="19" t="s">
        <v>67</v>
      </c>
      <c r="I4516" s="19" t="s">
        <v>114</v>
      </c>
      <c r="J4516" s="20">
        <v>120</v>
      </c>
      <c r="K4516" s="34">
        <v>0</v>
      </c>
      <c r="L4516" s="34">
        <v>3</v>
      </c>
      <c r="M4516" s="19">
        <f>IF(OR(ISBLANK(C4516),C4516=""),"",ROUND((C4516-B4516)*24,2))</f>
        <v>86.25</v>
      </c>
      <c r="N4516" s="35" t="str">
        <f>IF(OR(ISBLANK(C4516),C4516="",M4516=""),"In Progress",IF(M4516&lt;=J4516,"Met","Breached"))</f>
        <v>Met</v>
      </c>
    </row>
    <row r="4517" ht="19" customHeight="1" spans="1:14" x14ac:dyDescent="0.25">
      <c r="A4517" s="22" t="s">
        <v>4631</v>
      </c>
      <c r="B4517" s="36">
        <v>46274.70486111111</v>
      </c>
      <c r="C4517" s="36">
        <v>46275.12777777778</v>
      </c>
      <c r="D4517" s="22" t="s">
        <v>33</v>
      </c>
      <c r="E4517" s="22" t="s">
        <v>61</v>
      </c>
      <c r="F4517" s="22" t="s">
        <v>34</v>
      </c>
      <c r="G4517" s="22" t="s">
        <v>63</v>
      </c>
      <c r="H4517" s="22" t="s">
        <v>63</v>
      </c>
      <c r="I4517" s="22" t="s">
        <v>147</v>
      </c>
      <c r="J4517" s="23">
        <v>12</v>
      </c>
      <c r="K4517" s="37">
        <v>0</v>
      </c>
      <c r="L4517" s="37">
        <v>4</v>
      </c>
      <c r="M4517" s="22">
        <f>IF(OR(ISBLANK(C4517),C4517=""),"",ROUND((C4517-B4517)*24,2))</f>
        <v>10.15</v>
      </c>
      <c r="N4517" s="40" t="str">
        <f>IF(OR(ISBLANK(C4517),C4517="",M4517=""),"In Progress",IF(M4517&lt;=J4517,"Met","Breached"))</f>
        <v>Met</v>
      </c>
    </row>
    <row r="4518" ht="19" customHeight="1" spans="1:14" x14ac:dyDescent="0.25">
      <c r="A4518" s="19" t="s">
        <v>4632</v>
      </c>
      <c r="B4518" s="33">
        <v>46005.89236111111</v>
      </c>
      <c r="C4518" s="33">
        <v>46006.39722222222</v>
      </c>
      <c r="D4518" s="19" t="s">
        <v>36</v>
      </c>
      <c r="E4518" s="19" t="s">
        <v>61</v>
      </c>
      <c r="F4518" s="19" t="s">
        <v>45</v>
      </c>
      <c r="G4518" s="19" t="s">
        <v>110</v>
      </c>
      <c r="H4518" s="19" t="s">
        <v>59</v>
      </c>
      <c r="I4518" s="19" t="s">
        <v>108</v>
      </c>
      <c r="J4518" s="20">
        <v>12</v>
      </c>
      <c r="K4518" s="34">
        <v>0</v>
      </c>
      <c r="L4518" s="34">
        <v>3</v>
      </c>
      <c r="M4518" s="19">
        <f>IF(OR(ISBLANK(C4518),C4518=""),"",ROUND((C4518-B4518)*24,2))</f>
        <v>12.12</v>
      </c>
      <c r="N4518" s="39" t="str">
        <f>IF(OR(ISBLANK(C4518),C4518="",M4518=""),"In Progress",IF(M4518&lt;=J4518,"Met","Breached"))</f>
        <v>Breached</v>
      </c>
    </row>
    <row r="4519" ht="19" customHeight="1" spans="1:14" x14ac:dyDescent="0.25">
      <c r="A4519" s="22" t="s">
        <v>4633</v>
      </c>
      <c r="B4519" s="36">
        <v>45880.72777777778</v>
      </c>
      <c r="C4519" s="36">
        <v>45880.86458333333</v>
      </c>
      <c r="D4519" s="22" t="s">
        <v>33</v>
      </c>
      <c r="E4519" s="22" t="s">
        <v>57</v>
      </c>
      <c r="F4519" s="22" t="s">
        <v>43</v>
      </c>
      <c r="G4519" s="22" t="s">
        <v>126</v>
      </c>
      <c r="H4519" s="22" t="s">
        <v>63</v>
      </c>
      <c r="I4519" s="22" t="s">
        <v>108</v>
      </c>
      <c r="J4519" s="23">
        <v>4</v>
      </c>
      <c r="K4519" s="37">
        <v>0</v>
      </c>
      <c r="M4519" s="22">
        <f>IF(OR(ISBLANK(C4519),C4519=""),"",ROUND((C4519-B4519)*24,2))</f>
        <v>3.28</v>
      </c>
      <c r="N4519" s="40" t="str">
        <f>IF(OR(ISBLANK(C4519),C4519="",M4519=""),"In Progress",IF(M4519&lt;=J4519,"Met","Breached"))</f>
        <v>Met</v>
      </c>
    </row>
    <row r="4520" ht="19" customHeight="1" spans="1:14" x14ac:dyDescent="0.25">
      <c r="A4520" s="19" t="s">
        <v>4634</v>
      </c>
      <c r="B4520" s="33">
        <v>45844.93263888889</v>
      </c>
      <c r="D4520" s="19" t="s">
        <v>39</v>
      </c>
      <c r="E4520" s="19" t="s">
        <v>65</v>
      </c>
      <c r="F4520" s="19" t="s">
        <v>45</v>
      </c>
      <c r="G4520" s="19" t="s">
        <v>63</v>
      </c>
      <c r="H4520" s="19" t="s">
        <v>63</v>
      </c>
      <c r="I4520" s="19" t="s">
        <v>108</v>
      </c>
      <c r="J4520" s="20">
        <v>48</v>
      </c>
      <c r="K4520" s="34">
        <v>0</v>
      </c>
      <c r="M4520" s="19" t="str">
        <f>IF(OR(ISBLANK(C4520),C4520=""),"",ROUND((C4520-B4520)*24,2))</f>
        <v/>
      </c>
      <c r="N4520" s="19" t="str">
        <f>IF(OR(ISBLANK(C4520),C4520="",M4520=""),"In Progress",IF(M4520&lt;=J4520,"Met","Breached"))</f>
        <v>In Progress</v>
      </c>
    </row>
    <row r="4521" ht="19" customHeight="1" spans="1:14" x14ac:dyDescent="0.25">
      <c r="A4521" s="22" t="s">
        <v>4635</v>
      </c>
      <c r="B4521" s="36">
        <v>45925.22708333333</v>
      </c>
      <c r="C4521" s="36">
        <v>45925.34861111111</v>
      </c>
      <c r="D4521" s="22" t="s">
        <v>36</v>
      </c>
      <c r="E4521" s="22" t="s">
        <v>57</v>
      </c>
      <c r="F4521" s="22" t="s">
        <v>43</v>
      </c>
      <c r="G4521" s="22" t="s">
        <v>126</v>
      </c>
      <c r="H4521" s="22" t="s">
        <v>63</v>
      </c>
      <c r="I4521" s="22" t="s">
        <v>147</v>
      </c>
      <c r="J4521" s="23">
        <v>4</v>
      </c>
      <c r="K4521" s="37">
        <v>0</v>
      </c>
      <c r="M4521" s="22">
        <f>IF(OR(ISBLANK(C4521),C4521=""),"",ROUND((C4521-B4521)*24,2))</f>
        <v>2.92</v>
      </c>
      <c r="N4521" s="40" t="str">
        <f>IF(OR(ISBLANK(C4521),C4521="",M4521=""),"In Progress",IF(M4521&lt;=J4521,"Met","Breached"))</f>
        <v>Met</v>
      </c>
    </row>
    <row r="4522" ht="19" customHeight="1" spans="1:14" x14ac:dyDescent="0.25">
      <c r="A4522" s="19" t="s">
        <v>4636</v>
      </c>
      <c r="B4522" s="33">
        <v>45765.95763888889</v>
      </c>
      <c r="C4522" s="33">
        <v>45767.20277777778</v>
      </c>
      <c r="D4522" s="19" t="s">
        <v>33</v>
      </c>
      <c r="E4522" s="19" t="s">
        <v>65</v>
      </c>
      <c r="F4522" s="19" t="s">
        <v>34</v>
      </c>
      <c r="G4522" s="19" t="s">
        <v>116</v>
      </c>
      <c r="H4522" s="19" t="s">
        <v>71</v>
      </c>
      <c r="I4522" s="19" t="s">
        <v>123</v>
      </c>
      <c r="J4522" s="20">
        <v>48</v>
      </c>
      <c r="K4522" s="34">
        <v>1</v>
      </c>
      <c r="L4522" s="34">
        <v>4</v>
      </c>
      <c r="M4522" s="19">
        <f>IF(OR(ISBLANK(C4522),C4522=""),"",ROUND((C4522-B4522)*24,2))</f>
        <v>29.88</v>
      </c>
      <c r="N4522" s="35" t="str">
        <f>IF(OR(ISBLANK(C4522),C4522="",M4522=""),"In Progress",IF(M4522&lt;=J4522,"Met","Breached"))</f>
        <v>Met</v>
      </c>
    </row>
    <row r="4523" ht="19" customHeight="1" spans="1:14" x14ac:dyDescent="0.25">
      <c r="A4523" s="22" t="s">
        <v>4637</v>
      </c>
      <c r="B4523" s="36">
        <v>45719.31458333333</v>
      </c>
      <c r="C4523" s="36">
        <v>45727.336111111115</v>
      </c>
      <c r="D4523" s="22" t="s">
        <v>36</v>
      </c>
      <c r="E4523" s="22" t="s">
        <v>69</v>
      </c>
      <c r="F4523" s="22" t="s">
        <v>45</v>
      </c>
      <c r="G4523" s="22" t="s">
        <v>110</v>
      </c>
      <c r="H4523" s="22" t="s">
        <v>71</v>
      </c>
      <c r="I4523" s="22" t="s">
        <v>111</v>
      </c>
      <c r="J4523" s="23">
        <v>120</v>
      </c>
      <c r="K4523" s="37">
        <v>0</v>
      </c>
      <c r="M4523" s="22">
        <f>IF(OR(ISBLANK(C4523),C4523=""),"",ROUND((C4523-B4523)*24,2))</f>
        <v>192.52</v>
      </c>
      <c r="N4523" s="38" t="str">
        <f>IF(OR(ISBLANK(C4523),C4523="",M4523=""),"In Progress",IF(M4523&lt;=J4523,"Met","Breached"))</f>
        <v>Breached</v>
      </c>
    </row>
    <row r="4524" ht="19" customHeight="1" spans="1:14" x14ac:dyDescent="0.25">
      <c r="A4524" s="19" t="s">
        <v>4638</v>
      </c>
      <c r="B4524" s="33">
        <v>45922.42708333333</v>
      </c>
      <c r="D4524" s="19" t="s">
        <v>42</v>
      </c>
      <c r="E4524" s="19" t="s">
        <v>57</v>
      </c>
      <c r="F4524" s="19" t="s">
        <v>43</v>
      </c>
      <c r="G4524" s="19" t="s">
        <v>113</v>
      </c>
      <c r="H4524" s="19" t="s">
        <v>63</v>
      </c>
      <c r="I4524" s="19" t="s">
        <v>111</v>
      </c>
      <c r="J4524" s="20">
        <v>4</v>
      </c>
      <c r="K4524" s="34">
        <v>0</v>
      </c>
      <c r="M4524" s="19" t="str">
        <f>IF(OR(ISBLANK(C4524),C4524=""),"",ROUND((C4524-B4524)*24,2))</f>
        <v/>
      </c>
      <c r="N4524" s="19" t="str">
        <f>IF(OR(ISBLANK(C4524),C4524="",M4524=""),"In Progress",IF(M4524&lt;=J4524,"Met","Breached"))</f>
        <v>In Progress</v>
      </c>
    </row>
    <row r="4525" ht="19" customHeight="1" spans="1:14" x14ac:dyDescent="0.25">
      <c r="A4525" s="22" t="s">
        <v>4639</v>
      </c>
      <c r="B4525" s="36">
        <v>46250.35555555555</v>
      </c>
      <c r="C4525" s="36">
        <v>46252.535416666666</v>
      </c>
      <c r="D4525" s="22" t="s">
        <v>36</v>
      </c>
      <c r="E4525" s="22" t="s">
        <v>65</v>
      </c>
      <c r="F4525" s="22" t="s">
        <v>34</v>
      </c>
      <c r="G4525" s="22" t="s">
        <v>121</v>
      </c>
      <c r="H4525" s="22" t="s">
        <v>67</v>
      </c>
      <c r="I4525" s="22" t="s">
        <v>108</v>
      </c>
      <c r="J4525" s="23">
        <v>48</v>
      </c>
      <c r="K4525" s="37">
        <v>0</v>
      </c>
      <c r="L4525" s="37">
        <v>5</v>
      </c>
      <c r="M4525" s="22">
        <f>IF(OR(ISBLANK(C4525),C4525=""),"",ROUND((C4525-B4525)*24,2))</f>
        <v>52.32</v>
      </c>
      <c r="N4525" s="38" t="str">
        <f>IF(OR(ISBLANK(C4525),C4525="",M4525=""),"In Progress",IF(M4525&lt;=J4525,"Met","Breached"))</f>
        <v>Breached</v>
      </c>
    </row>
    <row r="4526" ht="19" customHeight="1" spans="1:14" x14ac:dyDescent="0.25">
      <c r="A4526" s="19" t="s">
        <v>4640</v>
      </c>
      <c r="B4526" s="33">
        <v>45802.2625</v>
      </c>
      <c r="D4526" s="19" t="s">
        <v>39</v>
      </c>
      <c r="E4526" s="19" t="s">
        <v>69</v>
      </c>
      <c r="F4526" s="19" t="s">
        <v>37</v>
      </c>
      <c r="G4526" s="19" t="s">
        <v>126</v>
      </c>
      <c r="H4526" s="19" t="s">
        <v>67</v>
      </c>
      <c r="I4526" s="19" t="s">
        <v>108</v>
      </c>
      <c r="J4526" s="20">
        <v>120</v>
      </c>
      <c r="K4526" s="34">
        <v>0</v>
      </c>
      <c r="M4526" s="19" t="str">
        <f>IF(OR(ISBLANK(C4526),C4526=""),"",ROUND((C4526-B4526)*24,2))</f>
        <v/>
      </c>
      <c r="N4526" s="19" t="str">
        <f>IF(OR(ISBLANK(C4526),C4526="",M4526=""),"In Progress",IF(M4526&lt;=J4526,"Met","Breached"))</f>
        <v>In Progress</v>
      </c>
    </row>
    <row r="4527" ht="19" customHeight="1" spans="1:14" x14ac:dyDescent="0.25">
      <c r="A4527" s="22" t="s">
        <v>4641</v>
      </c>
      <c r="B4527" s="36">
        <v>45894.55138888889</v>
      </c>
      <c r="C4527" s="36">
        <v>45897.36666666667</v>
      </c>
      <c r="D4527" s="22" t="s">
        <v>33</v>
      </c>
      <c r="E4527" s="22" t="s">
        <v>65</v>
      </c>
      <c r="F4527" s="22" t="s">
        <v>37</v>
      </c>
      <c r="G4527" s="22" t="s">
        <v>121</v>
      </c>
      <c r="H4527" s="22" t="s">
        <v>59</v>
      </c>
      <c r="I4527" s="22" t="s">
        <v>114</v>
      </c>
      <c r="J4527" s="23">
        <v>48</v>
      </c>
      <c r="K4527" s="37">
        <v>0</v>
      </c>
      <c r="L4527" s="37">
        <v>2</v>
      </c>
      <c r="M4527" s="22">
        <f>IF(OR(ISBLANK(C4527),C4527=""),"",ROUND((C4527-B4527)*24,2))</f>
        <v>67.57</v>
      </c>
      <c r="N4527" s="38" t="str">
        <f>IF(OR(ISBLANK(C4527),C4527="",M4527=""),"In Progress",IF(M4527&lt;=J4527,"Met","Breached"))</f>
        <v>Breached</v>
      </c>
    </row>
    <row r="4528" ht="19" customHeight="1" spans="1:14" x14ac:dyDescent="0.25">
      <c r="A4528" s="19" t="s">
        <v>4642</v>
      </c>
      <c r="B4528" s="33">
        <v>45908.39027777778</v>
      </c>
      <c r="C4528" s="33">
        <v>45909.15</v>
      </c>
      <c r="D4528" s="19" t="s">
        <v>36</v>
      </c>
      <c r="E4528" s="19" t="s">
        <v>65</v>
      </c>
      <c r="F4528" s="19" t="s">
        <v>34</v>
      </c>
      <c r="G4528" s="19" t="s">
        <v>126</v>
      </c>
      <c r="H4528" s="19" t="s">
        <v>63</v>
      </c>
      <c r="I4528" s="19" t="s">
        <v>117</v>
      </c>
      <c r="J4528" s="20">
        <v>48</v>
      </c>
      <c r="K4528" s="34">
        <v>0</v>
      </c>
      <c r="M4528" s="19">
        <f>IF(OR(ISBLANK(C4528),C4528=""),"",ROUND((C4528-B4528)*24,2))</f>
        <v>18.23</v>
      </c>
      <c r="N4528" s="35" t="str">
        <f>IF(OR(ISBLANK(C4528),C4528="",M4528=""),"In Progress",IF(M4528&lt;=J4528,"Met","Breached"))</f>
        <v>Met</v>
      </c>
    </row>
    <row r="4529" ht="19" customHeight="1" spans="1:14" x14ac:dyDescent="0.25">
      <c r="A4529" s="22" t="s">
        <v>4643</v>
      </c>
      <c r="B4529" s="36">
        <v>45815.91666666667</v>
      </c>
      <c r="C4529" s="36">
        <v>45818.67708333333</v>
      </c>
      <c r="D4529" s="22" t="s">
        <v>36</v>
      </c>
      <c r="E4529" s="22" t="s">
        <v>65</v>
      </c>
      <c r="F4529" s="22" t="s">
        <v>34</v>
      </c>
      <c r="G4529" s="22" t="s">
        <v>63</v>
      </c>
      <c r="H4529" s="22" t="s">
        <v>67</v>
      </c>
      <c r="I4529" s="22" t="s">
        <v>123</v>
      </c>
      <c r="J4529" s="23">
        <v>48</v>
      </c>
      <c r="K4529" s="37">
        <v>0</v>
      </c>
      <c r="M4529" s="22">
        <f>IF(OR(ISBLANK(C4529),C4529=""),"",ROUND((C4529-B4529)*24,2))</f>
        <v>66.25</v>
      </c>
      <c r="N4529" s="38" t="str">
        <f>IF(OR(ISBLANK(C4529),C4529="",M4529=""),"In Progress",IF(M4529&lt;=J4529,"Met","Breached"))</f>
        <v>Breached</v>
      </c>
    </row>
    <row r="4530" ht="19" customHeight="1" spans="1:14" x14ac:dyDescent="0.25">
      <c r="A4530" s="19" t="s">
        <v>4644</v>
      </c>
      <c r="B4530" s="33">
        <v>45892.09722222222</v>
      </c>
      <c r="D4530" s="19" t="s">
        <v>39</v>
      </c>
      <c r="E4530" s="19" t="s">
        <v>69</v>
      </c>
      <c r="F4530" s="19" t="s">
        <v>37</v>
      </c>
      <c r="G4530" s="19" t="s">
        <v>121</v>
      </c>
      <c r="H4530" s="19" t="s">
        <v>67</v>
      </c>
      <c r="I4530" s="19" t="s">
        <v>123</v>
      </c>
      <c r="J4530" s="20">
        <v>120</v>
      </c>
      <c r="K4530" s="34">
        <v>0</v>
      </c>
      <c r="M4530" s="19" t="str">
        <f>IF(OR(ISBLANK(C4530),C4530=""),"",ROUND((C4530-B4530)*24,2))</f>
        <v/>
      </c>
      <c r="N4530" s="19" t="str">
        <f>IF(OR(ISBLANK(C4530),C4530="",M4530=""),"In Progress",IF(M4530&lt;=J4530,"Met","Breached"))</f>
        <v>In Progress</v>
      </c>
    </row>
    <row r="4531" ht="19" customHeight="1" spans="1:14" x14ac:dyDescent="0.25">
      <c r="A4531" s="22" t="s">
        <v>4645</v>
      </c>
      <c r="B4531" s="36">
        <v>46273.433333333334</v>
      </c>
      <c r="D4531" s="22" t="s">
        <v>39</v>
      </c>
      <c r="E4531" s="22" t="s">
        <v>69</v>
      </c>
      <c r="F4531" s="22" t="s">
        <v>40</v>
      </c>
      <c r="G4531" s="22" t="s">
        <v>121</v>
      </c>
      <c r="H4531" s="22" t="s">
        <v>63</v>
      </c>
      <c r="I4531" s="22" t="s">
        <v>117</v>
      </c>
      <c r="J4531" s="23">
        <v>120</v>
      </c>
      <c r="K4531" s="37">
        <v>0</v>
      </c>
      <c r="M4531" s="22" t="str">
        <f>IF(OR(ISBLANK(C4531),C4531=""),"",ROUND((C4531-B4531)*24,2))</f>
        <v/>
      </c>
      <c r="N4531" s="22" t="str">
        <f>IF(OR(ISBLANK(C4531),C4531="",M4531=""),"In Progress",IF(M4531&lt;=J4531,"Met","Breached"))</f>
        <v>In Progress</v>
      </c>
    </row>
    <row r="4532" ht="19" customHeight="1" spans="1:14" x14ac:dyDescent="0.25">
      <c r="A4532" s="19" t="s">
        <v>4646</v>
      </c>
      <c r="B4532" s="33">
        <v>46136.072222222225</v>
      </c>
      <c r="C4532" s="33">
        <v>46136.95</v>
      </c>
      <c r="D4532" s="19" t="s">
        <v>33</v>
      </c>
      <c r="E4532" s="19" t="s">
        <v>65</v>
      </c>
      <c r="F4532" s="19" t="s">
        <v>37</v>
      </c>
      <c r="G4532" s="19" t="s">
        <v>110</v>
      </c>
      <c r="H4532" s="19" t="s">
        <v>71</v>
      </c>
      <c r="I4532" s="19" t="s">
        <v>114</v>
      </c>
      <c r="J4532" s="20">
        <v>48</v>
      </c>
      <c r="K4532" s="34">
        <v>0</v>
      </c>
      <c r="L4532" s="34">
        <v>2</v>
      </c>
      <c r="M4532" s="19">
        <f>IF(OR(ISBLANK(C4532),C4532=""),"",ROUND((C4532-B4532)*24,2))</f>
        <v>21.07</v>
      </c>
      <c r="N4532" s="35" t="str">
        <f>IF(OR(ISBLANK(C4532),C4532="",M4532=""),"In Progress",IF(M4532&lt;=J4532,"Met","Breached"))</f>
        <v>Met</v>
      </c>
    </row>
    <row r="4533" ht="19" customHeight="1" spans="1:14" x14ac:dyDescent="0.25">
      <c r="A4533" s="22" t="s">
        <v>4647</v>
      </c>
      <c r="B4533" s="36">
        <v>45944.209027777775</v>
      </c>
      <c r="C4533" s="36">
        <v>45944.93472222222</v>
      </c>
      <c r="D4533" s="22" t="s">
        <v>33</v>
      </c>
      <c r="E4533" s="22" t="s">
        <v>65</v>
      </c>
      <c r="F4533" s="22" t="s">
        <v>34</v>
      </c>
      <c r="G4533" s="22" t="s">
        <v>113</v>
      </c>
      <c r="H4533" s="22" t="s">
        <v>59</v>
      </c>
      <c r="I4533" s="22" t="s">
        <v>114</v>
      </c>
      <c r="J4533" s="23">
        <v>48</v>
      </c>
      <c r="K4533" s="37">
        <v>0</v>
      </c>
      <c r="L4533" s="37">
        <v>4</v>
      </c>
      <c r="M4533" s="22">
        <f>IF(OR(ISBLANK(C4533),C4533=""),"",ROUND((C4533-B4533)*24,2))</f>
        <v>17.42</v>
      </c>
      <c r="N4533" s="40" t="str">
        <f>IF(OR(ISBLANK(C4533),C4533="",M4533=""),"In Progress",IF(M4533&lt;=J4533,"Met","Breached"))</f>
        <v>Met</v>
      </c>
    </row>
    <row r="4534" ht="19" customHeight="1" spans="1:14" x14ac:dyDescent="0.25">
      <c r="A4534" s="19" t="s">
        <v>4648</v>
      </c>
      <c r="B4534" s="33">
        <v>45661.90416666667</v>
      </c>
      <c r="D4534" s="19" t="s">
        <v>39</v>
      </c>
      <c r="E4534" s="19" t="s">
        <v>65</v>
      </c>
      <c r="F4534" s="19" t="s">
        <v>45</v>
      </c>
      <c r="G4534" s="19" t="s">
        <v>110</v>
      </c>
      <c r="H4534" s="19" t="s">
        <v>63</v>
      </c>
      <c r="I4534" s="19" t="s">
        <v>114</v>
      </c>
      <c r="J4534" s="20">
        <v>48</v>
      </c>
      <c r="K4534" s="34">
        <v>0</v>
      </c>
      <c r="M4534" s="19" t="str">
        <f>IF(OR(ISBLANK(C4534),C4534=""),"",ROUND((C4534-B4534)*24,2))</f>
        <v/>
      </c>
      <c r="N4534" s="19" t="str">
        <f>IF(OR(ISBLANK(C4534),C4534="",M4534=""),"In Progress",IF(M4534&lt;=J4534,"Met","Breached"))</f>
        <v>In Progress</v>
      </c>
    </row>
    <row r="4535" ht="19" customHeight="1" spans="1:14" x14ac:dyDescent="0.25">
      <c r="A4535" s="22" t="s">
        <v>4649</v>
      </c>
      <c r="B4535" s="36">
        <v>45975.39583333333</v>
      </c>
      <c r="D4535" s="22" t="s">
        <v>39</v>
      </c>
      <c r="E4535" s="22" t="s">
        <v>61</v>
      </c>
      <c r="F4535" s="22" t="s">
        <v>37</v>
      </c>
      <c r="G4535" s="22" t="s">
        <v>63</v>
      </c>
      <c r="H4535" s="22" t="s">
        <v>63</v>
      </c>
      <c r="I4535" s="22" t="s">
        <v>111</v>
      </c>
      <c r="J4535" s="23">
        <v>12</v>
      </c>
      <c r="K4535" s="37">
        <v>0</v>
      </c>
      <c r="M4535" s="22" t="str">
        <f>IF(OR(ISBLANK(C4535),C4535=""),"",ROUND((C4535-B4535)*24,2))</f>
        <v/>
      </c>
      <c r="N4535" s="22" t="str">
        <f>IF(OR(ISBLANK(C4535),C4535="",M4535=""),"In Progress",IF(M4535&lt;=J4535,"Met","Breached"))</f>
        <v>In Progress</v>
      </c>
    </row>
    <row r="4536" ht="19" customHeight="1" spans="1:14" x14ac:dyDescent="0.25">
      <c r="A4536" s="19" t="s">
        <v>4650</v>
      </c>
      <c r="B4536" s="33">
        <v>45707.58263888889</v>
      </c>
      <c r="C4536" s="33">
        <v>45708.25208333333</v>
      </c>
      <c r="D4536" s="19" t="s">
        <v>33</v>
      </c>
      <c r="E4536" s="19" t="s">
        <v>61</v>
      </c>
      <c r="F4536" s="19" t="s">
        <v>40</v>
      </c>
      <c r="G4536" s="19" t="s">
        <v>113</v>
      </c>
      <c r="H4536" s="19" t="s">
        <v>71</v>
      </c>
      <c r="I4536" s="19" t="s">
        <v>123</v>
      </c>
      <c r="J4536" s="20">
        <v>12</v>
      </c>
      <c r="K4536" s="34">
        <v>0</v>
      </c>
      <c r="M4536" s="19">
        <f>IF(OR(ISBLANK(C4536),C4536=""),"",ROUND((C4536-B4536)*24,2))</f>
        <v>16.07</v>
      </c>
      <c r="N4536" s="39" t="str">
        <f>IF(OR(ISBLANK(C4536),C4536="",M4536=""),"In Progress",IF(M4536&lt;=J4536,"Met","Breached"))</f>
        <v>Breached</v>
      </c>
    </row>
    <row r="4537" ht="19" customHeight="1" spans="1:14" x14ac:dyDescent="0.25">
      <c r="A4537" s="22" t="s">
        <v>4651</v>
      </c>
      <c r="B4537" s="36">
        <v>45945.75</v>
      </c>
      <c r="C4537" s="36">
        <v>45954.41111111111</v>
      </c>
      <c r="D4537" s="22" t="s">
        <v>33</v>
      </c>
      <c r="E4537" s="22" t="s">
        <v>69</v>
      </c>
      <c r="F4537" s="22" t="s">
        <v>34</v>
      </c>
      <c r="G4537" s="22" t="s">
        <v>110</v>
      </c>
      <c r="H4537" s="22" t="s">
        <v>67</v>
      </c>
      <c r="I4537" s="22" t="s">
        <v>123</v>
      </c>
      <c r="J4537" s="23">
        <v>120</v>
      </c>
      <c r="K4537" s="37">
        <v>0</v>
      </c>
      <c r="L4537" s="37">
        <v>1</v>
      </c>
      <c r="M4537" s="22">
        <f>IF(OR(ISBLANK(C4537),C4537=""),"",ROUND((C4537-B4537)*24,2))</f>
        <v>207.87</v>
      </c>
      <c r="N4537" s="38" t="str">
        <f>IF(OR(ISBLANK(C4537),C4537="",M4537=""),"In Progress",IF(M4537&lt;=J4537,"Met","Breached"))</f>
        <v>Breached</v>
      </c>
    </row>
    <row r="4538" ht="19" customHeight="1" spans="1:14" x14ac:dyDescent="0.25">
      <c r="A4538" s="19" t="s">
        <v>4652</v>
      </c>
      <c r="B4538" s="33">
        <v>46154.45208333334</v>
      </c>
      <c r="C4538" s="33">
        <v>46157.910416666666</v>
      </c>
      <c r="D4538" s="19" t="s">
        <v>33</v>
      </c>
      <c r="E4538" s="19" t="s">
        <v>65</v>
      </c>
      <c r="F4538" s="19" t="s">
        <v>40</v>
      </c>
      <c r="G4538" s="19" t="s">
        <v>63</v>
      </c>
      <c r="H4538" s="19" t="s">
        <v>63</v>
      </c>
      <c r="I4538" s="19" t="s">
        <v>117</v>
      </c>
      <c r="J4538" s="20">
        <v>48</v>
      </c>
      <c r="K4538" s="34">
        <v>0</v>
      </c>
      <c r="L4538" s="34">
        <v>3</v>
      </c>
      <c r="M4538" s="19">
        <f>IF(OR(ISBLANK(C4538),C4538=""),"",ROUND((C4538-B4538)*24,2))</f>
        <v>83</v>
      </c>
      <c r="N4538" s="39" t="str">
        <f>IF(OR(ISBLANK(C4538),C4538="",M4538=""),"In Progress",IF(M4538&lt;=J4538,"Met","Breached"))</f>
        <v>Breached</v>
      </c>
    </row>
    <row r="4539" ht="19" customHeight="1" spans="1:14" x14ac:dyDescent="0.25">
      <c r="A4539" s="22" t="s">
        <v>4653</v>
      </c>
      <c r="B4539" s="36">
        <v>46153.63680555555</v>
      </c>
      <c r="C4539" s="36">
        <v>46154.14583333333</v>
      </c>
      <c r="D4539" s="22" t="s">
        <v>33</v>
      </c>
      <c r="E4539" s="22" t="s">
        <v>61</v>
      </c>
      <c r="F4539" s="22" t="s">
        <v>45</v>
      </c>
      <c r="G4539" s="22" t="s">
        <v>116</v>
      </c>
      <c r="H4539" s="22" t="s">
        <v>67</v>
      </c>
      <c r="I4539" s="22" t="s">
        <v>114</v>
      </c>
      <c r="J4539" s="23">
        <v>12</v>
      </c>
      <c r="K4539" s="37">
        <v>0</v>
      </c>
      <c r="M4539" s="22">
        <f>IF(OR(ISBLANK(C4539),C4539=""),"",ROUND((C4539-B4539)*24,2))</f>
        <v>12.22</v>
      </c>
      <c r="N4539" s="38" t="str">
        <f>IF(OR(ISBLANK(C4539),C4539="",M4539=""),"In Progress",IF(M4539&lt;=J4539,"Met","Breached"))</f>
        <v>Breached</v>
      </c>
    </row>
    <row r="4540" ht="19" customHeight="1" spans="1:14" x14ac:dyDescent="0.25">
      <c r="A4540" s="19" t="s">
        <v>4654</v>
      </c>
      <c r="B4540" s="33">
        <v>45951.07847222222</v>
      </c>
      <c r="D4540" s="19" t="s">
        <v>39</v>
      </c>
      <c r="E4540" s="19" t="s">
        <v>61</v>
      </c>
      <c r="F4540" s="19" t="s">
        <v>43</v>
      </c>
      <c r="G4540" s="19" t="s">
        <v>116</v>
      </c>
      <c r="H4540" s="19" t="s">
        <v>59</v>
      </c>
      <c r="I4540" s="19" t="s">
        <v>114</v>
      </c>
      <c r="J4540" s="20">
        <v>12</v>
      </c>
      <c r="K4540" s="34">
        <v>0</v>
      </c>
      <c r="M4540" s="19" t="str">
        <f>IF(OR(ISBLANK(C4540),C4540=""),"",ROUND((C4540-B4540)*24,2))</f>
        <v/>
      </c>
      <c r="N4540" s="19" t="str">
        <f>IF(OR(ISBLANK(C4540),C4540="",M4540=""),"In Progress",IF(M4540&lt;=J4540,"Met","Breached"))</f>
        <v>In Progress</v>
      </c>
    </row>
    <row r="4541" ht="19" customHeight="1" spans="1:14" x14ac:dyDescent="0.25">
      <c r="A4541" s="22" t="s">
        <v>4655</v>
      </c>
      <c r="B4541" s="36">
        <v>46191.319444444445</v>
      </c>
      <c r="C4541" s="36">
        <v>46193.09652777778</v>
      </c>
      <c r="D4541" s="22" t="s">
        <v>33</v>
      </c>
      <c r="E4541" s="22" t="s">
        <v>65</v>
      </c>
      <c r="F4541" s="22" t="s">
        <v>37</v>
      </c>
      <c r="G4541" s="22" t="s">
        <v>126</v>
      </c>
      <c r="H4541" s="22" t="s">
        <v>67</v>
      </c>
      <c r="I4541" s="22" t="s">
        <v>114</v>
      </c>
      <c r="J4541" s="23">
        <v>48</v>
      </c>
      <c r="K4541" s="37">
        <v>0</v>
      </c>
      <c r="L4541" s="37">
        <v>5</v>
      </c>
      <c r="M4541" s="22">
        <f>IF(OR(ISBLANK(C4541),C4541=""),"",ROUND((C4541-B4541)*24,2))</f>
        <v>42.65</v>
      </c>
      <c r="N4541" s="40" t="str">
        <f>IF(OR(ISBLANK(C4541),C4541="",M4541=""),"In Progress",IF(M4541&lt;=J4541,"Met","Breached"))</f>
        <v>Met</v>
      </c>
    </row>
    <row r="4542" ht="19" customHeight="1" spans="1:14" x14ac:dyDescent="0.25">
      <c r="A4542" s="19" t="s">
        <v>4656</v>
      </c>
      <c r="B4542" s="33">
        <v>45803.228472222225</v>
      </c>
      <c r="C4542" s="33">
        <v>45805.31805555556</v>
      </c>
      <c r="D4542" s="19" t="s">
        <v>33</v>
      </c>
      <c r="E4542" s="19" t="s">
        <v>65</v>
      </c>
      <c r="F4542" s="19" t="s">
        <v>34</v>
      </c>
      <c r="G4542" s="19" t="s">
        <v>116</v>
      </c>
      <c r="H4542" s="19" t="s">
        <v>71</v>
      </c>
      <c r="I4542" s="19" t="s">
        <v>123</v>
      </c>
      <c r="J4542" s="20">
        <v>48</v>
      </c>
      <c r="K4542" s="34">
        <v>0</v>
      </c>
      <c r="L4542" s="34">
        <v>1</v>
      </c>
      <c r="M4542" s="19">
        <f>IF(OR(ISBLANK(C4542),C4542=""),"",ROUND((C4542-B4542)*24,2))</f>
        <v>50.15</v>
      </c>
      <c r="N4542" s="39" t="str">
        <f>IF(OR(ISBLANK(C4542),C4542="",M4542=""),"In Progress",IF(M4542&lt;=J4542,"Met","Breached"))</f>
        <v>Breached</v>
      </c>
    </row>
    <row r="4543" ht="19" customHeight="1" spans="1:14" x14ac:dyDescent="0.25">
      <c r="A4543" s="22" t="s">
        <v>4657</v>
      </c>
      <c r="B4543" s="36">
        <v>45735.94027777778</v>
      </c>
      <c r="C4543" s="36">
        <v>45738.05347222222</v>
      </c>
      <c r="D4543" s="22" t="s">
        <v>33</v>
      </c>
      <c r="E4543" s="22" t="s">
        <v>65</v>
      </c>
      <c r="F4543" s="22" t="s">
        <v>40</v>
      </c>
      <c r="G4543" s="22" t="s">
        <v>63</v>
      </c>
      <c r="H4543" s="22" t="s">
        <v>59</v>
      </c>
      <c r="I4543" s="22" t="s">
        <v>114</v>
      </c>
      <c r="J4543" s="23">
        <v>48</v>
      </c>
      <c r="K4543" s="37">
        <v>0</v>
      </c>
      <c r="L4543" s="37">
        <v>3</v>
      </c>
      <c r="M4543" s="22">
        <f>IF(OR(ISBLANK(C4543),C4543=""),"",ROUND((C4543-B4543)*24,2))</f>
        <v>50.72</v>
      </c>
      <c r="N4543" s="38" t="str">
        <f>IF(OR(ISBLANK(C4543),C4543="",M4543=""),"In Progress",IF(M4543&lt;=J4543,"Met","Breached"))</f>
        <v>Breached</v>
      </c>
    </row>
    <row r="4544" ht="19" customHeight="1" spans="1:14" x14ac:dyDescent="0.25">
      <c r="A4544" s="19" t="s">
        <v>4658</v>
      </c>
      <c r="B4544" s="33">
        <v>45717.52013888889</v>
      </c>
      <c r="D4544" s="19" t="s">
        <v>39</v>
      </c>
      <c r="E4544" s="19" t="s">
        <v>65</v>
      </c>
      <c r="F4544" s="19" t="s">
        <v>37</v>
      </c>
      <c r="G4544" s="19" t="s">
        <v>63</v>
      </c>
      <c r="H4544" s="19" t="s">
        <v>67</v>
      </c>
      <c r="I4544" s="19" t="s">
        <v>114</v>
      </c>
      <c r="J4544" s="20">
        <v>48</v>
      </c>
      <c r="K4544" s="34">
        <v>0</v>
      </c>
      <c r="M4544" s="19" t="str">
        <f>IF(OR(ISBLANK(C4544),C4544=""),"",ROUND((C4544-B4544)*24,2))</f>
        <v/>
      </c>
      <c r="N4544" s="19" t="str">
        <f>IF(OR(ISBLANK(C4544),C4544="",M4544=""),"In Progress",IF(M4544&lt;=J4544,"Met","Breached"))</f>
        <v>In Progress</v>
      </c>
    </row>
    <row r="4545" ht="19" customHeight="1" spans="1:14" x14ac:dyDescent="0.25">
      <c r="A4545" s="22" t="s">
        <v>4659</v>
      </c>
      <c r="B4545" s="36">
        <v>46186.3125</v>
      </c>
      <c r="C4545" s="36">
        <v>46189.49166666667</v>
      </c>
      <c r="D4545" s="22" t="s">
        <v>33</v>
      </c>
      <c r="E4545" s="22" t="s">
        <v>65</v>
      </c>
      <c r="F4545" s="22" t="s">
        <v>34</v>
      </c>
      <c r="G4545" s="22" t="s">
        <v>116</v>
      </c>
      <c r="H4545" s="22" t="s">
        <v>67</v>
      </c>
      <c r="I4545" s="22" t="s">
        <v>108</v>
      </c>
      <c r="J4545" s="23">
        <v>48</v>
      </c>
      <c r="K4545" s="37">
        <v>0</v>
      </c>
      <c r="L4545" s="37">
        <v>1</v>
      </c>
      <c r="M4545" s="22">
        <f>IF(OR(ISBLANK(C4545),C4545=""),"",ROUND((C4545-B4545)*24,2))</f>
        <v>76.3</v>
      </c>
      <c r="N4545" s="38" t="str">
        <f>IF(OR(ISBLANK(C4545),C4545="",M4545=""),"In Progress",IF(M4545&lt;=J4545,"Met","Breached"))</f>
        <v>Breached</v>
      </c>
    </row>
    <row r="4546" ht="19" customHeight="1" spans="1:14" x14ac:dyDescent="0.25">
      <c r="A4546" s="19" t="s">
        <v>4660</v>
      </c>
      <c r="B4546" s="33">
        <v>45756.07638888889</v>
      </c>
      <c r="C4546" s="33">
        <v>45759.882638888885</v>
      </c>
      <c r="D4546" s="19" t="s">
        <v>33</v>
      </c>
      <c r="E4546" s="19" t="s">
        <v>69</v>
      </c>
      <c r="F4546" s="19" t="s">
        <v>34</v>
      </c>
      <c r="G4546" s="19" t="s">
        <v>113</v>
      </c>
      <c r="H4546" s="19" t="s">
        <v>67</v>
      </c>
      <c r="I4546" s="19" t="s">
        <v>108</v>
      </c>
      <c r="J4546" s="20">
        <v>120</v>
      </c>
      <c r="K4546" s="34">
        <v>0</v>
      </c>
      <c r="M4546" s="19">
        <f>IF(OR(ISBLANK(C4546),C4546=""),"",ROUND((C4546-B4546)*24,2))</f>
        <v>91.35</v>
      </c>
      <c r="N4546" s="35" t="str">
        <f>IF(OR(ISBLANK(C4546),C4546="",M4546=""),"In Progress",IF(M4546&lt;=J4546,"Met","Breached"))</f>
        <v>Met</v>
      </c>
    </row>
    <row r="4547" ht="19" customHeight="1" spans="1:14" x14ac:dyDescent="0.25">
      <c r="A4547" s="22" t="s">
        <v>4661</v>
      </c>
      <c r="B4547" s="36">
        <v>46156.19236111111</v>
      </c>
      <c r="D4547" s="22" t="s">
        <v>39</v>
      </c>
      <c r="E4547" s="22" t="s">
        <v>65</v>
      </c>
      <c r="F4547" s="22" t="s">
        <v>34</v>
      </c>
      <c r="G4547" s="22" t="s">
        <v>121</v>
      </c>
      <c r="H4547" s="22" t="s">
        <v>63</v>
      </c>
      <c r="I4547" s="22" t="s">
        <v>117</v>
      </c>
      <c r="J4547" s="23">
        <v>48</v>
      </c>
      <c r="K4547" s="37">
        <v>0</v>
      </c>
      <c r="M4547" s="22" t="str">
        <f>IF(OR(ISBLANK(C4547),C4547=""),"",ROUND((C4547-B4547)*24,2))</f>
        <v/>
      </c>
      <c r="N4547" s="22" t="str">
        <f>IF(OR(ISBLANK(C4547),C4547="",M4547=""),"In Progress",IF(M4547&lt;=J4547,"Met","Breached"))</f>
        <v>In Progress</v>
      </c>
    </row>
    <row r="4548" ht="19" customHeight="1" spans="1:14" x14ac:dyDescent="0.25">
      <c r="A4548" s="19" t="s">
        <v>4662</v>
      </c>
      <c r="B4548" s="33">
        <v>45967.743055555555</v>
      </c>
      <c r="C4548" s="33">
        <v>45973.339583333334</v>
      </c>
      <c r="D4548" s="19" t="s">
        <v>33</v>
      </c>
      <c r="E4548" s="19" t="s">
        <v>69</v>
      </c>
      <c r="F4548" s="19" t="s">
        <v>43</v>
      </c>
      <c r="G4548" s="19" t="s">
        <v>116</v>
      </c>
      <c r="H4548" s="19" t="s">
        <v>63</v>
      </c>
      <c r="I4548" s="19" t="s">
        <v>114</v>
      </c>
      <c r="J4548" s="20">
        <v>120</v>
      </c>
      <c r="K4548" s="34">
        <v>0</v>
      </c>
      <c r="L4548" s="34">
        <v>1</v>
      </c>
      <c r="M4548" s="19">
        <f>IF(OR(ISBLANK(C4548),C4548=""),"",ROUND((C4548-B4548)*24,2))</f>
        <v>134.32</v>
      </c>
      <c r="N4548" s="39" t="str">
        <f>IF(OR(ISBLANK(C4548),C4548="",M4548=""),"In Progress",IF(M4548&lt;=J4548,"Met","Breached"))</f>
        <v>Breached</v>
      </c>
    </row>
    <row r="4549" ht="19" customHeight="1" spans="1:14" x14ac:dyDescent="0.25">
      <c r="A4549" s="22" t="s">
        <v>4663</v>
      </c>
      <c r="B4549" s="36">
        <v>46239.19097222222</v>
      </c>
      <c r="C4549" s="36">
        <v>46239.26388888889</v>
      </c>
      <c r="D4549" s="22" t="s">
        <v>36</v>
      </c>
      <c r="E4549" s="22" t="s">
        <v>57</v>
      </c>
      <c r="F4549" s="22" t="s">
        <v>34</v>
      </c>
      <c r="G4549" s="22" t="s">
        <v>121</v>
      </c>
      <c r="H4549" s="22" t="s">
        <v>59</v>
      </c>
      <c r="I4549" s="22" t="s">
        <v>147</v>
      </c>
      <c r="J4549" s="23">
        <v>4</v>
      </c>
      <c r="K4549" s="37">
        <v>0</v>
      </c>
      <c r="M4549" s="22">
        <f>IF(OR(ISBLANK(C4549),C4549=""),"",ROUND((C4549-B4549)*24,2))</f>
        <v>1.75</v>
      </c>
      <c r="N4549" s="40" t="str">
        <f>IF(OR(ISBLANK(C4549),C4549="",M4549=""),"In Progress",IF(M4549&lt;=J4549,"Met","Breached"))</f>
        <v>Met</v>
      </c>
    </row>
    <row r="4550" ht="19" customHeight="1" spans="1:14" x14ac:dyDescent="0.25">
      <c r="A4550" s="19" t="s">
        <v>4664</v>
      </c>
      <c r="B4550" s="33">
        <v>45670.86388888889</v>
      </c>
      <c r="C4550" s="33">
        <v>45674.61944444444</v>
      </c>
      <c r="D4550" s="19" t="s">
        <v>33</v>
      </c>
      <c r="E4550" s="19" t="s">
        <v>69</v>
      </c>
      <c r="F4550" s="19" t="s">
        <v>43</v>
      </c>
      <c r="G4550" s="19" t="s">
        <v>113</v>
      </c>
      <c r="H4550" s="19" t="s">
        <v>59</v>
      </c>
      <c r="I4550" s="19" t="s">
        <v>111</v>
      </c>
      <c r="J4550" s="20">
        <v>120</v>
      </c>
      <c r="K4550" s="34">
        <v>0</v>
      </c>
      <c r="L4550" s="34">
        <v>2</v>
      </c>
      <c r="M4550" s="19">
        <f>IF(OR(ISBLANK(C4550),C4550=""),"",ROUND((C4550-B4550)*24,2))</f>
        <v>90.13</v>
      </c>
      <c r="N4550" s="35" t="str">
        <f>IF(OR(ISBLANK(C4550),C4550="",M4550=""),"In Progress",IF(M4550&lt;=J4550,"Met","Breached"))</f>
        <v>Met</v>
      </c>
    </row>
    <row r="4551" ht="19" customHeight="1" spans="1:14" x14ac:dyDescent="0.25">
      <c r="A4551" s="22" t="s">
        <v>4665</v>
      </c>
      <c r="B4551" s="36">
        <v>45879.450694444444</v>
      </c>
      <c r="C4551" s="36">
        <v>45880.93680555555</v>
      </c>
      <c r="D4551" s="22" t="s">
        <v>33</v>
      </c>
      <c r="E4551" s="22" t="s">
        <v>65</v>
      </c>
      <c r="F4551" s="22" t="s">
        <v>37</v>
      </c>
      <c r="G4551" s="22" t="s">
        <v>113</v>
      </c>
      <c r="H4551" s="22" t="s">
        <v>59</v>
      </c>
      <c r="I4551" s="22" t="s">
        <v>111</v>
      </c>
      <c r="J4551" s="23">
        <v>48</v>
      </c>
      <c r="K4551" s="37">
        <v>0</v>
      </c>
      <c r="M4551" s="22">
        <f>IF(OR(ISBLANK(C4551),C4551=""),"",ROUND((C4551-B4551)*24,2))</f>
        <v>35.67</v>
      </c>
      <c r="N4551" s="40" t="str">
        <f>IF(OR(ISBLANK(C4551),C4551="",M4551=""),"In Progress",IF(M4551&lt;=J4551,"Met","Breached"))</f>
        <v>Met</v>
      </c>
    </row>
    <row r="4552" ht="19" customHeight="1" spans="1:14" x14ac:dyDescent="0.25">
      <c r="A4552" s="19" t="s">
        <v>4666</v>
      </c>
      <c r="B4552" s="33">
        <v>46162.19583333333</v>
      </c>
      <c r="C4552" s="33">
        <v>46162.45347222222</v>
      </c>
      <c r="D4552" s="19" t="s">
        <v>36</v>
      </c>
      <c r="E4552" s="19" t="s">
        <v>61</v>
      </c>
      <c r="F4552" s="19" t="s">
        <v>40</v>
      </c>
      <c r="G4552" s="19" t="s">
        <v>63</v>
      </c>
      <c r="H4552" s="19" t="s">
        <v>59</v>
      </c>
      <c r="I4552" s="19" t="s">
        <v>114</v>
      </c>
      <c r="J4552" s="20">
        <v>12</v>
      </c>
      <c r="K4552" s="34">
        <v>0</v>
      </c>
      <c r="L4552" s="34">
        <v>2</v>
      </c>
      <c r="M4552" s="19">
        <f>IF(OR(ISBLANK(C4552),C4552=""),"",ROUND((C4552-B4552)*24,2))</f>
        <v>6.18</v>
      </c>
      <c r="N4552" s="35" t="str">
        <f>IF(OR(ISBLANK(C4552),C4552="",M4552=""),"In Progress",IF(M4552&lt;=J4552,"Met","Breached"))</f>
        <v>Met</v>
      </c>
    </row>
    <row r="4553" ht="19" customHeight="1" spans="1:14" x14ac:dyDescent="0.25">
      <c r="A4553" s="22" t="s">
        <v>4667</v>
      </c>
      <c r="B4553" s="36">
        <v>45765.27083333333</v>
      </c>
      <c r="D4553" s="22" t="s">
        <v>42</v>
      </c>
      <c r="E4553" s="22" t="s">
        <v>65</v>
      </c>
      <c r="F4553" s="22" t="s">
        <v>34</v>
      </c>
      <c r="G4553" s="22" t="s">
        <v>113</v>
      </c>
      <c r="H4553" s="22" t="s">
        <v>67</v>
      </c>
      <c r="I4553" s="22" t="s">
        <v>117</v>
      </c>
      <c r="J4553" s="23">
        <v>48</v>
      </c>
      <c r="K4553" s="37">
        <v>0</v>
      </c>
      <c r="M4553" s="22" t="str">
        <f>IF(OR(ISBLANK(C4553),C4553=""),"",ROUND((C4553-B4553)*24,2))</f>
        <v/>
      </c>
      <c r="N4553" s="22" t="str">
        <f>IF(OR(ISBLANK(C4553),C4553="",M4553=""),"In Progress",IF(M4553&lt;=J4553,"Met","Breached"))</f>
        <v>In Progress</v>
      </c>
    </row>
    <row r="4554" ht="19" customHeight="1" spans="1:14" x14ac:dyDescent="0.25">
      <c r="A4554" s="19" t="s">
        <v>4668</v>
      </c>
      <c r="B4554" s="33">
        <v>45720.756944444445</v>
      </c>
      <c r="C4554" s="33">
        <v>45723.98125</v>
      </c>
      <c r="D4554" s="19" t="s">
        <v>33</v>
      </c>
      <c r="E4554" s="19" t="s">
        <v>69</v>
      </c>
      <c r="F4554" s="19" t="s">
        <v>34</v>
      </c>
      <c r="G4554" s="19" t="s">
        <v>116</v>
      </c>
      <c r="H4554" s="19" t="s">
        <v>63</v>
      </c>
      <c r="I4554" s="19" t="s">
        <v>111</v>
      </c>
      <c r="J4554" s="20">
        <v>120</v>
      </c>
      <c r="K4554" s="34">
        <v>0</v>
      </c>
      <c r="M4554" s="19">
        <f>IF(OR(ISBLANK(C4554),C4554=""),"",ROUND((C4554-B4554)*24,2))</f>
        <v>77.38</v>
      </c>
      <c r="N4554" s="35" t="str">
        <f>IF(OR(ISBLANK(C4554),C4554="",M4554=""),"In Progress",IF(M4554&lt;=J4554,"Met","Breached"))</f>
        <v>Met</v>
      </c>
    </row>
    <row r="4555" ht="19" customHeight="1" spans="1:14" x14ac:dyDescent="0.25">
      <c r="A4555" s="22" t="s">
        <v>4669</v>
      </c>
      <c r="B4555" s="36">
        <v>46206.089583333334</v>
      </c>
      <c r="C4555" s="36">
        <v>46206.76041666667</v>
      </c>
      <c r="D4555" s="22" t="s">
        <v>36</v>
      </c>
      <c r="E4555" s="22" t="s">
        <v>61</v>
      </c>
      <c r="F4555" s="22" t="s">
        <v>45</v>
      </c>
      <c r="G4555" s="22" t="s">
        <v>113</v>
      </c>
      <c r="H4555" s="22" t="s">
        <v>59</v>
      </c>
      <c r="I4555" s="22" t="s">
        <v>108</v>
      </c>
      <c r="J4555" s="23">
        <v>12</v>
      </c>
      <c r="K4555" s="37">
        <v>0</v>
      </c>
      <c r="L4555" s="37">
        <v>2</v>
      </c>
      <c r="M4555" s="22">
        <f>IF(OR(ISBLANK(C4555),C4555=""),"",ROUND((C4555-B4555)*24,2))</f>
        <v>16.1</v>
      </c>
      <c r="N4555" s="38" t="str">
        <f>IF(OR(ISBLANK(C4555),C4555="",M4555=""),"In Progress",IF(M4555&lt;=J4555,"Met","Breached"))</f>
        <v>Breached</v>
      </c>
    </row>
    <row r="4556" ht="19" customHeight="1" spans="1:14" x14ac:dyDescent="0.25">
      <c r="A4556" s="19" t="s">
        <v>4670</v>
      </c>
      <c r="B4556" s="33">
        <v>45861.37777777778</v>
      </c>
      <c r="C4556" s="33">
        <v>45862.759722222225</v>
      </c>
      <c r="D4556" s="19" t="s">
        <v>36</v>
      </c>
      <c r="E4556" s="19" t="s">
        <v>65</v>
      </c>
      <c r="F4556" s="19" t="s">
        <v>45</v>
      </c>
      <c r="G4556" s="19" t="s">
        <v>113</v>
      </c>
      <c r="H4556" s="19" t="s">
        <v>63</v>
      </c>
      <c r="I4556" s="19" t="s">
        <v>108</v>
      </c>
      <c r="J4556" s="20">
        <v>48</v>
      </c>
      <c r="K4556" s="34">
        <v>0</v>
      </c>
      <c r="L4556" s="34">
        <v>2</v>
      </c>
      <c r="M4556" s="19">
        <f>IF(OR(ISBLANK(C4556),C4556=""),"",ROUND((C4556-B4556)*24,2))</f>
        <v>33.17</v>
      </c>
      <c r="N4556" s="35" t="str">
        <f>IF(OR(ISBLANK(C4556),C4556="",M4556=""),"In Progress",IF(M4556&lt;=J4556,"Met","Breached"))</f>
        <v>Met</v>
      </c>
    </row>
    <row r="4557" ht="19" customHeight="1" spans="1:14" x14ac:dyDescent="0.25">
      <c r="A4557" s="22" t="s">
        <v>4671</v>
      </c>
      <c r="B4557" s="36">
        <v>45901.68611111111</v>
      </c>
      <c r="C4557" s="36">
        <v>45904.711111111115</v>
      </c>
      <c r="D4557" s="22" t="s">
        <v>33</v>
      </c>
      <c r="E4557" s="22" t="s">
        <v>65</v>
      </c>
      <c r="F4557" s="22" t="s">
        <v>45</v>
      </c>
      <c r="G4557" s="22" t="s">
        <v>63</v>
      </c>
      <c r="H4557" s="22" t="s">
        <v>71</v>
      </c>
      <c r="I4557" s="22" t="s">
        <v>123</v>
      </c>
      <c r="J4557" s="23">
        <v>48</v>
      </c>
      <c r="K4557" s="37">
        <v>0</v>
      </c>
      <c r="L4557" s="37">
        <v>5</v>
      </c>
      <c r="M4557" s="22">
        <f>IF(OR(ISBLANK(C4557),C4557=""),"",ROUND((C4557-B4557)*24,2))</f>
        <v>72.6</v>
      </c>
      <c r="N4557" s="38" t="str">
        <f>IF(OR(ISBLANK(C4557),C4557="",M4557=""),"In Progress",IF(M4557&lt;=J4557,"Met","Breached"))</f>
        <v>Breached</v>
      </c>
    </row>
    <row r="4558" ht="19" customHeight="1" spans="1:14" x14ac:dyDescent="0.25">
      <c r="A4558" s="19" t="s">
        <v>4672</v>
      </c>
      <c r="B4558" s="33">
        <v>45924.39513888889</v>
      </c>
      <c r="C4558" s="33">
        <v>45924.64722222222</v>
      </c>
      <c r="D4558" s="19" t="s">
        <v>36</v>
      </c>
      <c r="E4558" s="19" t="s">
        <v>61</v>
      </c>
      <c r="F4558" s="19" t="s">
        <v>40</v>
      </c>
      <c r="G4558" s="19" t="s">
        <v>116</v>
      </c>
      <c r="H4558" s="19" t="s">
        <v>71</v>
      </c>
      <c r="I4558" s="19" t="s">
        <v>123</v>
      </c>
      <c r="J4558" s="20">
        <v>12</v>
      </c>
      <c r="K4558" s="34">
        <v>0</v>
      </c>
      <c r="L4558" s="34">
        <v>4</v>
      </c>
      <c r="M4558" s="19">
        <f>IF(OR(ISBLANK(C4558),C4558=""),"",ROUND((C4558-B4558)*24,2))</f>
        <v>6.05</v>
      </c>
      <c r="N4558" s="35" t="str">
        <f>IF(OR(ISBLANK(C4558),C4558="",M4558=""),"In Progress",IF(M4558&lt;=J4558,"Met","Breached"))</f>
        <v>Met</v>
      </c>
    </row>
    <row r="4559" ht="19" customHeight="1" spans="1:14" x14ac:dyDescent="0.25">
      <c r="A4559" s="22" t="s">
        <v>4673</v>
      </c>
      <c r="B4559" s="36">
        <v>46033.70763888889</v>
      </c>
      <c r="C4559" s="36">
        <v>46039.34166666667</v>
      </c>
      <c r="D4559" s="22" t="s">
        <v>33</v>
      </c>
      <c r="E4559" s="22" t="s">
        <v>69</v>
      </c>
      <c r="F4559" s="22" t="s">
        <v>37</v>
      </c>
      <c r="G4559" s="22" t="s">
        <v>110</v>
      </c>
      <c r="H4559" s="22" t="s">
        <v>59</v>
      </c>
      <c r="I4559" s="22" t="s">
        <v>111</v>
      </c>
      <c r="J4559" s="23">
        <v>120</v>
      </c>
      <c r="K4559" s="37">
        <v>0</v>
      </c>
      <c r="M4559" s="22">
        <f>IF(OR(ISBLANK(C4559),C4559=""),"",ROUND((C4559-B4559)*24,2))</f>
        <v>135.22</v>
      </c>
      <c r="N4559" s="38" t="str">
        <f>IF(OR(ISBLANK(C4559),C4559="",M4559=""),"In Progress",IF(M4559&lt;=J4559,"Met","Breached"))</f>
        <v>Breached</v>
      </c>
    </row>
    <row r="4560" ht="19" customHeight="1" spans="1:14" x14ac:dyDescent="0.25">
      <c r="A4560" s="19" t="s">
        <v>4674</v>
      </c>
      <c r="B4560" s="33">
        <v>45988.680555555555</v>
      </c>
      <c r="D4560" s="19" t="s">
        <v>39</v>
      </c>
      <c r="E4560" s="19" t="s">
        <v>57</v>
      </c>
      <c r="F4560" s="19" t="s">
        <v>34</v>
      </c>
      <c r="G4560" s="19" t="s">
        <v>113</v>
      </c>
      <c r="H4560" s="19" t="s">
        <v>59</v>
      </c>
      <c r="I4560" s="19" t="s">
        <v>108</v>
      </c>
      <c r="J4560" s="20">
        <v>4</v>
      </c>
      <c r="K4560" s="34">
        <v>0</v>
      </c>
      <c r="M4560" s="19" t="str">
        <f>IF(OR(ISBLANK(C4560),C4560=""),"",ROUND((C4560-B4560)*24,2))</f>
        <v/>
      </c>
      <c r="N4560" s="19" t="str">
        <f>IF(OR(ISBLANK(C4560),C4560="",M4560=""),"In Progress",IF(M4560&lt;=J4560,"Met","Breached"))</f>
        <v>In Progress</v>
      </c>
    </row>
    <row r="4561" ht="19" customHeight="1" spans="1:14" x14ac:dyDescent="0.25">
      <c r="A4561" s="22" t="s">
        <v>4675</v>
      </c>
      <c r="B4561" s="36">
        <v>46138.59583333333</v>
      </c>
      <c r="D4561" s="22" t="s">
        <v>39</v>
      </c>
      <c r="E4561" s="22" t="s">
        <v>65</v>
      </c>
      <c r="F4561" s="22" t="s">
        <v>45</v>
      </c>
      <c r="G4561" s="22" t="s">
        <v>113</v>
      </c>
      <c r="H4561" s="22" t="s">
        <v>59</v>
      </c>
      <c r="I4561" s="22" t="s">
        <v>114</v>
      </c>
      <c r="J4561" s="23">
        <v>48</v>
      </c>
      <c r="K4561" s="37">
        <v>0</v>
      </c>
      <c r="M4561" s="22" t="str">
        <f>IF(OR(ISBLANK(C4561),C4561=""),"",ROUND((C4561-B4561)*24,2))</f>
        <v/>
      </c>
      <c r="N4561" s="22" t="str">
        <f>IF(OR(ISBLANK(C4561),C4561="",M4561=""),"In Progress",IF(M4561&lt;=J4561,"Met","Breached"))</f>
        <v>In Progress</v>
      </c>
    </row>
    <row r="4562" ht="19" customHeight="1" spans="1:14" x14ac:dyDescent="0.25">
      <c r="A4562" s="19" t="s">
        <v>4676</v>
      </c>
      <c r="B4562" s="33">
        <v>45967.84513888889</v>
      </c>
      <c r="C4562" s="33">
        <v>45968.06111111111</v>
      </c>
      <c r="D4562" s="19" t="s">
        <v>33</v>
      </c>
      <c r="E4562" s="19" t="s">
        <v>61</v>
      </c>
      <c r="F4562" s="19" t="s">
        <v>45</v>
      </c>
      <c r="G4562" s="19" t="s">
        <v>121</v>
      </c>
      <c r="H4562" s="19" t="s">
        <v>71</v>
      </c>
      <c r="I4562" s="19" t="s">
        <v>147</v>
      </c>
      <c r="J4562" s="20">
        <v>12</v>
      </c>
      <c r="K4562" s="34">
        <v>0</v>
      </c>
      <c r="L4562" s="34">
        <v>4</v>
      </c>
      <c r="M4562" s="19">
        <f>IF(OR(ISBLANK(C4562),C4562=""),"",ROUND((C4562-B4562)*24,2))</f>
        <v>5.18</v>
      </c>
      <c r="N4562" s="35" t="str">
        <f>IF(OR(ISBLANK(C4562),C4562="",M4562=""),"In Progress",IF(M4562&lt;=J4562,"Met","Breached"))</f>
        <v>Met</v>
      </c>
    </row>
    <row r="4563" ht="19" customHeight="1" spans="1:14" x14ac:dyDescent="0.25">
      <c r="A4563" s="22" t="s">
        <v>4677</v>
      </c>
      <c r="B4563" s="36">
        <v>45713.77777777778</v>
      </c>
      <c r="D4563" s="22" t="s">
        <v>42</v>
      </c>
      <c r="E4563" s="22" t="s">
        <v>69</v>
      </c>
      <c r="F4563" s="22" t="s">
        <v>34</v>
      </c>
      <c r="G4563" s="22" t="s">
        <v>63</v>
      </c>
      <c r="H4563" s="22" t="s">
        <v>59</v>
      </c>
      <c r="I4563" s="22" t="s">
        <v>114</v>
      </c>
      <c r="J4563" s="23">
        <v>120</v>
      </c>
      <c r="K4563" s="37">
        <v>0</v>
      </c>
      <c r="M4563" s="22" t="str">
        <f>IF(OR(ISBLANK(C4563),C4563=""),"",ROUND((C4563-B4563)*24,2))</f>
        <v/>
      </c>
      <c r="N4563" s="22" t="str">
        <f>IF(OR(ISBLANK(C4563),C4563="",M4563=""),"In Progress",IF(M4563&lt;=J4563,"Met","Breached"))</f>
        <v>In Progress</v>
      </c>
    </row>
    <row r="4564" ht="19" customHeight="1" spans="1:14" x14ac:dyDescent="0.25">
      <c r="A4564" s="19" t="s">
        <v>4678</v>
      </c>
      <c r="B4564" s="33">
        <v>46276.40833333333</v>
      </c>
      <c r="D4564" s="19" t="s">
        <v>42</v>
      </c>
      <c r="E4564" s="19" t="s">
        <v>65</v>
      </c>
      <c r="F4564" s="19" t="s">
        <v>40</v>
      </c>
      <c r="G4564" s="19" t="s">
        <v>63</v>
      </c>
      <c r="H4564" s="19" t="s">
        <v>63</v>
      </c>
      <c r="I4564" s="19" t="s">
        <v>147</v>
      </c>
      <c r="J4564" s="20">
        <v>48</v>
      </c>
      <c r="K4564" s="34">
        <v>0</v>
      </c>
      <c r="M4564" s="19" t="str">
        <f>IF(OR(ISBLANK(C4564),C4564=""),"",ROUND((C4564-B4564)*24,2))</f>
        <v/>
      </c>
      <c r="N4564" s="19" t="str">
        <f>IF(OR(ISBLANK(C4564),C4564="",M4564=""),"In Progress",IF(M4564&lt;=J4564,"Met","Breached"))</f>
        <v>In Progress</v>
      </c>
    </row>
    <row r="4565" ht="19" customHeight="1" spans="1:14" x14ac:dyDescent="0.25">
      <c r="A4565" s="22" t="s">
        <v>4679</v>
      </c>
      <c r="B4565" s="36">
        <v>45958.69097222222</v>
      </c>
      <c r="C4565" s="36">
        <v>45959.486805555556</v>
      </c>
      <c r="D4565" s="22" t="s">
        <v>36</v>
      </c>
      <c r="E4565" s="22" t="s">
        <v>65</v>
      </c>
      <c r="F4565" s="22" t="s">
        <v>37</v>
      </c>
      <c r="G4565" s="22" t="s">
        <v>116</v>
      </c>
      <c r="H4565" s="22" t="s">
        <v>59</v>
      </c>
      <c r="I4565" s="22" t="s">
        <v>111</v>
      </c>
      <c r="J4565" s="23">
        <v>48</v>
      </c>
      <c r="K4565" s="37">
        <v>0</v>
      </c>
      <c r="L4565" s="37">
        <v>5</v>
      </c>
      <c r="M4565" s="22">
        <f>IF(OR(ISBLANK(C4565),C4565=""),"",ROUND((C4565-B4565)*24,2))</f>
        <v>19.1</v>
      </c>
      <c r="N4565" s="40" t="str">
        <f>IF(OR(ISBLANK(C4565),C4565="",M4565=""),"In Progress",IF(M4565&lt;=J4565,"Met","Breached"))</f>
        <v>Met</v>
      </c>
    </row>
    <row r="4566" ht="19" customHeight="1" spans="1:14" x14ac:dyDescent="0.25">
      <c r="A4566" s="19" t="s">
        <v>4680</v>
      </c>
      <c r="B4566" s="33">
        <v>46168.30763888889</v>
      </c>
      <c r="C4566" s="33">
        <v>46171.83472222222</v>
      </c>
      <c r="D4566" s="19" t="s">
        <v>36</v>
      </c>
      <c r="E4566" s="19" t="s">
        <v>65</v>
      </c>
      <c r="F4566" s="19" t="s">
        <v>43</v>
      </c>
      <c r="G4566" s="19" t="s">
        <v>126</v>
      </c>
      <c r="H4566" s="19" t="s">
        <v>63</v>
      </c>
      <c r="I4566" s="19" t="s">
        <v>117</v>
      </c>
      <c r="J4566" s="20">
        <v>48</v>
      </c>
      <c r="K4566" s="34">
        <v>0</v>
      </c>
      <c r="L4566" s="34">
        <v>2</v>
      </c>
      <c r="M4566" s="19">
        <f>IF(OR(ISBLANK(C4566),C4566=""),"",ROUND((C4566-B4566)*24,2))</f>
        <v>84.65</v>
      </c>
      <c r="N4566" s="39" t="str">
        <f>IF(OR(ISBLANK(C4566),C4566="",M4566=""),"In Progress",IF(M4566&lt;=J4566,"Met","Breached"))</f>
        <v>Breached</v>
      </c>
    </row>
    <row r="4567" ht="19" customHeight="1" spans="1:14" x14ac:dyDescent="0.25">
      <c r="A4567" s="22" t="s">
        <v>4681</v>
      </c>
      <c r="B4567" s="36">
        <v>46191.143055555556</v>
      </c>
      <c r="C4567" s="36">
        <v>46191.379166666666</v>
      </c>
      <c r="D4567" s="22" t="s">
        <v>33</v>
      </c>
      <c r="E4567" s="22" t="s">
        <v>61</v>
      </c>
      <c r="F4567" s="22" t="s">
        <v>37</v>
      </c>
      <c r="G4567" s="22" t="s">
        <v>116</v>
      </c>
      <c r="H4567" s="22" t="s">
        <v>67</v>
      </c>
      <c r="I4567" s="22" t="s">
        <v>147</v>
      </c>
      <c r="J4567" s="23">
        <v>12</v>
      </c>
      <c r="K4567" s="37">
        <v>0</v>
      </c>
      <c r="M4567" s="22">
        <f>IF(OR(ISBLANK(C4567),C4567=""),"",ROUND((C4567-B4567)*24,2))</f>
        <v>5.67</v>
      </c>
      <c r="N4567" s="40" t="str">
        <f>IF(OR(ISBLANK(C4567),C4567="",M4567=""),"In Progress",IF(M4567&lt;=J4567,"Met","Breached"))</f>
        <v>Met</v>
      </c>
    </row>
    <row r="4568" ht="19" customHeight="1" spans="1:14" x14ac:dyDescent="0.25">
      <c r="A4568" s="19" t="s">
        <v>4682</v>
      </c>
      <c r="B4568" s="33">
        <v>45671.00833333333</v>
      </c>
      <c r="C4568" s="33">
        <v>45673.46527777778</v>
      </c>
      <c r="D4568" s="19" t="s">
        <v>33</v>
      </c>
      <c r="E4568" s="19" t="s">
        <v>65</v>
      </c>
      <c r="F4568" s="19" t="s">
        <v>45</v>
      </c>
      <c r="G4568" s="19" t="s">
        <v>63</v>
      </c>
      <c r="H4568" s="19" t="s">
        <v>59</v>
      </c>
      <c r="I4568" s="19" t="s">
        <v>123</v>
      </c>
      <c r="J4568" s="20">
        <v>48</v>
      </c>
      <c r="K4568" s="34">
        <v>0</v>
      </c>
      <c r="L4568" s="34">
        <v>4</v>
      </c>
      <c r="M4568" s="19">
        <f>IF(OR(ISBLANK(C4568),C4568=""),"",ROUND((C4568-B4568)*24,2))</f>
        <v>58.97</v>
      </c>
      <c r="N4568" s="39" t="str">
        <f>IF(OR(ISBLANK(C4568),C4568="",M4568=""),"In Progress",IF(M4568&lt;=J4568,"Met","Breached"))</f>
        <v>Breached</v>
      </c>
    </row>
    <row r="4569" ht="19" customHeight="1" spans="1:14" x14ac:dyDescent="0.25">
      <c r="A4569" s="22" t="s">
        <v>4683</v>
      </c>
      <c r="B4569" s="36">
        <v>45734.87986111111</v>
      </c>
      <c r="C4569" s="36">
        <v>45736.89236111111</v>
      </c>
      <c r="D4569" s="22" t="s">
        <v>33</v>
      </c>
      <c r="E4569" s="22" t="s">
        <v>65</v>
      </c>
      <c r="F4569" s="22" t="s">
        <v>45</v>
      </c>
      <c r="G4569" s="22" t="s">
        <v>63</v>
      </c>
      <c r="H4569" s="22" t="s">
        <v>63</v>
      </c>
      <c r="I4569" s="22" t="s">
        <v>123</v>
      </c>
      <c r="J4569" s="23">
        <v>48</v>
      </c>
      <c r="K4569" s="37">
        <v>0</v>
      </c>
      <c r="L4569" s="37">
        <v>4</v>
      </c>
      <c r="M4569" s="22">
        <f>IF(OR(ISBLANK(C4569),C4569=""),"",ROUND((C4569-B4569)*24,2))</f>
        <v>48.3</v>
      </c>
      <c r="N4569" s="38" t="str">
        <f>IF(OR(ISBLANK(C4569),C4569="",M4569=""),"In Progress",IF(M4569&lt;=J4569,"Met","Breached"))</f>
        <v>Breached</v>
      </c>
    </row>
    <row r="4570" ht="19" customHeight="1" spans="1:14" x14ac:dyDescent="0.25">
      <c r="A4570" s="19" t="s">
        <v>4684</v>
      </c>
      <c r="B4570" s="33">
        <v>45821.31111111111</v>
      </c>
      <c r="C4570" s="33">
        <v>45823.98402777778</v>
      </c>
      <c r="D4570" s="19" t="s">
        <v>33</v>
      </c>
      <c r="E4570" s="19" t="s">
        <v>65</v>
      </c>
      <c r="F4570" s="19" t="s">
        <v>34</v>
      </c>
      <c r="G4570" s="19" t="s">
        <v>63</v>
      </c>
      <c r="H4570" s="19" t="s">
        <v>59</v>
      </c>
      <c r="I4570" s="19" t="s">
        <v>123</v>
      </c>
      <c r="J4570" s="20">
        <v>48</v>
      </c>
      <c r="K4570" s="34">
        <v>0</v>
      </c>
      <c r="L4570" s="34">
        <v>4</v>
      </c>
      <c r="M4570" s="19">
        <f>IF(OR(ISBLANK(C4570),C4570=""),"",ROUND((C4570-B4570)*24,2))</f>
        <v>64.15</v>
      </c>
      <c r="N4570" s="39" t="str">
        <f>IF(OR(ISBLANK(C4570),C4570="",M4570=""),"In Progress",IF(M4570&lt;=J4570,"Met","Breached"))</f>
        <v>Breached</v>
      </c>
    </row>
    <row r="4571" ht="19" customHeight="1" spans="1:14" x14ac:dyDescent="0.25">
      <c r="A4571" s="22" t="s">
        <v>4685</v>
      </c>
      <c r="B4571" s="36">
        <v>45785.71805555555</v>
      </c>
      <c r="C4571" s="36">
        <v>45791.21319444444</v>
      </c>
      <c r="D4571" s="22" t="s">
        <v>33</v>
      </c>
      <c r="E4571" s="22" t="s">
        <v>69</v>
      </c>
      <c r="F4571" s="22" t="s">
        <v>43</v>
      </c>
      <c r="G4571" s="22" t="s">
        <v>116</v>
      </c>
      <c r="H4571" s="22" t="s">
        <v>59</v>
      </c>
      <c r="I4571" s="22" t="s">
        <v>147</v>
      </c>
      <c r="J4571" s="23">
        <v>120</v>
      </c>
      <c r="K4571" s="37">
        <v>0</v>
      </c>
      <c r="L4571" s="37">
        <v>5</v>
      </c>
      <c r="M4571" s="22">
        <f>IF(OR(ISBLANK(C4571),C4571=""),"",ROUND((C4571-B4571)*24,2))</f>
        <v>131.88</v>
      </c>
      <c r="N4571" s="38" t="str">
        <f>IF(OR(ISBLANK(C4571),C4571="",M4571=""),"In Progress",IF(M4571&lt;=J4571,"Met","Breached"))</f>
        <v>Breached</v>
      </c>
    </row>
    <row r="4572" ht="19" customHeight="1" spans="1:14" x14ac:dyDescent="0.25">
      <c r="A4572" s="19" t="s">
        <v>4686</v>
      </c>
      <c r="B4572" s="33">
        <v>46172.07430555555</v>
      </c>
      <c r="C4572" s="33">
        <v>46179.629166666666</v>
      </c>
      <c r="D4572" s="19" t="s">
        <v>36</v>
      </c>
      <c r="E4572" s="19" t="s">
        <v>69</v>
      </c>
      <c r="F4572" s="19" t="s">
        <v>43</v>
      </c>
      <c r="G4572" s="19" t="s">
        <v>63</v>
      </c>
      <c r="H4572" s="19" t="s">
        <v>63</v>
      </c>
      <c r="I4572" s="19" t="s">
        <v>123</v>
      </c>
      <c r="J4572" s="20">
        <v>120</v>
      </c>
      <c r="K4572" s="34">
        <v>0</v>
      </c>
      <c r="L4572" s="34">
        <v>4</v>
      </c>
      <c r="M4572" s="19">
        <f>IF(OR(ISBLANK(C4572),C4572=""),"",ROUND((C4572-B4572)*24,2))</f>
        <v>181.32</v>
      </c>
      <c r="N4572" s="39" t="str">
        <f>IF(OR(ISBLANK(C4572),C4572="",M4572=""),"In Progress",IF(M4572&lt;=J4572,"Met","Breached"))</f>
        <v>Breached</v>
      </c>
    </row>
    <row r="4573" ht="19" customHeight="1" spans="1:14" x14ac:dyDescent="0.25">
      <c r="A4573" s="22" t="s">
        <v>4687</v>
      </c>
      <c r="B4573" s="36">
        <v>45936.679861111115</v>
      </c>
      <c r="C4573" s="36">
        <v>45937.96527777778</v>
      </c>
      <c r="D4573" s="22" t="s">
        <v>36</v>
      </c>
      <c r="E4573" s="22" t="s">
        <v>65</v>
      </c>
      <c r="F4573" s="22" t="s">
        <v>40</v>
      </c>
      <c r="G4573" s="22" t="s">
        <v>110</v>
      </c>
      <c r="H4573" s="22" t="s">
        <v>63</v>
      </c>
      <c r="I4573" s="22" t="s">
        <v>147</v>
      </c>
      <c r="J4573" s="23">
        <v>48</v>
      </c>
      <c r="K4573" s="37">
        <v>0</v>
      </c>
      <c r="L4573" s="37">
        <v>2</v>
      </c>
      <c r="M4573" s="22">
        <f>IF(OR(ISBLANK(C4573),C4573=""),"",ROUND((C4573-B4573)*24,2))</f>
        <v>30.85</v>
      </c>
      <c r="N4573" s="40" t="str">
        <f>IF(OR(ISBLANK(C4573),C4573="",M4573=""),"In Progress",IF(M4573&lt;=J4573,"Met","Breached"))</f>
        <v>Met</v>
      </c>
    </row>
    <row r="4574" ht="19" customHeight="1" spans="1:14" x14ac:dyDescent="0.25">
      <c r="A4574" s="19" t="s">
        <v>4688</v>
      </c>
      <c r="B4574" s="33">
        <v>45689.13958333334</v>
      </c>
      <c r="C4574" s="33">
        <v>45692.62291666667</v>
      </c>
      <c r="D4574" s="19" t="s">
        <v>33</v>
      </c>
      <c r="E4574" s="19" t="s">
        <v>65</v>
      </c>
      <c r="F4574" s="19" t="s">
        <v>37</v>
      </c>
      <c r="G4574" s="19" t="s">
        <v>63</v>
      </c>
      <c r="H4574" s="19" t="s">
        <v>71</v>
      </c>
      <c r="I4574" s="19" t="s">
        <v>108</v>
      </c>
      <c r="J4574" s="20">
        <v>48</v>
      </c>
      <c r="K4574" s="34">
        <v>0</v>
      </c>
      <c r="L4574" s="34">
        <v>2</v>
      </c>
      <c r="M4574" s="19">
        <f>IF(OR(ISBLANK(C4574),C4574=""),"",ROUND((C4574-B4574)*24,2))</f>
        <v>83.6</v>
      </c>
      <c r="N4574" s="39" t="str">
        <f>IF(OR(ISBLANK(C4574),C4574="",M4574=""),"In Progress",IF(M4574&lt;=J4574,"Met","Breached"))</f>
        <v>Breached</v>
      </c>
    </row>
    <row r="4575" ht="19" customHeight="1" spans="1:14" x14ac:dyDescent="0.25">
      <c r="A4575" s="22" t="s">
        <v>4689</v>
      </c>
      <c r="B4575" s="36">
        <v>45696.64097222222</v>
      </c>
      <c r="C4575" s="36">
        <v>45696.80138888889</v>
      </c>
      <c r="D4575" s="22" t="s">
        <v>33</v>
      </c>
      <c r="E4575" s="22" t="s">
        <v>57</v>
      </c>
      <c r="F4575" s="22" t="s">
        <v>43</v>
      </c>
      <c r="G4575" s="22" t="s">
        <v>110</v>
      </c>
      <c r="H4575" s="22" t="s">
        <v>63</v>
      </c>
      <c r="I4575" s="22" t="s">
        <v>111</v>
      </c>
      <c r="J4575" s="23">
        <v>4</v>
      </c>
      <c r="K4575" s="37">
        <v>1</v>
      </c>
      <c r="L4575" s="37">
        <v>1</v>
      </c>
      <c r="M4575" s="22">
        <f>IF(OR(ISBLANK(C4575),C4575=""),"",ROUND((C4575-B4575)*24,2))</f>
        <v>3.85</v>
      </c>
      <c r="N4575" s="40" t="str">
        <f>IF(OR(ISBLANK(C4575),C4575="",M4575=""),"In Progress",IF(M4575&lt;=J4575,"Met","Breached"))</f>
        <v>Met</v>
      </c>
    </row>
    <row r="4576" ht="19" customHeight="1" spans="1:14" x14ac:dyDescent="0.25">
      <c r="A4576" s="19" t="s">
        <v>4690</v>
      </c>
      <c r="B4576" s="33">
        <v>46243.82916666666</v>
      </c>
      <c r="C4576" s="33">
        <v>46244.3</v>
      </c>
      <c r="D4576" s="19" t="s">
        <v>33</v>
      </c>
      <c r="E4576" s="19" t="s">
        <v>61</v>
      </c>
      <c r="F4576" s="19" t="s">
        <v>37</v>
      </c>
      <c r="G4576" s="19" t="s">
        <v>116</v>
      </c>
      <c r="H4576" s="19" t="s">
        <v>71</v>
      </c>
      <c r="I4576" s="19" t="s">
        <v>111</v>
      </c>
      <c r="J4576" s="20">
        <v>12</v>
      </c>
      <c r="K4576" s="34">
        <v>0</v>
      </c>
      <c r="L4576" s="34">
        <v>1</v>
      </c>
      <c r="M4576" s="19">
        <f>IF(OR(ISBLANK(C4576),C4576=""),"",ROUND((C4576-B4576)*24,2))</f>
        <v>11.3</v>
      </c>
      <c r="N4576" s="35" t="str">
        <f>IF(OR(ISBLANK(C4576),C4576="",M4576=""),"In Progress",IF(M4576&lt;=J4576,"Met","Breached"))</f>
        <v>Met</v>
      </c>
    </row>
    <row r="4577" ht="19" customHeight="1" spans="1:14" x14ac:dyDescent="0.25">
      <c r="A4577" s="22" t="s">
        <v>4691</v>
      </c>
      <c r="B4577" s="36">
        <v>46079.71666666667</v>
      </c>
      <c r="C4577" s="36">
        <v>46081.04236111111</v>
      </c>
      <c r="D4577" s="22" t="s">
        <v>33</v>
      </c>
      <c r="E4577" s="22" t="s">
        <v>65</v>
      </c>
      <c r="F4577" s="22" t="s">
        <v>34</v>
      </c>
      <c r="G4577" s="22" t="s">
        <v>110</v>
      </c>
      <c r="H4577" s="22" t="s">
        <v>67</v>
      </c>
      <c r="I4577" s="22" t="s">
        <v>111</v>
      </c>
      <c r="J4577" s="23">
        <v>48</v>
      </c>
      <c r="K4577" s="37">
        <v>0</v>
      </c>
      <c r="L4577" s="37">
        <v>4</v>
      </c>
      <c r="M4577" s="22">
        <f>IF(OR(ISBLANK(C4577),C4577=""),"",ROUND((C4577-B4577)*24,2))</f>
        <v>31.82</v>
      </c>
      <c r="N4577" s="40" t="str">
        <f>IF(OR(ISBLANK(C4577),C4577="",M4577=""),"In Progress",IF(M4577&lt;=J4577,"Met","Breached"))</f>
        <v>Met</v>
      </c>
    </row>
    <row r="4578" ht="19" customHeight="1" spans="1:14" x14ac:dyDescent="0.25">
      <c r="A4578" s="19" t="s">
        <v>4692</v>
      </c>
      <c r="B4578" s="33">
        <v>45992.90694444445</v>
      </c>
      <c r="D4578" s="19" t="s">
        <v>39</v>
      </c>
      <c r="E4578" s="19" t="s">
        <v>69</v>
      </c>
      <c r="F4578" s="19" t="s">
        <v>43</v>
      </c>
      <c r="G4578" s="19" t="s">
        <v>126</v>
      </c>
      <c r="H4578" s="19" t="s">
        <v>59</v>
      </c>
      <c r="I4578" s="19" t="s">
        <v>147</v>
      </c>
      <c r="J4578" s="20">
        <v>120</v>
      </c>
      <c r="K4578" s="34">
        <v>0</v>
      </c>
      <c r="M4578" s="19" t="str">
        <f>IF(OR(ISBLANK(C4578),C4578=""),"",ROUND((C4578-B4578)*24,2))</f>
        <v/>
      </c>
      <c r="N4578" s="19" t="str">
        <f>IF(OR(ISBLANK(C4578),C4578="",M4578=""),"In Progress",IF(M4578&lt;=J4578,"Met","Breached"))</f>
        <v>In Progress</v>
      </c>
    </row>
    <row r="4579" ht="19" customHeight="1" spans="1:14" x14ac:dyDescent="0.25">
      <c r="A4579" s="22" t="s">
        <v>4693</v>
      </c>
      <c r="B4579" s="36">
        <v>45849.59722222222</v>
      </c>
      <c r="C4579" s="36">
        <v>45850.236805555556</v>
      </c>
      <c r="D4579" s="22" t="s">
        <v>33</v>
      </c>
      <c r="E4579" s="22" t="s">
        <v>61</v>
      </c>
      <c r="F4579" s="22" t="s">
        <v>34</v>
      </c>
      <c r="G4579" s="22" t="s">
        <v>113</v>
      </c>
      <c r="H4579" s="22" t="s">
        <v>67</v>
      </c>
      <c r="I4579" s="22" t="s">
        <v>123</v>
      </c>
      <c r="J4579" s="23">
        <v>12</v>
      </c>
      <c r="K4579" s="37">
        <v>0</v>
      </c>
      <c r="M4579" s="22">
        <f>IF(OR(ISBLANK(C4579),C4579=""),"",ROUND((C4579-B4579)*24,2))</f>
        <v>15.35</v>
      </c>
      <c r="N4579" s="38" t="str">
        <f>IF(OR(ISBLANK(C4579),C4579="",M4579=""),"In Progress",IF(M4579&lt;=J4579,"Met","Breached"))</f>
        <v>Breached</v>
      </c>
    </row>
    <row r="4580" ht="19" customHeight="1" spans="1:14" x14ac:dyDescent="0.25">
      <c r="A4580" s="19" t="s">
        <v>4694</v>
      </c>
      <c r="B4580" s="33">
        <v>45968.743055555555</v>
      </c>
      <c r="C4580" s="33">
        <v>45970.50138888889</v>
      </c>
      <c r="D4580" s="19" t="s">
        <v>36</v>
      </c>
      <c r="E4580" s="19" t="s">
        <v>65</v>
      </c>
      <c r="F4580" s="19" t="s">
        <v>43</v>
      </c>
      <c r="G4580" s="19" t="s">
        <v>63</v>
      </c>
      <c r="H4580" s="19" t="s">
        <v>63</v>
      </c>
      <c r="I4580" s="19" t="s">
        <v>108</v>
      </c>
      <c r="J4580" s="20">
        <v>48</v>
      </c>
      <c r="K4580" s="34">
        <v>0</v>
      </c>
      <c r="L4580" s="34">
        <v>2</v>
      </c>
      <c r="M4580" s="19">
        <f>IF(OR(ISBLANK(C4580),C4580=""),"",ROUND((C4580-B4580)*24,2))</f>
        <v>42.2</v>
      </c>
      <c r="N4580" s="35" t="str">
        <f>IF(OR(ISBLANK(C4580),C4580="",M4580=""),"In Progress",IF(M4580&lt;=J4580,"Met","Breached"))</f>
        <v>Met</v>
      </c>
    </row>
    <row r="4581" ht="19" customHeight="1" spans="1:14" x14ac:dyDescent="0.25">
      <c r="A4581" s="22" t="s">
        <v>4695</v>
      </c>
      <c r="B4581" s="36">
        <v>46075.34861111111</v>
      </c>
      <c r="C4581" s="36">
        <v>46077.96041666667</v>
      </c>
      <c r="D4581" s="22" t="s">
        <v>33</v>
      </c>
      <c r="E4581" s="22" t="s">
        <v>69</v>
      </c>
      <c r="F4581" s="22" t="s">
        <v>34</v>
      </c>
      <c r="G4581" s="22" t="s">
        <v>126</v>
      </c>
      <c r="H4581" s="22" t="s">
        <v>63</v>
      </c>
      <c r="I4581" s="22" t="s">
        <v>117</v>
      </c>
      <c r="J4581" s="23">
        <v>120</v>
      </c>
      <c r="K4581" s="37">
        <v>1</v>
      </c>
      <c r="L4581" s="37">
        <v>2</v>
      </c>
      <c r="M4581" s="22">
        <f>IF(OR(ISBLANK(C4581),C4581=""),"",ROUND((C4581-B4581)*24,2))</f>
        <v>62.68</v>
      </c>
      <c r="N4581" s="40" t="str">
        <f>IF(OR(ISBLANK(C4581),C4581="",M4581=""),"In Progress",IF(M4581&lt;=J4581,"Met","Breached"))</f>
        <v>Met</v>
      </c>
    </row>
    <row r="4582" ht="19" customHeight="1" spans="1:14" x14ac:dyDescent="0.25">
      <c r="A4582" s="19" t="s">
        <v>4696</v>
      </c>
      <c r="B4582" s="33">
        <v>45818.59375</v>
      </c>
      <c r="C4582" s="33">
        <v>45820.18402777778</v>
      </c>
      <c r="D4582" s="19" t="s">
        <v>36</v>
      </c>
      <c r="E4582" s="19" t="s">
        <v>65</v>
      </c>
      <c r="F4582" s="19" t="s">
        <v>40</v>
      </c>
      <c r="G4582" s="19" t="s">
        <v>116</v>
      </c>
      <c r="H4582" s="19" t="s">
        <v>59</v>
      </c>
      <c r="I4582" s="19" t="s">
        <v>108</v>
      </c>
      <c r="J4582" s="20">
        <v>48</v>
      </c>
      <c r="K4582" s="34">
        <v>0</v>
      </c>
      <c r="L4582" s="34">
        <v>3</v>
      </c>
      <c r="M4582" s="19">
        <f>IF(OR(ISBLANK(C4582),C4582=""),"",ROUND((C4582-B4582)*24,2))</f>
        <v>38.17</v>
      </c>
      <c r="N4582" s="35" t="str">
        <f>IF(OR(ISBLANK(C4582),C4582="",M4582=""),"In Progress",IF(M4582&lt;=J4582,"Met","Breached"))</f>
        <v>Met</v>
      </c>
    </row>
    <row r="4583" ht="19" customHeight="1" spans="1:14" x14ac:dyDescent="0.25">
      <c r="A4583" s="22" t="s">
        <v>4697</v>
      </c>
      <c r="B4583" s="36">
        <v>46144.35555555555</v>
      </c>
      <c r="D4583" s="22" t="s">
        <v>42</v>
      </c>
      <c r="E4583" s="22" t="s">
        <v>65</v>
      </c>
      <c r="F4583" s="22" t="s">
        <v>43</v>
      </c>
      <c r="G4583" s="22" t="s">
        <v>63</v>
      </c>
      <c r="H4583" s="22" t="s">
        <v>71</v>
      </c>
      <c r="I4583" s="22" t="s">
        <v>108</v>
      </c>
      <c r="J4583" s="23">
        <v>48</v>
      </c>
      <c r="K4583" s="37">
        <v>0</v>
      </c>
      <c r="M4583" s="22" t="str">
        <f>IF(OR(ISBLANK(C4583),C4583=""),"",ROUND((C4583-B4583)*24,2))</f>
        <v/>
      </c>
      <c r="N4583" s="22" t="str">
        <f>IF(OR(ISBLANK(C4583),C4583="",M4583=""),"In Progress",IF(M4583&lt;=J4583,"Met","Breached"))</f>
        <v>In Progress</v>
      </c>
    </row>
    <row r="4584" ht="19" customHeight="1" spans="1:14" x14ac:dyDescent="0.25">
      <c r="A4584" s="19" t="s">
        <v>4698</v>
      </c>
      <c r="B4584" s="33">
        <v>46237.19375</v>
      </c>
      <c r="D4584" s="19" t="s">
        <v>39</v>
      </c>
      <c r="E4584" s="19" t="s">
        <v>65</v>
      </c>
      <c r="F4584" s="19" t="s">
        <v>40</v>
      </c>
      <c r="G4584" s="19" t="s">
        <v>63</v>
      </c>
      <c r="H4584" s="19" t="s">
        <v>59</v>
      </c>
      <c r="I4584" s="19" t="s">
        <v>147</v>
      </c>
      <c r="J4584" s="20">
        <v>48</v>
      </c>
      <c r="K4584" s="34">
        <v>0</v>
      </c>
      <c r="M4584" s="19" t="str">
        <f>IF(OR(ISBLANK(C4584),C4584=""),"",ROUND((C4584-B4584)*24,2))</f>
        <v/>
      </c>
      <c r="N4584" s="19" t="str">
        <f>IF(OR(ISBLANK(C4584),C4584="",M4584=""),"In Progress",IF(M4584&lt;=J4584,"Met","Breached"))</f>
        <v>In Progress</v>
      </c>
    </row>
    <row r="4585" ht="19" customHeight="1" spans="1:14" x14ac:dyDescent="0.25">
      <c r="A4585" s="22" t="s">
        <v>4699</v>
      </c>
      <c r="B4585" s="36">
        <v>45987.70347222222</v>
      </c>
      <c r="C4585" s="36">
        <v>45991.308333333334</v>
      </c>
      <c r="D4585" s="22" t="s">
        <v>33</v>
      </c>
      <c r="E4585" s="22" t="s">
        <v>69</v>
      </c>
      <c r="F4585" s="22" t="s">
        <v>43</v>
      </c>
      <c r="G4585" s="22" t="s">
        <v>113</v>
      </c>
      <c r="H4585" s="22" t="s">
        <v>67</v>
      </c>
      <c r="I4585" s="22" t="s">
        <v>117</v>
      </c>
      <c r="J4585" s="23">
        <v>120</v>
      </c>
      <c r="K4585" s="37">
        <v>0</v>
      </c>
      <c r="L4585" s="37">
        <v>2</v>
      </c>
      <c r="M4585" s="22">
        <f>IF(OR(ISBLANK(C4585),C4585=""),"",ROUND((C4585-B4585)*24,2))</f>
        <v>86.52</v>
      </c>
      <c r="N4585" s="40" t="str">
        <f>IF(OR(ISBLANK(C4585),C4585="",M4585=""),"In Progress",IF(M4585&lt;=J4585,"Met","Breached"))</f>
        <v>Met</v>
      </c>
    </row>
    <row r="4586" ht="19" customHeight="1" spans="1:14" x14ac:dyDescent="0.25">
      <c r="A4586" s="19" t="s">
        <v>4700</v>
      </c>
      <c r="B4586" s="33">
        <v>45804.1625</v>
      </c>
      <c r="C4586" s="33">
        <v>45804.36875</v>
      </c>
      <c r="D4586" s="19" t="s">
        <v>33</v>
      </c>
      <c r="E4586" s="19" t="s">
        <v>61</v>
      </c>
      <c r="F4586" s="19" t="s">
        <v>45</v>
      </c>
      <c r="G4586" s="19" t="s">
        <v>110</v>
      </c>
      <c r="H4586" s="19" t="s">
        <v>59</v>
      </c>
      <c r="I4586" s="19" t="s">
        <v>117</v>
      </c>
      <c r="J4586" s="20">
        <v>12</v>
      </c>
      <c r="K4586" s="34">
        <v>0</v>
      </c>
      <c r="M4586" s="19">
        <f>IF(OR(ISBLANK(C4586),C4586=""),"",ROUND((C4586-B4586)*24,2))</f>
        <v>4.95</v>
      </c>
      <c r="N4586" s="35" t="str">
        <f>IF(OR(ISBLANK(C4586),C4586="",M4586=""),"In Progress",IF(M4586&lt;=J4586,"Met","Breached"))</f>
        <v>Met</v>
      </c>
    </row>
    <row r="4587" ht="19" customHeight="1" spans="1:14" x14ac:dyDescent="0.25">
      <c r="A4587" s="22" t="s">
        <v>4701</v>
      </c>
      <c r="B4587" s="36">
        <v>45878.68680555555</v>
      </c>
      <c r="C4587" s="36">
        <v>45880.05763888889</v>
      </c>
      <c r="D4587" s="22" t="s">
        <v>33</v>
      </c>
      <c r="E4587" s="22" t="s">
        <v>65</v>
      </c>
      <c r="F4587" s="22" t="s">
        <v>45</v>
      </c>
      <c r="G4587" s="22" t="s">
        <v>110</v>
      </c>
      <c r="H4587" s="22" t="s">
        <v>67</v>
      </c>
      <c r="I4587" s="22" t="s">
        <v>147</v>
      </c>
      <c r="J4587" s="23">
        <v>48</v>
      </c>
      <c r="K4587" s="37">
        <v>0</v>
      </c>
      <c r="L4587" s="37">
        <v>3</v>
      </c>
      <c r="M4587" s="22">
        <f>IF(OR(ISBLANK(C4587),C4587=""),"",ROUND((C4587-B4587)*24,2))</f>
        <v>32.9</v>
      </c>
      <c r="N4587" s="40" t="str">
        <f>IF(OR(ISBLANK(C4587),C4587="",M4587=""),"In Progress",IF(M4587&lt;=J4587,"Met","Breached"))</f>
        <v>Met</v>
      </c>
    </row>
    <row r="4588" ht="19" customHeight="1" spans="1:14" x14ac:dyDescent="0.25">
      <c r="A4588" s="19" t="s">
        <v>4702</v>
      </c>
      <c r="B4588" s="33">
        <v>45663.975694444445</v>
      </c>
      <c r="C4588" s="33">
        <v>45667.02847222222</v>
      </c>
      <c r="D4588" s="19" t="s">
        <v>33</v>
      </c>
      <c r="E4588" s="19" t="s">
        <v>65</v>
      </c>
      <c r="F4588" s="19" t="s">
        <v>45</v>
      </c>
      <c r="G4588" s="19" t="s">
        <v>63</v>
      </c>
      <c r="H4588" s="19" t="s">
        <v>63</v>
      </c>
      <c r="I4588" s="19" t="s">
        <v>114</v>
      </c>
      <c r="J4588" s="20">
        <v>48</v>
      </c>
      <c r="K4588" s="34">
        <v>0</v>
      </c>
      <c r="L4588" s="34">
        <v>4</v>
      </c>
      <c r="M4588" s="19">
        <f>IF(OR(ISBLANK(C4588),C4588=""),"",ROUND((C4588-B4588)*24,2))</f>
        <v>73.27</v>
      </c>
      <c r="N4588" s="39" t="str">
        <f>IF(OR(ISBLANK(C4588),C4588="",M4588=""),"In Progress",IF(M4588&lt;=J4588,"Met","Breached"))</f>
        <v>Breached</v>
      </c>
    </row>
    <row r="4589" ht="19" customHeight="1" spans="1:14" x14ac:dyDescent="0.25">
      <c r="A4589" s="22" t="s">
        <v>4703</v>
      </c>
      <c r="B4589" s="36">
        <v>46106.73819444445</v>
      </c>
      <c r="C4589" s="36">
        <v>46109.540972222225</v>
      </c>
      <c r="D4589" s="22" t="s">
        <v>33</v>
      </c>
      <c r="E4589" s="22" t="s">
        <v>65</v>
      </c>
      <c r="F4589" s="22" t="s">
        <v>37</v>
      </c>
      <c r="G4589" s="22" t="s">
        <v>121</v>
      </c>
      <c r="H4589" s="22" t="s">
        <v>63</v>
      </c>
      <c r="I4589" s="22" t="s">
        <v>108</v>
      </c>
      <c r="J4589" s="23">
        <v>48</v>
      </c>
      <c r="K4589" s="37">
        <v>0</v>
      </c>
      <c r="L4589" s="37">
        <v>3</v>
      </c>
      <c r="M4589" s="22">
        <f>IF(OR(ISBLANK(C4589),C4589=""),"",ROUND((C4589-B4589)*24,2))</f>
        <v>67.27</v>
      </c>
      <c r="N4589" s="38" t="str">
        <f>IF(OR(ISBLANK(C4589),C4589="",M4589=""),"In Progress",IF(M4589&lt;=J4589,"Met","Breached"))</f>
        <v>Breached</v>
      </c>
    </row>
    <row r="4590" ht="19" customHeight="1" spans="1:14" x14ac:dyDescent="0.25">
      <c r="A4590" s="19" t="s">
        <v>4704</v>
      </c>
      <c r="B4590" s="33">
        <v>45865.24652777778</v>
      </c>
      <c r="C4590" s="33">
        <v>45866.90486111111</v>
      </c>
      <c r="D4590" s="19" t="s">
        <v>36</v>
      </c>
      <c r="E4590" s="19" t="s">
        <v>65</v>
      </c>
      <c r="F4590" s="19" t="s">
        <v>34</v>
      </c>
      <c r="G4590" s="19" t="s">
        <v>110</v>
      </c>
      <c r="H4590" s="19" t="s">
        <v>71</v>
      </c>
      <c r="I4590" s="19" t="s">
        <v>147</v>
      </c>
      <c r="J4590" s="20">
        <v>48</v>
      </c>
      <c r="K4590" s="34">
        <v>0</v>
      </c>
      <c r="L4590" s="34">
        <v>3</v>
      </c>
      <c r="M4590" s="19">
        <f>IF(OR(ISBLANK(C4590),C4590=""),"",ROUND((C4590-B4590)*24,2))</f>
        <v>39.8</v>
      </c>
      <c r="N4590" s="35" t="str">
        <f>IF(OR(ISBLANK(C4590),C4590="",M4590=""),"In Progress",IF(M4590&lt;=J4590,"Met","Breached"))</f>
        <v>Met</v>
      </c>
    </row>
    <row r="4591" ht="19" customHeight="1" spans="1:14" x14ac:dyDescent="0.25">
      <c r="A4591" s="22" t="s">
        <v>4705</v>
      </c>
      <c r="B4591" s="36">
        <v>45695.55972222222</v>
      </c>
      <c r="C4591" s="36">
        <v>45696.22916666667</v>
      </c>
      <c r="D4591" s="22" t="s">
        <v>33</v>
      </c>
      <c r="E4591" s="22" t="s">
        <v>61</v>
      </c>
      <c r="F4591" s="22" t="s">
        <v>45</v>
      </c>
      <c r="G4591" s="22" t="s">
        <v>63</v>
      </c>
      <c r="H4591" s="22" t="s">
        <v>71</v>
      </c>
      <c r="I4591" s="22" t="s">
        <v>111</v>
      </c>
      <c r="J4591" s="23">
        <v>12</v>
      </c>
      <c r="K4591" s="37">
        <v>0</v>
      </c>
      <c r="M4591" s="22">
        <f>IF(OR(ISBLANK(C4591),C4591=""),"",ROUND((C4591-B4591)*24,2))</f>
        <v>16.07</v>
      </c>
      <c r="N4591" s="38" t="str">
        <f>IF(OR(ISBLANK(C4591),C4591="",M4591=""),"In Progress",IF(M4591&lt;=J4591,"Met","Breached"))</f>
        <v>Breached</v>
      </c>
    </row>
    <row r="4592" ht="19" customHeight="1" spans="1:14" x14ac:dyDescent="0.25">
      <c r="A4592" s="19" t="s">
        <v>4706</v>
      </c>
      <c r="B4592" s="33">
        <v>46220.825694444444</v>
      </c>
      <c r="C4592" s="33">
        <v>46229.51527777778</v>
      </c>
      <c r="D4592" s="19" t="s">
        <v>33</v>
      </c>
      <c r="E4592" s="19" t="s">
        <v>69</v>
      </c>
      <c r="F4592" s="19" t="s">
        <v>37</v>
      </c>
      <c r="G4592" s="19" t="s">
        <v>126</v>
      </c>
      <c r="H4592" s="19" t="s">
        <v>71</v>
      </c>
      <c r="I4592" s="19" t="s">
        <v>147</v>
      </c>
      <c r="J4592" s="20">
        <v>120</v>
      </c>
      <c r="K4592" s="34">
        <v>0</v>
      </c>
      <c r="M4592" s="19">
        <f>IF(OR(ISBLANK(C4592),C4592=""),"",ROUND((C4592-B4592)*24,2))</f>
        <v>208.55</v>
      </c>
      <c r="N4592" s="39" t="str">
        <f>IF(OR(ISBLANK(C4592),C4592="",M4592=""),"In Progress",IF(M4592&lt;=J4592,"Met","Breached"))</f>
        <v>Breached</v>
      </c>
    </row>
    <row r="4593" ht="19" customHeight="1" spans="1:14" x14ac:dyDescent="0.25">
      <c r="A4593" s="22" t="s">
        <v>4707</v>
      </c>
      <c r="B4593" s="36">
        <v>46156.709027777775</v>
      </c>
      <c r="D4593" s="22" t="s">
        <v>42</v>
      </c>
      <c r="E4593" s="22" t="s">
        <v>65</v>
      </c>
      <c r="F4593" s="22" t="s">
        <v>43</v>
      </c>
      <c r="G4593" s="22" t="s">
        <v>113</v>
      </c>
      <c r="H4593" s="22" t="s">
        <v>67</v>
      </c>
      <c r="I4593" s="22" t="s">
        <v>111</v>
      </c>
      <c r="J4593" s="23">
        <v>48</v>
      </c>
      <c r="K4593" s="37">
        <v>0</v>
      </c>
      <c r="M4593" s="22" t="str">
        <f>IF(OR(ISBLANK(C4593),C4593=""),"",ROUND((C4593-B4593)*24,2))</f>
        <v/>
      </c>
      <c r="N4593" s="22" t="str">
        <f>IF(OR(ISBLANK(C4593),C4593="",M4593=""),"In Progress",IF(M4593&lt;=J4593,"Met","Breached"))</f>
        <v>In Progress</v>
      </c>
    </row>
    <row r="4594" ht="19" customHeight="1" spans="1:14" x14ac:dyDescent="0.25">
      <c r="A4594" s="19" t="s">
        <v>4708</v>
      </c>
      <c r="B4594" s="33">
        <v>46202.675</v>
      </c>
      <c r="D4594" s="19" t="s">
        <v>42</v>
      </c>
      <c r="E4594" s="19" t="s">
        <v>65</v>
      </c>
      <c r="F4594" s="19" t="s">
        <v>34</v>
      </c>
      <c r="G4594" s="19" t="s">
        <v>126</v>
      </c>
      <c r="H4594" s="19" t="s">
        <v>59</v>
      </c>
      <c r="I4594" s="19" t="s">
        <v>117</v>
      </c>
      <c r="J4594" s="20">
        <v>48</v>
      </c>
      <c r="K4594" s="34">
        <v>0</v>
      </c>
      <c r="M4594" s="19" t="str">
        <f>IF(OR(ISBLANK(C4594),C4594=""),"",ROUND((C4594-B4594)*24,2))</f>
        <v/>
      </c>
      <c r="N4594" s="19" t="str">
        <f>IF(OR(ISBLANK(C4594),C4594="",M4594=""),"In Progress",IF(M4594&lt;=J4594,"Met","Breached"))</f>
        <v>In Progress</v>
      </c>
    </row>
    <row r="4595" ht="19" customHeight="1" spans="1:14" x14ac:dyDescent="0.25">
      <c r="A4595" s="22" t="s">
        <v>4709</v>
      </c>
      <c r="B4595" s="36">
        <v>45674.15694444445</v>
      </c>
      <c r="C4595" s="36">
        <v>45675.21319444444</v>
      </c>
      <c r="D4595" s="22" t="s">
        <v>33</v>
      </c>
      <c r="E4595" s="22" t="s">
        <v>65</v>
      </c>
      <c r="F4595" s="22" t="s">
        <v>43</v>
      </c>
      <c r="G4595" s="22" t="s">
        <v>116</v>
      </c>
      <c r="H4595" s="22" t="s">
        <v>67</v>
      </c>
      <c r="I4595" s="22" t="s">
        <v>123</v>
      </c>
      <c r="J4595" s="23">
        <v>48</v>
      </c>
      <c r="K4595" s="37">
        <v>0</v>
      </c>
      <c r="L4595" s="37">
        <v>5</v>
      </c>
      <c r="M4595" s="22">
        <f>IF(OR(ISBLANK(C4595),C4595=""),"",ROUND((C4595-B4595)*24,2))</f>
        <v>25.35</v>
      </c>
      <c r="N4595" s="40" t="str">
        <f>IF(OR(ISBLANK(C4595),C4595="",M4595=""),"In Progress",IF(M4595&lt;=J4595,"Met","Breached"))</f>
        <v>Met</v>
      </c>
    </row>
    <row r="4596" ht="19" customHeight="1" spans="1:14" x14ac:dyDescent="0.25">
      <c r="A4596" s="19" t="s">
        <v>4710</v>
      </c>
      <c r="B4596" s="33">
        <v>45710.038194444445</v>
      </c>
      <c r="C4596" s="33">
        <v>45712.055555555555</v>
      </c>
      <c r="D4596" s="19" t="s">
        <v>33</v>
      </c>
      <c r="E4596" s="19" t="s">
        <v>69</v>
      </c>
      <c r="F4596" s="19" t="s">
        <v>40</v>
      </c>
      <c r="G4596" s="19" t="s">
        <v>116</v>
      </c>
      <c r="H4596" s="19" t="s">
        <v>59</v>
      </c>
      <c r="I4596" s="19" t="s">
        <v>147</v>
      </c>
      <c r="J4596" s="20">
        <v>120</v>
      </c>
      <c r="K4596" s="34">
        <v>0</v>
      </c>
      <c r="L4596" s="34">
        <v>2</v>
      </c>
      <c r="M4596" s="19">
        <f>IF(OR(ISBLANK(C4596),C4596=""),"",ROUND((C4596-B4596)*24,2))</f>
        <v>48.42</v>
      </c>
      <c r="N4596" s="35" t="str">
        <f>IF(OR(ISBLANK(C4596),C4596="",M4596=""),"In Progress",IF(M4596&lt;=J4596,"Met","Breached"))</f>
        <v>Met</v>
      </c>
    </row>
    <row r="4597" ht="19" customHeight="1" spans="1:14" x14ac:dyDescent="0.25">
      <c r="A4597" s="22" t="s">
        <v>4711</v>
      </c>
      <c r="B4597" s="36">
        <v>45999.78263888889</v>
      </c>
      <c r="C4597" s="36">
        <v>46008.413888888885</v>
      </c>
      <c r="D4597" s="22" t="s">
        <v>33</v>
      </c>
      <c r="E4597" s="22" t="s">
        <v>69</v>
      </c>
      <c r="F4597" s="22" t="s">
        <v>40</v>
      </c>
      <c r="G4597" s="22" t="s">
        <v>121</v>
      </c>
      <c r="H4597" s="22" t="s">
        <v>67</v>
      </c>
      <c r="I4597" s="22" t="s">
        <v>147</v>
      </c>
      <c r="J4597" s="23">
        <v>120</v>
      </c>
      <c r="K4597" s="37">
        <v>0</v>
      </c>
      <c r="M4597" s="22">
        <f>IF(OR(ISBLANK(C4597),C4597=""),"",ROUND((C4597-B4597)*24,2))</f>
        <v>207.15</v>
      </c>
      <c r="N4597" s="38" t="str">
        <f>IF(OR(ISBLANK(C4597),C4597="",M4597=""),"In Progress",IF(M4597&lt;=J4597,"Met","Breached"))</f>
        <v>Breached</v>
      </c>
    </row>
    <row r="4598" ht="19" customHeight="1" spans="1:14" x14ac:dyDescent="0.25">
      <c r="A4598" s="19" t="s">
        <v>4712</v>
      </c>
      <c r="B4598" s="33">
        <v>45966.601388888885</v>
      </c>
      <c r="C4598" s="33">
        <v>45969.101388888885</v>
      </c>
      <c r="D4598" s="19" t="s">
        <v>36</v>
      </c>
      <c r="E4598" s="19" t="s">
        <v>65</v>
      </c>
      <c r="F4598" s="19" t="s">
        <v>34</v>
      </c>
      <c r="G4598" s="19" t="s">
        <v>110</v>
      </c>
      <c r="H4598" s="19" t="s">
        <v>59</v>
      </c>
      <c r="I4598" s="19" t="s">
        <v>123</v>
      </c>
      <c r="J4598" s="20">
        <v>48</v>
      </c>
      <c r="K4598" s="34">
        <v>0</v>
      </c>
      <c r="M4598" s="19">
        <f>IF(OR(ISBLANK(C4598),C4598=""),"",ROUND((C4598-B4598)*24,2))</f>
        <v>60</v>
      </c>
      <c r="N4598" s="39" t="str">
        <f>IF(OR(ISBLANK(C4598),C4598="",M4598=""),"In Progress",IF(M4598&lt;=J4598,"Met","Breached"))</f>
        <v>Breached</v>
      </c>
    </row>
    <row r="4599" ht="19" customHeight="1" spans="1:14" x14ac:dyDescent="0.25">
      <c r="A4599" s="22" t="s">
        <v>4713</v>
      </c>
      <c r="B4599" s="36">
        <v>46073.27916666667</v>
      </c>
      <c r="C4599" s="36">
        <v>46081.40625</v>
      </c>
      <c r="D4599" s="22" t="s">
        <v>33</v>
      </c>
      <c r="E4599" s="22" t="s">
        <v>69</v>
      </c>
      <c r="F4599" s="22" t="s">
        <v>34</v>
      </c>
      <c r="G4599" s="22" t="s">
        <v>63</v>
      </c>
      <c r="H4599" s="22" t="s">
        <v>67</v>
      </c>
      <c r="I4599" s="22" t="s">
        <v>147</v>
      </c>
      <c r="J4599" s="23">
        <v>120</v>
      </c>
      <c r="K4599" s="37">
        <v>0</v>
      </c>
      <c r="L4599" s="37">
        <v>5</v>
      </c>
      <c r="M4599" s="22">
        <f>IF(OR(ISBLANK(C4599),C4599=""),"",ROUND((C4599-B4599)*24,2))</f>
        <v>195.05</v>
      </c>
      <c r="N4599" s="38" t="str">
        <f>IF(OR(ISBLANK(C4599),C4599="",M4599=""),"In Progress",IF(M4599&lt;=J4599,"Met","Breached"))</f>
        <v>Breached</v>
      </c>
    </row>
    <row r="4600" ht="19" customHeight="1" spans="1:14" x14ac:dyDescent="0.25">
      <c r="A4600" s="19" t="s">
        <v>4714</v>
      </c>
      <c r="B4600" s="33">
        <v>45696.211805555555</v>
      </c>
      <c r="D4600" s="19" t="s">
        <v>39</v>
      </c>
      <c r="E4600" s="19" t="s">
        <v>65</v>
      </c>
      <c r="F4600" s="19" t="s">
        <v>40</v>
      </c>
      <c r="G4600" s="19" t="s">
        <v>110</v>
      </c>
      <c r="H4600" s="19" t="s">
        <v>71</v>
      </c>
      <c r="I4600" s="19" t="s">
        <v>147</v>
      </c>
      <c r="J4600" s="20">
        <v>48</v>
      </c>
      <c r="K4600" s="34">
        <v>0</v>
      </c>
      <c r="M4600" s="19" t="str">
        <f>IF(OR(ISBLANK(C4600),C4600=""),"",ROUND((C4600-B4600)*24,2))</f>
        <v/>
      </c>
      <c r="N4600" s="19" t="str">
        <f>IF(OR(ISBLANK(C4600),C4600="",M4600=""),"In Progress",IF(M4600&lt;=J4600,"Met","Breached"))</f>
        <v>In Progress</v>
      </c>
    </row>
    <row r="4601" ht="19" customHeight="1" spans="1:14" x14ac:dyDescent="0.25">
      <c r="A4601" s="22" t="s">
        <v>4715</v>
      </c>
      <c r="B4601" s="36">
        <v>46287.919444444444</v>
      </c>
      <c r="C4601" s="36">
        <v>46293.21666666667</v>
      </c>
      <c r="D4601" s="22" t="s">
        <v>33</v>
      </c>
      <c r="E4601" s="22" t="s">
        <v>69</v>
      </c>
      <c r="F4601" s="22" t="s">
        <v>40</v>
      </c>
      <c r="G4601" s="22" t="s">
        <v>110</v>
      </c>
      <c r="H4601" s="22" t="s">
        <v>59</v>
      </c>
      <c r="I4601" s="22" t="s">
        <v>123</v>
      </c>
      <c r="J4601" s="23">
        <v>120</v>
      </c>
      <c r="K4601" s="37">
        <v>0</v>
      </c>
      <c r="M4601" s="22">
        <f>IF(OR(ISBLANK(C4601),C4601=""),"",ROUND((C4601-B4601)*24,2))</f>
        <v>127.13</v>
      </c>
      <c r="N4601" s="38" t="str">
        <f>IF(OR(ISBLANK(C4601),C4601="",M4601=""),"In Progress",IF(M4601&lt;=J4601,"Met","Breached"))</f>
        <v>Breached</v>
      </c>
    </row>
    <row r="4602" ht="19" customHeight="1" spans="1:14" x14ac:dyDescent="0.25">
      <c r="A4602" s="19" t="s">
        <v>4716</v>
      </c>
      <c r="B4602" s="33">
        <v>46092.850694444445</v>
      </c>
      <c r="C4602" s="33">
        <v>46095.777083333334</v>
      </c>
      <c r="D4602" s="19" t="s">
        <v>36</v>
      </c>
      <c r="E4602" s="19" t="s">
        <v>65</v>
      </c>
      <c r="F4602" s="19" t="s">
        <v>40</v>
      </c>
      <c r="G4602" s="19" t="s">
        <v>113</v>
      </c>
      <c r="H4602" s="19" t="s">
        <v>59</v>
      </c>
      <c r="I4602" s="19" t="s">
        <v>117</v>
      </c>
      <c r="J4602" s="20">
        <v>48</v>
      </c>
      <c r="K4602" s="34">
        <v>0</v>
      </c>
      <c r="L4602" s="34">
        <v>3</v>
      </c>
      <c r="M4602" s="19">
        <f>IF(OR(ISBLANK(C4602),C4602=""),"",ROUND((C4602-B4602)*24,2))</f>
        <v>70.23</v>
      </c>
      <c r="N4602" s="39" t="str">
        <f>IF(OR(ISBLANK(C4602),C4602="",M4602=""),"In Progress",IF(M4602&lt;=J4602,"Met","Breached"))</f>
        <v>Breached</v>
      </c>
    </row>
    <row r="4603" ht="19" customHeight="1" spans="1:14" x14ac:dyDescent="0.25">
      <c r="A4603" s="22" t="s">
        <v>4717</v>
      </c>
      <c r="B4603" s="36">
        <v>46245.16111111111</v>
      </c>
      <c r="C4603" s="36">
        <v>46248.58263888889</v>
      </c>
      <c r="D4603" s="22" t="s">
        <v>36</v>
      </c>
      <c r="E4603" s="22" t="s">
        <v>65</v>
      </c>
      <c r="F4603" s="22" t="s">
        <v>37</v>
      </c>
      <c r="G4603" s="22" t="s">
        <v>121</v>
      </c>
      <c r="H4603" s="22" t="s">
        <v>71</v>
      </c>
      <c r="I4603" s="22" t="s">
        <v>123</v>
      </c>
      <c r="J4603" s="23">
        <v>48</v>
      </c>
      <c r="K4603" s="37">
        <v>0</v>
      </c>
      <c r="L4603" s="37">
        <v>5</v>
      </c>
      <c r="M4603" s="22">
        <f>IF(OR(ISBLANK(C4603),C4603=""),"",ROUND((C4603-B4603)*24,2))</f>
        <v>82.12</v>
      </c>
      <c r="N4603" s="38" t="str">
        <f>IF(OR(ISBLANK(C4603),C4603="",M4603=""),"In Progress",IF(M4603&lt;=J4603,"Met","Breached"))</f>
        <v>Breached</v>
      </c>
    </row>
    <row r="4604" ht="19" customHeight="1" spans="1:14" x14ac:dyDescent="0.25">
      <c r="A4604" s="19" t="s">
        <v>4718</v>
      </c>
      <c r="B4604" s="33">
        <v>45683.898611111115</v>
      </c>
      <c r="C4604" s="33">
        <v>45684.60555555555</v>
      </c>
      <c r="D4604" s="19" t="s">
        <v>33</v>
      </c>
      <c r="E4604" s="19" t="s">
        <v>61</v>
      </c>
      <c r="F4604" s="19" t="s">
        <v>40</v>
      </c>
      <c r="G4604" s="19" t="s">
        <v>113</v>
      </c>
      <c r="H4604" s="19" t="s">
        <v>59</v>
      </c>
      <c r="I4604" s="19" t="s">
        <v>147</v>
      </c>
      <c r="J4604" s="20">
        <v>12</v>
      </c>
      <c r="K4604" s="34">
        <v>0</v>
      </c>
      <c r="L4604" s="34">
        <v>2</v>
      </c>
      <c r="M4604" s="19">
        <f>IF(OR(ISBLANK(C4604),C4604=""),"",ROUND((C4604-B4604)*24,2))</f>
        <v>16.97</v>
      </c>
      <c r="N4604" s="39" t="str">
        <f>IF(OR(ISBLANK(C4604),C4604="",M4604=""),"In Progress",IF(M4604&lt;=J4604,"Met","Breached"))</f>
        <v>Breached</v>
      </c>
    </row>
    <row r="4605" ht="19" customHeight="1" spans="1:14" x14ac:dyDescent="0.25">
      <c r="A4605" s="22" t="s">
        <v>4719</v>
      </c>
      <c r="B4605" s="36">
        <v>46243.20138888889</v>
      </c>
      <c r="C4605" s="36">
        <v>46243.415972222225</v>
      </c>
      <c r="D4605" s="22" t="s">
        <v>36</v>
      </c>
      <c r="E4605" s="22" t="s">
        <v>57</v>
      </c>
      <c r="F4605" s="22" t="s">
        <v>43</v>
      </c>
      <c r="G4605" s="22" t="s">
        <v>121</v>
      </c>
      <c r="H4605" s="22" t="s">
        <v>59</v>
      </c>
      <c r="I4605" s="22" t="s">
        <v>108</v>
      </c>
      <c r="J4605" s="23">
        <v>4</v>
      </c>
      <c r="K4605" s="37">
        <v>0</v>
      </c>
      <c r="L4605" s="37">
        <v>4</v>
      </c>
      <c r="M4605" s="22">
        <f>IF(OR(ISBLANK(C4605),C4605=""),"",ROUND((C4605-B4605)*24,2))</f>
        <v>5.15</v>
      </c>
      <c r="N4605" s="38" t="str">
        <f>IF(OR(ISBLANK(C4605),C4605="",M4605=""),"In Progress",IF(M4605&lt;=J4605,"Met","Breached"))</f>
        <v>Breached</v>
      </c>
    </row>
    <row r="4606" ht="19" customHeight="1" spans="1:14" x14ac:dyDescent="0.25">
      <c r="A4606" s="19" t="s">
        <v>4720</v>
      </c>
      <c r="B4606" s="33">
        <v>46202.63125</v>
      </c>
      <c r="C4606" s="33">
        <v>46204.084027777775</v>
      </c>
      <c r="D4606" s="19" t="s">
        <v>33</v>
      </c>
      <c r="E4606" s="19" t="s">
        <v>65</v>
      </c>
      <c r="F4606" s="19" t="s">
        <v>45</v>
      </c>
      <c r="G4606" s="19" t="s">
        <v>63</v>
      </c>
      <c r="H4606" s="19" t="s">
        <v>59</v>
      </c>
      <c r="I4606" s="19" t="s">
        <v>111</v>
      </c>
      <c r="J4606" s="20">
        <v>48</v>
      </c>
      <c r="K4606" s="34">
        <v>0</v>
      </c>
      <c r="L4606" s="34">
        <v>4</v>
      </c>
      <c r="M4606" s="19">
        <f>IF(OR(ISBLANK(C4606),C4606=""),"",ROUND((C4606-B4606)*24,2))</f>
        <v>34.87</v>
      </c>
      <c r="N4606" s="35" t="str">
        <f>IF(OR(ISBLANK(C4606),C4606="",M4606=""),"In Progress",IF(M4606&lt;=J4606,"Met","Breached"))</f>
        <v>Met</v>
      </c>
    </row>
    <row r="4607" ht="19" customHeight="1" spans="1:14" x14ac:dyDescent="0.25">
      <c r="A4607" s="22" t="s">
        <v>4721</v>
      </c>
      <c r="B4607" s="36">
        <v>45919.711805555555</v>
      </c>
      <c r="C4607" s="36">
        <v>45923.15555555555</v>
      </c>
      <c r="D4607" s="22" t="s">
        <v>33</v>
      </c>
      <c r="E4607" s="22" t="s">
        <v>65</v>
      </c>
      <c r="F4607" s="22" t="s">
        <v>40</v>
      </c>
      <c r="G4607" s="22" t="s">
        <v>116</v>
      </c>
      <c r="H4607" s="22" t="s">
        <v>63</v>
      </c>
      <c r="I4607" s="22" t="s">
        <v>114</v>
      </c>
      <c r="J4607" s="23">
        <v>48</v>
      </c>
      <c r="K4607" s="37">
        <v>0</v>
      </c>
      <c r="L4607" s="37">
        <v>4</v>
      </c>
      <c r="M4607" s="22">
        <f>IF(OR(ISBLANK(C4607),C4607=""),"",ROUND((C4607-B4607)*24,2))</f>
        <v>82.65</v>
      </c>
      <c r="N4607" s="38" t="str">
        <f>IF(OR(ISBLANK(C4607),C4607="",M4607=""),"In Progress",IF(M4607&lt;=J4607,"Met","Breached"))</f>
        <v>Breached</v>
      </c>
    </row>
    <row r="4608" ht="19" customHeight="1" spans="1:14" x14ac:dyDescent="0.25">
      <c r="A4608" s="19" t="s">
        <v>4722</v>
      </c>
      <c r="B4608" s="33">
        <v>46114.53958333333</v>
      </c>
      <c r="C4608" s="33">
        <v>46117.04791666666</v>
      </c>
      <c r="D4608" s="19" t="s">
        <v>33</v>
      </c>
      <c r="E4608" s="19" t="s">
        <v>65</v>
      </c>
      <c r="F4608" s="19" t="s">
        <v>34</v>
      </c>
      <c r="G4608" s="19" t="s">
        <v>121</v>
      </c>
      <c r="H4608" s="19" t="s">
        <v>63</v>
      </c>
      <c r="I4608" s="19" t="s">
        <v>111</v>
      </c>
      <c r="J4608" s="20">
        <v>48</v>
      </c>
      <c r="K4608" s="34">
        <v>1</v>
      </c>
      <c r="L4608" s="34">
        <v>1</v>
      </c>
      <c r="M4608" s="19">
        <f>IF(OR(ISBLANK(C4608),C4608=""),"",ROUND((C4608-B4608)*24,2))</f>
        <v>60.2</v>
      </c>
      <c r="N4608" s="39" t="str">
        <f>IF(OR(ISBLANK(C4608),C4608="",M4608=""),"In Progress",IF(M4608&lt;=J4608,"Met","Breached"))</f>
        <v>Breached</v>
      </c>
    </row>
    <row r="4609" ht="19" customHeight="1" spans="1:14" x14ac:dyDescent="0.25">
      <c r="A4609" s="22" t="s">
        <v>4723</v>
      </c>
      <c r="B4609" s="36">
        <v>45908.103472222225</v>
      </c>
      <c r="C4609" s="36">
        <v>45910.88333333333</v>
      </c>
      <c r="D4609" s="22" t="s">
        <v>33</v>
      </c>
      <c r="E4609" s="22" t="s">
        <v>65</v>
      </c>
      <c r="F4609" s="22" t="s">
        <v>34</v>
      </c>
      <c r="G4609" s="22" t="s">
        <v>121</v>
      </c>
      <c r="H4609" s="22" t="s">
        <v>63</v>
      </c>
      <c r="I4609" s="22" t="s">
        <v>123</v>
      </c>
      <c r="J4609" s="23">
        <v>48</v>
      </c>
      <c r="K4609" s="37">
        <v>0</v>
      </c>
      <c r="M4609" s="22">
        <f>IF(OR(ISBLANK(C4609),C4609=""),"",ROUND((C4609-B4609)*24,2))</f>
        <v>66.72</v>
      </c>
      <c r="N4609" s="38" t="str">
        <f>IF(OR(ISBLANK(C4609),C4609="",M4609=""),"In Progress",IF(M4609&lt;=J4609,"Met","Breached"))</f>
        <v>Breached</v>
      </c>
    </row>
    <row r="4610" ht="19" customHeight="1" spans="1:14" x14ac:dyDescent="0.25">
      <c r="A4610" s="19" t="s">
        <v>4724</v>
      </c>
      <c r="B4610" s="33">
        <v>46069.06388888889</v>
      </c>
      <c r="C4610" s="33">
        <v>46070.07986111111</v>
      </c>
      <c r="D4610" s="19" t="s">
        <v>33</v>
      </c>
      <c r="E4610" s="19" t="s">
        <v>65</v>
      </c>
      <c r="F4610" s="19" t="s">
        <v>34</v>
      </c>
      <c r="G4610" s="19" t="s">
        <v>63</v>
      </c>
      <c r="H4610" s="19" t="s">
        <v>71</v>
      </c>
      <c r="I4610" s="19" t="s">
        <v>108</v>
      </c>
      <c r="J4610" s="20">
        <v>48</v>
      </c>
      <c r="K4610" s="34">
        <v>0</v>
      </c>
      <c r="M4610" s="19">
        <f>IF(OR(ISBLANK(C4610),C4610=""),"",ROUND((C4610-B4610)*24,2))</f>
        <v>24.38</v>
      </c>
      <c r="N4610" s="35" t="str">
        <f>IF(OR(ISBLANK(C4610),C4610="",M4610=""),"In Progress",IF(M4610&lt;=J4610,"Met","Breached"))</f>
        <v>Met</v>
      </c>
    </row>
    <row r="4611" ht="19" customHeight="1" spans="1:14" x14ac:dyDescent="0.25">
      <c r="A4611" s="22" t="s">
        <v>4725</v>
      </c>
      <c r="B4611" s="36">
        <v>45824.22916666667</v>
      </c>
      <c r="C4611" s="36">
        <v>45825.86875</v>
      </c>
      <c r="D4611" s="22" t="s">
        <v>33</v>
      </c>
      <c r="E4611" s="22" t="s">
        <v>69</v>
      </c>
      <c r="F4611" s="22" t="s">
        <v>45</v>
      </c>
      <c r="G4611" s="22" t="s">
        <v>110</v>
      </c>
      <c r="H4611" s="22" t="s">
        <v>63</v>
      </c>
      <c r="I4611" s="22" t="s">
        <v>147</v>
      </c>
      <c r="J4611" s="23">
        <v>120</v>
      </c>
      <c r="K4611" s="37">
        <v>0</v>
      </c>
      <c r="L4611" s="37">
        <v>1</v>
      </c>
      <c r="M4611" s="22">
        <f>IF(OR(ISBLANK(C4611),C4611=""),"",ROUND((C4611-B4611)*24,2))</f>
        <v>39.35</v>
      </c>
      <c r="N4611" s="40" t="str">
        <f>IF(OR(ISBLANK(C4611),C4611="",M4611=""),"In Progress",IF(M4611&lt;=J4611,"Met","Breached"))</f>
        <v>Met</v>
      </c>
    </row>
    <row r="4612" ht="19" customHeight="1" spans="1:14" x14ac:dyDescent="0.25">
      <c r="A4612" s="19" t="s">
        <v>4726</v>
      </c>
      <c r="B4612" s="33">
        <v>45983.11319444445</v>
      </c>
      <c r="D4612" s="19" t="s">
        <v>39</v>
      </c>
      <c r="E4612" s="19" t="s">
        <v>69</v>
      </c>
      <c r="F4612" s="19" t="s">
        <v>34</v>
      </c>
      <c r="G4612" s="19" t="s">
        <v>116</v>
      </c>
      <c r="H4612" s="19" t="s">
        <v>59</v>
      </c>
      <c r="I4612" s="19" t="s">
        <v>108</v>
      </c>
      <c r="J4612" s="20">
        <v>120</v>
      </c>
      <c r="K4612" s="34">
        <v>0</v>
      </c>
      <c r="M4612" s="19" t="str">
        <f>IF(OR(ISBLANK(C4612),C4612=""),"",ROUND((C4612-B4612)*24,2))</f>
        <v/>
      </c>
      <c r="N4612" s="19" t="str">
        <f>IF(OR(ISBLANK(C4612),C4612="",M4612=""),"In Progress",IF(M4612&lt;=J4612,"Met","Breached"))</f>
        <v>In Progress</v>
      </c>
    </row>
    <row r="4613" ht="19" customHeight="1" spans="1:14" x14ac:dyDescent="0.25">
      <c r="A4613" s="22" t="s">
        <v>4727</v>
      </c>
      <c r="B4613" s="36">
        <v>46027.29791666666</v>
      </c>
      <c r="C4613" s="36">
        <v>46028.68888888889</v>
      </c>
      <c r="D4613" s="22" t="s">
        <v>33</v>
      </c>
      <c r="E4613" s="22" t="s">
        <v>65</v>
      </c>
      <c r="F4613" s="22" t="s">
        <v>45</v>
      </c>
      <c r="G4613" s="22" t="s">
        <v>110</v>
      </c>
      <c r="H4613" s="22" t="s">
        <v>59</v>
      </c>
      <c r="I4613" s="22" t="s">
        <v>111</v>
      </c>
      <c r="J4613" s="23">
        <v>48</v>
      </c>
      <c r="K4613" s="37">
        <v>0</v>
      </c>
      <c r="L4613" s="37">
        <v>1</v>
      </c>
      <c r="M4613" s="22">
        <f>IF(OR(ISBLANK(C4613),C4613=""),"",ROUND((C4613-B4613)*24,2))</f>
        <v>33.38</v>
      </c>
      <c r="N4613" s="40" t="str">
        <f>IF(OR(ISBLANK(C4613),C4613="",M4613=""),"In Progress",IF(M4613&lt;=J4613,"Met","Breached"))</f>
        <v>Met</v>
      </c>
    </row>
    <row r="4614" ht="19" customHeight="1" spans="1:14" x14ac:dyDescent="0.25">
      <c r="A4614" s="19" t="s">
        <v>4728</v>
      </c>
      <c r="B4614" s="33">
        <v>45822.788194444445</v>
      </c>
      <c r="C4614" s="33">
        <v>45822.95208333334</v>
      </c>
      <c r="D4614" s="19" t="s">
        <v>36</v>
      </c>
      <c r="E4614" s="19" t="s">
        <v>61</v>
      </c>
      <c r="F4614" s="19" t="s">
        <v>40</v>
      </c>
      <c r="G4614" s="19" t="s">
        <v>113</v>
      </c>
      <c r="H4614" s="19" t="s">
        <v>59</v>
      </c>
      <c r="I4614" s="19" t="s">
        <v>117</v>
      </c>
      <c r="J4614" s="20">
        <v>12</v>
      </c>
      <c r="K4614" s="34">
        <v>0</v>
      </c>
      <c r="L4614" s="34">
        <v>3</v>
      </c>
      <c r="M4614" s="19">
        <f>IF(OR(ISBLANK(C4614),C4614=""),"",ROUND((C4614-B4614)*24,2))</f>
        <v>3.93</v>
      </c>
      <c r="N4614" s="35" t="str">
        <f>IF(OR(ISBLANK(C4614),C4614="",M4614=""),"In Progress",IF(M4614&lt;=J4614,"Met","Breached"))</f>
        <v>Met</v>
      </c>
    </row>
    <row r="4615" ht="19" customHeight="1" spans="1:14" x14ac:dyDescent="0.25">
      <c r="A4615" s="22" t="s">
        <v>4729</v>
      </c>
      <c r="B4615" s="36">
        <v>46006.89583333333</v>
      </c>
      <c r="C4615" s="36">
        <v>46007.523611111115</v>
      </c>
      <c r="D4615" s="22" t="s">
        <v>36</v>
      </c>
      <c r="E4615" s="22" t="s">
        <v>61</v>
      </c>
      <c r="F4615" s="22" t="s">
        <v>40</v>
      </c>
      <c r="G4615" s="22" t="s">
        <v>126</v>
      </c>
      <c r="H4615" s="22" t="s">
        <v>59</v>
      </c>
      <c r="I4615" s="22" t="s">
        <v>108</v>
      </c>
      <c r="J4615" s="23">
        <v>12</v>
      </c>
      <c r="K4615" s="37">
        <v>0</v>
      </c>
      <c r="M4615" s="22">
        <f>IF(OR(ISBLANK(C4615),C4615=""),"",ROUND((C4615-B4615)*24,2))</f>
        <v>15.07</v>
      </c>
      <c r="N4615" s="38" t="str">
        <f>IF(OR(ISBLANK(C4615),C4615="",M4615=""),"In Progress",IF(M4615&lt;=J4615,"Met","Breached"))</f>
        <v>Breached</v>
      </c>
    </row>
    <row r="4616" ht="19" customHeight="1" spans="1:14" x14ac:dyDescent="0.25">
      <c r="A4616" s="19" t="s">
        <v>4730</v>
      </c>
      <c r="B4616" s="33">
        <v>46212.24652777778</v>
      </c>
      <c r="D4616" s="19" t="s">
        <v>39</v>
      </c>
      <c r="E4616" s="19" t="s">
        <v>61</v>
      </c>
      <c r="F4616" s="19" t="s">
        <v>40</v>
      </c>
      <c r="G4616" s="19" t="s">
        <v>116</v>
      </c>
      <c r="H4616" s="19" t="s">
        <v>63</v>
      </c>
      <c r="I4616" s="19" t="s">
        <v>111</v>
      </c>
      <c r="J4616" s="20">
        <v>12</v>
      </c>
      <c r="K4616" s="34">
        <v>0</v>
      </c>
      <c r="M4616" s="19" t="str">
        <f>IF(OR(ISBLANK(C4616),C4616=""),"",ROUND((C4616-B4616)*24,2))</f>
        <v/>
      </c>
      <c r="N4616" s="19" t="str">
        <f>IF(OR(ISBLANK(C4616),C4616="",M4616=""),"In Progress",IF(M4616&lt;=J4616,"Met","Breached"))</f>
        <v>In Progress</v>
      </c>
    </row>
    <row r="4617" ht="19" customHeight="1" spans="1:14" x14ac:dyDescent="0.25">
      <c r="A4617" s="22" t="s">
        <v>4731</v>
      </c>
      <c r="B4617" s="36">
        <v>46073.89166666666</v>
      </c>
      <c r="C4617" s="36">
        <v>46075.82638888889</v>
      </c>
      <c r="D4617" s="22" t="s">
        <v>33</v>
      </c>
      <c r="E4617" s="22" t="s">
        <v>65</v>
      </c>
      <c r="F4617" s="22" t="s">
        <v>37</v>
      </c>
      <c r="G4617" s="22" t="s">
        <v>113</v>
      </c>
      <c r="H4617" s="22" t="s">
        <v>63</v>
      </c>
      <c r="I4617" s="22" t="s">
        <v>108</v>
      </c>
      <c r="J4617" s="23">
        <v>48</v>
      </c>
      <c r="K4617" s="37">
        <v>0</v>
      </c>
      <c r="M4617" s="22">
        <f>IF(OR(ISBLANK(C4617),C4617=""),"",ROUND((C4617-B4617)*24,2))</f>
        <v>46.43</v>
      </c>
      <c r="N4617" s="40" t="str">
        <f>IF(OR(ISBLANK(C4617),C4617="",M4617=""),"In Progress",IF(M4617&lt;=J4617,"Met","Breached"))</f>
        <v>Met</v>
      </c>
    </row>
    <row r="4618" ht="19" customHeight="1" spans="1:14" x14ac:dyDescent="0.25">
      <c r="A4618" s="19" t="s">
        <v>4732</v>
      </c>
      <c r="B4618" s="33">
        <v>45797.98125</v>
      </c>
      <c r="C4618" s="33">
        <v>45799.78125</v>
      </c>
      <c r="D4618" s="19" t="s">
        <v>33</v>
      </c>
      <c r="E4618" s="19" t="s">
        <v>65</v>
      </c>
      <c r="F4618" s="19" t="s">
        <v>45</v>
      </c>
      <c r="G4618" s="19" t="s">
        <v>126</v>
      </c>
      <c r="H4618" s="19" t="s">
        <v>63</v>
      </c>
      <c r="I4618" s="19" t="s">
        <v>117</v>
      </c>
      <c r="J4618" s="20">
        <v>48</v>
      </c>
      <c r="K4618" s="34">
        <v>0</v>
      </c>
      <c r="L4618" s="34">
        <v>1</v>
      </c>
      <c r="M4618" s="19">
        <f>IF(OR(ISBLANK(C4618),C4618=""),"",ROUND((C4618-B4618)*24,2))</f>
        <v>43.2</v>
      </c>
      <c r="N4618" s="35" t="str">
        <f>IF(OR(ISBLANK(C4618),C4618="",M4618=""),"In Progress",IF(M4618&lt;=J4618,"Met","Breached"))</f>
        <v>Met</v>
      </c>
    </row>
    <row r="4619" ht="19" customHeight="1" spans="1:14" x14ac:dyDescent="0.25">
      <c r="A4619" s="22" t="s">
        <v>4733</v>
      </c>
      <c r="B4619" s="36">
        <v>45806.18194444444</v>
      </c>
      <c r="C4619" s="36">
        <v>45809.72152777778</v>
      </c>
      <c r="D4619" s="22" t="s">
        <v>33</v>
      </c>
      <c r="E4619" s="22" t="s">
        <v>65</v>
      </c>
      <c r="F4619" s="22" t="s">
        <v>34</v>
      </c>
      <c r="G4619" s="22" t="s">
        <v>113</v>
      </c>
      <c r="H4619" s="22" t="s">
        <v>71</v>
      </c>
      <c r="I4619" s="22" t="s">
        <v>117</v>
      </c>
      <c r="J4619" s="23">
        <v>48</v>
      </c>
      <c r="K4619" s="37">
        <v>0</v>
      </c>
      <c r="L4619" s="37">
        <v>3</v>
      </c>
      <c r="M4619" s="22">
        <f>IF(OR(ISBLANK(C4619),C4619=""),"",ROUND((C4619-B4619)*24,2))</f>
        <v>84.95</v>
      </c>
      <c r="N4619" s="38" t="str">
        <f>IF(OR(ISBLANK(C4619),C4619="",M4619=""),"In Progress",IF(M4619&lt;=J4619,"Met","Breached"))</f>
        <v>Breached</v>
      </c>
    </row>
    <row r="4620" ht="19" customHeight="1" spans="1:14" x14ac:dyDescent="0.25">
      <c r="A4620" s="19" t="s">
        <v>4734</v>
      </c>
      <c r="B4620" s="33">
        <v>45902.509722222225</v>
      </c>
      <c r="C4620" s="33">
        <v>45903.18888888889</v>
      </c>
      <c r="D4620" s="19" t="s">
        <v>33</v>
      </c>
      <c r="E4620" s="19" t="s">
        <v>65</v>
      </c>
      <c r="F4620" s="19" t="s">
        <v>45</v>
      </c>
      <c r="G4620" s="19" t="s">
        <v>63</v>
      </c>
      <c r="H4620" s="19" t="s">
        <v>59</v>
      </c>
      <c r="I4620" s="19" t="s">
        <v>111</v>
      </c>
      <c r="J4620" s="20">
        <v>48</v>
      </c>
      <c r="K4620" s="34">
        <v>0</v>
      </c>
      <c r="M4620" s="19">
        <f>IF(OR(ISBLANK(C4620),C4620=""),"",ROUND((C4620-B4620)*24,2))</f>
        <v>16.3</v>
      </c>
      <c r="N4620" s="35" t="str">
        <f>IF(OR(ISBLANK(C4620),C4620="",M4620=""),"In Progress",IF(M4620&lt;=J4620,"Met","Breached"))</f>
        <v>Met</v>
      </c>
    </row>
    <row r="4621" ht="19" customHeight="1" spans="1:14" x14ac:dyDescent="0.25">
      <c r="A4621" s="22" t="s">
        <v>4735</v>
      </c>
      <c r="B4621" s="36">
        <v>45874.03333333333</v>
      </c>
      <c r="C4621" s="36">
        <v>45876.99652777778</v>
      </c>
      <c r="D4621" s="22" t="s">
        <v>33</v>
      </c>
      <c r="E4621" s="22" t="s">
        <v>65</v>
      </c>
      <c r="F4621" s="22" t="s">
        <v>40</v>
      </c>
      <c r="G4621" s="22" t="s">
        <v>116</v>
      </c>
      <c r="H4621" s="22" t="s">
        <v>63</v>
      </c>
      <c r="I4621" s="22" t="s">
        <v>108</v>
      </c>
      <c r="J4621" s="23">
        <v>48</v>
      </c>
      <c r="K4621" s="37">
        <v>0</v>
      </c>
      <c r="L4621" s="37">
        <v>3</v>
      </c>
      <c r="M4621" s="22">
        <f>IF(OR(ISBLANK(C4621),C4621=""),"",ROUND((C4621-B4621)*24,2))</f>
        <v>71.12</v>
      </c>
      <c r="N4621" s="38" t="str">
        <f>IF(OR(ISBLANK(C4621),C4621="",M4621=""),"In Progress",IF(M4621&lt;=J4621,"Met","Breached"))</f>
        <v>Breached</v>
      </c>
    </row>
    <row r="4622" ht="19" customHeight="1" spans="1:14" x14ac:dyDescent="0.25">
      <c r="A4622" s="19" t="s">
        <v>4736</v>
      </c>
      <c r="B4622" s="33">
        <v>46196.660416666666</v>
      </c>
      <c r="C4622" s="33">
        <v>46197.5125</v>
      </c>
      <c r="D4622" s="19" t="s">
        <v>33</v>
      </c>
      <c r="E4622" s="19" t="s">
        <v>65</v>
      </c>
      <c r="F4622" s="19" t="s">
        <v>37</v>
      </c>
      <c r="G4622" s="19" t="s">
        <v>113</v>
      </c>
      <c r="H4622" s="19" t="s">
        <v>63</v>
      </c>
      <c r="I4622" s="19" t="s">
        <v>117</v>
      </c>
      <c r="J4622" s="20">
        <v>48</v>
      </c>
      <c r="K4622" s="34">
        <v>0</v>
      </c>
      <c r="L4622" s="34">
        <v>4</v>
      </c>
      <c r="M4622" s="19">
        <f>IF(OR(ISBLANK(C4622),C4622=""),"",ROUND((C4622-B4622)*24,2))</f>
        <v>20.45</v>
      </c>
      <c r="N4622" s="35" t="str">
        <f>IF(OR(ISBLANK(C4622),C4622="",M4622=""),"In Progress",IF(M4622&lt;=J4622,"Met","Breached"))</f>
        <v>Met</v>
      </c>
    </row>
    <row r="4623" ht="19" customHeight="1" spans="1:14" x14ac:dyDescent="0.25">
      <c r="A4623" s="22" t="s">
        <v>4737</v>
      </c>
      <c r="B4623" s="36">
        <v>46262.81805555556</v>
      </c>
      <c r="D4623" s="22" t="s">
        <v>39</v>
      </c>
      <c r="E4623" s="22" t="s">
        <v>69</v>
      </c>
      <c r="F4623" s="22" t="s">
        <v>45</v>
      </c>
      <c r="G4623" s="22" t="s">
        <v>116</v>
      </c>
      <c r="H4623" s="22" t="s">
        <v>63</v>
      </c>
      <c r="I4623" s="22" t="s">
        <v>117</v>
      </c>
      <c r="J4623" s="23">
        <v>120</v>
      </c>
      <c r="K4623" s="37">
        <v>0</v>
      </c>
      <c r="M4623" s="22" t="str">
        <f>IF(OR(ISBLANK(C4623),C4623=""),"",ROUND((C4623-B4623)*24,2))</f>
        <v/>
      </c>
      <c r="N4623" s="22" t="str">
        <f>IF(OR(ISBLANK(C4623),C4623="",M4623=""),"In Progress",IF(M4623&lt;=J4623,"Met","Breached"))</f>
        <v>In Progress</v>
      </c>
    </row>
    <row r="4624" ht="19" customHeight="1" spans="1:14" x14ac:dyDescent="0.25">
      <c r="A4624" s="19" t="s">
        <v>4738</v>
      </c>
      <c r="B4624" s="33">
        <v>45996.53472222222</v>
      </c>
      <c r="C4624" s="33">
        <v>45998.65833333333</v>
      </c>
      <c r="D4624" s="19" t="s">
        <v>36</v>
      </c>
      <c r="E4624" s="19" t="s">
        <v>65</v>
      </c>
      <c r="F4624" s="19" t="s">
        <v>43</v>
      </c>
      <c r="G4624" s="19" t="s">
        <v>121</v>
      </c>
      <c r="H4624" s="19" t="s">
        <v>59</v>
      </c>
      <c r="I4624" s="19" t="s">
        <v>108</v>
      </c>
      <c r="J4624" s="20">
        <v>48</v>
      </c>
      <c r="K4624" s="34">
        <v>0</v>
      </c>
      <c r="L4624" s="34">
        <v>1</v>
      </c>
      <c r="M4624" s="19">
        <f>IF(OR(ISBLANK(C4624),C4624=""),"",ROUND((C4624-B4624)*24,2))</f>
        <v>50.97</v>
      </c>
      <c r="N4624" s="39" t="str">
        <f>IF(OR(ISBLANK(C4624),C4624="",M4624=""),"In Progress",IF(M4624&lt;=J4624,"Met","Breached"))</f>
        <v>Breached</v>
      </c>
    </row>
    <row r="4625" ht="19" customHeight="1" spans="1:14" x14ac:dyDescent="0.25">
      <c r="A4625" s="22" t="s">
        <v>4739</v>
      </c>
      <c r="B4625" s="36">
        <v>46105.12708333333</v>
      </c>
      <c r="D4625" s="22" t="s">
        <v>39</v>
      </c>
      <c r="E4625" s="22" t="s">
        <v>65</v>
      </c>
      <c r="F4625" s="22" t="s">
        <v>37</v>
      </c>
      <c r="G4625" s="22" t="s">
        <v>63</v>
      </c>
      <c r="H4625" s="22" t="s">
        <v>67</v>
      </c>
      <c r="I4625" s="22" t="s">
        <v>123</v>
      </c>
      <c r="J4625" s="23">
        <v>48</v>
      </c>
      <c r="K4625" s="37">
        <v>0</v>
      </c>
      <c r="M4625" s="22" t="str">
        <f>IF(OR(ISBLANK(C4625),C4625=""),"",ROUND((C4625-B4625)*24,2))</f>
        <v/>
      </c>
      <c r="N4625" s="22" t="str">
        <f>IF(OR(ISBLANK(C4625),C4625="",M4625=""),"In Progress",IF(M4625&lt;=J4625,"Met","Breached"))</f>
        <v>In Progress</v>
      </c>
    </row>
    <row r="4626" ht="19" customHeight="1" spans="1:14" x14ac:dyDescent="0.25">
      <c r="A4626" s="19" t="s">
        <v>4740</v>
      </c>
      <c r="B4626" s="33">
        <v>46161.006944444445</v>
      </c>
      <c r="C4626" s="33">
        <v>46162.10486111111</v>
      </c>
      <c r="D4626" s="19" t="s">
        <v>33</v>
      </c>
      <c r="E4626" s="19" t="s">
        <v>65</v>
      </c>
      <c r="F4626" s="19" t="s">
        <v>43</v>
      </c>
      <c r="G4626" s="19" t="s">
        <v>121</v>
      </c>
      <c r="H4626" s="19" t="s">
        <v>67</v>
      </c>
      <c r="I4626" s="19" t="s">
        <v>108</v>
      </c>
      <c r="J4626" s="20">
        <v>48</v>
      </c>
      <c r="K4626" s="34">
        <v>0</v>
      </c>
      <c r="L4626" s="34">
        <v>2</v>
      </c>
      <c r="M4626" s="19">
        <f>IF(OR(ISBLANK(C4626),C4626=""),"",ROUND((C4626-B4626)*24,2))</f>
        <v>26.35</v>
      </c>
      <c r="N4626" s="35" t="str">
        <f>IF(OR(ISBLANK(C4626),C4626="",M4626=""),"In Progress",IF(M4626&lt;=J4626,"Met","Breached"))</f>
        <v>Met</v>
      </c>
    </row>
    <row r="4627" ht="19" customHeight="1" spans="1:14" x14ac:dyDescent="0.25">
      <c r="A4627" s="22" t="s">
        <v>4741</v>
      </c>
      <c r="B4627" s="36">
        <v>45984.68194444444</v>
      </c>
      <c r="C4627" s="36">
        <v>45985.14513888889</v>
      </c>
      <c r="D4627" s="22" t="s">
        <v>33</v>
      </c>
      <c r="E4627" s="22" t="s">
        <v>61</v>
      </c>
      <c r="F4627" s="22" t="s">
        <v>43</v>
      </c>
      <c r="G4627" s="22" t="s">
        <v>110</v>
      </c>
      <c r="H4627" s="22" t="s">
        <v>63</v>
      </c>
      <c r="I4627" s="22" t="s">
        <v>111</v>
      </c>
      <c r="J4627" s="23">
        <v>12</v>
      </c>
      <c r="K4627" s="37">
        <v>0</v>
      </c>
      <c r="L4627" s="37">
        <v>1</v>
      </c>
      <c r="M4627" s="22">
        <f>IF(OR(ISBLANK(C4627),C4627=""),"",ROUND((C4627-B4627)*24,2))</f>
        <v>11.12</v>
      </c>
      <c r="N4627" s="40" t="str">
        <f>IF(OR(ISBLANK(C4627),C4627="",M4627=""),"In Progress",IF(M4627&lt;=J4627,"Met","Breached"))</f>
        <v>Met</v>
      </c>
    </row>
    <row r="4628" ht="19" customHeight="1" spans="1:14" x14ac:dyDescent="0.25">
      <c r="A4628" s="19" t="s">
        <v>4742</v>
      </c>
      <c r="B4628" s="33">
        <v>45782.59583333333</v>
      </c>
      <c r="C4628" s="33">
        <v>45785.319444444445</v>
      </c>
      <c r="D4628" s="19" t="s">
        <v>36</v>
      </c>
      <c r="E4628" s="19" t="s">
        <v>65</v>
      </c>
      <c r="F4628" s="19" t="s">
        <v>45</v>
      </c>
      <c r="G4628" s="19" t="s">
        <v>110</v>
      </c>
      <c r="H4628" s="19" t="s">
        <v>71</v>
      </c>
      <c r="I4628" s="19" t="s">
        <v>117</v>
      </c>
      <c r="J4628" s="20">
        <v>48</v>
      </c>
      <c r="K4628" s="34">
        <v>0</v>
      </c>
      <c r="M4628" s="19">
        <f>IF(OR(ISBLANK(C4628),C4628=""),"",ROUND((C4628-B4628)*24,2))</f>
        <v>65.37</v>
      </c>
      <c r="N4628" s="39" t="str">
        <f>IF(OR(ISBLANK(C4628),C4628="",M4628=""),"In Progress",IF(M4628&lt;=J4628,"Met","Breached"))</f>
        <v>Breached</v>
      </c>
    </row>
    <row r="4629" ht="19" customHeight="1" spans="1:14" x14ac:dyDescent="0.25">
      <c r="A4629" s="22" t="s">
        <v>4743</v>
      </c>
      <c r="B4629" s="36">
        <v>46101.049305555556</v>
      </c>
      <c r="C4629" s="36">
        <v>46103.30138888889</v>
      </c>
      <c r="D4629" s="22" t="s">
        <v>33</v>
      </c>
      <c r="E4629" s="22" t="s">
        <v>65</v>
      </c>
      <c r="F4629" s="22" t="s">
        <v>43</v>
      </c>
      <c r="G4629" s="22" t="s">
        <v>116</v>
      </c>
      <c r="H4629" s="22" t="s">
        <v>59</v>
      </c>
      <c r="I4629" s="22" t="s">
        <v>123</v>
      </c>
      <c r="J4629" s="23">
        <v>48</v>
      </c>
      <c r="K4629" s="37">
        <v>0</v>
      </c>
      <c r="L4629" s="37">
        <v>4</v>
      </c>
      <c r="M4629" s="22">
        <f>IF(OR(ISBLANK(C4629),C4629=""),"",ROUND((C4629-B4629)*24,2))</f>
        <v>54.05</v>
      </c>
      <c r="N4629" s="38" t="str">
        <f>IF(OR(ISBLANK(C4629),C4629="",M4629=""),"In Progress",IF(M4629&lt;=J4629,"Met","Breached"))</f>
        <v>Breached</v>
      </c>
    </row>
    <row r="4630" ht="19" customHeight="1" spans="1:14" x14ac:dyDescent="0.25">
      <c r="A4630" s="19" t="s">
        <v>4744</v>
      </c>
      <c r="B4630" s="33">
        <v>46047.226388888885</v>
      </c>
      <c r="C4630" s="33">
        <v>46048.59583333333</v>
      </c>
      <c r="D4630" s="19" t="s">
        <v>33</v>
      </c>
      <c r="E4630" s="19" t="s">
        <v>65</v>
      </c>
      <c r="F4630" s="19" t="s">
        <v>40</v>
      </c>
      <c r="G4630" s="19" t="s">
        <v>126</v>
      </c>
      <c r="H4630" s="19" t="s">
        <v>63</v>
      </c>
      <c r="I4630" s="19" t="s">
        <v>123</v>
      </c>
      <c r="J4630" s="20">
        <v>48</v>
      </c>
      <c r="K4630" s="34">
        <v>0</v>
      </c>
      <c r="L4630" s="34">
        <v>4</v>
      </c>
      <c r="M4630" s="19">
        <f>IF(OR(ISBLANK(C4630),C4630=""),"",ROUND((C4630-B4630)*24,2))</f>
        <v>32.87</v>
      </c>
      <c r="N4630" s="35" t="str">
        <f>IF(OR(ISBLANK(C4630),C4630="",M4630=""),"In Progress",IF(M4630&lt;=J4630,"Met","Breached"))</f>
        <v>Met</v>
      </c>
    </row>
    <row r="4631" ht="19" customHeight="1" spans="1:14" x14ac:dyDescent="0.25">
      <c r="A4631" s="22" t="s">
        <v>4745</v>
      </c>
      <c r="B4631" s="36">
        <v>45944.964583333334</v>
      </c>
      <c r="C4631" s="36">
        <v>45948.20833333333</v>
      </c>
      <c r="D4631" s="22" t="s">
        <v>36</v>
      </c>
      <c r="E4631" s="22" t="s">
        <v>65</v>
      </c>
      <c r="F4631" s="22" t="s">
        <v>37</v>
      </c>
      <c r="G4631" s="22" t="s">
        <v>63</v>
      </c>
      <c r="H4631" s="22" t="s">
        <v>59</v>
      </c>
      <c r="I4631" s="22" t="s">
        <v>117</v>
      </c>
      <c r="J4631" s="23">
        <v>48</v>
      </c>
      <c r="K4631" s="37">
        <v>0</v>
      </c>
      <c r="L4631" s="37">
        <v>1</v>
      </c>
      <c r="M4631" s="22">
        <f>IF(OR(ISBLANK(C4631),C4631=""),"",ROUND((C4631-B4631)*24,2))</f>
        <v>77.85</v>
      </c>
      <c r="N4631" s="38" t="str">
        <f>IF(OR(ISBLANK(C4631),C4631="",M4631=""),"In Progress",IF(M4631&lt;=J4631,"Met","Breached"))</f>
        <v>Breached</v>
      </c>
    </row>
    <row r="4632" ht="19" customHeight="1" spans="1:14" x14ac:dyDescent="0.25">
      <c r="A4632" s="19" t="s">
        <v>4746</v>
      </c>
      <c r="B4632" s="33">
        <v>45923.021527777775</v>
      </c>
      <c r="C4632" s="33">
        <v>45925.89097222222</v>
      </c>
      <c r="D4632" s="19" t="s">
        <v>33</v>
      </c>
      <c r="E4632" s="19" t="s">
        <v>69</v>
      </c>
      <c r="F4632" s="19" t="s">
        <v>43</v>
      </c>
      <c r="G4632" s="19" t="s">
        <v>126</v>
      </c>
      <c r="H4632" s="19" t="s">
        <v>59</v>
      </c>
      <c r="I4632" s="19" t="s">
        <v>108</v>
      </c>
      <c r="J4632" s="20">
        <v>120</v>
      </c>
      <c r="K4632" s="34">
        <v>0</v>
      </c>
      <c r="M4632" s="19">
        <f>IF(OR(ISBLANK(C4632),C4632=""),"",ROUND((C4632-B4632)*24,2))</f>
        <v>68.87</v>
      </c>
      <c r="N4632" s="35" t="str">
        <f>IF(OR(ISBLANK(C4632),C4632="",M4632=""),"In Progress",IF(M4632&lt;=J4632,"Met","Breached"))</f>
        <v>Met</v>
      </c>
    </row>
    <row r="4633" ht="19" customHeight="1" spans="1:14" x14ac:dyDescent="0.25">
      <c r="A4633" s="22" t="s">
        <v>4747</v>
      </c>
      <c r="B4633" s="36">
        <v>45689.1875</v>
      </c>
      <c r="C4633" s="36">
        <v>45690.509722222225</v>
      </c>
      <c r="D4633" s="22" t="s">
        <v>36</v>
      </c>
      <c r="E4633" s="22" t="s">
        <v>65</v>
      </c>
      <c r="F4633" s="22" t="s">
        <v>43</v>
      </c>
      <c r="G4633" s="22" t="s">
        <v>121</v>
      </c>
      <c r="H4633" s="22" t="s">
        <v>59</v>
      </c>
      <c r="I4633" s="22" t="s">
        <v>111</v>
      </c>
      <c r="J4633" s="23">
        <v>48</v>
      </c>
      <c r="K4633" s="37">
        <v>0</v>
      </c>
      <c r="L4633" s="37">
        <v>3</v>
      </c>
      <c r="M4633" s="22">
        <f>IF(OR(ISBLANK(C4633),C4633=""),"",ROUND((C4633-B4633)*24,2))</f>
        <v>31.73</v>
      </c>
      <c r="N4633" s="40" t="str">
        <f>IF(OR(ISBLANK(C4633),C4633="",M4633=""),"In Progress",IF(M4633&lt;=J4633,"Met","Breached"))</f>
        <v>Met</v>
      </c>
    </row>
    <row r="4634" ht="19" customHeight="1" spans="1:14" x14ac:dyDescent="0.25">
      <c r="A4634" s="19" t="s">
        <v>4748</v>
      </c>
      <c r="B4634" s="33">
        <v>45932.302777777775</v>
      </c>
      <c r="C4634" s="33">
        <v>45934.325694444444</v>
      </c>
      <c r="D4634" s="19" t="s">
        <v>33</v>
      </c>
      <c r="E4634" s="19" t="s">
        <v>65</v>
      </c>
      <c r="F4634" s="19" t="s">
        <v>37</v>
      </c>
      <c r="G4634" s="19" t="s">
        <v>63</v>
      </c>
      <c r="H4634" s="19" t="s">
        <v>63</v>
      </c>
      <c r="I4634" s="19" t="s">
        <v>114</v>
      </c>
      <c r="J4634" s="20">
        <v>48</v>
      </c>
      <c r="K4634" s="34">
        <v>0</v>
      </c>
      <c r="L4634" s="34">
        <v>4</v>
      </c>
      <c r="M4634" s="19">
        <f>IF(OR(ISBLANK(C4634),C4634=""),"",ROUND((C4634-B4634)*24,2))</f>
        <v>48.55</v>
      </c>
      <c r="N4634" s="39" t="str">
        <f>IF(OR(ISBLANK(C4634),C4634="",M4634=""),"In Progress",IF(M4634&lt;=J4634,"Met","Breached"))</f>
        <v>Breached</v>
      </c>
    </row>
    <row r="4635" ht="19" customHeight="1" spans="1:14" x14ac:dyDescent="0.25">
      <c r="A4635" s="22" t="s">
        <v>4749</v>
      </c>
      <c r="B4635" s="36">
        <v>45981.55625</v>
      </c>
      <c r="C4635" s="36">
        <v>45985.898611111115</v>
      </c>
      <c r="D4635" s="22" t="s">
        <v>33</v>
      </c>
      <c r="E4635" s="22" t="s">
        <v>69</v>
      </c>
      <c r="F4635" s="22" t="s">
        <v>43</v>
      </c>
      <c r="G4635" s="22" t="s">
        <v>63</v>
      </c>
      <c r="H4635" s="22" t="s">
        <v>71</v>
      </c>
      <c r="I4635" s="22" t="s">
        <v>123</v>
      </c>
      <c r="J4635" s="23">
        <v>120</v>
      </c>
      <c r="K4635" s="37">
        <v>0</v>
      </c>
      <c r="L4635" s="37">
        <v>4</v>
      </c>
      <c r="M4635" s="22">
        <f>IF(OR(ISBLANK(C4635),C4635=""),"",ROUND((C4635-B4635)*24,2))</f>
        <v>104.22</v>
      </c>
      <c r="N4635" s="40" t="str">
        <f>IF(OR(ISBLANK(C4635),C4635="",M4635=""),"In Progress",IF(M4635&lt;=J4635,"Met","Breached"))</f>
        <v>Met</v>
      </c>
    </row>
    <row r="4636" ht="19" customHeight="1" spans="1:14" x14ac:dyDescent="0.25">
      <c r="A4636" s="19" t="s">
        <v>4750</v>
      </c>
      <c r="B4636" s="33">
        <v>46228.111805555556</v>
      </c>
      <c r="C4636" s="33">
        <v>46236.99375</v>
      </c>
      <c r="D4636" s="19" t="s">
        <v>33</v>
      </c>
      <c r="E4636" s="19" t="s">
        <v>69</v>
      </c>
      <c r="F4636" s="19" t="s">
        <v>45</v>
      </c>
      <c r="G4636" s="19" t="s">
        <v>126</v>
      </c>
      <c r="H4636" s="19" t="s">
        <v>59</v>
      </c>
      <c r="I4636" s="19" t="s">
        <v>111</v>
      </c>
      <c r="J4636" s="20">
        <v>120</v>
      </c>
      <c r="K4636" s="34">
        <v>0</v>
      </c>
      <c r="L4636" s="34">
        <v>3</v>
      </c>
      <c r="M4636" s="19">
        <f>IF(OR(ISBLANK(C4636),C4636=""),"",ROUND((C4636-B4636)*24,2))</f>
        <v>213.17</v>
      </c>
      <c r="N4636" s="39" t="str">
        <f>IF(OR(ISBLANK(C4636),C4636="",M4636=""),"In Progress",IF(M4636&lt;=J4636,"Met","Breached"))</f>
        <v>Breached</v>
      </c>
    </row>
    <row r="4637" ht="19" customHeight="1" spans="1:14" x14ac:dyDescent="0.25">
      <c r="A4637" s="22" t="s">
        <v>4751</v>
      </c>
      <c r="B4637" s="36">
        <v>45995.018055555556</v>
      </c>
      <c r="C4637" s="36">
        <v>45995.08819444444</v>
      </c>
      <c r="D4637" s="22" t="s">
        <v>33</v>
      </c>
      <c r="E4637" s="22" t="s">
        <v>57</v>
      </c>
      <c r="F4637" s="22" t="s">
        <v>45</v>
      </c>
      <c r="G4637" s="22" t="s">
        <v>116</v>
      </c>
      <c r="H4637" s="22" t="s">
        <v>59</v>
      </c>
      <c r="I4637" s="22" t="s">
        <v>117</v>
      </c>
      <c r="J4637" s="23">
        <v>4</v>
      </c>
      <c r="K4637" s="37">
        <v>0</v>
      </c>
      <c r="M4637" s="22">
        <f>IF(OR(ISBLANK(C4637),C4637=""),"",ROUND((C4637-B4637)*24,2))</f>
        <v>1.68</v>
      </c>
      <c r="N4637" s="40" t="str">
        <f>IF(OR(ISBLANK(C4637),C4637="",M4637=""),"In Progress",IF(M4637&lt;=J4637,"Met","Breached"))</f>
        <v>Met</v>
      </c>
    </row>
    <row r="4638" ht="19" customHeight="1" spans="1:14" x14ac:dyDescent="0.25">
      <c r="A4638" s="19" t="s">
        <v>4752</v>
      </c>
      <c r="B4638" s="33">
        <v>45937.82361111111</v>
      </c>
      <c r="C4638" s="33">
        <v>45943.111805555556</v>
      </c>
      <c r="D4638" s="19" t="s">
        <v>33</v>
      </c>
      <c r="E4638" s="19" t="s">
        <v>69</v>
      </c>
      <c r="F4638" s="19" t="s">
        <v>37</v>
      </c>
      <c r="G4638" s="19" t="s">
        <v>121</v>
      </c>
      <c r="H4638" s="19" t="s">
        <v>59</v>
      </c>
      <c r="I4638" s="19" t="s">
        <v>108</v>
      </c>
      <c r="J4638" s="20">
        <v>120</v>
      </c>
      <c r="K4638" s="34">
        <v>0</v>
      </c>
      <c r="L4638" s="34">
        <v>4</v>
      </c>
      <c r="M4638" s="19">
        <f>IF(OR(ISBLANK(C4638),C4638=""),"",ROUND((C4638-B4638)*24,2))</f>
        <v>126.92</v>
      </c>
      <c r="N4638" s="39" t="str">
        <f>IF(OR(ISBLANK(C4638),C4638="",M4638=""),"In Progress",IF(M4638&lt;=J4638,"Met","Breached"))</f>
        <v>Breached</v>
      </c>
    </row>
    <row r="4639" ht="19" customHeight="1" spans="1:14" x14ac:dyDescent="0.25">
      <c r="A4639" s="22" t="s">
        <v>4753</v>
      </c>
      <c r="B4639" s="36">
        <v>45965.84305555555</v>
      </c>
      <c r="C4639" s="36">
        <v>45968.379166666666</v>
      </c>
      <c r="D4639" s="22" t="s">
        <v>33</v>
      </c>
      <c r="E4639" s="22" t="s">
        <v>65</v>
      </c>
      <c r="F4639" s="22" t="s">
        <v>45</v>
      </c>
      <c r="G4639" s="22" t="s">
        <v>110</v>
      </c>
      <c r="H4639" s="22" t="s">
        <v>67</v>
      </c>
      <c r="I4639" s="22" t="s">
        <v>111</v>
      </c>
      <c r="J4639" s="23">
        <v>48</v>
      </c>
      <c r="K4639" s="37">
        <v>0</v>
      </c>
      <c r="M4639" s="22">
        <f>IF(OR(ISBLANK(C4639),C4639=""),"",ROUND((C4639-B4639)*24,2))</f>
        <v>60.87</v>
      </c>
      <c r="N4639" s="38" t="str">
        <f>IF(OR(ISBLANK(C4639),C4639="",M4639=""),"In Progress",IF(M4639&lt;=J4639,"Met","Breached"))</f>
        <v>Breached</v>
      </c>
    </row>
    <row r="4640" ht="19" customHeight="1" spans="1:14" x14ac:dyDescent="0.25">
      <c r="A4640" s="19" t="s">
        <v>4754</v>
      </c>
      <c r="B4640" s="33">
        <v>45958.00486111111</v>
      </c>
      <c r="D4640" s="19" t="s">
        <v>39</v>
      </c>
      <c r="E4640" s="19" t="s">
        <v>65</v>
      </c>
      <c r="F4640" s="19" t="s">
        <v>34</v>
      </c>
      <c r="G4640" s="19" t="s">
        <v>126</v>
      </c>
      <c r="H4640" s="19" t="s">
        <v>71</v>
      </c>
      <c r="I4640" s="19" t="s">
        <v>147</v>
      </c>
      <c r="J4640" s="20">
        <v>48</v>
      </c>
      <c r="K4640" s="34">
        <v>0</v>
      </c>
      <c r="M4640" s="19" t="str">
        <f>IF(OR(ISBLANK(C4640),C4640=""),"",ROUND((C4640-B4640)*24,2))</f>
        <v/>
      </c>
      <c r="N4640" s="19" t="str">
        <f>IF(OR(ISBLANK(C4640),C4640="",M4640=""),"In Progress",IF(M4640&lt;=J4640,"Met","Breached"))</f>
        <v>In Progress</v>
      </c>
    </row>
    <row r="4641" ht="19" customHeight="1" spans="1:14" x14ac:dyDescent="0.25">
      <c r="A4641" s="22" t="s">
        <v>4755</v>
      </c>
      <c r="B4641" s="36">
        <v>46268.5375</v>
      </c>
      <c r="C4641" s="36">
        <v>46275.62569444445</v>
      </c>
      <c r="D4641" s="22" t="s">
        <v>33</v>
      </c>
      <c r="E4641" s="22" t="s">
        <v>69</v>
      </c>
      <c r="F4641" s="22" t="s">
        <v>37</v>
      </c>
      <c r="G4641" s="22" t="s">
        <v>121</v>
      </c>
      <c r="H4641" s="22" t="s">
        <v>63</v>
      </c>
      <c r="I4641" s="22" t="s">
        <v>114</v>
      </c>
      <c r="J4641" s="23">
        <v>120</v>
      </c>
      <c r="K4641" s="37">
        <v>0</v>
      </c>
      <c r="L4641" s="37">
        <v>3</v>
      </c>
      <c r="M4641" s="22">
        <f>IF(OR(ISBLANK(C4641),C4641=""),"",ROUND((C4641-B4641)*24,2))</f>
        <v>170.12</v>
      </c>
      <c r="N4641" s="38" t="str">
        <f>IF(OR(ISBLANK(C4641),C4641="",M4641=""),"In Progress",IF(M4641&lt;=J4641,"Met","Breached"))</f>
        <v>Breached</v>
      </c>
    </row>
    <row r="4642" ht="19" customHeight="1" spans="1:14" x14ac:dyDescent="0.25">
      <c r="A4642" s="19" t="s">
        <v>4756</v>
      </c>
      <c r="B4642" s="33">
        <v>46018.84166666667</v>
      </c>
      <c r="C4642" s="33">
        <v>46020.23402777778</v>
      </c>
      <c r="D4642" s="19" t="s">
        <v>33</v>
      </c>
      <c r="E4642" s="19" t="s">
        <v>65</v>
      </c>
      <c r="F4642" s="19" t="s">
        <v>43</v>
      </c>
      <c r="G4642" s="19" t="s">
        <v>113</v>
      </c>
      <c r="H4642" s="19" t="s">
        <v>59</v>
      </c>
      <c r="I4642" s="19" t="s">
        <v>117</v>
      </c>
      <c r="J4642" s="20">
        <v>48</v>
      </c>
      <c r="K4642" s="34">
        <v>0</v>
      </c>
      <c r="L4642" s="34">
        <v>3</v>
      </c>
      <c r="M4642" s="19">
        <f>IF(OR(ISBLANK(C4642),C4642=""),"",ROUND((C4642-B4642)*24,2))</f>
        <v>33.42</v>
      </c>
      <c r="N4642" s="35" t="str">
        <f>IF(OR(ISBLANK(C4642),C4642="",M4642=""),"In Progress",IF(M4642&lt;=J4642,"Met","Breached"))</f>
        <v>Met</v>
      </c>
    </row>
    <row r="4643" ht="19" customHeight="1" spans="1:14" x14ac:dyDescent="0.25">
      <c r="A4643" s="22" t="s">
        <v>4757</v>
      </c>
      <c r="B4643" s="36">
        <v>46046.285416666666</v>
      </c>
      <c r="C4643" s="36">
        <v>46046.506944444445</v>
      </c>
      <c r="D4643" s="22" t="s">
        <v>33</v>
      </c>
      <c r="E4643" s="22" t="s">
        <v>57</v>
      </c>
      <c r="F4643" s="22" t="s">
        <v>43</v>
      </c>
      <c r="G4643" s="22" t="s">
        <v>116</v>
      </c>
      <c r="H4643" s="22" t="s">
        <v>59</v>
      </c>
      <c r="I4643" s="22" t="s">
        <v>111</v>
      </c>
      <c r="J4643" s="23">
        <v>4</v>
      </c>
      <c r="K4643" s="37">
        <v>0</v>
      </c>
      <c r="L4643" s="37">
        <v>4</v>
      </c>
      <c r="M4643" s="22">
        <f>IF(OR(ISBLANK(C4643),C4643=""),"",ROUND((C4643-B4643)*24,2))</f>
        <v>5.32</v>
      </c>
      <c r="N4643" s="38" t="str">
        <f>IF(OR(ISBLANK(C4643),C4643="",M4643=""),"In Progress",IF(M4643&lt;=J4643,"Met","Breached"))</f>
        <v>Breached</v>
      </c>
    </row>
    <row r="4644" ht="19" customHeight="1" spans="1:14" x14ac:dyDescent="0.25">
      <c r="A4644" s="19" t="s">
        <v>4758</v>
      </c>
      <c r="B4644" s="33">
        <v>46258.26111111111</v>
      </c>
      <c r="C4644" s="33">
        <v>46264.92222222222</v>
      </c>
      <c r="D4644" s="19" t="s">
        <v>33</v>
      </c>
      <c r="E4644" s="19" t="s">
        <v>69</v>
      </c>
      <c r="F4644" s="19" t="s">
        <v>40</v>
      </c>
      <c r="G4644" s="19" t="s">
        <v>126</v>
      </c>
      <c r="H4644" s="19" t="s">
        <v>67</v>
      </c>
      <c r="I4644" s="19" t="s">
        <v>111</v>
      </c>
      <c r="J4644" s="20">
        <v>120</v>
      </c>
      <c r="K4644" s="34">
        <v>0</v>
      </c>
      <c r="L4644" s="34">
        <v>5</v>
      </c>
      <c r="M4644" s="19">
        <f>IF(OR(ISBLANK(C4644),C4644=""),"",ROUND((C4644-B4644)*24,2))</f>
        <v>159.87</v>
      </c>
      <c r="N4644" s="39" t="str">
        <f>IF(OR(ISBLANK(C4644),C4644="",M4644=""),"In Progress",IF(M4644&lt;=J4644,"Met","Breached"))</f>
        <v>Breached</v>
      </c>
    </row>
    <row r="4645" ht="19" customHeight="1" spans="1:14" x14ac:dyDescent="0.25">
      <c r="A4645" s="22" t="s">
        <v>4759</v>
      </c>
      <c r="B4645" s="36">
        <v>46154.990277777775</v>
      </c>
      <c r="C4645" s="36">
        <v>46157.54583333334</v>
      </c>
      <c r="D4645" s="22" t="s">
        <v>36</v>
      </c>
      <c r="E4645" s="22" t="s">
        <v>69</v>
      </c>
      <c r="F4645" s="22" t="s">
        <v>43</v>
      </c>
      <c r="G4645" s="22" t="s">
        <v>63</v>
      </c>
      <c r="H4645" s="22" t="s">
        <v>71</v>
      </c>
      <c r="I4645" s="22" t="s">
        <v>111</v>
      </c>
      <c r="J4645" s="23">
        <v>120</v>
      </c>
      <c r="K4645" s="37">
        <v>0</v>
      </c>
      <c r="M4645" s="22">
        <f>IF(OR(ISBLANK(C4645),C4645=""),"",ROUND((C4645-B4645)*24,2))</f>
        <v>61.33</v>
      </c>
      <c r="N4645" s="40" t="str">
        <f>IF(OR(ISBLANK(C4645),C4645="",M4645=""),"In Progress",IF(M4645&lt;=J4645,"Met","Breached"))</f>
        <v>Met</v>
      </c>
    </row>
    <row r="4646" ht="19" customHeight="1" spans="1:14" x14ac:dyDescent="0.25">
      <c r="A4646" s="19" t="s">
        <v>4760</v>
      </c>
      <c r="B4646" s="33">
        <v>45752.27847222222</v>
      </c>
      <c r="C4646" s="33">
        <v>45753.43680555555</v>
      </c>
      <c r="D4646" s="19" t="s">
        <v>33</v>
      </c>
      <c r="E4646" s="19" t="s">
        <v>65</v>
      </c>
      <c r="F4646" s="19" t="s">
        <v>43</v>
      </c>
      <c r="G4646" s="19" t="s">
        <v>63</v>
      </c>
      <c r="H4646" s="19" t="s">
        <v>63</v>
      </c>
      <c r="I4646" s="19" t="s">
        <v>114</v>
      </c>
      <c r="J4646" s="20">
        <v>48</v>
      </c>
      <c r="K4646" s="34">
        <v>0</v>
      </c>
      <c r="L4646" s="34">
        <v>3</v>
      </c>
      <c r="M4646" s="19">
        <f>IF(OR(ISBLANK(C4646),C4646=""),"",ROUND((C4646-B4646)*24,2))</f>
        <v>27.8</v>
      </c>
      <c r="N4646" s="35" t="str">
        <f>IF(OR(ISBLANK(C4646),C4646="",M4646=""),"In Progress",IF(M4646&lt;=J4646,"Met","Breached"))</f>
        <v>Met</v>
      </c>
    </row>
    <row r="4647" ht="19" customHeight="1" spans="1:14" x14ac:dyDescent="0.25">
      <c r="A4647" s="22" t="s">
        <v>4761</v>
      </c>
      <c r="B4647" s="36">
        <v>46012.70833333333</v>
      </c>
      <c r="D4647" s="22" t="s">
        <v>42</v>
      </c>
      <c r="E4647" s="22" t="s">
        <v>69</v>
      </c>
      <c r="F4647" s="22" t="s">
        <v>40</v>
      </c>
      <c r="G4647" s="22" t="s">
        <v>121</v>
      </c>
      <c r="H4647" s="22" t="s">
        <v>59</v>
      </c>
      <c r="I4647" s="22" t="s">
        <v>114</v>
      </c>
      <c r="J4647" s="23">
        <v>120</v>
      </c>
      <c r="K4647" s="37">
        <v>0</v>
      </c>
      <c r="M4647" s="22" t="str">
        <f>IF(OR(ISBLANK(C4647),C4647=""),"",ROUND((C4647-B4647)*24,2))</f>
        <v/>
      </c>
      <c r="N4647" s="22" t="str">
        <f>IF(OR(ISBLANK(C4647),C4647="",M4647=""),"In Progress",IF(M4647&lt;=J4647,"Met","Breached"))</f>
        <v>In Progress</v>
      </c>
    </row>
    <row r="4648" ht="19" customHeight="1" spans="1:14" x14ac:dyDescent="0.25">
      <c r="A4648" s="19" t="s">
        <v>4762</v>
      </c>
      <c r="B4648" s="33">
        <v>45870.23958333333</v>
      </c>
      <c r="D4648" s="19" t="s">
        <v>39</v>
      </c>
      <c r="E4648" s="19" t="s">
        <v>65</v>
      </c>
      <c r="F4648" s="19" t="s">
        <v>43</v>
      </c>
      <c r="G4648" s="19" t="s">
        <v>116</v>
      </c>
      <c r="H4648" s="19" t="s">
        <v>67</v>
      </c>
      <c r="I4648" s="19" t="s">
        <v>147</v>
      </c>
      <c r="J4648" s="20">
        <v>48</v>
      </c>
      <c r="K4648" s="34">
        <v>0</v>
      </c>
      <c r="M4648" s="19" t="str">
        <f>IF(OR(ISBLANK(C4648),C4648=""),"",ROUND((C4648-B4648)*24,2))</f>
        <v/>
      </c>
      <c r="N4648" s="19" t="str">
        <f>IF(OR(ISBLANK(C4648),C4648="",M4648=""),"In Progress",IF(M4648&lt;=J4648,"Met","Breached"))</f>
        <v>In Progress</v>
      </c>
    </row>
    <row r="4649" ht="19" customHeight="1" spans="1:14" x14ac:dyDescent="0.25">
      <c r="A4649" s="22" t="s">
        <v>4763</v>
      </c>
      <c r="B4649" s="36">
        <v>45853.00625</v>
      </c>
      <c r="C4649" s="36">
        <v>45855.86666666667</v>
      </c>
      <c r="D4649" s="22" t="s">
        <v>36</v>
      </c>
      <c r="E4649" s="22" t="s">
        <v>65</v>
      </c>
      <c r="F4649" s="22" t="s">
        <v>45</v>
      </c>
      <c r="G4649" s="22" t="s">
        <v>116</v>
      </c>
      <c r="H4649" s="22" t="s">
        <v>67</v>
      </c>
      <c r="I4649" s="22" t="s">
        <v>117</v>
      </c>
      <c r="J4649" s="23">
        <v>48</v>
      </c>
      <c r="K4649" s="37">
        <v>0</v>
      </c>
      <c r="M4649" s="22">
        <f>IF(OR(ISBLANK(C4649),C4649=""),"",ROUND((C4649-B4649)*24,2))</f>
        <v>68.65</v>
      </c>
      <c r="N4649" s="38" t="str">
        <f>IF(OR(ISBLANK(C4649),C4649="",M4649=""),"In Progress",IF(M4649&lt;=J4649,"Met","Breached"))</f>
        <v>Breached</v>
      </c>
    </row>
    <row r="4650" ht="19" customHeight="1" spans="1:14" x14ac:dyDescent="0.25">
      <c r="A4650" s="19" t="s">
        <v>4764</v>
      </c>
      <c r="B4650" s="33">
        <v>45882.64375</v>
      </c>
      <c r="D4650" s="19" t="s">
        <v>39</v>
      </c>
      <c r="E4650" s="19" t="s">
        <v>69</v>
      </c>
      <c r="F4650" s="19" t="s">
        <v>34</v>
      </c>
      <c r="G4650" s="19" t="s">
        <v>126</v>
      </c>
      <c r="H4650" s="19" t="s">
        <v>59</v>
      </c>
      <c r="I4650" s="19" t="s">
        <v>123</v>
      </c>
      <c r="J4650" s="20">
        <v>120</v>
      </c>
      <c r="K4650" s="34">
        <v>0</v>
      </c>
      <c r="M4650" s="19" t="str">
        <f>IF(OR(ISBLANK(C4650),C4650=""),"",ROUND((C4650-B4650)*24,2))</f>
        <v/>
      </c>
      <c r="N4650" s="19" t="str">
        <f>IF(OR(ISBLANK(C4650),C4650="",M4650=""),"In Progress",IF(M4650&lt;=J4650,"Met","Breached"))</f>
        <v>In Progress</v>
      </c>
    </row>
    <row r="4651" ht="19" customHeight="1" spans="1:14" x14ac:dyDescent="0.25">
      <c r="A4651" s="22" t="s">
        <v>4765</v>
      </c>
      <c r="B4651" s="36">
        <v>46207.26458333334</v>
      </c>
      <c r="C4651" s="36">
        <v>46208.775</v>
      </c>
      <c r="D4651" s="22" t="s">
        <v>33</v>
      </c>
      <c r="E4651" s="22" t="s">
        <v>65</v>
      </c>
      <c r="F4651" s="22" t="s">
        <v>40</v>
      </c>
      <c r="G4651" s="22" t="s">
        <v>126</v>
      </c>
      <c r="H4651" s="22" t="s">
        <v>59</v>
      </c>
      <c r="I4651" s="22" t="s">
        <v>123</v>
      </c>
      <c r="J4651" s="23">
        <v>48</v>
      </c>
      <c r="K4651" s="37">
        <v>1</v>
      </c>
      <c r="M4651" s="22">
        <f>IF(OR(ISBLANK(C4651),C4651=""),"",ROUND((C4651-B4651)*24,2))</f>
        <v>36.25</v>
      </c>
      <c r="N4651" s="40" t="str">
        <f>IF(OR(ISBLANK(C4651),C4651="",M4651=""),"In Progress",IF(M4651&lt;=J4651,"Met","Breached"))</f>
        <v>Met</v>
      </c>
    </row>
    <row r="4652" ht="19" customHeight="1" spans="1:14" x14ac:dyDescent="0.25">
      <c r="A4652" s="19" t="s">
        <v>4766</v>
      </c>
      <c r="B4652" s="33">
        <v>46054.88402777778</v>
      </c>
      <c r="C4652" s="33">
        <v>46055.52083333333</v>
      </c>
      <c r="D4652" s="19" t="s">
        <v>33</v>
      </c>
      <c r="E4652" s="19" t="s">
        <v>65</v>
      </c>
      <c r="F4652" s="19" t="s">
        <v>45</v>
      </c>
      <c r="G4652" s="19" t="s">
        <v>116</v>
      </c>
      <c r="H4652" s="19" t="s">
        <v>71</v>
      </c>
      <c r="I4652" s="19" t="s">
        <v>147</v>
      </c>
      <c r="J4652" s="20">
        <v>48</v>
      </c>
      <c r="K4652" s="34">
        <v>0</v>
      </c>
      <c r="L4652" s="34">
        <v>1</v>
      </c>
      <c r="M4652" s="19">
        <f>IF(OR(ISBLANK(C4652),C4652=""),"",ROUND((C4652-B4652)*24,2))</f>
        <v>15.28</v>
      </c>
      <c r="N4652" s="35" t="str">
        <f>IF(OR(ISBLANK(C4652),C4652="",M4652=""),"In Progress",IF(M4652&lt;=J4652,"Met","Breached"))</f>
        <v>Met</v>
      </c>
    </row>
    <row r="4653" ht="19" customHeight="1" spans="1:14" x14ac:dyDescent="0.25">
      <c r="A4653" s="22" t="s">
        <v>4767</v>
      </c>
      <c r="B4653" s="36">
        <v>45858.481944444444</v>
      </c>
      <c r="C4653" s="36">
        <v>45866.47430555556</v>
      </c>
      <c r="D4653" s="22" t="s">
        <v>33</v>
      </c>
      <c r="E4653" s="22" t="s">
        <v>69</v>
      </c>
      <c r="F4653" s="22" t="s">
        <v>40</v>
      </c>
      <c r="G4653" s="22" t="s">
        <v>63</v>
      </c>
      <c r="H4653" s="22" t="s">
        <v>59</v>
      </c>
      <c r="I4653" s="22" t="s">
        <v>117</v>
      </c>
      <c r="J4653" s="23">
        <v>120</v>
      </c>
      <c r="K4653" s="37">
        <v>0</v>
      </c>
      <c r="L4653" s="37">
        <v>1</v>
      </c>
      <c r="M4653" s="22">
        <f>IF(OR(ISBLANK(C4653),C4653=""),"",ROUND((C4653-B4653)*24,2))</f>
        <v>191.82</v>
      </c>
      <c r="N4653" s="38" t="str">
        <f>IF(OR(ISBLANK(C4653),C4653="",M4653=""),"In Progress",IF(M4653&lt;=J4653,"Met","Breached"))</f>
        <v>Breached</v>
      </c>
    </row>
    <row r="4654" ht="19" customHeight="1" spans="1:14" x14ac:dyDescent="0.25">
      <c r="A4654" s="19" t="s">
        <v>4768</v>
      </c>
      <c r="B4654" s="33">
        <v>45909.493055555555</v>
      </c>
      <c r="D4654" s="19" t="s">
        <v>42</v>
      </c>
      <c r="E4654" s="19" t="s">
        <v>69</v>
      </c>
      <c r="F4654" s="19" t="s">
        <v>43</v>
      </c>
      <c r="G4654" s="19" t="s">
        <v>110</v>
      </c>
      <c r="H4654" s="19" t="s">
        <v>59</v>
      </c>
      <c r="I4654" s="19" t="s">
        <v>117</v>
      </c>
      <c r="J4654" s="20">
        <v>120</v>
      </c>
      <c r="K4654" s="34">
        <v>0</v>
      </c>
      <c r="M4654" s="19" t="str">
        <f>IF(OR(ISBLANK(C4654),C4654=""),"",ROUND((C4654-B4654)*24,2))</f>
        <v/>
      </c>
      <c r="N4654" s="19" t="str">
        <f>IF(OR(ISBLANK(C4654),C4654="",M4654=""),"In Progress",IF(M4654&lt;=J4654,"Met","Breached"))</f>
        <v>In Progress</v>
      </c>
    </row>
    <row r="4655" ht="19" customHeight="1" spans="1:14" x14ac:dyDescent="0.25">
      <c r="A4655" s="22" t="s">
        <v>4769</v>
      </c>
      <c r="B4655" s="36">
        <v>46037.00347222222</v>
      </c>
      <c r="C4655" s="36">
        <v>46037.163888888885</v>
      </c>
      <c r="D4655" s="22" t="s">
        <v>36</v>
      </c>
      <c r="E4655" s="22" t="s">
        <v>61</v>
      </c>
      <c r="F4655" s="22" t="s">
        <v>34</v>
      </c>
      <c r="G4655" s="22" t="s">
        <v>116</v>
      </c>
      <c r="H4655" s="22" t="s">
        <v>67</v>
      </c>
      <c r="I4655" s="22" t="s">
        <v>147</v>
      </c>
      <c r="J4655" s="23">
        <v>12</v>
      </c>
      <c r="K4655" s="37">
        <v>0</v>
      </c>
      <c r="L4655" s="37">
        <v>3</v>
      </c>
      <c r="M4655" s="22">
        <f>IF(OR(ISBLANK(C4655),C4655=""),"",ROUND((C4655-B4655)*24,2))</f>
        <v>3.85</v>
      </c>
      <c r="N4655" s="40" t="str">
        <f>IF(OR(ISBLANK(C4655),C4655="",M4655=""),"In Progress",IF(M4655&lt;=J4655,"Met","Breached"))</f>
        <v>Met</v>
      </c>
    </row>
    <row r="4656" ht="19" customHeight="1" spans="1:14" x14ac:dyDescent="0.25">
      <c r="A4656" s="19" t="s">
        <v>4770</v>
      </c>
      <c r="B4656" s="33">
        <v>46010.68819444445</v>
      </c>
      <c r="C4656" s="33">
        <v>46011.14027777778</v>
      </c>
      <c r="D4656" s="19" t="s">
        <v>33</v>
      </c>
      <c r="E4656" s="19" t="s">
        <v>61</v>
      </c>
      <c r="F4656" s="19" t="s">
        <v>34</v>
      </c>
      <c r="G4656" s="19" t="s">
        <v>121</v>
      </c>
      <c r="H4656" s="19" t="s">
        <v>63</v>
      </c>
      <c r="I4656" s="19" t="s">
        <v>147</v>
      </c>
      <c r="J4656" s="20">
        <v>12</v>
      </c>
      <c r="K4656" s="34">
        <v>0</v>
      </c>
      <c r="L4656" s="34">
        <v>1</v>
      </c>
      <c r="M4656" s="19">
        <f>IF(OR(ISBLANK(C4656),C4656=""),"",ROUND((C4656-B4656)*24,2))</f>
        <v>10.85</v>
      </c>
      <c r="N4656" s="35" t="str">
        <f>IF(OR(ISBLANK(C4656),C4656="",M4656=""),"In Progress",IF(M4656&lt;=J4656,"Met","Breached"))</f>
        <v>Met</v>
      </c>
    </row>
    <row r="4657" ht="19" customHeight="1" spans="1:14" x14ac:dyDescent="0.25">
      <c r="A4657" s="22" t="s">
        <v>4771</v>
      </c>
      <c r="B4657" s="36">
        <v>45913.07152777778</v>
      </c>
      <c r="C4657" s="36">
        <v>45913.65486111111</v>
      </c>
      <c r="D4657" s="22" t="s">
        <v>36</v>
      </c>
      <c r="E4657" s="22" t="s">
        <v>61</v>
      </c>
      <c r="F4657" s="22" t="s">
        <v>40</v>
      </c>
      <c r="G4657" s="22" t="s">
        <v>121</v>
      </c>
      <c r="H4657" s="22" t="s">
        <v>67</v>
      </c>
      <c r="I4657" s="22" t="s">
        <v>108</v>
      </c>
      <c r="J4657" s="23">
        <v>12</v>
      </c>
      <c r="K4657" s="37">
        <v>0</v>
      </c>
      <c r="L4657" s="37">
        <v>1</v>
      </c>
      <c r="M4657" s="22">
        <f>IF(OR(ISBLANK(C4657),C4657=""),"",ROUND((C4657-B4657)*24,2))</f>
        <v>14</v>
      </c>
      <c r="N4657" s="38" t="str">
        <f>IF(OR(ISBLANK(C4657),C4657="",M4657=""),"In Progress",IF(M4657&lt;=J4657,"Met","Breached"))</f>
        <v>Breached</v>
      </c>
    </row>
    <row r="4658" ht="19" customHeight="1" spans="1:14" x14ac:dyDescent="0.25">
      <c r="A4658" s="19" t="s">
        <v>4772</v>
      </c>
      <c r="B4658" s="33">
        <v>46272.39444444445</v>
      </c>
      <c r="C4658" s="33">
        <v>46278.88611111111</v>
      </c>
      <c r="D4658" s="19" t="s">
        <v>33</v>
      </c>
      <c r="E4658" s="19" t="s">
        <v>69</v>
      </c>
      <c r="F4658" s="19" t="s">
        <v>45</v>
      </c>
      <c r="G4658" s="19" t="s">
        <v>116</v>
      </c>
      <c r="H4658" s="19" t="s">
        <v>59</v>
      </c>
      <c r="I4658" s="19" t="s">
        <v>114</v>
      </c>
      <c r="J4658" s="20">
        <v>120</v>
      </c>
      <c r="K4658" s="34">
        <v>0</v>
      </c>
      <c r="M4658" s="19">
        <f>IF(OR(ISBLANK(C4658),C4658=""),"",ROUND((C4658-B4658)*24,2))</f>
        <v>155.8</v>
      </c>
      <c r="N4658" s="39" t="str">
        <f>IF(OR(ISBLANK(C4658),C4658="",M4658=""),"In Progress",IF(M4658&lt;=J4658,"Met","Breached"))</f>
        <v>Breached</v>
      </c>
    </row>
    <row r="4659" ht="19" customHeight="1" spans="1:14" x14ac:dyDescent="0.25">
      <c r="A4659" s="22" t="s">
        <v>4773</v>
      </c>
      <c r="B4659" s="36">
        <v>45862.85555555555</v>
      </c>
      <c r="C4659" s="36">
        <v>45863.31458333333</v>
      </c>
      <c r="D4659" s="22" t="s">
        <v>36</v>
      </c>
      <c r="E4659" s="22" t="s">
        <v>61</v>
      </c>
      <c r="F4659" s="22" t="s">
        <v>43</v>
      </c>
      <c r="G4659" s="22" t="s">
        <v>121</v>
      </c>
      <c r="H4659" s="22" t="s">
        <v>63</v>
      </c>
      <c r="I4659" s="22" t="s">
        <v>117</v>
      </c>
      <c r="J4659" s="23">
        <v>12</v>
      </c>
      <c r="K4659" s="37">
        <v>1</v>
      </c>
      <c r="L4659" s="37">
        <v>2</v>
      </c>
      <c r="M4659" s="22">
        <f>IF(OR(ISBLANK(C4659),C4659=""),"",ROUND((C4659-B4659)*24,2))</f>
        <v>11.02</v>
      </c>
      <c r="N4659" s="40" t="str">
        <f>IF(OR(ISBLANK(C4659),C4659="",M4659=""),"In Progress",IF(M4659&lt;=J4659,"Met","Breached"))</f>
        <v>Met</v>
      </c>
    </row>
    <row r="4660" ht="19" customHeight="1" spans="1:14" x14ac:dyDescent="0.25">
      <c r="A4660" s="19" t="s">
        <v>4774</v>
      </c>
      <c r="B4660" s="33">
        <v>45989.71875</v>
      </c>
      <c r="D4660" s="19" t="s">
        <v>42</v>
      </c>
      <c r="E4660" s="19" t="s">
        <v>69</v>
      </c>
      <c r="F4660" s="19" t="s">
        <v>37</v>
      </c>
      <c r="G4660" s="19" t="s">
        <v>63</v>
      </c>
      <c r="H4660" s="19" t="s">
        <v>67</v>
      </c>
      <c r="I4660" s="19" t="s">
        <v>114</v>
      </c>
      <c r="J4660" s="20">
        <v>120</v>
      </c>
      <c r="K4660" s="34">
        <v>0</v>
      </c>
      <c r="M4660" s="19" t="str">
        <f>IF(OR(ISBLANK(C4660),C4660=""),"",ROUND((C4660-B4660)*24,2))</f>
        <v/>
      </c>
      <c r="N4660" s="19" t="str">
        <f>IF(OR(ISBLANK(C4660),C4660="",M4660=""),"In Progress",IF(M4660&lt;=J4660,"Met","Breached"))</f>
        <v>In Progress</v>
      </c>
    </row>
    <row r="4661" ht="19" customHeight="1" spans="1:14" x14ac:dyDescent="0.25">
      <c r="A4661" s="22" t="s">
        <v>4775</v>
      </c>
      <c r="B4661" s="36">
        <v>45820.8</v>
      </c>
      <c r="D4661" s="22" t="s">
        <v>42</v>
      </c>
      <c r="E4661" s="22" t="s">
        <v>57</v>
      </c>
      <c r="F4661" s="22" t="s">
        <v>45</v>
      </c>
      <c r="G4661" s="22" t="s">
        <v>110</v>
      </c>
      <c r="H4661" s="22" t="s">
        <v>63</v>
      </c>
      <c r="I4661" s="22" t="s">
        <v>108</v>
      </c>
      <c r="J4661" s="23">
        <v>4</v>
      </c>
      <c r="K4661" s="37">
        <v>0</v>
      </c>
      <c r="M4661" s="22" t="str">
        <f>IF(OR(ISBLANK(C4661),C4661=""),"",ROUND((C4661-B4661)*24,2))</f>
        <v/>
      </c>
      <c r="N4661" s="22" t="str">
        <f>IF(OR(ISBLANK(C4661),C4661="",M4661=""),"In Progress",IF(M4661&lt;=J4661,"Met","Breached"))</f>
        <v>In Progress</v>
      </c>
    </row>
    <row r="4662" ht="19" customHeight="1" spans="1:14" x14ac:dyDescent="0.25">
      <c r="A4662" s="19" t="s">
        <v>4776</v>
      </c>
      <c r="B4662" s="33">
        <v>46093.27569444444</v>
      </c>
      <c r="D4662" s="19" t="s">
        <v>39</v>
      </c>
      <c r="E4662" s="19" t="s">
        <v>69</v>
      </c>
      <c r="F4662" s="19" t="s">
        <v>34</v>
      </c>
      <c r="G4662" s="19" t="s">
        <v>126</v>
      </c>
      <c r="H4662" s="19" t="s">
        <v>63</v>
      </c>
      <c r="I4662" s="19" t="s">
        <v>114</v>
      </c>
      <c r="J4662" s="20">
        <v>120</v>
      </c>
      <c r="K4662" s="34">
        <v>0</v>
      </c>
      <c r="M4662" s="19" t="str">
        <f>IF(OR(ISBLANK(C4662),C4662=""),"",ROUND((C4662-B4662)*24,2))</f>
        <v/>
      </c>
      <c r="N4662" s="19" t="str">
        <f>IF(OR(ISBLANK(C4662),C4662="",M4662=""),"In Progress",IF(M4662&lt;=J4662,"Met","Breached"))</f>
        <v>In Progress</v>
      </c>
    </row>
    <row r="4663" ht="19" customHeight="1" spans="1:14" x14ac:dyDescent="0.25">
      <c r="A4663" s="22" t="s">
        <v>4777</v>
      </c>
      <c r="B4663" s="36">
        <v>45798.52847222222</v>
      </c>
      <c r="C4663" s="36">
        <v>45799.04791666666</v>
      </c>
      <c r="D4663" s="22" t="s">
        <v>33</v>
      </c>
      <c r="E4663" s="22" t="s">
        <v>61</v>
      </c>
      <c r="F4663" s="22" t="s">
        <v>45</v>
      </c>
      <c r="G4663" s="22" t="s">
        <v>113</v>
      </c>
      <c r="H4663" s="22" t="s">
        <v>59</v>
      </c>
      <c r="I4663" s="22" t="s">
        <v>114</v>
      </c>
      <c r="J4663" s="23">
        <v>12</v>
      </c>
      <c r="K4663" s="37">
        <v>0</v>
      </c>
      <c r="L4663" s="37">
        <v>3</v>
      </c>
      <c r="M4663" s="22">
        <f>IF(OR(ISBLANK(C4663),C4663=""),"",ROUND((C4663-B4663)*24,2))</f>
        <v>12.47</v>
      </c>
      <c r="N4663" s="38" t="str">
        <f>IF(OR(ISBLANK(C4663),C4663="",M4663=""),"In Progress",IF(M4663&lt;=J4663,"Met","Breached"))</f>
        <v>Breached</v>
      </c>
    </row>
    <row r="4664" ht="19" customHeight="1" spans="1:14" x14ac:dyDescent="0.25">
      <c r="A4664" s="19" t="s">
        <v>4778</v>
      </c>
      <c r="B4664" s="33">
        <v>46043.95694444445</v>
      </c>
      <c r="C4664" s="33">
        <v>46045.30208333333</v>
      </c>
      <c r="D4664" s="19" t="s">
        <v>33</v>
      </c>
      <c r="E4664" s="19" t="s">
        <v>65</v>
      </c>
      <c r="F4664" s="19" t="s">
        <v>34</v>
      </c>
      <c r="G4664" s="19" t="s">
        <v>126</v>
      </c>
      <c r="H4664" s="19" t="s">
        <v>59</v>
      </c>
      <c r="I4664" s="19" t="s">
        <v>147</v>
      </c>
      <c r="J4664" s="20">
        <v>48</v>
      </c>
      <c r="K4664" s="34">
        <v>0</v>
      </c>
      <c r="L4664" s="34">
        <v>5</v>
      </c>
      <c r="M4664" s="19">
        <f>IF(OR(ISBLANK(C4664),C4664=""),"",ROUND((C4664-B4664)*24,2))</f>
        <v>32.28</v>
      </c>
      <c r="N4664" s="35" t="str">
        <f>IF(OR(ISBLANK(C4664),C4664="",M4664=""),"In Progress",IF(M4664&lt;=J4664,"Met","Breached"))</f>
        <v>Met</v>
      </c>
    </row>
    <row r="4665" ht="19" customHeight="1" spans="1:14" x14ac:dyDescent="0.25">
      <c r="A4665" s="22" t="s">
        <v>4779</v>
      </c>
      <c r="B4665" s="36">
        <v>46104.972916666666</v>
      </c>
      <c r="C4665" s="36">
        <v>46105.56319444445</v>
      </c>
      <c r="D4665" s="22" t="s">
        <v>36</v>
      </c>
      <c r="E4665" s="22" t="s">
        <v>61</v>
      </c>
      <c r="F4665" s="22" t="s">
        <v>40</v>
      </c>
      <c r="G4665" s="22" t="s">
        <v>126</v>
      </c>
      <c r="H4665" s="22" t="s">
        <v>59</v>
      </c>
      <c r="I4665" s="22" t="s">
        <v>108</v>
      </c>
      <c r="J4665" s="23">
        <v>12</v>
      </c>
      <c r="K4665" s="37">
        <v>0</v>
      </c>
      <c r="L4665" s="37">
        <v>2</v>
      </c>
      <c r="M4665" s="22">
        <f>IF(OR(ISBLANK(C4665),C4665=""),"",ROUND((C4665-B4665)*24,2))</f>
        <v>14.17</v>
      </c>
      <c r="N4665" s="38" t="str">
        <f>IF(OR(ISBLANK(C4665),C4665="",M4665=""),"In Progress",IF(M4665&lt;=J4665,"Met","Breached"))</f>
        <v>Breached</v>
      </c>
    </row>
    <row r="4666" ht="19" customHeight="1" spans="1:14" x14ac:dyDescent="0.25">
      <c r="A4666" s="19" t="s">
        <v>4780</v>
      </c>
      <c r="B4666" s="33">
        <v>45804.29027777778</v>
      </c>
      <c r="C4666" s="33">
        <v>45806.856944444444</v>
      </c>
      <c r="D4666" s="19" t="s">
        <v>33</v>
      </c>
      <c r="E4666" s="19" t="s">
        <v>65</v>
      </c>
      <c r="F4666" s="19" t="s">
        <v>37</v>
      </c>
      <c r="G4666" s="19" t="s">
        <v>63</v>
      </c>
      <c r="H4666" s="19" t="s">
        <v>59</v>
      </c>
      <c r="I4666" s="19" t="s">
        <v>108</v>
      </c>
      <c r="J4666" s="20">
        <v>48</v>
      </c>
      <c r="K4666" s="34">
        <v>0</v>
      </c>
      <c r="L4666" s="34">
        <v>4</v>
      </c>
      <c r="M4666" s="19">
        <f>IF(OR(ISBLANK(C4666),C4666=""),"",ROUND((C4666-B4666)*24,2))</f>
        <v>61.6</v>
      </c>
      <c r="N4666" s="39" t="str">
        <f>IF(OR(ISBLANK(C4666),C4666="",M4666=""),"In Progress",IF(M4666&lt;=J4666,"Met","Breached"))</f>
        <v>Breached</v>
      </c>
    </row>
    <row r="4667" ht="19" customHeight="1" spans="1:14" x14ac:dyDescent="0.25">
      <c r="A4667" s="22" t="s">
        <v>4781</v>
      </c>
      <c r="B4667" s="36">
        <v>46091.48472222222</v>
      </c>
      <c r="C4667" s="36">
        <v>46093.947222222225</v>
      </c>
      <c r="D4667" s="22" t="s">
        <v>33</v>
      </c>
      <c r="E4667" s="22" t="s">
        <v>65</v>
      </c>
      <c r="F4667" s="22" t="s">
        <v>34</v>
      </c>
      <c r="G4667" s="22" t="s">
        <v>63</v>
      </c>
      <c r="H4667" s="22" t="s">
        <v>59</v>
      </c>
      <c r="I4667" s="22" t="s">
        <v>147</v>
      </c>
      <c r="J4667" s="23">
        <v>48</v>
      </c>
      <c r="K4667" s="37">
        <v>0</v>
      </c>
      <c r="L4667" s="37">
        <v>5</v>
      </c>
      <c r="M4667" s="22">
        <f>IF(OR(ISBLANK(C4667),C4667=""),"",ROUND((C4667-B4667)*24,2))</f>
        <v>59.1</v>
      </c>
      <c r="N4667" s="38" t="str">
        <f>IF(OR(ISBLANK(C4667),C4667="",M4667=""),"In Progress",IF(M4667&lt;=J4667,"Met","Breached"))</f>
        <v>Breached</v>
      </c>
    </row>
    <row r="4668" ht="19" customHeight="1" spans="1:14" x14ac:dyDescent="0.25">
      <c r="A4668" s="19" t="s">
        <v>4782</v>
      </c>
      <c r="B4668" s="33">
        <v>46085.84305555555</v>
      </c>
      <c r="C4668" s="33">
        <v>46087.464583333334</v>
      </c>
      <c r="D4668" s="19" t="s">
        <v>33</v>
      </c>
      <c r="E4668" s="19" t="s">
        <v>69</v>
      </c>
      <c r="F4668" s="19" t="s">
        <v>40</v>
      </c>
      <c r="G4668" s="19" t="s">
        <v>116</v>
      </c>
      <c r="H4668" s="19" t="s">
        <v>67</v>
      </c>
      <c r="I4668" s="19" t="s">
        <v>117</v>
      </c>
      <c r="J4668" s="20">
        <v>120</v>
      </c>
      <c r="K4668" s="34">
        <v>0</v>
      </c>
      <c r="L4668" s="34">
        <v>2</v>
      </c>
      <c r="M4668" s="19">
        <f>IF(OR(ISBLANK(C4668),C4668=""),"",ROUND((C4668-B4668)*24,2))</f>
        <v>38.92</v>
      </c>
      <c r="N4668" s="35" t="str">
        <f>IF(OR(ISBLANK(C4668),C4668="",M4668=""),"In Progress",IF(M4668&lt;=J4668,"Met","Breached"))</f>
        <v>Met</v>
      </c>
    </row>
    <row r="4669" ht="19" customHeight="1" spans="1:14" x14ac:dyDescent="0.25">
      <c r="A4669" s="22" t="s">
        <v>4783</v>
      </c>
      <c r="B4669" s="36">
        <v>46177.02222222222</v>
      </c>
      <c r="D4669" s="22" t="s">
        <v>39</v>
      </c>
      <c r="E4669" s="22" t="s">
        <v>61</v>
      </c>
      <c r="F4669" s="22" t="s">
        <v>34</v>
      </c>
      <c r="G4669" s="22" t="s">
        <v>116</v>
      </c>
      <c r="H4669" s="22" t="s">
        <v>59</v>
      </c>
      <c r="I4669" s="22" t="s">
        <v>114</v>
      </c>
      <c r="J4669" s="23">
        <v>12</v>
      </c>
      <c r="K4669" s="37">
        <v>0</v>
      </c>
      <c r="M4669" s="22" t="str">
        <f>IF(OR(ISBLANK(C4669),C4669=""),"",ROUND((C4669-B4669)*24,2))</f>
        <v/>
      </c>
      <c r="N4669" s="22" t="str">
        <f>IF(OR(ISBLANK(C4669),C4669="",M4669=""),"In Progress",IF(M4669&lt;=J4669,"Met","Breached"))</f>
        <v>In Progress</v>
      </c>
    </row>
    <row r="4670" ht="19" customHeight="1" spans="1:14" x14ac:dyDescent="0.25">
      <c r="A4670" s="19" t="s">
        <v>4784</v>
      </c>
      <c r="B4670" s="33">
        <v>46060.59166666667</v>
      </c>
      <c r="C4670" s="33">
        <v>46060.86875</v>
      </c>
      <c r="D4670" s="19" t="s">
        <v>33</v>
      </c>
      <c r="E4670" s="19" t="s">
        <v>57</v>
      </c>
      <c r="F4670" s="19" t="s">
        <v>34</v>
      </c>
      <c r="G4670" s="19" t="s">
        <v>113</v>
      </c>
      <c r="H4670" s="19" t="s">
        <v>71</v>
      </c>
      <c r="I4670" s="19" t="s">
        <v>114</v>
      </c>
      <c r="J4670" s="20">
        <v>4</v>
      </c>
      <c r="K4670" s="34">
        <v>0</v>
      </c>
      <c r="L4670" s="34">
        <v>3</v>
      </c>
      <c r="M4670" s="19">
        <f>IF(OR(ISBLANK(C4670),C4670=""),"",ROUND((C4670-B4670)*24,2))</f>
        <v>6.65</v>
      </c>
      <c r="N4670" s="39" t="str">
        <f>IF(OR(ISBLANK(C4670),C4670="",M4670=""),"In Progress",IF(M4670&lt;=J4670,"Met","Breached"))</f>
        <v>Breached</v>
      </c>
    </row>
    <row r="4671" ht="19" customHeight="1" spans="1:14" x14ac:dyDescent="0.25">
      <c r="A4671" s="22" t="s">
        <v>4785</v>
      </c>
      <c r="B4671" s="36">
        <v>46168.99444444444</v>
      </c>
      <c r="C4671" s="36">
        <v>46171.71736111111</v>
      </c>
      <c r="D4671" s="22" t="s">
        <v>33</v>
      </c>
      <c r="E4671" s="22" t="s">
        <v>69</v>
      </c>
      <c r="F4671" s="22" t="s">
        <v>40</v>
      </c>
      <c r="G4671" s="22" t="s">
        <v>121</v>
      </c>
      <c r="H4671" s="22" t="s">
        <v>67</v>
      </c>
      <c r="I4671" s="22" t="s">
        <v>123</v>
      </c>
      <c r="J4671" s="23">
        <v>120</v>
      </c>
      <c r="K4671" s="37">
        <v>0</v>
      </c>
      <c r="L4671" s="37">
        <v>4</v>
      </c>
      <c r="M4671" s="22">
        <f>IF(OR(ISBLANK(C4671),C4671=""),"",ROUND((C4671-B4671)*24,2))</f>
        <v>65.35</v>
      </c>
      <c r="N4671" s="40" t="str">
        <f>IF(OR(ISBLANK(C4671),C4671="",M4671=""),"In Progress",IF(M4671&lt;=J4671,"Met","Breached"))</f>
        <v>Met</v>
      </c>
    </row>
    <row r="4672" ht="19" customHeight="1" spans="1:14" x14ac:dyDescent="0.25">
      <c r="A4672" s="19" t="s">
        <v>4786</v>
      </c>
      <c r="B4672" s="33">
        <v>46147.48541666666</v>
      </c>
      <c r="D4672" s="19" t="s">
        <v>42</v>
      </c>
      <c r="E4672" s="19" t="s">
        <v>65</v>
      </c>
      <c r="F4672" s="19" t="s">
        <v>43</v>
      </c>
      <c r="G4672" s="19" t="s">
        <v>110</v>
      </c>
      <c r="H4672" s="19" t="s">
        <v>71</v>
      </c>
      <c r="I4672" s="19" t="s">
        <v>117</v>
      </c>
      <c r="J4672" s="20">
        <v>48</v>
      </c>
      <c r="K4672" s="34">
        <v>0</v>
      </c>
      <c r="M4672" s="19" t="str">
        <f>IF(OR(ISBLANK(C4672),C4672=""),"",ROUND((C4672-B4672)*24,2))</f>
        <v/>
      </c>
      <c r="N4672" s="19" t="str">
        <f>IF(OR(ISBLANK(C4672),C4672="",M4672=""),"In Progress",IF(M4672&lt;=J4672,"Met","Breached"))</f>
        <v>In Progress</v>
      </c>
    </row>
    <row r="4673" ht="19" customHeight="1" spans="1:14" x14ac:dyDescent="0.25">
      <c r="A4673" s="22" t="s">
        <v>4787</v>
      </c>
      <c r="B4673" s="36">
        <v>46089.17152777778</v>
      </c>
      <c r="D4673" s="22" t="s">
        <v>39</v>
      </c>
      <c r="E4673" s="22" t="s">
        <v>69</v>
      </c>
      <c r="F4673" s="22" t="s">
        <v>37</v>
      </c>
      <c r="G4673" s="22" t="s">
        <v>113</v>
      </c>
      <c r="H4673" s="22" t="s">
        <v>59</v>
      </c>
      <c r="I4673" s="22" t="s">
        <v>123</v>
      </c>
      <c r="J4673" s="23">
        <v>120</v>
      </c>
      <c r="K4673" s="37">
        <v>0</v>
      </c>
      <c r="M4673" s="22" t="str">
        <f>IF(OR(ISBLANK(C4673),C4673=""),"",ROUND((C4673-B4673)*24,2))</f>
        <v/>
      </c>
      <c r="N4673" s="22" t="str">
        <f>IF(OR(ISBLANK(C4673),C4673="",M4673=""),"In Progress",IF(M4673&lt;=J4673,"Met","Breached"))</f>
        <v>In Progress</v>
      </c>
    </row>
    <row r="4674" ht="19" customHeight="1" spans="1:14" x14ac:dyDescent="0.25">
      <c r="A4674" s="19" t="s">
        <v>4788</v>
      </c>
      <c r="B4674" s="33">
        <v>46279.89583333333</v>
      </c>
      <c r="C4674" s="33">
        <v>46281.67291666666</v>
      </c>
      <c r="D4674" s="19" t="s">
        <v>36</v>
      </c>
      <c r="E4674" s="19" t="s">
        <v>65</v>
      </c>
      <c r="F4674" s="19" t="s">
        <v>40</v>
      </c>
      <c r="G4674" s="19" t="s">
        <v>110</v>
      </c>
      <c r="H4674" s="19" t="s">
        <v>67</v>
      </c>
      <c r="I4674" s="19" t="s">
        <v>111</v>
      </c>
      <c r="J4674" s="20">
        <v>48</v>
      </c>
      <c r="K4674" s="34">
        <v>0</v>
      </c>
      <c r="L4674" s="34">
        <v>4</v>
      </c>
      <c r="M4674" s="19">
        <f>IF(OR(ISBLANK(C4674),C4674=""),"",ROUND((C4674-B4674)*24,2))</f>
        <v>42.65</v>
      </c>
      <c r="N4674" s="35" t="str">
        <f>IF(OR(ISBLANK(C4674),C4674="",M4674=""),"In Progress",IF(M4674&lt;=J4674,"Met","Breached"))</f>
        <v>Met</v>
      </c>
    </row>
    <row r="4675" ht="19" customHeight="1" spans="1:14" x14ac:dyDescent="0.25">
      <c r="A4675" s="22" t="s">
        <v>4789</v>
      </c>
      <c r="B4675" s="36">
        <v>45674.32986111111</v>
      </c>
      <c r="C4675" s="36">
        <v>45677.83263888889</v>
      </c>
      <c r="D4675" s="22" t="s">
        <v>33</v>
      </c>
      <c r="E4675" s="22" t="s">
        <v>65</v>
      </c>
      <c r="F4675" s="22" t="s">
        <v>45</v>
      </c>
      <c r="G4675" s="22" t="s">
        <v>113</v>
      </c>
      <c r="H4675" s="22" t="s">
        <v>63</v>
      </c>
      <c r="I4675" s="22" t="s">
        <v>111</v>
      </c>
      <c r="J4675" s="23">
        <v>48</v>
      </c>
      <c r="K4675" s="37">
        <v>0</v>
      </c>
      <c r="L4675" s="37">
        <v>2</v>
      </c>
      <c r="M4675" s="22">
        <f>IF(OR(ISBLANK(C4675),C4675=""),"",ROUND((C4675-B4675)*24,2))</f>
        <v>84.07</v>
      </c>
      <c r="N4675" s="38" t="str">
        <f>IF(OR(ISBLANK(C4675),C4675="",M4675=""),"In Progress",IF(M4675&lt;=J4675,"Met","Breached"))</f>
        <v>Breached</v>
      </c>
    </row>
    <row r="4676" ht="19" customHeight="1" spans="1:14" x14ac:dyDescent="0.25">
      <c r="A4676" s="19" t="s">
        <v>4790</v>
      </c>
      <c r="B4676" s="33">
        <v>46073.49930555555</v>
      </c>
      <c r="C4676" s="33">
        <v>46082.42291666666</v>
      </c>
      <c r="D4676" s="19" t="s">
        <v>33</v>
      </c>
      <c r="E4676" s="19" t="s">
        <v>69</v>
      </c>
      <c r="F4676" s="19" t="s">
        <v>43</v>
      </c>
      <c r="G4676" s="19" t="s">
        <v>121</v>
      </c>
      <c r="H4676" s="19" t="s">
        <v>59</v>
      </c>
      <c r="I4676" s="19" t="s">
        <v>114</v>
      </c>
      <c r="J4676" s="20">
        <v>120</v>
      </c>
      <c r="K4676" s="34">
        <v>0</v>
      </c>
      <c r="M4676" s="19">
        <f>IF(OR(ISBLANK(C4676),C4676=""),"",ROUND((C4676-B4676)*24,2))</f>
        <v>214.17</v>
      </c>
      <c r="N4676" s="39" t="str">
        <f>IF(OR(ISBLANK(C4676),C4676="",M4676=""),"In Progress",IF(M4676&lt;=J4676,"Met","Breached"))</f>
        <v>Breached</v>
      </c>
    </row>
    <row r="4677" ht="19" customHeight="1" spans="1:14" x14ac:dyDescent="0.25">
      <c r="A4677" s="22" t="s">
        <v>4791</v>
      </c>
      <c r="B4677" s="36">
        <v>45754.535416666666</v>
      </c>
      <c r="C4677" s="36">
        <v>45755.33472222222</v>
      </c>
      <c r="D4677" s="22" t="s">
        <v>33</v>
      </c>
      <c r="E4677" s="22" t="s">
        <v>61</v>
      </c>
      <c r="F4677" s="22" t="s">
        <v>37</v>
      </c>
      <c r="G4677" s="22" t="s">
        <v>63</v>
      </c>
      <c r="H4677" s="22" t="s">
        <v>59</v>
      </c>
      <c r="I4677" s="22" t="s">
        <v>117</v>
      </c>
      <c r="J4677" s="23">
        <v>12</v>
      </c>
      <c r="K4677" s="37">
        <v>1</v>
      </c>
      <c r="L4677" s="37">
        <v>2</v>
      </c>
      <c r="M4677" s="22">
        <f>IF(OR(ISBLANK(C4677),C4677=""),"",ROUND((C4677-B4677)*24,2))</f>
        <v>19.18</v>
      </c>
      <c r="N4677" s="38" t="str">
        <f>IF(OR(ISBLANK(C4677),C4677="",M4677=""),"In Progress",IF(M4677&lt;=J4677,"Met","Breached"))</f>
        <v>Breached</v>
      </c>
    </row>
    <row r="4678" ht="19" customHeight="1" spans="1:14" x14ac:dyDescent="0.25">
      <c r="A4678" s="19" t="s">
        <v>4792</v>
      </c>
      <c r="B4678" s="33">
        <v>46101.69861111111</v>
      </c>
      <c r="C4678" s="33">
        <v>46102.03611111111</v>
      </c>
      <c r="D4678" s="19" t="s">
        <v>36</v>
      </c>
      <c r="E4678" s="19" t="s">
        <v>61</v>
      </c>
      <c r="F4678" s="19" t="s">
        <v>45</v>
      </c>
      <c r="G4678" s="19" t="s">
        <v>116</v>
      </c>
      <c r="H4678" s="19" t="s">
        <v>59</v>
      </c>
      <c r="I4678" s="19" t="s">
        <v>117</v>
      </c>
      <c r="J4678" s="20">
        <v>12</v>
      </c>
      <c r="K4678" s="34">
        <v>0</v>
      </c>
      <c r="L4678" s="34">
        <v>3</v>
      </c>
      <c r="M4678" s="19">
        <f>IF(OR(ISBLANK(C4678),C4678=""),"",ROUND((C4678-B4678)*24,2))</f>
        <v>8.1</v>
      </c>
      <c r="N4678" s="35" t="str">
        <f>IF(OR(ISBLANK(C4678),C4678="",M4678=""),"In Progress",IF(M4678&lt;=J4678,"Met","Breached"))</f>
        <v>Met</v>
      </c>
    </row>
    <row r="4679" ht="19" customHeight="1" spans="1:14" x14ac:dyDescent="0.25">
      <c r="A4679" s="22" t="s">
        <v>4793</v>
      </c>
      <c r="B4679" s="36">
        <v>45995.07430555555</v>
      </c>
      <c r="D4679" s="22" t="s">
        <v>42</v>
      </c>
      <c r="E4679" s="22" t="s">
        <v>65</v>
      </c>
      <c r="F4679" s="22" t="s">
        <v>37</v>
      </c>
      <c r="G4679" s="22" t="s">
        <v>113</v>
      </c>
      <c r="H4679" s="22" t="s">
        <v>63</v>
      </c>
      <c r="I4679" s="22" t="s">
        <v>108</v>
      </c>
      <c r="J4679" s="23">
        <v>48</v>
      </c>
      <c r="K4679" s="37">
        <v>0</v>
      </c>
      <c r="M4679" s="22" t="str">
        <f>IF(OR(ISBLANK(C4679),C4679=""),"",ROUND((C4679-B4679)*24,2))</f>
        <v/>
      </c>
      <c r="N4679" s="22" t="str">
        <f>IF(OR(ISBLANK(C4679),C4679="",M4679=""),"In Progress",IF(M4679&lt;=J4679,"Met","Breached"))</f>
        <v>In Progress</v>
      </c>
    </row>
    <row r="4680" ht="19" customHeight="1" spans="1:14" x14ac:dyDescent="0.25">
      <c r="A4680" s="19" t="s">
        <v>4794</v>
      </c>
      <c r="B4680" s="33">
        <v>46180.45972222222</v>
      </c>
      <c r="C4680" s="33">
        <v>46186.35902777778</v>
      </c>
      <c r="D4680" s="19" t="s">
        <v>36</v>
      </c>
      <c r="E4680" s="19" t="s">
        <v>69</v>
      </c>
      <c r="F4680" s="19" t="s">
        <v>45</v>
      </c>
      <c r="G4680" s="19" t="s">
        <v>126</v>
      </c>
      <c r="H4680" s="19" t="s">
        <v>63</v>
      </c>
      <c r="I4680" s="19" t="s">
        <v>147</v>
      </c>
      <c r="J4680" s="20">
        <v>120</v>
      </c>
      <c r="K4680" s="34">
        <v>0</v>
      </c>
      <c r="M4680" s="19">
        <f>IF(OR(ISBLANK(C4680),C4680=""),"",ROUND((C4680-B4680)*24,2))</f>
        <v>141.58</v>
      </c>
      <c r="N4680" s="39" t="str">
        <f>IF(OR(ISBLANK(C4680),C4680="",M4680=""),"In Progress",IF(M4680&lt;=J4680,"Met","Breached"))</f>
        <v>Breached</v>
      </c>
    </row>
    <row r="4681" ht="19" customHeight="1" spans="1:14" x14ac:dyDescent="0.25">
      <c r="A4681" s="22" t="s">
        <v>4795</v>
      </c>
      <c r="B4681" s="36">
        <v>46211.30694444444</v>
      </c>
      <c r="D4681" s="22" t="s">
        <v>39</v>
      </c>
      <c r="E4681" s="22" t="s">
        <v>65</v>
      </c>
      <c r="F4681" s="22" t="s">
        <v>37</v>
      </c>
      <c r="G4681" s="22" t="s">
        <v>63</v>
      </c>
      <c r="H4681" s="22" t="s">
        <v>63</v>
      </c>
      <c r="I4681" s="22" t="s">
        <v>108</v>
      </c>
      <c r="J4681" s="23">
        <v>48</v>
      </c>
      <c r="K4681" s="37">
        <v>0</v>
      </c>
      <c r="M4681" s="22" t="str">
        <f>IF(OR(ISBLANK(C4681),C4681=""),"",ROUND((C4681-B4681)*24,2))</f>
        <v/>
      </c>
      <c r="N4681" s="22" t="str">
        <f>IF(OR(ISBLANK(C4681),C4681="",M4681=""),"In Progress",IF(M4681&lt;=J4681,"Met","Breached"))</f>
        <v>In Progress</v>
      </c>
    </row>
    <row r="4682" ht="19" customHeight="1" spans="1:14" x14ac:dyDescent="0.25">
      <c r="A4682" s="19" t="s">
        <v>4796</v>
      </c>
      <c r="B4682" s="33">
        <v>46015.80416666667</v>
      </c>
      <c r="D4682" s="19" t="s">
        <v>39</v>
      </c>
      <c r="E4682" s="19" t="s">
        <v>57</v>
      </c>
      <c r="F4682" s="19" t="s">
        <v>43</v>
      </c>
      <c r="G4682" s="19" t="s">
        <v>121</v>
      </c>
      <c r="H4682" s="19" t="s">
        <v>59</v>
      </c>
      <c r="I4682" s="19" t="s">
        <v>147</v>
      </c>
      <c r="J4682" s="20">
        <v>4</v>
      </c>
      <c r="K4682" s="34">
        <v>0</v>
      </c>
      <c r="M4682" s="19" t="str">
        <f>IF(OR(ISBLANK(C4682),C4682=""),"",ROUND((C4682-B4682)*24,2))</f>
        <v/>
      </c>
      <c r="N4682" s="19" t="str">
        <f>IF(OR(ISBLANK(C4682),C4682="",M4682=""),"In Progress",IF(M4682&lt;=J4682,"Met","Breached"))</f>
        <v>In Progress</v>
      </c>
    </row>
    <row r="4683" ht="19" customHeight="1" spans="1:14" x14ac:dyDescent="0.25">
      <c r="A4683" s="22" t="s">
        <v>4797</v>
      </c>
      <c r="B4683" s="36">
        <v>46196.93125</v>
      </c>
      <c r="D4683" s="22" t="s">
        <v>39</v>
      </c>
      <c r="E4683" s="22" t="s">
        <v>61</v>
      </c>
      <c r="F4683" s="22" t="s">
        <v>37</v>
      </c>
      <c r="G4683" s="22" t="s">
        <v>113</v>
      </c>
      <c r="H4683" s="22" t="s">
        <v>63</v>
      </c>
      <c r="I4683" s="22" t="s">
        <v>117</v>
      </c>
      <c r="J4683" s="23">
        <v>12</v>
      </c>
      <c r="K4683" s="37">
        <v>0</v>
      </c>
      <c r="M4683" s="22" t="str">
        <f>IF(OR(ISBLANK(C4683),C4683=""),"",ROUND((C4683-B4683)*24,2))</f>
        <v/>
      </c>
      <c r="N4683" s="22" t="str">
        <f>IF(OR(ISBLANK(C4683),C4683="",M4683=""),"In Progress",IF(M4683&lt;=J4683,"Met","Breached"))</f>
        <v>In Progress</v>
      </c>
    </row>
    <row r="4684" ht="19" customHeight="1" spans="1:14" x14ac:dyDescent="0.25">
      <c r="A4684" s="19" t="s">
        <v>4798</v>
      </c>
      <c r="B4684" s="33">
        <v>46094.39027777778</v>
      </c>
      <c r="C4684" s="33">
        <v>46098.01666666666</v>
      </c>
      <c r="D4684" s="19" t="s">
        <v>33</v>
      </c>
      <c r="E4684" s="19" t="s">
        <v>69</v>
      </c>
      <c r="F4684" s="19" t="s">
        <v>45</v>
      </c>
      <c r="G4684" s="19" t="s">
        <v>113</v>
      </c>
      <c r="H4684" s="19" t="s">
        <v>59</v>
      </c>
      <c r="I4684" s="19" t="s">
        <v>147</v>
      </c>
      <c r="J4684" s="20">
        <v>120</v>
      </c>
      <c r="K4684" s="34">
        <v>1</v>
      </c>
      <c r="L4684" s="34">
        <v>3</v>
      </c>
      <c r="M4684" s="19">
        <f>IF(OR(ISBLANK(C4684),C4684=""),"",ROUND((C4684-B4684)*24,2))</f>
        <v>87.03</v>
      </c>
      <c r="N4684" s="35" t="str">
        <f>IF(OR(ISBLANK(C4684),C4684="",M4684=""),"In Progress",IF(M4684&lt;=J4684,"Met","Breached"))</f>
        <v>Met</v>
      </c>
    </row>
    <row r="4685" ht="19" customHeight="1" spans="1:14" x14ac:dyDescent="0.25">
      <c r="A4685" s="22" t="s">
        <v>4799</v>
      </c>
      <c r="B4685" s="36">
        <v>45706.825694444444</v>
      </c>
      <c r="C4685" s="36">
        <v>45708.57916666666</v>
      </c>
      <c r="D4685" s="22" t="s">
        <v>33</v>
      </c>
      <c r="E4685" s="22" t="s">
        <v>69</v>
      </c>
      <c r="F4685" s="22" t="s">
        <v>34</v>
      </c>
      <c r="G4685" s="22" t="s">
        <v>63</v>
      </c>
      <c r="H4685" s="22" t="s">
        <v>63</v>
      </c>
      <c r="I4685" s="22" t="s">
        <v>108</v>
      </c>
      <c r="J4685" s="23">
        <v>120</v>
      </c>
      <c r="K4685" s="37">
        <v>0</v>
      </c>
      <c r="M4685" s="22">
        <f>IF(OR(ISBLANK(C4685),C4685=""),"",ROUND((C4685-B4685)*24,2))</f>
        <v>42.08</v>
      </c>
      <c r="N4685" s="40" t="str">
        <f>IF(OR(ISBLANK(C4685),C4685="",M4685=""),"In Progress",IF(M4685&lt;=J4685,"Met","Breached"))</f>
        <v>Met</v>
      </c>
    </row>
    <row r="4686" ht="19" customHeight="1" spans="1:14" x14ac:dyDescent="0.25">
      <c r="A4686" s="19" t="s">
        <v>4800</v>
      </c>
      <c r="B4686" s="33">
        <v>46003.69930555555</v>
      </c>
      <c r="C4686" s="33">
        <v>46012.36875</v>
      </c>
      <c r="D4686" s="19" t="s">
        <v>33</v>
      </c>
      <c r="E4686" s="19" t="s">
        <v>69</v>
      </c>
      <c r="F4686" s="19" t="s">
        <v>37</v>
      </c>
      <c r="G4686" s="19" t="s">
        <v>121</v>
      </c>
      <c r="H4686" s="19" t="s">
        <v>67</v>
      </c>
      <c r="I4686" s="19" t="s">
        <v>123</v>
      </c>
      <c r="J4686" s="20">
        <v>120</v>
      </c>
      <c r="K4686" s="34">
        <v>0</v>
      </c>
      <c r="L4686" s="34">
        <v>3</v>
      </c>
      <c r="M4686" s="19">
        <f>IF(OR(ISBLANK(C4686),C4686=""),"",ROUND((C4686-B4686)*24,2))</f>
        <v>208.07</v>
      </c>
      <c r="N4686" s="39" t="str">
        <f>IF(OR(ISBLANK(C4686),C4686="",M4686=""),"In Progress",IF(M4686&lt;=J4686,"Met","Breached"))</f>
        <v>Breached</v>
      </c>
    </row>
    <row r="4687" ht="19" customHeight="1" spans="1:14" x14ac:dyDescent="0.25">
      <c r="A4687" s="22" t="s">
        <v>4801</v>
      </c>
      <c r="B4687" s="36">
        <v>45669.53958333333</v>
      </c>
      <c r="C4687" s="36">
        <v>45676.42083333334</v>
      </c>
      <c r="D4687" s="22" t="s">
        <v>33</v>
      </c>
      <c r="E4687" s="22" t="s">
        <v>69</v>
      </c>
      <c r="F4687" s="22" t="s">
        <v>45</v>
      </c>
      <c r="G4687" s="22" t="s">
        <v>126</v>
      </c>
      <c r="H4687" s="22" t="s">
        <v>63</v>
      </c>
      <c r="I4687" s="22" t="s">
        <v>114</v>
      </c>
      <c r="J4687" s="23">
        <v>120</v>
      </c>
      <c r="K4687" s="37">
        <v>0</v>
      </c>
      <c r="L4687" s="37">
        <v>3</v>
      </c>
      <c r="M4687" s="22">
        <f>IF(OR(ISBLANK(C4687),C4687=""),"",ROUND((C4687-B4687)*24,2))</f>
        <v>165.15</v>
      </c>
      <c r="N4687" s="38" t="str">
        <f>IF(OR(ISBLANK(C4687),C4687="",M4687=""),"In Progress",IF(M4687&lt;=J4687,"Met","Breached"))</f>
        <v>Breached</v>
      </c>
    </row>
    <row r="4688" ht="19" customHeight="1" spans="1:14" x14ac:dyDescent="0.25">
      <c r="A4688" s="19" t="s">
        <v>4802</v>
      </c>
      <c r="B4688" s="33">
        <v>46108.12847222222</v>
      </c>
      <c r="C4688" s="33">
        <v>46111.70694444445</v>
      </c>
      <c r="D4688" s="19" t="s">
        <v>36</v>
      </c>
      <c r="E4688" s="19" t="s">
        <v>65</v>
      </c>
      <c r="F4688" s="19" t="s">
        <v>40</v>
      </c>
      <c r="G4688" s="19" t="s">
        <v>126</v>
      </c>
      <c r="H4688" s="19" t="s">
        <v>63</v>
      </c>
      <c r="I4688" s="19" t="s">
        <v>108</v>
      </c>
      <c r="J4688" s="20">
        <v>48</v>
      </c>
      <c r="K4688" s="34">
        <v>0</v>
      </c>
      <c r="L4688" s="34">
        <v>4</v>
      </c>
      <c r="M4688" s="19">
        <f>IF(OR(ISBLANK(C4688),C4688=""),"",ROUND((C4688-B4688)*24,2))</f>
        <v>85.88</v>
      </c>
      <c r="N4688" s="39" t="str">
        <f>IF(OR(ISBLANK(C4688),C4688="",M4688=""),"In Progress",IF(M4688&lt;=J4688,"Met","Breached"))</f>
        <v>Breached</v>
      </c>
    </row>
    <row r="4689" ht="19" customHeight="1" spans="1:14" x14ac:dyDescent="0.25">
      <c r="A4689" s="22" t="s">
        <v>4803</v>
      </c>
      <c r="B4689" s="36">
        <v>45760.62291666667</v>
      </c>
      <c r="C4689" s="36">
        <v>45765.61875</v>
      </c>
      <c r="D4689" s="22" t="s">
        <v>33</v>
      </c>
      <c r="E4689" s="22" t="s">
        <v>69</v>
      </c>
      <c r="F4689" s="22" t="s">
        <v>43</v>
      </c>
      <c r="G4689" s="22" t="s">
        <v>121</v>
      </c>
      <c r="H4689" s="22" t="s">
        <v>59</v>
      </c>
      <c r="I4689" s="22" t="s">
        <v>111</v>
      </c>
      <c r="J4689" s="23">
        <v>120</v>
      </c>
      <c r="K4689" s="37">
        <v>0</v>
      </c>
      <c r="M4689" s="22">
        <f>IF(OR(ISBLANK(C4689),C4689=""),"",ROUND((C4689-B4689)*24,2))</f>
        <v>119.9</v>
      </c>
      <c r="N4689" s="40" t="str">
        <f>IF(OR(ISBLANK(C4689),C4689="",M4689=""),"In Progress",IF(M4689&lt;=J4689,"Met","Breached"))</f>
        <v>Met</v>
      </c>
    </row>
    <row r="4690" ht="19" customHeight="1" spans="1:14" x14ac:dyDescent="0.25">
      <c r="A4690" s="19" t="s">
        <v>4804</v>
      </c>
      <c r="B4690" s="33">
        <v>46159.56805555556</v>
      </c>
      <c r="C4690" s="33">
        <v>46160.12430555555</v>
      </c>
      <c r="D4690" s="19" t="s">
        <v>33</v>
      </c>
      <c r="E4690" s="19" t="s">
        <v>61</v>
      </c>
      <c r="F4690" s="19" t="s">
        <v>45</v>
      </c>
      <c r="G4690" s="19" t="s">
        <v>110</v>
      </c>
      <c r="H4690" s="19" t="s">
        <v>59</v>
      </c>
      <c r="I4690" s="19" t="s">
        <v>147</v>
      </c>
      <c r="J4690" s="20">
        <v>12</v>
      </c>
      <c r="K4690" s="34">
        <v>1</v>
      </c>
      <c r="L4690" s="34">
        <v>2</v>
      </c>
      <c r="M4690" s="19">
        <f>IF(OR(ISBLANK(C4690),C4690=""),"",ROUND((C4690-B4690)*24,2))</f>
        <v>13.35</v>
      </c>
      <c r="N4690" s="39" t="str">
        <f>IF(OR(ISBLANK(C4690),C4690="",M4690=""),"In Progress",IF(M4690&lt;=J4690,"Met","Breached"))</f>
        <v>Breached</v>
      </c>
    </row>
    <row r="4691" ht="19" customHeight="1" spans="1:14" x14ac:dyDescent="0.25">
      <c r="A4691" s="22" t="s">
        <v>4805</v>
      </c>
      <c r="B4691" s="36">
        <v>46210.35486111111</v>
      </c>
      <c r="C4691" s="36">
        <v>46218.45347222222</v>
      </c>
      <c r="D4691" s="22" t="s">
        <v>33</v>
      </c>
      <c r="E4691" s="22" t="s">
        <v>69</v>
      </c>
      <c r="F4691" s="22" t="s">
        <v>34</v>
      </c>
      <c r="G4691" s="22" t="s">
        <v>121</v>
      </c>
      <c r="H4691" s="22" t="s">
        <v>59</v>
      </c>
      <c r="I4691" s="22" t="s">
        <v>123</v>
      </c>
      <c r="J4691" s="23">
        <v>120</v>
      </c>
      <c r="K4691" s="37">
        <v>0</v>
      </c>
      <c r="L4691" s="37">
        <v>3</v>
      </c>
      <c r="M4691" s="22">
        <f>IF(OR(ISBLANK(C4691),C4691=""),"",ROUND((C4691-B4691)*24,2))</f>
        <v>194.37</v>
      </c>
      <c r="N4691" s="38" t="str">
        <f>IF(OR(ISBLANK(C4691),C4691="",M4691=""),"In Progress",IF(M4691&lt;=J4691,"Met","Breached"))</f>
        <v>Breached</v>
      </c>
    </row>
    <row r="4692" ht="19" customHeight="1" spans="1:14" x14ac:dyDescent="0.25">
      <c r="A4692" s="19" t="s">
        <v>4806</v>
      </c>
      <c r="B4692" s="33">
        <v>45974.27916666667</v>
      </c>
      <c r="C4692" s="33">
        <v>45975.316666666666</v>
      </c>
      <c r="D4692" s="19" t="s">
        <v>33</v>
      </c>
      <c r="E4692" s="19" t="s">
        <v>65</v>
      </c>
      <c r="F4692" s="19" t="s">
        <v>45</v>
      </c>
      <c r="G4692" s="19" t="s">
        <v>121</v>
      </c>
      <c r="H4692" s="19" t="s">
        <v>59</v>
      </c>
      <c r="I4692" s="19" t="s">
        <v>111</v>
      </c>
      <c r="J4692" s="20">
        <v>48</v>
      </c>
      <c r="K4692" s="34">
        <v>0</v>
      </c>
      <c r="L4692" s="34">
        <v>2</v>
      </c>
      <c r="M4692" s="19">
        <f>IF(OR(ISBLANK(C4692),C4692=""),"",ROUND((C4692-B4692)*24,2))</f>
        <v>24.9</v>
      </c>
      <c r="N4692" s="35" t="str">
        <f>IF(OR(ISBLANK(C4692),C4692="",M4692=""),"In Progress",IF(M4692&lt;=J4692,"Met","Breached"))</f>
        <v>Met</v>
      </c>
    </row>
    <row r="4693" ht="19" customHeight="1" spans="1:14" x14ac:dyDescent="0.25">
      <c r="A4693" s="22" t="s">
        <v>4807</v>
      </c>
      <c r="B4693" s="36">
        <v>46203.39236111111</v>
      </c>
      <c r="C4693" s="36">
        <v>46203.570138888885</v>
      </c>
      <c r="D4693" s="22" t="s">
        <v>33</v>
      </c>
      <c r="E4693" s="22" t="s">
        <v>57</v>
      </c>
      <c r="F4693" s="22" t="s">
        <v>37</v>
      </c>
      <c r="G4693" s="22" t="s">
        <v>121</v>
      </c>
      <c r="H4693" s="22" t="s">
        <v>71</v>
      </c>
      <c r="I4693" s="22" t="s">
        <v>147</v>
      </c>
      <c r="J4693" s="23">
        <v>4</v>
      </c>
      <c r="K4693" s="37">
        <v>0</v>
      </c>
      <c r="M4693" s="22">
        <f>IF(OR(ISBLANK(C4693),C4693=""),"",ROUND((C4693-B4693)*24,2))</f>
        <v>4.27</v>
      </c>
      <c r="N4693" s="38" t="str">
        <f>IF(OR(ISBLANK(C4693),C4693="",M4693=""),"In Progress",IF(M4693&lt;=J4693,"Met","Breached"))</f>
        <v>Breached</v>
      </c>
    </row>
    <row r="4694" ht="19" customHeight="1" spans="1:14" x14ac:dyDescent="0.25">
      <c r="A4694" s="19" t="s">
        <v>4808</v>
      </c>
      <c r="B4694" s="33">
        <v>45932.12847222222</v>
      </c>
      <c r="C4694" s="33">
        <v>45932.54027777778</v>
      </c>
      <c r="D4694" s="19" t="s">
        <v>33</v>
      </c>
      <c r="E4694" s="19" t="s">
        <v>61</v>
      </c>
      <c r="F4694" s="19" t="s">
        <v>45</v>
      </c>
      <c r="G4694" s="19" t="s">
        <v>113</v>
      </c>
      <c r="H4694" s="19" t="s">
        <v>59</v>
      </c>
      <c r="I4694" s="19" t="s">
        <v>117</v>
      </c>
      <c r="J4694" s="20">
        <v>12</v>
      </c>
      <c r="K4694" s="34">
        <v>0</v>
      </c>
      <c r="L4694" s="34">
        <v>5</v>
      </c>
      <c r="M4694" s="19">
        <f>IF(OR(ISBLANK(C4694),C4694=""),"",ROUND((C4694-B4694)*24,2))</f>
        <v>9.88</v>
      </c>
      <c r="N4694" s="35" t="str">
        <f>IF(OR(ISBLANK(C4694),C4694="",M4694=""),"In Progress",IF(M4694&lt;=J4694,"Met","Breached"))</f>
        <v>Met</v>
      </c>
    </row>
    <row r="4695" ht="19" customHeight="1" spans="1:14" x14ac:dyDescent="0.25">
      <c r="A4695" s="22" t="s">
        <v>4809</v>
      </c>
      <c r="B4695" s="36">
        <v>45995.04166666667</v>
      </c>
      <c r="D4695" s="22" t="s">
        <v>42</v>
      </c>
      <c r="E4695" s="22" t="s">
        <v>65</v>
      </c>
      <c r="F4695" s="22" t="s">
        <v>37</v>
      </c>
      <c r="G4695" s="22" t="s">
        <v>121</v>
      </c>
      <c r="H4695" s="22" t="s">
        <v>63</v>
      </c>
      <c r="I4695" s="22" t="s">
        <v>147</v>
      </c>
      <c r="J4695" s="23">
        <v>48</v>
      </c>
      <c r="K4695" s="37">
        <v>0</v>
      </c>
      <c r="M4695" s="22" t="str">
        <f>IF(OR(ISBLANK(C4695),C4695=""),"",ROUND((C4695-B4695)*24,2))</f>
        <v/>
      </c>
      <c r="N4695" s="22" t="str">
        <f>IF(OR(ISBLANK(C4695),C4695="",M4695=""),"In Progress",IF(M4695&lt;=J4695,"Met","Breached"))</f>
        <v>In Progress</v>
      </c>
    </row>
    <row r="4696" ht="19" customHeight="1" spans="1:14" x14ac:dyDescent="0.25">
      <c r="A4696" s="19" t="s">
        <v>4810</v>
      </c>
      <c r="B4696" s="33">
        <v>46198.99652777778</v>
      </c>
      <c r="C4696" s="33">
        <v>46201.694444444445</v>
      </c>
      <c r="D4696" s="19" t="s">
        <v>33</v>
      </c>
      <c r="E4696" s="19" t="s">
        <v>65</v>
      </c>
      <c r="F4696" s="19" t="s">
        <v>45</v>
      </c>
      <c r="G4696" s="19" t="s">
        <v>116</v>
      </c>
      <c r="H4696" s="19" t="s">
        <v>59</v>
      </c>
      <c r="I4696" s="19" t="s">
        <v>111</v>
      </c>
      <c r="J4696" s="20">
        <v>48</v>
      </c>
      <c r="K4696" s="34">
        <v>0</v>
      </c>
      <c r="L4696" s="34">
        <v>2</v>
      </c>
      <c r="M4696" s="19">
        <f>IF(OR(ISBLANK(C4696),C4696=""),"",ROUND((C4696-B4696)*24,2))</f>
        <v>64.75</v>
      </c>
      <c r="N4696" s="39" t="str">
        <f>IF(OR(ISBLANK(C4696),C4696="",M4696=""),"In Progress",IF(M4696&lt;=J4696,"Met","Breached"))</f>
        <v>Breached</v>
      </c>
    </row>
    <row r="4697" ht="19" customHeight="1" spans="1:14" x14ac:dyDescent="0.25">
      <c r="A4697" s="22" t="s">
        <v>4811</v>
      </c>
      <c r="B4697" s="36">
        <v>46016.175</v>
      </c>
      <c r="D4697" s="22" t="s">
        <v>42</v>
      </c>
      <c r="E4697" s="22" t="s">
        <v>65</v>
      </c>
      <c r="F4697" s="22" t="s">
        <v>45</v>
      </c>
      <c r="G4697" s="22" t="s">
        <v>113</v>
      </c>
      <c r="H4697" s="22" t="s">
        <v>59</v>
      </c>
      <c r="I4697" s="22" t="s">
        <v>117</v>
      </c>
      <c r="J4697" s="23">
        <v>48</v>
      </c>
      <c r="K4697" s="37">
        <v>0</v>
      </c>
      <c r="M4697" s="22" t="str">
        <f>IF(OR(ISBLANK(C4697),C4697=""),"",ROUND((C4697-B4697)*24,2))</f>
        <v/>
      </c>
      <c r="N4697" s="22" t="str">
        <f>IF(OR(ISBLANK(C4697),C4697="",M4697=""),"In Progress",IF(M4697&lt;=J4697,"Met","Breached"))</f>
        <v>In Progress</v>
      </c>
    </row>
    <row r="4698" ht="19" customHeight="1" spans="1:14" x14ac:dyDescent="0.25">
      <c r="A4698" s="19" t="s">
        <v>4812</v>
      </c>
      <c r="B4698" s="33">
        <v>45949.978472222225</v>
      </c>
      <c r="C4698" s="33">
        <v>45950.69583333333</v>
      </c>
      <c r="D4698" s="19" t="s">
        <v>33</v>
      </c>
      <c r="E4698" s="19" t="s">
        <v>61</v>
      </c>
      <c r="F4698" s="19" t="s">
        <v>40</v>
      </c>
      <c r="G4698" s="19" t="s">
        <v>113</v>
      </c>
      <c r="H4698" s="19" t="s">
        <v>63</v>
      </c>
      <c r="I4698" s="19" t="s">
        <v>114</v>
      </c>
      <c r="J4698" s="20">
        <v>12</v>
      </c>
      <c r="K4698" s="34">
        <v>0</v>
      </c>
      <c r="L4698" s="34">
        <v>1</v>
      </c>
      <c r="M4698" s="19">
        <f>IF(OR(ISBLANK(C4698),C4698=""),"",ROUND((C4698-B4698)*24,2))</f>
        <v>17.22</v>
      </c>
      <c r="N4698" s="39" t="str">
        <f>IF(OR(ISBLANK(C4698),C4698="",M4698=""),"In Progress",IF(M4698&lt;=J4698,"Met","Breached"))</f>
        <v>Breached</v>
      </c>
    </row>
    <row r="4699" ht="19" customHeight="1" spans="1:14" x14ac:dyDescent="0.25">
      <c r="A4699" s="22" t="s">
        <v>4813</v>
      </c>
      <c r="B4699" s="36">
        <v>45892.08819444444</v>
      </c>
      <c r="C4699" s="36">
        <v>45892.64097222222</v>
      </c>
      <c r="D4699" s="22" t="s">
        <v>36</v>
      </c>
      <c r="E4699" s="22" t="s">
        <v>61</v>
      </c>
      <c r="F4699" s="22" t="s">
        <v>34</v>
      </c>
      <c r="G4699" s="22" t="s">
        <v>116</v>
      </c>
      <c r="H4699" s="22" t="s">
        <v>63</v>
      </c>
      <c r="I4699" s="22" t="s">
        <v>147</v>
      </c>
      <c r="J4699" s="23">
        <v>12</v>
      </c>
      <c r="K4699" s="37">
        <v>0</v>
      </c>
      <c r="M4699" s="22">
        <f>IF(OR(ISBLANK(C4699),C4699=""),"",ROUND((C4699-B4699)*24,2))</f>
        <v>13.27</v>
      </c>
      <c r="N4699" s="38" t="str">
        <f>IF(OR(ISBLANK(C4699),C4699="",M4699=""),"In Progress",IF(M4699&lt;=J4699,"Met","Breached"))</f>
        <v>Breached</v>
      </c>
    </row>
    <row r="4700" ht="19" customHeight="1" spans="1:14" x14ac:dyDescent="0.25">
      <c r="A4700" s="19" t="s">
        <v>4814</v>
      </c>
      <c r="B4700" s="33">
        <v>46178.15625</v>
      </c>
      <c r="C4700" s="33">
        <v>46180.54236111111</v>
      </c>
      <c r="D4700" s="19" t="s">
        <v>33</v>
      </c>
      <c r="E4700" s="19" t="s">
        <v>65</v>
      </c>
      <c r="F4700" s="19" t="s">
        <v>45</v>
      </c>
      <c r="G4700" s="19" t="s">
        <v>121</v>
      </c>
      <c r="H4700" s="19" t="s">
        <v>63</v>
      </c>
      <c r="I4700" s="19" t="s">
        <v>123</v>
      </c>
      <c r="J4700" s="20">
        <v>48</v>
      </c>
      <c r="K4700" s="34">
        <v>0</v>
      </c>
      <c r="M4700" s="19">
        <f>IF(OR(ISBLANK(C4700),C4700=""),"",ROUND((C4700-B4700)*24,2))</f>
        <v>57.27</v>
      </c>
      <c r="N4700" s="39" t="str">
        <f>IF(OR(ISBLANK(C4700),C4700="",M4700=""),"In Progress",IF(M4700&lt;=J4700,"Met","Breached"))</f>
        <v>Breached</v>
      </c>
    </row>
    <row r="4701" ht="19" customHeight="1" spans="1:14" x14ac:dyDescent="0.25">
      <c r="A4701" s="22" t="s">
        <v>4815</v>
      </c>
      <c r="B4701" s="36">
        <v>45909.243055555555</v>
      </c>
      <c r="C4701" s="36">
        <v>45910.32916666666</v>
      </c>
      <c r="D4701" s="22" t="s">
        <v>33</v>
      </c>
      <c r="E4701" s="22" t="s">
        <v>65</v>
      </c>
      <c r="F4701" s="22" t="s">
        <v>40</v>
      </c>
      <c r="G4701" s="22" t="s">
        <v>110</v>
      </c>
      <c r="H4701" s="22" t="s">
        <v>59</v>
      </c>
      <c r="I4701" s="22" t="s">
        <v>147</v>
      </c>
      <c r="J4701" s="23">
        <v>48</v>
      </c>
      <c r="K4701" s="37">
        <v>0</v>
      </c>
      <c r="L4701" s="37">
        <v>1</v>
      </c>
      <c r="M4701" s="22">
        <f>IF(OR(ISBLANK(C4701),C4701=""),"",ROUND((C4701-B4701)*24,2))</f>
        <v>26.07</v>
      </c>
      <c r="N4701" s="40" t="str">
        <f>IF(OR(ISBLANK(C4701),C4701="",M4701=""),"In Progress",IF(M4701&lt;=J4701,"Met","Breached"))</f>
        <v>Met</v>
      </c>
    </row>
    <row r="4702" ht="19" customHeight="1" spans="1:14" x14ac:dyDescent="0.25">
      <c r="A4702" s="19" t="s">
        <v>4816</v>
      </c>
      <c r="B4702" s="33">
        <v>45765.97361111111</v>
      </c>
      <c r="D4702" s="19" t="s">
        <v>39</v>
      </c>
      <c r="E4702" s="19" t="s">
        <v>61</v>
      </c>
      <c r="F4702" s="19" t="s">
        <v>37</v>
      </c>
      <c r="G4702" s="19" t="s">
        <v>126</v>
      </c>
      <c r="H4702" s="19" t="s">
        <v>59</v>
      </c>
      <c r="I4702" s="19" t="s">
        <v>114</v>
      </c>
      <c r="J4702" s="20">
        <v>12</v>
      </c>
      <c r="K4702" s="34">
        <v>0</v>
      </c>
      <c r="M4702" s="19" t="str">
        <f>IF(OR(ISBLANK(C4702),C4702=""),"",ROUND((C4702-B4702)*24,2))</f>
        <v/>
      </c>
      <c r="N4702" s="19" t="str">
        <f>IF(OR(ISBLANK(C4702),C4702="",M4702=""),"In Progress",IF(M4702&lt;=J4702,"Met","Breached"))</f>
        <v>In Progress</v>
      </c>
    </row>
    <row r="4703" ht="19" customHeight="1" spans="1:14" x14ac:dyDescent="0.25">
      <c r="A4703" s="22" t="s">
        <v>4817</v>
      </c>
      <c r="B4703" s="36">
        <v>46111.65625</v>
      </c>
      <c r="C4703" s="36">
        <v>46112.31180555555</v>
      </c>
      <c r="D4703" s="22" t="s">
        <v>33</v>
      </c>
      <c r="E4703" s="22" t="s">
        <v>61</v>
      </c>
      <c r="F4703" s="22" t="s">
        <v>43</v>
      </c>
      <c r="G4703" s="22" t="s">
        <v>113</v>
      </c>
      <c r="H4703" s="22" t="s">
        <v>63</v>
      </c>
      <c r="I4703" s="22" t="s">
        <v>117</v>
      </c>
      <c r="J4703" s="23">
        <v>12</v>
      </c>
      <c r="K4703" s="37">
        <v>0</v>
      </c>
      <c r="L4703" s="37">
        <v>5</v>
      </c>
      <c r="M4703" s="22">
        <f>IF(OR(ISBLANK(C4703),C4703=""),"",ROUND((C4703-B4703)*24,2))</f>
        <v>15.73</v>
      </c>
      <c r="N4703" s="38" t="str">
        <f>IF(OR(ISBLANK(C4703),C4703="",M4703=""),"In Progress",IF(M4703&lt;=J4703,"Met","Breached"))</f>
        <v>Breached</v>
      </c>
    </row>
    <row r="4704" ht="19" customHeight="1" spans="1:14" x14ac:dyDescent="0.25">
      <c r="A4704" s="19" t="s">
        <v>4818</v>
      </c>
      <c r="B4704" s="33">
        <v>45825.68263888889</v>
      </c>
      <c r="C4704" s="33">
        <v>45825.83888888889</v>
      </c>
      <c r="D4704" s="19" t="s">
        <v>33</v>
      </c>
      <c r="E4704" s="19" t="s">
        <v>61</v>
      </c>
      <c r="F4704" s="19" t="s">
        <v>45</v>
      </c>
      <c r="G4704" s="19" t="s">
        <v>121</v>
      </c>
      <c r="H4704" s="19" t="s">
        <v>59</v>
      </c>
      <c r="I4704" s="19" t="s">
        <v>123</v>
      </c>
      <c r="J4704" s="20">
        <v>12</v>
      </c>
      <c r="K4704" s="34">
        <v>0</v>
      </c>
      <c r="L4704" s="34">
        <v>5</v>
      </c>
      <c r="M4704" s="19">
        <f>IF(OR(ISBLANK(C4704),C4704=""),"",ROUND((C4704-B4704)*24,2))</f>
        <v>3.75</v>
      </c>
      <c r="N4704" s="35" t="str">
        <f>IF(OR(ISBLANK(C4704),C4704="",M4704=""),"In Progress",IF(M4704&lt;=J4704,"Met","Breached"))</f>
        <v>Met</v>
      </c>
    </row>
    <row r="4705" ht="19" customHeight="1" spans="1:14" x14ac:dyDescent="0.25">
      <c r="A4705" s="22" t="s">
        <v>4819</v>
      </c>
      <c r="B4705" s="36">
        <v>45707.31736111111</v>
      </c>
      <c r="C4705" s="36">
        <v>45709.82638888889</v>
      </c>
      <c r="D4705" s="22" t="s">
        <v>33</v>
      </c>
      <c r="E4705" s="22" t="s">
        <v>65</v>
      </c>
      <c r="F4705" s="22" t="s">
        <v>45</v>
      </c>
      <c r="G4705" s="22" t="s">
        <v>116</v>
      </c>
      <c r="H4705" s="22" t="s">
        <v>67</v>
      </c>
      <c r="I4705" s="22" t="s">
        <v>111</v>
      </c>
      <c r="J4705" s="23">
        <v>48</v>
      </c>
      <c r="K4705" s="37">
        <v>0</v>
      </c>
      <c r="L4705" s="37">
        <v>3</v>
      </c>
      <c r="M4705" s="22">
        <f>IF(OR(ISBLANK(C4705),C4705=""),"",ROUND((C4705-B4705)*24,2))</f>
        <v>60.22</v>
      </c>
      <c r="N4705" s="38" t="str">
        <f>IF(OR(ISBLANK(C4705),C4705="",M4705=""),"In Progress",IF(M4705&lt;=J4705,"Met","Breached"))</f>
        <v>Breached</v>
      </c>
    </row>
    <row r="4706" ht="19" customHeight="1" spans="1:14" x14ac:dyDescent="0.25">
      <c r="A4706" s="19" t="s">
        <v>4820</v>
      </c>
      <c r="B4706" s="33">
        <v>46011.4625</v>
      </c>
      <c r="C4706" s="33">
        <v>46018.49513888889</v>
      </c>
      <c r="D4706" s="19" t="s">
        <v>33</v>
      </c>
      <c r="E4706" s="19" t="s">
        <v>69</v>
      </c>
      <c r="F4706" s="19" t="s">
        <v>40</v>
      </c>
      <c r="G4706" s="19" t="s">
        <v>116</v>
      </c>
      <c r="H4706" s="19" t="s">
        <v>63</v>
      </c>
      <c r="I4706" s="19" t="s">
        <v>123</v>
      </c>
      <c r="J4706" s="20">
        <v>120</v>
      </c>
      <c r="K4706" s="34">
        <v>0</v>
      </c>
      <c r="M4706" s="19">
        <f>IF(OR(ISBLANK(C4706),C4706=""),"",ROUND((C4706-B4706)*24,2))</f>
        <v>168.78</v>
      </c>
      <c r="N4706" s="39" t="str">
        <f>IF(OR(ISBLANK(C4706),C4706="",M4706=""),"In Progress",IF(M4706&lt;=J4706,"Met","Breached"))</f>
        <v>Breached</v>
      </c>
    </row>
    <row r="4707" ht="19" customHeight="1" spans="1:14" x14ac:dyDescent="0.25">
      <c r="A4707" s="22" t="s">
        <v>4821</v>
      </c>
      <c r="B4707" s="36">
        <v>46178.82430555555</v>
      </c>
      <c r="D4707" s="22" t="s">
        <v>39</v>
      </c>
      <c r="E4707" s="22" t="s">
        <v>69</v>
      </c>
      <c r="F4707" s="22" t="s">
        <v>37</v>
      </c>
      <c r="G4707" s="22" t="s">
        <v>126</v>
      </c>
      <c r="H4707" s="22" t="s">
        <v>59</v>
      </c>
      <c r="I4707" s="22" t="s">
        <v>117</v>
      </c>
      <c r="J4707" s="23">
        <v>120</v>
      </c>
      <c r="K4707" s="37">
        <v>0</v>
      </c>
      <c r="M4707" s="22" t="str">
        <f>IF(OR(ISBLANK(C4707),C4707=""),"",ROUND((C4707-B4707)*24,2))</f>
        <v/>
      </c>
      <c r="N4707" s="22" t="str">
        <f>IF(OR(ISBLANK(C4707),C4707="",M4707=""),"In Progress",IF(M4707&lt;=J4707,"Met","Breached"))</f>
        <v>In Progress</v>
      </c>
    </row>
    <row r="4708" ht="19" customHeight="1" spans="1:14" x14ac:dyDescent="0.25">
      <c r="A4708" s="19" t="s">
        <v>4822</v>
      </c>
      <c r="B4708" s="33">
        <v>45839.927777777775</v>
      </c>
      <c r="C4708" s="33">
        <v>45846.634722222225</v>
      </c>
      <c r="D4708" s="19" t="s">
        <v>36</v>
      </c>
      <c r="E4708" s="19" t="s">
        <v>69</v>
      </c>
      <c r="F4708" s="19" t="s">
        <v>37</v>
      </c>
      <c r="G4708" s="19" t="s">
        <v>116</v>
      </c>
      <c r="H4708" s="19" t="s">
        <v>59</v>
      </c>
      <c r="I4708" s="19" t="s">
        <v>108</v>
      </c>
      <c r="J4708" s="20">
        <v>120</v>
      </c>
      <c r="K4708" s="34">
        <v>0</v>
      </c>
      <c r="L4708" s="34">
        <v>5</v>
      </c>
      <c r="M4708" s="19">
        <f>IF(OR(ISBLANK(C4708),C4708=""),"",ROUND((C4708-B4708)*24,2))</f>
        <v>160.97</v>
      </c>
      <c r="N4708" s="39" t="str">
        <f>IF(OR(ISBLANK(C4708),C4708="",M4708=""),"In Progress",IF(M4708&lt;=J4708,"Met","Breached"))</f>
        <v>Breached</v>
      </c>
    </row>
    <row r="4709" ht="19" customHeight="1" spans="1:14" x14ac:dyDescent="0.25">
      <c r="A4709" s="22" t="s">
        <v>4823</v>
      </c>
      <c r="B4709" s="36">
        <v>46109.36458333333</v>
      </c>
      <c r="D4709" s="22" t="s">
        <v>42</v>
      </c>
      <c r="E4709" s="22" t="s">
        <v>61</v>
      </c>
      <c r="F4709" s="22" t="s">
        <v>34</v>
      </c>
      <c r="G4709" s="22" t="s">
        <v>63</v>
      </c>
      <c r="H4709" s="22" t="s">
        <v>59</v>
      </c>
      <c r="I4709" s="22" t="s">
        <v>123</v>
      </c>
      <c r="J4709" s="23">
        <v>12</v>
      </c>
      <c r="K4709" s="37">
        <v>0</v>
      </c>
      <c r="M4709" s="22" t="str">
        <f>IF(OR(ISBLANK(C4709),C4709=""),"",ROUND((C4709-B4709)*24,2))</f>
        <v/>
      </c>
      <c r="N4709" s="22" t="str">
        <f>IF(OR(ISBLANK(C4709),C4709="",M4709=""),"In Progress",IF(M4709&lt;=J4709,"Met","Breached"))</f>
        <v>In Progress</v>
      </c>
    </row>
    <row r="4710" ht="19" customHeight="1" spans="1:14" x14ac:dyDescent="0.25">
      <c r="A4710" s="19" t="s">
        <v>4824</v>
      </c>
      <c r="B4710" s="33">
        <v>45995.42083333334</v>
      </c>
      <c r="C4710" s="33">
        <v>45999.92569444445</v>
      </c>
      <c r="D4710" s="19" t="s">
        <v>36</v>
      </c>
      <c r="E4710" s="19" t="s">
        <v>69</v>
      </c>
      <c r="F4710" s="19" t="s">
        <v>45</v>
      </c>
      <c r="G4710" s="19" t="s">
        <v>113</v>
      </c>
      <c r="H4710" s="19" t="s">
        <v>67</v>
      </c>
      <c r="I4710" s="19" t="s">
        <v>108</v>
      </c>
      <c r="J4710" s="20">
        <v>120</v>
      </c>
      <c r="K4710" s="34">
        <v>0</v>
      </c>
      <c r="L4710" s="34">
        <v>5</v>
      </c>
      <c r="M4710" s="19">
        <f>IF(OR(ISBLANK(C4710),C4710=""),"",ROUND((C4710-B4710)*24,2))</f>
        <v>108.12</v>
      </c>
      <c r="N4710" s="35" t="str">
        <f>IF(OR(ISBLANK(C4710),C4710="",M4710=""),"In Progress",IF(M4710&lt;=J4710,"Met","Breached"))</f>
        <v>Met</v>
      </c>
    </row>
    <row r="4711" ht="19" customHeight="1" spans="1:14" x14ac:dyDescent="0.25">
      <c r="A4711" s="22" t="s">
        <v>4825</v>
      </c>
      <c r="B4711" s="36">
        <v>46146.66666666667</v>
      </c>
      <c r="C4711" s="36">
        <v>46155.10416666667</v>
      </c>
      <c r="D4711" s="22" t="s">
        <v>36</v>
      </c>
      <c r="E4711" s="22" t="s">
        <v>69</v>
      </c>
      <c r="F4711" s="22" t="s">
        <v>43</v>
      </c>
      <c r="G4711" s="22" t="s">
        <v>121</v>
      </c>
      <c r="H4711" s="22" t="s">
        <v>67</v>
      </c>
      <c r="I4711" s="22" t="s">
        <v>123</v>
      </c>
      <c r="J4711" s="23">
        <v>120</v>
      </c>
      <c r="K4711" s="37">
        <v>0</v>
      </c>
      <c r="M4711" s="22">
        <f>IF(OR(ISBLANK(C4711),C4711=""),"",ROUND((C4711-B4711)*24,2))</f>
        <v>202.5</v>
      </c>
      <c r="N4711" s="38" t="str">
        <f>IF(OR(ISBLANK(C4711),C4711="",M4711=""),"In Progress",IF(M4711&lt;=J4711,"Met","Breached"))</f>
        <v>Breached</v>
      </c>
    </row>
    <row r="4712" ht="19" customHeight="1" spans="1:14" x14ac:dyDescent="0.25">
      <c r="A4712" s="19" t="s">
        <v>4826</v>
      </c>
      <c r="B4712" s="33">
        <v>45662.23819444445</v>
      </c>
      <c r="C4712" s="33">
        <v>45665.36041666666</v>
      </c>
      <c r="D4712" s="19" t="s">
        <v>33</v>
      </c>
      <c r="E4712" s="19" t="s">
        <v>65</v>
      </c>
      <c r="F4712" s="19" t="s">
        <v>45</v>
      </c>
      <c r="G4712" s="19" t="s">
        <v>110</v>
      </c>
      <c r="H4712" s="19" t="s">
        <v>71</v>
      </c>
      <c r="I4712" s="19" t="s">
        <v>111</v>
      </c>
      <c r="J4712" s="20">
        <v>48</v>
      </c>
      <c r="K4712" s="34">
        <v>0</v>
      </c>
      <c r="L4712" s="34">
        <v>1</v>
      </c>
      <c r="M4712" s="19">
        <f>IF(OR(ISBLANK(C4712),C4712=""),"",ROUND((C4712-B4712)*24,2))</f>
        <v>74.93</v>
      </c>
      <c r="N4712" s="39" t="str">
        <f>IF(OR(ISBLANK(C4712),C4712="",M4712=""),"In Progress",IF(M4712&lt;=J4712,"Met","Breached"))</f>
        <v>Breached</v>
      </c>
    </row>
    <row r="4713" ht="19" customHeight="1" spans="1:14" x14ac:dyDescent="0.25">
      <c r="A4713" s="22" t="s">
        <v>4827</v>
      </c>
      <c r="B4713" s="36">
        <v>46204.04652777778</v>
      </c>
      <c r="C4713" s="36">
        <v>46207.47430555556</v>
      </c>
      <c r="D4713" s="22" t="s">
        <v>33</v>
      </c>
      <c r="E4713" s="22" t="s">
        <v>65</v>
      </c>
      <c r="F4713" s="22" t="s">
        <v>34</v>
      </c>
      <c r="G4713" s="22" t="s">
        <v>110</v>
      </c>
      <c r="H4713" s="22" t="s">
        <v>71</v>
      </c>
      <c r="I4713" s="22" t="s">
        <v>147</v>
      </c>
      <c r="J4713" s="23">
        <v>48</v>
      </c>
      <c r="K4713" s="37">
        <v>0</v>
      </c>
      <c r="M4713" s="22">
        <f>IF(OR(ISBLANK(C4713),C4713=""),"",ROUND((C4713-B4713)*24,2))</f>
        <v>82.27</v>
      </c>
      <c r="N4713" s="38" t="str">
        <f>IF(OR(ISBLANK(C4713),C4713="",M4713=""),"In Progress",IF(M4713&lt;=J4713,"Met","Breached"))</f>
        <v>Breached</v>
      </c>
    </row>
    <row r="4714" ht="19" customHeight="1" spans="1:14" x14ac:dyDescent="0.25">
      <c r="A4714" s="19" t="s">
        <v>4828</v>
      </c>
      <c r="B4714" s="33">
        <v>45682.915972222225</v>
      </c>
      <c r="C4714" s="33">
        <v>45685.79583333334</v>
      </c>
      <c r="D4714" s="19" t="s">
        <v>33</v>
      </c>
      <c r="E4714" s="19" t="s">
        <v>65</v>
      </c>
      <c r="F4714" s="19" t="s">
        <v>43</v>
      </c>
      <c r="G4714" s="19" t="s">
        <v>121</v>
      </c>
      <c r="H4714" s="19" t="s">
        <v>59</v>
      </c>
      <c r="I4714" s="19" t="s">
        <v>114</v>
      </c>
      <c r="J4714" s="20">
        <v>48</v>
      </c>
      <c r="K4714" s="34">
        <v>1</v>
      </c>
      <c r="L4714" s="34">
        <v>3</v>
      </c>
      <c r="M4714" s="19">
        <f>IF(OR(ISBLANK(C4714),C4714=""),"",ROUND((C4714-B4714)*24,2))</f>
        <v>69.12</v>
      </c>
      <c r="N4714" s="39" t="str">
        <f>IF(OR(ISBLANK(C4714),C4714="",M4714=""),"In Progress",IF(M4714&lt;=J4714,"Met","Breached"))</f>
        <v>Breached</v>
      </c>
    </row>
    <row r="4715" ht="19" customHeight="1" spans="1:14" x14ac:dyDescent="0.25">
      <c r="A4715" s="22" t="s">
        <v>4829</v>
      </c>
      <c r="B4715" s="36">
        <v>46138.52222222222</v>
      </c>
      <c r="D4715" s="22" t="s">
        <v>39</v>
      </c>
      <c r="E4715" s="22" t="s">
        <v>65</v>
      </c>
      <c r="F4715" s="22" t="s">
        <v>37</v>
      </c>
      <c r="G4715" s="22" t="s">
        <v>110</v>
      </c>
      <c r="H4715" s="22" t="s">
        <v>63</v>
      </c>
      <c r="I4715" s="22" t="s">
        <v>108</v>
      </c>
      <c r="J4715" s="23">
        <v>48</v>
      </c>
      <c r="K4715" s="37">
        <v>0</v>
      </c>
      <c r="M4715" s="22" t="str">
        <f>IF(OR(ISBLANK(C4715),C4715=""),"",ROUND((C4715-B4715)*24,2))</f>
        <v/>
      </c>
      <c r="N4715" s="22" t="str">
        <f>IF(OR(ISBLANK(C4715),C4715="",M4715=""),"In Progress",IF(M4715&lt;=J4715,"Met","Breached"))</f>
        <v>In Progress</v>
      </c>
    </row>
    <row r="4716" ht="19" customHeight="1" spans="1:14" x14ac:dyDescent="0.25">
      <c r="A4716" s="19" t="s">
        <v>4830</v>
      </c>
      <c r="B4716" s="33">
        <v>46130.981944444444</v>
      </c>
      <c r="C4716" s="33">
        <v>46132.444444444445</v>
      </c>
      <c r="D4716" s="19" t="s">
        <v>33</v>
      </c>
      <c r="E4716" s="19" t="s">
        <v>65</v>
      </c>
      <c r="F4716" s="19" t="s">
        <v>34</v>
      </c>
      <c r="G4716" s="19" t="s">
        <v>113</v>
      </c>
      <c r="H4716" s="19" t="s">
        <v>67</v>
      </c>
      <c r="I4716" s="19" t="s">
        <v>117</v>
      </c>
      <c r="J4716" s="20">
        <v>48</v>
      </c>
      <c r="K4716" s="34">
        <v>0</v>
      </c>
      <c r="L4716" s="34">
        <v>1</v>
      </c>
      <c r="M4716" s="19">
        <f>IF(OR(ISBLANK(C4716),C4716=""),"",ROUND((C4716-B4716)*24,2))</f>
        <v>35.1</v>
      </c>
      <c r="N4716" s="35" t="str">
        <f>IF(OR(ISBLANK(C4716),C4716="",M4716=""),"In Progress",IF(M4716&lt;=J4716,"Met","Breached"))</f>
        <v>Met</v>
      </c>
    </row>
    <row r="4717" ht="19" customHeight="1" spans="1:14" x14ac:dyDescent="0.25">
      <c r="A4717" s="22" t="s">
        <v>4831</v>
      </c>
      <c r="B4717" s="36">
        <v>46269.12430555555</v>
      </c>
      <c r="C4717" s="36">
        <v>46269.37361111111</v>
      </c>
      <c r="D4717" s="22" t="s">
        <v>36</v>
      </c>
      <c r="E4717" s="22" t="s">
        <v>57</v>
      </c>
      <c r="F4717" s="22" t="s">
        <v>43</v>
      </c>
      <c r="G4717" s="22" t="s">
        <v>116</v>
      </c>
      <c r="H4717" s="22" t="s">
        <v>59</v>
      </c>
      <c r="I4717" s="22" t="s">
        <v>114</v>
      </c>
      <c r="J4717" s="23">
        <v>4</v>
      </c>
      <c r="K4717" s="37">
        <v>0</v>
      </c>
      <c r="M4717" s="22">
        <f>IF(OR(ISBLANK(C4717),C4717=""),"",ROUND((C4717-B4717)*24,2))</f>
        <v>5.98</v>
      </c>
      <c r="N4717" s="38" t="str">
        <f>IF(OR(ISBLANK(C4717),C4717="",M4717=""),"In Progress",IF(M4717&lt;=J4717,"Met","Breached"))</f>
        <v>Breached</v>
      </c>
    </row>
    <row r="4718" ht="19" customHeight="1" spans="1:14" x14ac:dyDescent="0.25">
      <c r="A4718" s="19" t="s">
        <v>4832</v>
      </c>
      <c r="B4718" s="33">
        <v>45876.67708333333</v>
      </c>
      <c r="C4718" s="33">
        <v>45877.90902777778</v>
      </c>
      <c r="D4718" s="19" t="s">
        <v>36</v>
      </c>
      <c r="E4718" s="19" t="s">
        <v>65</v>
      </c>
      <c r="F4718" s="19" t="s">
        <v>40</v>
      </c>
      <c r="G4718" s="19" t="s">
        <v>63</v>
      </c>
      <c r="H4718" s="19" t="s">
        <v>59</v>
      </c>
      <c r="I4718" s="19" t="s">
        <v>147</v>
      </c>
      <c r="J4718" s="20">
        <v>48</v>
      </c>
      <c r="K4718" s="34">
        <v>0</v>
      </c>
      <c r="M4718" s="19">
        <f>IF(OR(ISBLANK(C4718),C4718=""),"",ROUND((C4718-B4718)*24,2))</f>
        <v>29.57</v>
      </c>
      <c r="N4718" s="35" t="str">
        <f>IF(OR(ISBLANK(C4718),C4718="",M4718=""),"In Progress",IF(M4718&lt;=J4718,"Met","Breached"))</f>
        <v>Met</v>
      </c>
    </row>
    <row r="4719" ht="19" customHeight="1" spans="1:14" x14ac:dyDescent="0.25">
      <c r="A4719" s="22" t="s">
        <v>4833</v>
      </c>
      <c r="B4719" s="36">
        <v>46266.14027777778</v>
      </c>
      <c r="C4719" s="36">
        <v>46272.04791666666</v>
      </c>
      <c r="D4719" s="22" t="s">
        <v>33</v>
      </c>
      <c r="E4719" s="22" t="s">
        <v>69</v>
      </c>
      <c r="F4719" s="22" t="s">
        <v>43</v>
      </c>
      <c r="G4719" s="22" t="s">
        <v>126</v>
      </c>
      <c r="H4719" s="22" t="s">
        <v>63</v>
      </c>
      <c r="I4719" s="22" t="s">
        <v>123</v>
      </c>
      <c r="J4719" s="23">
        <v>120</v>
      </c>
      <c r="K4719" s="37">
        <v>0</v>
      </c>
      <c r="L4719" s="37">
        <v>3</v>
      </c>
      <c r="M4719" s="22">
        <f>IF(OR(ISBLANK(C4719),C4719=""),"",ROUND((C4719-B4719)*24,2))</f>
        <v>141.78</v>
      </c>
      <c r="N4719" s="38" t="str">
        <f>IF(OR(ISBLANK(C4719),C4719="",M4719=""),"In Progress",IF(M4719&lt;=J4719,"Met","Breached"))</f>
        <v>Breached</v>
      </c>
    </row>
    <row r="4720" ht="19" customHeight="1" spans="1:14" x14ac:dyDescent="0.25">
      <c r="A4720" s="19" t="s">
        <v>4834</v>
      </c>
      <c r="B4720" s="33">
        <v>46125.10833333334</v>
      </c>
      <c r="D4720" s="19" t="s">
        <v>39</v>
      </c>
      <c r="E4720" s="19" t="s">
        <v>65</v>
      </c>
      <c r="F4720" s="19" t="s">
        <v>40</v>
      </c>
      <c r="G4720" s="19" t="s">
        <v>116</v>
      </c>
      <c r="H4720" s="19" t="s">
        <v>59</v>
      </c>
      <c r="I4720" s="19" t="s">
        <v>117</v>
      </c>
      <c r="J4720" s="20">
        <v>48</v>
      </c>
      <c r="K4720" s="34">
        <v>0</v>
      </c>
      <c r="M4720" s="19" t="str">
        <f>IF(OR(ISBLANK(C4720),C4720=""),"",ROUND((C4720-B4720)*24,2))</f>
        <v/>
      </c>
      <c r="N4720" s="19" t="str">
        <f>IF(OR(ISBLANK(C4720),C4720="",M4720=""),"In Progress",IF(M4720&lt;=J4720,"Met","Breached"))</f>
        <v>In Progress</v>
      </c>
    </row>
    <row r="4721" ht="19" customHeight="1" spans="1:14" x14ac:dyDescent="0.25">
      <c r="A4721" s="22" t="s">
        <v>4835</v>
      </c>
      <c r="B4721" s="36">
        <v>46226.00347222222</v>
      </c>
      <c r="C4721" s="36">
        <v>46226.370833333334</v>
      </c>
      <c r="D4721" s="22" t="s">
        <v>33</v>
      </c>
      <c r="E4721" s="22" t="s">
        <v>61</v>
      </c>
      <c r="F4721" s="22" t="s">
        <v>34</v>
      </c>
      <c r="G4721" s="22" t="s">
        <v>116</v>
      </c>
      <c r="H4721" s="22" t="s">
        <v>63</v>
      </c>
      <c r="I4721" s="22" t="s">
        <v>147</v>
      </c>
      <c r="J4721" s="23">
        <v>12</v>
      </c>
      <c r="K4721" s="37">
        <v>0</v>
      </c>
      <c r="L4721" s="37">
        <v>5</v>
      </c>
      <c r="M4721" s="22">
        <f>IF(OR(ISBLANK(C4721),C4721=""),"",ROUND((C4721-B4721)*24,2))</f>
        <v>8.82</v>
      </c>
      <c r="N4721" s="40" t="str">
        <f>IF(OR(ISBLANK(C4721),C4721="",M4721=""),"In Progress",IF(M4721&lt;=J4721,"Met","Breached"))</f>
        <v>Met</v>
      </c>
    </row>
    <row r="4722" ht="19" customHeight="1" spans="1:14" x14ac:dyDescent="0.25">
      <c r="A4722" s="19" t="s">
        <v>4836</v>
      </c>
      <c r="B4722" s="33">
        <v>45772.12708333333</v>
      </c>
      <c r="C4722" s="33">
        <v>45773.02777777778</v>
      </c>
      <c r="D4722" s="19" t="s">
        <v>33</v>
      </c>
      <c r="E4722" s="19" t="s">
        <v>65</v>
      </c>
      <c r="F4722" s="19" t="s">
        <v>40</v>
      </c>
      <c r="G4722" s="19" t="s">
        <v>113</v>
      </c>
      <c r="H4722" s="19" t="s">
        <v>59</v>
      </c>
      <c r="I4722" s="19" t="s">
        <v>117</v>
      </c>
      <c r="J4722" s="20">
        <v>48</v>
      </c>
      <c r="K4722" s="34">
        <v>0</v>
      </c>
      <c r="L4722" s="34">
        <v>1</v>
      </c>
      <c r="M4722" s="19">
        <f>IF(OR(ISBLANK(C4722),C4722=""),"",ROUND((C4722-B4722)*24,2))</f>
        <v>21.62</v>
      </c>
      <c r="N4722" s="35" t="str">
        <f>IF(OR(ISBLANK(C4722),C4722="",M4722=""),"In Progress",IF(M4722&lt;=J4722,"Met","Breached"))</f>
        <v>Met</v>
      </c>
    </row>
    <row r="4723" ht="19" customHeight="1" spans="1:14" x14ac:dyDescent="0.25">
      <c r="A4723" s="22" t="s">
        <v>4837</v>
      </c>
      <c r="B4723" s="36">
        <v>46170.79791666666</v>
      </c>
      <c r="C4723" s="36">
        <v>46174.37291666667</v>
      </c>
      <c r="D4723" s="22" t="s">
        <v>33</v>
      </c>
      <c r="E4723" s="22" t="s">
        <v>65</v>
      </c>
      <c r="F4723" s="22" t="s">
        <v>37</v>
      </c>
      <c r="G4723" s="22" t="s">
        <v>121</v>
      </c>
      <c r="H4723" s="22" t="s">
        <v>67</v>
      </c>
      <c r="I4723" s="22" t="s">
        <v>147</v>
      </c>
      <c r="J4723" s="23">
        <v>48</v>
      </c>
      <c r="K4723" s="37">
        <v>0</v>
      </c>
      <c r="L4723" s="37">
        <v>2</v>
      </c>
      <c r="M4723" s="22">
        <f>IF(OR(ISBLANK(C4723),C4723=""),"",ROUND((C4723-B4723)*24,2))</f>
        <v>85.8</v>
      </c>
      <c r="N4723" s="38" t="str">
        <f>IF(OR(ISBLANK(C4723),C4723="",M4723=""),"In Progress",IF(M4723&lt;=J4723,"Met","Breached"))</f>
        <v>Breached</v>
      </c>
    </row>
    <row r="4724" ht="19" customHeight="1" spans="1:14" x14ac:dyDescent="0.25">
      <c r="A4724" s="19" t="s">
        <v>4838</v>
      </c>
      <c r="B4724" s="33">
        <v>46117.03333333333</v>
      </c>
      <c r="C4724" s="33">
        <v>46119.21319444444</v>
      </c>
      <c r="D4724" s="19" t="s">
        <v>33</v>
      </c>
      <c r="E4724" s="19" t="s">
        <v>65</v>
      </c>
      <c r="F4724" s="19" t="s">
        <v>43</v>
      </c>
      <c r="G4724" s="19" t="s">
        <v>121</v>
      </c>
      <c r="H4724" s="19" t="s">
        <v>67</v>
      </c>
      <c r="I4724" s="19" t="s">
        <v>117</v>
      </c>
      <c r="J4724" s="20">
        <v>48</v>
      </c>
      <c r="K4724" s="34">
        <v>0</v>
      </c>
      <c r="M4724" s="19">
        <f>IF(OR(ISBLANK(C4724),C4724=""),"",ROUND((C4724-B4724)*24,2))</f>
        <v>52.32</v>
      </c>
      <c r="N4724" s="39" t="str">
        <f>IF(OR(ISBLANK(C4724),C4724="",M4724=""),"In Progress",IF(M4724&lt;=J4724,"Met","Breached"))</f>
        <v>Breached</v>
      </c>
    </row>
    <row r="4725" ht="19" customHeight="1" spans="1:14" x14ac:dyDescent="0.25">
      <c r="A4725" s="22" t="s">
        <v>4839</v>
      </c>
      <c r="B4725" s="36">
        <v>45709.964583333334</v>
      </c>
      <c r="C4725" s="36">
        <v>45712.964583333334</v>
      </c>
      <c r="D4725" s="22" t="s">
        <v>33</v>
      </c>
      <c r="E4725" s="22" t="s">
        <v>65</v>
      </c>
      <c r="F4725" s="22" t="s">
        <v>34</v>
      </c>
      <c r="G4725" s="22" t="s">
        <v>110</v>
      </c>
      <c r="H4725" s="22" t="s">
        <v>59</v>
      </c>
      <c r="I4725" s="22" t="s">
        <v>108</v>
      </c>
      <c r="J4725" s="23">
        <v>48</v>
      </c>
      <c r="K4725" s="37">
        <v>0</v>
      </c>
      <c r="L4725" s="37">
        <v>4</v>
      </c>
      <c r="M4725" s="22">
        <f>IF(OR(ISBLANK(C4725),C4725=""),"",ROUND((C4725-B4725)*24,2))</f>
        <v>72</v>
      </c>
      <c r="N4725" s="38" t="str">
        <f>IF(OR(ISBLANK(C4725),C4725="",M4725=""),"In Progress",IF(M4725&lt;=J4725,"Met","Breached"))</f>
        <v>Breached</v>
      </c>
    </row>
    <row r="4726" ht="19" customHeight="1" spans="1:14" x14ac:dyDescent="0.25">
      <c r="A4726" s="19" t="s">
        <v>4840</v>
      </c>
      <c r="B4726" s="33">
        <v>46003.39236111111</v>
      </c>
      <c r="C4726" s="33">
        <v>46003.73402777778</v>
      </c>
      <c r="D4726" s="19" t="s">
        <v>33</v>
      </c>
      <c r="E4726" s="19" t="s">
        <v>61</v>
      </c>
      <c r="F4726" s="19" t="s">
        <v>40</v>
      </c>
      <c r="G4726" s="19" t="s">
        <v>116</v>
      </c>
      <c r="H4726" s="19" t="s">
        <v>59</v>
      </c>
      <c r="I4726" s="19" t="s">
        <v>111</v>
      </c>
      <c r="J4726" s="20">
        <v>12</v>
      </c>
      <c r="K4726" s="34">
        <v>0</v>
      </c>
      <c r="L4726" s="34">
        <v>1</v>
      </c>
      <c r="M4726" s="19">
        <f>IF(OR(ISBLANK(C4726),C4726=""),"",ROUND((C4726-B4726)*24,2))</f>
        <v>8.2</v>
      </c>
      <c r="N4726" s="35" t="str">
        <f>IF(OR(ISBLANK(C4726),C4726="",M4726=""),"In Progress",IF(M4726&lt;=J4726,"Met","Breached"))</f>
        <v>Met</v>
      </c>
    </row>
    <row r="4727" ht="19" customHeight="1" spans="1:14" x14ac:dyDescent="0.25">
      <c r="A4727" s="22" t="s">
        <v>4841</v>
      </c>
      <c r="B4727" s="36">
        <v>45876.888194444444</v>
      </c>
      <c r="C4727" s="36">
        <v>45877.950694444444</v>
      </c>
      <c r="D4727" s="22" t="s">
        <v>36</v>
      </c>
      <c r="E4727" s="22" t="s">
        <v>65</v>
      </c>
      <c r="F4727" s="22" t="s">
        <v>45</v>
      </c>
      <c r="G4727" s="22" t="s">
        <v>116</v>
      </c>
      <c r="H4727" s="22" t="s">
        <v>63</v>
      </c>
      <c r="I4727" s="22" t="s">
        <v>114</v>
      </c>
      <c r="J4727" s="23">
        <v>48</v>
      </c>
      <c r="K4727" s="37">
        <v>0</v>
      </c>
      <c r="L4727" s="37">
        <v>2</v>
      </c>
      <c r="M4727" s="22">
        <f>IF(OR(ISBLANK(C4727),C4727=""),"",ROUND((C4727-B4727)*24,2))</f>
        <v>25.5</v>
      </c>
      <c r="N4727" s="40" t="str">
        <f>IF(OR(ISBLANK(C4727),C4727="",M4727=""),"In Progress",IF(M4727&lt;=J4727,"Met","Breached"))</f>
        <v>Met</v>
      </c>
    </row>
    <row r="4728" ht="19" customHeight="1" spans="1:14" x14ac:dyDescent="0.25">
      <c r="A4728" s="19" t="s">
        <v>4842</v>
      </c>
      <c r="B4728" s="33">
        <v>46160.21666666667</v>
      </c>
      <c r="C4728" s="33">
        <v>46161.50208333333</v>
      </c>
      <c r="D4728" s="19" t="s">
        <v>36</v>
      </c>
      <c r="E4728" s="19" t="s">
        <v>65</v>
      </c>
      <c r="F4728" s="19" t="s">
        <v>43</v>
      </c>
      <c r="G4728" s="19" t="s">
        <v>110</v>
      </c>
      <c r="H4728" s="19" t="s">
        <v>71</v>
      </c>
      <c r="I4728" s="19" t="s">
        <v>114</v>
      </c>
      <c r="J4728" s="20">
        <v>48</v>
      </c>
      <c r="K4728" s="34">
        <v>0</v>
      </c>
      <c r="M4728" s="19">
        <f>IF(OR(ISBLANK(C4728),C4728=""),"",ROUND((C4728-B4728)*24,2))</f>
        <v>30.85</v>
      </c>
      <c r="N4728" s="35" t="str">
        <f>IF(OR(ISBLANK(C4728),C4728="",M4728=""),"In Progress",IF(M4728&lt;=J4728,"Met","Breached"))</f>
        <v>Met</v>
      </c>
    </row>
    <row r="4729" ht="19" customHeight="1" spans="1:14" x14ac:dyDescent="0.25">
      <c r="A4729" s="22" t="s">
        <v>4843</v>
      </c>
      <c r="B4729" s="36">
        <v>46242.1</v>
      </c>
      <c r="D4729" s="22" t="s">
        <v>39</v>
      </c>
      <c r="E4729" s="22" t="s">
        <v>65</v>
      </c>
      <c r="F4729" s="22" t="s">
        <v>40</v>
      </c>
      <c r="G4729" s="22" t="s">
        <v>121</v>
      </c>
      <c r="H4729" s="22" t="s">
        <v>63</v>
      </c>
      <c r="I4729" s="22" t="s">
        <v>108</v>
      </c>
      <c r="J4729" s="23">
        <v>48</v>
      </c>
      <c r="K4729" s="37">
        <v>0</v>
      </c>
      <c r="M4729" s="22" t="str">
        <f>IF(OR(ISBLANK(C4729),C4729=""),"",ROUND((C4729-B4729)*24,2))</f>
        <v/>
      </c>
      <c r="N4729" s="22" t="str">
        <f>IF(OR(ISBLANK(C4729),C4729="",M4729=""),"In Progress",IF(M4729&lt;=J4729,"Met","Breached"))</f>
        <v>In Progress</v>
      </c>
    </row>
    <row r="4730" ht="19" customHeight="1" spans="1:14" x14ac:dyDescent="0.25">
      <c r="A4730" s="19" t="s">
        <v>4844</v>
      </c>
      <c r="B4730" s="33">
        <v>45810.65902777778</v>
      </c>
      <c r="C4730" s="33">
        <v>45811.455555555556</v>
      </c>
      <c r="D4730" s="19" t="s">
        <v>36</v>
      </c>
      <c r="E4730" s="19" t="s">
        <v>61</v>
      </c>
      <c r="F4730" s="19" t="s">
        <v>45</v>
      </c>
      <c r="G4730" s="19" t="s">
        <v>121</v>
      </c>
      <c r="H4730" s="19" t="s">
        <v>59</v>
      </c>
      <c r="I4730" s="19" t="s">
        <v>147</v>
      </c>
      <c r="J4730" s="20">
        <v>12</v>
      </c>
      <c r="K4730" s="34">
        <v>0</v>
      </c>
      <c r="L4730" s="34">
        <v>5</v>
      </c>
      <c r="M4730" s="19">
        <f>IF(OR(ISBLANK(C4730),C4730=""),"",ROUND((C4730-B4730)*24,2))</f>
        <v>19.12</v>
      </c>
      <c r="N4730" s="39" t="str">
        <f>IF(OR(ISBLANK(C4730),C4730="",M4730=""),"In Progress",IF(M4730&lt;=J4730,"Met","Breached"))</f>
        <v>Breached</v>
      </c>
    </row>
    <row r="4731" ht="19" customHeight="1" spans="1:14" x14ac:dyDescent="0.25">
      <c r="A4731" s="22" t="s">
        <v>4845</v>
      </c>
      <c r="B4731" s="36">
        <v>46108.97777777778</v>
      </c>
      <c r="C4731" s="36">
        <v>46110.88611111111</v>
      </c>
      <c r="D4731" s="22" t="s">
        <v>33</v>
      </c>
      <c r="E4731" s="22" t="s">
        <v>65</v>
      </c>
      <c r="F4731" s="22" t="s">
        <v>34</v>
      </c>
      <c r="G4731" s="22" t="s">
        <v>116</v>
      </c>
      <c r="H4731" s="22" t="s">
        <v>59</v>
      </c>
      <c r="I4731" s="22" t="s">
        <v>147</v>
      </c>
      <c r="J4731" s="23">
        <v>48</v>
      </c>
      <c r="K4731" s="37">
        <v>0</v>
      </c>
      <c r="L4731" s="37">
        <v>5</v>
      </c>
      <c r="M4731" s="22">
        <f>IF(OR(ISBLANK(C4731),C4731=""),"",ROUND((C4731-B4731)*24,2))</f>
        <v>45.8</v>
      </c>
      <c r="N4731" s="40" t="str">
        <f>IF(OR(ISBLANK(C4731),C4731="",M4731=""),"In Progress",IF(M4731&lt;=J4731,"Met","Breached"))</f>
        <v>Met</v>
      </c>
    </row>
    <row r="4732" ht="19" customHeight="1" spans="1:14" x14ac:dyDescent="0.25">
      <c r="A4732" s="19" t="s">
        <v>4846</v>
      </c>
      <c r="B4732" s="33">
        <v>45748.879166666666</v>
      </c>
      <c r="C4732" s="33">
        <v>45749.62986111111</v>
      </c>
      <c r="D4732" s="19" t="s">
        <v>33</v>
      </c>
      <c r="E4732" s="19" t="s">
        <v>65</v>
      </c>
      <c r="F4732" s="19" t="s">
        <v>37</v>
      </c>
      <c r="G4732" s="19" t="s">
        <v>63</v>
      </c>
      <c r="H4732" s="19" t="s">
        <v>63</v>
      </c>
      <c r="I4732" s="19" t="s">
        <v>123</v>
      </c>
      <c r="J4732" s="20">
        <v>48</v>
      </c>
      <c r="K4732" s="34">
        <v>0</v>
      </c>
      <c r="L4732" s="34">
        <v>3</v>
      </c>
      <c r="M4732" s="19">
        <f>IF(OR(ISBLANK(C4732),C4732=""),"",ROUND((C4732-B4732)*24,2))</f>
        <v>18.02</v>
      </c>
      <c r="N4732" s="35" t="str">
        <f>IF(OR(ISBLANK(C4732),C4732="",M4732=""),"In Progress",IF(M4732&lt;=J4732,"Met","Breached"))</f>
        <v>Met</v>
      </c>
    </row>
    <row r="4733" ht="19" customHeight="1" spans="1:14" x14ac:dyDescent="0.25">
      <c r="A4733" s="22" t="s">
        <v>4847</v>
      </c>
      <c r="B4733" s="36">
        <v>46179.10486111111</v>
      </c>
      <c r="C4733" s="36">
        <v>46180.5375</v>
      </c>
      <c r="D4733" s="22" t="s">
        <v>33</v>
      </c>
      <c r="E4733" s="22" t="s">
        <v>65</v>
      </c>
      <c r="F4733" s="22" t="s">
        <v>37</v>
      </c>
      <c r="G4733" s="22" t="s">
        <v>110</v>
      </c>
      <c r="H4733" s="22" t="s">
        <v>59</v>
      </c>
      <c r="I4733" s="22" t="s">
        <v>117</v>
      </c>
      <c r="J4733" s="23">
        <v>48</v>
      </c>
      <c r="K4733" s="37">
        <v>0</v>
      </c>
      <c r="M4733" s="22">
        <f>IF(OR(ISBLANK(C4733),C4733=""),"",ROUND((C4733-B4733)*24,2))</f>
        <v>34.38</v>
      </c>
      <c r="N4733" s="40" t="str">
        <f>IF(OR(ISBLANK(C4733),C4733="",M4733=""),"In Progress",IF(M4733&lt;=J4733,"Met","Breached"))</f>
        <v>Met</v>
      </c>
    </row>
    <row r="4734" ht="19" customHeight="1" spans="1:14" x14ac:dyDescent="0.25">
      <c r="A4734" s="19" t="s">
        <v>4848</v>
      </c>
      <c r="B4734" s="33">
        <v>45844.75486111111</v>
      </c>
      <c r="C4734" s="33">
        <v>45851.20486111111</v>
      </c>
      <c r="D4734" s="19" t="s">
        <v>33</v>
      </c>
      <c r="E4734" s="19" t="s">
        <v>69</v>
      </c>
      <c r="F4734" s="19" t="s">
        <v>40</v>
      </c>
      <c r="G4734" s="19" t="s">
        <v>116</v>
      </c>
      <c r="H4734" s="19" t="s">
        <v>71</v>
      </c>
      <c r="I4734" s="19" t="s">
        <v>108</v>
      </c>
      <c r="J4734" s="20">
        <v>120</v>
      </c>
      <c r="K4734" s="34">
        <v>0</v>
      </c>
      <c r="L4734" s="34">
        <v>1</v>
      </c>
      <c r="M4734" s="19">
        <f>IF(OR(ISBLANK(C4734),C4734=""),"",ROUND((C4734-B4734)*24,2))</f>
        <v>154.8</v>
      </c>
      <c r="N4734" s="39" t="str">
        <f>IF(OR(ISBLANK(C4734),C4734="",M4734=""),"In Progress",IF(M4734&lt;=J4734,"Met","Breached"))</f>
        <v>Breached</v>
      </c>
    </row>
    <row r="4735" ht="19" customHeight="1" spans="1:14" x14ac:dyDescent="0.25">
      <c r="A4735" s="22" t="s">
        <v>4849</v>
      </c>
      <c r="B4735" s="36">
        <v>45784.59375</v>
      </c>
      <c r="D4735" s="22" t="s">
        <v>42</v>
      </c>
      <c r="E4735" s="22" t="s">
        <v>65</v>
      </c>
      <c r="F4735" s="22" t="s">
        <v>40</v>
      </c>
      <c r="G4735" s="22" t="s">
        <v>63</v>
      </c>
      <c r="H4735" s="22" t="s">
        <v>59</v>
      </c>
      <c r="I4735" s="22" t="s">
        <v>147</v>
      </c>
      <c r="J4735" s="23">
        <v>48</v>
      </c>
      <c r="K4735" s="37">
        <v>0</v>
      </c>
      <c r="M4735" s="22" t="str">
        <f>IF(OR(ISBLANK(C4735),C4735=""),"",ROUND((C4735-B4735)*24,2))</f>
        <v/>
      </c>
      <c r="N4735" s="22" t="str">
        <f>IF(OR(ISBLANK(C4735),C4735="",M4735=""),"In Progress",IF(M4735&lt;=J4735,"Met","Breached"))</f>
        <v>In Progress</v>
      </c>
    </row>
    <row r="4736" ht="19" customHeight="1" spans="1:14" x14ac:dyDescent="0.25">
      <c r="A4736" s="19" t="s">
        <v>4850</v>
      </c>
      <c r="B4736" s="33">
        <v>46217.55625</v>
      </c>
      <c r="C4736" s="33">
        <v>46220.05</v>
      </c>
      <c r="D4736" s="19" t="s">
        <v>33</v>
      </c>
      <c r="E4736" s="19" t="s">
        <v>65</v>
      </c>
      <c r="F4736" s="19" t="s">
        <v>34</v>
      </c>
      <c r="G4736" s="19" t="s">
        <v>110</v>
      </c>
      <c r="H4736" s="19" t="s">
        <v>63</v>
      </c>
      <c r="I4736" s="19" t="s">
        <v>117</v>
      </c>
      <c r="J4736" s="20">
        <v>48</v>
      </c>
      <c r="K4736" s="34">
        <v>0</v>
      </c>
      <c r="M4736" s="19">
        <f>IF(OR(ISBLANK(C4736),C4736=""),"",ROUND((C4736-B4736)*24,2))</f>
        <v>59.85</v>
      </c>
      <c r="N4736" s="39" t="str">
        <f>IF(OR(ISBLANK(C4736),C4736="",M4736=""),"In Progress",IF(M4736&lt;=J4736,"Met","Breached"))</f>
        <v>Breached</v>
      </c>
    </row>
    <row r="4737" ht="19" customHeight="1" spans="1:14" x14ac:dyDescent="0.25">
      <c r="A4737" s="22" t="s">
        <v>4851</v>
      </c>
      <c r="B4737" s="36">
        <v>46210.677777777775</v>
      </c>
      <c r="C4737" s="36">
        <v>46211.552777777775</v>
      </c>
      <c r="D4737" s="22" t="s">
        <v>33</v>
      </c>
      <c r="E4737" s="22" t="s">
        <v>61</v>
      </c>
      <c r="F4737" s="22" t="s">
        <v>37</v>
      </c>
      <c r="G4737" s="22" t="s">
        <v>126</v>
      </c>
      <c r="H4737" s="22" t="s">
        <v>59</v>
      </c>
      <c r="I4737" s="22" t="s">
        <v>108</v>
      </c>
      <c r="J4737" s="23">
        <v>12</v>
      </c>
      <c r="K4737" s="37">
        <v>0</v>
      </c>
      <c r="L4737" s="37">
        <v>2</v>
      </c>
      <c r="M4737" s="22">
        <f>IF(OR(ISBLANK(C4737),C4737=""),"",ROUND((C4737-B4737)*24,2))</f>
        <v>21</v>
      </c>
      <c r="N4737" s="38" t="str">
        <f>IF(OR(ISBLANK(C4737),C4737="",M4737=""),"In Progress",IF(M4737&lt;=J4737,"Met","Breached"))</f>
        <v>Breached</v>
      </c>
    </row>
    <row r="4738" ht="19" customHeight="1" spans="1:14" x14ac:dyDescent="0.25">
      <c r="A4738" s="19" t="s">
        <v>4852</v>
      </c>
      <c r="B4738" s="33">
        <v>46099.03611111111</v>
      </c>
      <c r="C4738" s="33">
        <v>46101.566666666666</v>
      </c>
      <c r="D4738" s="19" t="s">
        <v>36</v>
      </c>
      <c r="E4738" s="19" t="s">
        <v>69</v>
      </c>
      <c r="F4738" s="19" t="s">
        <v>45</v>
      </c>
      <c r="G4738" s="19" t="s">
        <v>126</v>
      </c>
      <c r="H4738" s="19" t="s">
        <v>63</v>
      </c>
      <c r="I4738" s="19" t="s">
        <v>147</v>
      </c>
      <c r="J4738" s="20">
        <v>120</v>
      </c>
      <c r="K4738" s="34">
        <v>0</v>
      </c>
      <c r="M4738" s="19">
        <f>IF(OR(ISBLANK(C4738),C4738=""),"",ROUND((C4738-B4738)*24,2))</f>
        <v>60.73</v>
      </c>
      <c r="N4738" s="35" t="str">
        <f>IF(OR(ISBLANK(C4738),C4738="",M4738=""),"In Progress",IF(M4738&lt;=J4738,"Met","Breached"))</f>
        <v>Met</v>
      </c>
    </row>
    <row r="4739" ht="19" customHeight="1" spans="1:14" x14ac:dyDescent="0.25">
      <c r="A4739" s="22" t="s">
        <v>4853</v>
      </c>
      <c r="B4739" s="36">
        <v>46237.802777777775</v>
      </c>
      <c r="D4739" s="22" t="s">
        <v>39</v>
      </c>
      <c r="E4739" s="22" t="s">
        <v>65</v>
      </c>
      <c r="F4739" s="22" t="s">
        <v>34</v>
      </c>
      <c r="G4739" s="22" t="s">
        <v>63</v>
      </c>
      <c r="H4739" s="22" t="s">
        <v>63</v>
      </c>
      <c r="I4739" s="22" t="s">
        <v>117</v>
      </c>
      <c r="J4739" s="23">
        <v>48</v>
      </c>
      <c r="K4739" s="37">
        <v>0</v>
      </c>
      <c r="M4739" s="22" t="str">
        <f>IF(OR(ISBLANK(C4739),C4739=""),"",ROUND((C4739-B4739)*24,2))</f>
        <v/>
      </c>
      <c r="N4739" s="22" t="str">
        <f>IF(OR(ISBLANK(C4739),C4739="",M4739=""),"In Progress",IF(M4739&lt;=J4739,"Met","Breached"))</f>
        <v>In Progress</v>
      </c>
    </row>
    <row r="4740" ht="19" customHeight="1" spans="1:14" x14ac:dyDescent="0.25">
      <c r="A4740" s="19" t="s">
        <v>4854</v>
      </c>
      <c r="B4740" s="33">
        <v>46027.174305555556</v>
      </c>
      <c r="C4740" s="33">
        <v>46028.02222222222</v>
      </c>
      <c r="D4740" s="19" t="s">
        <v>36</v>
      </c>
      <c r="E4740" s="19" t="s">
        <v>61</v>
      </c>
      <c r="F4740" s="19" t="s">
        <v>34</v>
      </c>
      <c r="G4740" s="19" t="s">
        <v>63</v>
      </c>
      <c r="H4740" s="19" t="s">
        <v>71</v>
      </c>
      <c r="I4740" s="19" t="s">
        <v>114</v>
      </c>
      <c r="J4740" s="20">
        <v>12</v>
      </c>
      <c r="K4740" s="34">
        <v>0</v>
      </c>
      <c r="L4740" s="34">
        <v>1</v>
      </c>
      <c r="M4740" s="19">
        <f>IF(OR(ISBLANK(C4740),C4740=""),"",ROUND((C4740-B4740)*24,2))</f>
        <v>20.35</v>
      </c>
      <c r="N4740" s="39" t="str">
        <f>IF(OR(ISBLANK(C4740),C4740="",M4740=""),"In Progress",IF(M4740&lt;=J4740,"Met","Breached"))</f>
        <v>Breached</v>
      </c>
    </row>
    <row r="4741" ht="19" customHeight="1" spans="1:14" x14ac:dyDescent="0.25">
      <c r="A4741" s="22" t="s">
        <v>4855</v>
      </c>
      <c r="B4741" s="36">
        <v>46287.69861111111</v>
      </c>
      <c r="C4741" s="36">
        <v>46288.23402777778</v>
      </c>
      <c r="D4741" s="22" t="s">
        <v>33</v>
      </c>
      <c r="E4741" s="22" t="s">
        <v>61</v>
      </c>
      <c r="F4741" s="22" t="s">
        <v>45</v>
      </c>
      <c r="G4741" s="22" t="s">
        <v>126</v>
      </c>
      <c r="H4741" s="22" t="s">
        <v>59</v>
      </c>
      <c r="I4741" s="22" t="s">
        <v>111</v>
      </c>
      <c r="J4741" s="23">
        <v>12</v>
      </c>
      <c r="K4741" s="37">
        <v>0</v>
      </c>
      <c r="L4741" s="37">
        <v>5</v>
      </c>
      <c r="M4741" s="22">
        <f>IF(OR(ISBLANK(C4741),C4741=""),"",ROUND((C4741-B4741)*24,2))</f>
        <v>12.85</v>
      </c>
      <c r="N4741" s="38" t="str">
        <f>IF(OR(ISBLANK(C4741),C4741="",M4741=""),"In Progress",IF(M4741&lt;=J4741,"Met","Breached"))</f>
        <v>Breached</v>
      </c>
    </row>
    <row r="4742" ht="19" customHeight="1" spans="1:14" x14ac:dyDescent="0.25">
      <c r="A4742" s="19" t="s">
        <v>4856</v>
      </c>
      <c r="B4742" s="33">
        <v>45778.20138888889</v>
      </c>
      <c r="C4742" s="33">
        <v>45779.118055555555</v>
      </c>
      <c r="D4742" s="19" t="s">
        <v>33</v>
      </c>
      <c r="E4742" s="19" t="s">
        <v>65</v>
      </c>
      <c r="F4742" s="19" t="s">
        <v>37</v>
      </c>
      <c r="G4742" s="19" t="s">
        <v>110</v>
      </c>
      <c r="H4742" s="19" t="s">
        <v>63</v>
      </c>
      <c r="I4742" s="19" t="s">
        <v>114</v>
      </c>
      <c r="J4742" s="20">
        <v>48</v>
      </c>
      <c r="K4742" s="34">
        <v>0</v>
      </c>
      <c r="L4742" s="34">
        <v>4</v>
      </c>
      <c r="M4742" s="19">
        <f>IF(OR(ISBLANK(C4742),C4742=""),"",ROUND((C4742-B4742)*24,2))</f>
        <v>22</v>
      </c>
      <c r="N4742" s="35" t="str">
        <f>IF(OR(ISBLANK(C4742),C4742="",M4742=""),"In Progress",IF(M4742&lt;=J4742,"Met","Breached"))</f>
        <v>Met</v>
      </c>
    </row>
    <row r="4743" ht="19" customHeight="1" spans="1:14" x14ac:dyDescent="0.25">
      <c r="A4743" s="22" t="s">
        <v>4857</v>
      </c>
      <c r="B4743" s="36">
        <v>46037.51388888889</v>
      </c>
      <c r="C4743" s="36">
        <v>46038.475</v>
      </c>
      <c r="D4743" s="22" t="s">
        <v>36</v>
      </c>
      <c r="E4743" s="22" t="s">
        <v>65</v>
      </c>
      <c r="F4743" s="22" t="s">
        <v>34</v>
      </c>
      <c r="G4743" s="22" t="s">
        <v>116</v>
      </c>
      <c r="H4743" s="22" t="s">
        <v>59</v>
      </c>
      <c r="I4743" s="22" t="s">
        <v>147</v>
      </c>
      <c r="J4743" s="23">
        <v>48</v>
      </c>
      <c r="K4743" s="37">
        <v>0</v>
      </c>
      <c r="L4743" s="37">
        <v>4</v>
      </c>
      <c r="M4743" s="22">
        <f>IF(OR(ISBLANK(C4743),C4743=""),"",ROUND((C4743-B4743)*24,2))</f>
        <v>23.07</v>
      </c>
      <c r="N4743" s="40" t="str">
        <f>IF(OR(ISBLANK(C4743),C4743="",M4743=""),"In Progress",IF(M4743&lt;=J4743,"Met","Breached"))</f>
        <v>Met</v>
      </c>
    </row>
    <row r="4744" ht="19" customHeight="1" spans="1:14" x14ac:dyDescent="0.25">
      <c r="A4744" s="19" t="s">
        <v>4858</v>
      </c>
      <c r="B4744" s="33">
        <v>45789.64027777778</v>
      </c>
      <c r="C4744" s="33">
        <v>45792.554861111115</v>
      </c>
      <c r="D4744" s="19" t="s">
        <v>36</v>
      </c>
      <c r="E4744" s="19" t="s">
        <v>65</v>
      </c>
      <c r="F4744" s="19" t="s">
        <v>34</v>
      </c>
      <c r="G4744" s="19" t="s">
        <v>113</v>
      </c>
      <c r="H4744" s="19" t="s">
        <v>59</v>
      </c>
      <c r="I4744" s="19" t="s">
        <v>147</v>
      </c>
      <c r="J4744" s="20">
        <v>48</v>
      </c>
      <c r="K4744" s="34">
        <v>0</v>
      </c>
      <c r="L4744" s="34">
        <v>1</v>
      </c>
      <c r="M4744" s="19">
        <f>IF(OR(ISBLANK(C4744),C4744=""),"",ROUND((C4744-B4744)*24,2))</f>
        <v>69.95</v>
      </c>
      <c r="N4744" s="39" t="str">
        <f>IF(OR(ISBLANK(C4744),C4744="",M4744=""),"In Progress",IF(M4744&lt;=J4744,"Met","Breached"))</f>
        <v>Breached</v>
      </c>
    </row>
    <row r="4745" ht="19" customHeight="1" spans="1:14" x14ac:dyDescent="0.25">
      <c r="A4745" s="22" t="s">
        <v>4859</v>
      </c>
      <c r="B4745" s="36">
        <v>46222.30625</v>
      </c>
      <c r="D4745" s="22" t="s">
        <v>39</v>
      </c>
      <c r="E4745" s="22" t="s">
        <v>61</v>
      </c>
      <c r="F4745" s="22" t="s">
        <v>37</v>
      </c>
      <c r="G4745" s="22" t="s">
        <v>126</v>
      </c>
      <c r="H4745" s="22" t="s">
        <v>59</v>
      </c>
      <c r="I4745" s="22" t="s">
        <v>108</v>
      </c>
      <c r="J4745" s="23">
        <v>12</v>
      </c>
      <c r="K4745" s="37">
        <v>0</v>
      </c>
      <c r="M4745" s="22" t="str">
        <f>IF(OR(ISBLANK(C4745),C4745=""),"",ROUND((C4745-B4745)*24,2))</f>
        <v/>
      </c>
      <c r="N4745" s="22" t="str">
        <f>IF(OR(ISBLANK(C4745),C4745="",M4745=""),"In Progress",IF(M4745&lt;=J4745,"Met","Breached"))</f>
        <v>In Progress</v>
      </c>
    </row>
    <row r="4746" ht="19" customHeight="1" spans="1:14" x14ac:dyDescent="0.25">
      <c r="A4746" s="19" t="s">
        <v>4860</v>
      </c>
      <c r="B4746" s="33">
        <v>46197.575694444444</v>
      </c>
      <c r="C4746" s="33">
        <v>46198.93680555555</v>
      </c>
      <c r="D4746" s="19" t="s">
        <v>33</v>
      </c>
      <c r="E4746" s="19" t="s">
        <v>65</v>
      </c>
      <c r="F4746" s="19" t="s">
        <v>34</v>
      </c>
      <c r="G4746" s="19" t="s">
        <v>110</v>
      </c>
      <c r="H4746" s="19" t="s">
        <v>67</v>
      </c>
      <c r="I4746" s="19" t="s">
        <v>123</v>
      </c>
      <c r="J4746" s="20">
        <v>48</v>
      </c>
      <c r="K4746" s="34">
        <v>0</v>
      </c>
      <c r="L4746" s="34">
        <v>3</v>
      </c>
      <c r="M4746" s="19">
        <f>IF(OR(ISBLANK(C4746),C4746=""),"",ROUND((C4746-B4746)*24,2))</f>
        <v>32.67</v>
      </c>
      <c r="N4746" s="35" t="str">
        <f>IF(OR(ISBLANK(C4746),C4746="",M4746=""),"In Progress",IF(M4746&lt;=J4746,"Met","Breached"))</f>
        <v>Met</v>
      </c>
    </row>
    <row r="4747" ht="19" customHeight="1" spans="1:14" x14ac:dyDescent="0.25">
      <c r="A4747" s="22" t="s">
        <v>4861</v>
      </c>
      <c r="B4747" s="36">
        <v>46184.356944444444</v>
      </c>
      <c r="C4747" s="36">
        <v>46186.43958333333</v>
      </c>
      <c r="D4747" s="22" t="s">
        <v>33</v>
      </c>
      <c r="E4747" s="22" t="s">
        <v>65</v>
      </c>
      <c r="F4747" s="22" t="s">
        <v>40</v>
      </c>
      <c r="G4747" s="22" t="s">
        <v>126</v>
      </c>
      <c r="H4747" s="22" t="s">
        <v>71</v>
      </c>
      <c r="I4747" s="22" t="s">
        <v>147</v>
      </c>
      <c r="J4747" s="23">
        <v>48</v>
      </c>
      <c r="K4747" s="37">
        <v>0</v>
      </c>
      <c r="M4747" s="22">
        <f>IF(OR(ISBLANK(C4747),C4747=""),"",ROUND((C4747-B4747)*24,2))</f>
        <v>49.98</v>
      </c>
      <c r="N4747" s="38" t="str">
        <f>IF(OR(ISBLANK(C4747),C4747="",M4747=""),"In Progress",IF(M4747&lt;=J4747,"Met","Breached"))</f>
        <v>Breached</v>
      </c>
    </row>
    <row r="4748" ht="19" customHeight="1" spans="1:14" x14ac:dyDescent="0.25">
      <c r="A4748" s="19" t="s">
        <v>4862</v>
      </c>
      <c r="B4748" s="33">
        <v>45873.570138888885</v>
      </c>
      <c r="C4748" s="33">
        <v>45874.236805555556</v>
      </c>
      <c r="D4748" s="19" t="s">
        <v>33</v>
      </c>
      <c r="E4748" s="19" t="s">
        <v>65</v>
      </c>
      <c r="F4748" s="19" t="s">
        <v>34</v>
      </c>
      <c r="G4748" s="19" t="s">
        <v>126</v>
      </c>
      <c r="H4748" s="19" t="s">
        <v>67</v>
      </c>
      <c r="I4748" s="19" t="s">
        <v>111</v>
      </c>
      <c r="J4748" s="20">
        <v>48</v>
      </c>
      <c r="K4748" s="34">
        <v>0</v>
      </c>
      <c r="M4748" s="19">
        <f>IF(OR(ISBLANK(C4748),C4748=""),"",ROUND((C4748-B4748)*24,2))</f>
        <v>16</v>
      </c>
      <c r="N4748" s="35" t="str">
        <f>IF(OR(ISBLANK(C4748),C4748="",M4748=""),"In Progress",IF(M4748&lt;=J4748,"Met","Breached"))</f>
        <v>Met</v>
      </c>
    </row>
    <row r="4749" ht="19" customHeight="1" spans="1:14" x14ac:dyDescent="0.25">
      <c r="A4749" s="22" t="s">
        <v>4863</v>
      </c>
      <c r="B4749" s="36">
        <v>45794.94097222222</v>
      </c>
      <c r="C4749" s="36">
        <v>45796.794444444444</v>
      </c>
      <c r="D4749" s="22" t="s">
        <v>33</v>
      </c>
      <c r="E4749" s="22" t="s">
        <v>65</v>
      </c>
      <c r="F4749" s="22" t="s">
        <v>45</v>
      </c>
      <c r="G4749" s="22" t="s">
        <v>110</v>
      </c>
      <c r="H4749" s="22" t="s">
        <v>63</v>
      </c>
      <c r="I4749" s="22" t="s">
        <v>111</v>
      </c>
      <c r="J4749" s="23">
        <v>48</v>
      </c>
      <c r="K4749" s="37">
        <v>0</v>
      </c>
      <c r="L4749" s="37">
        <v>4</v>
      </c>
      <c r="M4749" s="22">
        <f>IF(OR(ISBLANK(C4749),C4749=""),"",ROUND((C4749-B4749)*24,2))</f>
        <v>44.48</v>
      </c>
      <c r="N4749" s="40" t="str">
        <f>IF(OR(ISBLANK(C4749),C4749="",M4749=""),"In Progress",IF(M4749&lt;=J4749,"Met","Breached"))</f>
        <v>Met</v>
      </c>
    </row>
    <row r="4750" ht="19" customHeight="1" spans="1:14" x14ac:dyDescent="0.25">
      <c r="A4750" s="19" t="s">
        <v>4864</v>
      </c>
      <c r="B4750" s="33">
        <v>46192.603472222225</v>
      </c>
      <c r="C4750" s="33">
        <v>46194.680555555555</v>
      </c>
      <c r="D4750" s="19" t="s">
        <v>33</v>
      </c>
      <c r="E4750" s="19" t="s">
        <v>65</v>
      </c>
      <c r="F4750" s="19" t="s">
        <v>45</v>
      </c>
      <c r="G4750" s="19" t="s">
        <v>121</v>
      </c>
      <c r="H4750" s="19" t="s">
        <v>67</v>
      </c>
      <c r="I4750" s="19" t="s">
        <v>111</v>
      </c>
      <c r="J4750" s="20">
        <v>48</v>
      </c>
      <c r="K4750" s="34">
        <v>0</v>
      </c>
      <c r="L4750" s="34">
        <v>2</v>
      </c>
      <c r="M4750" s="19">
        <f>IF(OR(ISBLANK(C4750),C4750=""),"",ROUND((C4750-B4750)*24,2))</f>
        <v>49.85</v>
      </c>
      <c r="N4750" s="39" t="str">
        <f>IF(OR(ISBLANK(C4750),C4750="",M4750=""),"In Progress",IF(M4750&lt;=J4750,"Met","Breached"))</f>
        <v>Breached</v>
      </c>
    </row>
    <row r="4751" ht="19" customHeight="1" spans="1:14" x14ac:dyDescent="0.25">
      <c r="A4751" s="22" t="s">
        <v>4865</v>
      </c>
      <c r="B4751" s="36">
        <v>45662.527083333334</v>
      </c>
      <c r="C4751" s="36">
        <v>45665.08194444445</v>
      </c>
      <c r="D4751" s="22" t="s">
        <v>36</v>
      </c>
      <c r="E4751" s="22" t="s">
        <v>65</v>
      </c>
      <c r="F4751" s="22" t="s">
        <v>40</v>
      </c>
      <c r="G4751" s="22" t="s">
        <v>126</v>
      </c>
      <c r="H4751" s="22" t="s">
        <v>59</v>
      </c>
      <c r="I4751" s="22" t="s">
        <v>108</v>
      </c>
      <c r="J4751" s="23">
        <v>48</v>
      </c>
      <c r="K4751" s="37">
        <v>0</v>
      </c>
      <c r="L4751" s="37">
        <v>3</v>
      </c>
      <c r="M4751" s="22">
        <f>IF(OR(ISBLANK(C4751),C4751=""),"",ROUND((C4751-B4751)*24,2))</f>
        <v>61.32</v>
      </c>
      <c r="N4751" s="38" t="str">
        <f>IF(OR(ISBLANK(C4751),C4751="",M4751=""),"In Progress",IF(M4751&lt;=J4751,"Met","Breached"))</f>
        <v>Breached</v>
      </c>
    </row>
    <row r="4752" ht="19" customHeight="1" spans="1:14" x14ac:dyDescent="0.25">
      <c r="A4752" s="19" t="s">
        <v>4866</v>
      </c>
      <c r="B4752" s="33">
        <v>45845.27291666667</v>
      </c>
      <c r="C4752" s="33">
        <v>45845.569444444445</v>
      </c>
      <c r="D4752" s="19" t="s">
        <v>33</v>
      </c>
      <c r="E4752" s="19" t="s">
        <v>61</v>
      </c>
      <c r="F4752" s="19" t="s">
        <v>40</v>
      </c>
      <c r="G4752" s="19" t="s">
        <v>126</v>
      </c>
      <c r="H4752" s="19" t="s">
        <v>67</v>
      </c>
      <c r="I4752" s="19" t="s">
        <v>114</v>
      </c>
      <c r="J4752" s="20">
        <v>12</v>
      </c>
      <c r="K4752" s="34">
        <v>0</v>
      </c>
      <c r="L4752" s="34">
        <v>5</v>
      </c>
      <c r="M4752" s="19">
        <f>IF(OR(ISBLANK(C4752),C4752=""),"",ROUND((C4752-B4752)*24,2))</f>
        <v>7.12</v>
      </c>
      <c r="N4752" s="35" t="str">
        <f>IF(OR(ISBLANK(C4752),C4752="",M4752=""),"In Progress",IF(M4752&lt;=J4752,"Met","Breached"))</f>
        <v>Met</v>
      </c>
    </row>
    <row r="4753" ht="19" customHeight="1" spans="1:14" x14ac:dyDescent="0.25">
      <c r="A4753" s="22" t="s">
        <v>4867</v>
      </c>
      <c r="B4753" s="36">
        <v>45951.28125</v>
      </c>
      <c r="C4753" s="36">
        <v>45952.83125</v>
      </c>
      <c r="D4753" s="22" t="s">
        <v>36</v>
      </c>
      <c r="E4753" s="22" t="s">
        <v>65</v>
      </c>
      <c r="F4753" s="22" t="s">
        <v>37</v>
      </c>
      <c r="G4753" s="22" t="s">
        <v>121</v>
      </c>
      <c r="H4753" s="22" t="s">
        <v>59</v>
      </c>
      <c r="I4753" s="22" t="s">
        <v>111</v>
      </c>
      <c r="J4753" s="23">
        <v>48</v>
      </c>
      <c r="K4753" s="37">
        <v>0</v>
      </c>
      <c r="L4753" s="37">
        <v>3</v>
      </c>
      <c r="M4753" s="22">
        <f>IF(OR(ISBLANK(C4753),C4753=""),"",ROUND((C4753-B4753)*24,2))</f>
        <v>37.2</v>
      </c>
      <c r="N4753" s="40" t="str">
        <f>IF(OR(ISBLANK(C4753),C4753="",M4753=""),"In Progress",IF(M4753&lt;=J4753,"Met","Breached"))</f>
        <v>Met</v>
      </c>
    </row>
    <row r="4754" ht="19" customHeight="1" spans="1:14" x14ac:dyDescent="0.25">
      <c r="A4754" s="19" t="s">
        <v>4868</v>
      </c>
      <c r="B4754" s="33">
        <v>46112.58888888889</v>
      </c>
      <c r="D4754" s="19" t="s">
        <v>39</v>
      </c>
      <c r="E4754" s="19" t="s">
        <v>65</v>
      </c>
      <c r="F4754" s="19" t="s">
        <v>37</v>
      </c>
      <c r="G4754" s="19" t="s">
        <v>110</v>
      </c>
      <c r="H4754" s="19" t="s">
        <v>67</v>
      </c>
      <c r="I4754" s="19" t="s">
        <v>117</v>
      </c>
      <c r="J4754" s="20">
        <v>48</v>
      </c>
      <c r="K4754" s="34">
        <v>0</v>
      </c>
      <c r="M4754" s="19" t="str">
        <f>IF(OR(ISBLANK(C4754),C4754=""),"",ROUND((C4754-B4754)*24,2))</f>
        <v/>
      </c>
      <c r="N4754" s="19" t="str">
        <f>IF(OR(ISBLANK(C4754),C4754="",M4754=""),"In Progress",IF(M4754&lt;=J4754,"Met","Breached"))</f>
        <v>In Progress</v>
      </c>
    </row>
    <row r="4755" ht="19" customHeight="1" spans="1:14" x14ac:dyDescent="0.25">
      <c r="A4755" s="22" t="s">
        <v>4869</v>
      </c>
      <c r="B4755" s="36">
        <v>46276.95972222222</v>
      </c>
      <c r="C4755" s="36">
        <v>46278.38541666667</v>
      </c>
      <c r="D4755" s="22" t="s">
        <v>33</v>
      </c>
      <c r="E4755" s="22" t="s">
        <v>65</v>
      </c>
      <c r="F4755" s="22" t="s">
        <v>34</v>
      </c>
      <c r="G4755" s="22" t="s">
        <v>113</v>
      </c>
      <c r="H4755" s="22" t="s">
        <v>59</v>
      </c>
      <c r="I4755" s="22" t="s">
        <v>114</v>
      </c>
      <c r="J4755" s="23">
        <v>48</v>
      </c>
      <c r="K4755" s="37">
        <v>0</v>
      </c>
      <c r="L4755" s="37">
        <v>1</v>
      </c>
      <c r="M4755" s="22">
        <f>IF(OR(ISBLANK(C4755),C4755=""),"",ROUND((C4755-B4755)*24,2))</f>
        <v>34.22</v>
      </c>
      <c r="N4755" s="40" t="str">
        <f>IF(OR(ISBLANK(C4755),C4755="",M4755=""),"In Progress",IF(M4755&lt;=J4755,"Met","Breached"))</f>
        <v>Met</v>
      </c>
    </row>
    <row r="4756" ht="19" customHeight="1" spans="1:14" x14ac:dyDescent="0.25">
      <c r="A4756" s="19" t="s">
        <v>4870</v>
      </c>
      <c r="B4756" s="33">
        <v>45807.64722222222</v>
      </c>
      <c r="C4756" s="33">
        <v>45808.23541666666</v>
      </c>
      <c r="D4756" s="19" t="s">
        <v>33</v>
      </c>
      <c r="E4756" s="19" t="s">
        <v>61</v>
      </c>
      <c r="F4756" s="19" t="s">
        <v>37</v>
      </c>
      <c r="G4756" s="19" t="s">
        <v>126</v>
      </c>
      <c r="H4756" s="19" t="s">
        <v>59</v>
      </c>
      <c r="I4756" s="19" t="s">
        <v>114</v>
      </c>
      <c r="J4756" s="20">
        <v>12</v>
      </c>
      <c r="K4756" s="34">
        <v>0</v>
      </c>
      <c r="L4756" s="34">
        <v>2</v>
      </c>
      <c r="M4756" s="19">
        <f>IF(OR(ISBLANK(C4756),C4756=""),"",ROUND((C4756-B4756)*24,2))</f>
        <v>14.12</v>
      </c>
      <c r="N4756" s="39" t="str">
        <f>IF(OR(ISBLANK(C4756),C4756="",M4756=""),"In Progress",IF(M4756&lt;=J4756,"Met","Breached"))</f>
        <v>Breached</v>
      </c>
    </row>
    <row r="4757" ht="19" customHeight="1" spans="1:14" x14ac:dyDescent="0.25">
      <c r="A4757" s="22" t="s">
        <v>4871</v>
      </c>
      <c r="B4757" s="36">
        <v>46202.00138888889</v>
      </c>
      <c r="D4757" s="22" t="s">
        <v>39</v>
      </c>
      <c r="E4757" s="22" t="s">
        <v>61</v>
      </c>
      <c r="F4757" s="22" t="s">
        <v>40</v>
      </c>
      <c r="G4757" s="22" t="s">
        <v>121</v>
      </c>
      <c r="H4757" s="22" t="s">
        <v>59</v>
      </c>
      <c r="I4757" s="22" t="s">
        <v>123</v>
      </c>
      <c r="J4757" s="23">
        <v>12</v>
      </c>
      <c r="K4757" s="37">
        <v>0</v>
      </c>
      <c r="M4757" s="22" t="str">
        <f>IF(OR(ISBLANK(C4757),C4757=""),"",ROUND((C4757-B4757)*24,2))</f>
        <v/>
      </c>
      <c r="N4757" s="22" t="str">
        <f>IF(OR(ISBLANK(C4757),C4757="",M4757=""),"In Progress",IF(M4757&lt;=J4757,"Met","Breached"))</f>
        <v>In Progress</v>
      </c>
    </row>
    <row r="4758" ht="19" customHeight="1" spans="1:14" x14ac:dyDescent="0.25">
      <c r="A4758" s="19" t="s">
        <v>4872</v>
      </c>
      <c r="B4758" s="33">
        <v>45807.427777777775</v>
      </c>
      <c r="D4758" s="19" t="s">
        <v>42</v>
      </c>
      <c r="E4758" s="19" t="s">
        <v>69</v>
      </c>
      <c r="F4758" s="19" t="s">
        <v>40</v>
      </c>
      <c r="G4758" s="19" t="s">
        <v>63</v>
      </c>
      <c r="H4758" s="19" t="s">
        <v>63</v>
      </c>
      <c r="I4758" s="19" t="s">
        <v>123</v>
      </c>
      <c r="J4758" s="20">
        <v>120</v>
      </c>
      <c r="K4758" s="34">
        <v>0</v>
      </c>
      <c r="M4758" s="19" t="str">
        <f>IF(OR(ISBLANK(C4758),C4758=""),"",ROUND((C4758-B4758)*24,2))</f>
        <v/>
      </c>
      <c r="N4758" s="19" t="str">
        <f>IF(OR(ISBLANK(C4758),C4758="",M4758=""),"In Progress",IF(M4758&lt;=J4758,"Met","Breached"))</f>
        <v>In Progress</v>
      </c>
    </row>
    <row r="4759" ht="19" customHeight="1" spans="1:14" x14ac:dyDescent="0.25">
      <c r="A4759" s="22" t="s">
        <v>4873</v>
      </c>
      <c r="B4759" s="36">
        <v>45779.419444444444</v>
      </c>
      <c r="C4759" s="36">
        <v>45786.586805555555</v>
      </c>
      <c r="D4759" s="22" t="s">
        <v>33</v>
      </c>
      <c r="E4759" s="22" t="s">
        <v>69</v>
      </c>
      <c r="F4759" s="22" t="s">
        <v>34</v>
      </c>
      <c r="G4759" s="22" t="s">
        <v>116</v>
      </c>
      <c r="H4759" s="22" t="s">
        <v>63</v>
      </c>
      <c r="I4759" s="22" t="s">
        <v>117</v>
      </c>
      <c r="J4759" s="23">
        <v>120</v>
      </c>
      <c r="K4759" s="37">
        <v>0</v>
      </c>
      <c r="L4759" s="37">
        <v>5</v>
      </c>
      <c r="M4759" s="22">
        <f>IF(OR(ISBLANK(C4759),C4759=""),"",ROUND((C4759-B4759)*24,2))</f>
        <v>172.02</v>
      </c>
      <c r="N4759" s="38" t="str">
        <f>IF(OR(ISBLANK(C4759),C4759="",M4759=""),"In Progress",IF(M4759&lt;=J4759,"Met","Breached"))</f>
        <v>Breached</v>
      </c>
    </row>
    <row r="4760" ht="19" customHeight="1" spans="1:14" x14ac:dyDescent="0.25">
      <c r="A4760" s="19" t="s">
        <v>4874</v>
      </c>
      <c r="B4760" s="33">
        <v>46257.23541666666</v>
      </c>
      <c r="C4760" s="33">
        <v>46263.009722222225</v>
      </c>
      <c r="D4760" s="19" t="s">
        <v>36</v>
      </c>
      <c r="E4760" s="19" t="s">
        <v>69</v>
      </c>
      <c r="F4760" s="19" t="s">
        <v>43</v>
      </c>
      <c r="G4760" s="19" t="s">
        <v>121</v>
      </c>
      <c r="H4760" s="19" t="s">
        <v>59</v>
      </c>
      <c r="I4760" s="19" t="s">
        <v>114</v>
      </c>
      <c r="J4760" s="20">
        <v>120</v>
      </c>
      <c r="K4760" s="34">
        <v>1</v>
      </c>
      <c r="L4760" s="34">
        <v>1</v>
      </c>
      <c r="M4760" s="19">
        <f>IF(OR(ISBLANK(C4760),C4760=""),"",ROUND((C4760-B4760)*24,2))</f>
        <v>138.58</v>
      </c>
      <c r="N4760" s="39" t="str">
        <f>IF(OR(ISBLANK(C4760),C4760="",M4760=""),"In Progress",IF(M4760&lt;=J4760,"Met","Breached"))</f>
        <v>Breached</v>
      </c>
    </row>
    <row r="4761" ht="19" customHeight="1" spans="1:14" x14ac:dyDescent="0.25">
      <c r="A4761" s="22" t="s">
        <v>4875</v>
      </c>
      <c r="B4761" s="36">
        <v>45698.88125</v>
      </c>
      <c r="D4761" s="22" t="s">
        <v>42</v>
      </c>
      <c r="E4761" s="22" t="s">
        <v>69</v>
      </c>
      <c r="F4761" s="22" t="s">
        <v>45</v>
      </c>
      <c r="G4761" s="22" t="s">
        <v>121</v>
      </c>
      <c r="H4761" s="22" t="s">
        <v>67</v>
      </c>
      <c r="I4761" s="22" t="s">
        <v>111</v>
      </c>
      <c r="J4761" s="23">
        <v>120</v>
      </c>
      <c r="K4761" s="37">
        <v>0</v>
      </c>
      <c r="M4761" s="22" t="str">
        <f>IF(OR(ISBLANK(C4761),C4761=""),"",ROUND((C4761-B4761)*24,2))</f>
        <v/>
      </c>
      <c r="N4761" s="22" t="str">
        <f>IF(OR(ISBLANK(C4761),C4761="",M4761=""),"In Progress",IF(M4761&lt;=J4761,"Met","Breached"))</f>
        <v>In Progress</v>
      </c>
    </row>
    <row r="4762" ht="19" customHeight="1" spans="1:14" x14ac:dyDescent="0.25">
      <c r="A4762" s="19" t="s">
        <v>4876</v>
      </c>
      <c r="B4762" s="33">
        <v>46155.89236111111</v>
      </c>
      <c r="C4762" s="33">
        <v>46156.54305555555</v>
      </c>
      <c r="D4762" s="19" t="s">
        <v>33</v>
      </c>
      <c r="E4762" s="19" t="s">
        <v>61</v>
      </c>
      <c r="F4762" s="19" t="s">
        <v>40</v>
      </c>
      <c r="G4762" s="19" t="s">
        <v>110</v>
      </c>
      <c r="H4762" s="19" t="s">
        <v>59</v>
      </c>
      <c r="I4762" s="19" t="s">
        <v>111</v>
      </c>
      <c r="J4762" s="20">
        <v>12</v>
      </c>
      <c r="K4762" s="34">
        <v>0</v>
      </c>
      <c r="L4762" s="34">
        <v>3</v>
      </c>
      <c r="M4762" s="19">
        <f>IF(OR(ISBLANK(C4762),C4762=""),"",ROUND((C4762-B4762)*24,2))</f>
        <v>15.62</v>
      </c>
      <c r="N4762" s="39" t="str">
        <f>IF(OR(ISBLANK(C4762),C4762="",M4762=""),"In Progress",IF(M4762&lt;=J4762,"Met","Breached"))</f>
        <v>Breached</v>
      </c>
    </row>
    <row r="4763" ht="19" customHeight="1" spans="1:14" x14ac:dyDescent="0.25">
      <c r="A4763" s="22" t="s">
        <v>4877</v>
      </c>
      <c r="B4763" s="36">
        <v>46241.84722222222</v>
      </c>
      <c r="C4763" s="36">
        <v>46249.29583333334</v>
      </c>
      <c r="D4763" s="22" t="s">
        <v>33</v>
      </c>
      <c r="E4763" s="22" t="s">
        <v>69</v>
      </c>
      <c r="F4763" s="22" t="s">
        <v>34</v>
      </c>
      <c r="G4763" s="22" t="s">
        <v>121</v>
      </c>
      <c r="H4763" s="22" t="s">
        <v>59</v>
      </c>
      <c r="I4763" s="22" t="s">
        <v>123</v>
      </c>
      <c r="J4763" s="23">
        <v>120</v>
      </c>
      <c r="K4763" s="37">
        <v>0</v>
      </c>
      <c r="L4763" s="37">
        <v>1</v>
      </c>
      <c r="M4763" s="22">
        <f>IF(OR(ISBLANK(C4763),C4763=""),"",ROUND((C4763-B4763)*24,2))</f>
        <v>178.77</v>
      </c>
      <c r="N4763" s="38" t="str">
        <f>IF(OR(ISBLANK(C4763),C4763="",M4763=""),"In Progress",IF(M4763&lt;=J4763,"Met","Breached"))</f>
        <v>Breached</v>
      </c>
    </row>
    <row r="4764" ht="19" customHeight="1" spans="1:14" x14ac:dyDescent="0.25">
      <c r="A4764" s="19" t="s">
        <v>4878</v>
      </c>
      <c r="B4764" s="33">
        <v>46036.41666666667</v>
      </c>
      <c r="C4764" s="33">
        <v>46039.29375</v>
      </c>
      <c r="D4764" s="19" t="s">
        <v>33</v>
      </c>
      <c r="E4764" s="19" t="s">
        <v>65</v>
      </c>
      <c r="F4764" s="19" t="s">
        <v>37</v>
      </c>
      <c r="G4764" s="19" t="s">
        <v>113</v>
      </c>
      <c r="H4764" s="19" t="s">
        <v>71</v>
      </c>
      <c r="I4764" s="19" t="s">
        <v>111</v>
      </c>
      <c r="J4764" s="20">
        <v>48</v>
      </c>
      <c r="K4764" s="34">
        <v>0</v>
      </c>
      <c r="L4764" s="34">
        <v>2</v>
      </c>
      <c r="M4764" s="19">
        <f>IF(OR(ISBLANK(C4764),C4764=""),"",ROUND((C4764-B4764)*24,2))</f>
        <v>69.05</v>
      </c>
      <c r="N4764" s="39" t="str">
        <f>IF(OR(ISBLANK(C4764),C4764="",M4764=""),"In Progress",IF(M4764&lt;=J4764,"Met","Breached"))</f>
        <v>Breached</v>
      </c>
    </row>
    <row r="4765" ht="19" customHeight="1" spans="1:14" x14ac:dyDescent="0.25">
      <c r="A4765" s="22" t="s">
        <v>4879</v>
      </c>
      <c r="B4765" s="36">
        <v>45959.62777777778</v>
      </c>
      <c r="C4765" s="36">
        <v>45963.40625</v>
      </c>
      <c r="D4765" s="22" t="s">
        <v>33</v>
      </c>
      <c r="E4765" s="22" t="s">
        <v>69</v>
      </c>
      <c r="F4765" s="22" t="s">
        <v>45</v>
      </c>
      <c r="G4765" s="22" t="s">
        <v>126</v>
      </c>
      <c r="H4765" s="22" t="s">
        <v>63</v>
      </c>
      <c r="I4765" s="22" t="s">
        <v>111</v>
      </c>
      <c r="J4765" s="23">
        <v>120</v>
      </c>
      <c r="K4765" s="37">
        <v>0</v>
      </c>
      <c r="L4765" s="37">
        <v>3</v>
      </c>
      <c r="M4765" s="22">
        <f>IF(OR(ISBLANK(C4765),C4765=""),"",ROUND((C4765-B4765)*24,2))</f>
        <v>90.68</v>
      </c>
      <c r="N4765" s="40" t="str">
        <f>IF(OR(ISBLANK(C4765),C4765="",M4765=""),"In Progress",IF(M4765&lt;=J4765,"Met","Breached"))</f>
        <v>Met</v>
      </c>
    </row>
    <row r="4766" ht="19" customHeight="1" spans="1:14" x14ac:dyDescent="0.25">
      <c r="A4766" s="19" t="s">
        <v>4880</v>
      </c>
      <c r="B4766" s="33">
        <v>46195.26527777778</v>
      </c>
      <c r="C4766" s="33">
        <v>46195.90763888889</v>
      </c>
      <c r="D4766" s="19" t="s">
        <v>33</v>
      </c>
      <c r="E4766" s="19" t="s">
        <v>65</v>
      </c>
      <c r="F4766" s="19" t="s">
        <v>40</v>
      </c>
      <c r="G4766" s="19" t="s">
        <v>63</v>
      </c>
      <c r="H4766" s="19" t="s">
        <v>59</v>
      </c>
      <c r="I4766" s="19" t="s">
        <v>147</v>
      </c>
      <c r="J4766" s="20">
        <v>48</v>
      </c>
      <c r="K4766" s="34">
        <v>0</v>
      </c>
      <c r="L4766" s="34">
        <v>3</v>
      </c>
      <c r="M4766" s="19">
        <f>IF(OR(ISBLANK(C4766),C4766=""),"",ROUND((C4766-B4766)*24,2))</f>
        <v>15.42</v>
      </c>
      <c r="N4766" s="35" t="str">
        <f>IF(OR(ISBLANK(C4766),C4766="",M4766=""),"In Progress",IF(M4766&lt;=J4766,"Met","Breached"))</f>
        <v>Met</v>
      </c>
    </row>
    <row r="4767" ht="19" customHeight="1" spans="1:14" x14ac:dyDescent="0.25">
      <c r="A4767" s="22" t="s">
        <v>4881</v>
      </c>
      <c r="B4767" s="36">
        <v>45688.07361111111</v>
      </c>
      <c r="C4767" s="36">
        <v>45689.70972222222</v>
      </c>
      <c r="D4767" s="22" t="s">
        <v>33</v>
      </c>
      <c r="E4767" s="22" t="s">
        <v>65</v>
      </c>
      <c r="F4767" s="22" t="s">
        <v>45</v>
      </c>
      <c r="G4767" s="22" t="s">
        <v>63</v>
      </c>
      <c r="H4767" s="22" t="s">
        <v>59</v>
      </c>
      <c r="I4767" s="22" t="s">
        <v>114</v>
      </c>
      <c r="J4767" s="23">
        <v>48</v>
      </c>
      <c r="K4767" s="37">
        <v>0</v>
      </c>
      <c r="L4767" s="37">
        <v>2</v>
      </c>
      <c r="M4767" s="22">
        <f>IF(OR(ISBLANK(C4767),C4767=""),"",ROUND((C4767-B4767)*24,2))</f>
        <v>39.27</v>
      </c>
      <c r="N4767" s="40" t="str">
        <f>IF(OR(ISBLANK(C4767),C4767="",M4767=""),"In Progress",IF(M4767&lt;=J4767,"Met","Breached"))</f>
        <v>Met</v>
      </c>
    </row>
    <row r="4768" ht="19" customHeight="1" spans="1:14" x14ac:dyDescent="0.25">
      <c r="A4768" s="19" t="s">
        <v>4882</v>
      </c>
      <c r="B4768" s="33">
        <v>45889.044444444444</v>
      </c>
      <c r="C4768" s="33">
        <v>45891.32916666666</v>
      </c>
      <c r="D4768" s="19" t="s">
        <v>33</v>
      </c>
      <c r="E4768" s="19" t="s">
        <v>69</v>
      </c>
      <c r="F4768" s="19" t="s">
        <v>40</v>
      </c>
      <c r="G4768" s="19" t="s">
        <v>110</v>
      </c>
      <c r="H4768" s="19" t="s">
        <v>59</v>
      </c>
      <c r="I4768" s="19" t="s">
        <v>108</v>
      </c>
      <c r="J4768" s="20">
        <v>120</v>
      </c>
      <c r="K4768" s="34">
        <v>0</v>
      </c>
      <c r="M4768" s="19">
        <f>IF(OR(ISBLANK(C4768),C4768=""),"",ROUND((C4768-B4768)*24,2))</f>
        <v>54.83</v>
      </c>
      <c r="N4768" s="35" t="str">
        <f>IF(OR(ISBLANK(C4768),C4768="",M4768=""),"In Progress",IF(M4768&lt;=J4768,"Met","Breached"))</f>
        <v>Met</v>
      </c>
    </row>
    <row r="4769" ht="19" customHeight="1" spans="1:14" x14ac:dyDescent="0.25">
      <c r="A4769" s="22" t="s">
        <v>4883</v>
      </c>
      <c r="B4769" s="36">
        <v>45749.05416666667</v>
      </c>
      <c r="C4769" s="36">
        <v>45750.117361111115</v>
      </c>
      <c r="D4769" s="22" t="s">
        <v>33</v>
      </c>
      <c r="E4769" s="22" t="s">
        <v>65</v>
      </c>
      <c r="F4769" s="22" t="s">
        <v>34</v>
      </c>
      <c r="G4769" s="22" t="s">
        <v>126</v>
      </c>
      <c r="H4769" s="22" t="s">
        <v>59</v>
      </c>
      <c r="I4769" s="22" t="s">
        <v>147</v>
      </c>
      <c r="J4769" s="23">
        <v>48</v>
      </c>
      <c r="K4769" s="37">
        <v>0</v>
      </c>
      <c r="M4769" s="22">
        <f>IF(OR(ISBLANK(C4769),C4769=""),"",ROUND((C4769-B4769)*24,2))</f>
        <v>25.52</v>
      </c>
      <c r="N4769" s="40" t="str">
        <f>IF(OR(ISBLANK(C4769),C4769="",M4769=""),"In Progress",IF(M4769&lt;=J4769,"Met","Breached"))</f>
        <v>Met</v>
      </c>
    </row>
    <row r="4770" ht="19" customHeight="1" spans="1:14" x14ac:dyDescent="0.25">
      <c r="A4770" s="19" t="s">
        <v>4884</v>
      </c>
      <c r="B4770" s="33">
        <v>45752.08263888889</v>
      </c>
      <c r="D4770" s="19" t="s">
        <v>39</v>
      </c>
      <c r="E4770" s="19" t="s">
        <v>65</v>
      </c>
      <c r="F4770" s="19" t="s">
        <v>43</v>
      </c>
      <c r="G4770" s="19" t="s">
        <v>113</v>
      </c>
      <c r="H4770" s="19" t="s">
        <v>59</v>
      </c>
      <c r="I4770" s="19" t="s">
        <v>111</v>
      </c>
      <c r="J4770" s="20">
        <v>48</v>
      </c>
      <c r="K4770" s="34">
        <v>0</v>
      </c>
      <c r="M4770" s="19" t="str">
        <f>IF(OR(ISBLANK(C4770),C4770=""),"",ROUND((C4770-B4770)*24,2))</f>
        <v/>
      </c>
      <c r="N4770" s="19" t="str">
        <f>IF(OR(ISBLANK(C4770),C4770="",M4770=""),"In Progress",IF(M4770&lt;=J4770,"Met","Breached"))</f>
        <v>In Progress</v>
      </c>
    </row>
    <row r="4771" ht="19" customHeight="1" spans="1:14" x14ac:dyDescent="0.25">
      <c r="A4771" s="22" t="s">
        <v>4885</v>
      </c>
      <c r="B4771" s="36">
        <v>45925.64444444445</v>
      </c>
      <c r="C4771" s="36">
        <v>45927.33888888889</v>
      </c>
      <c r="D4771" s="22" t="s">
        <v>36</v>
      </c>
      <c r="E4771" s="22" t="s">
        <v>65</v>
      </c>
      <c r="F4771" s="22" t="s">
        <v>43</v>
      </c>
      <c r="G4771" s="22" t="s">
        <v>63</v>
      </c>
      <c r="H4771" s="22" t="s">
        <v>59</v>
      </c>
      <c r="I4771" s="22" t="s">
        <v>117</v>
      </c>
      <c r="J4771" s="23">
        <v>48</v>
      </c>
      <c r="K4771" s="37">
        <v>0</v>
      </c>
      <c r="L4771" s="37">
        <v>3</v>
      </c>
      <c r="M4771" s="22">
        <f>IF(OR(ISBLANK(C4771),C4771=""),"",ROUND((C4771-B4771)*24,2))</f>
        <v>40.67</v>
      </c>
      <c r="N4771" s="40" t="str">
        <f>IF(OR(ISBLANK(C4771),C4771="",M4771=""),"In Progress",IF(M4771&lt;=J4771,"Met","Breached"))</f>
        <v>Met</v>
      </c>
    </row>
    <row r="4772" ht="19" customHeight="1" spans="1:14" x14ac:dyDescent="0.25">
      <c r="A4772" s="19" t="s">
        <v>4886</v>
      </c>
      <c r="B4772" s="33">
        <v>45748.143055555556</v>
      </c>
      <c r="D4772" s="19" t="s">
        <v>42</v>
      </c>
      <c r="E4772" s="19" t="s">
        <v>61</v>
      </c>
      <c r="F4772" s="19" t="s">
        <v>43</v>
      </c>
      <c r="G4772" s="19" t="s">
        <v>121</v>
      </c>
      <c r="H4772" s="19" t="s">
        <v>59</v>
      </c>
      <c r="I4772" s="19" t="s">
        <v>117</v>
      </c>
      <c r="J4772" s="20">
        <v>12</v>
      </c>
      <c r="K4772" s="34">
        <v>0</v>
      </c>
      <c r="M4772" s="19" t="str">
        <f>IF(OR(ISBLANK(C4772),C4772=""),"",ROUND((C4772-B4772)*24,2))</f>
        <v/>
      </c>
      <c r="N4772" s="19" t="str">
        <f>IF(OR(ISBLANK(C4772),C4772="",M4772=""),"In Progress",IF(M4772&lt;=J4772,"Met","Breached"))</f>
        <v>In Progress</v>
      </c>
    </row>
    <row r="4773" ht="19" customHeight="1" spans="1:14" x14ac:dyDescent="0.25">
      <c r="A4773" s="22" t="s">
        <v>4887</v>
      </c>
      <c r="B4773" s="36">
        <v>45886.44236111111</v>
      </c>
      <c r="C4773" s="36">
        <v>45888.84305555555</v>
      </c>
      <c r="D4773" s="22" t="s">
        <v>33</v>
      </c>
      <c r="E4773" s="22" t="s">
        <v>69</v>
      </c>
      <c r="F4773" s="22" t="s">
        <v>40</v>
      </c>
      <c r="G4773" s="22" t="s">
        <v>63</v>
      </c>
      <c r="H4773" s="22" t="s">
        <v>59</v>
      </c>
      <c r="I4773" s="22" t="s">
        <v>147</v>
      </c>
      <c r="J4773" s="23">
        <v>120</v>
      </c>
      <c r="K4773" s="37">
        <v>0</v>
      </c>
      <c r="L4773" s="37">
        <v>3</v>
      </c>
      <c r="M4773" s="22">
        <f>IF(OR(ISBLANK(C4773),C4773=""),"",ROUND((C4773-B4773)*24,2))</f>
        <v>57.62</v>
      </c>
      <c r="N4773" s="40" t="str">
        <f>IF(OR(ISBLANK(C4773),C4773="",M4773=""),"In Progress",IF(M4773&lt;=J4773,"Met","Breached"))</f>
        <v>Met</v>
      </c>
    </row>
    <row r="4774" ht="19" customHeight="1" spans="1:14" x14ac:dyDescent="0.25">
      <c r="A4774" s="19" t="s">
        <v>4888</v>
      </c>
      <c r="B4774" s="33">
        <v>45704.86041666666</v>
      </c>
      <c r="D4774" s="19" t="s">
        <v>39</v>
      </c>
      <c r="E4774" s="19" t="s">
        <v>65</v>
      </c>
      <c r="F4774" s="19" t="s">
        <v>45</v>
      </c>
      <c r="G4774" s="19" t="s">
        <v>110</v>
      </c>
      <c r="H4774" s="19" t="s">
        <v>71</v>
      </c>
      <c r="I4774" s="19" t="s">
        <v>123</v>
      </c>
      <c r="J4774" s="20">
        <v>48</v>
      </c>
      <c r="K4774" s="34">
        <v>0</v>
      </c>
      <c r="M4774" s="19" t="str">
        <f>IF(OR(ISBLANK(C4774),C4774=""),"",ROUND((C4774-B4774)*24,2))</f>
        <v/>
      </c>
      <c r="N4774" s="19" t="str">
        <f>IF(OR(ISBLANK(C4774),C4774="",M4774=""),"In Progress",IF(M4774&lt;=J4774,"Met","Breached"))</f>
        <v>In Progress</v>
      </c>
    </row>
    <row r="4775" ht="19" customHeight="1" spans="1:14" x14ac:dyDescent="0.25">
      <c r="A4775" s="22" t="s">
        <v>4889</v>
      </c>
      <c r="B4775" s="36">
        <v>45810.768055555556</v>
      </c>
      <c r="C4775" s="36">
        <v>45811.54027777778</v>
      </c>
      <c r="D4775" s="22" t="s">
        <v>33</v>
      </c>
      <c r="E4775" s="22" t="s">
        <v>65</v>
      </c>
      <c r="F4775" s="22" t="s">
        <v>45</v>
      </c>
      <c r="G4775" s="22" t="s">
        <v>63</v>
      </c>
      <c r="H4775" s="22" t="s">
        <v>59</v>
      </c>
      <c r="I4775" s="22" t="s">
        <v>147</v>
      </c>
      <c r="J4775" s="23">
        <v>48</v>
      </c>
      <c r="K4775" s="37">
        <v>0</v>
      </c>
      <c r="M4775" s="22">
        <f>IF(OR(ISBLANK(C4775),C4775=""),"",ROUND((C4775-B4775)*24,2))</f>
        <v>18.53</v>
      </c>
      <c r="N4775" s="40" t="str">
        <f>IF(OR(ISBLANK(C4775),C4775="",M4775=""),"In Progress",IF(M4775&lt;=J4775,"Met","Breached"))</f>
        <v>Met</v>
      </c>
    </row>
    <row r="4776" ht="19" customHeight="1" spans="1:14" x14ac:dyDescent="0.25">
      <c r="A4776" s="19" t="s">
        <v>4890</v>
      </c>
      <c r="B4776" s="33">
        <v>45814.24652777778</v>
      </c>
      <c r="C4776" s="33">
        <v>45815.13611111111</v>
      </c>
      <c r="D4776" s="19" t="s">
        <v>33</v>
      </c>
      <c r="E4776" s="19" t="s">
        <v>61</v>
      </c>
      <c r="F4776" s="19" t="s">
        <v>34</v>
      </c>
      <c r="G4776" s="19" t="s">
        <v>110</v>
      </c>
      <c r="H4776" s="19" t="s">
        <v>67</v>
      </c>
      <c r="I4776" s="19" t="s">
        <v>147</v>
      </c>
      <c r="J4776" s="20">
        <v>12</v>
      </c>
      <c r="K4776" s="34">
        <v>0</v>
      </c>
      <c r="L4776" s="34">
        <v>5</v>
      </c>
      <c r="M4776" s="19">
        <f>IF(OR(ISBLANK(C4776),C4776=""),"",ROUND((C4776-B4776)*24,2))</f>
        <v>21.35</v>
      </c>
      <c r="N4776" s="39" t="str">
        <f>IF(OR(ISBLANK(C4776),C4776="",M4776=""),"In Progress",IF(M4776&lt;=J4776,"Met","Breached"))</f>
        <v>Breached</v>
      </c>
    </row>
    <row r="4777" ht="19" customHeight="1" spans="1:14" x14ac:dyDescent="0.25">
      <c r="A4777" s="22" t="s">
        <v>4891</v>
      </c>
      <c r="B4777" s="36">
        <v>46232.27986111111</v>
      </c>
      <c r="C4777" s="36">
        <v>46233.09513888889</v>
      </c>
      <c r="D4777" s="22" t="s">
        <v>33</v>
      </c>
      <c r="E4777" s="22" t="s">
        <v>61</v>
      </c>
      <c r="F4777" s="22" t="s">
        <v>37</v>
      </c>
      <c r="G4777" s="22" t="s">
        <v>121</v>
      </c>
      <c r="H4777" s="22" t="s">
        <v>71</v>
      </c>
      <c r="I4777" s="22" t="s">
        <v>147</v>
      </c>
      <c r="J4777" s="23">
        <v>12</v>
      </c>
      <c r="K4777" s="37">
        <v>0</v>
      </c>
      <c r="L4777" s="37">
        <v>1</v>
      </c>
      <c r="M4777" s="22">
        <f>IF(OR(ISBLANK(C4777),C4777=""),"",ROUND((C4777-B4777)*24,2))</f>
        <v>19.57</v>
      </c>
      <c r="N4777" s="38" t="str">
        <f>IF(OR(ISBLANK(C4777),C4777="",M4777=""),"In Progress",IF(M4777&lt;=J4777,"Met","Breached"))</f>
        <v>Breached</v>
      </c>
    </row>
    <row r="4778" ht="19" customHeight="1" spans="1:14" x14ac:dyDescent="0.25">
      <c r="A4778" s="19" t="s">
        <v>4892</v>
      </c>
      <c r="B4778" s="33">
        <v>46085.424305555556</v>
      </c>
      <c r="C4778" s="33">
        <v>46085.77638888889</v>
      </c>
      <c r="D4778" s="19" t="s">
        <v>36</v>
      </c>
      <c r="E4778" s="19" t="s">
        <v>61</v>
      </c>
      <c r="F4778" s="19" t="s">
        <v>40</v>
      </c>
      <c r="G4778" s="19" t="s">
        <v>121</v>
      </c>
      <c r="H4778" s="19" t="s">
        <v>59</v>
      </c>
      <c r="I4778" s="19" t="s">
        <v>123</v>
      </c>
      <c r="J4778" s="20">
        <v>12</v>
      </c>
      <c r="K4778" s="34">
        <v>0</v>
      </c>
      <c r="L4778" s="34">
        <v>2</v>
      </c>
      <c r="M4778" s="19">
        <f>IF(OR(ISBLANK(C4778),C4778=""),"",ROUND((C4778-B4778)*24,2))</f>
        <v>8.45</v>
      </c>
      <c r="N4778" s="35" t="str">
        <f>IF(OR(ISBLANK(C4778),C4778="",M4778=""),"In Progress",IF(M4778&lt;=J4778,"Met","Breached"))</f>
        <v>Met</v>
      </c>
    </row>
    <row r="4779" ht="19" customHeight="1" spans="1:14" x14ac:dyDescent="0.25">
      <c r="A4779" s="22" t="s">
        <v>4893</v>
      </c>
      <c r="B4779" s="36">
        <v>46100.93888888889</v>
      </c>
      <c r="C4779" s="36">
        <v>46102.544444444444</v>
      </c>
      <c r="D4779" s="22" t="s">
        <v>36</v>
      </c>
      <c r="E4779" s="22" t="s">
        <v>69</v>
      </c>
      <c r="F4779" s="22" t="s">
        <v>34</v>
      </c>
      <c r="G4779" s="22" t="s">
        <v>63</v>
      </c>
      <c r="H4779" s="22" t="s">
        <v>59</v>
      </c>
      <c r="I4779" s="22" t="s">
        <v>147</v>
      </c>
      <c r="J4779" s="23">
        <v>120</v>
      </c>
      <c r="K4779" s="37">
        <v>1</v>
      </c>
      <c r="M4779" s="22">
        <f>IF(OR(ISBLANK(C4779),C4779=""),"",ROUND((C4779-B4779)*24,2))</f>
        <v>38.53</v>
      </c>
      <c r="N4779" s="40" t="str">
        <f>IF(OR(ISBLANK(C4779),C4779="",M4779=""),"In Progress",IF(M4779&lt;=J4779,"Met","Breached"))</f>
        <v>Met</v>
      </c>
    </row>
    <row r="4780" ht="19" customHeight="1" spans="1:14" x14ac:dyDescent="0.25">
      <c r="A4780" s="19" t="s">
        <v>4894</v>
      </c>
      <c r="B4780" s="33">
        <v>45670.01111111111</v>
      </c>
      <c r="C4780" s="33">
        <v>45670.242361111115</v>
      </c>
      <c r="D4780" s="19" t="s">
        <v>33</v>
      </c>
      <c r="E4780" s="19" t="s">
        <v>57</v>
      </c>
      <c r="F4780" s="19" t="s">
        <v>40</v>
      </c>
      <c r="G4780" s="19" t="s">
        <v>121</v>
      </c>
      <c r="H4780" s="19" t="s">
        <v>63</v>
      </c>
      <c r="I4780" s="19" t="s">
        <v>114</v>
      </c>
      <c r="J4780" s="20">
        <v>4</v>
      </c>
      <c r="K4780" s="34">
        <v>0</v>
      </c>
      <c r="M4780" s="19">
        <f>IF(OR(ISBLANK(C4780),C4780=""),"",ROUND((C4780-B4780)*24,2))</f>
        <v>5.55</v>
      </c>
      <c r="N4780" s="39" t="str">
        <f>IF(OR(ISBLANK(C4780),C4780="",M4780=""),"In Progress",IF(M4780&lt;=J4780,"Met","Breached"))</f>
        <v>Breached</v>
      </c>
    </row>
    <row r="4781" ht="19" customHeight="1" spans="1:14" x14ac:dyDescent="0.25">
      <c r="A4781" s="22" t="s">
        <v>4895</v>
      </c>
      <c r="B4781" s="36">
        <v>45663.82986111111</v>
      </c>
      <c r="C4781" s="36">
        <v>45665.66111111111</v>
      </c>
      <c r="D4781" s="22" t="s">
        <v>33</v>
      </c>
      <c r="E4781" s="22" t="s">
        <v>65</v>
      </c>
      <c r="F4781" s="22" t="s">
        <v>43</v>
      </c>
      <c r="G4781" s="22" t="s">
        <v>121</v>
      </c>
      <c r="H4781" s="22" t="s">
        <v>63</v>
      </c>
      <c r="I4781" s="22" t="s">
        <v>123</v>
      </c>
      <c r="J4781" s="23">
        <v>48</v>
      </c>
      <c r="K4781" s="37">
        <v>0</v>
      </c>
      <c r="L4781" s="37">
        <v>5</v>
      </c>
      <c r="M4781" s="22">
        <f>IF(OR(ISBLANK(C4781),C4781=""),"",ROUND((C4781-B4781)*24,2))</f>
        <v>43.95</v>
      </c>
      <c r="N4781" s="40" t="str">
        <f>IF(OR(ISBLANK(C4781),C4781="",M4781=""),"In Progress",IF(M4781&lt;=J4781,"Met","Breached"))</f>
        <v>Met</v>
      </c>
    </row>
    <row r="4782" ht="19" customHeight="1" spans="1:14" x14ac:dyDescent="0.25">
      <c r="A4782" s="19" t="s">
        <v>4896</v>
      </c>
      <c r="B4782" s="33">
        <v>46101.68402777778</v>
      </c>
      <c r="D4782" s="19" t="s">
        <v>39</v>
      </c>
      <c r="E4782" s="19" t="s">
        <v>65</v>
      </c>
      <c r="F4782" s="19" t="s">
        <v>34</v>
      </c>
      <c r="G4782" s="19" t="s">
        <v>63</v>
      </c>
      <c r="H4782" s="19" t="s">
        <v>59</v>
      </c>
      <c r="I4782" s="19" t="s">
        <v>117</v>
      </c>
      <c r="J4782" s="20">
        <v>48</v>
      </c>
      <c r="K4782" s="34">
        <v>0</v>
      </c>
      <c r="M4782" s="19" t="str">
        <f>IF(OR(ISBLANK(C4782),C4782=""),"",ROUND((C4782-B4782)*24,2))</f>
        <v/>
      </c>
      <c r="N4782" s="19" t="str">
        <f>IF(OR(ISBLANK(C4782),C4782="",M4782=""),"In Progress",IF(M4782&lt;=J4782,"Met","Breached"))</f>
        <v>In Progress</v>
      </c>
    </row>
    <row r="4783" ht="19" customHeight="1" spans="1:14" x14ac:dyDescent="0.25">
      <c r="A4783" s="22" t="s">
        <v>4897</v>
      </c>
      <c r="B4783" s="36">
        <v>45731.27291666667</v>
      </c>
      <c r="C4783" s="36">
        <v>45738.86944444444</v>
      </c>
      <c r="D4783" s="22" t="s">
        <v>33</v>
      </c>
      <c r="E4783" s="22" t="s">
        <v>69</v>
      </c>
      <c r="F4783" s="22" t="s">
        <v>40</v>
      </c>
      <c r="G4783" s="22" t="s">
        <v>116</v>
      </c>
      <c r="H4783" s="22" t="s">
        <v>67</v>
      </c>
      <c r="I4783" s="22" t="s">
        <v>111</v>
      </c>
      <c r="J4783" s="23">
        <v>120</v>
      </c>
      <c r="K4783" s="37">
        <v>0</v>
      </c>
      <c r="M4783" s="22">
        <f>IF(OR(ISBLANK(C4783),C4783=""),"",ROUND((C4783-B4783)*24,2))</f>
        <v>182.32</v>
      </c>
      <c r="N4783" s="38" t="str">
        <f>IF(OR(ISBLANK(C4783),C4783="",M4783=""),"In Progress",IF(M4783&lt;=J4783,"Met","Breached"))</f>
        <v>Breached</v>
      </c>
    </row>
    <row r="4784" ht="19" customHeight="1" spans="1:14" x14ac:dyDescent="0.25">
      <c r="A4784" s="19" t="s">
        <v>4898</v>
      </c>
      <c r="B4784" s="33">
        <v>45742.24513888889</v>
      </c>
      <c r="C4784" s="33">
        <v>45742.39513888889</v>
      </c>
      <c r="D4784" s="19" t="s">
        <v>33</v>
      </c>
      <c r="E4784" s="19" t="s">
        <v>57</v>
      </c>
      <c r="F4784" s="19" t="s">
        <v>45</v>
      </c>
      <c r="G4784" s="19" t="s">
        <v>63</v>
      </c>
      <c r="H4784" s="19" t="s">
        <v>59</v>
      </c>
      <c r="I4784" s="19" t="s">
        <v>108</v>
      </c>
      <c r="J4784" s="20">
        <v>4</v>
      </c>
      <c r="K4784" s="34">
        <v>0</v>
      </c>
      <c r="L4784" s="34">
        <v>2</v>
      </c>
      <c r="M4784" s="19">
        <f>IF(OR(ISBLANK(C4784),C4784=""),"",ROUND((C4784-B4784)*24,2))</f>
        <v>3.6</v>
      </c>
      <c r="N4784" s="35" t="str">
        <f>IF(OR(ISBLANK(C4784),C4784="",M4784=""),"In Progress",IF(M4784&lt;=J4784,"Met","Breached"))</f>
        <v>Met</v>
      </c>
    </row>
    <row r="4785" ht="19" customHeight="1" spans="1:14" x14ac:dyDescent="0.25">
      <c r="A4785" s="22" t="s">
        <v>4899</v>
      </c>
      <c r="B4785" s="36">
        <v>45922.98472222222</v>
      </c>
      <c r="D4785" s="22" t="s">
        <v>39</v>
      </c>
      <c r="E4785" s="22" t="s">
        <v>61</v>
      </c>
      <c r="F4785" s="22" t="s">
        <v>37</v>
      </c>
      <c r="G4785" s="22" t="s">
        <v>116</v>
      </c>
      <c r="H4785" s="22" t="s">
        <v>63</v>
      </c>
      <c r="I4785" s="22" t="s">
        <v>108</v>
      </c>
      <c r="J4785" s="23">
        <v>12</v>
      </c>
      <c r="K4785" s="37">
        <v>0</v>
      </c>
      <c r="M4785" s="22" t="str">
        <f>IF(OR(ISBLANK(C4785),C4785=""),"",ROUND((C4785-B4785)*24,2))</f>
        <v/>
      </c>
      <c r="N4785" s="22" t="str">
        <f>IF(OR(ISBLANK(C4785),C4785="",M4785=""),"In Progress",IF(M4785&lt;=J4785,"Met","Breached"))</f>
        <v>In Progress</v>
      </c>
    </row>
    <row r="4786" ht="19" customHeight="1" spans="1:14" x14ac:dyDescent="0.25">
      <c r="A4786" s="19" t="s">
        <v>4900</v>
      </c>
      <c r="B4786" s="33">
        <v>45853.148611111115</v>
      </c>
      <c r="C4786" s="33">
        <v>45855.78263888889</v>
      </c>
      <c r="D4786" s="19" t="s">
        <v>36</v>
      </c>
      <c r="E4786" s="19" t="s">
        <v>65</v>
      </c>
      <c r="F4786" s="19" t="s">
        <v>34</v>
      </c>
      <c r="G4786" s="19" t="s">
        <v>126</v>
      </c>
      <c r="H4786" s="19" t="s">
        <v>71</v>
      </c>
      <c r="I4786" s="19" t="s">
        <v>111</v>
      </c>
      <c r="J4786" s="20">
        <v>48</v>
      </c>
      <c r="K4786" s="34">
        <v>0</v>
      </c>
      <c r="L4786" s="34">
        <v>3</v>
      </c>
      <c r="M4786" s="19">
        <f>IF(OR(ISBLANK(C4786),C4786=""),"",ROUND((C4786-B4786)*24,2))</f>
        <v>63.22</v>
      </c>
      <c r="N4786" s="39" t="str">
        <f>IF(OR(ISBLANK(C4786),C4786="",M4786=""),"In Progress",IF(M4786&lt;=J4786,"Met","Breached"))</f>
        <v>Breached</v>
      </c>
    </row>
    <row r="4787" ht="19" customHeight="1" spans="1:14" x14ac:dyDescent="0.25">
      <c r="A4787" s="22" t="s">
        <v>4901</v>
      </c>
      <c r="B4787" s="36">
        <v>45939.47986111111</v>
      </c>
      <c r="C4787" s="36">
        <v>45939.93194444444</v>
      </c>
      <c r="D4787" s="22" t="s">
        <v>33</v>
      </c>
      <c r="E4787" s="22" t="s">
        <v>61</v>
      </c>
      <c r="F4787" s="22" t="s">
        <v>37</v>
      </c>
      <c r="G4787" s="22" t="s">
        <v>116</v>
      </c>
      <c r="H4787" s="22" t="s">
        <v>59</v>
      </c>
      <c r="I4787" s="22" t="s">
        <v>108</v>
      </c>
      <c r="J4787" s="23">
        <v>12</v>
      </c>
      <c r="K4787" s="37">
        <v>0</v>
      </c>
      <c r="L4787" s="37">
        <v>1</v>
      </c>
      <c r="M4787" s="22">
        <f>IF(OR(ISBLANK(C4787),C4787=""),"",ROUND((C4787-B4787)*24,2))</f>
        <v>10.85</v>
      </c>
      <c r="N4787" s="40" t="str">
        <f>IF(OR(ISBLANK(C4787),C4787="",M4787=""),"In Progress",IF(M4787&lt;=J4787,"Met","Breached"))</f>
        <v>Met</v>
      </c>
    </row>
    <row r="4788" ht="19" customHeight="1" spans="1:14" x14ac:dyDescent="0.25">
      <c r="A4788" s="19" t="s">
        <v>4902</v>
      </c>
      <c r="B4788" s="33">
        <v>45663.05138888889</v>
      </c>
      <c r="C4788" s="33">
        <v>45663.67847222222</v>
      </c>
      <c r="D4788" s="19" t="s">
        <v>33</v>
      </c>
      <c r="E4788" s="19" t="s">
        <v>65</v>
      </c>
      <c r="F4788" s="19" t="s">
        <v>43</v>
      </c>
      <c r="G4788" s="19" t="s">
        <v>63</v>
      </c>
      <c r="H4788" s="19" t="s">
        <v>63</v>
      </c>
      <c r="I4788" s="19" t="s">
        <v>111</v>
      </c>
      <c r="J4788" s="20">
        <v>48</v>
      </c>
      <c r="K4788" s="34">
        <v>0</v>
      </c>
      <c r="M4788" s="19">
        <f>IF(OR(ISBLANK(C4788),C4788=""),"",ROUND((C4788-B4788)*24,2))</f>
        <v>15.05</v>
      </c>
      <c r="N4788" s="35" t="str">
        <f>IF(OR(ISBLANK(C4788),C4788="",M4788=""),"In Progress",IF(M4788&lt;=J4788,"Met","Breached"))</f>
        <v>Met</v>
      </c>
    </row>
    <row r="4789" ht="19" customHeight="1" spans="1:14" x14ac:dyDescent="0.25">
      <c r="A4789" s="22" t="s">
        <v>4903</v>
      </c>
      <c r="B4789" s="36">
        <v>46138.34444444445</v>
      </c>
      <c r="C4789" s="36">
        <v>46139.08888888889</v>
      </c>
      <c r="D4789" s="22" t="s">
        <v>33</v>
      </c>
      <c r="E4789" s="22" t="s">
        <v>61</v>
      </c>
      <c r="F4789" s="22" t="s">
        <v>40</v>
      </c>
      <c r="G4789" s="22" t="s">
        <v>126</v>
      </c>
      <c r="H4789" s="22" t="s">
        <v>59</v>
      </c>
      <c r="I4789" s="22" t="s">
        <v>123</v>
      </c>
      <c r="J4789" s="23">
        <v>12</v>
      </c>
      <c r="K4789" s="37">
        <v>0</v>
      </c>
      <c r="L4789" s="37">
        <v>2</v>
      </c>
      <c r="M4789" s="22">
        <f>IF(OR(ISBLANK(C4789),C4789=""),"",ROUND((C4789-B4789)*24,2))</f>
        <v>17.87</v>
      </c>
      <c r="N4789" s="38" t="str">
        <f>IF(OR(ISBLANK(C4789),C4789="",M4789=""),"In Progress",IF(M4789&lt;=J4789,"Met","Breached"))</f>
        <v>Breached</v>
      </c>
    </row>
    <row r="4790" ht="19" customHeight="1" spans="1:14" x14ac:dyDescent="0.25">
      <c r="A4790" s="19" t="s">
        <v>4904</v>
      </c>
      <c r="B4790" s="33">
        <v>46124.05763888889</v>
      </c>
      <c r="C4790" s="33">
        <v>46124.7</v>
      </c>
      <c r="D4790" s="19" t="s">
        <v>33</v>
      </c>
      <c r="E4790" s="19" t="s">
        <v>65</v>
      </c>
      <c r="F4790" s="19" t="s">
        <v>43</v>
      </c>
      <c r="G4790" s="19" t="s">
        <v>121</v>
      </c>
      <c r="H4790" s="19" t="s">
        <v>63</v>
      </c>
      <c r="I4790" s="19" t="s">
        <v>114</v>
      </c>
      <c r="J4790" s="20">
        <v>48</v>
      </c>
      <c r="K4790" s="34">
        <v>0</v>
      </c>
      <c r="L4790" s="34">
        <v>5</v>
      </c>
      <c r="M4790" s="19">
        <f>IF(OR(ISBLANK(C4790),C4790=""),"",ROUND((C4790-B4790)*24,2))</f>
        <v>15.42</v>
      </c>
      <c r="N4790" s="35" t="str">
        <f>IF(OR(ISBLANK(C4790),C4790="",M4790=""),"In Progress",IF(M4790&lt;=J4790,"Met","Breached"))</f>
        <v>Met</v>
      </c>
    </row>
    <row r="4791" ht="19" customHeight="1" spans="1:14" x14ac:dyDescent="0.25">
      <c r="A4791" s="22" t="s">
        <v>4905</v>
      </c>
      <c r="B4791" s="36">
        <v>45696.28125</v>
      </c>
      <c r="C4791" s="36">
        <v>45699.54513888889</v>
      </c>
      <c r="D4791" s="22" t="s">
        <v>33</v>
      </c>
      <c r="E4791" s="22" t="s">
        <v>65</v>
      </c>
      <c r="F4791" s="22" t="s">
        <v>45</v>
      </c>
      <c r="G4791" s="22" t="s">
        <v>116</v>
      </c>
      <c r="H4791" s="22" t="s">
        <v>63</v>
      </c>
      <c r="I4791" s="22" t="s">
        <v>117</v>
      </c>
      <c r="J4791" s="23">
        <v>48</v>
      </c>
      <c r="K4791" s="37">
        <v>0</v>
      </c>
      <c r="L4791" s="37">
        <v>2</v>
      </c>
      <c r="M4791" s="22">
        <f>IF(OR(ISBLANK(C4791),C4791=""),"",ROUND((C4791-B4791)*24,2))</f>
        <v>78.33</v>
      </c>
      <c r="N4791" s="38" t="str">
        <f>IF(OR(ISBLANK(C4791),C4791="",M4791=""),"In Progress",IF(M4791&lt;=J4791,"Met","Breached"))</f>
        <v>Breached</v>
      </c>
    </row>
    <row r="4792" ht="19" customHeight="1" spans="1:14" x14ac:dyDescent="0.25">
      <c r="A4792" s="19" t="s">
        <v>4906</v>
      </c>
      <c r="B4792" s="33">
        <v>46129.69027777778</v>
      </c>
      <c r="C4792" s="33">
        <v>46131.7625</v>
      </c>
      <c r="D4792" s="19" t="s">
        <v>33</v>
      </c>
      <c r="E4792" s="19" t="s">
        <v>65</v>
      </c>
      <c r="F4792" s="19" t="s">
        <v>43</v>
      </c>
      <c r="G4792" s="19" t="s">
        <v>113</v>
      </c>
      <c r="H4792" s="19" t="s">
        <v>59</v>
      </c>
      <c r="I4792" s="19" t="s">
        <v>111</v>
      </c>
      <c r="J4792" s="20">
        <v>48</v>
      </c>
      <c r="K4792" s="34">
        <v>0</v>
      </c>
      <c r="L4792" s="34">
        <v>1</v>
      </c>
      <c r="M4792" s="19">
        <f>IF(OR(ISBLANK(C4792),C4792=""),"",ROUND((C4792-B4792)*24,2))</f>
        <v>49.73</v>
      </c>
      <c r="N4792" s="39" t="str">
        <f>IF(OR(ISBLANK(C4792),C4792="",M4792=""),"In Progress",IF(M4792&lt;=J4792,"Met","Breached"))</f>
        <v>Breached</v>
      </c>
    </row>
    <row r="4793" ht="19" customHeight="1" spans="1:14" x14ac:dyDescent="0.25">
      <c r="A4793" s="22" t="s">
        <v>4907</v>
      </c>
      <c r="B4793" s="36">
        <v>46155.05138888889</v>
      </c>
      <c r="C4793" s="36">
        <v>46158.22083333333</v>
      </c>
      <c r="D4793" s="22" t="s">
        <v>33</v>
      </c>
      <c r="E4793" s="22" t="s">
        <v>69</v>
      </c>
      <c r="F4793" s="22" t="s">
        <v>37</v>
      </c>
      <c r="G4793" s="22" t="s">
        <v>121</v>
      </c>
      <c r="H4793" s="22" t="s">
        <v>71</v>
      </c>
      <c r="I4793" s="22" t="s">
        <v>147</v>
      </c>
      <c r="J4793" s="23">
        <v>120</v>
      </c>
      <c r="K4793" s="37">
        <v>0</v>
      </c>
      <c r="L4793" s="37">
        <v>4</v>
      </c>
      <c r="M4793" s="22">
        <f>IF(OR(ISBLANK(C4793),C4793=""),"",ROUND((C4793-B4793)*24,2))</f>
        <v>76.07</v>
      </c>
      <c r="N4793" s="40" t="str">
        <f>IF(OR(ISBLANK(C4793),C4793="",M4793=""),"In Progress",IF(M4793&lt;=J4793,"Met","Breached"))</f>
        <v>Met</v>
      </c>
    </row>
    <row r="4794" ht="19" customHeight="1" spans="1:14" x14ac:dyDescent="0.25">
      <c r="A4794" s="19" t="s">
        <v>4908</v>
      </c>
      <c r="B4794" s="33">
        <v>46245.01388888889</v>
      </c>
      <c r="C4794" s="33">
        <v>46246.46666666667</v>
      </c>
      <c r="D4794" s="19" t="s">
        <v>36</v>
      </c>
      <c r="E4794" s="19" t="s">
        <v>65</v>
      </c>
      <c r="F4794" s="19" t="s">
        <v>37</v>
      </c>
      <c r="G4794" s="19" t="s">
        <v>121</v>
      </c>
      <c r="H4794" s="19" t="s">
        <v>63</v>
      </c>
      <c r="I4794" s="19" t="s">
        <v>114</v>
      </c>
      <c r="J4794" s="20">
        <v>48</v>
      </c>
      <c r="K4794" s="34">
        <v>0</v>
      </c>
      <c r="M4794" s="19">
        <f>IF(OR(ISBLANK(C4794),C4794=""),"",ROUND((C4794-B4794)*24,2))</f>
        <v>34.87</v>
      </c>
      <c r="N4794" s="35" t="str">
        <f>IF(OR(ISBLANK(C4794),C4794="",M4794=""),"In Progress",IF(M4794&lt;=J4794,"Met","Breached"))</f>
        <v>Met</v>
      </c>
    </row>
    <row r="4795" ht="19" customHeight="1" spans="1:14" x14ac:dyDescent="0.25">
      <c r="A4795" s="22" t="s">
        <v>4909</v>
      </c>
      <c r="B4795" s="36">
        <v>46175.45625</v>
      </c>
      <c r="D4795" s="22" t="s">
        <v>42</v>
      </c>
      <c r="E4795" s="22" t="s">
        <v>57</v>
      </c>
      <c r="F4795" s="22" t="s">
        <v>40</v>
      </c>
      <c r="G4795" s="22" t="s">
        <v>110</v>
      </c>
      <c r="H4795" s="22" t="s">
        <v>63</v>
      </c>
      <c r="I4795" s="22" t="s">
        <v>111</v>
      </c>
      <c r="J4795" s="23">
        <v>4</v>
      </c>
      <c r="K4795" s="37">
        <v>0</v>
      </c>
      <c r="M4795" s="22" t="str">
        <f>IF(OR(ISBLANK(C4795),C4795=""),"",ROUND((C4795-B4795)*24,2))</f>
        <v/>
      </c>
      <c r="N4795" s="22" t="str">
        <f>IF(OR(ISBLANK(C4795),C4795="",M4795=""),"In Progress",IF(M4795&lt;=J4795,"Met","Breached"))</f>
        <v>In Progress</v>
      </c>
    </row>
    <row r="4796" ht="19" customHeight="1" spans="1:14" x14ac:dyDescent="0.25">
      <c r="A4796" s="19" t="s">
        <v>4910</v>
      </c>
      <c r="B4796" s="33">
        <v>46265.41458333333</v>
      </c>
      <c r="C4796" s="33">
        <v>46267.29166666667</v>
      </c>
      <c r="D4796" s="19" t="s">
        <v>33</v>
      </c>
      <c r="E4796" s="19" t="s">
        <v>65</v>
      </c>
      <c r="F4796" s="19" t="s">
        <v>43</v>
      </c>
      <c r="G4796" s="19" t="s">
        <v>63</v>
      </c>
      <c r="H4796" s="19" t="s">
        <v>59</v>
      </c>
      <c r="I4796" s="19" t="s">
        <v>108</v>
      </c>
      <c r="J4796" s="20">
        <v>48</v>
      </c>
      <c r="K4796" s="34">
        <v>0</v>
      </c>
      <c r="L4796" s="34">
        <v>1</v>
      </c>
      <c r="M4796" s="19">
        <f>IF(OR(ISBLANK(C4796),C4796=""),"",ROUND((C4796-B4796)*24,2))</f>
        <v>45.05</v>
      </c>
      <c r="N4796" s="35" t="str">
        <f>IF(OR(ISBLANK(C4796),C4796="",M4796=""),"In Progress",IF(M4796&lt;=J4796,"Met","Breached"))</f>
        <v>Met</v>
      </c>
    </row>
    <row r="4797" ht="19" customHeight="1" spans="1:14" x14ac:dyDescent="0.25">
      <c r="A4797" s="22" t="s">
        <v>4911</v>
      </c>
      <c r="B4797" s="36">
        <v>46007.5875</v>
      </c>
      <c r="C4797" s="36">
        <v>46008.15069444444</v>
      </c>
      <c r="D4797" s="22" t="s">
        <v>36</v>
      </c>
      <c r="E4797" s="22" t="s">
        <v>61</v>
      </c>
      <c r="F4797" s="22" t="s">
        <v>34</v>
      </c>
      <c r="G4797" s="22" t="s">
        <v>110</v>
      </c>
      <c r="H4797" s="22" t="s">
        <v>59</v>
      </c>
      <c r="I4797" s="22" t="s">
        <v>117</v>
      </c>
      <c r="J4797" s="23">
        <v>12</v>
      </c>
      <c r="K4797" s="37">
        <v>0</v>
      </c>
      <c r="L4797" s="37">
        <v>4</v>
      </c>
      <c r="M4797" s="22">
        <f>IF(OR(ISBLANK(C4797),C4797=""),"",ROUND((C4797-B4797)*24,2))</f>
        <v>13.52</v>
      </c>
      <c r="N4797" s="38" t="str">
        <f>IF(OR(ISBLANK(C4797),C4797="",M4797=""),"In Progress",IF(M4797&lt;=J4797,"Met","Breached"))</f>
        <v>Breached</v>
      </c>
    </row>
    <row r="4798" ht="19" customHeight="1" spans="1:14" x14ac:dyDescent="0.25">
      <c r="A4798" s="19" t="s">
        <v>4912</v>
      </c>
      <c r="B4798" s="33">
        <v>45972.070138888885</v>
      </c>
      <c r="D4798" s="19" t="s">
        <v>39</v>
      </c>
      <c r="E4798" s="19" t="s">
        <v>65</v>
      </c>
      <c r="F4798" s="19" t="s">
        <v>40</v>
      </c>
      <c r="G4798" s="19" t="s">
        <v>110</v>
      </c>
      <c r="H4798" s="19" t="s">
        <v>71</v>
      </c>
      <c r="I4798" s="19" t="s">
        <v>147</v>
      </c>
      <c r="J4798" s="20">
        <v>48</v>
      </c>
      <c r="K4798" s="34">
        <v>0</v>
      </c>
      <c r="M4798" s="19" t="str">
        <f>IF(OR(ISBLANK(C4798),C4798=""),"",ROUND((C4798-B4798)*24,2))</f>
        <v/>
      </c>
      <c r="N4798" s="19" t="str">
        <f>IF(OR(ISBLANK(C4798),C4798="",M4798=""),"In Progress",IF(M4798&lt;=J4798,"Met","Breached"))</f>
        <v>In Progress</v>
      </c>
    </row>
    <row r="4799" ht="19" customHeight="1" spans="1:14" x14ac:dyDescent="0.25">
      <c r="A4799" s="22" t="s">
        <v>4913</v>
      </c>
      <c r="B4799" s="36">
        <v>46201.73333333334</v>
      </c>
      <c r="C4799" s="36">
        <v>46207.94305555556</v>
      </c>
      <c r="D4799" s="22" t="s">
        <v>33</v>
      </c>
      <c r="E4799" s="22" t="s">
        <v>69</v>
      </c>
      <c r="F4799" s="22" t="s">
        <v>40</v>
      </c>
      <c r="G4799" s="22" t="s">
        <v>110</v>
      </c>
      <c r="H4799" s="22" t="s">
        <v>59</v>
      </c>
      <c r="I4799" s="22" t="s">
        <v>147</v>
      </c>
      <c r="J4799" s="23">
        <v>120</v>
      </c>
      <c r="K4799" s="37">
        <v>0</v>
      </c>
      <c r="L4799" s="37">
        <v>3</v>
      </c>
      <c r="M4799" s="22">
        <f>IF(OR(ISBLANK(C4799),C4799=""),"",ROUND((C4799-B4799)*24,2))</f>
        <v>149.03</v>
      </c>
      <c r="N4799" s="38" t="str">
        <f>IF(OR(ISBLANK(C4799),C4799="",M4799=""),"In Progress",IF(M4799&lt;=J4799,"Met","Breached"))</f>
        <v>Breached</v>
      </c>
    </row>
    <row r="4800" ht="19" customHeight="1" spans="1:14" x14ac:dyDescent="0.25">
      <c r="A4800" s="19" t="s">
        <v>4914</v>
      </c>
      <c r="B4800" s="33">
        <v>45896.88402777778</v>
      </c>
      <c r="D4800" s="19" t="s">
        <v>39</v>
      </c>
      <c r="E4800" s="19" t="s">
        <v>65</v>
      </c>
      <c r="F4800" s="19" t="s">
        <v>37</v>
      </c>
      <c r="G4800" s="19" t="s">
        <v>126</v>
      </c>
      <c r="H4800" s="19" t="s">
        <v>59</v>
      </c>
      <c r="I4800" s="19" t="s">
        <v>123</v>
      </c>
      <c r="J4800" s="20">
        <v>48</v>
      </c>
      <c r="K4800" s="34">
        <v>0</v>
      </c>
      <c r="M4800" s="19" t="str">
        <f>IF(OR(ISBLANK(C4800),C4800=""),"",ROUND((C4800-B4800)*24,2))</f>
        <v/>
      </c>
      <c r="N4800" s="19" t="str">
        <f>IF(OR(ISBLANK(C4800),C4800="",M4800=""),"In Progress",IF(M4800&lt;=J4800,"Met","Breached"))</f>
        <v>In Progress</v>
      </c>
    </row>
    <row r="4801" ht="19" customHeight="1" spans="1:14" x14ac:dyDescent="0.25">
      <c r="A4801" s="22" t="s">
        <v>4915</v>
      </c>
      <c r="B4801" s="36">
        <v>45936.28611111111</v>
      </c>
      <c r="C4801" s="36">
        <v>45936.490277777775</v>
      </c>
      <c r="D4801" s="22" t="s">
        <v>33</v>
      </c>
      <c r="E4801" s="22" t="s">
        <v>57</v>
      </c>
      <c r="F4801" s="22" t="s">
        <v>40</v>
      </c>
      <c r="G4801" s="22" t="s">
        <v>63</v>
      </c>
      <c r="H4801" s="22" t="s">
        <v>63</v>
      </c>
      <c r="I4801" s="22" t="s">
        <v>111</v>
      </c>
      <c r="J4801" s="23">
        <v>4</v>
      </c>
      <c r="K4801" s="37">
        <v>0</v>
      </c>
      <c r="L4801" s="37">
        <v>1</v>
      </c>
      <c r="M4801" s="22">
        <f>IF(OR(ISBLANK(C4801),C4801=""),"",ROUND((C4801-B4801)*24,2))</f>
        <v>4.9</v>
      </c>
      <c r="N4801" s="38" t="str">
        <f>IF(OR(ISBLANK(C4801),C4801="",M4801=""),"In Progress",IF(M4801&lt;=J4801,"Met","Breached"))</f>
        <v>Breached</v>
      </c>
    </row>
    <row r="4802" ht="19" customHeight="1" spans="1:14" x14ac:dyDescent="0.25">
      <c r="A4802" s="19" t="s">
        <v>4916</v>
      </c>
      <c r="B4802" s="33">
        <v>45672.25208333333</v>
      </c>
      <c r="C4802" s="33">
        <v>45673.54166666667</v>
      </c>
      <c r="D4802" s="19" t="s">
        <v>33</v>
      </c>
      <c r="E4802" s="19" t="s">
        <v>65</v>
      </c>
      <c r="F4802" s="19" t="s">
        <v>43</v>
      </c>
      <c r="G4802" s="19" t="s">
        <v>121</v>
      </c>
      <c r="H4802" s="19" t="s">
        <v>59</v>
      </c>
      <c r="I4802" s="19" t="s">
        <v>111</v>
      </c>
      <c r="J4802" s="20">
        <v>48</v>
      </c>
      <c r="K4802" s="34">
        <v>0</v>
      </c>
      <c r="L4802" s="34">
        <v>2</v>
      </c>
      <c r="M4802" s="19">
        <f>IF(OR(ISBLANK(C4802),C4802=""),"",ROUND((C4802-B4802)*24,2))</f>
        <v>30.95</v>
      </c>
      <c r="N4802" s="35" t="str">
        <f>IF(OR(ISBLANK(C4802),C4802="",M4802=""),"In Progress",IF(M4802&lt;=J4802,"Met","Breached"))</f>
        <v>Met</v>
      </c>
    </row>
    <row r="4803" ht="19" customHeight="1" spans="1:14" x14ac:dyDescent="0.25">
      <c r="A4803" s="22" t="s">
        <v>4917</v>
      </c>
      <c r="B4803" s="36">
        <v>45861.96666666667</v>
      </c>
      <c r="C4803" s="36">
        <v>45867.50138888889</v>
      </c>
      <c r="D4803" s="22" t="s">
        <v>33</v>
      </c>
      <c r="E4803" s="22" t="s">
        <v>69</v>
      </c>
      <c r="F4803" s="22" t="s">
        <v>45</v>
      </c>
      <c r="G4803" s="22" t="s">
        <v>63</v>
      </c>
      <c r="H4803" s="22" t="s">
        <v>59</v>
      </c>
      <c r="I4803" s="22" t="s">
        <v>117</v>
      </c>
      <c r="J4803" s="23">
        <v>120</v>
      </c>
      <c r="K4803" s="37">
        <v>0</v>
      </c>
      <c r="L4803" s="37">
        <v>4</v>
      </c>
      <c r="M4803" s="22">
        <f>IF(OR(ISBLANK(C4803),C4803=""),"",ROUND((C4803-B4803)*24,2))</f>
        <v>132.83</v>
      </c>
      <c r="N4803" s="38" t="str">
        <f>IF(OR(ISBLANK(C4803),C4803="",M4803=""),"In Progress",IF(M4803&lt;=J4803,"Met","Breached"))</f>
        <v>Breached</v>
      </c>
    </row>
    <row r="4804" ht="19" customHeight="1" spans="1:14" x14ac:dyDescent="0.25">
      <c r="A4804" s="19" t="s">
        <v>4918</v>
      </c>
      <c r="B4804" s="33">
        <v>45954.771527777775</v>
      </c>
      <c r="C4804" s="33">
        <v>45959.899305555555</v>
      </c>
      <c r="D4804" s="19" t="s">
        <v>36</v>
      </c>
      <c r="E4804" s="19" t="s">
        <v>69</v>
      </c>
      <c r="F4804" s="19" t="s">
        <v>40</v>
      </c>
      <c r="G4804" s="19" t="s">
        <v>121</v>
      </c>
      <c r="H4804" s="19" t="s">
        <v>59</v>
      </c>
      <c r="I4804" s="19" t="s">
        <v>147</v>
      </c>
      <c r="J4804" s="20">
        <v>120</v>
      </c>
      <c r="K4804" s="34">
        <v>0</v>
      </c>
      <c r="L4804" s="34">
        <v>3</v>
      </c>
      <c r="M4804" s="19">
        <f>IF(OR(ISBLANK(C4804),C4804=""),"",ROUND((C4804-B4804)*24,2))</f>
        <v>123.07</v>
      </c>
      <c r="N4804" s="39" t="str">
        <f>IF(OR(ISBLANK(C4804),C4804="",M4804=""),"In Progress",IF(M4804&lt;=J4804,"Met","Breached"))</f>
        <v>Breached</v>
      </c>
    </row>
    <row r="4805" ht="19" customHeight="1" spans="1:14" x14ac:dyDescent="0.25">
      <c r="A4805" s="22" t="s">
        <v>4919</v>
      </c>
      <c r="B4805" s="36">
        <v>45792.115277777775</v>
      </c>
      <c r="D4805" s="22" t="s">
        <v>39</v>
      </c>
      <c r="E4805" s="22" t="s">
        <v>65</v>
      </c>
      <c r="F4805" s="22" t="s">
        <v>45</v>
      </c>
      <c r="G4805" s="22" t="s">
        <v>121</v>
      </c>
      <c r="H4805" s="22" t="s">
        <v>67</v>
      </c>
      <c r="I4805" s="22" t="s">
        <v>117</v>
      </c>
      <c r="J4805" s="23">
        <v>48</v>
      </c>
      <c r="K4805" s="37">
        <v>0</v>
      </c>
      <c r="M4805" s="22" t="str">
        <f>IF(OR(ISBLANK(C4805),C4805=""),"",ROUND((C4805-B4805)*24,2))</f>
        <v/>
      </c>
      <c r="N4805" s="22" t="str">
        <f>IF(OR(ISBLANK(C4805),C4805="",M4805=""),"In Progress",IF(M4805&lt;=J4805,"Met","Breached"))</f>
        <v>In Progress</v>
      </c>
    </row>
    <row r="4806" ht="19" customHeight="1" spans="1:14" x14ac:dyDescent="0.25">
      <c r="A4806" s="19" t="s">
        <v>4920</v>
      </c>
      <c r="B4806" s="33">
        <v>45662.01597222222</v>
      </c>
      <c r="C4806" s="33">
        <v>45663.11597222222</v>
      </c>
      <c r="D4806" s="19" t="s">
        <v>33</v>
      </c>
      <c r="E4806" s="19" t="s">
        <v>65</v>
      </c>
      <c r="F4806" s="19" t="s">
        <v>40</v>
      </c>
      <c r="G4806" s="19" t="s">
        <v>113</v>
      </c>
      <c r="H4806" s="19" t="s">
        <v>67</v>
      </c>
      <c r="I4806" s="19" t="s">
        <v>114</v>
      </c>
      <c r="J4806" s="20">
        <v>48</v>
      </c>
      <c r="K4806" s="34">
        <v>0</v>
      </c>
      <c r="M4806" s="19">
        <f>IF(OR(ISBLANK(C4806),C4806=""),"",ROUND((C4806-B4806)*24,2))</f>
        <v>26.4</v>
      </c>
      <c r="N4806" s="35" t="str">
        <f>IF(OR(ISBLANK(C4806),C4806="",M4806=""),"In Progress",IF(M4806&lt;=J4806,"Met","Breached"))</f>
        <v>Met</v>
      </c>
    </row>
    <row r="4807" ht="19" customHeight="1" spans="1:14" x14ac:dyDescent="0.25">
      <c r="A4807" s="22" t="s">
        <v>4921</v>
      </c>
      <c r="B4807" s="36">
        <v>45701.36319444445</v>
      </c>
      <c r="C4807" s="36">
        <v>45707.31805555556</v>
      </c>
      <c r="D4807" s="22" t="s">
        <v>36</v>
      </c>
      <c r="E4807" s="22" t="s">
        <v>69</v>
      </c>
      <c r="F4807" s="22" t="s">
        <v>34</v>
      </c>
      <c r="G4807" s="22" t="s">
        <v>63</v>
      </c>
      <c r="H4807" s="22" t="s">
        <v>63</v>
      </c>
      <c r="I4807" s="22" t="s">
        <v>147</v>
      </c>
      <c r="J4807" s="23">
        <v>120</v>
      </c>
      <c r="K4807" s="37">
        <v>0</v>
      </c>
      <c r="L4807" s="37">
        <v>2</v>
      </c>
      <c r="M4807" s="22">
        <f>IF(OR(ISBLANK(C4807),C4807=""),"",ROUND((C4807-B4807)*24,2))</f>
        <v>142.92</v>
      </c>
      <c r="N4807" s="38" t="str">
        <f>IF(OR(ISBLANK(C4807),C4807="",M4807=""),"In Progress",IF(M4807&lt;=J4807,"Met","Breached"))</f>
        <v>Breached</v>
      </c>
    </row>
    <row r="4808" ht="19" customHeight="1" spans="1:14" x14ac:dyDescent="0.25">
      <c r="A4808" s="19" t="s">
        <v>4922</v>
      </c>
      <c r="B4808" s="33">
        <v>45981.71666666667</v>
      </c>
      <c r="C4808" s="33">
        <v>45983.21388888889</v>
      </c>
      <c r="D4808" s="19" t="s">
        <v>36</v>
      </c>
      <c r="E4808" s="19" t="s">
        <v>65</v>
      </c>
      <c r="F4808" s="19" t="s">
        <v>34</v>
      </c>
      <c r="G4808" s="19" t="s">
        <v>126</v>
      </c>
      <c r="H4808" s="19" t="s">
        <v>63</v>
      </c>
      <c r="I4808" s="19" t="s">
        <v>111</v>
      </c>
      <c r="J4808" s="20">
        <v>48</v>
      </c>
      <c r="K4808" s="34">
        <v>0</v>
      </c>
      <c r="L4808" s="34">
        <v>3</v>
      </c>
      <c r="M4808" s="19">
        <f>IF(OR(ISBLANK(C4808),C4808=""),"",ROUND((C4808-B4808)*24,2))</f>
        <v>35.93</v>
      </c>
      <c r="N4808" s="35" t="str">
        <f>IF(OR(ISBLANK(C4808),C4808="",M4808=""),"In Progress",IF(M4808&lt;=J4808,"Met","Breached"))</f>
        <v>Met</v>
      </c>
    </row>
    <row r="4809" ht="19" customHeight="1" spans="1:14" x14ac:dyDescent="0.25">
      <c r="A4809" s="22" t="s">
        <v>4923</v>
      </c>
      <c r="B4809" s="36">
        <v>46271.5125</v>
      </c>
      <c r="C4809" s="36">
        <v>46271.85763888889</v>
      </c>
      <c r="D4809" s="22" t="s">
        <v>33</v>
      </c>
      <c r="E4809" s="22" t="s">
        <v>61</v>
      </c>
      <c r="F4809" s="22" t="s">
        <v>34</v>
      </c>
      <c r="G4809" s="22" t="s">
        <v>126</v>
      </c>
      <c r="H4809" s="22" t="s">
        <v>63</v>
      </c>
      <c r="I4809" s="22" t="s">
        <v>114</v>
      </c>
      <c r="J4809" s="23">
        <v>12</v>
      </c>
      <c r="K4809" s="37">
        <v>0</v>
      </c>
      <c r="M4809" s="22">
        <f>IF(OR(ISBLANK(C4809),C4809=""),"",ROUND((C4809-B4809)*24,2))</f>
        <v>8.28</v>
      </c>
      <c r="N4809" s="40" t="str">
        <f>IF(OR(ISBLANK(C4809),C4809="",M4809=""),"In Progress",IF(M4809&lt;=J4809,"Met","Breached"))</f>
        <v>Met</v>
      </c>
    </row>
    <row r="4810" ht="19" customHeight="1" spans="1:14" x14ac:dyDescent="0.25">
      <c r="A4810" s="19" t="s">
        <v>4924</v>
      </c>
      <c r="B4810" s="33">
        <v>46230.57847222222</v>
      </c>
      <c r="D4810" s="19" t="s">
        <v>42</v>
      </c>
      <c r="E4810" s="19" t="s">
        <v>65</v>
      </c>
      <c r="F4810" s="19" t="s">
        <v>34</v>
      </c>
      <c r="G4810" s="19" t="s">
        <v>121</v>
      </c>
      <c r="H4810" s="19" t="s">
        <v>67</v>
      </c>
      <c r="I4810" s="19" t="s">
        <v>123</v>
      </c>
      <c r="J4810" s="20">
        <v>48</v>
      </c>
      <c r="K4810" s="34">
        <v>0</v>
      </c>
      <c r="M4810" s="19" t="str">
        <f>IF(OR(ISBLANK(C4810),C4810=""),"",ROUND((C4810-B4810)*24,2))</f>
        <v/>
      </c>
      <c r="N4810" s="19" t="str">
        <f>IF(OR(ISBLANK(C4810),C4810="",M4810=""),"In Progress",IF(M4810&lt;=J4810,"Met","Breached"))</f>
        <v>In Progress</v>
      </c>
    </row>
    <row r="4811" ht="19" customHeight="1" spans="1:14" x14ac:dyDescent="0.25">
      <c r="A4811" s="22" t="s">
        <v>4925</v>
      </c>
      <c r="B4811" s="36">
        <v>45699.45</v>
      </c>
      <c r="C4811" s="36">
        <v>45700.36666666667</v>
      </c>
      <c r="D4811" s="22" t="s">
        <v>36</v>
      </c>
      <c r="E4811" s="22" t="s">
        <v>65</v>
      </c>
      <c r="F4811" s="22" t="s">
        <v>45</v>
      </c>
      <c r="G4811" s="22" t="s">
        <v>110</v>
      </c>
      <c r="H4811" s="22" t="s">
        <v>63</v>
      </c>
      <c r="I4811" s="22" t="s">
        <v>123</v>
      </c>
      <c r="J4811" s="23">
        <v>48</v>
      </c>
      <c r="K4811" s="37">
        <v>0</v>
      </c>
      <c r="M4811" s="22">
        <f>IF(OR(ISBLANK(C4811),C4811=""),"",ROUND((C4811-B4811)*24,2))</f>
        <v>22</v>
      </c>
      <c r="N4811" s="40" t="str">
        <f>IF(OR(ISBLANK(C4811),C4811="",M4811=""),"In Progress",IF(M4811&lt;=J4811,"Met","Breached"))</f>
        <v>Met</v>
      </c>
    </row>
    <row r="4812" ht="19" customHeight="1" spans="1:14" x14ac:dyDescent="0.25">
      <c r="A4812" s="19" t="s">
        <v>4926</v>
      </c>
      <c r="B4812" s="33">
        <v>45665.85486111111</v>
      </c>
      <c r="D4812" s="19" t="s">
        <v>39</v>
      </c>
      <c r="E4812" s="19" t="s">
        <v>69</v>
      </c>
      <c r="F4812" s="19" t="s">
        <v>34</v>
      </c>
      <c r="G4812" s="19" t="s">
        <v>110</v>
      </c>
      <c r="H4812" s="19" t="s">
        <v>71</v>
      </c>
      <c r="I4812" s="19" t="s">
        <v>108</v>
      </c>
      <c r="J4812" s="20">
        <v>120</v>
      </c>
      <c r="K4812" s="34">
        <v>0</v>
      </c>
      <c r="M4812" s="19" t="str">
        <f>IF(OR(ISBLANK(C4812),C4812=""),"",ROUND((C4812-B4812)*24,2))</f>
        <v/>
      </c>
      <c r="N4812" s="19" t="str">
        <f>IF(OR(ISBLANK(C4812),C4812="",M4812=""),"In Progress",IF(M4812&lt;=J4812,"Met","Breached"))</f>
        <v>In Progress</v>
      </c>
    </row>
    <row r="4813" ht="19" customHeight="1" spans="1:14" x14ac:dyDescent="0.25">
      <c r="A4813" s="22" t="s">
        <v>4927</v>
      </c>
      <c r="B4813" s="36">
        <v>46022.68611111111</v>
      </c>
      <c r="C4813" s="36">
        <v>46031.36597222222</v>
      </c>
      <c r="D4813" s="22" t="s">
        <v>33</v>
      </c>
      <c r="E4813" s="22" t="s">
        <v>69</v>
      </c>
      <c r="F4813" s="22" t="s">
        <v>40</v>
      </c>
      <c r="G4813" s="22" t="s">
        <v>121</v>
      </c>
      <c r="H4813" s="22" t="s">
        <v>63</v>
      </c>
      <c r="I4813" s="22" t="s">
        <v>147</v>
      </c>
      <c r="J4813" s="23">
        <v>120</v>
      </c>
      <c r="K4813" s="37">
        <v>0</v>
      </c>
      <c r="L4813" s="37">
        <v>1</v>
      </c>
      <c r="M4813" s="22">
        <f>IF(OR(ISBLANK(C4813),C4813=""),"",ROUND((C4813-B4813)*24,2))</f>
        <v>208.32</v>
      </c>
      <c r="N4813" s="38" t="str">
        <f>IF(OR(ISBLANK(C4813),C4813="",M4813=""),"In Progress",IF(M4813&lt;=J4813,"Met","Breached"))</f>
        <v>Breached</v>
      </c>
    </row>
    <row r="4814" ht="19" customHeight="1" spans="1:14" x14ac:dyDescent="0.25">
      <c r="A4814" s="19" t="s">
        <v>4928</v>
      </c>
      <c r="B4814" s="33">
        <v>45902.23125</v>
      </c>
      <c r="C4814" s="33">
        <v>45903.06041666667</v>
      </c>
      <c r="D4814" s="19" t="s">
        <v>36</v>
      </c>
      <c r="E4814" s="19" t="s">
        <v>65</v>
      </c>
      <c r="F4814" s="19" t="s">
        <v>45</v>
      </c>
      <c r="G4814" s="19" t="s">
        <v>121</v>
      </c>
      <c r="H4814" s="19" t="s">
        <v>59</v>
      </c>
      <c r="I4814" s="19" t="s">
        <v>108</v>
      </c>
      <c r="J4814" s="20">
        <v>48</v>
      </c>
      <c r="K4814" s="34">
        <v>1</v>
      </c>
      <c r="L4814" s="34">
        <v>5</v>
      </c>
      <c r="M4814" s="19">
        <f>IF(OR(ISBLANK(C4814),C4814=""),"",ROUND((C4814-B4814)*24,2))</f>
        <v>19.9</v>
      </c>
      <c r="N4814" s="35" t="str">
        <f>IF(OR(ISBLANK(C4814),C4814="",M4814=""),"In Progress",IF(M4814&lt;=J4814,"Met","Breached"))</f>
        <v>Met</v>
      </c>
    </row>
    <row r="4815" ht="19" customHeight="1" spans="1:14" x14ac:dyDescent="0.25">
      <c r="A4815" s="22" t="s">
        <v>4929</v>
      </c>
      <c r="B4815" s="36">
        <v>45682.19861111111</v>
      </c>
      <c r="D4815" s="22" t="s">
        <v>42</v>
      </c>
      <c r="E4815" s="22" t="s">
        <v>61</v>
      </c>
      <c r="F4815" s="22" t="s">
        <v>34</v>
      </c>
      <c r="G4815" s="22" t="s">
        <v>116</v>
      </c>
      <c r="H4815" s="22" t="s">
        <v>63</v>
      </c>
      <c r="I4815" s="22" t="s">
        <v>117</v>
      </c>
      <c r="J4815" s="23">
        <v>12</v>
      </c>
      <c r="K4815" s="37">
        <v>0</v>
      </c>
      <c r="M4815" s="22" t="str">
        <f>IF(OR(ISBLANK(C4815),C4815=""),"",ROUND((C4815-B4815)*24,2))</f>
        <v/>
      </c>
      <c r="N4815" s="22" t="str">
        <f>IF(OR(ISBLANK(C4815),C4815="",M4815=""),"In Progress",IF(M4815&lt;=J4815,"Met","Breached"))</f>
        <v>In Progress</v>
      </c>
    </row>
    <row r="4816" ht="19" customHeight="1" spans="1:14" x14ac:dyDescent="0.25">
      <c r="A4816" s="19" t="s">
        <v>4930</v>
      </c>
      <c r="B4816" s="33">
        <v>45828.07847222222</v>
      </c>
      <c r="C4816" s="33">
        <v>45832.35972222222</v>
      </c>
      <c r="D4816" s="19" t="s">
        <v>33</v>
      </c>
      <c r="E4816" s="19" t="s">
        <v>69</v>
      </c>
      <c r="F4816" s="19" t="s">
        <v>37</v>
      </c>
      <c r="G4816" s="19" t="s">
        <v>63</v>
      </c>
      <c r="H4816" s="19" t="s">
        <v>63</v>
      </c>
      <c r="I4816" s="19" t="s">
        <v>123</v>
      </c>
      <c r="J4816" s="20">
        <v>120</v>
      </c>
      <c r="K4816" s="34">
        <v>0</v>
      </c>
      <c r="M4816" s="19">
        <f>IF(OR(ISBLANK(C4816),C4816=""),"",ROUND((C4816-B4816)*24,2))</f>
        <v>102.75</v>
      </c>
      <c r="N4816" s="35" t="str">
        <f>IF(OR(ISBLANK(C4816),C4816="",M4816=""),"In Progress",IF(M4816&lt;=J4816,"Met","Breached"))</f>
        <v>Met</v>
      </c>
    </row>
    <row r="4817" ht="19" customHeight="1" spans="1:14" x14ac:dyDescent="0.25">
      <c r="A4817" s="22" t="s">
        <v>4931</v>
      </c>
      <c r="B4817" s="36">
        <v>46163.22152777778</v>
      </c>
      <c r="D4817" s="22" t="s">
        <v>39</v>
      </c>
      <c r="E4817" s="22" t="s">
        <v>61</v>
      </c>
      <c r="F4817" s="22" t="s">
        <v>43</v>
      </c>
      <c r="G4817" s="22" t="s">
        <v>116</v>
      </c>
      <c r="H4817" s="22" t="s">
        <v>59</v>
      </c>
      <c r="I4817" s="22" t="s">
        <v>111</v>
      </c>
      <c r="J4817" s="23">
        <v>12</v>
      </c>
      <c r="K4817" s="37">
        <v>0</v>
      </c>
      <c r="M4817" s="22" t="str">
        <f>IF(OR(ISBLANK(C4817),C4817=""),"",ROUND((C4817-B4817)*24,2))</f>
        <v/>
      </c>
      <c r="N4817" s="22" t="str">
        <f>IF(OR(ISBLANK(C4817),C4817="",M4817=""),"In Progress",IF(M4817&lt;=J4817,"Met","Breached"))</f>
        <v>In Progress</v>
      </c>
    </row>
    <row r="4818" ht="19" customHeight="1" spans="1:14" x14ac:dyDescent="0.25">
      <c r="A4818" s="19" t="s">
        <v>4932</v>
      </c>
      <c r="B4818" s="33">
        <v>46109.55208333333</v>
      </c>
      <c r="C4818" s="33">
        <v>46111.20416666666</v>
      </c>
      <c r="D4818" s="19" t="s">
        <v>33</v>
      </c>
      <c r="E4818" s="19" t="s">
        <v>65</v>
      </c>
      <c r="F4818" s="19" t="s">
        <v>45</v>
      </c>
      <c r="G4818" s="19" t="s">
        <v>121</v>
      </c>
      <c r="H4818" s="19" t="s">
        <v>59</v>
      </c>
      <c r="I4818" s="19" t="s">
        <v>108</v>
      </c>
      <c r="J4818" s="20">
        <v>48</v>
      </c>
      <c r="K4818" s="34">
        <v>0</v>
      </c>
      <c r="L4818" s="34">
        <v>5</v>
      </c>
      <c r="M4818" s="19">
        <f>IF(OR(ISBLANK(C4818),C4818=""),"",ROUND((C4818-B4818)*24,2))</f>
        <v>39.65</v>
      </c>
      <c r="N4818" s="35" t="str">
        <f>IF(OR(ISBLANK(C4818),C4818="",M4818=""),"In Progress",IF(M4818&lt;=J4818,"Met","Breached"))</f>
        <v>Met</v>
      </c>
    </row>
    <row r="4819" ht="19" customHeight="1" spans="1:14" x14ac:dyDescent="0.25">
      <c r="A4819" s="22" t="s">
        <v>4933</v>
      </c>
      <c r="B4819" s="36">
        <v>45764.57083333333</v>
      </c>
      <c r="C4819" s="36">
        <v>45767.75902777778</v>
      </c>
      <c r="D4819" s="22" t="s">
        <v>33</v>
      </c>
      <c r="E4819" s="22" t="s">
        <v>65</v>
      </c>
      <c r="F4819" s="22" t="s">
        <v>43</v>
      </c>
      <c r="G4819" s="22" t="s">
        <v>113</v>
      </c>
      <c r="H4819" s="22" t="s">
        <v>59</v>
      </c>
      <c r="I4819" s="22" t="s">
        <v>108</v>
      </c>
      <c r="J4819" s="23">
        <v>48</v>
      </c>
      <c r="K4819" s="37">
        <v>1</v>
      </c>
      <c r="L4819" s="37">
        <v>2</v>
      </c>
      <c r="M4819" s="22">
        <f>IF(OR(ISBLANK(C4819),C4819=""),"",ROUND((C4819-B4819)*24,2))</f>
        <v>76.52</v>
      </c>
      <c r="N4819" s="38" t="str">
        <f>IF(OR(ISBLANK(C4819),C4819="",M4819=""),"In Progress",IF(M4819&lt;=J4819,"Met","Breached"))</f>
        <v>Breached</v>
      </c>
    </row>
    <row r="4820" ht="19" customHeight="1" spans="1:14" x14ac:dyDescent="0.25">
      <c r="A4820" s="19" t="s">
        <v>4934</v>
      </c>
      <c r="B4820" s="33">
        <v>46243.40833333333</v>
      </c>
      <c r="C4820" s="33">
        <v>46244.243055555555</v>
      </c>
      <c r="D4820" s="19" t="s">
        <v>33</v>
      </c>
      <c r="E4820" s="19" t="s">
        <v>61</v>
      </c>
      <c r="F4820" s="19" t="s">
        <v>45</v>
      </c>
      <c r="G4820" s="19" t="s">
        <v>116</v>
      </c>
      <c r="H4820" s="19" t="s">
        <v>59</v>
      </c>
      <c r="I4820" s="19" t="s">
        <v>147</v>
      </c>
      <c r="J4820" s="20">
        <v>12</v>
      </c>
      <c r="K4820" s="34">
        <v>0</v>
      </c>
      <c r="L4820" s="34">
        <v>1</v>
      </c>
      <c r="M4820" s="19">
        <f>IF(OR(ISBLANK(C4820),C4820=""),"",ROUND((C4820-B4820)*24,2))</f>
        <v>20.03</v>
      </c>
      <c r="N4820" s="39" t="str">
        <f>IF(OR(ISBLANK(C4820),C4820="",M4820=""),"In Progress",IF(M4820&lt;=J4820,"Met","Breached"))</f>
        <v>Breached</v>
      </c>
    </row>
    <row r="4821" ht="19" customHeight="1" spans="1:14" x14ac:dyDescent="0.25">
      <c r="A4821" s="22" t="s">
        <v>4935</v>
      </c>
      <c r="B4821" s="36">
        <v>46160.14027777778</v>
      </c>
      <c r="C4821" s="36">
        <v>46168.34444444445</v>
      </c>
      <c r="D4821" s="22" t="s">
        <v>33</v>
      </c>
      <c r="E4821" s="22" t="s">
        <v>69</v>
      </c>
      <c r="F4821" s="22" t="s">
        <v>37</v>
      </c>
      <c r="G4821" s="22" t="s">
        <v>110</v>
      </c>
      <c r="H4821" s="22" t="s">
        <v>59</v>
      </c>
      <c r="I4821" s="22" t="s">
        <v>123</v>
      </c>
      <c r="J4821" s="23">
        <v>120</v>
      </c>
      <c r="K4821" s="37">
        <v>0</v>
      </c>
      <c r="L4821" s="37">
        <v>3</v>
      </c>
      <c r="M4821" s="22">
        <f>IF(OR(ISBLANK(C4821),C4821=""),"",ROUND((C4821-B4821)*24,2))</f>
        <v>196.9</v>
      </c>
      <c r="N4821" s="38" t="str">
        <f>IF(OR(ISBLANK(C4821),C4821="",M4821=""),"In Progress",IF(M4821&lt;=J4821,"Met","Breached"))</f>
        <v>Breached</v>
      </c>
    </row>
    <row r="4822" ht="19" customHeight="1" spans="1:14" x14ac:dyDescent="0.25">
      <c r="A4822" s="19" t="s">
        <v>4936</v>
      </c>
      <c r="B4822" s="33">
        <v>46216.74652777778</v>
      </c>
      <c r="C4822" s="33">
        <v>46220.03125</v>
      </c>
      <c r="D4822" s="19" t="s">
        <v>33</v>
      </c>
      <c r="E4822" s="19" t="s">
        <v>65</v>
      </c>
      <c r="F4822" s="19" t="s">
        <v>45</v>
      </c>
      <c r="G4822" s="19" t="s">
        <v>121</v>
      </c>
      <c r="H4822" s="19" t="s">
        <v>59</v>
      </c>
      <c r="I4822" s="19" t="s">
        <v>108</v>
      </c>
      <c r="J4822" s="20">
        <v>48</v>
      </c>
      <c r="K4822" s="34">
        <v>0</v>
      </c>
      <c r="L4822" s="34">
        <v>4</v>
      </c>
      <c r="M4822" s="19">
        <f>IF(OR(ISBLANK(C4822),C4822=""),"",ROUND((C4822-B4822)*24,2))</f>
        <v>78.83</v>
      </c>
      <c r="N4822" s="39" t="str">
        <f>IF(OR(ISBLANK(C4822),C4822="",M4822=""),"In Progress",IF(M4822&lt;=J4822,"Met","Breached"))</f>
        <v>Breached</v>
      </c>
    </row>
    <row r="4823" ht="19" customHeight="1" spans="1:14" x14ac:dyDescent="0.25">
      <c r="A4823" s="22" t="s">
        <v>4937</v>
      </c>
      <c r="B4823" s="36">
        <v>45782.66180555556</v>
      </c>
      <c r="C4823" s="36">
        <v>45783.51597222222</v>
      </c>
      <c r="D4823" s="22" t="s">
        <v>33</v>
      </c>
      <c r="E4823" s="22" t="s">
        <v>65</v>
      </c>
      <c r="F4823" s="22" t="s">
        <v>34</v>
      </c>
      <c r="G4823" s="22" t="s">
        <v>63</v>
      </c>
      <c r="H4823" s="22" t="s">
        <v>67</v>
      </c>
      <c r="I4823" s="22" t="s">
        <v>108</v>
      </c>
      <c r="J4823" s="23">
        <v>48</v>
      </c>
      <c r="K4823" s="37">
        <v>0</v>
      </c>
      <c r="L4823" s="37">
        <v>3</v>
      </c>
      <c r="M4823" s="22">
        <f>IF(OR(ISBLANK(C4823),C4823=""),"",ROUND((C4823-B4823)*24,2))</f>
        <v>20.5</v>
      </c>
      <c r="N4823" s="40" t="str">
        <f>IF(OR(ISBLANK(C4823),C4823="",M4823=""),"In Progress",IF(M4823&lt;=J4823,"Met","Breached"))</f>
        <v>Met</v>
      </c>
    </row>
    <row r="4824" ht="19" customHeight="1" spans="1:14" x14ac:dyDescent="0.25">
      <c r="A4824" s="19" t="s">
        <v>4938</v>
      </c>
      <c r="B4824" s="33">
        <v>45955.51666666666</v>
      </c>
      <c r="D4824" s="19" t="s">
        <v>39</v>
      </c>
      <c r="E4824" s="19" t="s">
        <v>65</v>
      </c>
      <c r="F4824" s="19" t="s">
        <v>40</v>
      </c>
      <c r="G4824" s="19" t="s">
        <v>110</v>
      </c>
      <c r="H4824" s="19" t="s">
        <v>67</v>
      </c>
      <c r="I4824" s="19" t="s">
        <v>123</v>
      </c>
      <c r="J4824" s="20">
        <v>48</v>
      </c>
      <c r="K4824" s="34">
        <v>0</v>
      </c>
      <c r="M4824" s="19" t="str">
        <f>IF(OR(ISBLANK(C4824),C4824=""),"",ROUND((C4824-B4824)*24,2))</f>
        <v/>
      </c>
      <c r="N4824" s="19" t="str">
        <f>IF(OR(ISBLANK(C4824),C4824="",M4824=""),"In Progress",IF(M4824&lt;=J4824,"Met","Breached"))</f>
        <v>In Progress</v>
      </c>
    </row>
    <row r="4825" ht="19" customHeight="1" spans="1:14" x14ac:dyDescent="0.25">
      <c r="A4825" s="22" t="s">
        <v>4939</v>
      </c>
      <c r="B4825" s="36">
        <v>46222.44861111111</v>
      </c>
      <c r="D4825" s="22" t="s">
        <v>39</v>
      </c>
      <c r="E4825" s="22" t="s">
        <v>65</v>
      </c>
      <c r="F4825" s="22" t="s">
        <v>34</v>
      </c>
      <c r="G4825" s="22" t="s">
        <v>116</v>
      </c>
      <c r="H4825" s="22" t="s">
        <v>67</v>
      </c>
      <c r="I4825" s="22" t="s">
        <v>111</v>
      </c>
      <c r="J4825" s="23">
        <v>48</v>
      </c>
      <c r="K4825" s="37">
        <v>0</v>
      </c>
      <c r="M4825" s="22" t="str">
        <f>IF(OR(ISBLANK(C4825),C4825=""),"",ROUND((C4825-B4825)*24,2))</f>
        <v/>
      </c>
      <c r="N4825" s="22" t="str">
        <f>IF(OR(ISBLANK(C4825),C4825="",M4825=""),"In Progress",IF(M4825&lt;=J4825,"Met","Breached"))</f>
        <v>In Progress</v>
      </c>
    </row>
    <row r="4826" ht="19" customHeight="1" spans="1:14" x14ac:dyDescent="0.25">
      <c r="A4826" s="19" t="s">
        <v>4940</v>
      </c>
      <c r="B4826" s="33">
        <v>45754.23819444445</v>
      </c>
      <c r="C4826" s="33">
        <v>45754.53333333333</v>
      </c>
      <c r="D4826" s="19" t="s">
        <v>33</v>
      </c>
      <c r="E4826" s="19" t="s">
        <v>57</v>
      </c>
      <c r="F4826" s="19" t="s">
        <v>37</v>
      </c>
      <c r="G4826" s="19" t="s">
        <v>121</v>
      </c>
      <c r="H4826" s="19" t="s">
        <v>59</v>
      </c>
      <c r="I4826" s="19" t="s">
        <v>111</v>
      </c>
      <c r="J4826" s="20">
        <v>4</v>
      </c>
      <c r="K4826" s="34">
        <v>0</v>
      </c>
      <c r="L4826" s="34">
        <v>1</v>
      </c>
      <c r="M4826" s="19">
        <f>IF(OR(ISBLANK(C4826),C4826=""),"",ROUND((C4826-B4826)*24,2))</f>
        <v>7.08</v>
      </c>
      <c r="N4826" s="39" t="str">
        <f>IF(OR(ISBLANK(C4826),C4826="",M4826=""),"In Progress",IF(M4826&lt;=J4826,"Met","Breached"))</f>
        <v>Breached</v>
      </c>
    </row>
    <row r="4827" ht="19" customHeight="1" spans="1:14" x14ac:dyDescent="0.25">
      <c r="A4827" s="22" t="s">
        <v>4941</v>
      </c>
      <c r="B4827" s="36">
        <v>45810.705555555556</v>
      </c>
      <c r="C4827" s="36">
        <v>45813.96875</v>
      </c>
      <c r="D4827" s="22" t="s">
        <v>33</v>
      </c>
      <c r="E4827" s="22" t="s">
        <v>69</v>
      </c>
      <c r="F4827" s="22" t="s">
        <v>43</v>
      </c>
      <c r="G4827" s="22" t="s">
        <v>121</v>
      </c>
      <c r="H4827" s="22" t="s">
        <v>63</v>
      </c>
      <c r="I4827" s="22" t="s">
        <v>114</v>
      </c>
      <c r="J4827" s="23">
        <v>120</v>
      </c>
      <c r="K4827" s="37">
        <v>0</v>
      </c>
      <c r="L4827" s="37">
        <v>3</v>
      </c>
      <c r="M4827" s="22">
        <f>IF(OR(ISBLANK(C4827),C4827=""),"",ROUND((C4827-B4827)*24,2))</f>
        <v>78.32</v>
      </c>
      <c r="N4827" s="40" t="str">
        <f>IF(OR(ISBLANK(C4827),C4827="",M4827=""),"In Progress",IF(M4827&lt;=J4827,"Met","Breached"))</f>
        <v>Met</v>
      </c>
    </row>
    <row r="4828" ht="19" customHeight="1" spans="1:14" x14ac:dyDescent="0.25">
      <c r="A4828" s="19" t="s">
        <v>4942</v>
      </c>
      <c r="B4828" s="33">
        <v>45712.66180555556</v>
      </c>
      <c r="C4828" s="33">
        <v>45715.58263888889</v>
      </c>
      <c r="D4828" s="19" t="s">
        <v>36</v>
      </c>
      <c r="E4828" s="19" t="s">
        <v>65</v>
      </c>
      <c r="F4828" s="19" t="s">
        <v>45</v>
      </c>
      <c r="G4828" s="19" t="s">
        <v>121</v>
      </c>
      <c r="H4828" s="19" t="s">
        <v>63</v>
      </c>
      <c r="I4828" s="19" t="s">
        <v>147</v>
      </c>
      <c r="J4828" s="20">
        <v>48</v>
      </c>
      <c r="K4828" s="34">
        <v>1</v>
      </c>
      <c r="L4828" s="34">
        <v>5</v>
      </c>
      <c r="M4828" s="19">
        <f>IF(OR(ISBLANK(C4828),C4828=""),"",ROUND((C4828-B4828)*24,2))</f>
        <v>70.1</v>
      </c>
      <c r="N4828" s="39" t="str">
        <f>IF(OR(ISBLANK(C4828),C4828="",M4828=""),"In Progress",IF(M4828&lt;=J4828,"Met","Breached"))</f>
        <v>Breached</v>
      </c>
    </row>
    <row r="4829" ht="19" customHeight="1" spans="1:14" x14ac:dyDescent="0.25">
      <c r="A4829" s="22" t="s">
        <v>4943</v>
      </c>
      <c r="B4829" s="36">
        <v>46035.22777777778</v>
      </c>
      <c r="D4829" s="22" t="s">
        <v>42</v>
      </c>
      <c r="E4829" s="22" t="s">
        <v>69</v>
      </c>
      <c r="F4829" s="22" t="s">
        <v>45</v>
      </c>
      <c r="G4829" s="22" t="s">
        <v>121</v>
      </c>
      <c r="H4829" s="22" t="s">
        <v>63</v>
      </c>
      <c r="I4829" s="22" t="s">
        <v>123</v>
      </c>
      <c r="J4829" s="23">
        <v>120</v>
      </c>
      <c r="K4829" s="37">
        <v>0</v>
      </c>
      <c r="M4829" s="22" t="str">
        <f>IF(OR(ISBLANK(C4829),C4829=""),"",ROUND((C4829-B4829)*24,2))</f>
        <v/>
      </c>
      <c r="N4829" s="22" t="str">
        <f>IF(OR(ISBLANK(C4829),C4829="",M4829=""),"In Progress",IF(M4829&lt;=J4829,"Met","Breached"))</f>
        <v>In Progress</v>
      </c>
    </row>
    <row r="4830" ht="19" customHeight="1" spans="1:14" x14ac:dyDescent="0.25">
      <c r="A4830" s="19" t="s">
        <v>4944</v>
      </c>
      <c r="B4830" s="33">
        <v>46106.36597222222</v>
      </c>
      <c r="C4830" s="33">
        <v>46107.13541666667</v>
      </c>
      <c r="D4830" s="19" t="s">
        <v>36</v>
      </c>
      <c r="E4830" s="19" t="s">
        <v>61</v>
      </c>
      <c r="F4830" s="19" t="s">
        <v>37</v>
      </c>
      <c r="G4830" s="19" t="s">
        <v>126</v>
      </c>
      <c r="H4830" s="19" t="s">
        <v>67</v>
      </c>
      <c r="I4830" s="19" t="s">
        <v>147</v>
      </c>
      <c r="J4830" s="20">
        <v>12</v>
      </c>
      <c r="K4830" s="34">
        <v>0</v>
      </c>
      <c r="M4830" s="19">
        <f>IF(OR(ISBLANK(C4830),C4830=""),"",ROUND((C4830-B4830)*24,2))</f>
        <v>18.47</v>
      </c>
      <c r="N4830" s="39" t="str">
        <f>IF(OR(ISBLANK(C4830),C4830="",M4830=""),"In Progress",IF(M4830&lt;=J4830,"Met","Breached"))</f>
        <v>Breached</v>
      </c>
    </row>
    <row r="4831" ht="19" customHeight="1" spans="1:14" x14ac:dyDescent="0.25">
      <c r="A4831" s="22" t="s">
        <v>4945</v>
      </c>
      <c r="B4831" s="36">
        <v>46114.75208333333</v>
      </c>
      <c r="C4831" s="36">
        <v>46117.52638888889</v>
      </c>
      <c r="D4831" s="22" t="s">
        <v>33</v>
      </c>
      <c r="E4831" s="22" t="s">
        <v>65</v>
      </c>
      <c r="F4831" s="22" t="s">
        <v>34</v>
      </c>
      <c r="G4831" s="22" t="s">
        <v>110</v>
      </c>
      <c r="H4831" s="22" t="s">
        <v>63</v>
      </c>
      <c r="I4831" s="22" t="s">
        <v>123</v>
      </c>
      <c r="J4831" s="23">
        <v>48</v>
      </c>
      <c r="K4831" s="37">
        <v>0</v>
      </c>
      <c r="M4831" s="22">
        <f>IF(OR(ISBLANK(C4831),C4831=""),"",ROUND((C4831-B4831)*24,2))</f>
        <v>66.58</v>
      </c>
      <c r="N4831" s="38" t="str">
        <f>IF(OR(ISBLANK(C4831),C4831="",M4831=""),"In Progress",IF(M4831&lt;=J4831,"Met","Breached"))</f>
        <v>Breached</v>
      </c>
    </row>
    <row r="4832" ht="19" customHeight="1" spans="1:14" x14ac:dyDescent="0.25">
      <c r="A4832" s="19" t="s">
        <v>4946</v>
      </c>
      <c r="B4832" s="33">
        <v>46170.209027777775</v>
      </c>
      <c r="D4832" s="19" t="s">
        <v>39</v>
      </c>
      <c r="E4832" s="19" t="s">
        <v>61</v>
      </c>
      <c r="F4832" s="19" t="s">
        <v>40</v>
      </c>
      <c r="G4832" s="19" t="s">
        <v>110</v>
      </c>
      <c r="H4832" s="19" t="s">
        <v>63</v>
      </c>
      <c r="I4832" s="19" t="s">
        <v>114</v>
      </c>
      <c r="J4832" s="20">
        <v>12</v>
      </c>
      <c r="K4832" s="34">
        <v>0</v>
      </c>
      <c r="M4832" s="19" t="str">
        <f>IF(OR(ISBLANK(C4832),C4832=""),"",ROUND((C4832-B4832)*24,2))</f>
        <v/>
      </c>
      <c r="N4832" s="19" t="str">
        <f>IF(OR(ISBLANK(C4832),C4832="",M4832=""),"In Progress",IF(M4832&lt;=J4832,"Met","Breached"))</f>
        <v>In Progress</v>
      </c>
    </row>
    <row r="4833" ht="19" customHeight="1" spans="1:14" x14ac:dyDescent="0.25">
      <c r="A4833" s="22" t="s">
        <v>4947</v>
      </c>
      <c r="B4833" s="36">
        <v>45738.61666666667</v>
      </c>
      <c r="C4833" s="36">
        <v>45742.08888888889</v>
      </c>
      <c r="D4833" s="22" t="s">
        <v>33</v>
      </c>
      <c r="E4833" s="22" t="s">
        <v>65</v>
      </c>
      <c r="F4833" s="22" t="s">
        <v>37</v>
      </c>
      <c r="G4833" s="22" t="s">
        <v>116</v>
      </c>
      <c r="H4833" s="22" t="s">
        <v>59</v>
      </c>
      <c r="I4833" s="22" t="s">
        <v>111</v>
      </c>
      <c r="J4833" s="23">
        <v>48</v>
      </c>
      <c r="K4833" s="37">
        <v>0</v>
      </c>
      <c r="M4833" s="22">
        <f>IF(OR(ISBLANK(C4833),C4833=""),"",ROUND((C4833-B4833)*24,2))</f>
        <v>83.33</v>
      </c>
      <c r="N4833" s="38" t="str">
        <f>IF(OR(ISBLANK(C4833),C4833="",M4833=""),"In Progress",IF(M4833&lt;=J4833,"Met","Breached"))</f>
        <v>Breached</v>
      </c>
    </row>
    <row r="4834" ht="19" customHeight="1" spans="1:14" x14ac:dyDescent="0.25">
      <c r="A4834" s="19" t="s">
        <v>4948</v>
      </c>
      <c r="B4834" s="33">
        <v>45830.19652777778</v>
      </c>
      <c r="C4834" s="33">
        <v>45831.853472222225</v>
      </c>
      <c r="D4834" s="19" t="s">
        <v>36</v>
      </c>
      <c r="E4834" s="19" t="s">
        <v>65</v>
      </c>
      <c r="F4834" s="19" t="s">
        <v>40</v>
      </c>
      <c r="G4834" s="19" t="s">
        <v>116</v>
      </c>
      <c r="H4834" s="19" t="s">
        <v>63</v>
      </c>
      <c r="I4834" s="19" t="s">
        <v>108</v>
      </c>
      <c r="J4834" s="20">
        <v>48</v>
      </c>
      <c r="K4834" s="34">
        <v>0</v>
      </c>
      <c r="L4834" s="34">
        <v>2</v>
      </c>
      <c r="M4834" s="19">
        <f>IF(OR(ISBLANK(C4834),C4834=""),"",ROUND((C4834-B4834)*24,2))</f>
        <v>39.77</v>
      </c>
      <c r="N4834" s="35" t="str">
        <f>IF(OR(ISBLANK(C4834),C4834="",M4834=""),"In Progress",IF(M4834&lt;=J4834,"Met","Breached"))</f>
        <v>Met</v>
      </c>
    </row>
    <row r="4835" ht="19" customHeight="1" spans="1:14" x14ac:dyDescent="0.25">
      <c r="A4835" s="22" t="s">
        <v>4949</v>
      </c>
      <c r="B4835" s="36">
        <v>46196.2625</v>
      </c>
      <c r="C4835" s="36">
        <v>46196.5125</v>
      </c>
      <c r="D4835" s="22" t="s">
        <v>33</v>
      </c>
      <c r="E4835" s="22" t="s">
        <v>61</v>
      </c>
      <c r="F4835" s="22" t="s">
        <v>37</v>
      </c>
      <c r="G4835" s="22" t="s">
        <v>113</v>
      </c>
      <c r="H4835" s="22" t="s">
        <v>63</v>
      </c>
      <c r="I4835" s="22" t="s">
        <v>117</v>
      </c>
      <c r="J4835" s="23">
        <v>12</v>
      </c>
      <c r="K4835" s="37">
        <v>0</v>
      </c>
      <c r="L4835" s="37">
        <v>2</v>
      </c>
      <c r="M4835" s="22">
        <f>IF(OR(ISBLANK(C4835),C4835=""),"",ROUND((C4835-B4835)*24,2))</f>
        <v>6</v>
      </c>
      <c r="N4835" s="40" t="str">
        <f>IF(OR(ISBLANK(C4835),C4835="",M4835=""),"In Progress",IF(M4835&lt;=J4835,"Met","Breached"))</f>
        <v>Met</v>
      </c>
    </row>
    <row r="4836" ht="19" customHeight="1" spans="1:14" x14ac:dyDescent="0.25">
      <c r="A4836" s="19" t="s">
        <v>4950</v>
      </c>
      <c r="B4836" s="33">
        <v>45811.86597222222</v>
      </c>
      <c r="C4836" s="33">
        <v>45811.924305555556</v>
      </c>
      <c r="D4836" s="19" t="s">
        <v>36</v>
      </c>
      <c r="E4836" s="19" t="s">
        <v>57</v>
      </c>
      <c r="F4836" s="19" t="s">
        <v>40</v>
      </c>
      <c r="G4836" s="19" t="s">
        <v>126</v>
      </c>
      <c r="H4836" s="19" t="s">
        <v>59</v>
      </c>
      <c r="I4836" s="19" t="s">
        <v>114</v>
      </c>
      <c r="J4836" s="20">
        <v>4</v>
      </c>
      <c r="K4836" s="34">
        <v>0</v>
      </c>
      <c r="M4836" s="19">
        <f>IF(OR(ISBLANK(C4836),C4836=""),"",ROUND((C4836-B4836)*24,2))</f>
        <v>1.4</v>
      </c>
      <c r="N4836" s="35" t="str">
        <f>IF(OR(ISBLANK(C4836),C4836="",M4836=""),"In Progress",IF(M4836&lt;=J4836,"Met","Breached"))</f>
        <v>Met</v>
      </c>
    </row>
    <row r="4837" ht="19" customHeight="1" spans="1:14" x14ac:dyDescent="0.25">
      <c r="A4837" s="22" t="s">
        <v>4951</v>
      </c>
      <c r="B4837" s="36">
        <v>45925.33819444444</v>
      </c>
      <c r="C4837" s="36">
        <v>45927.34861111111</v>
      </c>
      <c r="D4837" s="22" t="s">
        <v>33</v>
      </c>
      <c r="E4837" s="22" t="s">
        <v>65</v>
      </c>
      <c r="F4837" s="22" t="s">
        <v>34</v>
      </c>
      <c r="G4837" s="22" t="s">
        <v>126</v>
      </c>
      <c r="H4837" s="22" t="s">
        <v>59</v>
      </c>
      <c r="I4837" s="22" t="s">
        <v>123</v>
      </c>
      <c r="J4837" s="23">
        <v>48</v>
      </c>
      <c r="K4837" s="37">
        <v>0</v>
      </c>
      <c r="L4837" s="37">
        <v>1</v>
      </c>
      <c r="M4837" s="22">
        <f>IF(OR(ISBLANK(C4837),C4837=""),"",ROUND((C4837-B4837)*24,2))</f>
        <v>48.25</v>
      </c>
      <c r="N4837" s="38" t="str">
        <f>IF(OR(ISBLANK(C4837),C4837="",M4837=""),"In Progress",IF(M4837&lt;=J4837,"Met","Breached"))</f>
        <v>Breached</v>
      </c>
    </row>
    <row r="4838" ht="19" customHeight="1" spans="1:14" x14ac:dyDescent="0.25">
      <c r="A4838" s="19" t="s">
        <v>4952</v>
      </c>
      <c r="B4838" s="33">
        <v>46058.79652777778</v>
      </c>
      <c r="C4838" s="33">
        <v>46058.94652777778</v>
      </c>
      <c r="D4838" s="19" t="s">
        <v>33</v>
      </c>
      <c r="E4838" s="19" t="s">
        <v>61</v>
      </c>
      <c r="F4838" s="19" t="s">
        <v>40</v>
      </c>
      <c r="G4838" s="19" t="s">
        <v>63</v>
      </c>
      <c r="H4838" s="19" t="s">
        <v>63</v>
      </c>
      <c r="I4838" s="19" t="s">
        <v>117</v>
      </c>
      <c r="J4838" s="20">
        <v>12</v>
      </c>
      <c r="K4838" s="34">
        <v>1</v>
      </c>
      <c r="L4838" s="34">
        <v>3</v>
      </c>
      <c r="M4838" s="19">
        <f>IF(OR(ISBLANK(C4838),C4838=""),"",ROUND((C4838-B4838)*24,2))</f>
        <v>3.6</v>
      </c>
      <c r="N4838" s="35" t="str">
        <f>IF(OR(ISBLANK(C4838),C4838="",M4838=""),"In Progress",IF(M4838&lt;=J4838,"Met","Breached"))</f>
        <v>Met</v>
      </c>
    </row>
    <row r="4839" ht="19" customHeight="1" spans="1:14" x14ac:dyDescent="0.25">
      <c r="A4839" s="22" t="s">
        <v>4953</v>
      </c>
      <c r="B4839" s="36">
        <v>46172.04236111111</v>
      </c>
      <c r="D4839" s="22" t="s">
        <v>39</v>
      </c>
      <c r="E4839" s="22" t="s">
        <v>65</v>
      </c>
      <c r="F4839" s="22" t="s">
        <v>43</v>
      </c>
      <c r="G4839" s="22" t="s">
        <v>121</v>
      </c>
      <c r="H4839" s="22" t="s">
        <v>71</v>
      </c>
      <c r="I4839" s="22" t="s">
        <v>114</v>
      </c>
      <c r="J4839" s="23">
        <v>48</v>
      </c>
      <c r="K4839" s="37">
        <v>0</v>
      </c>
      <c r="M4839" s="22" t="str">
        <f>IF(OR(ISBLANK(C4839),C4839=""),"",ROUND((C4839-B4839)*24,2))</f>
        <v/>
      </c>
      <c r="N4839" s="22" t="str">
        <f>IF(OR(ISBLANK(C4839),C4839="",M4839=""),"In Progress",IF(M4839&lt;=J4839,"Met","Breached"))</f>
        <v>In Progress</v>
      </c>
    </row>
    <row r="4840" ht="19" customHeight="1" spans="1:14" x14ac:dyDescent="0.25">
      <c r="A4840" s="19" t="s">
        <v>4954</v>
      </c>
      <c r="B4840" s="33">
        <v>46259.23611111111</v>
      </c>
      <c r="D4840" s="19" t="s">
        <v>39</v>
      </c>
      <c r="E4840" s="19" t="s">
        <v>61</v>
      </c>
      <c r="F4840" s="19" t="s">
        <v>40</v>
      </c>
      <c r="G4840" s="19" t="s">
        <v>113</v>
      </c>
      <c r="H4840" s="19" t="s">
        <v>59</v>
      </c>
      <c r="I4840" s="19" t="s">
        <v>108</v>
      </c>
      <c r="J4840" s="20">
        <v>12</v>
      </c>
      <c r="K4840" s="34">
        <v>0</v>
      </c>
      <c r="M4840" s="19" t="str">
        <f>IF(OR(ISBLANK(C4840),C4840=""),"",ROUND((C4840-B4840)*24,2))</f>
        <v/>
      </c>
      <c r="N4840" s="19" t="str">
        <f>IF(OR(ISBLANK(C4840),C4840="",M4840=""),"In Progress",IF(M4840&lt;=J4840,"Met","Breached"))</f>
        <v>In Progress</v>
      </c>
    </row>
    <row r="4841" ht="19" customHeight="1" spans="1:14" x14ac:dyDescent="0.25">
      <c r="A4841" s="22" t="s">
        <v>4955</v>
      </c>
      <c r="B4841" s="36">
        <v>46157.197222222225</v>
      </c>
      <c r="D4841" s="22" t="s">
        <v>39</v>
      </c>
      <c r="E4841" s="22" t="s">
        <v>57</v>
      </c>
      <c r="F4841" s="22" t="s">
        <v>43</v>
      </c>
      <c r="G4841" s="22" t="s">
        <v>113</v>
      </c>
      <c r="H4841" s="22" t="s">
        <v>59</v>
      </c>
      <c r="I4841" s="22" t="s">
        <v>123</v>
      </c>
      <c r="J4841" s="23">
        <v>4</v>
      </c>
      <c r="K4841" s="37">
        <v>0</v>
      </c>
      <c r="M4841" s="22" t="str">
        <f>IF(OR(ISBLANK(C4841),C4841=""),"",ROUND((C4841-B4841)*24,2))</f>
        <v/>
      </c>
      <c r="N4841" s="22" t="str">
        <f>IF(OR(ISBLANK(C4841),C4841="",M4841=""),"In Progress",IF(M4841&lt;=J4841,"Met","Breached"))</f>
        <v>In Progress</v>
      </c>
    </row>
    <row r="4842" ht="19" customHeight="1" spans="1:14" x14ac:dyDescent="0.25">
      <c r="A4842" s="19" t="s">
        <v>4956</v>
      </c>
      <c r="B4842" s="33">
        <v>45754.61111111111</v>
      </c>
      <c r="D4842" s="19" t="s">
        <v>39</v>
      </c>
      <c r="E4842" s="19" t="s">
        <v>65</v>
      </c>
      <c r="F4842" s="19" t="s">
        <v>34</v>
      </c>
      <c r="G4842" s="19" t="s">
        <v>113</v>
      </c>
      <c r="H4842" s="19" t="s">
        <v>59</v>
      </c>
      <c r="I4842" s="19" t="s">
        <v>147</v>
      </c>
      <c r="J4842" s="20">
        <v>48</v>
      </c>
      <c r="K4842" s="34">
        <v>0</v>
      </c>
      <c r="M4842" s="19" t="str">
        <f>IF(OR(ISBLANK(C4842),C4842=""),"",ROUND((C4842-B4842)*24,2))</f>
        <v/>
      </c>
      <c r="N4842" s="19" t="str">
        <f>IF(OR(ISBLANK(C4842),C4842="",M4842=""),"In Progress",IF(M4842&lt;=J4842,"Met","Breached"))</f>
        <v>In Progress</v>
      </c>
    </row>
    <row r="4843" ht="19" customHeight="1" spans="1:14" x14ac:dyDescent="0.25">
      <c r="A4843" s="22" t="s">
        <v>4957</v>
      </c>
      <c r="B4843" s="36">
        <v>45933.51041666667</v>
      </c>
      <c r="D4843" s="22" t="s">
        <v>39</v>
      </c>
      <c r="E4843" s="22" t="s">
        <v>69</v>
      </c>
      <c r="F4843" s="22" t="s">
        <v>43</v>
      </c>
      <c r="G4843" s="22" t="s">
        <v>121</v>
      </c>
      <c r="H4843" s="22" t="s">
        <v>59</v>
      </c>
      <c r="I4843" s="22" t="s">
        <v>111</v>
      </c>
      <c r="J4843" s="23">
        <v>120</v>
      </c>
      <c r="K4843" s="37">
        <v>0</v>
      </c>
      <c r="M4843" s="22" t="str">
        <f>IF(OR(ISBLANK(C4843),C4843=""),"",ROUND((C4843-B4843)*24,2))</f>
        <v/>
      </c>
      <c r="N4843" s="22" t="str">
        <f>IF(OR(ISBLANK(C4843),C4843="",M4843=""),"In Progress",IF(M4843&lt;=J4843,"Met","Breached"))</f>
        <v>In Progress</v>
      </c>
    </row>
    <row r="4844" ht="19" customHeight="1" spans="1:14" x14ac:dyDescent="0.25">
      <c r="A4844" s="19" t="s">
        <v>4958</v>
      </c>
      <c r="B4844" s="33">
        <v>45673.924305555556</v>
      </c>
      <c r="C4844" s="33">
        <v>45676.254166666666</v>
      </c>
      <c r="D4844" s="19" t="s">
        <v>33</v>
      </c>
      <c r="E4844" s="19" t="s">
        <v>65</v>
      </c>
      <c r="F4844" s="19" t="s">
        <v>40</v>
      </c>
      <c r="G4844" s="19" t="s">
        <v>110</v>
      </c>
      <c r="H4844" s="19" t="s">
        <v>59</v>
      </c>
      <c r="I4844" s="19" t="s">
        <v>114</v>
      </c>
      <c r="J4844" s="20">
        <v>48</v>
      </c>
      <c r="K4844" s="34">
        <v>0</v>
      </c>
      <c r="L4844" s="34">
        <v>3</v>
      </c>
      <c r="M4844" s="19">
        <f>IF(OR(ISBLANK(C4844),C4844=""),"",ROUND((C4844-B4844)*24,2))</f>
        <v>55.92</v>
      </c>
      <c r="N4844" s="39" t="str">
        <f>IF(OR(ISBLANK(C4844),C4844="",M4844=""),"In Progress",IF(M4844&lt;=J4844,"Met","Breached"))</f>
        <v>Breached</v>
      </c>
    </row>
    <row r="4845" ht="19" customHeight="1" spans="1:14" x14ac:dyDescent="0.25">
      <c r="A4845" s="22" t="s">
        <v>4959</v>
      </c>
      <c r="B4845" s="36">
        <v>45708.70833333333</v>
      </c>
      <c r="C4845" s="36">
        <v>45710.59166666667</v>
      </c>
      <c r="D4845" s="22" t="s">
        <v>33</v>
      </c>
      <c r="E4845" s="22" t="s">
        <v>65</v>
      </c>
      <c r="F4845" s="22" t="s">
        <v>34</v>
      </c>
      <c r="G4845" s="22" t="s">
        <v>113</v>
      </c>
      <c r="H4845" s="22" t="s">
        <v>63</v>
      </c>
      <c r="I4845" s="22" t="s">
        <v>147</v>
      </c>
      <c r="J4845" s="23">
        <v>48</v>
      </c>
      <c r="K4845" s="37">
        <v>0</v>
      </c>
      <c r="L4845" s="37">
        <v>4</v>
      </c>
      <c r="M4845" s="22">
        <f>IF(OR(ISBLANK(C4845),C4845=""),"",ROUND((C4845-B4845)*24,2))</f>
        <v>45.2</v>
      </c>
      <c r="N4845" s="40" t="str">
        <f>IF(OR(ISBLANK(C4845),C4845="",M4845=""),"In Progress",IF(M4845&lt;=J4845,"Met","Breached"))</f>
        <v>Met</v>
      </c>
    </row>
    <row r="4846" ht="19" customHeight="1" spans="1:14" x14ac:dyDescent="0.25">
      <c r="A4846" s="19" t="s">
        <v>4960</v>
      </c>
      <c r="B4846" s="33">
        <v>46077.8875</v>
      </c>
      <c r="C4846" s="33">
        <v>46086.29166666667</v>
      </c>
      <c r="D4846" s="19" t="s">
        <v>33</v>
      </c>
      <c r="E4846" s="19" t="s">
        <v>69</v>
      </c>
      <c r="F4846" s="19" t="s">
        <v>34</v>
      </c>
      <c r="G4846" s="19" t="s">
        <v>113</v>
      </c>
      <c r="H4846" s="19" t="s">
        <v>59</v>
      </c>
      <c r="I4846" s="19" t="s">
        <v>117</v>
      </c>
      <c r="J4846" s="20">
        <v>120</v>
      </c>
      <c r="K4846" s="34">
        <v>1</v>
      </c>
      <c r="L4846" s="34">
        <v>1</v>
      </c>
      <c r="M4846" s="19">
        <f>IF(OR(ISBLANK(C4846),C4846=""),"",ROUND((C4846-B4846)*24,2))</f>
        <v>201.7</v>
      </c>
      <c r="N4846" s="39" t="str">
        <f>IF(OR(ISBLANK(C4846),C4846="",M4846=""),"In Progress",IF(M4846&lt;=J4846,"Met","Breached"))</f>
        <v>Breached</v>
      </c>
    </row>
    <row r="4847" ht="19" customHeight="1" spans="1:14" x14ac:dyDescent="0.25">
      <c r="A4847" s="22" t="s">
        <v>4961</v>
      </c>
      <c r="B4847" s="36">
        <v>45710.76666666666</v>
      </c>
      <c r="D4847" s="22" t="s">
        <v>42</v>
      </c>
      <c r="E4847" s="22" t="s">
        <v>65</v>
      </c>
      <c r="F4847" s="22" t="s">
        <v>40</v>
      </c>
      <c r="G4847" s="22" t="s">
        <v>63</v>
      </c>
      <c r="H4847" s="22" t="s">
        <v>59</v>
      </c>
      <c r="I4847" s="22" t="s">
        <v>114</v>
      </c>
      <c r="J4847" s="23">
        <v>48</v>
      </c>
      <c r="K4847" s="37">
        <v>0</v>
      </c>
      <c r="M4847" s="22" t="str">
        <f>IF(OR(ISBLANK(C4847),C4847=""),"",ROUND((C4847-B4847)*24,2))</f>
        <v/>
      </c>
      <c r="N4847" s="22" t="str">
        <f>IF(OR(ISBLANK(C4847),C4847="",M4847=""),"In Progress",IF(M4847&lt;=J4847,"Met","Breached"))</f>
        <v>In Progress</v>
      </c>
    </row>
    <row r="4848" ht="19" customHeight="1" spans="1:14" x14ac:dyDescent="0.25">
      <c r="A4848" s="19" t="s">
        <v>4962</v>
      </c>
      <c r="B4848" s="33">
        <v>46070.82847222222</v>
      </c>
      <c r="C4848" s="33">
        <v>46071.17847222222</v>
      </c>
      <c r="D4848" s="19" t="s">
        <v>33</v>
      </c>
      <c r="E4848" s="19" t="s">
        <v>61</v>
      </c>
      <c r="F4848" s="19" t="s">
        <v>45</v>
      </c>
      <c r="G4848" s="19" t="s">
        <v>126</v>
      </c>
      <c r="H4848" s="19" t="s">
        <v>63</v>
      </c>
      <c r="I4848" s="19" t="s">
        <v>147</v>
      </c>
      <c r="J4848" s="20">
        <v>12</v>
      </c>
      <c r="K4848" s="34">
        <v>0</v>
      </c>
      <c r="L4848" s="34">
        <v>4</v>
      </c>
      <c r="M4848" s="19">
        <f>IF(OR(ISBLANK(C4848),C4848=""),"",ROUND((C4848-B4848)*24,2))</f>
        <v>8.4</v>
      </c>
      <c r="N4848" s="35" t="str">
        <f>IF(OR(ISBLANK(C4848),C4848="",M4848=""),"In Progress",IF(M4848&lt;=J4848,"Met","Breached"))</f>
        <v>Met</v>
      </c>
    </row>
    <row r="4849" ht="19" customHeight="1" spans="1:14" x14ac:dyDescent="0.25">
      <c r="A4849" s="22" t="s">
        <v>4963</v>
      </c>
      <c r="B4849" s="36">
        <v>45742.97708333333</v>
      </c>
      <c r="D4849" s="22" t="s">
        <v>42</v>
      </c>
      <c r="E4849" s="22" t="s">
        <v>69</v>
      </c>
      <c r="F4849" s="22" t="s">
        <v>40</v>
      </c>
      <c r="G4849" s="22" t="s">
        <v>110</v>
      </c>
      <c r="H4849" s="22" t="s">
        <v>71</v>
      </c>
      <c r="I4849" s="22" t="s">
        <v>111</v>
      </c>
      <c r="J4849" s="23">
        <v>120</v>
      </c>
      <c r="K4849" s="37">
        <v>0</v>
      </c>
      <c r="M4849" s="22" t="str">
        <f>IF(OR(ISBLANK(C4849),C4849=""),"",ROUND((C4849-B4849)*24,2))</f>
        <v/>
      </c>
      <c r="N4849" s="22" t="str">
        <f>IF(OR(ISBLANK(C4849),C4849="",M4849=""),"In Progress",IF(M4849&lt;=J4849,"Met","Breached"))</f>
        <v>In Progress</v>
      </c>
    </row>
    <row r="4850" ht="19" customHeight="1" spans="1:14" x14ac:dyDescent="0.25">
      <c r="A4850" s="19" t="s">
        <v>4964</v>
      </c>
      <c r="B4850" s="33">
        <v>45796.90972222222</v>
      </c>
      <c r="C4850" s="33">
        <v>45799.63333333333</v>
      </c>
      <c r="D4850" s="19" t="s">
        <v>33</v>
      </c>
      <c r="E4850" s="19" t="s">
        <v>65</v>
      </c>
      <c r="F4850" s="19" t="s">
        <v>34</v>
      </c>
      <c r="G4850" s="19" t="s">
        <v>63</v>
      </c>
      <c r="H4850" s="19" t="s">
        <v>59</v>
      </c>
      <c r="I4850" s="19" t="s">
        <v>117</v>
      </c>
      <c r="J4850" s="20">
        <v>48</v>
      </c>
      <c r="K4850" s="34">
        <v>0</v>
      </c>
      <c r="M4850" s="19">
        <f>IF(OR(ISBLANK(C4850),C4850=""),"",ROUND((C4850-B4850)*24,2))</f>
        <v>65.37</v>
      </c>
      <c r="N4850" s="39" t="str">
        <f>IF(OR(ISBLANK(C4850),C4850="",M4850=""),"In Progress",IF(M4850&lt;=J4850,"Met","Breached"))</f>
        <v>Breached</v>
      </c>
    </row>
    <row r="4851" ht="19" customHeight="1" spans="1:14" x14ac:dyDescent="0.25">
      <c r="A4851" s="22" t="s">
        <v>4965</v>
      </c>
      <c r="B4851" s="36">
        <v>46164.98611111111</v>
      </c>
      <c r="C4851" s="36">
        <v>46167.83819444444</v>
      </c>
      <c r="D4851" s="22" t="s">
        <v>33</v>
      </c>
      <c r="E4851" s="22" t="s">
        <v>65</v>
      </c>
      <c r="F4851" s="22" t="s">
        <v>34</v>
      </c>
      <c r="G4851" s="22" t="s">
        <v>110</v>
      </c>
      <c r="H4851" s="22" t="s">
        <v>63</v>
      </c>
      <c r="I4851" s="22" t="s">
        <v>108</v>
      </c>
      <c r="J4851" s="23">
        <v>48</v>
      </c>
      <c r="K4851" s="37">
        <v>0</v>
      </c>
      <c r="M4851" s="22">
        <f>IF(OR(ISBLANK(C4851),C4851=""),"",ROUND((C4851-B4851)*24,2))</f>
        <v>68.45</v>
      </c>
      <c r="N4851" s="38" t="str">
        <f>IF(OR(ISBLANK(C4851),C4851="",M4851=""),"In Progress",IF(M4851&lt;=J4851,"Met","Breached"))</f>
        <v>Breached</v>
      </c>
    </row>
    <row r="4852" ht="19" customHeight="1" spans="1:14" x14ac:dyDescent="0.25">
      <c r="A4852" s="19" t="s">
        <v>4966</v>
      </c>
      <c r="B4852" s="33">
        <v>45876.77777777778</v>
      </c>
      <c r="C4852" s="33">
        <v>45880.31111111111</v>
      </c>
      <c r="D4852" s="19" t="s">
        <v>33</v>
      </c>
      <c r="E4852" s="19" t="s">
        <v>69</v>
      </c>
      <c r="F4852" s="19" t="s">
        <v>34</v>
      </c>
      <c r="G4852" s="19" t="s">
        <v>121</v>
      </c>
      <c r="H4852" s="19" t="s">
        <v>63</v>
      </c>
      <c r="I4852" s="19" t="s">
        <v>114</v>
      </c>
      <c r="J4852" s="20">
        <v>120</v>
      </c>
      <c r="K4852" s="34">
        <v>0</v>
      </c>
      <c r="L4852" s="34">
        <v>1</v>
      </c>
      <c r="M4852" s="19">
        <f>IF(OR(ISBLANK(C4852),C4852=""),"",ROUND((C4852-B4852)*24,2))</f>
        <v>84.8</v>
      </c>
      <c r="N4852" s="35" t="str">
        <f>IF(OR(ISBLANK(C4852),C4852="",M4852=""),"In Progress",IF(M4852&lt;=J4852,"Met","Breached"))</f>
        <v>Met</v>
      </c>
    </row>
    <row r="4853" ht="19" customHeight="1" spans="1:14" x14ac:dyDescent="0.25">
      <c r="A4853" s="22" t="s">
        <v>4967</v>
      </c>
      <c r="B4853" s="36">
        <v>46173.85277777778</v>
      </c>
      <c r="C4853" s="36">
        <v>46175.799305555556</v>
      </c>
      <c r="D4853" s="22" t="s">
        <v>33</v>
      </c>
      <c r="E4853" s="22" t="s">
        <v>65</v>
      </c>
      <c r="F4853" s="22" t="s">
        <v>37</v>
      </c>
      <c r="G4853" s="22" t="s">
        <v>63</v>
      </c>
      <c r="H4853" s="22" t="s">
        <v>59</v>
      </c>
      <c r="I4853" s="22" t="s">
        <v>111</v>
      </c>
      <c r="J4853" s="23">
        <v>48</v>
      </c>
      <c r="K4853" s="37">
        <v>0</v>
      </c>
      <c r="L4853" s="37">
        <v>2</v>
      </c>
      <c r="M4853" s="22">
        <f>IF(OR(ISBLANK(C4853),C4853=""),"",ROUND((C4853-B4853)*24,2))</f>
        <v>46.72</v>
      </c>
      <c r="N4853" s="40" t="str">
        <f>IF(OR(ISBLANK(C4853),C4853="",M4853=""),"In Progress",IF(M4853&lt;=J4853,"Met","Breached"))</f>
        <v>Met</v>
      </c>
    </row>
    <row r="4854" ht="19" customHeight="1" spans="1:14" x14ac:dyDescent="0.25">
      <c r="A4854" s="19" t="s">
        <v>4968</v>
      </c>
      <c r="B4854" s="33">
        <v>45690.76875</v>
      </c>
      <c r="C4854" s="33">
        <v>45693.13611111111</v>
      </c>
      <c r="D4854" s="19" t="s">
        <v>36</v>
      </c>
      <c r="E4854" s="19" t="s">
        <v>65</v>
      </c>
      <c r="F4854" s="19" t="s">
        <v>43</v>
      </c>
      <c r="G4854" s="19" t="s">
        <v>121</v>
      </c>
      <c r="H4854" s="19" t="s">
        <v>59</v>
      </c>
      <c r="I4854" s="19" t="s">
        <v>114</v>
      </c>
      <c r="J4854" s="20">
        <v>48</v>
      </c>
      <c r="K4854" s="34">
        <v>0</v>
      </c>
      <c r="L4854" s="34">
        <v>3</v>
      </c>
      <c r="M4854" s="19">
        <f>IF(OR(ISBLANK(C4854),C4854=""),"",ROUND((C4854-B4854)*24,2))</f>
        <v>56.82</v>
      </c>
      <c r="N4854" s="39" t="str">
        <f>IF(OR(ISBLANK(C4854),C4854="",M4854=""),"In Progress",IF(M4854&lt;=J4854,"Met","Breached"))</f>
        <v>Breached</v>
      </c>
    </row>
    <row r="4855" ht="19" customHeight="1" spans="1:14" x14ac:dyDescent="0.25">
      <c r="A4855" s="22" t="s">
        <v>4969</v>
      </c>
      <c r="B4855" s="36">
        <v>45799.9125</v>
      </c>
      <c r="C4855" s="36">
        <v>45800.73125</v>
      </c>
      <c r="D4855" s="22" t="s">
        <v>33</v>
      </c>
      <c r="E4855" s="22" t="s">
        <v>61</v>
      </c>
      <c r="F4855" s="22" t="s">
        <v>34</v>
      </c>
      <c r="G4855" s="22" t="s">
        <v>116</v>
      </c>
      <c r="H4855" s="22" t="s">
        <v>59</v>
      </c>
      <c r="I4855" s="22" t="s">
        <v>147</v>
      </c>
      <c r="J4855" s="23">
        <v>12</v>
      </c>
      <c r="K4855" s="37">
        <v>1</v>
      </c>
      <c r="L4855" s="37">
        <v>5</v>
      </c>
      <c r="M4855" s="22">
        <f>IF(OR(ISBLANK(C4855),C4855=""),"",ROUND((C4855-B4855)*24,2))</f>
        <v>19.65</v>
      </c>
      <c r="N4855" s="38" t="str">
        <f>IF(OR(ISBLANK(C4855),C4855="",M4855=""),"In Progress",IF(M4855&lt;=J4855,"Met","Breached"))</f>
        <v>Breached</v>
      </c>
    </row>
    <row r="4856" ht="19" customHeight="1" spans="1:14" x14ac:dyDescent="0.25">
      <c r="A4856" s="19" t="s">
        <v>4970</v>
      </c>
      <c r="B4856" s="33">
        <v>46269.20694444445</v>
      </c>
      <c r="C4856" s="33">
        <v>46270.44375</v>
      </c>
      <c r="D4856" s="19" t="s">
        <v>36</v>
      </c>
      <c r="E4856" s="19" t="s">
        <v>65</v>
      </c>
      <c r="F4856" s="19" t="s">
        <v>37</v>
      </c>
      <c r="G4856" s="19" t="s">
        <v>110</v>
      </c>
      <c r="H4856" s="19" t="s">
        <v>71</v>
      </c>
      <c r="I4856" s="19" t="s">
        <v>117</v>
      </c>
      <c r="J4856" s="20">
        <v>48</v>
      </c>
      <c r="K4856" s="34">
        <v>0</v>
      </c>
      <c r="L4856" s="34">
        <v>2</v>
      </c>
      <c r="M4856" s="19">
        <f>IF(OR(ISBLANK(C4856),C4856=""),"",ROUND((C4856-B4856)*24,2))</f>
        <v>29.68</v>
      </c>
      <c r="N4856" s="35" t="str">
        <f>IF(OR(ISBLANK(C4856),C4856="",M4856=""),"In Progress",IF(M4856&lt;=J4856,"Met","Breached"))</f>
        <v>Met</v>
      </c>
    </row>
    <row r="4857" ht="19" customHeight="1" spans="1:14" x14ac:dyDescent="0.25">
      <c r="A4857" s="22" t="s">
        <v>4971</v>
      </c>
      <c r="B4857" s="36">
        <v>46176.21875</v>
      </c>
      <c r="D4857" s="22" t="s">
        <v>42</v>
      </c>
      <c r="E4857" s="22" t="s">
        <v>61</v>
      </c>
      <c r="F4857" s="22" t="s">
        <v>45</v>
      </c>
      <c r="G4857" s="22" t="s">
        <v>113</v>
      </c>
      <c r="H4857" s="22" t="s">
        <v>63</v>
      </c>
      <c r="I4857" s="22" t="s">
        <v>117</v>
      </c>
      <c r="J4857" s="23">
        <v>12</v>
      </c>
      <c r="K4857" s="37">
        <v>0</v>
      </c>
      <c r="M4857" s="22" t="str">
        <f>IF(OR(ISBLANK(C4857),C4857=""),"",ROUND((C4857-B4857)*24,2))</f>
        <v/>
      </c>
      <c r="N4857" s="22" t="str">
        <f>IF(OR(ISBLANK(C4857),C4857="",M4857=""),"In Progress",IF(M4857&lt;=J4857,"Met","Breached"))</f>
        <v>In Progress</v>
      </c>
    </row>
    <row r="4858" ht="19" customHeight="1" spans="1:14" x14ac:dyDescent="0.25">
      <c r="A4858" s="19" t="s">
        <v>4972</v>
      </c>
      <c r="B4858" s="33">
        <v>45874.23541666666</v>
      </c>
      <c r="C4858" s="33">
        <v>45874.46041666667</v>
      </c>
      <c r="D4858" s="19" t="s">
        <v>33</v>
      </c>
      <c r="E4858" s="19" t="s">
        <v>57</v>
      </c>
      <c r="F4858" s="19" t="s">
        <v>43</v>
      </c>
      <c r="G4858" s="19" t="s">
        <v>116</v>
      </c>
      <c r="H4858" s="19" t="s">
        <v>63</v>
      </c>
      <c r="I4858" s="19" t="s">
        <v>123</v>
      </c>
      <c r="J4858" s="20">
        <v>4</v>
      </c>
      <c r="K4858" s="34">
        <v>0</v>
      </c>
      <c r="L4858" s="34">
        <v>2</v>
      </c>
      <c r="M4858" s="19">
        <f>IF(OR(ISBLANK(C4858),C4858=""),"",ROUND((C4858-B4858)*24,2))</f>
        <v>5.4</v>
      </c>
      <c r="N4858" s="39" t="str">
        <f>IF(OR(ISBLANK(C4858),C4858="",M4858=""),"In Progress",IF(M4858&lt;=J4858,"Met","Breached"))</f>
        <v>Breached</v>
      </c>
    </row>
    <row r="4859" ht="19" customHeight="1" spans="1:14" x14ac:dyDescent="0.25">
      <c r="A4859" s="22" t="s">
        <v>4973</v>
      </c>
      <c r="B4859" s="36">
        <v>46248.94236111111</v>
      </c>
      <c r="C4859" s="36">
        <v>46249.13888888889</v>
      </c>
      <c r="D4859" s="22" t="s">
        <v>36</v>
      </c>
      <c r="E4859" s="22" t="s">
        <v>61</v>
      </c>
      <c r="F4859" s="22" t="s">
        <v>40</v>
      </c>
      <c r="G4859" s="22" t="s">
        <v>116</v>
      </c>
      <c r="H4859" s="22" t="s">
        <v>59</v>
      </c>
      <c r="I4859" s="22" t="s">
        <v>114</v>
      </c>
      <c r="J4859" s="23">
        <v>12</v>
      </c>
      <c r="K4859" s="37">
        <v>0</v>
      </c>
      <c r="L4859" s="37">
        <v>3</v>
      </c>
      <c r="M4859" s="22">
        <f>IF(OR(ISBLANK(C4859),C4859=""),"",ROUND((C4859-B4859)*24,2))</f>
        <v>4.72</v>
      </c>
      <c r="N4859" s="40" t="str">
        <f>IF(OR(ISBLANK(C4859),C4859="",M4859=""),"In Progress",IF(M4859&lt;=J4859,"Met","Breached"))</f>
        <v>Met</v>
      </c>
    </row>
    <row r="4860" ht="19" customHeight="1" spans="1:14" x14ac:dyDescent="0.25">
      <c r="A4860" s="19" t="s">
        <v>4974</v>
      </c>
      <c r="B4860" s="33">
        <v>45850.47083333333</v>
      </c>
      <c r="C4860" s="33">
        <v>45856.870833333334</v>
      </c>
      <c r="D4860" s="19" t="s">
        <v>36</v>
      </c>
      <c r="E4860" s="19" t="s">
        <v>69</v>
      </c>
      <c r="F4860" s="19" t="s">
        <v>45</v>
      </c>
      <c r="G4860" s="19" t="s">
        <v>113</v>
      </c>
      <c r="H4860" s="19" t="s">
        <v>59</v>
      </c>
      <c r="I4860" s="19" t="s">
        <v>147</v>
      </c>
      <c r="J4860" s="20">
        <v>120</v>
      </c>
      <c r="K4860" s="34">
        <v>0</v>
      </c>
      <c r="M4860" s="19">
        <f>IF(OR(ISBLANK(C4860),C4860=""),"",ROUND((C4860-B4860)*24,2))</f>
        <v>153.6</v>
      </c>
      <c r="N4860" s="39" t="str">
        <f>IF(OR(ISBLANK(C4860),C4860="",M4860=""),"In Progress",IF(M4860&lt;=J4860,"Met","Breached"))</f>
        <v>Breached</v>
      </c>
    </row>
    <row r="4861" ht="19" customHeight="1" spans="1:14" x14ac:dyDescent="0.25">
      <c r="A4861" s="22" t="s">
        <v>4975</v>
      </c>
      <c r="B4861" s="36">
        <v>46183.64375</v>
      </c>
      <c r="C4861" s="36">
        <v>46184.347916666666</v>
      </c>
      <c r="D4861" s="22" t="s">
        <v>33</v>
      </c>
      <c r="E4861" s="22" t="s">
        <v>61</v>
      </c>
      <c r="F4861" s="22" t="s">
        <v>43</v>
      </c>
      <c r="G4861" s="22" t="s">
        <v>113</v>
      </c>
      <c r="H4861" s="22" t="s">
        <v>67</v>
      </c>
      <c r="I4861" s="22" t="s">
        <v>117</v>
      </c>
      <c r="J4861" s="23">
        <v>12</v>
      </c>
      <c r="K4861" s="37">
        <v>0</v>
      </c>
      <c r="M4861" s="22">
        <f>IF(OR(ISBLANK(C4861),C4861=""),"",ROUND((C4861-B4861)*24,2))</f>
        <v>16.9</v>
      </c>
      <c r="N4861" s="38" t="str">
        <f>IF(OR(ISBLANK(C4861),C4861="",M4861=""),"In Progress",IF(M4861&lt;=J4861,"Met","Breached"))</f>
        <v>Breached</v>
      </c>
    </row>
    <row r="4862" ht="19" customHeight="1" spans="1:14" x14ac:dyDescent="0.25">
      <c r="A4862" s="19" t="s">
        <v>4976</v>
      </c>
      <c r="B4862" s="33">
        <v>46132.527083333334</v>
      </c>
      <c r="C4862" s="33">
        <v>46134.57777777778</v>
      </c>
      <c r="D4862" s="19" t="s">
        <v>33</v>
      </c>
      <c r="E4862" s="19" t="s">
        <v>65</v>
      </c>
      <c r="F4862" s="19" t="s">
        <v>37</v>
      </c>
      <c r="G4862" s="19" t="s">
        <v>113</v>
      </c>
      <c r="H4862" s="19" t="s">
        <v>59</v>
      </c>
      <c r="I4862" s="19" t="s">
        <v>117</v>
      </c>
      <c r="J4862" s="20">
        <v>48</v>
      </c>
      <c r="K4862" s="34">
        <v>1</v>
      </c>
      <c r="L4862" s="34">
        <v>2</v>
      </c>
      <c r="M4862" s="19">
        <f>IF(OR(ISBLANK(C4862),C4862=""),"",ROUND((C4862-B4862)*24,2))</f>
        <v>49.22</v>
      </c>
      <c r="N4862" s="39" t="str">
        <f>IF(OR(ISBLANK(C4862),C4862="",M4862=""),"In Progress",IF(M4862&lt;=J4862,"Met","Breached"))</f>
        <v>Breached</v>
      </c>
    </row>
    <row r="4863" ht="19" customHeight="1" spans="1:14" x14ac:dyDescent="0.25">
      <c r="A4863" s="22" t="s">
        <v>4977</v>
      </c>
      <c r="B4863" s="36">
        <v>46006.964583333334</v>
      </c>
      <c r="C4863" s="36">
        <v>46008.82291666667</v>
      </c>
      <c r="D4863" s="22" t="s">
        <v>33</v>
      </c>
      <c r="E4863" s="22" t="s">
        <v>69</v>
      </c>
      <c r="F4863" s="22" t="s">
        <v>43</v>
      </c>
      <c r="G4863" s="22" t="s">
        <v>126</v>
      </c>
      <c r="H4863" s="22" t="s">
        <v>63</v>
      </c>
      <c r="I4863" s="22" t="s">
        <v>108</v>
      </c>
      <c r="J4863" s="23">
        <v>120</v>
      </c>
      <c r="K4863" s="37">
        <v>0</v>
      </c>
      <c r="M4863" s="22">
        <f>IF(OR(ISBLANK(C4863),C4863=""),"",ROUND((C4863-B4863)*24,2))</f>
        <v>44.6</v>
      </c>
      <c r="N4863" s="40" t="str">
        <f>IF(OR(ISBLANK(C4863),C4863="",M4863=""),"In Progress",IF(M4863&lt;=J4863,"Met","Breached"))</f>
        <v>Met</v>
      </c>
    </row>
    <row r="4864" ht="19" customHeight="1" spans="1:14" x14ac:dyDescent="0.25">
      <c r="A4864" s="19" t="s">
        <v>4978</v>
      </c>
      <c r="B4864" s="33">
        <v>45688.816666666666</v>
      </c>
      <c r="C4864" s="33">
        <v>45696.59375</v>
      </c>
      <c r="D4864" s="19" t="s">
        <v>33</v>
      </c>
      <c r="E4864" s="19" t="s">
        <v>69</v>
      </c>
      <c r="F4864" s="19" t="s">
        <v>45</v>
      </c>
      <c r="G4864" s="19" t="s">
        <v>126</v>
      </c>
      <c r="H4864" s="19" t="s">
        <v>59</v>
      </c>
      <c r="I4864" s="19" t="s">
        <v>114</v>
      </c>
      <c r="J4864" s="20">
        <v>120</v>
      </c>
      <c r="K4864" s="34">
        <v>0</v>
      </c>
      <c r="L4864" s="34">
        <v>5</v>
      </c>
      <c r="M4864" s="19">
        <f>IF(OR(ISBLANK(C4864),C4864=""),"",ROUND((C4864-B4864)*24,2))</f>
        <v>186.65</v>
      </c>
      <c r="N4864" s="39" t="str">
        <f>IF(OR(ISBLANK(C4864),C4864="",M4864=""),"In Progress",IF(M4864&lt;=J4864,"Met","Breached"))</f>
        <v>Breached</v>
      </c>
    </row>
    <row r="4865" ht="19" customHeight="1" spans="1:14" x14ac:dyDescent="0.25">
      <c r="A4865" s="22" t="s">
        <v>4979</v>
      </c>
      <c r="B4865" s="36">
        <v>46206.160416666666</v>
      </c>
      <c r="D4865" s="22" t="s">
        <v>42</v>
      </c>
      <c r="E4865" s="22" t="s">
        <v>61</v>
      </c>
      <c r="F4865" s="22" t="s">
        <v>37</v>
      </c>
      <c r="G4865" s="22" t="s">
        <v>63</v>
      </c>
      <c r="H4865" s="22" t="s">
        <v>59</v>
      </c>
      <c r="I4865" s="22" t="s">
        <v>147</v>
      </c>
      <c r="J4865" s="23">
        <v>12</v>
      </c>
      <c r="K4865" s="37">
        <v>0</v>
      </c>
      <c r="M4865" s="22" t="str">
        <f>IF(OR(ISBLANK(C4865),C4865=""),"",ROUND((C4865-B4865)*24,2))</f>
        <v/>
      </c>
      <c r="N4865" s="22" t="str">
        <f>IF(OR(ISBLANK(C4865),C4865="",M4865=""),"In Progress",IF(M4865&lt;=J4865,"Met","Breached"))</f>
        <v>In Progress</v>
      </c>
    </row>
    <row r="4866" ht="19" customHeight="1" spans="1:14" x14ac:dyDescent="0.25">
      <c r="A4866" s="19" t="s">
        <v>4980</v>
      </c>
      <c r="B4866" s="33">
        <v>46201.81597222222</v>
      </c>
      <c r="C4866" s="33">
        <v>46203.62361111111</v>
      </c>
      <c r="D4866" s="19" t="s">
        <v>33</v>
      </c>
      <c r="E4866" s="19" t="s">
        <v>65</v>
      </c>
      <c r="F4866" s="19" t="s">
        <v>43</v>
      </c>
      <c r="G4866" s="19" t="s">
        <v>63</v>
      </c>
      <c r="H4866" s="19" t="s">
        <v>71</v>
      </c>
      <c r="I4866" s="19" t="s">
        <v>117</v>
      </c>
      <c r="J4866" s="20">
        <v>48</v>
      </c>
      <c r="K4866" s="34">
        <v>0</v>
      </c>
      <c r="L4866" s="34">
        <v>3</v>
      </c>
      <c r="M4866" s="19">
        <f>IF(OR(ISBLANK(C4866),C4866=""),"",ROUND((C4866-B4866)*24,2))</f>
        <v>43.38</v>
      </c>
      <c r="N4866" s="35" t="str">
        <f>IF(OR(ISBLANK(C4866),C4866="",M4866=""),"In Progress",IF(M4866&lt;=J4866,"Met","Breached"))</f>
        <v>Met</v>
      </c>
    </row>
    <row r="4867" ht="19" customHeight="1" spans="1:14" x14ac:dyDescent="0.25">
      <c r="A4867" s="22" t="s">
        <v>4981</v>
      </c>
      <c r="B4867" s="36">
        <v>46254.330555555556</v>
      </c>
      <c r="C4867" s="36">
        <v>46257.92916666667</v>
      </c>
      <c r="D4867" s="22" t="s">
        <v>33</v>
      </c>
      <c r="E4867" s="22" t="s">
        <v>65</v>
      </c>
      <c r="F4867" s="22" t="s">
        <v>34</v>
      </c>
      <c r="G4867" s="22" t="s">
        <v>110</v>
      </c>
      <c r="H4867" s="22" t="s">
        <v>63</v>
      </c>
      <c r="I4867" s="22" t="s">
        <v>123</v>
      </c>
      <c r="J4867" s="23">
        <v>48</v>
      </c>
      <c r="K4867" s="37">
        <v>0</v>
      </c>
      <c r="L4867" s="37">
        <v>3</v>
      </c>
      <c r="M4867" s="22">
        <f>IF(OR(ISBLANK(C4867),C4867=""),"",ROUND((C4867-B4867)*24,2))</f>
        <v>86.37</v>
      </c>
      <c r="N4867" s="38" t="str">
        <f>IF(OR(ISBLANK(C4867),C4867="",M4867=""),"In Progress",IF(M4867&lt;=J4867,"Met","Breached"))</f>
        <v>Breached</v>
      </c>
    </row>
    <row r="4868" ht="19" customHeight="1" spans="1:14" x14ac:dyDescent="0.25">
      <c r="A4868" s="19" t="s">
        <v>4982</v>
      </c>
      <c r="B4868" s="33">
        <v>46158.69027777778</v>
      </c>
      <c r="C4868" s="33">
        <v>46165.861805555556</v>
      </c>
      <c r="D4868" s="19" t="s">
        <v>36</v>
      </c>
      <c r="E4868" s="19" t="s">
        <v>69</v>
      </c>
      <c r="F4868" s="19" t="s">
        <v>43</v>
      </c>
      <c r="G4868" s="19" t="s">
        <v>63</v>
      </c>
      <c r="H4868" s="19" t="s">
        <v>67</v>
      </c>
      <c r="I4868" s="19" t="s">
        <v>117</v>
      </c>
      <c r="J4868" s="20">
        <v>120</v>
      </c>
      <c r="K4868" s="34">
        <v>0</v>
      </c>
      <c r="M4868" s="19">
        <f>IF(OR(ISBLANK(C4868),C4868=""),"",ROUND((C4868-B4868)*24,2))</f>
        <v>172.12</v>
      </c>
      <c r="N4868" s="39" t="str">
        <f>IF(OR(ISBLANK(C4868),C4868="",M4868=""),"In Progress",IF(M4868&lt;=J4868,"Met","Breached"))</f>
        <v>Breached</v>
      </c>
    </row>
    <row r="4869" ht="19" customHeight="1" spans="1:14" x14ac:dyDescent="0.25">
      <c r="A4869" s="22" t="s">
        <v>4983</v>
      </c>
      <c r="B4869" s="36">
        <v>46086.15625</v>
      </c>
      <c r="C4869" s="36">
        <v>46086.805555555555</v>
      </c>
      <c r="D4869" s="22" t="s">
        <v>33</v>
      </c>
      <c r="E4869" s="22" t="s">
        <v>61</v>
      </c>
      <c r="F4869" s="22" t="s">
        <v>45</v>
      </c>
      <c r="G4869" s="22" t="s">
        <v>110</v>
      </c>
      <c r="H4869" s="22" t="s">
        <v>59</v>
      </c>
      <c r="I4869" s="22" t="s">
        <v>108</v>
      </c>
      <c r="J4869" s="23">
        <v>12</v>
      </c>
      <c r="K4869" s="37">
        <v>0</v>
      </c>
      <c r="L4869" s="37">
        <v>3</v>
      </c>
      <c r="M4869" s="22">
        <f>IF(OR(ISBLANK(C4869),C4869=""),"",ROUND((C4869-B4869)*24,2))</f>
        <v>15.58</v>
      </c>
      <c r="N4869" s="38" t="str">
        <f>IF(OR(ISBLANK(C4869),C4869="",M4869=""),"In Progress",IF(M4869&lt;=J4869,"Met","Breached"))</f>
        <v>Breached</v>
      </c>
    </row>
    <row r="4870" ht="19" customHeight="1" spans="1:14" x14ac:dyDescent="0.25">
      <c r="A4870" s="19" t="s">
        <v>4984</v>
      </c>
      <c r="B4870" s="33">
        <v>46093.28472222222</v>
      </c>
      <c r="D4870" s="19" t="s">
        <v>39</v>
      </c>
      <c r="E4870" s="19" t="s">
        <v>61</v>
      </c>
      <c r="F4870" s="19" t="s">
        <v>37</v>
      </c>
      <c r="G4870" s="19" t="s">
        <v>110</v>
      </c>
      <c r="H4870" s="19" t="s">
        <v>63</v>
      </c>
      <c r="I4870" s="19" t="s">
        <v>111</v>
      </c>
      <c r="J4870" s="20">
        <v>12</v>
      </c>
      <c r="K4870" s="34">
        <v>0</v>
      </c>
      <c r="M4870" s="19" t="str">
        <f>IF(OR(ISBLANK(C4870),C4870=""),"",ROUND((C4870-B4870)*24,2))</f>
        <v/>
      </c>
      <c r="N4870" s="19" t="str">
        <f>IF(OR(ISBLANK(C4870),C4870="",M4870=""),"In Progress",IF(M4870&lt;=J4870,"Met","Breached"))</f>
        <v>In Progress</v>
      </c>
    </row>
    <row r="4871" ht="19" customHeight="1" spans="1:14" x14ac:dyDescent="0.25">
      <c r="A4871" s="22" t="s">
        <v>4985</v>
      </c>
      <c r="B4871" s="36">
        <v>45737.66736111111</v>
      </c>
      <c r="C4871" s="36">
        <v>45741.52013888889</v>
      </c>
      <c r="D4871" s="22" t="s">
        <v>33</v>
      </c>
      <c r="E4871" s="22" t="s">
        <v>69</v>
      </c>
      <c r="F4871" s="22" t="s">
        <v>43</v>
      </c>
      <c r="G4871" s="22" t="s">
        <v>126</v>
      </c>
      <c r="H4871" s="22" t="s">
        <v>67</v>
      </c>
      <c r="I4871" s="22" t="s">
        <v>111</v>
      </c>
      <c r="J4871" s="23">
        <v>120</v>
      </c>
      <c r="K4871" s="37">
        <v>0</v>
      </c>
      <c r="M4871" s="22">
        <f>IF(OR(ISBLANK(C4871),C4871=""),"",ROUND((C4871-B4871)*24,2))</f>
        <v>92.47</v>
      </c>
      <c r="N4871" s="40" t="str">
        <f>IF(OR(ISBLANK(C4871),C4871="",M4871=""),"In Progress",IF(M4871&lt;=J4871,"Met","Breached"))</f>
        <v>Met</v>
      </c>
    </row>
    <row r="4872" ht="19" customHeight="1" spans="1:14" x14ac:dyDescent="0.25">
      <c r="A4872" s="19" t="s">
        <v>4986</v>
      </c>
      <c r="B4872" s="33">
        <v>45680.80694444444</v>
      </c>
      <c r="C4872" s="33">
        <v>45684.07361111111</v>
      </c>
      <c r="D4872" s="19" t="s">
        <v>33</v>
      </c>
      <c r="E4872" s="19" t="s">
        <v>65</v>
      </c>
      <c r="F4872" s="19" t="s">
        <v>34</v>
      </c>
      <c r="G4872" s="19" t="s">
        <v>63</v>
      </c>
      <c r="H4872" s="19" t="s">
        <v>59</v>
      </c>
      <c r="I4872" s="19" t="s">
        <v>111</v>
      </c>
      <c r="J4872" s="20">
        <v>48</v>
      </c>
      <c r="K4872" s="34">
        <v>1</v>
      </c>
      <c r="L4872" s="34">
        <v>5</v>
      </c>
      <c r="M4872" s="19">
        <f>IF(OR(ISBLANK(C4872),C4872=""),"",ROUND((C4872-B4872)*24,2))</f>
        <v>78.4</v>
      </c>
      <c r="N4872" s="39" t="str">
        <f>IF(OR(ISBLANK(C4872),C4872="",M4872=""),"In Progress",IF(M4872&lt;=J4872,"Met","Breached"))</f>
        <v>Breached</v>
      </c>
    </row>
    <row r="4873" ht="19" customHeight="1" spans="1:14" x14ac:dyDescent="0.25">
      <c r="A4873" s="22" t="s">
        <v>4987</v>
      </c>
      <c r="B4873" s="36">
        <v>45878.34305555555</v>
      </c>
      <c r="C4873" s="36">
        <v>45878.76041666667</v>
      </c>
      <c r="D4873" s="22" t="s">
        <v>33</v>
      </c>
      <c r="E4873" s="22" t="s">
        <v>61</v>
      </c>
      <c r="F4873" s="22" t="s">
        <v>45</v>
      </c>
      <c r="G4873" s="22" t="s">
        <v>63</v>
      </c>
      <c r="H4873" s="22" t="s">
        <v>59</v>
      </c>
      <c r="I4873" s="22" t="s">
        <v>123</v>
      </c>
      <c r="J4873" s="23">
        <v>12</v>
      </c>
      <c r="K4873" s="37">
        <v>0</v>
      </c>
      <c r="L4873" s="37">
        <v>3</v>
      </c>
      <c r="M4873" s="22">
        <f>IF(OR(ISBLANK(C4873),C4873=""),"",ROUND((C4873-B4873)*24,2))</f>
        <v>10.02</v>
      </c>
      <c r="N4873" s="40" t="str">
        <f>IF(OR(ISBLANK(C4873),C4873="",M4873=""),"In Progress",IF(M4873&lt;=J4873,"Met","Breached"))</f>
        <v>Met</v>
      </c>
    </row>
    <row r="4874" ht="19" customHeight="1" spans="1:14" x14ac:dyDescent="0.25">
      <c r="A4874" s="19" t="s">
        <v>4988</v>
      </c>
      <c r="B4874" s="33">
        <v>46056.15138888889</v>
      </c>
      <c r="C4874" s="33">
        <v>46057.78055555555</v>
      </c>
      <c r="D4874" s="19" t="s">
        <v>36</v>
      </c>
      <c r="E4874" s="19" t="s">
        <v>65</v>
      </c>
      <c r="F4874" s="19" t="s">
        <v>40</v>
      </c>
      <c r="G4874" s="19" t="s">
        <v>126</v>
      </c>
      <c r="H4874" s="19" t="s">
        <v>63</v>
      </c>
      <c r="I4874" s="19" t="s">
        <v>123</v>
      </c>
      <c r="J4874" s="20">
        <v>48</v>
      </c>
      <c r="K4874" s="34">
        <v>0</v>
      </c>
      <c r="L4874" s="34">
        <v>1</v>
      </c>
      <c r="M4874" s="19">
        <f>IF(OR(ISBLANK(C4874),C4874=""),"",ROUND((C4874-B4874)*24,2))</f>
        <v>39.1</v>
      </c>
      <c r="N4874" s="35" t="str">
        <f>IF(OR(ISBLANK(C4874),C4874="",M4874=""),"In Progress",IF(M4874&lt;=J4874,"Met","Breached"))</f>
        <v>Met</v>
      </c>
    </row>
    <row r="4875" ht="19" customHeight="1" spans="1:14" x14ac:dyDescent="0.25">
      <c r="A4875" s="22" t="s">
        <v>4989</v>
      </c>
      <c r="B4875" s="36">
        <v>45963.91111111111</v>
      </c>
      <c r="C4875" s="36">
        <v>45965.91111111111</v>
      </c>
      <c r="D4875" s="22" t="s">
        <v>33</v>
      </c>
      <c r="E4875" s="22" t="s">
        <v>69</v>
      </c>
      <c r="F4875" s="22" t="s">
        <v>37</v>
      </c>
      <c r="G4875" s="22" t="s">
        <v>121</v>
      </c>
      <c r="H4875" s="22" t="s">
        <v>63</v>
      </c>
      <c r="I4875" s="22" t="s">
        <v>147</v>
      </c>
      <c r="J4875" s="23">
        <v>120</v>
      </c>
      <c r="K4875" s="37">
        <v>0</v>
      </c>
      <c r="M4875" s="22">
        <f>IF(OR(ISBLANK(C4875),C4875=""),"",ROUND((C4875-B4875)*24,2))</f>
        <v>48</v>
      </c>
      <c r="N4875" s="40" t="str">
        <f>IF(OR(ISBLANK(C4875),C4875="",M4875=""),"In Progress",IF(M4875&lt;=J4875,"Met","Breached"))</f>
        <v>Met</v>
      </c>
    </row>
    <row r="4876" ht="19" customHeight="1" spans="1:14" x14ac:dyDescent="0.25">
      <c r="A4876" s="19" t="s">
        <v>4990</v>
      </c>
      <c r="B4876" s="33">
        <v>46024.775</v>
      </c>
      <c r="C4876" s="33">
        <v>46026.63125</v>
      </c>
      <c r="D4876" s="19" t="s">
        <v>36</v>
      </c>
      <c r="E4876" s="19" t="s">
        <v>65</v>
      </c>
      <c r="F4876" s="19" t="s">
        <v>34</v>
      </c>
      <c r="G4876" s="19" t="s">
        <v>63</v>
      </c>
      <c r="H4876" s="19" t="s">
        <v>67</v>
      </c>
      <c r="I4876" s="19" t="s">
        <v>108</v>
      </c>
      <c r="J4876" s="20">
        <v>48</v>
      </c>
      <c r="K4876" s="34">
        <v>0</v>
      </c>
      <c r="M4876" s="19">
        <f>IF(OR(ISBLANK(C4876),C4876=""),"",ROUND((C4876-B4876)*24,2))</f>
        <v>44.55</v>
      </c>
      <c r="N4876" s="35" t="str">
        <f>IF(OR(ISBLANK(C4876),C4876="",M4876=""),"In Progress",IF(M4876&lt;=J4876,"Met","Breached"))</f>
        <v>Met</v>
      </c>
    </row>
    <row r="4877" ht="19" customHeight="1" spans="1:14" x14ac:dyDescent="0.25">
      <c r="A4877" s="22" t="s">
        <v>4991</v>
      </c>
      <c r="B4877" s="36">
        <v>46224.12222222222</v>
      </c>
      <c r="C4877" s="36">
        <v>46227.49861111111</v>
      </c>
      <c r="D4877" s="22" t="s">
        <v>33</v>
      </c>
      <c r="E4877" s="22" t="s">
        <v>65</v>
      </c>
      <c r="F4877" s="22" t="s">
        <v>40</v>
      </c>
      <c r="G4877" s="22" t="s">
        <v>126</v>
      </c>
      <c r="H4877" s="22" t="s">
        <v>63</v>
      </c>
      <c r="I4877" s="22" t="s">
        <v>117</v>
      </c>
      <c r="J4877" s="23">
        <v>48</v>
      </c>
      <c r="K4877" s="37">
        <v>0</v>
      </c>
      <c r="L4877" s="37">
        <v>4</v>
      </c>
      <c r="M4877" s="22">
        <f>IF(OR(ISBLANK(C4877),C4877=""),"",ROUND((C4877-B4877)*24,2))</f>
        <v>81.03</v>
      </c>
      <c r="N4877" s="38" t="str">
        <f>IF(OR(ISBLANK(C4877),C4877="",M4877=""),"In Progress",IF(M4877&lt;=J4877,"Met","Breached"))</f>
        <v>Breached</v>
      </c>
    </row>
    <row r="4878" ht="19" customHeight="1" spans="1:14" x14ac:dyDescent="0.25">
      <c r="A4878" s="19" t="s">
        <v>4992</v>
      </c>
      <c r="B4878" s="33">
        <v>45769.65694444445</v>
      </c>
      <c r="D4878" s="19" t="s">
        <v>39</v>
      </c>
      <c r="E4878" s="19" t="s">
        <v>65</v>
      </c>
      <c r="F4878" s="19" t="s">
        <v>45</v>
      </c>
      <c r="G4878" s="19" t="s">
        <v>116</v>
      </c>
      <c r="H4878" s="19" t="s">
        <v>59</v>
      </c>
      <c r="I4878" s="19" t="s">
        <v>108</v>
      </c>
      <c r="J4878" s="20">
        <v>48</v>
      </c>
      <c r="K4878" s="34">
        <v>0</v>
      </c>
      <c r="M4878" s="19" t="str">
        <f>IF(OR(ISBLANK(C4878),C4878=""),"",ROUND((C4878-B4878)*24,2))</f>
        <v/>
      </c>
      <c r="N4878" s="19" t="str">
        <f>IF(OR(ISBLANK(C4878),C4878="",M4878=""),"In Progress",IF(M4878&lt;=J4878,"Met","Breached"))</f>
        <v>In Progress</v>
      </c>
    </row>
    <row r="4879" ht="19" customHeight="1" spans="1:14" x14ac:dyDescent="0.25">
      <c r="A4879" s="22" t="s">
        <v>4993</v>
      </c>
      <c r="B4879" s="36">
        <v>46280.45833333333</v>
      </c>
      <c r="C4879" s="36">
        <v>46283.99652777778</v>
      </c>
      <c r="D4879" s="22" t="s">
        <v>33</v>
      </c>
      <c r="E4879" s="22" t="s">
        <v>65</v>
      </c>
      <c r="F4879" s="22" t="s">
        <v>43</v>
      </c>
      <c r="G4879" s="22" t="s">
        <v>113</v>
      </c>
      <c r="H4879" s="22" t="s">
        <v>63</v>
      </c>
      <c r="I4879" s="22" t="s">
        <v>111</v>
      </c>
      <c r="J4879" s="23">
        <v>48</v>
      </c>
      <c r="K4879" s="37">
        <v>0</v>
      </c>
      <c r="M4879" s="22">
        <f>IF(OR(ISBLANK(C4879),C4879=""),"",ROUND((C4879-B4879)*24,2))</f>
        <v>84.92</v>
      </c>
      <c r="N4879" s="38" t="str">
        <f>IF(OR(ISBLANK(C4879),C4879="",M4879=""),"In Progress",IF(M4879&lt;=J4879,"Met","Breached"))</f>
        <v>Breached</v>
      </c>
    </row>
    <row r="4880" ht="19" customHeight="1" spans="1:14" x14ac:dyDescent="0.25">
      <c r="A4880" s="19" t="s">
        <v>4994</v>
      </c>
      <c r="B4880" s="33">
        <v>46106.044444444444</v>
      </c>
      <c r="C4880" s="33">
        <v>46106.18680555555</v>
      </c>
      <c r="D4880" s="19" t="s">
        <v>33</v>
      </c>
      <c r="E4880" s="19" t="s">
        <v>57</v>
      </c>
      <c r="F4880" s="19" t="s">
        <v>45</v>
      </c>
      <c r="G4880" s="19" t="s">
        <v>121</v>
      </c>
      <c r="H4880" s="19" t="s">
        <v>63</v>
      </c>
      <c r="I4880" s="19" t="s">
        <v>111</v>
      </c>
      <c r="J4880" s="20">
        <v>4</v>
      </c>
      <c r="K4880" s="34">
        <v>0</v>
      </c>
      <c r="L4880" s="34">
        <v>1</v>
      </c>
      <c r="M4880" s="19">
        <f>IF(OR(ISBLANK(C4880),C4880=""),"",ROUND((C4880-B4880)*24,2))</f>
        <v>3.42</v>
      </c>
      <c r="N4880" s="35" t="str">
        <f>IF(OR(ISBLANK(C4880),C4880="",M4880=""),"In Progress",IF(M4880&lt;=J4880,"Met","Breached"))</f>
        <v>Met</v>
      </c>
    </row>
    <row r="4881" ht="19" customHeight="1" spans="1:14" x14ac:dyDescent="0.25">
      <c r="A4881" s="22" t="s">
        <v>4995</v>
      </c>
      <c r="B4881" s="36">
        <v>45790.32777777778</v>
      </c>
      <c r="C4881" s="36">
        <v>45796.34652777778</v>
      </c>
      <c r="D4881" s="22" t="s">
        <v>36</v>
      </c>
      <c r="E4881" s="22" t="s">
        <v>69</v>
      </c>
      <c r="F4881" s="22" t="s">
        <v>34</v>
      </c>
      <c r="G4881" s="22" t="s">
        <v>126</v>
      </c>
      <c r="H4881" s="22" t="s">
        <v>59</v>
      </c>
      <c r="I4881" s="22" t="s">
        <v>114</v>
      </c>
      <c r="J4881" s="23">
        <v>120</v>
      </c>
      <c r="K4881" s="37">
        <v>0</v>
      </c>
      <c r="L4881" s="37">
        <v>3</v>
      </c>
      <c r="M4881" s="22">
        <f>IF(OR(ISBLANK(C4881),C4881=""),"",ROUND((C4881-B4881)*24,2))</f>
        <v>144.45</v>
      </c>
      <c r="N4881" s="38" t="str">
        <f>IF(OR(ISBLANK(C4881),C4881="",M4881=""),"In Progress",IF(M4881&lt;=J4881,"Met","Breached"))</f>
        <v>Breached</v>
      </c>
    </row>
    <row r="4882" ht="19" customHeight="1" spans="1:14" x14ac:dyDescent="0.25">
      <c r="A4882" s="19" t="s">
        <v>4996</v>
      </c>
      <c r="B4882" s="33">
        <v>46152.15694444445</v>
      </c>
      <c r="D4882" s="19" t="s">
        <v>39</v>
      </c>
      <c r="E4882" s="19" t="s">
        <v>57</v>
      </c>
      <c r="F4882" s="19" t="s">
        <v>37</v>
      </c>
      <c r="G4882" s="19" t="s">
        <v>116</v>
      </c>
      <c r="H4882" s="19" t="s">
        <v>71</v>
      </c>
      <c r="I4882" s="19" t="s">
        <v>111</v>
      </c>
      <c r="J4882" s="20">
        <v>4</v>
      </c>
      <c r="K4882" s="34">
        <v>0</v>
      </c>
      <c r="M4882" s="19" t="str">
        <f>IF(OR(ISBLANK(C4882),C4882=""),"",ROUND((C4882-B4882)*24,2))</f>
        <v/>
      </c>
      <c r="N4882" s="19" t="str">
        <f>IF(OR(ISBLANK(C4882),C4882="",M4882=""),"In Progress",IF(M4882&lt;=J4882,"Met","Breached"))</f>
        <v>In Progress</v>
      </c>
    </row>
    <row r="4883" ht="19" customHeight="1" spans="1:14" x14ac:dyDescent="0.25">
      <c r="A4883" s="22" t="s">
        <v>4997</v>
      </c>
      <c r="B4883" s="36">
        <v>45763.15277777778</v>
      </c>
      <c r="D4883" s="22" t="s">
        <v>39</v>
      </c>
      <c r="E4883" s="22" t="s">
        <v>69</v>
      </c>
      <c r="F4883" s="22" t="s">
        <v>40</v>
      </c>
      <c r="G4883" s="22" t="s">
        <v>121</v>
      </c>
      <c r="H4883" s="22" t="s">
        <v>63</v>
      </c>
      <c r="I4883" s="22" t="s">
        <v>117</v>
      </c>
      <c r="J4883" s="23">
        <v>120</v>
      </c>
      <c r="K4883" s="37">
        <v>0</v>
      </c>
      <c r="M4883" s="22" t="str">
        <f>IF(OR(ISBLANK(C4883),C4883=""),"",ROUND((C4883-B4883)*24,2))</f>
        <v/>
      </c>
      <c r="N4883" s="22" t="str">
        <f>IF(OR(ISBLANK(C4883),C4883="",M4883=""),"In Progress",IF(M4883&lt;=J4883,"Met","Breached"))</f>
        <v>In Progress</v>
      </c>
    </row>
    <row r="4884" ht="19" customHeight="1" spans="1:14" x14ac:dyDescent="0.25">
      <c r="A4884" s="19" t="s">
        <v>4998</v>
      </c>
      <c r="B4884" s="33">
        <v>45841.85</v>
      </c>
      <c r="D4884" s="19" t="s">
        <v>42</v>
      </c>
      <c r="E4884" s="19" t="s">
        <v>69</v>
      </c>
      <c r="F4884" s="19" t="s">
        <v>45</v>
      </c>
      <c r="G4884" s="19" t="s">
        <v>121</v>
      </c>
      <c r="H4884" s="19" t="s">
        <v>71</v>
      </c>
      <c r="I4884" s="19" t="s">
        <v>108</v>
      </c>
      <c r="J4884" s="20">
        <v>120</v>
      </c>
      <c r="K4884" s="34">
        <v>0</v>
      </c>
      <c r="M4884" s="19" t="str">
        <f>IF(OR(ISBLANK(C4884),C4884=""),"",ROUND((C4884-B4884)*24,2))</f>
        <v/>
      </c>
      <c r="N4884" s="19" t="str">
        <f>IF(OR(ISBLANK(C4884),C4884="",M4884=""),"In Progress",IF(M4884&lt;=J4884,"Met","Breached"))</f>
        <v>In Progress</v>
      </c>
    </row>
    <row r="4885" ht="19" customHeight="1" spans="1:14" x14ac:dyDescent="0.25">
      <c r="A4885" s="22" t="s">
        <v>4999</v>
      </c>
      <c r="B4885" s="36">
        <v>45742.61875</v>
      </c>
      <c r="C4885" s="36">
        <v>45750.825694444444</v>
      </c>
      <c r="D4885" s="22" t="s">
        <v>33</v>
      </c>
      <c r="E4885" s="22" t="s">
        <v>69</v>
      </c>
      <c r="F4885" s="22" t="s">
        <v>45</v>
      </c>
      <c r="G4885" s="22" t="s">
        <v>126</v>
      </c>
      <c r="H4885" s="22" t="s">
        <v>71</v>
      </c>
      <c r="I4885" s="22" t="s">
        <v>108</v>
      </c>
      <c r="J4885" s="23">
        <v>120</v>
      </c>
      <c r="K4885" s="37">
        <v>0</v>
      </c>
      <c r="L4885" s="37">
        <v>5</v>
      </c>
      <c r="M4885" s="22">
        <f>IF(OR(ISBLANK(C4885),C4885=""),"",ROUND((C4885-B4885)*24,2))</f>
        <v>196.97</v>
      </c>
      <c r="N4885" s="38" t="str">
        <f>IF(OR(ISBLANK(C4885),C4885="",M4885=""),"In Progress",IF(M4885&lt;=J4885,"Met","Breached"))</f>
        <v>Breached</v>
      </c>
    </row>
    <row r="4886" ht="19" customHeight="1" spans="1:14" x14ac:dyDescent="0.25">
      <c r="A4886" s="19" t="s">
        <v>5000</v>
      </c>
      <c r="B4886" s="33">
        <v>46185.83263888889</v>
      </c>
      <c r="C4886" s="33">
        <v>46188.49513888889</v>
      </c>
      <c r="D4886" s="19" t="s">
        <v>36</v>
      </c>
      <c r="E4886" s="19" t="s">
        <v>65</v>
      </c>
      <c r="F4886" s="19" t="s">
        <v>43</v>
      </c>
      <c r="G4886" s="19" t="s">
        <v>121</v>
      </c>
      <c r="H4886" s="19" t="s">
        <v>67</v>
      </c>
      <c r="I4886" s="19" t="s">
        <v>117</v>
      </c>
      <c r="J4886" s="20">
        <v>48</v>
      </c>
      <c r="K4886" s="34">
        <v>1</v>
      </c>
      <c r="L4886" s="34">
        <v>4</v>
      </c>
      <c r="M4886" s="19">
        <f>IF(OR(ISBLANK(C4886),C4886=""),"",ROUND((C4886-B4886)*24,2))</f>
        <v>63.9</v>
      </c>
      <c r="N4886" s="39" t="str">
        <f>IF(OR(ISBLANK(C4886),C4886="",M4886=""),"In Progress",IF(M4886&lt;=J4886,"Met","Breached"))</f>
        <v>Breached</v>
      </c>
    </row>
    <row r="4887" ht="19" customHeight="1" spans="1:14" x14ac:dyDescent="0.25">
      <c r="A4887" s="22" t="s">
        <v>5001</v>
      </c>
      <c r="B4887" s="36">
        <v>45672.41180555556</v>
      </c>
      <c r="D4887" s="22" t="s">
        <v>39</v>
      </c>
      <c r="E4887" s="22" t="s">
        <v>65</v>
      </c>
      <c r="F4887" s="22" t="s">
        <v>45</v>
      </c>
      <c r="G4887" s="22" t="s">
        <v>113</v>
      </c>
      <c r="H4887" s="22" t="s">
        <v>63</v>
      </c>
      <c r="I4887" s="22" t="s">
        <v>117</v>
      </c>
      <c r="J4887" s="23">
        <v>48</v>
      </c>
      <c r="K4887" s="37">
        <v>0</v>
      </c>
      <c r="M4887" s="22" t="str">
        <f>IF(OR(ISBLANK(C4887),C4887=""),"",ROUND((C4887-B4887)*24,2))</f>
        <v/>
      </c>
      <c r="N4887" s="22" t="str">
        <f>IF(OR(ISBLANK(C4887),C4887="",M4887=""),"In Progress",IF(M4887&lt;=J4887,"Met","Breached"))</f>
        <v>In Progress</v>
      </c>
    </row>
    <row r="4888" ht="19" customHeight="1" spans="1:14" x14ac:dyDescent="0.25">
      <c r="A4888" s="19" t="s">
        <v>5002</v>
      </c>
      <c r="B4888" s="33">
        <v>45823.15</v>
      </c>
      <c r="C4888" s="33">
        <v>45825.492361111115</v>
      </c>
      <c r="D4888" s="19" t="s">
        <v>33</v>
      </c>
      <c r="E4888" s="19" t="s">
        <v>69</v>
      </c>
      <c r="F4888" s="19" t="s">
        <v>45</v>
      </c>
      <c r="G4888" s="19" t="s">
        <v>113</v>
      </c>
      <c r="H4888" s="19" t="s">
        <v>59</v>
      </c>
      <c r="I4888" s="19" t="s">
        <v>108</v>
      </c>
      <c r="J4888" s="20">
        <v>120</v>
      </c>
      <c r="K4888" s="34">
        <v>1</v>
      </c>
      <c r="L4888" s="34">
        <v>1</v>
      </c>
      <c r="M4888" s="19">
        <f>IF(OR(ISBLANK(C4888),C4888=""),"",ROUND((C4888-B4888)*24,2))</f>
        <v>56.22</v>
      </c>
      <c r="N4888" s="35" t="str">
        <f>IF(OR(ISBLANK(C4888),C4888="",M4888=""),"In Progress",IF(M4888&lt;=J4888,"Met","Breached"))</f>
        <v>Met</v>
      </c>
    </row>
    <row r="4889" ht="19" customHeight="1" spans="1:14" x14ac:dyDescent="0.25">
      <c r="A4889" s="22" t="s">
        <v>5003</v>
      </c>
      <c r="B4889" s="36">
        <v>45689.149305555555</v>
      </c>
      <c r="C4889" s="36">
        <v>45690.79722222222</v>
      </c>
      <c r="D4889" s="22" t="s">
        <v>36</v>
      </c>
      <c r="E4889" s="22" t="s">
        <v>65</v>
      </c>
      <c r="F4889" s="22" t="s">
        <v>40</v>
      </c>
      <c r="G4889" s="22" t="s">
        <v>121</v>
      </c>
      <c r="H4889" s="22" t="s">
        <v>63</v>
      </c>
      <c r="I4889" s="22" t="s">
        <v>117</v>
      </c>
      <c r="J4889" s="23">
        <v>48</v>
      </c>
      <c r="K4889" s="37">
        <v>0</v>
      </c>
      <c r="L4889" s="37">
        <v>4</v>
      </c>
      <c r="M4889" s="22">
        <f>IF(OR(ISBLANK(C4889),C4889=""),"",ROUND((C4889-B4889)*24,2))</f>
        <v>39.55</v>
      </c>
      <c r="N4889" s="40" t="str">
        <f>IF(OR(ISBLANK(C4889),C4889="",M4889=""),"In Progress",IF(M4889&lt;=J4889,"Met","Breached"))</f>
        <v>Met</v>
      </c>
    </row>
    <row r="4890" ht="19" customHeight="1" spans="1:14" x14ac:dyDescent="0.25">
      <c r="A4890" s="19" t="s">
        <v>5004</v>
      </c>
      <c r="B4890" s="33">
        <v>46230.20833333333</v>
      </c>
      <c r="C4890" s="33">
        <v>46231.74652777778</v>
      </c>
      <c r="D4890" s="19" t="s">
        <v>33</v>
      </c>
      <c r="E4890" s="19" t="s">
        <v>65</v>
      </c>
      <c r="F4890" s="19" t="s">
        <v>43</v>
      </c>
      <c r="G4890" s="19" t="s">
        <v>116</v>
      </c>
      <c r="H4890" s="19" t="s">
        <v>63</v>
      </c>
      <c r="I4890" s="19" t="s">
        <v>108</v>
      </c>
      <c r="J4890" s="20">
        <v>48</v>
      </c>
      <c r="K4890" s="34">
        <v>0</v>
      </c>
      <c r="L4890" s="34">
        <v>4</v>
      </c>
      <c r="M4890" s="19">
        <f>IF(OR(ISBLANK(C4890),C4890=""),"",ROUND((C4890-B4890)*24,2))</f>
        <v>36.92</v>
      </c>
      <c r="N4890" s="35" t="str">
        <f>IF(OR(ISBLANK(C4890),C4890="",M4890=""),"In Progress",IF(M4890&lt;=J4890,"Met","Breached"))</f>
        <v>Met</v>
      </c>
    </row>
    <row r="4891" ht="19" customHeight="1" spans="1:14" x14ac:dyDescent="0.25">
      <c r="A4891" s="22" t="s">
        <v>5005</v>
      </c>
      <c r="B4891" s="36">
        <v>45970.31041666667</v>
      </c>
      <c r="D4891" s="22" t="s">
        <v>39</v>
      </c>
      <c r="E4891" s="22" t="s">
        <v>65</v>
      </c>
      <c r="F4891" s="22" t="s">
        <v>43</v>
      </c>
      <c r="G4891" s="22" t="s">
        <v>110</v>
      </c>
      <c r="H4891" s="22" t="s">
        <v>63</v>
      </c>
      <c r="I4891" s="22" t="s">
        <v>123</v>
      </c>
      <c r="J4891" s="23">
        <v>48</v>
      </c>
      <c r="K4891" s="37">
        <v>0</v>
      </c>
      <c r="M4891" s="22" t="str">
        <f>IF(OR(ISBLANK(C4891),C4891=""),"",ROUND((C4891-B4891)*24,2))</f>
        <v/>
      </c>
      <c r="N4891" s="22" t="str">
        <f>IF(OR(ISBLANK(C4891),C4891="",M4891=""),"In Progress",IF(M4891&lt;=J4891,"Met","Breached"))</f>
        <v>In Progress</v>
      </c>
    </row>
    <row r="4892" ht="19" customHeight="1" spans="1:14" x14ac:dyDescent="0.25">
      <c r="A4892" s="19" t="s">
        <v>5006</v>
      </c>
      <c r="B4892" s="33">
        <v>45808.705555555556</v>
      </c>
      <c r="C4892" s="33">
        <v>45809.285416666666</v>
      </c>
      <c r="D4892" s="19" t="s">
        <v>33</v>
      </c>
      <c r="E4892" s="19" t="s">
        <v>61</v>
      </c>
      <c r="F4892" s="19" t="s">
        <v>37</v>
      </c>
      <c r="G4892" s="19" t="s">
        <v>116</v>
      </c>
      <c r="H4892" s="19" t="s">
        <v>59</v>
      </c>
      <c r="I4892" s="19" t="s">
        <v>108</v>
      </c>
      <c r="J4892" s="20">
        <v>12</v>
      </c>
      <c r="K4892" s="34">
        <v>0</v>
      </c>
      <c r="L4892" s="34">
        <v>4</v>
      </c>
      <c r="M4892" s="19">
        <f>IF(OR(ISBLANK(C4892),C4892=""),"",ROUND((C4892-B4892)*24,2))</f>
        <v>13.92</v>
      </c>
      <c r="N4892" s="39" t="str">
        <f>IF(OR(ISBLANK(C4892),C4892="",M4892=""),"In Progress",IF(M4892&lt;=J4892,"Met","Breached"))</f>
        <v>Breached</v>
      </c>
    </row>
    <row r="4893" ht="19" customHeight="1" spans="1:14" x14ac:dyDescent="0.25">
      <c r="A4893" s="22" t="s">
        <v>5007</v>
      </c>
      <c r="B4893" s="36">
        <v>45936.50069444445</v>
      </c>
      <c r="D4893" s="22" t="s">
        <v>42</v>
      </c>
      <c r="E4893" s="22" t="s">
        <v>65</v>
      </c>
      <c r="F4893" s="22" t="s">
        <v>43</v>
      </c>
      <c r="G4893" s="22" t="s">
        <v>126</v>
      </c>
      <c r="H4893" s="22" t="s">
        <v>63</v>
      </c>
      <c r="I4893" s="22" t="s">
        <v>114</v>
      </c>
      <c r="J4893" s="23">
        <v>48</v>
      </c>
      <c r="K4893" s="37">
        <v>0</v>
      </c>
      <c r="M4893" s="22" t="str">
        <f>IF(OR(ISBLANK(C4893),C4893=""),"",ROUND((C4893-B4893)*24,2))</f>
        <v/>
      </c>
      <c r="N4893" s="22" t="str">
        <f>IF(OR(ISBLANK(C4893),C4893="",M4893=""),"In Progress",IF(M4893&lt;=J4893,"Met","Breached"))</f>
        <v>In Progress</v>
      </c>
    </row>
    <row r="4894" ht="19" customHeight="1" spans="1:14" x14ac:dyDescent="0.25">
      <c r="A4894" s="19" t="s">
        <v>5008</v>
      </c>
      <c r="B4894" s="33">
        <v>45841.615277777775</v>
      </c>
      <c r="C4894" s="33">
        <v>45844.049305555556</v>
      </c>
      <c r="D4894" s="19" t="s">
        <v>33</v>
      </c>
      <c r="E4894" s="19" t="s">
        <v>65</v>
      </c>
      <c r="F4894" s="19" t="s">
        <v>43</v>
      </c>
      <c r="G4894" s="19" t="s">
        <v>116</v>
      </c>
      <c r="H4894" s="19" t="s">
        <v>59</v>
      </c>
      <c r="I4894" s="19" t="s">
        <v>108</v>
      </c>
      <c r="J4894" s="20">
        <v>48</v>
      </c>
      <c r="K4894" s="34">
        <v>0</v>
      </c>
      <c r="M4894" s="19">
        <f>IF(OR(ISBLANK(C4894),C4894=""),"",ROUND((C4894-B4894)*24,2))</f>
        <v>58.42</v>
      </c>
      <c r="N4894" s="39" t="str">
        <f>IF(OR(ISBLANK(C4894),C4894="",M4894=""),"In Progress",IF(M4894&lt;=J4894,"Met","Breached"))</f>
        <v>Breached</v>
      </c>
    </row>
    <row r="4895" ht="19" customHeight="1" spans="1:14" x14ac:dyDescent="0.25">
      <c r="A4895" s="22" t="s">
        <v>5009</v>
      </c>
      <c r="B4895" s="36">
        <v>45769.78611111111</v>
      </c>
      <c r="C4895" s="36">
        <v>45773.08888888889</v>
      </c>
      <c r="D4895" s="22" t="s">
        <v>36</v>
      </c>
      <c r="E4895" s="22" t="s">
        <v>65</v>
      </c>
      <c r="F4895" s="22" t="s">
        <v>40</v>
      </c>
      <c r="G4895" s="22" t="s">
        <v>116</v>
      </c>
      <c r="H4895" s="22" t="s">
        <v>63</v>
      </c>
      <c r="I4895" s="22" t="s">
        <v>108</v>
      </c>
      <c r="J4895" s="23">
        <v>48</v>
      </c>
      <c r="K4895" s="37">
        <v>0</v>
      </c>
      <c r="L4895" s="37">
        <v>4</v>
      </c>
      <c r="M4895" s="22">
        <f>IF(OR(ISBLANK(C4895),C4895=""),"",ROUND((C4895-B4895)*24,2))</f>
        <v>79.27</v>
      </c>
      <c r="N4895" s="38" t="str">
        <f>IF(OR(ISBLANK(C4895),C4895="",M4895=""),"In Progress",IF(M4895&lt;=J4895,"Met","Breached"))</f>
        <v>Breached</v>
      </c>
    </row>
    <row r="4896" ht="19" customHeight="1" spans="1:14" x14ac:dyDescent="0.25">
      <c r="A4896" s="19" t="s">
        <v>5010</v>
      </c>
      <c r="B4896" s="33">
        <v>45970.37013888889</v>
      </c>
      <c r="C4896" s="33">
        <v>45973.038888888885</v>
      </c>
      <c r="D4896" s="19" t="s">
        <v>33</v>
      </c>
      <c r="E4896" s="19" t="s">
        <v>69</v>
      </c>
      <c r="F4896" s="19" t="s">
        <v>34</v>
      </c>
      <c r="G4896" s="19" t="s">
        <v>63</v>
      </c>
      <c r="H4896" s="19" t="s">
        <v>63</v>
      </c>
      <c r="I4896" s="19" t="s">
        <v>117</v>
      </c>
      <c r="J4896" s="20">
        <v>120</v>
      </c>
      <c r="K4896" s="34">
        <v>0</v>
      </c>
      <c r="M4896" s="19">
        <f>IF(OR(ISBLANK(C4896),C4896=""),"",ROUND((C4896-B4896)*24,2))</f>
        <v>64.05</v>
      </c>
      <c r="N4896" s="35" t="str">
        <f>IF(OR(ISBLANK(C4896),C4896="",M4896=""),"In Progress",IF(M4896&lt;=J4896,"Met","Breached"))</f>
        <v>Met</v>
      </c>
    </row>
    <row r="4897" ht="19" customHeight="1" spans="1:14" x14ac:dyDescent="0.25">
      <c r="A4897" s="22" t="s">
        <v>5011</v>
      </c>
      <c r="B4897" s="36">
        <v>45804.98263888889</v>
      </c>
      <c r="C4897" s="36">
        <v>45805.59166666667</v>
      </c>
      <c r="D4897" s="22" t="s">
        <v>36</v>
      </c>
      <c r="E4897" s="22" t="s">
        <v>65</v>
      </c>
      <c r="F4897" s="22" t="s">
        <v>45</v>
      </c>
      <c r="G4897" s="22" t="s">
        <v>63</v>
      </c>
      <c r="H4897" s="22" t="s">
        <v>63</v>
      </c>
      <c r="I4897" s="22" t="s">
        <v>117</v>
      </c>
      <c r="J4897" s="23">
        <v>48</v>
      </c>
      <c r="K4897" s="37">
        <v>0</v>
      </c>
      <c r="L4897" s="37">
        <v>2</v>
      </c>
      <c r="M4897" s="22">
        <f>IF(OR(ISBLANK(C4897),C4897=""),"",ROUND((C4897-B4897)*24,2))</f>
        <v>14.62</v>
      </c>
      <c r="N4897" s="40" t="str">
        <f>IF(OR(ISBLANK(C4897),C4897="",M4897=""),"In Progress",IF(M4897&lt;=J4897,"Met","Breached"))</f>
        <v>Met</v>
      </c>
    </row>
    <row r="4898" ht="19" customHeight="1" spans="1:14" x14ac:dyDescent="0.25">
      <c r="A4898" s="19" t="s">
        <v>5012</v>
      </c>
      <c r="B4898" s="33">
        <v>45989.73888888889</v>
      </c>
      <c r="C4898" s="33">
        <v>45990.81805555556</v>
      </c>
      <c r="D4898" s="19" t="s">
        <v>33</v>
      </c>
      <c r="E4898" s="19" t="s">
        <v>65</v>
      </c>
      <c r="F4898" s="19" t="s">
        <v>34</v>
      </c>
      <c r="G4898" s="19" t="s">
        <v>121</v>
      </c>
      <c r="H4898" s="19" t="s">
        <v>63</v>
      </c>
      <c r="I4898" s="19" t="s">
        <v>108</v>
      </c>
      <c r="J4898" s="20">
        <v>48</v>
      </c>
      <c r="K4898" s="34">
        <v>0</v>
      </c>
      <c r="L4898" s="34">
        <v>1</v>
      </c>
      <c r="M4898" s="19">
        <f>IF(OR(ISBLANK(C4898),C4898=""),"",ROUND((C4898-B4898)*24,2))</f>
        <v>25.9</v>
      </c>
      <c r="N4898" s="35" t="str">
        <f>IF(OR(ISBLANK(C4898),C4898="",M4898=""),"In Progress",IF(M4898&lt;=J4898,"Met","Breached"))</f>
        <v>Met</v>
      </c>
    </row>
    <row r="4899" ht="19" customHeight="1" spans="1:14" x14ac:dyDescent="0.25">
      <c r="A4899" s="22" t="s">
        <v>5013</v>
      </c>
      <c r="B4899" s="36">
        <v>45874.334027777775</v>
      </c>
      <c r="D4899" s="22" t="s">
        <v>42</v>
      </c>
      <c r="E4899" s="22" t="s">
        <v>61</v>
      </c>
      <c r="F4899" s="22" t="s">
        <v>34</v>
      </c>
      <c r="G4899" s="22" t="s">
        <v>116</v>
      </c>
      <c r="H4899" s="22" t="s">
        <v>63</v>
      </c>
      <c r="I4899" s="22" t="s">
        <v>108</v>
      </c>
      <c r="J4899" s="23">
        <v>12</v>
      </c>
      <c r="K4899" s="37">
        <v>0</v>
      </c>
      <c r="M4899" s="22" t="str">
        <f>IF(OR(ISBLANK(C4899),C4899=""),"",ROUND((C4899-B4899)*24,2))</f>
        <v/>
      </c>
      <c r="N4899" s="22" t="str">
        <f>IF(OR(ISBLANK(C4899),C4899="",M4899=""),"In Progress",IF(M4899&lt;=J4899,"Met","Breached"))</f>
        <v>In Progress</v>
      </c>
    </row>
    <row r="4900" ht="19" customHeight="1" spans="1:14" x14ac:dyDescent="0.25">
      <c r="A4900" s="19" t="s">
        <v>5014</v>
      </c>
      <c r="B4900" s="33">
        <v>46139.06875</v>
      </c>
      <c r="C4900" s="33">
        <v>46144.00208333333</v>
      </c>
      <c r="D4900" s="19" t="s">
        <v>36</v>
      </c>
      <c r="E4900" s="19" t="s">
        <v>69</v>
      </c>
      <c r="F4900" s="19" t="s">
        <v>34</v>
      </c>
      <c r="G4900" s="19" t="s">
        <v>126</v>
      </c>
      <c r="H4900" s="19" t="s">
        <v>71</v>
      </c>
      <c r="I4900" s="19" t="s">
        <v>108</v>
      </c>
      <c r="J4900" s="20">
        <v>120</v>
      </c>
      <c r="K4900" s="34">
        <v>0</v>
      </c>
      <c r="L4900" s="34">
        <v>1</v>
      </c>
      <c r="M4900" s="19">
        <f>IF(OR(ISBLANK(C4900),C4900=""),"",ROUND((C4900-B4900)*24,2))</f>
        <v>118.4</v>
      </c>
      <c r="N4900" s="35" t="str">
        <f>IF(OR(ISBLANK(C4900),C4900="",M4900=""),"In Progress",IF(M4900&lt;=J4900,"Met","Breached"))</f>
        <v>Met</v>
      </c>
    </row>
    <row r="4901" ht="19" customHeight="1" spans="1:14" x14ac:dyDescent="0.25">
      <c r="A4901" s="22" t="s">
        <v>5015</v>
      </c>
      <c r="B4901" s="36">
        <v>46143.62569444445</v>
      </c>
      <c r="C4901" s="36">
        <v>46144.240277777775</v>
      </c>
      <c r="D4901" s="22" t="s">
        <v>33</v>
      </c>
      <c r="E4901" s="22" t="s">
        <v>61</v>
      </c>
      <c r="F4901" s="22" t="s">
        <v>40</v>
      </c>
      <c r="G4901" s="22" t="s">
        <v>110</v>
      </c>
      <c r="H4901" s="22" t="s">
        <v>59</v>
      </c>
      <c r="I4901" s="22" t="s">
        <v>123</v>
      </c>
      <c r="J4901" s="23">
        <v>12</v>
      </c>
      <c r="K4901" s="37">
        <v>0</v>
      </c>
      <c r="M4901" s="22">
        <f>IF(OR(ISBLANK(C4901),C4901=""),"",ROUND((C4901-B4901)*24,2))</f>
        <v>14.75</v>
      </c>
      <c r="N4901" s="38" t="str">
        <f>IF(OR(ISBLANK(C4901),C4901="",M4901=""),"In Progress",IF(M4901&lt;=J4901,"Met","Breached"))</f>
        <v>Breached</v>
      </c>
    </row>
    <row r="4902" ht="19" customHeight="1" spans="1:14" x14ac:dyDescent="0.25">
      <c r="A4902" s="19" t="s">
        <v>5016</v>
      </c>
      <c r="B4902" s="33">
        <v>45977.74652777778</v>
      </c>
      <c r="D4902" s="19" t="s">
        <v>39</v>
      </c>
      <c r="E4902" s="19" t="s">
        <v>69</v>
      </c>
      <c r="F4902" s="19" t="s">
        <v>34</v>
      </c>
      <c r="G4902" s="19" t="s">
        <v>121</v>
      </c>
      <c r="H4902" s="19" t="s">
        <v>59</v>
      </c>
      <c r="I4902" s="19" t="s">
        <v>123</v>
      </c>
      <c r="J4902" s="20">
        <v>120</v>
      </c>
      <c r="K4902" s="34">
        <v>0</v>
      </c>
      <c r="M4902" s="19" t="str">
        <f>IF(OR(ISBLANK(C4902),C4902=""),"",ROUND((C4902-B4902)*24,2))</f>
        <v/>
      </c>
      <c r="N4902" s="19" t="str">
        <f>IF(OR(ISBLANK(C4902),C4902="",M4902=""),"In Progress",IF(M4902&lt;=J4902,"Met","Breached"))</f>
        <v>In Progress</v>
      </c>
    </row>
    <row r="4903" ht="19" customHeight="1" spans="1:14" x14ac:dyDescent="0.25">
      <c r="A4903" s="22" t="s">
        <v>5017</v>
      </c>
      <c r="B4903" s="36">
        <v>45695.62569444445</v>
      </c>
      <c r="C4903" s="36">
        <v>45695.97013888889</v>
      </c>
      <c r="D4903" s="22" t="s">
        <v>33</v>
      </c>
      <c r="E4903" s="22" t="s">
        <v>61</v>
      </c>
      <c r="F4903" s="22" t="s">
        <v>43</v>
      </c>
      <c r="G4903" s="22" t="s">
        <v>126</v>
      </c>
      <c r="H4903" s="22" t="s">
        <v>59</v>
      </c>
      <c r="I4903" s="22" t="s">
        <v>123</v>
      </c>
      <c r="J4903" s="23">
        <v>12</v>
      </c>
      <c r="K4903" s="37">
        <v>0</v>
      </c>
      <c r="L4903" s="37">
        <v>3</v>
      </c>
      <c r="M4903" s="22">
        <f>IF(OR(ISBLANK(C4903),C4903=""),"",ROUND((C4903-B4903)*24,2))</f>
        <v>8.27</v>
      </c>
      <c r="N4903" s="40" t="str">
        <f>IF(OR(ISBLANK(C4903),C4903="",M4903=""),"In Progress",IF(M4903&lt;=J4903,"Met","Breached"))</f>
        <v>Met</v>
      </c>
    </row>
    <row r="4904" ht="19" customHeight="1" spans="1:14" x14ac:dyDescent="0.25">
      <c r="A4904" s="19" t="s">
        <v>5018</v>
      </c>
      <c r="B4904" s="33">
        <v>46083.90555555555</v>
      </c>
      <c r="C4904" s="33">
        <v>46084.17638888889</v>
      </c>
      <c r="D4904" s="19" t="s">
        <v>33</v>
      </c>
      <c r="E4904" s="19" t="s">
        <v>61</v>
      </c>
      <c r="F4904" s="19" t="s">
        <v>40</v>
      </c>
      <c r="G4904" s="19" t="s">
        <v>113</v>
      </c>
      <c r="H4904" s="19" t="s">
        <v>67</v>
      </c>
      <c r="I4904" s="19" t="s">
        <v>114</v>
      </c>
      <c r="J4904" s="20">
        <v>12</v>
      </c>
      <c r="K4904" s="34">
        <v>0</v>
      </c>
      <c r="L4904" s="34">
        <v>4</v>
      </c>
      <c r="M4904" s="19">
        <f>IF(OR(ISBLANK(C4904),C4904=""),"",ROUND((C4904-B4904)*24,2))</f>
        <v>6.5</v>
      </c>
      <c r="N4904" s="35" t="str">
        <f>IF(OR(ISBLANK(C4904),C4904="",M4904=""),"In Progress",IF(M4904&lt;=J4904,"Met","Breached"))</f>
        <v>Met</v>
      </c>
    </row>
    <row r="4905" ht="19" customHeight="1" spans="1:14" x14ac:dyDescent="0.25">
      <c r="A4905" s="22" t="s">
        <v>5019</v>
      </c>
      <c r="B4905" s="36">
        <v>45661.163194444445</v>
      </c>
      <c r="C4905" s="36">
        <v>45663.44791666667</v>
      </c>
      <c r="D4905" s="22" t="s">
        <v>33</v>
      </c>
      <c r="E4905" s="22" t="s">
        <v>65</v>
      </c>
      <c r="F4905" s="22" t="s">
        <v>45</v>
      </c>
      <c r="G4905" s="22" t="s">
        <v>63</v>
      </c>
      <c r="H4905" s="22" t="s">
        <v>59</v>
      </c>
      <c r="I4905" s="22" t="s">
        <v>108</v>
      </c>
      <c r="J4905" s="23">
        <v>48</v>
      </c>
      <c r="K4905" s="37">
        <v>0</v>
      </c>
      <c r="L4905" s="37">
        <v>5</v>
      </c>
      <c r="M4905" s="22">
        <f>IF(OR(ISBLANK(C4905),C4905=""),"",ROUND((C4905-B4905)*24,2))</f>
        <v>54.83</v>
      </c>
      <c r="N4905" s="38" t="str">
        <f>IF(OR(ISBLANK(C4905),C4905="",M4905=""),"In Progress",IF(M4905&lt;=J4905,"Met","Breached"))</f>
        <v>Breached</v>
      </c>
    </row>
    <row r="4906" ht="19" customHeight="1" spans="1:14" x14ac:dyDescent="0.25">
      <c r="A4906" s="19" t="s">
        <v>5020</v>
      </c>
      <c r="B4906" s="33">
        <v>45915.21736111111</v>
      </c>
      <c r="C4906" s="33">
        <v>45915.368055555555</v>
      </c>
      <c r="D4906" s="19" t="s">
        <v>33</v>
      </c>
      <c r="E4906" s="19" t="s">
        <v>61</v>
      </c>
      <c r="F4906" s="19" t="s">
        <v>40</v>
      </c>
      <c r="G4906" s="19" t="s">
        <v>113</v>
      </c>
      <c r="H4906" s="19" t="s">
        <v>71</v>
      </c>
      <c r="I4906" s="19" t="s">
        <v>147</v>
      </c>
      <c r="J4906" s="20">
        <v>12</v>
      </c>
      <c r="K4906" s="34">
        <v>0</v>
      </c>
      <c r="L4906" s="34">
        <v>4</v>
      </c>
      <c r="M4906" s="19">
        <f>IF(OR(ISBLANK(C4906),C4906=""),"",ROUND((C4906-B4906)*24,2))</f>
        <v>3.62</v>
      </c>
      <c r="N4906" s="35" t="str">
        <f>IF(OR(ISBLANK(C4906),C4906="",M4906=""),"In Progress",IF(M4906&lt;=J4906,"Met","Breached"))</f>
        <v>Met</v>
      </c>
    </row>
    <row r="4907" ht="19" customHeight="1" spans="1:14" x14ac:dyDescent="0.25">
      <c r="A4907" s="22" t="s">
        <v>5021</v>
      </c>
      <c r="B4907" s="36">
        <v>46213.54652777778</v>
      </c>
      <c r="C4907" s="36">
        <v>46216.65277777778</v>
      </c>
      <c r="D4907" s="22" t="s">
        <v>33</v>
      </c>
      <c r="E4907" s="22" t="s">
        <v>65</v>
      </c>
      <c r="F4907" s="22" t="s">
        <v>43</v>
      </c>
      <c r="G4907" s="22" t="s">
        <v>63</v>
      </c>
      <c r="H4907" s="22" t="s">
        <v>59</v>
      </c>
      <c r="I4907" s="22" t="s">
        <v>114</v>
      </c>
      <c r="J4907" s="23">
        <v>48</v>
      </c>
      <c r="K4907" s="37">
        <v>0</v>
      </c>
      <c r="L4907" s="37">
        <v>4</v>
      </c>
      <c r="M4907" s="22">
        <f>IF(OR(ISBLANK(C4907),C4907=""),"",ROUND((C4907-B4907)*24,2))</f>
        <v>74.55</v>
      </c>
      <c r="N4907" s="38" t="str">
        <f>IF(OR(ISBLANK(C4907),C4907="",M4907=""),"In Progress",IF(M4907&lt;=J4907,"Met","Breached"))</f>
        <v>Breached</v>
      </c>
    </row>
    <row r="4908" ht="19" customHeight="1" spans="1:14" x14ac:dyDescent="0.25">
      <c r="A4908" s="19" t="s">
        <v>5022</v>
      </c>
      <c r="B4908" s="33">
        <v>46014.024305555555</v>
      </c>
      <c r="C4908" s="33">
        <v>46014.26875</v>
      </c>
      <c r="D4908" s="19" t="s">
        <v>36</v>
      </c>
      <c r="E4908" s="19" t="s">
        <v>61</v>
      </c>
      <c r="F4908" s="19" t="s">
        <v>34</v>
      </c>
      <c r="G4908" s="19" t="s">
        <v>116</v>
      </c>
      <c r="H4908" s="19" t="s">
        <v>59</v>
      </c>
      <c r="I4908" s="19" t="s">
        <v>123</v>
      </c>
      <c r="J4908" s="20">
        <v>12</v>
      </c>
      <c r="K4908" s="34">
        <v>0</v>
      </c>
      <c r="L4908" s="34">
        <v>3</v>
      </c>
      <c r="M4908" s="19">
        <f>IF(OR(ISBLANK(C4908),C4908=""),"",ROUND((C4908-B4908)*24,2))</f>
        <v>5.87</v>
      </c>
      <c r="N4908" s="35" t="str">
        <f>IF(OR(ISBLANK(C4908),C4908="",M4908=""),"In Progress",IF(M4908&lt;=J4908,"Met","Breached"))</f>
        <v>Met</v>
      </c>
    </row>
    <row r="4909" ht="19" customHeight="1" spans="1:14" x14ac:dyDescent="0.25">
      <c r="A4909" s="22" t="s">
        <v>5023</v>
      </c>
      <c r="B4909" s="36">
        <v>46073.83194444445</v>
      </c>
      <c r="C4909" s="36">
        <v>46077.32638888889</v>
      </c>
      <c r="D4909" s="22" t="s">
        <v>33</v>
      </c>
      <c r="E4909" s="22" t="s">
        <v>65</v>
      </c>
      <c r="F4909" s="22" t="s">
        <v>43</v>
      </c>
      <c r="G4909" s="22" t="s">
        <v>113</v>
      </c>
      <c r="H4909" s="22" t="s">
        <v>63</v>
      </c>
      <c r="I4909" s="22" t="s">
        <v>117</v>
      </c>
      <c r="J4909" s="23">
        <v>48</v>
      </c>
      <c r="K4909" s="37">
        <v>0</v>
      </c>
      <c r="M4909" s="22">
        <f>IF(OR(ISBLANK(C4909),C4909=""),"",ROUND((C4909-B4909)*24,2))</f>
        <v>83.87</v>
      </c>
      <c r="N4909" s="38" t="str">
        <f>IF(OR(ISBLANK(C4909),C4909="",M4909=""),"In Progress",IF(M4909&lt;=J4909,"Met","Breached"))</f>
        <v>Breached</v>
      </c>
    </row>
    <row r="4910" ht="19" customHeight="1" spans="1:14" x14ac:dyDescent="0.25">
      <c r="A4910" s="19" t="s">
        <v>5024</v>
      </c>
      <c r="B4910" s="33">
        <v>46012.12013888889</v>
      </c>
      <c r="C4910" s="33">
        <v>46012.425</v>
      </c>
      <c r="D4910" s="19" t="s">
        <v>33</v>
      </c>
      <c r="E4910" s="19" t="s">
        <v>61</v>
      </c>
      <c r="F4910" s="19" t="s">
        <v>43</v>
      </c>
      <c r="G4910" s="19" t="s">
        <v>121</v>
      </c>
      <c r="H4910" s="19" t="s">
        <v>71</v>
      </c>
      <c r="I4910" s="19" t="s">
        <v>123</v>
      </c>
      <c r="J4910" s="20">
        <v>12</v>
      </c>
      <c r="K4910" s="34">
        <v>0</v>
      </c>
      <c r="L4910" s="34">
        <v>5</v>
      </c>
      <c r="M4910" s="19">
        <f>IF(OR(ISBLANK(C4910),C4910=""),"",ROUND((C4910-B4910)*24,2))</f>
        <v>7.32</v>
      </c>
      <c r="N4910" s="35" t="str">
        <f>IF(OR(ISBLANK(C4910),C4910="",M4910=""),"In Progress",IF(M4910&lt;=J4910,"Met","Breached"))</f>
        <v>Met</v>
      </c>
    </row>
    <row r="4911" ht="19" customHeight="1" spans="1:14" x14ac:dyDescent="0.25">
      <c r="A4911" s="22" t="s">
        <v>5025</v>
      </c>
      <c r="B4911" s="36">
        <v>46066.299305555556</v>
      </c>
      <c r="C4911" s="36">
        <v>46067.52847222222</v>
      </c>
      <c r="D4911" s="22" t="s">
        <v>33</v>
      </c>
      <c r="E4911" s="22" t="s">
        <v>65</v>
      </c>
      <c r="F4911" s="22" t="s">
        <v>43</v>
      </c>
      <c r="G4911" s="22" t="s">
        <v>116</v>
      </c>
      <c r="H4911" s="22" t="s">
        <v>59</v>
      </c>
      <c r="I4911" s="22" t="s">
        <v>111</v>
      </c>
      <c r="J4911" s="23">
        <v>48</v>
      </c>
      <c r="K4911" s="37">
        <v>0</v>
      </c>
      <c r="L4911" s="37">
        <v>5</v>
      </c>
      <c r="M4911" s="22">
        <f>IF(OR(ISBLANK(C4911),C4911=""),"",ROUND((C4911-B4911)*24,2))</f>
        <v>29.5</v>
      </c>
      <c r="N4911" s="40" t="str">
        <f>IF(OR(ISBLANK(C4911),C4911="",M4911=""),"In Progress",IF(M4911&lt;=J4911,"Met","Breached"))</f>
        <v>Met</v>
      </c>
    </row>
    <row r="4912" ht="19" customHeight="1" spans="1:14" x14ac:dyDescent="0.25">
      <c r="A4912" s="19" t="s">
        <v>5026</v>
      </c>
      <c r="B4912" s="33">
        <v>46123.131944444445</v>
      </c>
      <c r="C4912" s="33">
        <v>46123.700694444444</v>
      </c>
      <c r="D4912" s="19" t="s">
        <v>33</v>
      </c>
      <c r="E4912" s="19" t="s">
        <v>61</v>
      </c>
      <c r="F4912" s="19" t="s">
        <v>34</v>
      </c>
      <c r="G4912" s="19" t="s">
        <v>126</v>
      </c>
      <c r="H4912" s="19" t="s">
        <v>63</v>
      </c>
      <c r="I4912" s="19" t="s">
        <v>117</v>
      </c>
      <c r="J4912" s="20">
        <v>12</v>
      </c>
      <c r="K4912" s="34">
        <v>0</v>
      </c>
      <c r="L4912" s="34">
        <v>3</v>
      </c>
      <c r="M4912" s="19">
        <f>IF(OR(ISBLANK(C4912),C4912=""),"",ROUND((C4912-B4912)*24,2))</f>
        <v>13.65</v>
      </c>
      <c r="N4912" s="39" t="str">
        <f>IF(OR(ISBLANK(C4912),C4912="",M4912=""),"In Progress",IF(M4912&lt;=J4912,"Met","Breached"))</f>
        <v>Breached</v>
      </c>
    </row>
    <row r="4913" ht="19" customHeight="1" spans="1:14" x14ac:dyDescent="0.25">
      <c r="A4913" s="22" t="s">
        <v>5027</v>
      </c>
      <c r="B4913" s="36">
        <v>46283.16111111111</v>
      </c>
      <c r="D4913" s="22" t="s">
        <v>39</v>
      </c>
      <c r="E4913" s="22" t="s">
        <v>65</v>
      </c>
      <c r="F4913" s="22" t="s">
        <v>45</v>
      </c>
      <c r="G4913" s="22" t="s">
        <v>126</v>
      </c>
      <c r="H4913" s="22" t="s">
        <v>59</v>
      </c>
      <c r="I4913" s="22" t="s">
        <v>147</v>
      </c>
      <c r="J4913" s="23">
        <v>48</v>
      </c>
      <c r="K4913" s="37">
        <v>0</v>
      </c>
      <c r="M4913" s="22" t="str">
        <f>IF(OR(ISBLANK(C4913),C4913=""),"",ROUND((C4913-B4913)*24,2))</f>
        <v/>
      </c>
      <c r="N4913" s="22" t="str">
        <f>IF(OR(ISBLANK(C4913),C4913="",M4913=""),"In Progress",IF(M4913&lt;=J4913,"Met","Breached"))</f>
        <v>In Progress</v>
      </c>
    </row>
    <row r="4914" ht="19" customHeight="1" spans="1:14" x14ac:dyDescent="0.25">
      <c r="A4914" s="19" t="s">
        <v>5028</v>
      </c>
      <c r="B4914" s="33">
        <v>45710.70694444445</v>
      </c>
      <c r="C4914" s="33">
        <v>45711.22986111111</v>
      </c>
      <c r="D4914" s="19" t="s">
        <v>33</v>
      </c>
      <c r="E4914" s="19" t="s">
        <v>61</v>
      </c>
      <c r="F4914" s="19" t="s">
        <v>43</v>
      </c>
      <c r="G4914" s="19" t="s">
        <v>113</v>
      </c>
      <c r="H4914" s="19" t="s">
        <v>59</v>
      </c>
      <c r="I4914" s="19" t="s">
        <v>108</v>
      </c>
      <c r="J4914" s="20">
        <v>12</v>
      </c>
      <c r="K4914" s="34">
        <v>0</v>
      </c>
      <c r="M4914" s="19">
        <f>IF(OR(ISBLANK(C4914),C4914=""),"",ROUND((C4914-B4914)*24,2))</f>
        <v>12.55</v>
      </c>
      <c r="N4914" s="39" t="str">
        <f>IF(OR(ISBLANK(C4914),C4914="",M4914=""),"In Progress",IF(M4914&lt;=J4914,"Met","Breached"))</f>
        <v>Breached</v>
      </c>
    </row>
    <row r="4915" ht="19" customHeight="1" spans="1:14" x14ac:dyDescent="0.25">
      <c r="A4915" s="22" t="s">
        <v>5029</v>
      </c>
      <c r="B4915" s="36">
        <v>45734.61875</v>
      </c>
      <c r="C4915" s="36">
        <v>45736.94097222222</v>
      </c>
      <c r="D4915" s="22" t="s">
        <v>36</v>
      </c>
      <c r="E4915" s="22" t="s">
        <v>65</v>
      </c>
      <c r="F4915" s="22" t="s">
        <v>34</v>
      </c>
      <c r="G4915" s="22" t="s">
        <v>110</v>
      </c>
      <c r="H4915" s="22" t="s">
        <v>63</v>
      </c>
      <c r="I4915" s="22" t="s">
        <v>147</v>
      </c>
      <c r="J4915" s="23">
        <v>48</v>
      </c>
      <c r="K4915" s="37">
        <v>0</v>
      </c>
      <c r="L4915" s="37">
        <v>2</v>
      </c>
      <c r="M4915" s="22">
        <f>IF(OR(ISBLANK(C4915),C4915=""),"",ROUND((C4915-B4915)*24,2))</f>
        <v>55.73</v>
      </c>
      <c r="N4915" s="38" t="str">
        <f>IF(OR(ISBLANK(C4915),C4915="",M4915=""),"In Progress",IF(M4915&lt;=J4915,"Met","Breached"))</f>
        <v>Breached</v>
      </c>
    </row>
    <row r="4916" ht="19" customHeight="1" spans="1:14" x14ac:dyDescent="0.25">
      <c r="A4916" s="19" t="s">
        <v>5030</v>
      </c>
      <c r="B4916" s="33">
        <v>46040.35208333333</v>
      </c>
      <c r="D4916" s="19" t="s">
        <v>39</v>
      </c>
      <c r="E4916" s="19" t="s">
        <v>65</v>
      </c>
      <c r="F4916" s="19" t="s">
        <v>37</v>
      </c>
      <c r="G4916" s="19" t="s">
        <v>121</v>
      </c>
      <c r="H4916" s="19" t="s">
        <v>67</v>
      </c>
      <c r="I4916" s="19" t="s">
        <v>117</v>
      </c>
      <c r="J4916" s="20">
        <v>48</v>
      </c>
      <c r="K4916" s="34">
        <v>0</v>
      </c>
      <c r="M4916" s="19" t="str">
        <f>IF(OR(ISBLANK(C4916),C4916=""),"",ROUND((C4916-B4916)*24,2))</f>
        <v/>
      </c>
      <c r="N4916" s="19" t="str">
        <f>IF(OR(ISBLANK(C4916),C4916="",M4916=""),"In Progress",IF(M4916&lt;=J4916,"Met","Breached"))</f>
        <v>In Progress</v>
      </c>
    </row>
    <row r="4917" ht="19" customHeight="1" spans="1:14" x14ac:dyDescent="0.25">
      <c r="A4917" s="22" t="s">
        <v>5031</v>
      </c>
      <c r="B4917" s="36">
        <v>46011.004166666666</v>
      </c>
      <c r="C4917" s="36">
        <v>46011.410416666666</v>
      </c>
      <c r="D4917" s="22" t="s">
        <v>33</v>
      </c>
      <c r="E4917" s="22" t="s">
        <v>61</v>
      </c>
      <c r="F4917" s="22" t="s">
        <v>45</v>
      </c>
      <c r="G4917" s="22" t="s">
        <v>113</v>
      </c>
      <c r="H4917" s="22" t="s">
        <v>63</v>
      </c>
      <c r="I4917" s="22" t="s">
        <v>117</v>
      </c>
      <c r="J4917" s="23">
        <v>12</v>
      </c>
      <c r="K4917" s="37">
        <v>0</v>
      </c>
      <c r="M4917" s="22">
        <f>IF(OR(ISBLANK(C4917),C4917=""),"",ROUND((C4917-B4917)*24,2))</f>
        <v>9.75</v>
      </c>
      <c r="N4917" s="40" t="str">
        <f>IF(OR(ISBLANK(C4917),C4917="",M4917=""),"In Progress",IF(M4917&lt;=J4917,"Met","Breached"))</f>
        <v>Met</v>
      </c>
    </row>
    <row r="4918" ht="19" customHeight="1" spans="1:14" x14ac:dyDescent="0.25">
      <c r="A4918" s="19" t="s">
        <v>5032</v>
      </c>
      <c r="B4918" s="33">
        <v>45745.99375</v>
      </c>
      <c r="C4918" s="33">
        <v>45751.82083333333</v>
      </c>
      <c r="D4918" s="19" t="s">
        <v>33</v>
      </c>
      <c r="E4918" s="19" t="s">
        <v>69</v>
      </c>
      <c r="F4918" s="19" t="s">
        <v>37</v>
      </c>
      <c r="G4918" s="19" t="s">
        <v>126</v>
      </c>
      <c r="H4918" s="19" t="s">
        <v>67</v>
      </c>
      <c r="I4918" s="19" t="s">
        <v>117</v>
      </c>
      <c r="J4918" s="20">
        <v>120</v>
      </c>
      <c r="K4918" s="34">
        <v>0</v>
      </c>
      <c r="M4918" s="19">
        <f>IF(OR(ISBLANK(C4918),C4918=""),"",ROUND((C4918-B4918)*24,2))</f>
        <v>139.85</v>
      </c>
      <c r="N4918" s="39" t="str">
        <f>IF(OR(ISBLANK(C4918),C4918="",M4918=""),"In Progress",IF(M4918&lt;=J4918,"Met","Breached"))</f>
        <v>Breached</v>
      </c>
    </row>
    <row r="4919" ht="19" customHeight="1" spans="1:14" x14ac:dyDescent="0.25">
      <c r="A4919" s="22" t="s">
        <v>5033</v>
      </c>
      <c r="B4919" s="36">
        <v>46247.009722222225</v>
      </c>
      <c r="C4919" s="36">
        <v>46249.236805555556</v>
      </c>
      <c r="D4919" s="22" t="s">
        <v>33</v>
      </c>
      <c r="E4919" s="22" t="s">
        <v>69</v>
      </c>
      <c r="F4919" s="22" t="s">
        <v>34</v>
      </c>
      <c r="G4919" s="22" t="s">
        <v>116</v>
      </c>
      <c r="H4919" s="22" t="s">
        <v>63</v>
      </c>
      <c r="I4919" s="22" t="s">
        <v>147</v>
      </c>
      <c r="J4919" s="23">
        <v>120</v>
      </c>
      <c r="K4919" s="37">
        <v>0</v>
      </c>
      <c r="L4919" s="37">
        <v>2</v>
      </c>
      <c r="M4919" s="22">
        <f>IF(OR(ISBLANK(C4919),C4919=""),"",ROUND((C4919-B4919)*24,2))</f>
        <v>53.45</v>
      </c>
      <c r="N4919" s="40" t="str">
        <f>IF(OR(ISBLANK(C4919),C4919="",M4919=""),"In Progress",IF(M4919&lt;=J4919,"Met","Breached"))</f>
        <v>Met</v>
      </c>
    </row>
    <row r="4920" ht="19" customHeight="1" spans="1:14" x14ac:dyDescent="0.25">
      <c r="A4920" s="19" t="s">
        <v>5034</v>
      </c>
      <c r="B4920" s="33">
        <v>45721.05972222222</v>
      </c>
      <c r="D4920" s="19" t="s">
        <v>39</v>
      </c>
      <c r="E4920" s="19" t="s">
        <v>65</v>
      </c>
      <c r="F4920" s="19" t="s">
        <v>34</v>
      </c>
      <c r="G4920" s="19" t="s">
        <v>63</v>
      </c>
      <c r="H4920" s="19" t="s">
        <v>67</v>
      </c>
      <c r="I4920" s="19" t="s">
        <v>111</v>
      </c>
      <c r="J4920" s="20">
        <v>48</v>
      </c>
      <c r="K4920" s="34">
        <v>0</v>
      </c>
      <c r="M4920" s="19" t="str">
        <f>IF(OR(ISBLANK(C4920),C4920=""),"",ROUND((C4920-B4920)*24,2))</f>
        <v/>
      </c>
      <c r="N4920" s="19" t="str">
        <f>IF(OR(ISBLANK(C4920),C4920="",M4920=""),"In Progress",IF(M4920&lt;=J4920,"Met","Breached"))</f>
        <v>In Progress</v>
      </c>
    </row>
    <row r="4921" ht="19" customHeight="1" spans="1:14" x14ac:dyDescent="0.25">
      <c r="A4921" s="22" t="s">
        <v>5035</v>
      </c>
      <c r="B4921" s="36">
        <v>45866.993055555555</v>
      </c>
      <c r="C4921" s="36">
        <v>45870.03611111111</v>
      </c>
      <c r="D4921" s="22" t="s">
        <v>33</v>
      </c>
      <c r="E4921" s="22" t="s">
        <v>65</v>
      </c>
      <c r="F4921" s="22" t="s">
        <v>45</v>
      </c>
      <c r="G4921" s="22" t="s">
        <v>113</v>
      </c>
      <c r="H4921" s="22" t="s">
        <v>63</v>
      </c>
      <c r="I4921" s="22" t="s">
        <v>147</v>
      </c>
      <c r="J4921" s="23">
        <v>48</v>
      </c>
      <c r="K4921" s="37">
        <v>0</v>
      </c>
      <c r="M4921" s="22">
        <f>IF(OR(ISBLANK(C4921),C4921=""),"",ROUND((C4921-B4921)*24,2))</f>
        <v>73.03</v>
      </c>
      <c r="N4921" s="38" t="str">
        <f>IF(OR(ISBLANK(C4921),C4921="",M4921=""),"In Progress",IF(M4921&lt;=J4921,"Met","Breached"))</f>
        <v>Breached</v>
      </c>
    </row>
    <row r="4922" ht="19" customHeight="1" spans="1:14" x14ac:dyDescent="0.25">
      <c r="A4922" s="19" t="s">
        <v>5036</v>
      </c>
      <c r="B4922" s="33">
        <v>45778.81527777778</v>
      </c>
      <c r="C4922" s="33">
        <v>45779.743055555555</v>
      </c>
      <c r="D4922" s="19" t="s">
        <v>33</v>
      </c>
      <c r="E4922" s="19" t="s">
        <v>65</v>
      </c>
      <c r="F4922" s="19" t="s">
        <v>34</v>
      </c>
      <c r="G4922" s="19" t="s">
        <v>113</v>
      </c>
      <c r="H4922" s="19" t="s">
        <v>63</v>
      </c>
      <c r="I4922" s="19" t="s">
        <v>117</v>
      </c>
      <c r="J4922" s="20">
        <v>48</v>
      </c>
      <c r="K4922" s="34">
        <v>0</v>
      </c>
      <c r="M4922" s="19">
        <f>IF(OR(ISBLANK(C4922),C4922=""),"",ROUND((C4922-B4922)*24,2))</f>
        <v>22.27</v>
      </c>
      <c r="N4922" s="35" t="str">
        <f>IF(OR(ISBLANK(C4922),C4922="",M4922=""),"In Progress",IF(M4922&lt;=J4922,"Met","Breached"))</f>
        <v>Met</v>
      </c>
    </row>
    <row r="4923" ht="19" customHeight="1" spans="1:14" x14ac:dyDescent="0.25">
      <c r="A4923" s="22" t="s">
        <v>5037</v>
      </c>
      <c r="B4923" s="36">
        <v>46143.5125</v>
      </c>
      <c r="D4923" s="22" t="s">
        <v>39</v>
      </c>
      <c r="E4923" s="22" t="s">
        <v>69</v>
      </c>
      <c r="F4923" s="22" t="s">
        <v>43</v>
      </c>
      <c r="G4923" s="22" t="s">
        <v>126</v>
      </c>
      <c r="H4923" s="22" t="s">
        <v>59</v>
      </c>
      <c r="I4923" s="22" t="s">
        <v>147</v>
      </c>
      <c r="J4923" s="23">
        <v>120</v>
      </c>
      <c r="K4923" s="37">
        <v>0</v>
      </c>
      <c r="M4923" s="22" t="str">
        <f>IF(OR(ISBLANK(C4923),C4923=""),"",ROUND((C4923-B4923)*24,2))</f>
        <v/>
      </c>
      <c r="N4923" s="22" t="str">
        <f>IF(OR(ISBLANK(C4923),C4923="",M4923=""),"In Progress",IF(M4923&lt;=J4923,"Met","Breached"))</f>
        <v>In Progress</v>
      </c>
    </row>
    <row r="4924" ht="19" customHeight="1" spans="1:14" x14ac:dyDescent="0.25">
      <c r="A4924" s="19" t="s">
        <v>5038</v>
      </c>
      <c r="B4924" s="33">
        <v>46266.03055555555</v>
      </c>
      <c r="C4924" s="33">
        <v>46266.67222222222</v>
      </c>
      <c r="D4924" s="19" t="s">
        <v>36</v>
      </c>
      <c r="E4924" s="19" t="s">
        <v>61</v>
      </c>
      <c r="F4924" s="19" t="s">
        <v>37</v>
      </c>
      <c r="G4924" s="19" t="s">
        <v>126</v>
      </c>
      <c r="H4924" s="19" t="s">
        <v>63</v>
      </c>
      <c r="I4924" s="19" t="s">
        <v>114</v>
      </c>
      <c r="J4924" s="20">
        <v>12</v>
      </c>
      <c r="K4924" s="34">
        <v>0</v>
      </c>
      <c r="L4924" s="34">
        <v>4</v>
      </c>
      <c r="M4924" s="19">
        <f>IF(OR(ISBLANK(C4924),C4924=""),"",ROUND((C4924-B4924)*24,2))</f>
        <v>15.4</v>
      </c>
      <c r="N4924" s="39" t="str">
        <f>IF(OR(ISBLANK(C4924),C4924="",M4924=""),"In Progress",IF(M4924&lt;=J4924,"Met","Breached"))</f>
        <v>Breached</v>
      </c>
    </row>
    <row r="4925" ht="19" customHeight="1" spans="1:14" x14ac:dyDescent="0.25">
      <c r="A4925" s="22" t="s">
        <v>5039</v>
      </c>
      <c r="B4925" s="36">
        <v>45663.69652777778</v>
      </c>
      <c r="D4925" s="22" t="s">
        <v>39</v>
      </c>
      <c r="E4925" s="22" t="s">
        <v>57</v>
      </c>
      <c r="F4925" s="22" t="s">
        <v>45</v>
      </c>
      <c r="G4925" s="22" t="s">
        <v>113</v>
      </c>
      <c r="H4925" s="22" t="s">
        <v>59</v>
      </c>
      <c r="I4925" s="22" t="s">
        <v>111</v>
      </c>
      <c r="J4925" s="23">
        <v>4</v>
      </c>
      <c r="K4925" s="37">
        <v>0</v>
      </c>
      <c r="M4925" s="22" t="str">
        <f>IF(OR(ISBLANK(C4925),C4925=""),"",ROUND((C4925-B4925)*24,2))</f>
        <v/>
      </c>
      <c r="N4925" s="22" t="str">
        <f>IF(OR(ISBLANK(C4925),C4925="",M4925=""),"In Progress",IF(M4925&lt;=J4925,"Met","Breached"))</f>
        <v>In Progress</v>
      </c>
    </row>
    <row r="4926" ht="19" customHeight="1" spans="1:14" x14ac:dyDescent="0.25">
      <c r="A4926" s="19" t="s">
        <v>5040</v>
      </c>
      <c r="B4926" s="33">
        <v>45824.38125</v>
      </c>
      <c r="C4926" s="33">
        <v>45824.805555555555</v>
      </c>
      <c r="D4926" s="19" t="s">
        <v>33</v>
      </c>
      <c r="E4926" s="19" t="s">
        <v>61</v>
      </c>
      <c r="F4926" s="19" t="s">
        <v>40</v>
      </c>
      <c r="G4926" s="19" t="s">
        <v>110</v>
      </c>
      <c r="H4926" s="19" t="s">
        <v>67</v>
      </c>
      <c r="I4926" s="19" t="s">
        <v>117</v>
      </c>
      <c r="J4926" s="20">
        <v>12</v>
      </c>
      <c r="K4926" s="34">
        <v>0</v>
      </c>
      <c r="M4926" s="19">
        <f>IF(OR(ISBLANK(C4926),C4926=""),"",ROUND((C4926-B4926)*24,2))</f>
        <v>10.18</v>
      </c>
      <c r="N4926" s="35" t="str">
        <f>IF(OR(ISBLANK(C4926),C4926="",M4926=""),"In Progress",IF(M4926&lt;=J4926,"Met","Breached"))</f>
        <v>Met</v>
      </c>
    </row>
    <row r="4927" ht="19" customHeight="1" spans="1:14" x14ac:dyDescent="0.25">
      <c r="A4927" s="22" t="s">
        <v>5041</v>
      </c>
      <c r="B4927" s="36">
        <v>45910.58472222222</v>
      </c>
      <c r="C4927" s="36">
        <v>45911.00347222222</v>
      </c>
      <c r="D4927" s="22" t="s">
        <v>36</v>
      </c>
      <c r="E4927" s="22" t="s">
        <v>61</v>
      </c>
      <c r="F4927" s="22" t="s">
        <v>37</v>
      </c>
      <c r="G4927" s="22" t="s">
        <v>63</v>
      </c>
      <c r="H4927" s="22" t="s">
        <v>67</v>
      </c>
      <c r="I4927" s="22" t="s">
        <v>114</v>
      </c>
      <c r="J4927" s="23">
        <v>12</v>
      </c>
      <c r="K4927" s="37">
        <v>0</v>
      </c>
      <c r="M4927" s="22">
        <f>IF(OR(ISBLANK(C4927),C4927=""),"",ROUND((C4927-B4927)*24,2))</f>
        <v>10.05</v>
      </c>
      <c r="N4927" s="40" t="str">
        <f>IF(OR(ISBLANK(C4927),C4927="",M4927=""),"In Progress",IF(M4927&lt;=J4927,"Met","Breached"))</f>
        <v>Met</v>
      </c>
    </row>
    <row r="4928" ht="19" customHeight="1" spans="1:14" x14ac:dyDescent="0.25">
      <c r="A4928" s="19" t="s">
        <v>5042</v>
      </c>
      <c r="B4928" s="33">
        <v>45697.44236111111</v>
      </c>
      <c r="D4928" s="19" t="s">
        <v>39</v>
      </c>
      <c r="E4928" s="19" t="s">
        <v>69</v>
      </c>
      <c r="F4928" s="19" t="s">
        <v>34</v>
      </c>
      <c r="G4928" s="19" t="s">
        <v>121</v>
      </c>
      <c r="H4928" s="19" t="s">
        <v>59</v>
      </c>
      <c r="I4928" s="19" t="s">
        <v>108</v>
      </c>
      <c r="J4928" s="20">
        <v>120</v>
      </c>
      <c r="K4928" s="34">
        <v>0</v>
      </c>
      <c r="M4928" s="19" t="str">
        <f>IF(OR(ISBLANK(C4928),C4928=""),"",ROUND((C4928-B4928)*24,2))</f>
        <v/>
      </c>
      <c r="N4928" s="19" t="str">
        <f>IF(OR(ISBLANK(C4928),C4928="",M4928=""),"In Progress",IF(M4928&lt;=J4928,"Met","Breached"))</f>
        <v>In Progress</v>
      </c>
    </row>
    <row r="4929" ht="19" customHeight="1" spans="1:14" x14ac:dyDescent="0.25">
      <c r="A4929" s="22" t="s">
        <v>5043</v>
      </c>
      <c r="B4929" s="36">
        <v>45717.74166666667</v>
      </c>
      <c r="C4929" s="36">
        <v>45720.12986111111</v>
      </c>
      <c r="D4929" s="22" t="s">
        <v>33</v>
      </c>
      <c r="E4929" s="22" t="s">
        <v>65</v>
      </c>
      <c r="F4929" s="22" t="s">
        <v>40</v>
      </c>
      <c r="G4929" s="22" t="s">
        <v>116</v>
      </c>
      <c r="H4929" s="22" t="s">
        <v>59</v>
      </c>
      <c r="I4929" s="22" t="s">
        <v>117</v>
      </c>
      <c r="J4929" s="23">
        <v>48</v>
      </c>
      <c r="K4929" s="37">
        <v>0</v>
      </c>
      <c r="L4929" s="37">
        <v>5</v>
      </c>
      <c r="M4929" s="22">
        <f>IF(OR(ISBLANK(C4929),C4929=""),"",ROUND((C4929-B4929)*24,2))</f>
        <v>57.32</v>
      </c>
      <c r="N4929" s="38" t="str">
        <f>IF(OR(ISBLANK(C4929),C4929="",M4929=""),"In Progress",IF(M4929&lt;=J4929,"Met","Breached"))</f>
        <v>Breached</v>
      </c>
    </row>
    <row r="4930" ht="19" customHeight="1" spans="1:14" x14ac:dyDescent="0.25">
      <c r="A4930" s="19" t="s">
        <v>5044</v>
      </c>
      <c r="B4930" s="33">
        <v>46048.429861111115</v>
      </c>
      <c r="C4930" s="33">
        <v>46048.70486111111</v>
      </c>
      <c r="D4930" s="19" t="s">
        <v>36</v>
      </c>
      <c r="E4930" s="19" t="s">
        <v>61</v>
      </c>
      <c r="F4930" s="19" t="s">
        <v>40</v>
      </c>
      <c r="G4930" s="19" t="s">
        <v>110</v>
      </c>
      <c r="H4930" s="19" t="s">
        <v>59</v>
      </c>
      <c r="I4930" s="19" t="s">
        <v>111</v>
      </c>
      <c r="J4930" s="20">
        <v>12</v>
      </c>
      <c r="K4930" s="34">
        <v>0</v>
      </c>
      <c r="M4930" s="19">
        <f>IF(OR(ISBLANK(C4930),C4930=""),"",ROUND((C4930-B4930)*24,2))</f>
        <v>6.6</v>
      </c>
      <c r="N4930" s="35" t="str">
        <f>IF(OR(ISBLANK(C4930),C4930="",M4930=""),"In Progress",IF(M4930&lt;=J4930,"Met","Breached"))</f>
        <v>Met</v>
      </c>
    </row>
    <row r="4931" ht="19" customHeight="1" spans="1:14" x14ac:dyDescent="0.25">
      <c r="A4931" s="22" t="s">
        <v>5045</v>
      </c>
      <c r="B4931" s="36">
        <v>45694.009722222225</v>
      </c>
      <c r="D4931" s="22" t="s">
        <v>39</v>
      </c>
      <c r="E4931" s="22" t="s">
        <v>61</v>
      </c>
      <c r="F4931" s="22" t="s">
        <v>34</v>
      </c>
      <c r="G4931" s="22" t="s">
        <v>113</v>
      </c>
      <c r="H4931" s="22" t="s">
        <v>59</v>
      </c>
      <c r="I4931" s="22" t="s">
        <v>108</v>
      </c>
      <c r="J4931" s="23">
        <v>12</v>
      </c>
      <c r="K4931" s="37">
        <v>0</v>
      </c>
      <c r="M4931" s="22" t="str">
        <f>IF(OR(ISBLANK(C4931),C4931=""),"",ROUND((C4931-B4931)*24,2))</f>
        <v/>
      </c>
      <c r="N4931" s="22" t="str">
        <f>IF(OR(ISBLANK(C4931),C4931="",M4931=""),"In Progress",IF(M4931&lt;=J4931,"Met","Breached"))</f>
        <v>In Progress</v>
      </c>
    </row>
    <row r="4932" ht="19" customHeight="1" spans="1:14" x14ac:dyDescent="0.25">
      <c r="A4932" s="19" t="s">
        <v>5046</v>
      </c>
      <c r="B4932" s="33">
        <v>45660.75555555556</v>
      </c>
      <c r="C4932" s="33">
        <v>45660.89097222222</v>
      </c>
      <c r="D4932" s="19" t="s">
        <v>33</v>
      </c>
      <c r="E4932" s="19" t="s">
        <v>57</v>
      </c>
      <c r="F4932" s="19" t="s">
        <v>43</v>
      </c>
      <c r="G4932" s="19" t="s">
        <v>121</v>
      </c>
      <c r="H4932" s="19" t="s">
        <v>59</v>
      </c>
      <c r="I4932" s="19" t="s">
        <v>108</v>
      </c>
      <c r="J4932" s="20">
        <v>4</v>
      </c>
      <c r="K4932" s="34">
        <v>0</v>
      </c>
      <c r="L4932" s="34">
        <v>4</v>
      </c>
      <c r="M4932" s="19">
        <f>IF(OR(ISBLANK(C4932),C4932=""),"",ROUND((C4932-B4932)*24,2))</f>
        <v>3.25</v>
      </c>
      <c r="N4932" s="35" t="str">
        <f>IF(OR(ISBLANK(C4932),C4932="",M4932=""),"In Progress",IF(M4932&lt;=J4932,"Met","Breached"))</f>
        <v>Met</v>
      </c>
    </row>
    <row r="4933" ht="19" customHeight="1" spans="1:14" x14ac:dyDescent="0.25">
      <c r="A4933" s="22" t="s">
        <v>5047</v>
      </c>
      <c r="B4933" s="36">
        <v>46105.9125</v>
      </c>
      <c r="C4933" s="36">
        <v>46107.675</v>
      </c>
      <c r="D4933" s="22" t="s">
        <v>36</v>
      </c>
      <c r="E4933" s="22" t="s">
        <v>65</v>
      </c>
      <c r="F4933" s="22" t="s">
        <v>45</v>
      </c>
      <c r="G4933" s="22" t="s">
        <v>110</v>
      </c>
      <c r="H4933" s="22" t="s">
        <v>67</v>
      </c>
      <c r="I4933" s="22" t="s">
        <v>114</v>
      </c>
      <c r="J4933" s="23">
        <v>48</v>
      </c>
      <c r="K4933" s="37">
        <v>0</v>
      </c>
      <c r="M4933" s="22">
        <f>IF(OR(ISBLANK(C4933),C4933=""),"",ROUND((C4933-B4933)*24,2))</f>
        <v>42.3</v>
      </c>
      <c r="N4933" s="40" t="str">
        <f>IF(OR(ISBLANK(C4933),C4933="",M4933=""),"In Progress",IF(M4933&lt;=J4933,"Met","Breached"))</f>
        <v>Met</v>
      </c>
    </row>
    <row r="4934" ht="19" customHeight="1" spans="1:14" x14ac:dyDescent="0.25">
      <c r="A4934" s="19" t="s">
        <v>5048</v>
      </c>
      <c r="B4934" s="33">
        <v>46080.518055555556</v>
      </c>
      <c r="C4934" s="33">
        <v>46082.445138888885</v>
      </c>
      <c r="D4934" s="19" t="s">
        <v>36</v>
      </c>
      <c r="E4934" s="19" t="s">
        <v>65</v>
      </c>
      <c r="F4934" s="19" t="s">
        <v>37</v>
      </c>
      <c r="G4934" s="19" t="s">
        <v>121</v>
      </c>
      <c r="H4934" s="19" t="s">
        <v>59</v>
      </c>
      <c r="I4934" s="19" t="s">
        <v>147</v>
      </c>
      <c r="J4934" s="20">
        <v>48</v>
      </c>
      <c r="K4934" s="34">
        <v>0</v>
      </c>
      <c r="L4934" s="34">
        <v>3</v>
      </c>
      <c r="M4934" s="19">
        <f>IF(OR(ISBLANK(C4934),C4934=""),"",ROUND((C4934-B4934)*24,2))</f>
        <v>46.25</v>
      </c>
      <c r="N4934" s="35" t="str">
        <f>IF(OR(ISBLANK(C4934),C4934="",M4934=""),"In Progress",IF(M4934&lt;=J4934,"Met","Breached"))</f>
        <v>Met</v>
      </c>
    </row>
    <row r="4935" ht="19" customHeight="1" spans="1:14" x14ac:dyDescent="0.25">
      <c r="A4935" s="22" t="s">
        <v>5049</v>
      </c>
      <c r="B4935" s="36">
        <v>45874.915972222225</v>
      </c>
      <c r="C4935" s="36">
        <v>45875.42222222222</v>
      </c>
      <c r="D4935" s="22" t="s">
        <v>33</v>
      </c>
      <c r="E4935" s="22" t="s">
        <v>61</v>
      </c>
      <c r="F4935" s="22" t="s">
        <v>37</v>
      </c>
      <c r="G4935" s="22" t="s">
        <v>116</v>
      </c>
      <c r="H4935" s="22" t="s">
        <v>59</v>
      </c>
      <c r="I4935" s="22" t="s">
        <v>117</v>
      </c>
      <c r="J4935" s="23">
        <v>12</v>
      </c>
      <c r="K4935" s="37">
        <v>0</v>
      </c>
      <c r="M4935" s="22">
        <f>IF(OR(ISBLANK(C4935),C4935=""),"",ROUND((C4935-B4935)*24,2))</f>
        <v>12.15</v>
      </c>
      <c r="N4935" s="38" t="str">
        <f>IF(OR(ISBLANK(C4935),C4935="",M4935=""),"In Progress",IF(M4935&lt;=J4935,"Met","Breached"))</f>
        <v>Breached</v>
      </c>
    </row>
    <row r="4936" ht="19" customHeight="1" spans="1:14" x14ac:dyDescent="0.25">
      <c r="A4936" s="19" t="s">
        <v>5050</v>
      </c>
      <c r="B4936" s="33">
        <v>45670.45625</v>
      </c>
      <c r="C4936" s="33">
        <v>45672.163194444445</v>
      </c>
      <c r="D4936" s="19" t="s">
        <v>36</v>
      </c>
      <c r="E4936" s="19" t="s">
        <v>65</v>
      </c>
      <c r="F4936" s="19" t="s">
        <v>37</v>
      </c>
      <c r="G4936" s="19" t="s">
        <v>116</v>
      </c>
      <c r="H4936" s="19" t="s">
        <v>59</v>
      </c>
      <c r="I4936" s="19" t="s">
        <v>108</v>
      </c>
      <c r="J4936" s="20">
        <v>48</v>
      </c>
      <c r="K4936" s="34">
        <v>0</v>
      </c>
      <c r="M4936" s="19">
        <f>IF(OR(ISBLANK(C4936),C4936=""),"",ROUND((C4936-B4936)*24,2))</f>
        <v>40.97</v>
      </c>
      <c r="N4936" s="35" t="str">
        <f>IF(OR(ISBLANK(C4936),C4936="",M4936=""),"In Progress",IF(M4936&lt;=J4936,"Met","Breached"))</f>
        <v>Met</v>
      </c>
    </row>
    <row r="4937" ht="19" customHeight="1" spans="1:14" x14ac:dyDescent="0.25">
      <c r="A4937" s="22" t="s">
        <v>5051</v>
      </c>
      <c r="B4937" s="36">
        <v>45833.72777777778</v>
      </c>
      <c r="C4937" s="36">
        <v>45838.18125</v>
      </c>
      <c r="D4937" s="22" t="s">
        <v>33</v>
      </c>
      <c r="E4937" s="22" t="s">
        <v>69</v>
      </c>
      <c r="F4937" s="22" t="s">
        <v>45</v>
      </c>
      <c r="G4937" s="22" t="s">
        <v>113</v>
      </c>
      <c r="H4937" s="22" t="s">
        <v>59</v>
      </c>
      <c r="I4937" s="22" t="s">
        <v>114</v>
      </c>
      <c r="J4937" s="23">
        <v>120</v>
      </c>
      <c r="K4937" s="37">
        <v>0</v>
      </c>
      <c r="L4937" s="37">
        <v>5</v>
      </c>
      <c r="M4937" s="22">
        <f>IF(OR(ISBLANK(C4937),C4937=""),"",ROUND((C4937-B4937)*24,2))</f>
        <v>106.88</v>
      </c>
      <c r="N4937" s="40" t="str">
        <f>IF(OR(ISBLANK(C4937),C4937="",M4937=""),"In Progress",IF(M4937&lt;=J4937,"Met","Breached"))</f>
        <v>Met</v>
      </c>
    </row>
    <row r="4938" ht="19" customHeight="1" spans="1:14" x14ac:dyDescent="0.25">
      <c r="A4938" s="19" t="s">
        <v>5052</v>
      </c>
      <c r="B4938" s="33">
        <v>45852.30972222222</v>
      </c>
      <c r="D4938" s="19" t="s">
        <v>39</v>
      </c>
      <c r="E4938" s="19" t="s">
        <v>65</v>
      </c>
      <c r="F4938" s="19" t="s">
        <v>37</v>
      </c>
      <c r="G4938" s="19" t="s">
        <v>63</v>
      </c>
      <c r="H4938" s="19" t="s">
        <v>63</v>
      </c>
      <c r="I4938" s="19" t="s">
        <v>147</v>
      </c>
      <c r="J4938" s="20">
        <v>48</v>
      </c>
      <c r="K4938" s="34">
        <v>0</v>
      </c>
      <c r="M4938" s="19" t="str">
        <f>IF(OR(ISBLANK(C4938),C4938=""),"",ROUND((C4938-B4938)*24,2))</f>
        <v/>
      </c>
      <c r="N4938" s="19" t="str">
        <f>IF(OR(ISBLANK(C4938),C4938="",M4938=""),"In Progress",IF(M4938&lt;=J4938,"Met","Breached"))</f>
        <v>In Progress</v>
      </c>
    </row>
    <row r="4939" ht="19" customHeight="1" spans="1:14" x14ac:dyDescent="0.25">
      <c r="A4939" s="22" t="s">
        <v>5053</v>
      </c>
      <c r="B4939" s="36">
        <v>46253.41875</v>
      </c>
      <c r="C4939" s="36">
        <v>46253.88333333333</v>
      </c>
      <c r="D4939" s="22" t="s">
        <v>33</v>
      </c>
      <c r="E4939" s="22" t="s">
        <v>61</v>
      </c>
      <c r="F4939" s="22" t="s">
        <v>34</v>
      </c>
      <c r="G4939" s="22" t="s">
        <v>121</v>
      </c>
      <c r="H4939" s="22" t="s">
        <v>67</v>
      </c>
      <c r="I4939" s="22" t="s">
        <v>114</v>
      </c>
      <c r="J4939" s="23">
        <v>12</v>
      </c>
      <c r="K4939" s="37">
        <v>0</v>
      </c>
      <c r="L4939" s="37">
        <v>2</v>
      </c>
      <c r="M4939" s="22">
        <f>IF(OR(ISBLANK(C4939),C4939=""),"",ROUND((C4939-B4939)*24,2))</f>
        <v>11.15</v>
      </c>
      <c r="N4939" s="40" t="str">
        <f>IF(OR(ISBLANK(C4939),C4939="",M4939=""),"In Progress",IF(M4939&lt;=J4939,"Met","Breached"))</f>
        <v>Met</v>
      </c>
    </row>
    <row r="4940" ht="19" customHeight="1" spans="1:14" x14ac:dyDescent="0.25">
      <c r="A4940" s="19" t="s">
        <v>5054</v>
      </c>
      <c r="B4940" s="33">
        <v>45832.32152777778</v>
      </c>
      <c r="C4940" s="33">
        <v>45833.763194444444</v>
      </c>
      <c r="D4940" s="19" t="s">
        <v>33</v>
      </c>
      <c r="E4940" s="19" t="s">
        <v>65</v>
      </c>
      <c r="F4940" s="19" t="s">
        <v>37</v>
      </c>
      <c r="G4940" s="19" t="s">
        <v>126</v>
      </c>
      <c r="H4940" s="19" t="s">
        <v>59</v>
      </c>
      <c r="I4940" s="19" t="s">
        <v>108</v>
      </c>
      <c r="J4940" s="20">
        <v>48</v>
      </c>
      <c r="K4940" s="34">
        <v>0</v>
      </c>
      <c r="L4940" s="34">
        <v>3</v>
      </c>
      <c r="M4940" s="19">
        <f>IF(OR(ISBLANK(C4940),C4940=""),"",ROUND((C4940-B4940)*24,2))</f>
        <v>34.6</v>
      </c>
      <c r="N4940" s="35" t="str">
        <f>IF(OR(ISBLANK(C4940),C4940="",M4940=""),"In Progress",IF(M4940&lt;=J4940,"Met","Breached"))</f>
        <v>Met</v>
      </c>
    </row>
    <row r="4941" ht="19" customHeight="1" spans="1:14" x14ac:dyDescent="0.25">
      <c r="A4941" s="22" t="s">
        <v>5055</v>
      </c>
      <c r="B4941" s="36">
        <v>45968.62152777778</v>
      </c>
      <c r="C4941" s="36">
        <v>45972.975694444445</v>
      </c>
      <c r="D4941" s="22" t="s">
        <v>33</v>
      </c>
      <c r="E4941" s="22" t="s">
        <v>69</v>
      </c>
      <c r="F4941" s="22" t="s">
        <v>37</v>
      </c>
      <c r="G4941" s="22" t="s">
        <v>63</v>
      </c>
      <c r="H4941" s="22" t="s">
        <v>71</v>
      </c>
      <c r="I4941" s="22" t="s">
        <v>117</v>
      </c>
      <c r="J4941" s="23">
        <v>120</v>
      </c>
      <c r="K4941" s="37">
        <v>0</v>
      </c>
      <c r="L4941" s="37">
        <v>5</v>
      </c>
      <c r="M4941" s="22">
        <f>IF(OR(ISBLANK(C4941),C4941=""),"",ROUND((C4941-B4941)*24,2))</f>
        <v>104.5</v>
      </c>
      <c r="N4941" s="40" t="str">
        <f>IF(OR(ISBLANK(C4941),C4941="",M4941=""),"In Progress",IF(M4941&lt;=J4941,"Met","Breached"))</f>
        <v>Met</v>
      </c>
    </row>
    <row r="4942" ht="19" customHeight="1" spans="1:14" x14ac:dyDescent="0.25">
      <c r="A4942" s="19" t="s">
        <v>5056</v>
      </c>
      <c r="B4942" s="33">
        <v>45767.45</v>
      </c>
      <c r="C4942" s="33">
        <v>45770.22777777778</v>
      </c>
      <c r="D4942" s="19" t="s">
        <v>33</v>
      </c>
      <c r="E4942" s="19" t="s">
        <v>69</v>
      </c>
      <c r="F4942" s="19" t="s">
        <v>34</v>
      </c>
      <c r="G4942" s="19" t="s">
        <v>121</v>
      </c>
      <c r="H4942" s="19" t="s">
        <v>59</v>
      </c>
      <c r="I4942" s="19" t="s">
        <v>111</v>
      </c>
      <c r="J4942" s="20">
        <v>120</v>
      </c>
      <c r="K4942" s="34">
        <v>0</v>
      </c>
      <c r="L4942" s="34">
        <v>3</v>
      </c>
      <c r="M4942" s="19">
        <f>IF(OR(ISBLANK(C4942),C4942=""),"",ROUND((C4942-B4942)*24,2))</f>
        <v>66.67</v>
      </c>
      <c r="N4942" s="35" t="str">
        <f>IF(OR(ISBLANK(C4942),C4942="",M4942=""),"In Progress",IF(M4942&lt;=J4942,"Met","Breached"))</f>
        <v>Met</v>
      </c>
    </row>
    <row r="4943" ht="19" customHeight="1" spans="1:14" x14ac:dyDescent="0.25">
      <c r="A4943" s="22" t="s">
        <v>5057</v>
      </c>
      <c r="B4943" s="36">
        <v>45784.211805555555</v>
      </c>
      <c r="C4943" s="36">
        <v>45784.600694444445</v>
      </c>
      <c r="D4943" s="22" t="s">
        <v>36</v>
      </c>
      <c r="E4943" s="22" t="s">
        <v>61</v>
      </c>
      <c r="F4943" s="22" t="s">
        <v>43</v>
      </c>
      <c r="G4943" s="22" t="s">
        <v>121</v>
      </c>
      <c r="H4943" s="22" t="s">
        <v>63</v>
      </c>
      <c r="I4943" s="22" t="s">
        <v>147</v>
      </c>
      <c r="J4943" s="23">
        <v>12</v>
      </c>
      <c r="K4943" s="37">
        <v>0</v>
      </c>
      <c r="M4943" s="22">
        <f>IF(OR(ISBLANK(C4943),C4943=""),"",ROUND((C4943-B4943)*24,2))</f>
        <v>9.33</v>
      </c>
      <c r="N4943" s="40" t="str">
        <f>IF(OR(ISBLANK(C4943),C4943="",M4943=""),"In Progress",IF(M4943&lt;=J4943,"Met","Breached"))</f>
        <v>Met</v>
      </c>
    </row>
    <row r="4944" ht="19" customHeight="1" spans="1:14" x14ac:dyDescent="0.25">
      <c r="A4944" s="19" t="s">
        <v>5058</v>
      </c>
      <c r="B4944" s="33">
        <v>46023.89722222222</v>
      </c>
      <c r="C4944" s="33">
        <v>46026.47222222222</v>
      </c>
      <c r="D4944" s="19" t="s">
        <v>33</v>
      </c>
      <c r="E4944" s="19" t="s">
        <v>65</v>
      </c>
      <c r="F4944" s="19" t="s">
        <v>40</v>
      </c>
      <c r="G4944" s="19" t="s">
        <v>110</v>
      </c>
      <c r="H4944" s="19" t="s">
        <v>63</v>
      </c>
      <c r="I4944" s="19" t="s">
        <v>117</v>
      </c>
      <c r="J4944" s="20">
        <v>48</v>
      </c>
      <c r="K4944" s="34">
        <v>0</v>
      </c>
      <c r="L4944" s="34">
        <v>2</v>
      </c>
      <c r="M4944" s="19">
        <f>IF(OR(ISBLANK(C4944),C4944=""),"",ROUND((C4944-B4944)*24,2))</f>
        <v>61.8</v>
      </c>
      <c r="N4944" s="39" t="str">
        <f>IF(OR(ISBLANK(C4944),C4944="",M4944=""),"In Progress",IF(M4944&lt;=J4944,"Met","Breached"))</f>
        <v>Breached</v>
      </c>
    </row>
    <row r="4945" ht="19" customHeight="1" spans="1:14" x14ac:dyDescent="0.25">
      <c r="A4945" s="22" t="s">
        <v>5059</v>
      </c>
      <c r="B4945" s="36">
        <v>45945.31388888889</v>
      </c>
      <c r="C4945" s="36">
        <v>45945.868055555555</v>
      </c>
      <c r="D4945" s="22" t="s">
        <v>33</v>
      </c>
      <c r="E4945" s="22" t="s">
        <v>61</v>
      </c>
      <c r="F4945" s="22" t="s">
        <v>37</v>
      </c>
      <c r="G4945" s="22" t="s">
        <v>113</v>
      </c>
      <c r="H4945" s="22" t="s">
        <v>59</v>
      </c>
      <c r="I4945" s="22" t="s">
        <v>111</v>
      </c>
      <c r="J4945" s="23">
        <v>12</v>
      </c>
      <c r="K4945" s="37">
        <v>0</v>
      </c>
      <c r="L4945" s="37">
        <v>1</v>
      </c>
      <c r="M4945" s="22">
        <f>IF(OR(ISBLANK(C4945),C4945=""),"",ROUND((C4945-B4945)*24,2))</f>
        <v>13.3</v>
      </c>
      <c r="N4945" s="38" t="str">
        <f>IF(OR(ISBLANK(C4945),C4945="",M4945=""),"In Progress",IF(M4945&lt;=J4945,"Met","Breached"))</f>
        <v>Breached</v>
      </c>
    </row>
    <row r="4946" ht="19" customHeight="1" spans="1:14" x14ac:dyDescent="0.25">
      <c r="A4946" s="19" t="s">
        <v>5060</v>
      </c>
      <c r="B4946" s="33">
        <v>45953.37638888889</v>
      </c>
      <c r="D4946" s="19" t="s">
        <v>39</v>
      </c>
      <c r="E4946" s="19" t="s">
        <v>61</v>
      </c>
      <c r="F4946" s="19" t="s">
        <v>40</v>
      </c>
      <c r="G4946" s="19" t="s">
        <v>63</v>
      </c>
      <c r="H4946" s="19" t="s">
        <v>71</v>
      </c>
      <c r="I4946" s="19" t="s">
        <v>114</v>
      </c>
      <c r="J4946" s="20">
        <v>12</v>
      </c>
      <c r="K4946" s="34">
        <v>0</v>
      </c>
      <c r="M4946" s="19" t="str">
        <f>IF(OR(ISBLANK(C4946),C4946=""),"",ROUND((C4946-B4946)*24,2))</f>
        <v/>
      </c>
      <c r="N4946" s="19" t="str">
        <f>IF(OR(ISBLANK(C4946),C4946="",M4946=""),"In Progress",IF(M4946&lt;=J4946,"Met","Breached"))</f>
        <v>In Progress</v>
      </c>
    </row>
    <row r="4947" ht="19" customHeight="1" spans="1:14" x14ac:dyDescent="0.25">
      <c r="A4947" s="22" t="s">
        <v>5061</v>
      </c>
      <c r="B4947" s="36">
        <v>45679.23402777778</v>
      </c>
      <c r="C4947" s="36">
        <v>45679.30069444445</v>
      </c>
      <c r="D4947" s="22" t="s">
        <v>36</v>
      </c>
      <c r="E4947" s="22" t="s">
        <v>57</v>
      </c>
      <c r="F4947" s="22" t="s">
        <v>37</v>
      </c>
      <c r="G4947" s="22" t="s">
        <v>116</v>
      </c>
      <c r="H4947" s="22" t="s">
        <v>63</v>
      </c>
      <c r="I4947" s="22" t="s">
        <v>123</v>
      </c>
      <c r="J4947" s="23">
        <v>4</v>
      </c>
      <c r="K4947" s="37">
        <v>0</v>
      </c>
      <c r="M4947" s="22">
        <f>IF(OR(ISBLANK(C4947),C4947=""),"",ROUND((C4947-B4947)*24,2))</f>
        <v>1.6</v>
      </c>
      <c r="N4947" s="40" t="str">
        <f>IF(OR(ISBLANK(C4947),C4947="",M4947=""),"In Progress",IF(M4947&lt;=J4947,"Met","Breached"))</f>
        <v>Met</v>
      </c>
    </row>
    <row r="4948" ht="19" customHeight="1" spans="1:14" x14ac:dyDescent="0.25">
      <c r="A4948" s="19" t="s">
        <v>5062</v>
      </c>
      <c r="B4948" s="33">
        <v>46262.72708333333</v>
      </c>
      <c r="C4948" s="33">
        <v>46266.94236111111</v>
      </c>
      <c r="D4948" s="19" t="s">
        <v>33</v>
      </c>
      <c r="E4948" s="19" t="s">
        <v>69</v>
      </c>
      <c r="F4948" s="19" t="s">
        <v>43</v>
      </c>
      <c r="G4948" s="19" t="s">
        <v>110</v>
      </c>
      <c r="H4948" s="19" t="s">
        <v>67</v>
      </c>
      <c r="I4948" s="19" t="s">
        <v>147</v>
      </c>
      <c r="J4948" s="20">
        <v>120</v>
      </c>
      <c r="K4948" s="34">
        <v>0</v>
      </c>
      <c r="M4948" s="19">
        <f>IF(OR(ISBLANK(C4948),C4948=""),"",ROUND((C4948-B4948)*24,2))</f>
        <v>101.17</v>
      </c>
      <c r="N4948" s="35" t="str">
        <f>IF(OR(ISBLANK(C4948),C4948="",M4948=""),"In Progress",IF(M4948&lt;=J4948,"Met","Breached"))</f>
        <v>Met</v>
      </c>
    </row>
    <row r="4949" ht="19" customHeight="1" spans="1:14" x14ac:dyDescent="0.25">
      <c r="A4949" s="22" t="s">
        <v>5063</v>
      </c>
      <c r="B4949" s="36">
        <v>46060.90902777778</v>
      </c>
      <c r="C4949" s="36">
        <v>46061.191666666666</v>
      </c>
      <c r="D4949" s="22" t="s">
        <v>33</v>
      </c>
      <c r="E4949" s="22" t="s">
        <v>57</v>
      </c>
      <c r="F4949" s="22" t="s">
        <v>40</v>
      </c>
      <c r="G4949" s="22" t="s">
        <v>126</v>
      </c>
      <c r="H4949" s="22" t="s">
        <v>59</v>
      </c>
      <c r="I4949" s="22" t="s">
        <v>114</v>
      </c>
      <c r="J4949" s="23">
        <v>4</v>
      </c>
      <c r="K4949" s="37">
        <v>0</v>
      </c>
      <c r="L4949" s="37">
        <v>3</v>
      </c>
      <c r="M4949" s="22">
        <f>IF(OR(ISBLANK(C4949),C4949=""),"",ROUND((C4949-B4949)*24,2))</f>
        <v>6.78</v>
      </c>
      <c r="N4949" s="38" t="str">
        <f>IF(OR(ISBLANK(C4949),C4949="",M4949=""),"In Progress",IF(M4949&lt;=J4949,"Met","Breached"))</f>
        <v>Breached</v>
      </c>
    </row>
    <row r="4950" ht="19" customHeight="1" spans="1:14" x14ac:dyDescent="0.25">
      <c r="A4950" s="19" t="s">
        <v>5064</v>
      </c>
      <c r="B4950" s="33">
        <v>46258.45416666666</v>
      </c>
      <c r="C4950" s="33">
        <v>46267.18194444444</v>
      </c>
      <c r="D4950" s="19" t="s">
        <v>33</v>
      </c>
      <c r="E4950" s="19" t="s">
        <v>69</v>
      </c>
      <c r="F4950" s="19" t="s">
        <v>34</v>
      </c>
      <c r="G4950" s="19" t="s">
        <v>113</v>
      </c>
      <c r="H4950" s="19" t="s">
        <v>59</v>
      </c>
      <c r="I4950" s="19" t="s">
        <v>111</v>
      </c>
      <c r="J4950" s="20">
        <v>120</v>
      </c>
      <c r="K4950" s="34">
        <v>0</v>
      </c>
      <c r="L4950" s="34">
        <v>5</v>
      </c>
      <c r="M4950" s="19">
        <f>IF(OR(ISBLANK(C4950),C4950=""),"",ROUND((C4950-B4950)*24,2))</f>
        <v>209.47</v>
      </c>
      <c r="N4950" s="39" t="str">
        <f>IF(OR(ISBLANK(C4950),C4950="",M4950=""),"In Progress",IF(M4950&lt;=J4950,"Met","Breached"))</f>
        <v>Breached</v>
      </c>
    </row>
    <row r="4951" ht="19" customHeight="1" spans="1:14" x14ac:dyDescent="0.25">
      <c r="A4951" s="22" t="s">
        <v>5065</v>
      </c>
      <c r="B4951" s="36">
        <v>45727.85277777778</v>
      </c>
      <c r="C4951" s="36">
        <v>45731.617361111115</v>
      </c>
      <c r="D4951" s="22" t="s">
        <v>33</v>
      </c>
      <c r="E4951" s="22" t="s">
        <v>69</v>
      </c>
      <c r="F4951" s="22" t="s">
        <v>45</v>
      </c>
      <c r="G4951" s="22" t="s">
        <v>126</v>
      </c>
      <c r="H4951" s="22" t="s">
        <v>59</v>
      </c>
      <c r="I4951" s="22" t="s">
        <v>117</v>
      </c>
      <c r="J4951" s="23">
        <v>120</v>
      </c>
      <c r="K4951" s="37">
        <v>1</v>
      </c>
      <c r="L4951" s="37">
        <v>4</v>
      </c>
      <c r="M4951" s="22">
        <f>IF(OR(ISBLANK(C4951),C4951=""),"",ROUND((C4951-B4951)*24,2))</f>
        <v>90.35</v>
      </c>
      <c r="N4951" s="40" t="str">
        <f>IF(OR(ISBLANK(C4951),C4951="",M4951=""),"In Progress",IF(M4951&lt;=J4951,"Met","Breached"))</f>
        <v>Met</v>
      </c>
    </row>
    <row r="4952" ht="19" customHeight="1" spans="1:14" x14ac:dyDescent="0.25">
      <c r="A4952" s="19" t="s">
        <v>5066</v>
      </c>
      <c r="B4952" s="33">
        <v>45669.96736111111</v>
      </c>
      <c r="C4952" s="33">
        <v>45671.81736111111</v>
      </c>
      <c r="D4952" s="19" t="s">
        <v>33</v>
      </c>
      <c r="E4952" s="19" t="s">
        <v>65</v>
      </c>
      <c r="F4952" s="19" t="s">
        <v>34</v>
      </c>
      <c r="G4952" s="19" t="s">
        <v>63</v>
      </c>
      <c r="H4952" s="19" t="s">
        <v>59</v>
      </c>
      <c r="I4952" s="19" t="s">
        <v>114</v>
      </c>
      <c r="J4952" s="20">
        <v>48</v>
      </c>
      <c r="K4952" s="34">
        <v>0</v>
      </c>
      <c r="L4952" s="34">
        <v>2</v>
      </c>
      <c r="M4952" s="19">
        <f>IF(OR(ISBLANK(C4952),C4952=""),"",ROUND((C4952-B4952)*24,2))</f>
        <v>44.4</v>
      </c>
      <c r="N4952" s="35" t="str">
        <f>IF(OR(ISBLANK(C4952),C4952="",M4952=""),"In Progress",IF(M4952&lt;=J4952,"Met","Breached"))</f>
        <v>Met</v>
      </c>
    </row>
    <row r="4953" ht="19" customHeight="1" spans="1:14" x14ac:dyDescent="0.25">
      <c r="A4953" s="22" t="s">
        <v>5067</v>
      </c>
      <c r="B4953" s="36">
        <v>46166.70972222222</v>
      </c>
      <c r="C4953" s="36">
        <v>46166.847916666666</v>
      </c>
      <c r="D4953" s="22" t="s">
        <v>33</v>
      </c>
      <c r="E4953" s="22" t="s">
        <v>57</v>
      </c>
      <c r="F4953" s="22" t="s">
        <v>43</v>
      </c>
      <c r="G4953" s="22" t="s">
        <v>110</v>
      </c>
      <c r="H4953" s="22" t="s">
        <v>63</v>
      </c>
      <c r="I4953" s="22" t="s">
        <v>108</v>
      </c>
      <c r="J4953" s="23">
        <v>4</v>
      </c>
      <c r="K4953" s="37">
        <v>0</v>
      </c>
      <c r="L4953" s="37">
        <v>3</v>
      </c>
      <c r="M4953" s="22">
        <f>IF(OR(ISBLANK(C4953),C4953=""),"",ROUND((C4953-B4953)*24,2))</f>
        <v>3.32</v>
      </c>
      <c r="N4953" s="40" t="str">
        <f>IF(OR(ISBLANK(C4953),C4953="",M4953=""),"In Progress",IF(M4953&lt;=J4953,"Met","Breached"))</f>
        <v>Met</v>
      </c>
    </row>
    <row r="4954" ht="19" customHeight="1" spans="1:14" x14ac:dyDescent="0.25">
      <c r="A4954" s="19" t="s">
        <v>5068</v>
      </c>
      <c r="B4954" s="33">
        <v>45866.13055555556</v>
      </c>
      <c r="C4954" s="33">
        <v>45866.35972222222</v>
      </c>
      <c r="D4954" s="19" t="s">
        <v>36</v>
      </c>
      <c r="E4954" s="19" t="s">
        <v>57</v>
      </c>
      <c r="F4954" s="19" t="s">
        <v>45</v>
      </c>
      <c r="G4954" s="19" t="s">
        <v>110</v>
      </c>
      <c r="H4954" s="19" t="s">
        <v>59</v>
      </c>
      <c r="I4954" s="19" t="s">
        <v>111</v>
      </c>
      <c r="J4954" s="20">
        <v>4</v>
      </c>
      <c r="K4954" s="34">
        <v>0</v>
      </c>
      <c r="L4954" s="34">
        <v>2</v>
      </c>
      <c r="M4954" s="19">
        <f>IF(OR(ISBLANK(C4954),C4954=""),"",ROUND((C4954-B4954)*24,2))</f>
        <v>5.5</v>
      </c>
      <c r="N4954" s="39" t="str">
        <f>IF(OR(ISBLANK(C4954),C4954="",M4954=""),"In Progress",IF(M4954&lt;=J4954,"Met","Breached"))</f>
        <v>Breached</v>
      </c>
    </row>
    <row r="4955" ht="19" customHeight="1" spans="1:14" x14ac:dyDescent="0.25">
      <c r="A4955" s="22" t="s">
        <v>5069</v>
      </c>
      <c r="B4955" s="36">
        <v>45822.04583333334</v>
      </c>
      <c r="C4955" s="36">
        <v>45822.55</v>
      </c>
      <c r="D4955" s="22" t="s">
        <v>33</v>
      </c>
      <c r="E4955" s="22" t="s">
        <v>61</v>
      </c>
      <c r="F4955" s="22" t="s">
        <v>43</v>
      </c>
      <c r="G4955" s="22" t="s">
        <v>126</v>
      </c>
      <c r="H4955" s="22" t="s">
        <v>59</v>
      </c>
      <c r="I4955" s="22" t="s">
        <v>114</v>
      </c>
      <c r="J4955" s="23">
        <v>12</v>
      </c>
      <c r="K4955" s="37">
        <v>0</v>
      </c>
      <c r="L4955" s="37">
        <v>3</v>
      </c>
      <c r="M4955" s="22">
        <f>IF(OR(ISBLANK(C4955),C4955=""),"",ROUND((C4955-B4955)*24,2))</f>
        <v>12.1</v>
      </c>
      <c r="N4955" s="38" t="str">
        <f>IF(OR(ISBLANK(C4955),C4955="",M4955=""),"In Progress",IF(M4955&lt;=J4955,"Met","Breached"))</f>
        <v>Breached</v>
      </c>
    </row>
    <row r="4956" ht="19" customHeight="1" spans="1:14" x14ac:dyDescent="0.25">
      <c r="A4956" s="19" t="s">
        <v>5070</v>
      </c>
      <c r="B4956" s="33">
        <v>46093.288888888885</v>
      </c>
      <c r="D4956" s="19" t="s">
        <v>39</v>
      </c>
      <c r="E4956" s="19" t="s">
        <v>69</v>
      </c>
      <c r="F4956" s="19" t="s">
        <v>45</v>
      </c>
      <c r="G4956" s="19" t="s">
        <v>63</v>
      </c>
      <c r="H4956" s="19" t="s">
        <v>71</v>
      </c>
      <c r="I4956" s="19" t="s">
        <v>111</v>
      </c>
      <c r="J4956" s="20">
        <v>120</v>
      </c>
      <c r="K4956" s="34">
        <v>0</v>
      </c>
      <c r="M4956" s="19" t="str">
        <f>IF(OR(ISBLANK(C4956),C4956=""),"",ROUND((C4956-B4956)*24,2))</f>
        <v/>
      </c>
      <c r="N4956" s="19" t="str">
        <f>IF(OR(ISBLANK(C4956),C4956="",M4956=""),"In Progress",IF(M4956&lt;=J4956,"Met","Breached"))</f>
        <v>In Progress</v>
      </c>
    </row>
    <row r="4957" ht="19" customHeight="1" spans="1:14" x14ac:dyDescent="0.25">
      <c r="A4957" s="22" t="s">
        <v>5071</v>
      </c>
      <c r="B4957" s="36">
        <v>45725.01527777778</v>
      </c>
      <c r="C4957" s="36">
        <v>45730.75347222222</v>
      </c>
      <c r="D4957" s="22" t="s">
        <v>33</v>
      </c>
      <c r="E4957" s="22" t="s">
        <v>69</v>
      </c>
      <c r="F4957" s="22" t="s">
        <v>37</v>
      </c>
      <c r="G4957" s="22" t="s">
        <v>110</v>
      </c>
      <c r="H4957" s="22" t="s">
        <v>71</v>
      </c>
      <c r="I4957" s="22" t="s">
        <v>111</v>
      </c>
      <c r="J4957" s="23">
        <v>120</v>
      </c>
      <c r="K4957" s="37">
        <v>0</v>
      </c>
      <c r="L4957" s="37">
        <v>5</v>
      </c>
      <c r="M4957" s="22">
        <f>IF(OR(ISBLANK(C4957),C4957=""),"",ROUND((C4957-B4957)*24,2))</f>
        <v>137.72</v>
      </c>
      <c r="N4957" s="38" t="str">
        <f>IF(OR(ISBLANK(C4957),C4957="",M4957=""),"In Progress",IF(M4957&lt;=J4957,"Met","Breached"))</f>
        <v>Breached</v>
      </c>
    </row>
    <row r="4958" ht="19" customHeight="1" spans="1:14" x14ac:dyDescent="0.25">
      <c r="A4958" s="19" t="s">
        <v>5072</v>
      </c>
      <c r="B4958" s="33">
        <v>46054.98263888889</v>
      </c>
      <c r="C4958" s="33">
        <v>46055.75277777778</v>
      </c>
      <c r="D4958" s="19" t="s">
        <v>33</v>
      </c>
      <c r="E4958" s="19" t="s">
        <v>61</v>
      </c>
      <c r="F4958" s="19" t="s">
        <v>34</v>
      </c>
      <c r="G4958" s="19" t="s">
        <v>63</v>
      </c>
      <c r="H4958" s="19" t="s">
        <v>59</v>
      </c>
      <c r="I4958" s="19" t="s">
        <v>147</v>
      </c>
      <c r="J4958" s="20">
        <v>12</v>
      </c>
      <c r="K4958" s="34">
        <v>0</v>
      </c>
      <c r="L4958" s="34">
        <v>5</v>
      </c>
      <c r="M4958" s="19">
        <f>IF(OR(ISBLANK(C4958),C4958=""),"",ROUND((C4958-B4958)*24,2))</f>
        <v>18.48</v>
      </c>
      <c r="N4958" s="39" t="str">
        <f>IF(OR(ISBLANK(C4958),C4958="",M4958=""),"In Progress",IF(M4958&lt;=J4958,"Met","Breached"))</f>
        <v>Breached</v>
      </c>
    </row>
    <row r="4959" ht="19" customHeight="1" spans="1:14" x14ac:dyDescent="0.25">
      <c r="A4959" s="22" t="s">
        <v>5073</v>
      </c>
      <c r="B4959" s="36">
        <v>46238.55069444445</v>
      </c>
      <c r="C4959" s="36">
        <v>46240.78402777778</v>
      </c>
      <c r="D4959" s="22" t="s">
        <v>36</v>
      </c>
      <c r="E4959" s="22" t="s">
        <v>65</v>
      </c>
      <c r="F4959" s="22" t="s">
        <v>37</v>
      </c>
      <c r="G4959" s="22" t="s">
        <v>110</v>
      </c>
      <c r="H4959" s="22" t="s">
        <v>67</v>
      </c>
      <c r="I4959" s="22" t="s">
        <v>111</v>
      </c>
      <c r="J4959" s="23">
        <v>48</v>
      </c>
      <c r="K4959" s="37">
        <v>0</v>
      </c>
      <c r="L4959" s="37">
        <v>1</v>
      </c>
      <c r="M4959" s="22">
        <f>IF(OR(ISBLANK(C4959),C4959=""),"",ROUND((C4959-B4959)*24,2))</f>
        <v>53.6</v>
      </c>
      <c r="N4959" s="38" t="str">
        <f>IF(OR(ISBLANK(C4959),C4959="",M4959=""),"In Progress",IF(M4959&lt;=J4959,"Met","Breached"))</f>
        <v>Breached</v>
      </c>
    </row>
    <row r="4960" ht="19" customHeight="1" spans="1:14" x14ac:dyDescent="0.25">
      <c r="A4960" s="19" t="s">
        <v>5074</v>
      </c>
      <c r="B4960" s="33">
        <v>46136.4</v>
      </c>
      <c r="D4960" s="19" t="s">
        <v>39</v>
      </c>
      <c r="E4960" s="19" t="s">
        <v>57</v>
      </c>
      <c r="F4960" s="19" t="s">
        <v>43</v>
      </c>
      <c r="G4960" s="19" t="s">
        <v>121</v>
      </c>
      <c r="H4960" s="19" t="s">
        <v>63</v>
      </c>
      <c r="I4960" s="19" t="s">
        <v>147</v>
      </c>
      <c r="J4960" s="20">
        <v>4</v>
      </c>
      <c r="K4960" s="34">
        <v>0</v>
      </c>
      <c r="M4960" s="19" t="str">
        <f>IF(OR(ISBLANK(C4960),C4960=""),"",ROUND((C4960-B4960)*24,2))</f>
        <v/>
      </c>
      <c r="N4960" s="19" t="str">
        <f>IF(OR(ISBLANK(C4960),C4960="",M4960=""),"In Progress",IF(M4960&lt;=J4960,"Met","Breached"))</f>
        <v>In Progress</v>
      </c>
    </row>
    <row r="4961" ht="19" customHeight="1" spans="1:14" x14ac:dyDescent="0.25">
      <c r="A4961" s="22" t="s">
        <v>5075</v>
      </c>
      <c r="B4961" s="36">
        <v>45744.40625</v>
      </c>
      <c r="C4961" s="36">
        <v>45746.98541666666</v>
      </c>
      <c r="D4961" s="22" t="s">
        <v>36</v>
      </c>
      <c r="E4961" s="22" t="s">
        <v>65</v>
      </c>
      <c r="F4961" s="22" t="s">
        <v>40</v>
      </c>
      <c r="G4961" s="22" t="s">
        <v>126</v>
      </c>
      <c r="H4961" s="22" t="s">
        <v>67</v>
      </c>
      <c r="I4961" s="22" t="s">
        <v>114</v>
      </c>
      <c r="J4961" s="23">
        <v>48</v>
      </c>
      <c r="K4961" s="37">
        <v>0</v>
      </c>
      <c r="L4961" s="37">
        <v>4</v>
      </c>
      <c r="M4961" s="22">
        <f>IF(OR(ISBLANK(C4961),C4961=""),"",ROUND((C4961-B4961)*24,2))</f>
        <v>61.9</v>
      </c>
      <c r="N4961" s="38" t="str">
        <f>IF(OR(ISBLANK(C4961),C4961="",M4961=""),"In Progress",IF(M4961&lt;=J4961,"Met","Breached"))</f>
        <v>Breached</v>
      </c>
    </row>
    <row r="4962" ht="19" customHeight="1" spans="1:14" x14ac:dyDescent="0.25">
      <c r="A4962" s="19" t="s">
        <v>5076</v>
      </c>
      <c r="B4962" s="33">
        <v>45990.6875</v>
      </c>
      <c r="C4962" s="33">
        <v>45991.09652777778</v>
      </c>
      <c r="D4962" s="19" t="s">
        <v>33</v>
      </c>
      <c r="E4962" s="19" t="s">
        <v>61</v>
      </c>
      <c r="F4962" s="19" t="s">
        <v>45</v>
      </c>
      <c r="G4962" s="19" t="s">
        <v>110</v>
      </c>
      <c r="H4962" s="19" t="s">
        <v>63</v>
      </c>
      <c r="I4962" s="19" t="s">
        <v>117</v>
      </c>
      <c r="J4962" s="20">
        <v>12</v>
      </c>
      <c r="K4962" s="34">
        <v>0</v>
      </c>
      <c r="L4962" s="34">
        <v>4</v>
      </c>
      <c r="M4962" s="19">
        <f>IF(OR(ISBLANK(C4962),C4962=""),"",ROUND((C4962-B4962)*24,2))</f>
        <v>9.82</v>
      </c>
      <c r="N4962" s="35" t="str">
        <f>IF(OR(ISBLANK(C4962),C4962="",M4962=""),"In Progress",IF(M4962&lt;=J4962,"Met","Breached"))</f>
        <v>Met</v>
      </c>
    </row>
    <row r="4963" ht="19" customHeight="1" spans="1:14" x14ac:dyDescent="0.25">
      <c r="A4963" s="22" t="s">
        <v>5077</v>
      </c>
      <c r="B4963" s="36">
        <v>46248.18125</v>
      </c>
      <c r="C4963" s="36">
        <v>46249.83541666667</v>
      </c>
      <c r="D4963" s="22" t="s">
        <v>33</v>
      </c>
      <c r="E4963" s="22" t="s">
        <v>69</v>
      </c>
      <c r="F4963" s="22" t="s">
        <v>45</v>
      </c>
      <c r="G4963" s="22" t="s">
        <v>113</v>
      </c>
      <c r="H4963" s="22" t="s">
        <v>59</v>
      </c>
      <c r="I4963" s="22" t="s">
        <v>114</v>
      </c>
      <c r="J4963" s="23">
        <v>120</v>
      </c>
      <c r="K4963" s="37">
        <v>0</v>
      </c>
      <c r="L4963" s="37">
        <v>4</v>
      </c>
      <c r="M4963" s="22">
        <f>IF(OR(ISBLANK(C4963),C4963=""),"",ROUND((C4963-B4963)*24,2))</f>
        <v>39.7</v>
      </c>
      <c r="N4963" s="40" t="str">
        <f>IF(OR(ISBLANK(C4963),C4963="",M4963=""),"In Progress",IF(M4963&lt;=J4963,"Met","Breached"))</f>
        <v>Met</v>
      </c>
    </row>
    <row r="4964" ht="19" customHeight="1" spans="1:14" x14ac:dyDescent="0.25">
      <c r="A4964" s="19" t="s">
        <v>5078</v>
      </c>
      <c r="B4964" s="33">
        <v>45705.95694444445</v>
      </c>
      <c r="C4964" s="33">
        <v>45708.29305555555</v>
      </c>
      <c r="D4964" s="19" t="s">
        <v>36</v>
      </c>
      <c r="E4964" s="19" t="s">
        <v>65</v>
      </c>
      <c r="F4964" s="19" t="s">
        <v>37</v>
      </c>
      <c r="G4964" s="19" t="s">
        <v>116</v>
      </c>
      <c r="H4964" s="19" t="s">
        <v>67</v>
      </c>
      <c r="I4964" s="19" t="s">
        <v>114</v>
      </c>
      <c r="J4964" s="20">
        <v>48</v>
      </c>
      <c r="K4964" s="34">
        <v>0</v>
      </c>
      <c r="M4964" s="19">
        <f>IF(OR(ISBLANK(C4964),C4964=""),"",ROUND((C4964-B4964)*24,2))</f>
        <v>56.07</v>
      </c>
      <c r="N4964" s="39" t="str">
        <f>IF(OR(ISBLANK(C4964),C4964="",M4964=""),"In Progress",IF(M4964&lt;=J4964,"Met","Breached"))</f>
        <v>Breached</v>
      </c>
    </row>
    <row r="4965" ht="19" customHeight="1" spans="1:14" x14ac:dyDescent="0.25">
      <c r="A4965" s="22" t="s">
        <v>5079</v>
      </c>
      <c r="B4965" s="36">
        <v>45951.65763888889</v>
      </c>
      <c r="C4965" s="36">
        <v>45952.43680555555</v>
      </c>
      <c r="D4965" s="22" t="s">
        <v>33</v>
      </c>
      <c r="E4965" s="22" t="s">
        <v>61</v>
      </c>
      <c r="F4965" s="22" t="s">
        <v>43</v>
      </c>
      <c r="G4965" s="22" t="s">
        <v>63</v>
      </c>
      <c r="H4965" s="22" t="s">
        <v>59</v>
      </c>
      <c r="I4965" s="22" t="s">
        <v>117</v>
      </c>
      <c r="J4965" s="23">
        <v>12</v>
      </c>
      <c r="K4965" s="37">
        <v>0</v>
      </c>
      <c r="L4965" s="37">
        <v>3</v>
      </c>
      <c r="M4965" s="22">
        <f>IF(OR(ISBLANK(C4965),C4965=""),"",ROUND((C4965-B4965)*24,2))</f>
        <v>18.7</v>
      </c>
      <c r="N4965" s="38" t="str">
        <f>IF(OR(ISBLANK(C4965),C4965="",M4965=""),"In Progress",IF(M4965&lt;=J4965,"Met","Breached"))</f>
        <v>Breached</v>
      </c>
    </row>
    <row r="4966" ht="19" customHeight="1" spans="1:14" x14ac:dyDescent="0.25">
      <c r="A4966" s="19" t="s">
        <v>5080</v>
      </c>
      <c r="B4966" s="33">
        <v>46118.34097222222</v>
      </c>
      <c r="C4966" s="33">
        <v>46119.441666666666</v>
      </c>
      <c r="D4966" s="19" t="s">
        <v>36</v>
      </c>
      <c r="E4966" s="19" t="s">
        <v>65</v>
      </c>
      <c r="F4966" s="19" t="s">
        <v>43</v>
      </c>
      <c r="G4966" s="19" t="s">
        <v>126</v>
      </c>
      <c r="H4966" s="19" t="s">
        <v>63</v>
      </c>
      <c r="I4966" s="19" t="s">
        <v>114</v>
      </c>
      <c r="J4966" s="20">
        <v>48</v>
      </c>
      <c r="K4966" s="34">
        <v>0</v>
      </c>
      <c r="L4966" s="34">
        <v>2</v>
      </c>
      <c r="M4966" s="19">
        <f>IF(OR(ISBLANK(C4966),C4966=""),"",ROUND((C4966-B4966)*24,2))</f>
        <v>26.42</v>
      </c>
      <c r="N4966" s="35" t="str">
        <f>IF(OR(ISBLANK(C4966),C4966="",M4966=""),"In Progress",IF(M4966&lt;=J4966,"Met","Breached"))</f>
        <v>Met</v>
      </c>
    </row>
    <row r="4967" ht="19" customHeight="1" spans="1:14" x14ac:dyDescent="0.25">
      <c r="A4967" s="22" t="s">
        <v>5081</v>
      </c>
      <c r="B4967" s="36">
        <v>46162.694444444445</v>
      </c>
      <c r="D4967" s="22" t="s">
        <v>39</v>
      </c>
      <c r="E4967" s="22" t="s">
        <v>65</v>
      </c>
      <c r="F4967" s="22" t="s">
        <v>45</v>
      </c>
      <c r="G4967" s="22" t="s">
        <v>116</v>
      </c>
      <c r="H4967" s="22" t="s">
        <v>59</v>
      </c>
      <c r="I4967" s="22" t="s">
        <v>147</v>
      </c>
      <c r="J4967" s="23">
        <v>48</v>
      </c>
      <c r="K4967" s="37">
        <v>0</v>
      </c>
      <c r="M4967" s="22" t="str">
        <f>IF(OR(ISBLANK(C4967),C4967=""),"",ROUND((C4967-B4967)*24,2))</f>
        <v/>
      </c>
      <c r="N4967" s="22" t="str">
        <f>IF(OR(ISBLANK(C4967),C4967="",M4967=""),"In Progress",IF(M4967&lt;=J4967,"Met","Breached"))</f>
        <v>In Progress</v>
      </c>
    </row>
    <row r="4968" ht="19" customHeight="1" spans="1:14" x14ac:dyDescent="0.25">
      <c r="A4968" s="19" t="s">
        <v>5082</v>
      </c>
      <c r="B4968" s="33">
        <v>45954.49097222222</v>
      </c>
      <c r="C4968" s="33">
        <v>45954.774305555555</v>
      </c>
      <c r="D4968" s="19" t="s">
        <v>36</v>
      </c>
      <c r="E4968" s="19" t="s">
        <v>61</v>
      </c>
      <c r="F4968" s="19" t="s">
        <v>40</v>
      </c>
      <c r="G4968" s="19" t="s">
        <v>121</v>
      </c>
      <c r="H4968" s="19" t="s">
        <v>59</v>
      </c>
      <c r="I4968" s="19" t="s">
        <v>111</v>
      </c>
      <c r="J4968" s="20">
        <v>12</v>
      </c>
      <c r="K4968" s="34">
        <v>0</v>
      </c>
      <c r="L4968" s="34">
        <v>2</v>
      </c>
      <c r="M4968" s="19">
        <f>IF(OR(ISBLANK(C4968),C4968=""),"",ROUND((C4968-B4968)*24,2))</f>
        <v>6.8</v>
      </c>
      <c r="N4968" s="35" t="str">
        <f>IF(OR(ISBLANK(C4968),C4968="",M4968=""),"In Progress",IF(M4968&lt;=J4968,"Met","Breached"))</f>
        <v>Met</v>
      </c>
    </row>
    <row r="4969" ht="19" customHeight="1" spans="1:14" x14ac:dyDescent="0.25">
      <c r="A4969" s="22" t="s">
        <v>5083</v>
      </c>
      <c r="B4969" s="36">
        <v>45769.34861111111</v>
      </c>
      <c r="C4969" s="36">
        <v>45770.50902777778</v>
      </c>
      <c r="D4969" s="22" t="s">
        <v>36</v>
      </c>
      <c r="E4969" s="22" t="s">
        <v>65</v>
      </c>
      <c r="F4969" s="22" t="s">
        <v>45</v>
      </c>
      <c r="G4969" s="22" t="s">
        <v>110</v>
      </c>
      <c r="H4969" s="22" t="s">
        <v>67</v>
      </c>
      <c r="I4969" s="22" t="s">
        <v>147</v>
      </c>
      <c r="J4969" s="23">
        <v>48</v>
      </c>
      <c r="K4969" s="37">
        <v>0</v>
      </c>
      <c r="L4969" s="37">
        <v>5</v>
      </c>
      <c r="M4969" s="22">
        <f>IF(OR(ISBLANK(C4969),C4969=""),"",ROUND((C4969-B4969)*24,2))</f>
        <v>27.85</v>
      </c>
      <c r="N4969" s="40" t="str">
        <f>IF(OR(ISBLANK(C4969),C4969="",M4969=""),"In Progress",IF(M4969&lt;=J4969,"Met","Breached"))</f>
        <v>Met</v>
      </c>
    </row>
    <row r="4970" ht="19" customHeight="1" spans="1:14" x14ac:dyDescent="0.25">
      <c r="A4970" s="19" t="s">
        <v>5084</v>
      </c>
      <c r="B4970" s="33">
        <v>45951.65347222222</v>
      </c>
      <c r="C4970" s="33">
        <v>45956.24444444444</v>
      </c>
      <c r="D4970" s="19" t="s">
        <v>36</v>
      </c>
      <c r="E4970" s="19" t="s">
        <v>69</v>
      </c>
      <c r="F4970" s="19" t="s">
        <v>45</v>
      </c>
      <c r="G4970" s="19" t="s">
        <v>110</v>
      </c>
      <c r="H4970" s="19" t="s">
        <v>59</v>
      </c>
      <c r="I4970" s="19" t="s">
        <v>117</v>
      </c>
      <c r="J4970" s="20">
        <v>120</v>
      </c>
      <c r="K4970" s="34">
        <v>0</v>
      </c>
      <c r="L4970" s="34">
        <v>1</v>
      </c>
      <c r="M4970" s="19">
        <f>IF(OR(ISBLANK(C4970),C4970=""),"",ROUND((C4970-B4970)*24,2))</f>
        <v>110.18</v>
      </c>
      <c r="N4970" s="35" t="str">
        <f>IF(OR(ISBLANK(C4970),C4970="",M4970=""),"In Progress",IF(M4970&lt;=J4970,"Met","Breached"))</f>
        <v>Met</v>
      </c>
    </row>
    <row r="4971" ht="19" customHeight="1" spans="1:14" x14ac:dyDescent="0.25">
      <c r="A4971" s="22" t="s">
        <v>5085</v>
      </c>
      <c r="B4971" s="36">
        <v>46282.09027777778</v>
      </c>
      <c r="C4971" s="36">
        <v>46282.33125</v>
      </c>
      <c r="D4971" s="22" t="s">
        <v>33</v>
      </c>
      <c r="E4971" s="22" t="s">
        <v>61</v>
      </c>
      <c r="F4971" s="22" t="s">
        <v>34</v>
      </c>
      <c r="G4971" s="22" t="s">
        <v>116</v>
      </c>
      <c r="H4971" s="22" t="s">
        <v>71</v>
      </c>
      <c r="I4971" s="22" t="s">
        <v>147</v>
      </c>
      <c r="J4971" s="23">
        <v>12</v>
      </c>
      <c r="K4971" s="37">
        <v>0</v>
      </c>
      <c r="L4971" s="37">
        <v>3</v>
      </c>
      <c r="M4971" s="22">
        <f>IF(OR(ISBLANK(C4971),C4971=""),"",ROUND((C4971-B4971)*24,2))</f>
        <v>5.78</v>
      </c>
      <c r="N4971" s="40" t="str">
        <f>IF(OR(ISBLANK(C4971),C4971="",M4971=""),"In Progress",IF(M4971&lt;=J4971,"Met","Breached"))</f>
        <v>Met</v>
      </c>
    </row>
    <row r="4972" ht="19" customHeight="1" spans="1:14" x14ac:dyDescent="0.25">
      <c r="A4972" s="19" t="s">
        <v>5086</v>
      </c>
      <c r="B4972" s="33">
        <v>46146.50069444445</v>
      </c>
      <c r="C4972" s="33">
        <v>46152.072222222225</v>
      </c>
      <c r="D4972" s="19" t="s">
        <v>36</v>
      </c>
      <c r="E4972" s="19" t="s">
        <v>69</v>
      </c>
      <c r="F4972" s="19" t="s">
        <v>34</v>
      </c>
      <c r="G4972" s="19" t="s">
        <v>63</v>
      </c>
      <c r="H4972" s="19" t="s">
        <v>71</v>
      </c>
      <c r="I4972" s="19" t="s">
        <v>114</v>
      </c>
      <c r="J4972" s="20">
        <v>120</v>
      </c>
      <c r="K4972" s="34">
        <v>0</v>
      </c>
      <c r="M4972" s="19">
        <f>IF(OR(ISBLANK(C4972),C4972=""),"",ROUND((C4972-B4972)*24,2))</f>
        <v>133.72</v>
      </c>
      <c r="N4972" s="39" t="str">
        <f>IF(OR(ISBLANK(C4972),C4972="",M4972=""),"In Progress",IF(M4972&lt;=J4972,"Met","Breached"))</f>
        <v>Breached</v>
      </c>
    </row>
    <row r="4973" ht="19" customHeight="1" spans="1:14" x14ac:dyDescent="0.25">
      <c r="A4973" s="22" t="s">
        <v>5087</v>
      </c>
      <c r="B4973" s="36">
        <v>46200.40555555555</v>
      </c>
      <c r="C4973" s="36">
        <v>46204.61458333333</v>
      </c>
      <c r="D4973" s="22" t="s">
        <v>33</v>
      </c>
      <c r="E4973" s="22" t="s">
        <v>69</v>
      </c>
      <c r="F4973" s="22" t="s">
        <v>45</v>
      </c>
      <c r="G4973" s="22" t="s">
        <v>110</v>
      </c>
      <c r="H4973" s="22" t="s">
        <v>59</v>
      </c>
      <c r="I4973" s="22" t="s">
        <v>147</v>
      </c>
      <c r="J4973" s="23">
        <v>120</v>
      </c>
      <c r="K4973" s="37">
        <v>0</v>
      </c>
      <c r="L4973" s="37">
        <v>2</v>
      </c>
      <c r="M4973" s="22">
        <f>IF(OR(ISBLANK(C4973),C4973=""),"",ROUND((C4973-B4973)*24,2))</f>
        <v>101.02</v>
      </c>
      <c r="N4973" s="40" t="str">
        <f>IF(OR(ISBLANK(C4973),C4973="",M4973=""),"In Progress",IF(M4973&lt;=J4973,"Met","Breached"))</f>
        <v>Met</v>
      </c>
    </row>
    <row r="4974" ht="19" customHeight="1" spans="1:14" x14ac:dyDescent="0.25">
      <c r="A4974" s="19" t="s">
        <v>5088</v>
      </c>
      <c r="B4974" s="33">
        <v>46090.20972222222</v>
      </c>
      <c r="C4974" s="33">
        <v>46096.69236111111</v>
      </c>
      <c r="D4974" s="19" t="s">
        <v>33</v>
      </c>
      <c r="E4974" s="19" t="s">
        <v>69</v>
      </c>
      <c r="F4974" s="19" t="s">
        <v>37</v>
      </c>
      <c r="G4974" s="19" t="s">
        <v>126</v>
      </c>
      <c r="H4974" s="19" t="s">
        <v>59</v>
      </c>
      <c r="I4974" s="19" t="s">
        <v>123</v>
      </c>
      <c r="J4974" s="20">
        <v>120</v>
      </c>
      <c r="K4974" s="34">
        <v>0</v>
      </c>
      <c r="L4974" s="34">
        <v>5</v>
      </c>
      <c r="M4974" s="19">
        <f>IF(OR(ISBLANK(C4974),C4974=""),"",ROUND((C4974-B4974)*24,2))</f>
        <v>155.58</v>
      </c>
      <c r="N4974" s="39" t="str">
        <f>IF(OR(ISBLANK(C4974),C4974="",M4974=""),"In Progress",IF(M4974&lt;=J4974,"Met","Breached"))</f>
        <v>Breached</v>
      </c>
    </row>
    <row r="4975" ht="19" customHeight="1" spans="1:14" x14ac:dyDescent="0.25">
      <c r="A4975" s="22" t="s">
        <v>5089</v>
      </c>
      <c r="B4975" s="36">
        <v>45739.580555555556</v>
      </c>
      <c r="C4975" s="36">
        <v>45740.40069444444</v>
      </c>
      <c r="D4975" s="22" t="s">
        <v>33</v>
      </c>
      <c r="E4975" s="22" t="s">
        <v>61</v>
      </c>
      <c r="F4975" s="22" t="s">
        <v>40</v>
      </c>
      <c r="G4975" s="22" t="s">
        <v>121</v>
      </c>
      <c r="H4975" s="22" t="s">
        <v>63</v>
      </c>
      <c r="I4975" s="22" t="s">
        <v>147</v>
      </c>
      <c r="J4975" s="23">
        <v>12</v>
      </c>
      <c r="K4975" s="37">
        <v>0</v>
      </c>
      <c r="L4975" s="37">
        <v>5</v>
      </c>
      <c r="M4975" s="22">
        <f>IF(OR(ISBLANK(C4975),C4975=""),"",ROUND((C4975-B4975)*24,2))</f>
        <v>19.68</v>
      </c>
      <c r="N4975" s="38" t="str">
        <f>IF(OR(ISBLANK(C4975),C4975="",M4975=""),"In Progress",IF(M4975&lt;=J4975,"Met","Breached"))</f>
        <v>Breached</v>
      </c>
    </row>
    <row r="4976" ht="19" customHeight="1" spans="1:14" x14ac:dyDescent="0.25">
      <c r="A4976" s="19" t="s">
        <v>5090</v>
      </c>
      <c r="B4976" s="33">
        <v>45959.09166666667</v>
      </c>
      <c r="C4976" s="33">
        <v>45960.69375</v>
      </c>
      <c r="D4976" s="19" t="s">
        <v>33</v>
      </c>
      <c r="E4976" s="19" t="s">
        <v>65</v>
      </c>
      <c r="F4976" s="19" t="s">
        <v>43</v>
      </c>
      <c r="G4976" s="19" t="s">
        <v>121</v>
      </c>
      <c r="H4976" s="19" t="s">
        <v>63</v>
      </c>
      <c r="I4976" s="19" t="s">
        <v>123</v>
      </c>
      <c r="J4976" s="20">
        <v>48</v>
      </c>
      <c r="K4976" s="34">
        <v>0</v>
      </c>
      <c r="L4976" s="34">
        <v>3</v>
      </c>
      <c r="M4976" s="19">
        <f>IF(OR(ISBLANK(C4976),C4976=""),"",ROUND((C4976-B4976)*24,2))</f>
        <v>38.45</v>
      </c>
      <c r="N4976" s="35" t="str">
        <f>IF(OR(ISBLANK(C4976),C4976="",M4976=""),"In Progress",IF(M4976&lt;=J4976,"Met","Breached"))</f>
        <v>Met</v>
      </c>
    </row>
    <row r="4977" ht="19" customHeight="1" spans="1:14" x14ac:dyDescent="0.25">
      <c r="A4977" s="22" t="s">
        <v>5091</v>
      </c>
      <c r="B4977" s="36">
        <v>46197.169444444444</v>
      </c>
      <c r="C4977" s="36">
        <v>46198.74097222222</v>
      </c>
      <c r="D4977" s="22" t="s">
        <v>36</v>
      </c>
      <c r="E4977" s="22" t="s">
        <v>65</v>
      </c>
      <c r="F4977" s="22" t="s">
        <v>45</v>
      </c>
      <c r="G4977" s="22" t="s">
        <v>116</v>
      </c>
      <c r="H4977" s="22" t="s">
        <v>59</v>
      </c>
      <c r="I4977" s="22" t="s">
        <v>108</v>
      </c>
      <c r="J4977" s="23">
        <v>48</v>
      </c>
      <c r="K4977" s="37">
        <v>0</v>
      </c>
      <c r="L4977" s="37">
        <v>2</v>
      </c>
      <c r="M4977" s="22">
        <f>IF(OR(ISBLANK(C4977),C4977=""),"",ROUND((C4977-B4977)*24,2))</f>
        <v>37.72</v>
      </c>
      <c r="N4977" s="40" t="str">
        <f>IF(OR(ISBLANK(C4977),C4977="",M4977=""),"In Progress",IF(M4977&lt;=J4977,"Met","Breached"))</f>
        <v>Met</v>
      </c>
    </row>
    <row r="4978" ht="19" customHeight="1" spans="1:14" x14ac:dyDescent="0.25">
      <c r="A4978" s="19" t="s">
        <v>5092</v>
      </c>
      <c r="B4978" s="33">
        <v>45743.070138888885</v>
      </c>
      <c r="C4978" s="33">
        <v>45743.4</v>
      </c>
      <c r="D4978" s="19" t="s">
        <v>33</v>
      </c>
      <c r="E4978" s="19" t="s">
        <v>61</v>
      </c>
      <c r="F4978" s="19" t="s">
        <v>34</v>
      </c>
      <c r="G4978" s="19" t="s">
        <v>110</v>
      </c>
      <c r="H4978" s="19" t="s">
        <v>63</v>
      </c>
      <c r="I4978" s="19" t="s">
        <v>111</v>
      </c>
      <c r="J4978" s="20">
        <v>12</v>
      </c>
      <c r="K4978" s="34">
        <v>0</v>
      </c>
      <c r="L4978" s="34">
        <v>1</v>
      </c>
      <c r="M4978" s="19">
        <f>IF(OR(ISBLANK(C4978),C4978=""),"",ROUND((C4978-B4978)*24,2))</f>
        <v>7.92</v>
      </c>
      <c r="N4978" s="35" t="str">
        <f>IF(OR(ISBLANK(C4978),C4978="",M4978=""),"In Progress",IF(M4978&lt;=J4978,"Met","Breached"))</f>
        <v>Met</v>
      </c>
    </row>
    <row r="4979" ht="19" customHeight="1" spans="1:14" x14ac:dyDescent="0.25">
      <c r="A4979" s="22" t="s">
        <v>5093</v>
      </c>
      <c r="B4979" s="36">
        <v>45749.31805555556</v>
      </c>
      <c r="C4979" s="36">
        <v>45751.25347222222</v>
      </c>
      <c r="D4979" s="22" t="s">
        <v>33</v>
      </c>
      <c r="E4979" s="22" t="s">
        <v>65</v>
      </c>
      <c r="F4979" s="22" t="s">
        <v>34</v>
      </c>
      <c r="G4979" s="22" t="s">
        <v>126</v>
      </c>
      <c r="H4979" s="22" t="s">
        <v>71</v>
      </c>
      <c r="I4979" s="22" t="s">
        <v>147</v>
      </c>
      <c r="J4979" s="23">
        <v>48</v>
      </c>
      <c r="K4979" s="37">
        <v>0</v>
      </c>
      <c r="L4979" s="37">
        <v>3</v>
      </c>
      <c r="M4979" s="22">
        <f>IF(OR(ISBLANK(C4979),C4979=""),"",ROUND((C4979-B4979)*24,2))</f>
        <v>46.45</v>
      </c>
      <c r="N4979" s="40" t="str">
        <f>IF(OR(ISBLANK(C4979),C4979="",M4979=""),"In Progress",IF(M4979&lt;=J4979,"Met","Breached"))</f>
        <v>Met</v>
      </c>
    </row>
    <row r="4980" ht="19" customHeight="1" spans="1:14" x14ac:dyDescent="0.25">
      <c r="A4980" s="19" t="s">
        <v>5094</v>
      </c>
      <c r="B4980" s="33">
        <v>46114.8125</v>
      </c>
      <c r="C4980" s="33">
        <v>46116.025</v>
      </c>
      <c r="D4980" s="19" t="s">
        <v>33</v>
      </c>
      <c r="E4980" s="19" t="s">
        <v>65</v>
      </c>
      <c r="F4980" s="19" t="s">
        <v>43</v>
      </c>
      <c r="G4980" s="19" t="s">
        <v>126</v>
      </c>
      <c r="H4980" s="19" t="s">
        <v>59</v>
      </c>
      <c r="I4980" s="19" t="s">
        <v>123</v>
      </c>
      <c r="J4980" s="20">
        <v>48</v>
      </c>
      <c r="K4980" s="34">
        <v>0</v>
      </c>
      <c r="L4980" s="34">
        <v>3</v>
      </c>
      <c r="M4980" s="19">
        <f>IF(OR(ISBLANK(C4980),C4980=""),"",ROUND((C4980-B4980)*24,2))</f>
        <v>29.1</v>
      </c>
      <c r="N4980" s="35" t="str">
        <f>IF(OR(ISBLANK(C4980),C4980="",M4980=""),"In Progress",IF(M4980&lt;=J4980,"Met","Breached"))</f>
        <v>Met</v>
      </c>
    </row>
    <row r="4981" ht="19" customHeight="1" spans="1:14" x14ac:dyDescent="0.25">
      <c r="A4981" s="22" t="s">
        <v>5095</v>
      </c>
      <c r="B4981" s="36">
        <v>46172.89791666667</v>
      </c>
      <c r="C4981" s="36">
        <v>46181.02916666667</v>
      </c>
      <c r="D4981" s="22" t="s">
        <v>36</v>
      </c>
      <c r="E4981" s="22" t="s">
        <v>69</v>
      </c>
      <c r="F4981" s="22" t="s">
        <v>43</v>
      </c>
      <c r="G4981" s="22" t="s">
        <v>121</v>
      </c>
      <c r="H4981" s="22" t="s">
        <v>59</v>
      </c>
      <c r="I4981" s="22" t="s">
        <v>117</v>
      </c>
      <c r="J4981" s="23">
        <v>120</v>
      </c>
      <c r="K4981" s="37">
        <v>0</v>
      </c>
      <c r="M4981" s="22">
        <f>IF(OR(ISBLANK(C4981),C4981=""),"",ROUND((C4981-B4981)*24,2))</f>
        <v>195.15</v>
      </c>
      <c r="N4981" s="38" t="str">
        <f>IF(OR(ISBLANK(C4981),C4981="",M4981=""),"In Progress",IF(M4981&lt;=J4981,"Met","Breached"))</f>
        <v>Breached</v>
      </c>
    </row>
    <row r="4982" ht="19" customHeight="1" spans="1:14" x14ac:dyDescent="0.25">
      <c r="A4982" s="19" t="s">
        <v>5096</v>
      </c>
      <c r="B4982" s="33">
        <v>46123.06111111111</v>
      </c>
      <c r="C4982" s="33">
        <v>46123.72361111111</v>
      </c>
      <c r="D4982" s="19" t="s">
        <v>33</v>
      </c>
      <c r="E4982" s="19" t="s">
        <v>65</v>
      </c>
      <c r="F4982" s="19" t="s">
        <v>40</v>
      </c>
      <c r="G4982" s="19" t="s">
        <v>126</v>
      </c>
      <c r="H4982" s="19" t="s">
        <v>59</v>
      </c>
      <c r="I4982" s="19" t="s">
        <v>108</v>
      </c>
      <c r="J4982" s="20">
        <v>48</v>
      </c>
      <c r="K4982" s="34">
        <v>0</v>
      </c>
      <c r="L4982" s="34">
        <v>4</v>
      </c>
      <c r="M4982" s="19">
        <f>IF(OR(ISBLANK(C4982),C4982=""),"",ROUND((C4982-B4982)*24,2))</f>
        <v>15.9</v>
      </c>
      <c r="N4982" s="35" t="str">
        <f>IF(OR(ISBLANK(C4982),C4982="",M4982=""),"In Progress",IF(M4982&lt;=J4982,"Met","Breached"))</f>
        <v>Met</v>
      </c>
    </row>
    <row r="4983" ht="19" customHeight="1" spans="1:14" x14ac:dyDescent="0.25">
      <c r="A4983" s="22" t="s">
        <v>5097</v>
      </c>
      <c r="B4983" s="36">
        <v>46232.493055555555</v>
      </c>
      <c r="C4983" s="36">
        <v>46233.5</v>
      </c>
      <c r="D4983" s="22" t="s">
        <v>36</v>
      </c>
      <c r="E4983" s="22" t="s">
        <v>65</v>
      </c>
      <c r="F4983" s="22" t="s">
        <v>40</v>
      </c>
      <c r="G4983" s="22" t="s">
        <v>110</v>
      </c>
      <c r="H4983" s="22" t="s">
        <v>59</v>
      </c>
      <c r="I4983" s="22" t="s">
        <v>114</v>
      </c>
      <c r="J4983" s="23">
        <v>48</v>
      </c>
      <c r="K4983" s="37">
        <v>0</v>
      </c>
      <c r="L4983" s="37">
        <v>5</v>
      </c>
      <c r="M4983" s="22">
        <f>IF(OR(ISBLANK(C4983),C4983=""),"",ROUND((C4983-B4983)*24,2))</f>
        <v>24.17</v>
      </c>
      <c r="N4983" s="40" t="str">
        <f>IF(OR(ISBLANK(C4983),C4983="",M4983=""),"In Progress",IF(M4983&lt;=J4983,"Met","Breached"))</f>
        <v>Met</v>
      </c>
    </row>
    <row r="4984" ht="19" customHeight="1" spans="1:14" x14ac:dyDescent="0.25">
      <c r="A4984" s="19" t="s">
        <v>5098</v>
      </c>
      <c r="B4984" s="33">
        <v>45740.84097222222</v>
      </c>
      <c r="C4984" s="33">
        <v>45741.23958333333</v>
      </c>
      <c r="D4984" s="19" t="s">
        <v>36</v>
      </c>
      <c r="E4984" s="19" t="s">
        <v>61</v>
      </c>
      <c r="F4984" s="19" t="s">
        <v>40</v>
      </c>
      <c r="G4984" s="19" t="s">
        <v>63</v>
      </c>
      <c r="H4984" s="19" t="s">
        <v>71</v>
      </c>
      <c r="I4984" s="19" t="s">
        <v>108</v>
      </c>
      <c r="J4984" s="20">
        <v>12</v>
      </c>
      <c r="K4984" s="34">
        <v>0</v>
      </c>
      <c r="L4984" s="34">
        <v>5</v>
      </c>
      <c r="M4984" s="19">
        <f>IF(OR(ISBLANK(C4984),C4984=""),"",ROUND((C4984-B4984)*24,2))</f>
        <v>9.57</v>
      </c>
      <c r="N4984" s="35" t="str">
        <f>IF(OR(ISBLANK(C4984),C4984="",M4984=""),"In Progress",IF(M4984&lt;=J4984,"Met","Breached"))</f>
        <v>Met</v>
      </c>
    </row>
    <row r="4985" ht="19" customHeight="1" spans="1:14" x14ac:dyDescent="0.25">
      <c r="A4985" s="22" t="s">
        <v>5099</v>
      </c>
      <c r="B4985" s="36">
        <v>46262.41527777778</v>
      </c>
      <c r="D4985" s="22" t="s">
        <v>39</v>
      </c>
      <c r="E4985" s="22" t="s">
        <v>61</v>
      </c>
      <c r="F4985" s="22" t="s">
        <v>43</v>
      </c>
      <c r="G4985" s="22" t="s">
        <v>116</v>
      </c>
      <c r="H4985" s="22" t="s">
        <v>67</v>
      </c>
      <c r="I4985" s="22" t="s">
        <v>147</v>
      </c>
      <c r="J4985" s="23">
        <v>12</v>
      </c>
      <c r="K4985" s="37">
        <v>0</v>
      </c>
      <c r="M4985" s="22" t="str">
        <f>IF(OR(ISBLANK(C4985),C4985=""),"",ROUND((C4985-B4985)*24,2))</f>
        <v/>
      </c>
      <c r="N4985" s="22" t="str">
        <f>IF(OR(ISBLANK(C4985),C4985="",M4985=""),"In Progress",IF(M4985&lt;=J4985,"Met","Breached"))</f>
        <v>In Progress</v>
      </c>
    </row>
    <row r="4986" ht="19" customHeight="1" spans="1:14" x14ac:dyDescent="0.25">
      <c r="A4986" s="19" t="s">
        <v>5100</v>
      </c>
      <c r="B4986" s="33">
        <v>45757.8125</v>
      </c>
      <c r="D4986" s="19" t="s">
        <v>39</v>
      </c>
      <c r="E4986" s="19" t="s">
        <v>57</v>
      </c>
      <c r="F4986" s="19" t="s">
        <v>40</v>
      </c>
      <c r="G4986" s="19" t="s">
        <v>116</v>
      </c>
      <c r="H4986" s="19" t="s">
        <v>63</v>
      </c>
      <c r="I4986" s="19" t="s">
        <v>114</v>
      </c>
      <c r="J4986" s="20">
        <v>4</v>
      </c>
      <c r="K4986" s="34">
        <v>0</v>
      </c>
      <c r="M4986" s="19" t="str">
        <f>IF(OR(ISBLANK(C4986),C4986=""),"",ROUND((C4986-B4986)*24,2))</f>
        <v/>
      </c>
      <c r="N4986" s="19" t="str">
        <f>IF(OR(ISBLANK(C4986),C4986="",M4986=""),"In Progress",IF(M4986&lt;=J4986,"Met","Breached"))</f>
        <v>In Progress</v>
      </c>
    </row>
    <row r="4987" ht="19" customHeight="1" spans="1:14" x14ac:dyDescent="0.25">
      <c r="A4987" s="22" t="s">
        <v>5101</v>
      </c>
      <c r="B4987" s="36">
        <v>46068.48541666666</v>
      </c>
      <c r="C4987" s="36">
        <v>46070.14791666667</v>
      </c>
      <c r="D4987" s="22" t="s">
        <v>33</v>
      </c>
      <c r="E4987" s="22" t="s">
        <v>65</v>
      </c>
      <c r="F4987" s="22" t="s">
        <v>43</v>
      </c>
      <c r="G4987" s="22" t="s">
        <v>110</v>
      </c>
      <c r="H4987" s="22" t="s">
        <v>63</v>
      </c>
      <c r="I4987" s="22" t="s">
        <v>123</v>
      </c>
      <c r="J4987" s="23">
        <v>48</v>
      </c>
      <c r="K4987" s="37">
        <v>0</v>
      </c>
      <c r="L4987" s="37">
        <v>3</v>
      </c>
      <c r="M4987" s="22">
        <f>IF(OR(ISBLANK(C4987),C4987=""),"",ROUND((C4987-B4987)*24,2))</f>
        <v>39.9</v>
      </c>
      <c r="N4987" s="40" t="str">
        <f>IF(OR(ISBLANK(C4987),C4987="",M4987=""),"In Progress",IF(M4987&lt;=J4987,"Met","Breached"))</f>
        <v>Met</v>
      </c>
    </row>
    <row r="4988" ht="19" customHeight="1" spans="1:14" x14ac:dyDescent="0.25">
      <c r="A4988" s="19" t="s">
        <v>5102</v>
      </c>
      <c r="B4988" s="33">
        <v>45691.64583333333</v>
      </c>
      <c r="D4988" s="19" t="s">
        <v>39</v>
      </c>
      <c r="E4988" s="19" t="s">
        <v>65</v>
      </c>
      <c r="F4988" s="19" t="s">
        <v>37</v>
      </c>
      <c r="G4988" s="19" t="s">
        <v>121</v>
      </c>
      <c r="H4988" s="19" t="s">
        <v>63</v>
      </c>
      <c r="I4988" s="19" t="s">
        <v>111</v>
      </c>
      <c r="J4988" s="20">
        <v>48</v>
      </c>
      <c r="K4988" s="34">
        <v>0</v>
      </c>
      <c r="M4988" s="19" t="str">
        <f>IF(OR(ISBLANK(C4988),C4988=""),"",ROUND((C4988-B4988)*24,2))</f>
        <v/>
      </c>
      <c r="N4988" s="19" t="str">
        <f>IF(OR(ISBLANK(C4988),C4988="",M4988=""),"In Progress",IF(M4988&lt;=J4988,"Met","Breached"))</f>
        <v>In Progress</v>
      </c>
    </row>
    <row r="4989" ht="19" customHeight="1" spans="1:14" x14ac:dyDescent="0.25">
      <c r="A4989" s="22" t="s">
        <v>5103</v>
      </c>
      <c r="B4989" s="36">
        <v>46265.46805555555</v>
      </c>
      <c r="C4989" s="36">
        <v>46267.10902777778</v>
      </c>
      <c r="D4989" s="22" t="s">
        <v>36</v>
      </c>
      <c r="E4989" s="22" t="s">
        <v>65</v>
      </c>
      <c r="F4989" s="22" t="s">
        <v>40</v>
      </c>
      <c r="G4989" s="22" t="s">
        <v>110</v>
      </c>
      <c r="H4989" s="22" t="s">
        <v>59</v>
      </c>
      <c r="I4989" s="22" t="s">
        <v>147</v>
      </c>
      <c r="J4989" s="23">
        <v>48</v>
      </c>
      <c r="K4989" s="37">
        <v>0</v>
      </c>
      <c r="L4989" s="37">
        <v>5</v>
      </c>
      <c r="M4989" s="22">
        <f>IF(OR(ISBLANK(C4989),C4989=""),"",ROUND((C4989-B4989)*24,2))</f>
        <v>39.38</v>
      </c>
      <c r="N4989" s="40" t="str">
        <f>IF(OR(ISBLANK(C4989),C4989="",M4989=""),"In Progress",IF(M4989&lt;=J4989,"Met","Breached"))</f>
        <v>Met</v>
      </c>
    </row>
    <row r="4990" ht="19" customHeight="1" spans="1:14" x14ac:dyDescent="0.25">
      <c r="A4990" s="19" t="s">
        <v>5104</v>
      </c>
      <c r="B4990" s="33">
        <v>46077.88402777778</v>
      </c>
      <c r="C4990" s="33">
        <v>46078.73055555555</v>
      </c>
      <c r="D4990" s="19" t="s">
        <v>33</v>
      </c>
      <c r="E4990" s="19" t="s">
        <v>65</v>
      </c>
      <c r="F4990" s="19" t="s">
        <v>43</v>
      </c>
      <c r="G4990" s="19" t="s">
        <v>110</v>
      </c>
      <c r="H4990" s="19" t="s">
        <v>59</v>
      </c>
      <c r="I4990" s="19" t="s">
        <v>147</v>
      </c>
      <c r="J4990" s="20">
        <v>48</v>
      </c>
      <c r="K4990" s="34">
        <v>0</v>
      </c>
      <c r="L4990" s="34">
        <v>5</v>
      </c>
      <c r="M4990" s="19">
        <f>IF(OR(ISBLANK(C4990),C4990=""),"",ROUND((C4990-B4990)*24,2))</f>
        <v>20.32</v>
      </c>
      <c r="N4990" s="35" t="str">
        <f>IF(OR(ISBLANK(C4990),C4990="",M4990=""),"In Progress",IF(M4990&lt;=J4990,"Met","Breached"))</f>
        <v>Met</v>
      </c>
    </row>
    <row r="4991" ht="19" customHeight="1" spans="1:14" x14ac:dyDescent="0.25">
      <c r="A4991" s="22" t="s">
        <v>5105</v>
      </c>
      <c r="B4991" s="36">
        <v>46068.225694444445</v>
      </c>
      <c r="C4991" s="36">
        <v>46070.580555555556</v>
      </c>
      <c r="D4991" s="22" t="s">
        <v>33</v>
      </c>
      <c r="E4991" s="22" t="s">
        <v>69</v>
      </c>
      <c r="F4991" s="22" t="s">
        <v>37</v>
      </c>
      <c r="G4991" s="22" t="s">
        <v>126</v>
      </c>
      <c r="H4991" s="22" t="s">
        <v>67</v>
      </c>
      <c r="I4991" s="22" t="s">
        <v>114</v>
      </c>
      <c r="J4991" s="23">
        <v>120</v>
      </c>
      <c r="K4991" s="37">
        <v>0</v>
      </c>
      <c r="M4991" s="22">
        <f>IF(OR(ISBLANK(C4991),C4991=""),"",ROUND((C4991-B4991)*24,2))</f>
        <v>56.52</v>
      </c>
      <c r="N4991" s="40" t="str">
        <f>IF(OR(ISBLANK(C4991),C4991="",M4991=""),"In Progress",IF(M4991&lt;=J4991,"Met","Breached"))</f>
        <v>Met</v>
      </c>
    </row>
    <row r="4992" ht="19" customHeight="1" spans="1:14" x14ac:dyDescent="0.25">
      <c r="A4992" s="19" t="s">
        <v>5106</v>
      </c>
      <c r="B4992" s="33">
        <v>45805.9</v>
      </c>
      <c r="D4992" s="19" t="s">
        <v>39</v>
      </c>
      <c r="E4992" s="19" t="s">
        <v>57</v>
      </c>
      <c r="F4992" s="19" t="s">
        <v>37</v>
      </c>
      <c r="G4992" s="19" t="s">
        <v>113</v>
      </c>
      <c r="H4992" s="19" t="s">
        <v>63</v>
      </c>
      <c r="I4992" s="19" t="s">
        <v>123</v>
      </c>
      <c r="J4992" s="20">
        <v>4</v>
      </c>
      <c r="K4992" s="34">
        <v>0</v>
      </c>
      <c r="M4992" s="19" t="str">
        <f>IF(OR(ISBLANK(C4992),C4992=""),"",ROUND((C4992-B4992)*24,2))</f>
        <v/>
      </c>
      <c r="N4992" s="19" t="str">
        <f>IF(OR(ISBLANK(C4992),C4992="",M4992=""),"In Progress",IF(M4992&lt;=J4992,"Met","Breached"))</f>
        <v>In Progress</v>
      </c>
    </row>
    <row r="4993" ht="19" customHeight="1" spans="1:14" x14ac:dyDescent="0.25">
      <c r="A4993" s="22" t="s">
        <v>5107</v>
      </c>
      <c r="B4993" s="36">
        <v>46282.37222222222</v>
      </c>
      <c r="C4993" s="36">
        <v>46283.143055555556</v>
      </c>
      <c r="D4993" s="22" t="s">
        <v>36</v>
      </c>
      <c r="E4993" s="22" t="s">
        <v>61</v>
      </c>
      <c r="F4993" s="22" t="s">
        <v>45</v>
      </c>
      <c r="G4993" s="22" t="s">
        <v>63</v>
      </c>
      <c r="H4993" s="22" t="s">
        <v>67</v>
      </c>
      <c r="I4993" s="22" t="s">
        <v>123</v>
      </c>
      <c r="J4993" s="23">
        <v>12</v>
      </c>
      <c r="K4993" s="37">
        <v>0</v>
      </c>
      <c r="L4993" s="37">
        <v>2</v>
      </c>
      <c r="M4993" s="22">
        <f>IF(OR(ISBLANK(C4993),C4993=""),"",ROUND((C4993-B4993)*24,2))</f>
        <v>18.5</v>
      </c>
      <c r="N4993" s="38" t="str">
        <f>IF(OR(ISBLANK(C4993),C4993="",M4993=""),"In Progress",IF(M4993&lt;=J4993,"Met","Breached"))</f>
        <v>Breached</v>
      </c>
    </row>
    <row r="4994" ht="19" customHeight="1" spans="1:14" x14ac:dyDescent="0.25">
      <c r="A4994" s="19" t="s">
        <v>5108</v>
      </c>
      <c r="B4994" s="33">
        <v>45845.81736111111</v>
      </c>
      <c r="C4994" s="33">
        <v>45848.774305555555</v>
      </c>
      <c r="D4994" s="19" t="s">
        <v>33</v>
      </c>
      <c r="E4994" s="19" t="s">
        <v>65</v>
      </c>
      <c r="F4994" s="19" t="s">
        <v>45</v>
      </c>
      <c r="G4994" s="19" t="s">
        <v>116</v>
      </c>
      <c r="H4994" s="19" t="s">
        <v>63</v>
      </c>
      <c r="I4994" s="19" t="s">
        <v>147</v>
      </c>
      <c r="J4994" s="20">
        <v>48</v>
      </c>
      <c r="K4994" s="34">
        <v>0</v>
      </c>
      <c r="L4994" s="34">
        <v>4</v>
      </c>
      <c r="M4994" s="19">
        <f>IF(OR(ISBLANK(C4994),C4994=""),"",ROUND((C4994-B4994)*24,2))</f>
        <v>70.97</v>
      </c>
      <c r="N4994" s="39" t="str">
        <f>IF(OR(ISBLANK(C4994),C4994="",M4994=""),"In Progress",IF(M4994&lt;=J4994,"Met","Breached"))</f>
        <v>Breached</v>
      </c>
    </row>
    <row r="4995" ht="19" customHeight="1" spans="1:14" x14ac:dyDescent="0.25">
      <c r="A4995" s="22" t="s">
        <v>5109</v>
      </c>
      <c r="B4995" s="36">
        <v>46066.01527777778</v>
      </c>
      <c r="D4995" s="22" t="s">
        <v>39</v>
      </c>
      <c r="E4995" s="22" t="s">
        <v>61</v>
      </c>
      <c r="F4995" s="22" t="s">
        <v>43</v>
      </c>
      <c r="G4995" s="22" t="s">
        <v>126</v>
      </c>
      <c r="H4995" s="22" t="s">
        <v>63</v>
      </c>
      <c r="I4995" s="22" t="s">
        <v>123</v>
      </c>
      <c r="J4995" s="23">
        <v>12</v>
      </c>
      <c r="K4995" s="37">
        <v>0</v>
      </c>
      <c r="M4995" s="22" t="str">
        <f>IF(OR(ISBLANK(C4995),C4995=""),"",ROUND((C4995-B4995)*24,2))</f>
        <v/>
      </c>
      <c r="N4995" s="22" t="str">
        <f>IF(OR(ISBLANK(C4995),C4995="",M4995=""),"In Progress",IF(M4995&lt;=J4995,"Met","Breached"))</f>
        <v>In Progress</v>
      </c>
    </row>
    <row r="4996" ht="19" customHeight="1" spans="1:14" x14ac:dyDescent="0.25">
      <c r="A4996" s="19" t="s">
        <v>5110</v>
      </c>
      <c r="B4996" s="33">
        <v>46172.17847222222</v>
      </c>
      <c r="C4996" s="33">
        <v>46173.80694444444</v>
      </c>
      <c r="D4996" s="19" t="s">
        <v>33</v>
      </c>
      <c r="E4996" s="19" t="s">
        <v>65</v>
      </c>
      <c r="F4996" s="19" t="s">
        <v>37</v>
      </c>
      <c r="G4996" s="19" t="s">
        <v>121</v>
      </c>
      <c r="H4996" s="19" t="s">
        <v>59</v>
      </c>
      <c r="I4996" s="19" t="s">
        <v>147</v>
      </c>
      <c r="J4996" s="20">
        <v>48</v>
      </c>
      <c r="K4996" s="34">
        <v>0</v>
      </c>
      <c r="L4996" s="34">
        <v>3</v>
      </c>
      <c r="M4996" s="19">
        <f>IF(OR(ISBLANK(C4996),C4996=""),"",ROUND((C4996-B4996)*24,2))</f>
        <v>39.08</v>
      </c>
      <c r="N4996" s="35" t="str">
        <f>IF(OR(ISBLANK(C4996),C4996="",M4996=""),"In Progress",IF(M4996&lt;=J4996,"Met","Breached"))</f>
        <v>Met</v>
      </c>
    </row>
    <row r="4997" ht="19" customHeight="1" spans="1:14" x14ac:dyDescent="0.25">
      <c r="A4997" s="22" t="s">
        <v>5111</v>
      </c>
      <c r="B4997" s="36">
        <v>45736.83888888889</v>
      </c>
      <c r="C4997" s="36">
        <v>45737.37569444445</v>
      </c>
      <c r="D4997" s="22" t="s">
        <v>33</v>
      </c>
      <c r="E4997" s="22" t="s">
        <v>61</v>
      </c>
      <c r="F4997" s="22" t="s">
        <v>45</v>
      </c>
      <c r="G4997" s="22" t="s">
        <v>126</v>
      </c>
      <c r="H4997" s="22" t="s">
        <v>63</v>
      </c>
      <c r="I4997" s="22" t="s">
        <v>108</v>
      </c>
      <c r="J4997" s="23">
        <v>12</v>
      </c>
      <c r="K4997" s="37">
        <v>0</v>
      </c>
      <c r="L4997" s="37">
        <v>4</v>
      </c>
      <c r="M4997" s="22">
        <f>IF(OR(ISBLANK(C4997),C4997=""),"",ROUND((C4997-B4997)*24,2))</f>
        <v>12.88</v>
      </c>
      <c r="N4997" s="38" t="str">
        <f>IF(OR(ISBLANK(C4997),C4997="",M4997=""),"In Progress",IF(M4997&lt;=J4997,"Met","Breached"))</f>
        <v>Breached</v>
      </c>
    </row>
    <row r="4998" ht="19" customHeight="1" spans="1:14" x14ac:dyDescent="0.25">
      <c r="A4998" s="19" t="s">
        <v>5112</v>
      </c>
      <c r="B4998" s="33">
        <v>45999.6625</v>
      </c>
      <c r="C4998" s="33">
        <v>46002.89236111111</v>
      </c>
      <c r="D4998" s="19" t="s">
        <v>33</v>
      </c>
      <c r="E4998" s="19" t="s">
        <v>65</v>
      </c>
      <c r="F4998" s="19" t="s">
        <v>43</v>
      </c>
      <c r="G4998" s="19" t="s">
        <v>116</v>
      </c>
      <c r="H4998" s="19" t="s">
        <v>67</v>
      </c>
      <c r="I4998" s="19" t="s">
        <v>108</v>
      </c>
      <c r="J4998" s="20">
        <v>48</v>
      </c>
      <c r="K4998" s="34">
        <v>0</v>
      </c>
      <c r="M4998" s="19">
        <f>IF(OR(ISBLANK(C4998),C4998=""),"",ROUND((C4998-B4998)*24,2))</f>
        <v>77.52</v>
      </c>
      <c r="N4998" s="39" t="str">
        <f>IF(OR(ISBLANK(C4998),C4998="",M4998=""),"In Progress",IF(M4998&lt;=J4998,"Met","Breached"))</f>
        <v>Breached</v>
      </c>
    </row>
    <row r="4999" ht="19" customHeight="1" spans="1:14" x14ac:dyDescent="0.25">
      <c r="A4999" s="22" t="s">
        <v>5113</v>
      </c>
      <c r="B4999" s="36">
        <v>46168.8625</v>
      </c>
      <c r="D4999" s="22" t="s">
        <v>42</v>
      </c>
      <c r="E4999" s="22" t="s">
        <v>57</v>
      </c>
      <c r="F4999" s="22" t="s">
        <v>37</v>
      </c>
      <c r="G4999" s="22" t="s">
        <v>110</v>
      </c>
      <c r="H4999" s="22" t="s">
        <v>59</v>
      </c>
      <c r="I4999" s="22" t="s">
        <v>111</v>
      </c>
      <c r="J4999" s="23">
        <v>4</v>
      </c>
      <c r="K4999" s="37">
        <v>0</v>
      </c>
      <c r="M4999" s="22" t="str">
        <f>IF(OR(ISBLANK(C4999),C4999=""),"",ROUND((C4999-B4999)*24,2))</f>
        <v/>
      </c>
      <c r="N4999" s="22" t="str">
        <f>IF(OR(ISBLANK(C4999),C4999="",M4999=""),"In Progress",IF(M4999&lt;=J4999,"Met","Breached"))</f>
        <v>In Progress</v>
      </c>
    </row>
    <row r="5000" ht="19" customHeight="1" spans="1:14" x14ac:dyDescent="0.25">
      <c r="A5000" s="19" t="s">
        <v>5114</v>
      </c>
      <c r="B5000" s="33">
        <v>45759.3</v>
      </c>
      <c r="C5000" s="33">
        <v>45759.71597222222</v>
      </c>
      <c r="D5000" s="19" t="s">
        <v>33</v>
      </c>
      <c r="E5000" s="19" t="s">
        <v>61</v>
      </c>
      <c r="F5000" s="19" t="s">
        <v>34</v>
      </c>
      <c r="G5000" s="19" t="s">
        <v>113</v>
      </c>
      <c r="H5000" s="19" t="s">
        <v>59</v>
      </c>
      <c r="I5000" s="19" t="s">
        <v>111</v>
      </c>
      <c r="J5000" s="20">
        <v>12</v>
      </c>
      <c r="K5000" s="34">
        <v>0</v>
      </c>
      <c r="M5000" s="19">
        <f>IF(OR(ISBLANK(C5000),C5000=""),"",ROUND((C5000-B5000)*24,2))</f>
        <v>9.98</v>
      </c>
      <c r="N5000" s="35" t="str">
        <f>IF(OR(ISBLANK(C5000),C5000="",M5000=""),"In Progress",IF(M5000&lt;=J5000,"Met","Breached"))</f>
        <v>Met</v>
      </c>
    </row>
    <row r="5001" ht="19" customHeight="1" spans="1:14" x14ac:dyDescent="0.25">
      <c r="A5001" s="22" t="s">
        <v>5115</v>
      </c>
      <c r="B5001" s="36">
        <v>46230.007638888885</v>
      </c>
      <c r="C5001" s="36">
        <v>46237.615277777775</v>
      </c>
      <c r="D5001" s="22" t="s">
        <v>33</v>
      </c>
      <c r="E5001" s="22" t="s">
        <v>69</v>
      </c>
      <c r="F5001" s="22" t="s">
        <v>37</v>
      </c>
      <c r="G5001" s="22" t="s">
        <v>121</v>
      </c>
      <c r="H5001" s="22" t="s">
        <v>71</v>
      </c>
      <c r="I5001" s="22" t="s">
        <v>108</v>
      </c>
      <c r="J5001" s="23">
        <v>120</v>
      </c>
      <c r="K5001" s="37">
        <v>0</v>
      </c>
      <c r="L5001" s="37">
        <v>4</v>
      </c>
      <c r="M5001" s="22">
        <f>IF(OR(ISBLANK(C5001),C5001=""),"",ROUND((C5001-B5001)*24,2))</f>
        <v>182.58</v>
      </c>
      <c r="N5001" s="38" t="str">
        <f>IF(OR(ISBLANK(C5001),C5001="",M5001=""),"In Progress",IF(M5001&lt;=J5001,"Met","Breached"))</f>
        <v>Breached</v>
      </c>
    </row>
    <row r="5002" ht="19" customHeight="1" spans="1:14" x14ac:dyDescent="0.25">
      <c r="A5002" s="19" t="s">
        <v>5116</v>
      </c>
      <c r="B5002" s="33">
        <v>46082.04513888889</v>
      </c>
      <c r="D5002" s="19" t="s">
        <v>39</v>
      </c>
      <c r="E5002" s="19" t="s">
        <v>69</v>
      </c>
      <c r="F5002" s="19" t="s">
        <v>43</v>
      </c>
      <c r="G5002" s="19" t="s">
        <v>110</v>
      </c>
      <c r="H5002" s="19" t="s">
        <v>71</v>
      </c>
      <c r="I5002" s="19" t="s">
        <v>123</v>
      </c>
      <c r="J5002" s="20">
        <v>120</v>
      </c>
      <c r="K5002" s="34">
        <v>0</v>
      </c>
      <c r="M5002" s="19" t="str">
        <f>IF(OR(ISBLANK(C5002),C5002=""),"",ROUND((C5002-B5002)*24,2))</f>
        <v/>
      </c>
      <c r="N5002" s="19" t="str">
        <f>IF(OR(ISBLANK(C5002),C5002="",M5002=""),"In Progress",IF(M5002&lt;=J5002,"Met","Breached"))</f>
        <v>In Progress</v>
      </c>
    </row>
    <row r="5003" ht="19" customHeight="1" spans="1:14" x14ac:dyDescent="0.25">
      <c r="A5003" s="22" t="s">
        <v>5117</v>
      </c>
      <c r="B5003" s="36">
        <v>46249.17847222222</v>
      </c>
      <c r="C5003" s="36">
        <v>46249.6375</v>
      </c>
      <c r="D5003" s="22" t="s">
        <v>36</v>
      </c>
      <c r="E5003" s="22" t="s">
        <v>61</v>
      </c>
      <c r="F5003" s="22" t="s">
        <v>43</v>
      </c>
      <c r="G5003" s="22" t="s">
        <v>110</v>
      </c>
      <c r="H5003" s="22" t="s">
        <v>67</v>
      </c>
      <c r="I5003" s="22" t="s">
        <v>147</v>
      </c>
      <c r="J5003" s="23">
        <v>12</v>
      </c>
      <c r="K5003" s="37">
        <v>0</v>
      </c>
      <c r="L5003" s="37">
        <v>1</v>
      </c>
      <c r="M5003" s="22">
        <f>IF(OR(ISBLANK(C5003),C5003=""),"",ROUND((C5003-B5003)*24,2))</f>
        <v>11.02</v>
      </c>
      <c r="N5003" s="40" t="str">
        <f>IF(OR(ISBLANK(C5003),C5003="",M5003=""),"In Progress",IF(M5003&lt;=J5003,"Met","Breached"))</f>
        <v>Met</v>
      </c>
    </row>
    <row r="5004" ht="19" customHeight="1" spans="1:14" x14ac:dyDescent="0.25">
      <c r="A5004" s="19" t="s">
        <v>5118</v>
      </c>
      <c r="B5004" s="33">
        <v>45959.45208333334</v>
      </c>
      <c r="C5004" s="33">
        <v>45960.92361111111</v>
      </c>
      <c r="D5004" s="19" t="s">
        <v>33</v>
      </c>
      <c r="E5004" s="19" t="s">
        <v>65</v>
      </c>
      <c r="F5004" s="19" t="s">
        <v>45</v>
      </c>
      <c r="G5004" s="19" t="s">
        <v>113</v>
      </c>
      <c r="H5004" s="19" t="s">
        <v>59</v>
      </c>
      <c r="I5004" s="19" t="s">
        <v>111</v>
      </c>
      <c r="J5004" s="20">
        <v>48</v>
      </c>
      <c r="K5004" s="34">
        <v>0</v>
      </c>
      <c r="M5004" s="19">
        <f>IF(OR(ISBLANK(C5004),C5004=""),"",ROUND((C5004-B5004)*24,2))</f>
        <v>35.32</v>
      </c>
      <c r="N5004" s="35" t="str">
        <f>IF(OR(ISBLANK(C5004),C5004="",M5004=""),"In Progress",IF(M5004&lt;=J5004,"Met","Breached"))</f>
        <v>Met</v>
      </c>
    </row>
    <row r="5005" ht="19" customHeight="1" spans="1:14" x14ac:dyDescent="0.25">
      <c r="A5005" s="22" t="s">
        <v>5119</v>
      </c>
      <c r="B5005" s="36">
        <v>46248.674305555556</v>
      </c>
      <c r="D5005" s="22" t="s">
        <v>42</v>
      </c>
      <c r="E5005" s="22" t="s">
        <v>61</v>
      </c>
      <c r="F5005" s="22" t="s">
        <v>45</v>
      </c>
      <c r="G5005" s="22" t="s">
        <v>116</v>
      </c>
      <c r="H5005" s="22" t="s">
        <v>71</v>
      </c>
      <c r="I5005" s="22" t="s">
        <v>117</v>
      </c>
      <c r="J5005" s="23">
        <v>12</v>
      </c>
      <c r="K5005" s="37">
        <v>0</v>
      </c>
      <c r="M5005" s="22" t="str">
        <f>IF(OR(ISBLANK(C5005),C5005=""),"",ROUND((C5005-B5005)*24,2))</f>
        <v/>
      </c>
      <c r="N5005" s="22" t="str">
        <f>IF(OR(ISBLANK(C5005),C5005="",M5005=""),"In Progress",IF(M5005&lt;=J5005,"Met","Breached"))</f>
        <v>In Progress</v>
      </c>
    </row>
    <row r="5006" ht="19" customHeight="1" spans="1:14" x14ac:dyDescent="0.25">
      <c r="A5006" s="19" t="s">
        <v>5120</v>
      </c>
      <c r="B5006" s="33">
        <v>45755.59583333333</v>
      </c>
      <c r="C5006" s="33">
        <v>45756.044444444444</v>
      </c>
      <c r="D5006" s="19" t="s">
        <v>33</v>
      </c>
      <c r="E5006" s="19" t="s">
        <v>61</v>
      </c>
      <c r="F5006" s="19" t="s">
        <v>34</v>
      </c>
      <c r="G5006" s="19" t="s">
        <v>116</v>
      </c>
      <c r="H5006" s="19" t="s">
        <v>67</v>
      </c>
      <c r="I5006" s="19" t="s">
        <v>117</v>
      </c>
      <c r="J5006" s="20">
        <v>12</v>
      </c>
      <c r="K5006" s="34">
        <v>0</v>
      </c>
      <c r="L5006" s="34">
        <v>3</v>
      </c>
      <c r="M5006" s="19">
        <f>IF(OR(ISBLANK(C5006),C5006=""),"",ROUND((C5006-B5006)*24,2))</f>
        <v>10.77</v>
      </c>
      <c r="N5006" s="35" t="str">
        <f>IF(OR(ISBLANK(C5006),C5006="",M5006=""),"In Progress",IF(M5006&lt;=J5006,"Met","Breached"))</f>
        <v>Met</v>
      </c>
    </row>
    <row r="5007" ht="19" customHeight="1" spans="1:14" x14ac:dyDescent="0.25">
      <c r="A5007" s="22" t="s">
        <v>5121</v>
      </c>
      <c r="B5007" s="36">
        <v>45929.92152777778</v>
      </c>
      <c r="C5007" s="36">
        <v>45930.16111111111</v>
      </c>
      <c r="D5007" s="22" t="s">
        <v>33</v>
      </c>
      <c r="E5007" s="22" t="s">
        <v>57</v>
      </c>
      <c r="F5007" s="22" t="s">
        <v>43</v>
      </c>
      <c r="G5007" s="22" t="s">
        <v>126</v>
      </c>
      <c r="H5007" s="22" t="s">
        <v>59</v>
      </c>
      <c r="I5007" s="22" t="s">
        <v>108</v>
      </c>
      <c r="J5007" s="23">
        <v>4</v>
      </c>
      <c r="K5007" s="37">
        <v>0</v>
      </c>
      <c r="L5007" s="37">
        <v>3</v>
      </c>
      <c r="M5007" s="22">
        <f>IF(OR(ISBLANK(C5007),C5007=""),"",ROUND((C5007-B5007)*24,2))</f>
        <v>5.75</v>
      </c>
      <c r="N5007" s="38" t="str">
        <f>IF(OR(ISBLANK(C5007),C5007="",M5007=""),"In Progress",IF(M5007&lt;=J5007,"Met","Breached"))</f>
        <v>Breached</v>
      </c>
    </row>
    <row r="5008" ht="19" customHeight="1" spans="1:14" x14ac:dyDescent="0.25">
      <c r="A5008" s="19" t="s">
        <v>5122</v>
      </c>
      <c r="B5008" s="33">
        <v>45877.177777777775</v>
      </c>
      <c r="C5008" s="33">
        <v>45880.822222222225</v>
      </c>
      <c r="D5008" s="19" t="s">
        <v>33</v>
      </c>
      <c r="E5008" s="19" t="s">
        <v>69</v>
      </c>
      <c r="F5008" s="19" t="s">
        <v>40</v>
      </c>
      <c r="G5008" s="19" t="s">
        <v>126</v>
      </c>
      <c r="H5008" s="19" t="s">
        <v>59</v>
      </c>
      <c r="I5008" s="19" t="s">
        <v>114</v>
      </c>
      <c r="J5008" s="20">
        <v>120</v>
      </c>
      <c r="K5008" s="34">
        <v>0</v>
      </c>
      <c r="L5008" s="34">
        <v>2</v>
      </c>
      <c r="M5008" s="19">
        <f>IF(OR(ISBLANK(C5008),C5008=""),"",ROUND((C5008-B5008)*24,2))</f>
        <v>87.47</v>
      </c>
      <c r="N5008" s="35" t="str">
        <f>IF(OR(ISBLANK(C5008),C5008="",M5008=""),"In Progress",IF(M5008&lt;=J5008,"Met","Breached"))</f>
        <v>Met</v>
      </c>
    </row>
    <row r="5009" ht="19" customHeight="1" spans="1:14" x14ac:dyDescent="0.25">
      <c r="A5009" s="22" t="s">
        <v>5123</v>
      </c>
      <c r="B5009" s="36">
        <v>45912.39097222222</v>
      </c>
      <c r="C5009" s="36">
        <v>45913.825</v>
      </c>
      <c r="D5009" s="22" t="s">
        <v>33</v>
      </c>
      <c r="E5009" s="22" t="s">
        <v>65</v>
      </c>
      <c r="F5009" s="22" t="s">
        <v>37</v>
      </c>
      <c r="G5009" s="22" t="s">
        <v>110</v>
      </c>
      <c r="H5009" s="22" t="s">
        <v>63</v>
      </c>
      <c r="I5009" s="22" t="s">
        <v>114</v>
      </c>
      <c r="J5009" s="23">
        <v>48</v>
      </c>
      <c r="K5009" s="37">
        <v>0</v>
      </c>
      <c r="L5009" s="37">
        <v>2</v>
      </c>
      <c r="M5009" s="22">
        <f>IF(OR(ISBLANK(C5009),C5009=""),"",ROUND((C5009-B5009)*24,2))</f>
        <v>34.42</v>
      </c>
      <c r="N5009" s="40" t="str">
        <f>IF(OR(ISBLANK(C5009),C5009="",M5009=""),"In Progress",IF(M5009&lt;=J5009,"Met","Breached"))</f>
        <v>Met</v>
      </c>
    </row>
    <row r="5010" ht="19" customHeight="1" spans="1:14" x14ac:dyDescent="0.25">
      <c r="A5010" s="19" t="s">
        <v>5124</v>
      </c>
      <c r="B5010" s="33">
        <v>45859.77013888889</v>
      </c>
      <c r="D5010" s="19" t="s">
        <v>39</v>
      </c>
      <c r="E5010" s="19" t="s">
        <v>69</v>
      </c>
      <c r="F5010" s="19" t="s">
        <v>43</v>
      </c>
      <c r="G5010" s="19" t="s">
        <v>113</v>
      </c>
      <c r="H5010" s="19" t="s">
        <v>63</v>
      </c>
      <c r="I5010" s="19" t="s">
        <v>108</v>
      </c>
      <c r="J5010" s="20">
        <v>120</v>
      </c>
      <c r="K5010" s="34">
        <v>0</v>
      </c>
      <c r="M5010" s="19" t="str">
        <f>IF(OR(ISBLANK(C5010),C5010=""),"",ROUND((C5010-B5010)*24,2))</f>
        <v/>
      </c>
      <c r="N5010" s="19" t="str">
        <f>IF(OR(ISBLANK(C5010),C5010="",M5010=""),"In Progress",IF(M5010&lt;=J5010,"Met","Breached"))</f>
        <v>In Progress</v>
      </c>
    </row>
    <row r="5011" ht="19" customHeight="1" spans="1:14" x14ac:dyDescent="0.25">
      <c r="A5011" s="22" t="s">
        <v>5125</v>
      </c>
      <c r="B5011" s="36">
        <v>46106.788194444445</v>
      </c>
      <c r="C5011" s="36">
        <v>46107.388194444444</v>
      </c>
      <c r="D5011" s="22" t="s">
        <v>33</v>
      </c>
      <c r="E5011" s="22" t="s">
        <v>65</v>
      </c>
      <c r="F5011" s="22" t="s">
        <v>43</v>
      </c>
      <c r="G5011" s="22" t="s">
        <v>113</v>
      </c>
      <c r="H5011" s="22" t="s">
        <v>59</v>
      </c>
      <c r="I5011" s="22" t="s">
        <v>123</v>
      </c>
      <c r="J5011" s="23">
        <v>48</v>
      </c>
      <c r="K5011" s="37">
        <v>0</v>
      </c>
      <c r="L5011" s="37">
        <v>4</v>
      </c>
      <c r="M5011" s="22">
        <f>IF(OR(ISBLANK(C5011),C5011=""),"",ROUND((C5011-B5011)*24,2))</f>
        <v>14.4</v>
      </c>
      <c r="N5011" s="40" t="str">
        <f>IF(OR(ISBLANK(C5011),C5011="",M5011=""),"In Progress",IF(M5011&lt;=J5011,"Met","Breached"))</f>
        <v>Met</v>
      </c>
    </row>
    <row r="5012" ht="19" customHeight="1" spans="1:14" x14ac:dyDescent="0.25">
      <c r="A5012" s="19" t="s">
        <v>5126</v>
      </c>
      <c r="B5012" s="33">
        <v>46168.83472222222</v>
      </c>
      <c r="C5012" s="33">
        <v>46169.018055555556</v>
      </c>
      <c r="D5012" s="19" t="s">
        <v>36</v>
      </c>
      <c r="E5012" s="19" t="s">
        <v>61</v>
      </c>
      <c r="F5012" s="19" t="s">
        <v>34</v>
      </c>
      <c r="G5012" s="19" t="s">
        <v>116</v>
      </c>
      <c r="H5012" s="19" t="s">
        <v>63</v>
      </c>
      <c r="I5012" s="19" t="s">
        <v>111</v>
      </c>
      <c r="J5012" s="20">
        <v>12</v>
      </c>
      <c r="K5012" s="34">
        <v>0</v>
      </c>
      <c r="L5012" s="34">
        <v>2</v>
      </c>
      <c r="M5012" s="19">
        <f>IF(OR(ISBLANK(C5012),C5012=""),"",ROUND((C5012-B5012)*24,2))</f>
        <v>4.4</v>
      </c>
      <c r="N5012" s="35" t="str">
        <f>IF(OR(ISBLANK(C5012),C5012="",M5012=""),"In Progress",IF(M5012&lt;=J5012,"Met","Breached"))</f>
        <v>Met</v>
      </c>
    </row>
    <row r="5013" ht="19" customHeight="1" spans="1:14" x14ac:dyDescent="0.25">
      <c r="A5013" s="22" t="s">
        <v>5127</v>
      </c>
      <c r="B5013" s="36">
        <v>45703.98263888889</v>
      </c>
      <c r="C5013" s="36">
        <v>45705.64583333333</v>
      </c>
      <c r="D5013" s="22" t="s">
        <v>33</v>
      </c>
      <c r="E5013" s="22" t="s">
        <v>65</v>
      </c>
      <c r="F5013" s="22" t="s">
        <v>43</v>
      </c>
      <c r="G5013" s="22" t="s">
        <v>110</v>
      </c>
      <c r="H5013" s="22" t="s">
        <v>59</v>
      </c>
      <c r="I5013" s="22" t="s">
        <v>114</v>
      </c>
      <c r="J5013" s="23">
        <v>48</v>
      </c>
      <c r="K5013" s="37">
        <v>0</v>
      </c>
      <c r="L5013" s="37">
        <v>5</v>
      </c>
      <c r="M5013" s="22">
        <f>IF(OR(ISBLANK(C5013),C5013=""),"",ROUND((C5013-B5013)*24,2))</f>
        <v>39.92</v>
      </c>
      <c r="N5013" s="40" t="str">
        <f>IF(OR(ISBLANK(C5013),C5013="",M5013=""),"In Progress",IF(M5013&lt;=J5013,"Met","Breached"))</f>
        <v>Met</v>
      </c>
    </row>
    <row r="5014" ht="19" customHeight="1" spans="1:14" x14ac:dyDescent="0.25">
      <c r="A5014" s="19" t="s">
        <v>5128</v>
      </c>
      <c r="B5014" s="33">
        <v>46185.92847222222</v>
      </c>
      <c r="C5014" s="33">
        <v>46186.205555555556</v>
      </c>
      <c r="D5014" s="19" t="s">
        <v>33</v>
      </c>
      <c r="E5014" s="19" t="s">
        <v>57</v>
      </c>
      <c r="F5014" s="19" t="s">
        <v>34</v>
      </c>
      <c r="G5014" s="19" t="s">
        <v>63</v>
      </c>
      <c r="H5014" s="19" t="s">
        <v>67</v>
      </c>
      <c r="I5014" s="19" t="s">
        <v>117</v>
      </c>
      <c r="J5014" s="20">
        <v>4</v>
      </c>
      <c r="K5014" s="34">
        <v>0</v>
      </c>
      <c r="L5014" s="34">
        <v>4</v>
      </c>
      <c r="M5014" s="19">
        <f>IF(OR(ISBLANK(C5014),C5014=""),"",ROUND((C5014-B5014)*24,2))</f>
        <v>6.65</v>
      </c>
      <c r="N5014" s="39" t="str">
        <f>IF(OR(ISBLANK(C5014),C5014="",M5014=""),"In Progress",IF(M5014&lt;=J5014,"Met","Breached"))</f>
        <v>Breached</v>
      </c>
    </row>
    <row r="5015" ht="19" customHeight="1" spans="1:14" x14ac:dyDescent="0.25">
      <c r="A5015" s="22" t="s">
        <v>5129</v>
      </c>
      <c r="B5015" s="36">
        <v>45786.361805555556</v>
      </c>
      <c r="C5015" s="36">
        <v>45786.961805555555</v>
      </c>
      <c r="D5015" s="22" t="s">
        <v>33</v>
      </c>
      <c r="E5015" s="22" t="s">
        <v>65</v>
      </c>
      <c r="F5015" s="22" t="s">
        <v>45</v>
      </c>
      <c r="G5015" s="22" t="s">
        <v>110</v>
      </c>
      <c r="H5015" s="22" t="s">
        <v>59</v>
      </c>
      <c r="I5015" s="22" t="s">
        <v>123</v>
      </c>
      <c r="J5015" s="23">
        <v>48</v>
      </c>
      <c r="K5015" s="37">
        <v>0</v>
      </c>
      <c r="L5015" s="37">
        <v>5</v>
      </c>
      <c r="M5015" s="22">
        <f>IF(OR(ISBLANK(C5015),C5015=""),"",ROUND((C5015-B5015)*24,2))</f>
        <v>14.4</v>
      </c>
      <c r="N5015" s="40" t="str">
        <f>IF(OR(ISBLANK(C5015),C5015="",M5015=""),"In Progress",IF(M5015&lt;=J5015,"Met","Breached"))</f>
        <v>Met</v>
      </c>
    </row>
    <row r="5016" ht="19" customHeight="1" spans="1:14" x14ac:dyDescent="0.25">
      <c r="A5016" s="19" t="s">
        <v>5130</v>
      </c>
      <c r="B5016" s="33">
        <v>45724.336111111115</v>
      </c>
      <c r="C5016" s="33">
        <v>45726.25069444445</v>
      </c>
      <c r="D5016" s="19" t="s">
        <v>33</v>
      </c>
      <c r="E5016" s="19" t="s">
        <v>69</v>
      </c>
      <c r="F5016" s="19" t="s">
        <v>34</v>
      </c>
      <c r="G5016" s="19" t="s">
        <v>126</v>
      </c>
      <c r="H5016" s="19" t="s">
        <v>63</v>
      </c>
      <c r="I5016" s="19" t="s">
        <v>111</v>
      </c>
      <c r="J5016" s="20">
        <v>120</v>
      </c>
      <c r="K5016" s="34">
        <v>0</v>
      </c>
      <c r="L5016" s="34">
        <v>1</v>
      </c>
      <c r="M5016" s="19">
        <f>IF(OR(ISBLANK(C5016),C5016=""),"",ROUND((C5016-B5016)*24,2))</f>
        <v>45.95</v>
      </c>
      <c r="N5016" s="35" t="str">
        <f>IF(OR(ISBLANK(C5016),C5016="",M5016=""),"In Progress",IF(M5016&lt;=J5016,"Met","Breached"))</f>
        <v>Met</v>
      </c>
    </row>
    <row r="5017" ht="19" customHeight="1" spans="1:14" x14ac:dyDescent="0.25">
      <c r="A5017" s="22" t="s">
        <v>5131</v>
      </c>
      <c r="B5017" s="36">
        <v>45946.99930555555</v>
      </c>
      <c r="C5017" s="36">
        <v>45947.88958333334</v>
      </c>
      <c r="D5017" s="22" t="s">
        <v>33</v>
      </c>
      <c r="E5017" s="22" t="s">
        <v>61</v>
      </c>
      <c r="F5017" s="22" t="s">
        <v>40</v>
      </c>
      <c r="G5017" s="22" t="s">
        <v>113</v>
      </c>
      <c r="H5017" s="22" t="s">
        <v>63</v>
      </c>
      <c r="I5017" s="22" t="s">
        <v>147</v>
      </c>
      <c r="J5017" s="23">
        <v>12</v>
      </c>
      <c r="K5017" s="37">
        <v>0</v>
      </c>
      <c r="L5017" s="37">
        <v>2</v>
      </c>
      <c r="M5017" s="22">
        <f>IF(OR(ISBLANK(C5017),C5017=""),"",ROUND((C5017-B5017)*24,2))</f>
        <v>21.37</v>
      </c>
      <c r="N5017" s="38" t="str">
        <f>IF(OR(ISBLANK(C5017),C5017="",M5017=""),"In Progress",IF(M5017&lt;=J5017,"Met","Breached"))</f>
        <v>Breached</v>
      </c>
    </row>
    <row r="5018" ht="19" customHeight="1" spans="1:14" x14ac:dyDescent="0.25">
      <c r="A5018" s="19" t="s">
        <v>5132</v>
      </c>
      <c r="B5018" s="33">
        <v>45966.70486111111</v>
      </c>
      <c r="C5018" s="33">
        <v>45967.43888888889</v>
      </c>
      <c r="D5018" s="19" t="s">
        <v>33</v>
      </c>
      <c r="E5018" s="19" t="s">
        <v>61</v>
      </c>
      <c r="F5018" s="19" t="s">
        <v>37</v>
      </c>
      <c r="G5018" s="19" t="s">
        <v>110</v>
      </c>
      <c r="H5018" s="19" t="s">
        <v>59</v>
      </c>
      <c r="I5018" s="19" t="s">
        <v>111</v>
      </c>
      <c r="J5018" s="20">
        <v>12</v>
      </c>
      <c r="K5018" s="34">
        <v>0</v>
      </c>
      <c r="L5018" s="34">
        <v>5</v>
      </c>
      <c r="M5018" s="19">
        <f>IF(OR(ISBLANK(C5018),C5018=""),"",ROUND((C5018-B5018)*24,2))</f>
        <v>17.62</v>
      </c>
      <c r="N5018" s="39" t="str">
        <f>IF(OR(ISBLANK(C5018),C5018="",M5018=""),"In Progress",IF(M5018&lt;=J5018,"Met","Breached"))</f>
        <v>Breached</v>
      </c>
    </row>
    <row r="5019" ht="19" customHeight="1" spans="1:14" x14ac:dyDescent="0.25">
      <c r="A5019" s="22" t="s">
        <v>5133</v>
      </c>
      <c r="B5019" s="36">
        <v>46178.06597222222</v>
      </c>
      <c r="C5019" s="36">
        <v>46179.95416666666</v>
      </c>
      <c r="D5019" s="22" t="s">
        <v>33</v>
      </c>
      <c r="E5019" s="22" t="s">
        <v>69</v>
      </c>
      <c r="F5019" s="22" t="s">
        <v>45</v>
      </c>
      <c r="G5019" s="22" t="s">
        <v>63</v>
      </c>
      <c r="H5019" s="22" t="s">
        <v>67</v>
      </c>
      <c r="I5019" s="22" t="s">
        <v>108</v>
      </c>
      <c r="J5019" s="23">
        <v>120</v>
      </c>
      <c r="K5019" s="37">
        <v>0</v>
      </c>
      <c r="L5019" s="37">
        <v>2</v>
      </c>
      <c r="M5019" s="22">
        <f>IF(OR(ISBLANK(C5019),C5019=""),"",ROUND((C5019-B5019)*24,2))</f>
        <v>45.32</v>
      </c>
      <c r="N5019" s="40" t="str">
        <f>IF(OR(ISBLANK(C5019),C5019="",M5019=""),"In Progress",IF(M5019&lt;=J5019,"Met","Breached"))</f>
        <v>Met</v>
      </c>
    </row>
    <row r="5020" ht="19" customHeight="1" spans="1:14" x14ac:dyDescent="0.25">
      <c r="A5020" s="19" t="s">
        <v>5134</v>
      </c>
      <c r="B5020" s="33">
        <v>45837.509722222225</v>
      </c>
      <c r="C5020" s="33">
        <v>45837.66180555556</v>
      </c>
      <c r="D5020" s="19" t="s">
        <v>36</v>
      </c>
      <c r="E5020" s="19" t="s">
        <v>61</v>
      </c>
      <c r="F5020" s="19" t="s">
        <v>43</v>
      </c>
      <c r="G5020" s="19" t="s">
        <v>121</v>
      </c>
      <c r="H5020" s="19" t="s">
        <v>63</v>
      </c>
      <c r="I5020" s="19" t="s">
        <v>117</v>
      </c>
      <c r="J5020" s="20">
        <v>12</v>
      </c>
      <c r="K5020" s="34">
        <v>0</v>
      </c>
      <c r="L5020" s="34">
        <v>4</v>
      </c>
      <c r="M5020" s="19">
        <f>IF(OR(ISBLANK(C5020),C5020=""),"",ROUND((C5020-B5020)*24,2))</f>
        <v>3.65</v>
      </c>
      <c r="N5020" s="35" t="str">
        <f>IF(OR(ISBLANK(C5020),C5020="",M5020=""),"In Progress",IF(M5020&lt;=J5020,"Met","Breached"))</f>
        <v>Met</v>
      </c>
    </row>
    <row r="5021" ht="19" customHeight="1" spans="1:14" x14ac:dyDescent="0.25">
      <c r="A5021" s="22" t="s">
        <v>5135</v>
      </c>
      <c r="B5021" s="36">
        <v>46231.72916666667</v>
      </c>
      <c r="D5021" s="22" t="s">
        <v>39</v>
      </c>
      <c r="E5021" s="22" t="s">
        <v>69</v>
      </c>
      <c r="F5021" s="22" t="s">
        <v>45</v>
      </c>
      <c r="G5021" s="22" t="s">
        <v>126</v>
      </c>
      <c r="H5021" s="22" t="s">
        <v>59</v>
      </c>
      <c r="I5021" s="22" t="s">
        <v>117</v>
      </c>
      <c r="J5021" s="23">
        <v>120</v>
      </c>
      <c r="K5021" s="37">
        <v>0</v>
      </c>
      <c r="M5021" s="22" t="str">
        <f>IF(OR(ISBLANK(C5021),C5021=""),"",ROUND((C5021-B5021)*24,2))</f>
        <v/>
      </c>
      <c r="N5021" s="22" t="str">
        <f>IF(OR(ISBLANK(C5021),C5021="",M5021=""),"In Progress",IF(M5021&lt;=J5021,"Met","Breached"))</f>
        <v>In Progress</v>
      </c>
    </row>
    <row r="5022" ht="19" customHeight="1" spans="1:14" x14ac:dyDescent="0.25">
      <c r="A5022" s="19" t="s">
        <v>5136</v>
      </c>
      <c r="B5022" s="33">
        <v>46219.92847222222</v>
      </c>
      <c r="C5022" s="33">
        <v>46223.18263888889</v>
      </c>
      <c r="D5022" s="19" t="s">
        <v>33</v>
      </c>
      <c r="E5022" s="19" t="s">
        <v>69</v>
      </c>
      <c r="F5022" s="19" t="s">
        <v>45</v>
      </c>
      <c r="G5022" s="19" t="s">
        <v>110</v>
      </c>
      <c r="H5022" s="19" t="s">
        <v>63</v>
      </c>
      <c r="I5022" s="19" t="s">
        <v>114</v>
      </c>
      <c r="J5022" s="20">
        <v>120</v>
      </c>
      <c r="K5022" s="34">
        <v>0</v>
      </c>
      <c r="L5022" s="34">
        <v>1</v>
      </c>
      <c r="M5022" s="19">
        <f>IF(OR(ISBLANK(C5022),C5022=""),"",ROUND((C5022-B5022)*24,2))</f>
        <v>78.1</v>
      </c>
      <c r="N5022" s="35" t="str">
        <f>IF(OR(ISBLANK(C5022),C5022="",M5022=""),"In Progress",IF(M5022&lt;=J5022,"Met","Breached"))</f>
        <v>Met</v>
      </c>
    </row>
    <row r="5023" ht="19" customHeight="1" spans="1:14" x14ac:dyDescent="0.25">
      <c r="A5023" s="22" t="s">
        <v>5137</v>
      </c>
      <c r="B5023" s="36">
        <v>45824.768055555556</v>
      </c>
      <c r="C5023" s="36">
        <v>45825.09444444445</v>
      </c>
      <c r="D5023" s="22" t="s">
        <v>33</v>
      </c>
      <c r="E5023" s="22" t="s">
        <v>61</v>
      </c>
      <c r="F5023" s="22" t="s">
        <v>37</v>
      </c>
      <c r="G5023" s="22" t="s">
        <v>126</v>
      </c>
      <c r="H5023" s="22" t="s">
        <v>63</v>
      </c>
      <c r="I5023" s="22" t="s">
        <v>147</v>
      </c>
      <c r="J5023" s="23">
        <v>12</v>
      </c>
      <c r="K5023" s="37">
        <v>0</v>
      </c>
      <c r="M5023" s="22">
        <f>IF(OR(ISBLANK(C5023),C5023=""),"",ROUND((C5023-B5023)*24,2))</f>
        <v>7.83</v>
      </c>
      <c r="N5023" s="40" t="str">
        <f>IF(OR(ISBLANK(C5023),C5023="",M5023=""),"In Progress",IF(M5023&lt;=J5023,"Met","Breached"))</f>
        <v>Met</v>
      </c>
    </row>
    <row r="5024" ht="19" customHeight="1" spans="1:14" x14ac:dyDescent="0.25">
      <c r="A5024" s="19" t="s">
        <v>5138</v>
      </c>
      <c r="B5024" s="33">
        <v>45734.33888888889</v>
      </c>
      <c r="C5024" s="33">
        <v>45735.961805555555</v>
      </c>
      <c r="D5024" s="19" t="s">
        <v>33</v>
      </c>
      <c r="E5024" s="19" t="s">
        <v>65</v>
      </c>
      <c r="F5024" s="19" t="s">
        <v>34</v>
      </c>
      <c r="G5024" s="19" t="s">
        <v>121</v>
      </c>
      <c r="H5024" s="19" t="s">
        <v>63</v>
      </c>
      <c r="I5024" s="19" t="s">
        <v>117</v>
      </c>
      <c r="J5024" s="20">
        <v>48</v>
      </c>
      <c r="K5024" s="34">
        <v>0</v>
      </c>
      <c r="L5024" s="34">
        <v>2</v>
      </c>
      <c r="M5024" s="19">
        <f>IF(OR(ISBLANK(C5024),C5024=""),"",ROUND((C5024-B5024)*24,2))</f>
        <v>38.95</v>
      </c>
      <c r="N5024" s="35" t="str">
        <f>IF(OR(ISBLANK(C5024),C5024="",M5024=""),"In Progress",IF(M5024&lt;=J5024,"Met","Breached"))</f>
        <v>Met</v>
      </c>
    </row>
    <row r="5025" ht="19" customHeight="1" spans="1:14" x14ac:dyDescent="0.25">
      <c r="A5025" s="22" t="s">
        <v>5139</v>
      </c>
      <c r="B5025" s="36">
        <v>45970.04652777778</v>
      </c>
      <c r="C5025" s="36">
        <v>45971.7</v>
      </c>
      <c r="D5025" s="22" t="s">
        <v>36</v>
      </c>
      <c r="E5025" s="22" t="s">
        <v>65</v>
      </c>
      <c r="F5025" s="22" t="s">
        <v>34</v>
      </c>
      <c r="G5025" s="22" t="s">
        <v>63</v>
      </c>
      <c r="H5025" s="22" t="s">
        <v>63</v>
      </c>
      <c r="I5025" s="22" t="s">
        <v>108</v>
      </c>
      <c r="J5025" s="23">
        <v>48</v>
      </c>
      <c r="K5025" s="37">
        <v>0</v>
      </c>
      <c r="L5025" s="37">
        <v>4</v>
      </c>
      <c r="M5025" s="22">
        <f>IF(OR(ISBLANK(C5025),C5025=""),"",ROUND((C5025-B5025)*24,2))</f>
        <v>39.68</v>
      </c>
      <c r="N5025" s="40" t="str">
        <f>IF(OR(ISBLANK(C5025),C5025="",M5025=""),"In Progress",IF(M5025&lt;=J5025,"Met","Breached"))</f>
        <v>Met</v>
      </c>
    </row>
    <row r="5026" ht="19" customHeight="1" spans="1:14" x14ac:dyDescent="0.25">
      <c r="A5026" s="19" t="s">
        <v>5140</v>
      </c>
      <c r="B5026" s="33">
        <v>46217.29652777778</v>
      </c>
      <c r="C5026" s="33">
        <v>46220.211805555555</v>
      </c>
      <c r="D5026" s="19" t="s">
        <v>33</v>
      </c>
      <c r="E5026" s="19" t="s">
        <v>65</v>
      </c>
      <c r="F5026" s="19" t="s">
        <v>40</v>
      </c>
      <c r="G5026" s="19" t="s">
        <v>63</v>
      </c>
      <c r="H5026" s="19" t="s">
        <v>59</v>
      </c>
      <c r="I5026" s="19" t="s">
        <v>147</v>
      </c>
      <c r="J5026" s="20">
        <v>48</v>
      </c>
      <c r="K5026" s="34">
        <v>0</v>
      </c>
      <c r="M5026" s="19">
        <f>IF(OR(ISBLANK(C5026),C5026=""),"",ROUND((C5026-B5026)*24,2))</f>
        <v>69.97</v>
      </c>
      <c r="N5026" s="39" t="str">
        <f>IF(OR(ISBLANK(C5026),C5026="",M5026=""),"In Progress",IF(M5026&lt;=J5026,"Met","Breached"))</f>
        <v>Breached</v>
      </c>
    </row>
    <row r="5027" ht="19" customHeight="1" spans="1:14" x14ac:dyDescent="0.25">
      <c r="A5027" s="22" t="s">
        <v>5141</v>
      </c>
      <c r="B5027" s="36">
        <v>46132.74513888889</v>
      </c>
      <c r="C5027" s="36">
        <v>46132.87430555555</v>
      </c>
      <c r="D5027" s="22" t="s">
        <v>36</v>
      </c>
      <c r="E5027" s="22" t="s">
        <v>57</v>
      </c>
      <c r="F5027" s="22" t="s">
        <v>34</v>
      </c>
      <c r="G5027" s="22" t="s">
        <v>126</v>
      </c>
      <c r="H5027" s="22" t="s">
        <v>63</v>
      </c>
      <c r="I5027" s="22" t="s">
        <v>117</v>
      </c>
      <c r="J5027" s="23">
        <v>4</v>
      </c>
      <c r="K5027" s="37">
        <v>1</v>
      </c>
      <c r="L5027" s="37">
        <v>5</v>
      </c>
      <c r="M5027" s="22">
        <f>IF(OR(ISBLANK(C5027),C5027=""),"",ROUND((C5027-B5027)*24,2))</f>
        <v>3.1</v>
      </c>
      <c r="N5027" s="40" t="str">
        <f>IF(OR(ISBLANK(C5027),C5027="",M5027=""),"In Progress",IF(M5027&lt;=J5027,"Met","Breached"))</f>
        <v>Met</v>
      </c>
    </row>
    <row r="5028" ht="19" customHeight="1" spans="1:14" x14ac:dyDescent="0.25">
      <c r="A5028" s="19" t="s">
        <v>5142</v>
      </c>
      <c r="B5028" s="33">
        <v>46101.67847222222</v>
      </c>
      <c r="C5028" s="33">
        <v>46101.91666666667</v>
      </c>
      <c r="D5028" s="19" t="s">
        <v>33</v>
      </c>
      <c r="E5028" s="19" t="s">
        <v>57</v>
      </c>
      <c r="F5028" s="19" t="s">
        <v>45</v>
      </c>
      <c r="G5028" s="19" t="s">
        <v>63</v>
      </c>
      <c r="H5028" s="19" t="s">
        <v>59</v>
      </c>
      <c r="I5028" s="19" t="s">
        <v>147</v>
      </c>
      <c r="J5028" s="20">
        <v>4</v>
      </c>
      <c r="K5028" s="34">
        <v>0</v>
      </c>
      <c r="M5028" s="19">
        <f>IF(OR(ISBLANK(C5028),C5028=""),"",ROUND((C5028-B5028)*24,2))</f>
        <v>5.72</v>
      </c>
      <c r="N5028" s="39" t="str">
        <f>IF(OR(ISBLANK(C5028),C5028="",M5028=""),"In Progress",IF(M5028&lt;=J5028,"Met","Breached"))</f>
        <v>Breached</v>
      </c>
    </row>
    <row r="5029" ht="19" customHeight="1" spans="1:14" x14ac:dyDescent="0.25">
      <c r="A5029" s="22" t="s">
        <v>5143</v>
      </c>
      <c r="B5029" s="36">
        <v>46192.95277777778</v>
      </c>
      <c r="C5029" s="36">
        <v>46199.21597222222</v>
      </c>
      <c r="D5029" s="22" t="s">
        <v>33</v>
      </c>
      <c r="E5029" s="22" t="s">
        <v>69</v>
      </c>
      <c r="F5029" s="22" t="s">
        <v>37</v>
      </c>
      <c r="G5029" s="22" t="s">
        <v>110</v>
      </c>
      <c r="H5029" s="22" t="s">
        <v>59</v>
      </c>
      <c r="I5029" s="22" t="s">
        <v>111</v>
      </c>
      <c r="J5029" s="23">
        <v>120</v>
      </c>
      <c r="K5029" s="37">
        <v>0</v>
      </c>
      <c r="M5029" s="22">
        <f>IF(OR(ISBLANK(C5029),C5029=""),"",ROUND((C5029-B5029)*24,2))</f>
        <v>150.32</v>
      </c>
      <c r="N5029" s="38" t="str">
        <f>IF(OR(ISBLANK(C5029),C5029="",M5029=""),"In Progress",IF(M5029&lt;=J5029,"Met","Breached"))</f>
        <v>Breached</v>
      </c>
    </row>
    <row r="5030" ht="19" customHeight="1" spans="1:14" x14ac:dyDescent="0.25">
      <c r="A5030" s="19" t="s">
        <v>5144</v>
      </c>
      <c r="B5030" s="33">
        <v>45987.31388888889</v>
      </c>
      <c r="C5030" s="33">
        <v>45987.80069444445</v>
      </c>
      <c r="D5030" s="19" t="s">
        <v>33</v>
      </c>
      <c r="E5030" s="19" t="s">
        <v>61</v>
      </c>
      <c r="F5030" s="19" t="s">
        <v>37</v>
      </c>
      <c r="G5030" s="19" t="s">
        <v>126</v>
      </c>
      <c r="H5030" s="19" t="s">
        <v>59</v>
      </c>
      <c r="I5030" s="19" t="s">
        <v>147</v>
      </c>
      <c r="J5030" s="20">
        <v>12</v>
      </c>
      <c r="K5030" s="34">
        <v>0</v>
      </c>
      <c r="L5030" s="34">
        <v>4</v>
      </c>
      <c r="M5030" s="19">
        <f>IF(OR(ISBLANK(C5030),C5030=""),"",ROUND((C5030-B5030)*24,2))</f>
        <v>11.68</v>
      </c>
      <c r="N5030" s="35" t="str">
        <f>IF(OR(ISBLANK(C5030),C5030="",M5030=""),"In Progress",IF(M5030&lt;=J5030,"Met","Breached"))</f>
        <v>Met</v>
      </c>
    </row>
    <row r="5031" ht="19" customHeight="1" spans="1:14" x14ac:dyDescent="0.25">
      <c r="A5031" s="22" t="s">
        <v>5145</v>
      </c>
      <c r="B5031" s="36">
        <v>45691.37777777778</v>
      </c>
      <c r="C5031" s="36">
        <v>45694.15138888889</v>
      </c>
      <c r="D5031" s="22" t="s">
        <v>33</v>
      </c>
      <c r="E5031" s="22" t="s">
        <v>65</v>
      </c>
      <c r="F5031" s="22" t="s">
        <v>43</v>
      </c>
      <c r="G5031" s="22" t="s">
        <v>121</v>
      </c>
      <c r="H5031" s="22" t="s">
        <v>63</v>
      </c>
      <c r="I5031" s="22" t="s">
        <v>123</v>
      </c>
      <c r="J5031" s="23">
        <v>48</v>
      </c>
      <c r="K5031" s="37">
        <v>0</v>
      </c>
      <c r="M5031" s="22">
        <f>IF(OR(ISBLANK(C5031),C5031=""),"",ROUND((C5031-B5031)*24,2))</f>
        <v>66.57</v>
      </c>
      <c r="N5031" s="38" t="str">
        <f>IF(OR(ISBLANK(C5031),C5031="",M5031=""),"In Progress",IF(M5031&lt;=J5031,"Met","Breached"))</f>
        <v>Breached</v>
      </c>
    </row>
    <row r="5032" ht="19" customHeight="1" spans="1:14" x14ac:dyDescent="0.25">
      <c r="A5032" s="19" t="s">
        <v>5146</v>
      </c>
      <c r="B5032" s="33">
        <v>45737.84166666667</v>
      </c>
      <c r="C5032" s="33">
        <v>45738.013194444444</v>
      </c>
      <c r="D5032" s="19" t="s">
        <v>33</v>
      </c>
      <c r="E5032" s="19" t="s">
        <v>61</v>
      </c>
      <c r="F5032" s="19" t="s">
        <v>43</v>
      </c>
      <c r="G5032" s="19" t="s">
        <v>126</v>
      </c>
      <c r="H5032" s="19" t="s">
        <v>63</v>
      </c>
      <c r="I5032" s="19" t="s">
        <v>114</v>
      </c>
      <c r="J5032" s="20">
        <v>12</v>
      </c>
      <c r="K5032" s="34">
        <v>0</v>
      </c>
      <c r="L5032" s="34">
        <v>2</v>
      </c>
      <c r="M5032" s="19">
        <f>IF(OR(ISBLANK(C5032),C5032=""),"",ROUND((C5032-B5032)*24,2))</f>
        <v>4.12</v>
      </c>
      <c r="N5032" s="35" t="str">
        <f>IF(OR(ISBLANK(C5032),C5032="",M5032=""),"In Progress",IF(M5032&lt;=J5032,"Met","Breached"))</f>
        <v>Met</v>
      </c>
    </row>
    <row r="5033" ht="19" customHeight="1" spans="1:14" x14ac:dyDescent="0.25">
      <c r="A5033" s="22" t="s">
        <v>5147</v>
      </c>
      <c r="B5033" s="36">
        <v>46035.66527777778</v>
      </c>
      <c r="C5033" s="36">
        <v>46037.55</v>
      </c>
      <c r="D5033" s="22" t="s">
        <v>36</v>
      </c>
      <c r="E5033" s="22" t="s">
        <v>69</v>
      </c>
      <c r="F5033" s="22" t="s">
        <v>43</v>
      </c>
      <c r="G5033" s="22" t="s">
        <v>116</v>
      </c>
      <c r="H5033" s="22" t="s">
        <v>59</v>
      </c>
      <c r="I5033" s="22" t="s">
        <v>111</v>
      </c>
      <c r="J5033" s="23">
        <v>120</v>
      </c>
      <c r="K5033" s="37">
        <v>0</v>
      </c>
      <c r="L5033" s="37">
        <v>2</v>
      </c>
      <c r="M5033" s="22">
        <f>IF(OR(ISBLANK(C5033),C5033=""),"",ROUND((C5033-B5033)*24,2))</f>
        <v>45.23</v>
      </c>
      <c r="N5033" s="40" t="str">
        <f>IF(OR(ISBLANK(C5033),C5033="",M5033=""),"In Progress",IF(M5033&lt;=J5033,"Met","Breached"))</f>
        <v>Met</v>
      </c>
    </row>
    <row r="5034" ht="19" customHeight="1" spans="1:14" x14ac:dyDescent="0.25">
      <c r="A5034" s="19" t="s">
        <v>5148</v>
      </c>
      <c r="B5034" s="33">
        <v>46032.15416666667</v>
      </c>
      <c r="C5034" s="33">
        <v>46032.902083333334</v>
      </c>
      <c r="D5034" s="19" t="s">
        <v>36</v>
      </c>
      <c r="E5034" s="19" t="s">
        <v>61</v>
      </c>
      <c r="F5034" s="19" t="s">
        <v>40</v>
      </c>
      <c r="G5034" s="19" t="s">
        <v>110</v>
      </c>
      <c r="H5034" s="19" t="s">
        <v>59</v>
      </c>
      <c r="I5034" s="19" t="s">
        <v>108</v>
      </c>
      <c r="J5034" s="20">
        <v>12</v>
      </c>
      <c r="K5034" s="34">
        <v>0</v>
      </c>
      <c r="L5034" s="34">
        <v>3</v>
      </c>
      <c r="M5034" s="19">
        <f>IF(OR(ISBLANK(C5034),C5034=""),"",ROUND((C5034-B5034)*24,2))</f>
        <v>17.95</v>
      </c>
      <c r="N5034" s="39" t="str">
        <f>IF(OR(ISBLANK(C5034),C5034="",M5034=""),"In Progress",IF(M5034&lt;=J5034,"Met","Breached"))</f>
        <v>Breached</v>
      </c>
    </row>
    <row r="5035" ht="19" customHeight="1" spans="1:14" x14ac:dyDescent="0.25">
      <c r="A5035" s="22" t="s">
        <v>5149</v>
      </c>
      <c r="B5035" s="36">
        <v>46002.55069444445</v>
      </c>
      <c r="D5035" s="22" t="s">
        <v>42</v>
      </c>
      <c r="E5035" s="22" t="s">
        <v>65</v>
      </c>
      <c r="F5035" s="22" t="s">
        <v>45</v>
      </c>
      <c r="G5035" s="22" t="s">
        <v>63</v>
      </c>
      <c r="H5035" s="22" t="s">
        <v>59</v>
      </c>
      <c r="I5035" s="22" t="s">
        <v>147</v>
      </c>
      <c r="J5035" s="23">
        <v>48</v>
      </c>
      <c r="K5035" s="37">
        <v>0</v>
      </c>
      <c r="M5035" s="22" t="str">
        <f>IF(OR(ISBLANK(C5035),C5035=""),"",ROUND((C5035-B5035)*24,2))</f>
        <v/>
      </c>
      <c r="N5035" s="22" t="str">
        <f>IF(OR(ISBLANK(C5035),C5035="",M5035=""),"In Progress",IF(M5035&lt;=J5035,"Met","Breached"))</f>
        <v>In Progress</v>
      </c>
    </row>
    <row r="5036" ht="19" customHeight="1" spans="1:14" x14ac:dyDescent="0.25">
      <c r="A5036" s="19" t="s">
        <v>5150</v>
      </c>
      <c r="B5036" s="33">
        <v>46028.492361111115</v>
      </c>
      <c r="C5036" s="33">
        <v>46028.57708333334</v>
      </c>
      <c r="D5036" s="19" t="s">
        <v>33</v>
      </c>
      <c r="E5036" s="19" t="s">
        <v>57</v>
      </c>
      <c r="F5036" s="19" t="s">
        <v>40</v>
      </c>
      <c r="G5036" s="19" t="s">
        <v>113</v>
      </c>
      <c r="H5036" s="19" t="s">
        <v>59</v>
      </c>
      <c r="I5036" s="19" t="s">
        <v>123</v>
      </c>
      <c r="J5036" s="20">
        <v>4</v>
      </c>
      <c r="K5036" s="34">
        <v>0</v>
      </c>
      <c r="M5036" s="19">
        <f>IF(OR(ISBLANK(C5036),C5036=""),"",ROUND((C5036-B5036)*24,2))</f>
        <v>2.03</v>
      </c>
      <c r="N5036" s="35" t="str">
        <f>IF(OR(ISBLANK(C5036),C5036="",M5036=""),"In Progress",IF(M5036&lt;=J5036,"Met","Breached"))</f>
        <v>Met</v>
      </c>
    </row>
    <row r="5037" ht="19" customHeight="1" spans="1:14" x14ac:dyDescent="0.25">
      <c r="A5037" s="22" t="s">
        <v>5151</v>
      </c>
      <c r="B5037" s="36">
        <v>45784.17222222222</v>
      </c>
      <c r="C5037" s="36">
        <v>45784.44375</v>
      </c>
      <c r="D5037" s="22" t="s">
        <v>33</v>
      </c>
      <c r="E5037" s="22" t="s">
        <v>61</v>
      </c>
      <c r="F5037" s="22" t="s">
        <v>43</v>
      </c>
      <c r="G5037" s="22" t="s">
        <v>116</v>
      </c>
      <c r="H5037" s="22" t="s">
        <v>71</v>
      </c>
      <c r="I5037" s="22" t="s">
        <v>114</v>
      </c>
      <c r="J5037" s="23">
        <v>12</v>
      </c>
      <c r="K5037" s="37">
        <v>0</v>
      </c>
      <c r="L5037" s="37">
        <v>4</v>
      </c>
      <c r="M5037" s="22">
        <f>IF(OR(ISBLANK(C5037),C5037=""),"",ROUND((C5037-B5037)*24,2))</f>
        <v>6.52</v>
      </c>
      <c r="N5037" s="40" t="str">
        <f>IF(OR(ISBLANK(C5037),C5037="",M5037=""),"In Progress",IF(M5037&lt;=J5037,"Met","Breached"))</f>
        <v>Met</v>
      </c>
    </row>
    <row r="5038" ht="19" customHeight="1" spans="1:14" x14ac:dyDescent="0.25">
      <c r="A5038" s="19" t="s">
        <v>5152</v>
      </c>
      <c r="B5038" s="33">
        <v>45996.51597222222</v>
      </c>
      <c r="D5038" s="19" t="s">
        <v>39</v>
      </c>
      <c r="E5038" s="19" t="s">
        <v>65</v>
      </c>
      <c r="F5038" s="19" t="s">
        <v>43</v>
      </c>
      <c r="G5038" s="19" t="s">
        <v>110</v>
      </c>
      <c r="H5038" s="19" t="s">
        <v>59</v>
      </c>
      <c r="I5038" s="19" t="s">
        <v>117</v>
      </c>
      <c r="J5038" s="20">
        <v>48</v>
      </c>
      <c r="K5038" s="34">
        <v>0</v>
      </c>
      <c r="M5038" s="19" t="str">
        <f>IF(OR(ISBLANK(C5038),C5038=""),"",ROUND((C5038-B5038)*24,2))</f>
        <v/>
      </c>
      <c r="N5038" s="19" t="str">
        <f>IF(OR(ISBLANK(C5038),C5038="",M5038=""),"In Progress",IF(M5038&lt;=J5038,"Met","Breached"))</f>
        <v>In Progress</v>
      </c>
    </row>
    <row r="5039" ht="19" customHeight="1" spans="1:14" x14ac:dyDescent="0.25">
      <c r="A5039" s="22" t="s">
        <v>5153</v>
      </c>
      <c r="B5039" s="36">
        <v>45855.245833333334</v>
      </c>
      <c r="C5039" s="36">
        <v>45856.26458333334</v>
      </c>
      <c r="D5039" s="22" t="s">
        <v>36</v>
      </c>
      <c r="E5039" s="22" t="s">
        <v>65</v>
      </c>
      <c r="F5039" s="22" t="s">
        <v>45</v>
      </c>
      <c r="G5039" s="22" t="s">
        <v>121</v>
      </c>
      <c r="H5039" s="22" t="s">
        <v>67</v>
      </c>
      <c r="I5039" s="22" t="s">
        <v>108</v>
      </c>
      <c r="J5039" s="23">
        <v>48</v>
      </c>
      <c r="K5039" s="37">
        <v>0</v>
      </c>
      <c r="L5039" s="37">
        <v>5</v>
      </c>
      <c r="M5039" s="22">
        <f>IF(OR(ISBLANK(C5039),C5039=""),"",ROUND((C5039-B5039)*24,2))</f>
        <v>24.45</v>
      </c>
      <c r="N5039" s="40" t="str">
        <f>IF(OR(ISBLANK(C5039),C5039="",M5039=""),"In Progress",IF(M5039&lt;=J5039,"Met","Breached"))</f>
        <v>Met</v>
      </c>
    </row>
    <row r="5040" ht="19" customHeight="1" spans="1:14" x14ac:dyDescent="0.25">
      <c r="A5040" s="19" t="s">
        <v>5154</v>
      </c>
      <c r="B5040" s="33">
        <v>45722.263194444444</v>
      </c>
      <c r="C5040" s="33">
        <v>45722.96388888889</v>
      </c>
      <c r="D5040" s="19" t="s">
        <v>33</v>
      </c>
      <c r="E5040" s="19" t="s">
        <v>61</v>
      </c>
      <c r="F5040" s="19" t="s">
        <v>34</v>
      </c>
      <c r="G5040" s="19" t="s">
        <v>116</v>
      </c>
      <c r="H5040" s="19" t="s">
        <v>59</v>
      </c>
      <c r="I5040" s="19" t="s">
        <v>123</v>
      </c>
      <c r="J5040" s="20">
        <v>12</v>
      </c>
      <c r="K5040" s="34">
        <v>0</v>
      </c>
      <c r="L5040" s="34">
        <v>3</v>
      </c>
      <c r="M5040" s="19">
        <f>IF(OR(ISBLANK(C5040),C5040=""),"",ROUND((C5040-B5040)*24,2))</f>
        <v>16.82</v>
      </c>
      <c r="N5040" s="39" t="str">
        <f>IF(OR(ISBLANK(C5040),C5040="",M5040=""),"In Progress",IF(M5040&lt;=J5040,"Met","Breached"))</f>
        <v>Breached</v>
      </c>
    </row>
    <row r="5041" ht="19" customHeight="1" spans="1:14" x14ac:dyDescent="0.25">
      <c r="A5041" s="22" t="s">
        <v>5155</v>
      </c>
      <c r="B5041" s="36">
        <v>45957.73958333333</v>
      </c>
      <c r="C5041" s="36">
        <v>45958.55416666667</v>
      </c>
      <c r="D5041" s="22" t="s">
        <v>36</v>
      </c>
      <c r="E5041" s="22" t="s">
        <v>61</v>
      </c>
      <c r="F5041" s="22" t="s">
        <v>40</v>
      </c>
      <c r="G5041" s="22" t="s">
        <v>63</v>
      </c>
      <c r="H5041" s="22" t="s">
        <v>63</v>
      </c>
      <c r="I5041" s="22" t="s">
        <v>147</v>
      </c>
      <c r="J5041" s="23">
        <v>12</v>
      </c>
      <c r="K5041" s="37">
        <v>0</v>
      </c>
      <c r="L5041" s="37">
        <v>1</v>
      </c>
      <c r="M5041" s="22">
        <f>IF(OR(ISBLANK(C5041),C5041=""),"",ROUND((C5041-B5041)*24,2))</f>
        <v>19.55</v>
      </c>
      <c r="N5041" s="38" t="str">
        <f>IF(OR(ISBLANK(C5041),C5041="",M5041=""),"In Progress",IF(M5041&lt;=J5041,"Met","Breached"))</f>
        <v>Breached</v>
      </c>
    </row>
    <row r="5042" ht="19" customHeight="1" spans="1:14" x14ac:dyDescent="0.25">
      <c r="A5042" s="19" t="s">
        <v>5156</v>
      </c>
      <c r="B5042" s="33">
        <v>45915.29583333334</v>
      </c>
      <c r="D5042" s="19" t="s">
        <v>42</v>
      </c>
      <c r="E5042" s="19" t="s">
        <v>65</v>
      </c>
      <c r="F5042" s="19" t="s">
        <v>40</v>
      </c>
      <c r="G5042" s="19" t="s">
        <v>110</v>
      </c>
      <c r="H5042" s="19" t="s">
        <v>59</v>
      </c>
      <c r="I5042" s="19" t="s">
        <v>117</v>
      </c>
      <c r="J5042" s="20">
        <v>48</v>
      </c>
      <c r="K5042" s="34">
        <v>0</v>
      </c>
      <c r="M5042" s="19" t="str">
        <f>IF(OR(ISBLANK(C5042),C5042=""),"",ROUND((C5042-B5042)*24,2))</f>
        <v/>
      </c>
      <c r="N5042" s="19" t="str">
        <f>IF(OR(ISBLANK(C5042),C5042="",M5042=""),"In Progress",IF(M5042&lt;=J5042,"Met","Breached"))</f>
        <v>In Progress</v>
      </c>
    </row>
    <row r="5043" ht="19" customHeight="1" spans="1:14" x14ac:dyDescent="0.25">
      <c r="A5043" s="22" t="s">
        <v>5157</v>
      </c>
      <c r="B5043" s="36">
        <v>45856.58125</v>
      </c>
      <c r="C5043" s="36">
        <v>45859.2875</v>
      </c>
      <c r="D5043" s="22" t="s">
        <v>36</v>
      </c>
      <c r="E5043" s="22" t="s">
        <v>65</v>
      </c>
      <c r="F5043" s="22" t="s">
        <v>43</v>
      </c>
      <c r="G5043" s="22" t="s">
        <v>113</v>
      </c>
      <c r="H5043" s="22" t="s">
        <v>59</v>
      </c>
      <c r="I5043" s="22" t="s">
        <v>114</v>
      </c>
      <c r="J5043" s="23">
        <v>48</v>
      </c>
      <c r="K5043" s="37">
        <v>0</v>
      </c>
      <c r="L5043" s="37">
        <v>4</v>
      </c>
      <c r="M5043" s="22">
        <f>IF(OR(ISBLANK(C5043),C5043=""),"",ROUND((C5043-B5043)*24,2))</f>
        <v>64.95</v>
      </c>
      <c r="N5043" s="38" t="str">
        <f>IF(OR(ISBLANK(C5043),C5043="",M5043=""),"In Progress",IF(M5043&lt;=J5043,"Met","Breached"))</f>
        <v>Breached</v>
      </c>
    </row>
    <row r="5044" ht="19" customHeight="1" spans="1:14" x14ac:dyDescent="0.25">
      <c r="A5044" s="19" t="s">
        <v>5158</v>
      </c>
      <c r="B5044" s="33">
        <v>46111.7625</v>
      </c>
      <c r="C5044" s="33">
        <v>46111.99652777778</v>
      </c>
      <c r="D5044" s="19" t="s">
        <v>33</v>
      </c>
      <c r="E5044" s="19" t="s">
        <v>61</v>
      </c>
      <c r="F5044" s="19" t="s">
        <v>34</v>
      </c>
      <c r="G5044" s="19" t="s">
        <v>63</v>
      </c>
      <c r="H5044" s="19" t="s">
        <v>63</v>
      </c>
      <c r="I5044" s="19" t="s">
        <v>123</v>
      </c>
      <c r="J5044" s="20">
        <v>12</v>
      </c>
      <c r="K5044" s="34">
        <v>0</v>
      </c>
      <c r="L5044" s="34">
        <v>2</v>
      </c>
      <c r="M5044" s="19">
        <f>IF(OR(ISBLANK(C5044),C5044=""),"",ROUND((C5044-B5044)*24,2))</f>
        <v>5.62</v>
      </c>
      <c r="N5044" s="35" t="str">
        <f>IF(OR(ISBLANK(C5044),C5044="",M5044=""),"In Progress",IF(M5044&lt;=J5044,"Met","Breached"))</f>
        <v>Met</v>
      </c>
    </row>
    <row r="5045" ht="19" customHeight="1" spans="1:14" x14ac:dyDescent="0.25">
      <c r="A5045" s="22" t="s">
        <v>5159</v>
      </c>
      <c r="B5045" s="36">
        <v>45996.53958333333</v>
      </c>
      <c r="C5045" s="36">
        <v>45997.40486111111</v>
      </c>
      <c r="D5045" s="22" t="s">
        <v>33</v>
      </c>
      <c r="E5045" s="22" t="s">
        <v>61</v>
      </c>
      <c r="F5045" s="22" t="s">
        <v>34</v>
      </c>
      <c r="G5045" s="22" t="s">
        <v>113</v>
      </c>
      <c r="H5045" s="22" t="s">
        <v>63</v>
      </c>
      <c r="I5045" s="22" t="s">
        <v>147</v>
      </c>
      <c r="J5045" s="23">
        <v>12</v>
      </c>
      <c r="K5045" s="37">
        <v>0</v>
      </c>
      <c r="M5045" s="22">
        <f>IF(OR(ISBLANK(C5045),C5045=""),"",ROUND((C5045-B5045)*24,2))</f>
        <v>20.77</v>
      </c>
      <c r="N5045" s="38" t="str">
        <f>IF(OR(ISBLANK(C5045),C5045="",M5045=""),"In Progress",IF(M5045&lt;=J5045,"Met","Breached"))</f>
        <v>Breached</v>
      </c>
    </row>
    <row r="5046" ht="19" customHeight="1" spans="1:14" x14ac:dyDescent="0.25">
      <c r="A5046" s="19" t="s">
        <v>5160</v>
      </c>
      <c r="B5046" s="33">
        <v>45868.73819444445</v>
      </c>
      <c r="C5046" s="33">
        <v>45876.822222222225</v>
      </c>
      <c r="D5046" s="19" t="s">
        <v>33</v>
      </c>
      <c r="E5046" s="19" t="s">
        <v>69</v>
      </c>
      <c r="F5046" s="19" t="s">
        <v>45</v>
      </c>
      <c r="G5046" s="19" t="s">
        <v>121</v>
      </c>
      <c r="H5046" s="19" t="s">
        <v>59</v>
      </c>
      <c r="I5046" s="19" t="s">
        <v>123</v>
      </c>
      <c r="J5046" s="20">
        <v>120</v>
      </c>
      <c r="K5046" s="34">
        <v>0</v>
      </c>
      <c r="M5046" s="19">
        <f>IF(OR(ISBLANK(C5046),C5046=""),"",ROUND((C5046-B5046)*24,2))</f>
        <v>194.02</v>
      </c>
      <c r="N5046" s="39" t="str">
        <f>IF(OR(ISBLANK(C5046),C5046="",M5046=""),"In Progress",IF(M5046&lt;=J5046,"Met","Breached"))</f>
        <v>Breached</v>
      </c>
    </row>
    <row r="5047" ht="19" customHeight="1" spans="1:14" x14ac:dyDescent="0.25">
      <c r="A5047" s="22" t="s">
        <v>5161</v>
      </c>
      <c r="B5047" s="36">
        <v>46210.35277777778</v>
      </c>
      <c r="C5047" s="36">
        <v>46212.43680555555</v>
      </c>
      <c r="D5047" s="22" t="s">
        <v>36</v>
      </c>
      <c r="E5047" s="22" t="s">
        <v>65</v>
      </c>
      <c r="F5047" s="22" t="s">
        <v>34</v>
      </c>
      <c r="G5047" s="22" t="s">
        <v>63</v>
      </c>
      <c r="H5047" s="22" t="s">
        <v>59</v>
      </c>
      <c r="I5047" s="22" t="s">
        <v>147</v>
      </c>
      <c r="J5047" s="23">
        <v>48</v>
      </c>
      <c r="K5047" s="37">
        <v>0</v>
      </c>
      <c r="L5047" s="37">
        <v>3</v>
      </c>
      <c r="M5047" s="22">
        <f>IF(OR(ISBLANK(C5047),C5047=""),"",ROUND((C5047-B5047)*24,2))</f>
        <v>50.02</v>
      </c>
      <c r="N5047" s="38" t="str">
        <f>IF(OR(ISBLANK(C5047),C5047="",M5047=""),"In Progress",IF(M5047&lt;=J5047,"Met","Breached"))</f>
        <v>Breached</v>
      </c>
    </row>
    <row r="5048" ht="19" customHeight="1" spans="1:14" x14ac:dyDescent="0.25">
      <c r="A5048" s="19" t="s">
        <v>5162</v>
      </c>
      <c r="B5048" s="33">
        <v>46229.884722222225</v>
      </c>
      <c r="C5048" s="33">
        <v>46230.82291666667</v>
      </c>
      <c r="D5048" s="19" t="s">
        <v>33</v>
      </c>
      <c r="E5048" s="19" t="s">
        <v>65</v>
      </c>
      <c r="F5048" s="19" t="s">
        <v>43</v>
      </c>
      <c r="G5048" s="19" t="s">
        <v>110</v>
      </c>
      <c r="H5048" s="19" t="s">
        <v>59</v>
      </c>
      <c r="I5048" s="19" t="s">
        <v>117</v>
      </c>
      <c r="J5048" s="20">
        <v>48</v>
      </c>
      <c r="K5048" s="34">
        <v>0</v>
      </c>
      <c r="M5048" s="19">
        <f>IF(OR(ISBLANK(C5048),C5048=""),"",ROUND((C5048-B5048)*24,2))</f>
        <v>22.52</v>
      </c>
      <c r="N5048" s="35" t="str">
        <f>IF(OR(ISBLANK(C5048),C5048="",M5048=""),"In Progress",IF(M5048&lt;=J5048,"Met","Breached"))</f>
        <v>Met</v>
      </c>
    </row>
    <row r="5049" ht="19" customHeight="1" spans="1:14" x14ac:dyDescent="0.25">
      <c r="A5049" s="22" t="s">
        <v>5163</v>
      </c>
      <c r="B5049" s="36">
        <v>46087.51666666666</v>
      </c>
      <c r="D5049" s="22" t="s">
        <v>42</v>
      </c>
      <c r="E5049" s="22" t="s">
        <v>65</v>
      </c>
      <c r="F5049" s="22" t="s">
        <v>43</v>
      </c>
      <c r="G5049" s="22" t="s">
        <v>63</v>
      </c>
      <c r="H5049" s="22" t="s">
        <v>63</v>
      </c>
      <c r="I5049" s="22" t="s">
        <v>111</v>
      </c>
      <c r="J5049" s="23">
        <v>48</v>
      </c>
      <c r="K5049" s="37">
        <v>0</v>
      </c>
      <c r="M5049" s="22" t="str">
        <f>IF(OR(ISBLANK(C5049),C5049=""),"",ROUND((C5049-B5049)*24,2))</f>
        <v/>
      </c>
      <c r="N5049" s="22" t="str">
        <f>IF(OR(ISBLANK(C5049),C5049="",M5049=""),"In Progress",IF(M5049&lt;=J5049,"Met","Breached"))</f>
        <v>In Progress</v>
      </c>
    </row>
    <row r="5050" ht="19" customHeight="1" spans="1:14" x14ac:dyDescent="0.25">
      <c r="A5050" s="19" t="s">
        <v>5164</v>
      </c>
      <c r="B5050" s="33">
        <v>45687.50486111111</v>
      </c>
      <c r="C5050" s="33">
        <v>45692.74722222222</v>
      </c>
      <c r="D5050" s="19" t="s">
        <v>33</v>
      </c>
      <c r="E5050" s="19" t="s">
        <v>69</v>
      </c>
      <c r="F5050" s="19" t="s">
        <v>34</v>
      </c>
      <c r="G5050" s="19" t="s">
        <v>110</v>
      </c>
      <c r="H5050" s="19" t="s">
        <v>59</v>
      </c>
      <c r="I5050" s="19" t="s">
        <v>117</v>
      </c>
      <c r="J5050" s="20">
        <v>120</v>
      </c>
      <c r="K5050" s="34">
        <v>0</v>
      </c>
      <c r="L5050" s="34">
        <v>5</v>
      </c>
      <c r="M5050" s="19">
        <f>IF(OR(ISBLANK(C5050),C5050=""),"",ROUND((C5050-B5050)*24,2))</f>
        <v>125.82</v>
      </c>
      <c r="N5050" s="39" t="str">
        <f>IF(OR(ISBLANK(C5050),C5050="",M5050=""),"In Progress",IF(M5050&lt;=J5050,"Met","Breached"))</f>
        <v>Breached</v>
      </c>
    </row>
    <row r="5051" ht="19" customHeight="1" spans="1:14" x14ac:dyDescent="0.25">
      <c r="A5051" s="22" t="s">
        <v>5165</v>
      </c>
      <c r="B5051" s="36">
        <v>46255.243055555555</v>
      </c>
      <c r="C5051" s="36">
        <v>46255.39513888889</v>
      </c>
      <c r="D5051" s="22" t="s">
        <v>36</v>
      </c>
      <c r="E5051" s="22" t="s">
        <v>61</v>
      </c>
      <c r="F5051" s="22" t="s">
        <v>40</v>
      </c>
      <c r="G5051" s="22" t="s">
        <v>110</v>
      </c>
      <c r="H5051" s="22" t="s">
        <v>71</v>
      </c>
      <c r="I5051" s="22" t="s">
        <v>123</v>
      </c>
      <c r="J5051" s="23">
        <v>12</v>
      </c>
      <c r="K5051" s="37">
        <v>0</v>
      </c>
      <c r="M5051" s="22">
        <f>IF(OR(ISBLANK(C5051),C5051=""),"",ROUND((C5051-B5051)*24,2))</f>
        <v>3.65</v>
      </c>
      <c r="N5051" s="40" t="str">
        <f>IF(OR(ISBLANK(C5051),C5051="",M5051=""),"In Progress",IF(M5051&lt;=J5051,"Met","Breached"))</f>
        <v>Met</v>
      </c>
    </row>
    <row r="5052" ht="19" customHeight="1" spans="1:14" x14ac:dyDescent="0.25">
      <c r="A5052" s="19" t="s">
        <v>5166</v>
      </c>
      <c r="B5052" s="33">
        <v>46172.21041666667</v>
      </c>
      <c r="C5052" s="33">
        <v>46173.84166666667</v>
      </c>
      <c r="D5052" s="19" t="s">
        <v>33</v>
      </c>
      <c r="E5052" s="19" t="s">
        <v>65</v>
      </c>
      <c r="F5052" s="19" t="s">
        <v>37</v>
      </c>
      <c r="G5052" s="19" t="s">
        <v>113</v>
      </c>
      <c r="H5052" s="19" t="s">
        <v>63</v>
      </c>
      <c r="I5052" s="19" t="s">
        <v>111</v>
      </c>
      <c r="J5052" s="20">
        <v>48</v>
      </c>
      <c r="K5052" s="34">
        <v>0</v>
      </c>
      <c r="L5052" s="34">
        <v>2</v>
      </c>
      <c r="M5052" s="19">
        <f>IF(OR(ISBLANK(C5052),C5052=""),"",ROUND((C5052-B5052)*24,2))</f>
        <v>39.15</v>
      </c>
      <c r="N5052" s="35" t="str">
        <f>IF(OR(ISBLANK(C5052),C5052="",M5052=""),"In Progress",IF(M5052&lt;=J5052,"Met","Breached"))</f>
        <v>Met</v>
      </c>
    </row>
    <row r="5053" ht="19" customHeight="1" spans="1:14" x14ac:dyDescent="0.25">
      <c r="A5053" s="22" t="s">
        <v>5167</v>
      </c>
      <c r="B5053" s="36">
        <v>45700.86458333333</v>
      </c>
      <c r="C5053" s="36">
        <v>45703.31527777778</v>
      </c>
      <c r="D5053" s="22" t="s">
        <v>33</v>
      </c>
      <c r="E5053" s="22" t="s">
        <v>65</v>
      </c>
      <c r="F5053" s="22" t="s">
        <v>34</v>
      </c>
      <c r="G5053" s="22" t="s">
        <v>116</v>
      </c>
      <c r="H5053" s="22" t="s">
        <v>67</v>
      </c>
      <c r="I5053" s="22" t="s">
        <v>123</v>
      </c>
      <c r="J5053" s="23">
        <v>48</v>
      </c>
      <c r="K5053" s="37">
        <v>0</v>
      </c>
      <c r="M5053" s="22">
        <f>IF(OR(ISBLANK(C5053),C5053=""),"",ROUND((C5053-B5053)*24,2))</f>
        <v>58.82</v>
      </c>
      <c r="N5053" s="38" t="str">
        <f>IF(OR(ISBLANK(C5053),C5053="",M5053=""),"In Progress",IF(M5053&lt;=J5053,"Met","Breached"))</f>
        <v>Breached</v>
      </c>
    </row>
    <row r="5054" ht="19" customHeight="1" spans="1:14" x14ac:dyDescent="0.25">
      <c r="A5054" s="19" t="s">
        <v>5168</v>
      </c>
      <c r="B5054" s="33">
        <v>46115.64097222222</v>
      </c>
      <c r="C5054" s="33">
        <v>46123.69791666667</v>
      </c>
      <c r="D5054" s="19" t="s">
        <v>36</v>
      </c>
      <c r="E5054" s="19" t="s">
        <v>69</v>
      </c>
      <c r="F5054" s="19" t="s">
        <v>34</v>
      </c>
      <c r="G5054" s="19" t="s">
        <v>116</v>
      </c>
      <c r="H5054" s="19" t="s">
        <v>59</v>
      </c>
      <c r="I5054" s="19" t="s">
        <v>147</v>
      </c>
      <c r="J5054" s="20">
        <v>120</v>
      </c>
      <c r="K5054" s="34">
        <v>0</v>
      </c>
      <c r="L5054" s="34">
        <v>4</v>
      </c>
      <c r="M5054" s="19">
        <f>IF(OR(ISBLANK(C5054),C5054=""),"",ROUND((C5054-B5054)*24,2))</f>
        <v>193.37</v>
      </c>
      <c r="N5054" s="39" t="str">
        <f>IF(OR(ISBLANK(C5054),C5054="",M5054=""),"In Progress",IF(M5054&lt;=J5054,"Met","Breached"))</f>
        <v>Breached</v>
      </c>
    </row>
    <row r="5055" ht="19" customHeight="1" spans="1:14" x14ac:dyDescent="0.25">
      <c r="A5055" s="22" t="s">
        <v>5169</v>
      </c>
      <c r="B5055" s="36">
        <v>45846.99930555555</v>
      </c>
      <c r="C5055" s="36">
        <v>45849.93680555555</v>
      </c>
      <c r="D5055" s="22" t="s">
        <v>33</v>
      </c>
      <c r="E5055" s="22" t="s">
        <v>65</v>
      </c>
      <c r="F5055" s="22" t="s">
        <v>40</v>
      </c>
      <c r="G5055" s="22" t="s">
        <v>113</v>
      </c>
      <c r="H5055" s="22" t="s">
        <v>67</v>
      </c>
      <c r="I5055" s="22" t="s">
        <v>114</v>
      </c>
      <c r="J5055" s="23">
        <v>48</v>
      </c>
      <c r="K5055" s="37">
        <v>0</v>
      </c>
      <c r="L5055" s="37">
        <v>2</v>
      </c>
      <c r="M5055" s="22">
        <f>IF(OR(ISBLANK(C5055),C5055=""),"",ROUND((C5055-B5055)*24,2))</f>
        <v>70.5</v>
      </c>
      <c r="N5055" s="38" t="str">
        <f>IF(OR(ISBLANK(C5055),C5055="",M5055=""),"In Progress",IF(M5055&lt;=J5055,"Met","Breached"))</f>
        <v>Breached</v>
      </c>
    </row>
    <row r="5056" ht="19" customHeight="1" spans="1:14" x14ac:dyDescent="0.25">
      <c r="A5056" s="19" t="s">
        <v>5170</v>
      </c>
      <c r="B5056" s="33">
        <v>45753.711805555555</v>
      </c>
      <c r="C5056" s="33">
        <v>45753.86597222222</v>
      </c>
      <c r="D5056" s="19" t="s">
        <v>33</v>
      </c>
      <c r="E5056" s="19" t="s">
        <v>57</v>
      </c>
      <c r="F5056" s="19" t="s">
        <v>45</v>
      </c>
      <c r="G5056" s="19" t="s">
        <v>121</v>
      </c>
      <c r="H5056" s="19" t="s">
        <v>63</v>
      </c>
      <c r="I5056" s="19" t="s">
        <v>147</v>
      </c>
      <c r="J5056" s="20">
        <v>4</v>
      </c>
      <c r="K5056" s="34">
        <v>0</v>
      </c>
      <c r="M5056" s="19">
        <f>IF(OR(ISBLANK(C5056),C5056=""),"",ROUND((C5056-B5056)*24,2))</f>
        <v>3.7</v>
      </c>
      <c r="N5056" s="35" t="str">
        <f>IF(OR(ISBLANK(C5056),C5056="",M5056=""),"In Progress",IF(M5056&lt;=J5056,"Met","Breached"))</f>
        <v>Met</v>
      </c>
    </row>
    <row r="5057" ht="19" customHeight="1" spans="1:14" x14ac:dyDescent="0.25">
      <c r="A5057" s="22" t="s">
        <v>5171</v>
      </c>
      <c r="B5057" s="36">
        <v>45759.513194444444</v>
      </c>
      <c r="D5057" s="22" t="s">
        <v>42</v>
      </c>
      <c r="E5057" s="22" t="s">
        <v>65</v>
      </c>
      <c r="F5057" s="22" t="s">
        <v>45</v>
      </c>
      <c r="G5057" s="22" t="s">
        <v>110</v>
      </c>
      <c r="H5057" s="22" t="s">
        <v>63</v>
      </c>
      <c r="I5057" s="22" t="s">
        <v>147</v>
      </c>
      <c r="J5057" s="23">
        <v>48</v>
      </c>
      <c r="K5057" s="37">
        <v>0</v>
      </c>
      <c r="M5057" s="22" t="str">
        <f>IF(OR(ISBLANK(C5057),C5057=""),"",ROUND((C5057-B5057)*24,2))</f>
        <v/>
      </c>
      <c r="N5057" s="22" t="str">
        <f>IF(OR(ISBLANK(C5057),C5057="",M5057=""),"In Progress",IF(M5057&lt;=J5057,"Met","Breached"))</f>
        <v>In Progress</v>
      </c>
    </row>
    <row r="5058" ht="19" customHeight="1" spans="1:14" x14ac:dyDescent="0.25">
      <c r="A5058" s="19" t="s">
        <v>5172</v>
      </c>
      <c r="B5058" s="33">
        <v>46239.294444444444</v>
      </c>
      <c r="C5058" s="33">
        <v>46243.75277777778</v>
      </c>
      <c r="D5058" s="19" t="s">
        <v>33</v>
      </c>
      <c r="E5058" s="19" t="s">
        <v>69</v>
      </c>
      <c r="F5058" s="19" t="s">
        <v>45</v>
      </c>
      <c r="G5058" s="19" t="s">
        <v>116</v>
      </c>
      <c r="H5058" s="19" t="s">
        <v>59</v>
      </c>
      <c r="I5058" s="19" t="s">
        <v>117</v>
      </c>
      <c r="J5058" s="20">
        <v>120</v>
      </c>
      <c r="K5058" s="34">
        <v>0</v>
      </c>
      <c r="L5058" s="34">
        <v>4</v>
      </c>
      <c r="M5058" s="19">
        <f>IF(OR(ISBLANK(C5058),C5058=""),"",ROUND((C5058-B5058)*24,2))</f>
        <v>107</v>
      </c>
      <c r="N5058" s="35" t="str">
        <f>IF(OR(ISBLANK(C5058),C5058="",M5058=""),"In Progress",IF(M5058&lt;=J5058,"Met","Breached"))</f>
        <v>Met</v>
      </c>
    </row>
    <row r="5059" ht="19" customHeight="1" spans="1:14" x14ac:dyDescent="0.25">
      <c r="A5059" s="22" t="s">
        <v>5173</v>
      </c>
      <c r="B5059" s="36">
        <v>46248.68125</v>
      </c>
      <c r="C5059" s="36">
        <v>46249.71875</v>
      </c>
      <c r="D5059" s="22" t="s">
        <v>36</v>
      </c>
      <c r="E5059" s="22" t="s">
        <v>65</v>
      </c>
      <c r="F5059" s="22" t="s">
        <v>34</v>
      </c>
      <c r="G5059" s="22" t="s">
        <v>126</v>
      </c>
      <c r="H5059" s="22" t="s">
        <v>59</v>
      </c>
      <c r="I5059" s="22" t="s">
        <v>147</v>
      </c>
      <c r="J5059" s="23">
        <v>48</v>
      </c>
      <c r="K5059" s="37">
        <v>0</v>
      </c>
      <c r="L5059" s="37">
        <v>1</v>
      </c>
      <c r="M5059" s="22">
        <f>IF(OR(ISBLANK(C5059),C5059=""),"",ROUND((C5059-B5059)*24,2))</f>
        <v>24.9</v>
      </c>
      <c r="N5059" s="40" t="str">
        <f>IF(OR(ISBLANK(C5059),C5059="",M5059=""),"In Progress",IF(M5059&lt;=J5059,"Met","Breached"))</f>
        <v>Met</v>
      </c>
    </row>
    <row r="5060" ht="19" customHeight="1" spans="1:14" x14ac:dyDescent="0.25">
      <c r="A5060" s="19" t="s">
        <v>5174</v>
      </c>
      <c r="B5060" s="33">
        <v>45904.31736111111</v>
      </c>
      <c r="C5060" s="33">
        <v>45907.05902777778</v>
      </c>
      <c r="D5060" s="19" t="s">
        <v>36</v>
      </c>
      <c r="E5060" s="19" t="s">
        <v>65</v>
      </c>
      <c r="F5060" s="19" t="s">
        <v>34</v>
      </c>
      <c r="G5060" s="19" t="s">
        <v>126</v>
      </c>
      <c r="H5060" s="19" t="s">
        <v>63</v>
      </c>
      <c r="I5060" s="19" t="s">
        <v>114</v>
      </c>
      <c r="J5060" s="20">
        <v>48</v>
      </c>
      <c r="K5060" s="34">
        <v>0</v>
      </c>
      <c r="M5060" s="19">
        <f>IF(OR(ISBLANK(C5060),C5060=""),"",ROUND((C5060-B5060)*24,2))</f>
        <v>65.8</v>
      </c>
      <c r="N5060" s="39" t="str">
        <f>IF(OR(ISBLANK(C5060),C5060="",M5060=""),"In Progress",IF(M5060&lt;=J5060,"Met","Breached"))</f>
        <v>Breached</v>
      </c>
    </row>
    <row r="5061" ht="19" customHeight="1" spans="1:14" x14ac:dyDescent="0.25">
      <c r="A5061" s="22" t="s">
        <v>5175</v>
      </c>
      <c r="B5061" s="36">
        <v>45685.32291666667</v>
      </c>
      <c r="C5061" s="36">
        <v>45687.42708333333</v>
      </c>
      <c r="D5061" s="22" t="s">
        <v>33</v>
      </c>
      <c r="E5061" s="22" t="s">
        <v>65</v>
      </c>
      <c r="F5061" s="22" t="s">
        <v>45</v>
      </c>
      <c r="G5061" s="22" t="s">
        <v>110</v>
      </c>
      <c r="H5061" s="22" t="s">
        <v>63</v>
      </c>
      <c r="I5061" s="22" t="s">
        <v>117</v>
      </c>
      <c r="J5061" s="23">
        <v>48</v>
      </c>
      <c r="K5061" s="37">
        <v>0</v>
      </c>
      <c r="L5061" s="37">
        <v>3</v>
      </c>
      <c r="M5061" s="22">
        <f>IF(OR(ISBLANK(C5061),C5061=""),"",ROUND((C5061-B5061)*24,2))</f>
        <v>50.5</v>
      </c>
      <c r="N5061" s="38" t="str">
        <f>IF(OR(ISBLANK(C5061),C5061="",M5061=""),"In Progress",IF(M5061&lt;=J5061,"Met","Breached"))</f>
        <v>Breached</v>
      </c>
    </row>
    <row r="5062" ht="19" customHeight="1" spans="1:14" x14ac:dyDescent="0.25">
      <c r="A5062" s="19" t="s">
        <v>5176</v>
      </c>
      <c r="B5062" s="33">
        <v>46020.69652777778</v>
      </c>
      <c r="C5062" s="33">
        <v>46021.47708333333</v>
      </c>
      <c r="D5062" s="19" t="s">
        <v>36</v>
      </c>
      <c r="E5062" s="19" t="s">
        <v>65</v>
      </c>
      <c r="F5062" s="19" t="s">
        <v>34</v>
      </c>
      <c r="G5062" s="19" t="s">
        <v>126</v>
      </c>
      <c r="H5062" s="19" t="s">
        <v>67</v>
      </c>
      <c r="I5062" s="19" t="s">
        <v>114</v>
      </c>
      <c r="J5062" s="20">
        <v>48</v>
      </c>
      <c r="K5062" s="34">
        <v>0</v>
      </c>
      <c r="L5062" s="34">
        <v>5</v>
      </c>
      <c r="M5062" s="19">
        <f>IF(OR(ISBLANK(C5062),C5062=""),"",ROUND((C5062-B5062)*24,2))</f>
        <v>18.73</v>
      </c>
      <c r="N5062" s="35" t="str">
        <f>IF(OR(ISBLANK(C5062),C5062="",M5062=""),"In Progress",IF(M5062&lt;=J5062,"Met","Breached"))</f>
        <v>Met</v>
      </c>
    </row>
    <row r="5063" ht="19" customHeight="1" spans="1:14" x14ac:dyDescent="0.25">
      <c r="A5063" s="22" t="s">
        <v>5177</v>
      </c>
      <c r="B5063" s="36">
        <v>45815.83194444445</v>
      </c>
      <c r="C5063" s="36">
        <v>45819.22222222222</v>
      </c>
      <c r="D5063" s="22" t="s">
        <v>36</v>
      </c>
      <c r="E5063" s="22" t="s">
        <v>65</v>
      </c>
      <c r="F5063" s="22" t="s">
        <v>43</v>
      </c>
      <c r="G5063" s="22" t="s">
        <v>116</v>
      </c>
      <c r="H5063" s="22" t="s">
        <v>59</v>
      </c>
      <c r="I5063" s="22" t="s">
        <v>147</v>
      </c>
      <c r="J5063" s="23">
        <v>48</v>
      </c>
      <c r="K5063" s="37">
        <v>0</v>
      </c>
      <c r="L5063" s="37">
        <v>3</v>
      </c>
      <c r="M5063" s="22">
        <f>IF(OR(ISBLANK(C5063),C5063=""),"",ROUND((C5063-B5063)*24,2))</f>
        <v>81.37</v>
      </c>
      <c r="N5063" s="38" t="str">
        <f>IF(OR(ISBLANK(C5063),C5063="",M5063=""),"In Progress",IF(M5063&lt;=J5063,"Met","Breached"))</f>
        <v>Breached</v>
      </c>
    </row>
    <row r="5064" ht="19" customHeight="1" spans="1:14" x14ac:dyDescent="0.25">
      <c r="A5064" s="19" t="s">
        <v>5178</v>
      </c>
      <c r="B5064" s="33">
        <v>46263.68888888889</v>
      </c>
      <c r="C5064" s="33">
        <v>46264.97430555556</v>
      </c>
      <c r="D5064" s="19" t="s">
        <v>33</v>
      </c>
      <c r="E5064" s="19" t="s">
        <v>65</v>
      </c>
      <c r="F5064" s="19" t="s">
        <v>45</v>
      </c>
      <c r="G5064" s="19" t="s">
        <v>110</v>
      </c>
      <c r="H5064" s="19" t="s">
        <v>71</v>
      </c>
      <c r="I5064" s="19" t="s">
        <v>108</v>
      </c>
      <c r="J5064" s="20">
        <v>48</v>
      </c>
      <c r="K5064" s="34">
        <v>1</v>
      </c>
      <c r="M5064" s="19">
        <f>IF(OR(ISBLANK(C5064),C5064=""),"",ROUND((C5064-B5064)*24,2))</f>
        <v>30.85</v>
      </c>
      <c r="N5064" s="35" t="str">
        <f>IF(OR(ISBLANK(C5064),C5064="",M5064=""),"In Progress",IF(M5064&lt;=J5064,"Met","Breached"))</f>
        <v>Met</v>
      </c>
    </row>
    <row r="5065" ht="19" customHeight="1" spans="1:14" x14ac:dyDescent="0.25">
      <c r="A5065" s="22" t="s">
        <v>5179</v>
      </c>
      <c r="B5065" s="36">
        <v>45744.617361111115</v>
      </c>
      <c r="C5065" s="36">
        <v>45753.48611111111</v>
      </c>
      <c r="D5065" s="22" t="s">
        <v>33</v>
      </c>
      <c r="E5065" s="22" t="s">
        <v>69</v>
      </c>
      <c r="F5065" s="22" t="s">
        <v>40</v>
      </c>
      <c r="G5065" s="22" t="s">
        <v>116</v>
      </c>
      <c r="H5065" s="22" t="s">
        <v>59</v>
      </c>
      <c r="I5065" s="22" t="s">
        <v>108</v>
      </c>
      <c r="J5065" s="23">
        <v>120</v>
      </c>
      <c r="K5065" s="37">
        <v>0</v>
      </c>
      <c r="L5065" s="37">
        <v>1</v>
      </c>
      <c r="M5065" s="22">
        <f>IF(OR(ISBLANK(C5065),C5065=""),"",ROUND((C5065-B5065)*24,2))</f>
        <v>212.85</v>
      </c>
      <c r="N5065" s="38" t="str">
        <f>IF(OR(ISBLANK(C5065),C5065="",M5065=""),"In Progress",IF(M5065&lt;=J5065,"Met","Breached"))</f>
        <v>Breached</v>
      </c>
    </row>
    <row r="5066" ht="19" customHeight="1" spans="1:14" x14ac:dyDescent="0.25">
      <c r="A5066" s="19" t="s">
        <v>5180</v>
      </c>
      <c r="B5066" s="33">
        <v>45713.143055555556</v>
      </c>
      <c r="D5066" s="19" t="s">
        <v>42</v>
      </c>
      <c r="E5066" s="19" t="s">
        <v>61</v>
      </c>
      <c r="F5066" s="19" t="s">
        <v>45</v>
      </c>
      <c r="G5066" s="19" t="s">
        <v>121</v>
      </c>
      <c r="H5066" s="19" t="s">
        <v>59</v>
      </c>
      <c r="I5066" s="19" t="s">
        <v>117</v>
      </c>
      <c r="J5066" s="20">
        <v>12</v>
      </c>
      <c r="K5066" s="34">
        <v>0</v>
      </c>
      <c r="M5066" s="19" t="str">
        <f>IF(OR(ISBLANK(C5066),C5066=""),"",ROUND((C5066-B5066)*24,2))</f>
        <v/>
      </c>
      <c r="N5066" s="19" t="str">
        <f>IF(OR(ISBLANK(C5066),C5066="",M5066=""),"In Progress",IF(M5066&lt;=J5066,"Met","Breached"))</f>
        <v>In Progress</v>
      </c>
    </row>
    <row r="5067" ht="19" customHeight="1" spans="1:14" x14ac:dyDescent="0.25">
      <c r="A5067" s="22" t="s">
        <v>5181</v>
      </c>
      <c r="B5067" s="36">
        <v>45674.18819444445</v>
      </c>
      <c r="C5067" s="36">
        <v>45674.28055555555</v>
      </c>
      <c r="D5067" s="22" t="s">
        <v>33</v>
      </c>
      <c r="E5067" s="22" t="s">
        <v>57</v>
      </c>
      <c r="F5067" s="22" t="s">
        <v>34</v>
      </c>
      <c r="G5067" s="22" t="s">
        <v>113</v>
      </c>
      <c r="H5067" s="22" t="s">
        <v>59</v>
      </c>
      <c r="I5067" s="22" t="s">
        <v>111</v>
      </c>
      <c r="J5067" s="23">
        <v>4</v>
      </c>
      <c r="K5067" s="37">
        <v>0</v>
      </c>
      <c r="L5067" s="37">
        <v>4</v>
      </c>
      <c r="M5067" s="22">
        <f>IF(OR(ISBLANK(C5067),C5067=""),"",ROUND((C5067-B5067)*24,2))</f>
        <v>2.22</v>
      </c>
      <c r="N5067" s="40" t="str">
        <f>IF(OR(ISBLANK(C5067),C5067="",M5067=""),"In Progress",IF(M5067&lt;=J5067,"Met","Breached"))</f>
        <v>Met</v>
      </c>
    </row>
    <row r="5068" ht="19" customHeight="1" spans="1:14" x14ac:dyDescent="0.25">
      <c r="A5068" s="19" t="s">
        <v>5182</v>
      </c>
      <c r="B5068" s="33">
        <v>45957.211111111115</v>
      </c>
      <c r="C5068" s="33">
        <v>45959.80763888889</v>
      </c>
      <c r="D5068" s="19" t="s">
        <v>33</v>
      </c>
      <c r="E5068" s="19" t="s">
        <v>65</v>
      </c>
      <c r="F5068" s="19" t="s">
        <v>37</v>
      </c>
      <c r="G5068" s="19" t="s">
        <v>110</v>
      </c>
      <c r="H5068" s="19" t="s">
        <v>67</v>
      </c>
      <c r="I5068" s="19" t="s">
        <v>123</v>
      </c>
      <c r="J5068" s="20">
        <v>48</v>
      </c>
      <c r="K5068" s="34">
        <v>0</v>
      </c>
      <c r="L5068" s="34">
        <v>2</v>
      </c>
      <c r="M5068" s="19">
        <f>IF(OR(ISBLANK(C5068),C5068=""),"",ROUND((C5068-B5068)*24,2))</f>
        <v>62.32</v>
      </c>
      <c r="N5068" s="39" t="str">
        <f>IF(OR(ISBLANK(C5068),C5068="",M5068=""),"In Progress",IF(M5068&lt;=J5068,"Met","Breached"))</f>
        <v>Breached</v>
      </c>
    </row>
    <row r="5069" ht="19" customHeight="1" spans="1:14" x14ac:dyDescent="0.25">
      <c r="A5069" s="22" t="s">
        <v>5183</v>
      </c>
      <c r="B5069" s="36">
        <v>46136.01180555555</v>
      </c>
      <c r="C5069" s="36">
        <v>46142.00625</v>
      </c>
      <c r="D5069" s="22" t="s">
        <v>36</v>
      </c>
      <c r="E5069" s="22" t="s">
        <v>69</v>
      </c>
      <c r="F5069" s="22" t="s">
        <v>43</v>
      </c>
      <c r="G5069" s="22" t="s">
        <v>110</v>
      </c>
      <c r="H5069" s="22" t="s">
        <v>67</v>
      </c>
      <c r="I5069" s="22" t="s">
        <v>108</v>
      </c>
      <c r="J5069" s="23">
        <v>120</v>
      </c>
      <c r="K5069" s="37">
        <v>0</v>
      </c>
      <c r="L5069" s="37">
        <v>3</v>
      </c>
      <c r="M5069" s="22">
        <f>IF(OR(ISBLANK(C5069),C5069=""),"",ROUND((C5069-B5069)*24,2))</f>
        <v>143.87</v>
      </c>
      <c r="N5069" s="38" t="str">
        <f>IF(OR(ISBLANK(C5069),C5069="",M5069=""),"In Progress",IF(M5069&lt;=J5069,"Met","Breached"))</f>
        <v>Breached</v>
      </c>
    </row>
    <row r="5070" ht="19" customHeight="1" spans="1:14" x14ac:dyDescent="0.25">
      <c r="A5070" s="19" t="s">
        <v>5184</v>
      </c>
      <c r="B5070" s="33">
        <v>46147.68958333333</v>
      </c>
      <c r="D5070" s="19" t="s">
        <v>39</v>
      </c>
      <c r="E5070" s="19" t="s">
        <v>65</v>
      </c>
      <c r="F5070" s="19" t="s">
        <v>43</v>
      </c>
      <c r="G5070" s="19" t="s">
        <v>110</v>
      </c>
      <c r="H5070" s="19" t="s">
        <v>59</v>
      </c>
      <c r="I5070" s="19" t="s">
        <v>147</v>
      </c>
      <c r="J5070" s="20">
        <v>48</v>
      </c>
      <c r="K5070" s="34">
        <v>0</v>
      </c>
      <c r="M5070" s="19" t="str">
        <f>IF(OR(ISBLANK(C5070),C5070=""),"",ROUND((C5070-B5070)*24,2))</f>
        <v/>
      </c>
      <c r="N5070" s="19" t="str">
        <f>IF(OR(ISBLANK(C5070),C5070="",M5070=""),"In Progress",IF(M5070&lt;=J5070,"Met","Breached"))</f>
        <v>In Progress</v>
      </c>
    </row>
    <row r="5071" ht="19" customHeight="1" spans="1:14" x14ac:dyDescent="0.25">
      <c r="A5071" s="22" t="s">
        <v>5185</v>
      </c>
      <c r="B5071" s="36">
        <v>46245.79652777778</v>
      </c>
      <c r="C5071" s="36">
        <v>46247.30763888889</v>
      </c>
      <c r="D5071" s="22" t="s">
        <v>33</v>
      </c>
      <c r="E5071" s="22" t="s">
        <v>65</v>
      </c>
      <c r="F5071" s="22" t="s">
        <v>37</v>
      </c>
      <c r="G5071" s="22" t="s">
        <v>116</v>
      </c>
      <c r="H5071" s="22" t="s">
        <v>59</v>
      </c>
      <c r="I5071" s="22" t="s">
        <v>147</v>
      </c>
      <c r="J5071" s="23">
        <v>48</v>
      </c>
      <c r="K5071" s="37">
        <v>0</v>
      </c>
      <c r="L5071" s="37">
        <v>1</v>
      </c>
      <c r="M5071" s="22">
        <f>IF(OR(ISBLANK(C5071),C5071=""),"",ROUND((C5071-B5071)*24,2))</f>
        <v>36.27</v>
      </c>
      <c r="N5071" s="40" t="str">
        <f>IF(OR(ISBLANK(C5071),C5071="",M5071=""),"In Progress",IF(M5071&lt;=J5071,"Met","Breached"))</f>
        <v>Met</v>
      </c>
    </row>
    <row r="5072" ht="19" customHeight="1" spans="1:14" x14ac:dyDescent="0.25">
      <c r="A5072" s="19" t="s">
        <v>5186</v>
      </c>
      <c r="B5072" s="33">
        <v>46181.32361111111</v>
      </c>
      <c r="C5072" s="33">
        <v>46184.42013888889</v>
      </c>
      <c r="D5072" s="19" t="s">
        <v>36</v>
      </c>
      <c r="E5072" s="19" t="s">
        <v>65</v>
      </c>
      <c r="F5072" s="19" t="s">
        <v>34</v>
      </c>
      <c r="G5072" s="19" t="s">
        <v>116</v>
      </c>
      <c r="H5072" s="19" t="s">
        <v>59</v>
      </c>
      <c r="I5072" s="19" t="s">
        <v>111</v>
      </c>
      <c r="J5072" s="20">
        <v>48</v>
      </c>
      <c r="K5072" s="34">
        <v>0</v>
      </c>
      <c r="L5072" s="34">
        <v>1</v>
      </c>
      <c r="M5072" s="19">
        <f>IF(OR(ISBLANK(C5072),C5072=""),"",ROUND((C5072-B5072)*24,2))</f>
        <v>74.32</v>
      </c>
      <c r="N5072" s="39" t="str">
        <f>IF(OR(ISBLANK(C5072),C5072="",M5072=""),"In Progress",IF(M5072&lt;=J5072,"Met","Breached"))</f>
        <v>Breached</v>
      </c>
    </row>
    <row r="5073" ht="19" customHeight="1" spans="1:14" x14ac:dyDescent="0.25">
      <c r="A5073" s="22" t="s">
        <v>5187</v>
      </c>
      <c r="B5073" s="36">
        <v>46084.82291666667</v>
      </c>
      <c r="D5073" s="22" t="s">
        <v>39</v>
      </c>
      <c r="E5073" s="22" t="s">
        <v>69</v>
      </c>
      <c r="F5073" s="22" t="s">
        <v>37</v>
      </c>
      <c r="G5073" s="22" t="s">
        <v>121</v>
      </c>
      <c r="H5073" s="22" t="s">
        <v>59</v>
      </c>
      <c r="I5073" s="22" t="s">
        <v>114</v>
      </c>
      <c r="J5073" s="23">
        <v>120</v>
      </c>
      <c r="K5073" s="37">
        <v>0</v>
      </c>
      <c r="M5073" s="22" t="str">
        <f>IF(OR(ISBLANK(C5073),C5073=""),"",ROUND((C5073-B5073)*24,2))</f>
        <v/>
      </c>
      <c r="N5073" s="22" t="str">
        <f>IF(OR(ISBLANK(C5073),C5073="",M5073=""),"In Progress",IF(M5073&lt;=J5073,"Met","Breached"))</f>
        <v>In Progress</v>
      </c>
    </row>
    <row r="5074" ht="19" customHeight="1" spans="1:14" x14ac:dyDescent="0.25">
      <c r="A5074" s="19" t="s">
        <v>5188</v>
      </c>
      <c r="B5074" s="33">
        <v>46015.620833333334</v>
      </c>
      <c r="C5074" s="33">
        <v>46018.95486111111</v>
      </c>
      <c r="D5074" s="19" t="s">
        <v>36</v>
      </c>
      <c r="E5074" s="19" t="s">
        <v>65</v>
      </c>
      <c r="F5074" s="19" t="s">
        <v>40</v>
      </c>
      <c r="G5074" s="19" t="s">
        <v>113</v>
      </c>
      <c r="H5074" s="19" t="s">
        <v>59</v>
      </c>
      <c r="I5074" s="19" t="s">
        <v>114</v>
      </c>
      <c r="J5074" s="20">
        <v>48</v>
      </c>
      <c r="K5074" s="34">
        <v>0</v>
      </c>
      <c r="L5074" s="34">
        <v>2</v>
      </c>
      <c r="M5074" s="19">
        <f>IF(OR(ISBLANK(C5074),C5074=""),"",ROUND((C5074-B5074)*24,2))</f>
        <v>80.02</v>
      </c>
      <c r="N5074" s="39" t="str">
        <f>IF(OR(ISBLANK(C5074),C5074="",M5074=""),"In Progress",IF(M5074&lt;=J5074,"Met","Breached"))</f>
        <v>Breached</v>
      </c>
    </row>
    <row r="5075" ht="19" customHeight="1" spans="1:14" x14ac:dyDescent="0.25">
      <c r="A5075" s="22" t="s">
        <v>5189</v>
      </c>
      <c r="B5075" s="36">
        <v>45952.19791666667</v>
      </c>
      <c r="C5075" s="36">
        <v>45955.56319444445</v>
      </c>
      <c r="D5075" s="22" t="s">
        <v>33</v>
      </c>
      <c r="E5075" s="22" t="s">
        <v>65</v>
      </c>
      <c r="F5075" s="22" t="s">
        <v>45</v>
      </c>
      <c r="G5075" s="22" t="s">
        <v>116</v>
      </c>
      <c r="H5075" s="22" t="s">
        <v>59</v>
      </c>
      <c r="I5075" s="22" t="s">
        <v>111</v>
      </c>
      <c r="J5075" s="23">
        <v>48</v>
      </c>
      <c r="K5075" s="37">
        <v>0</v>
      </c>
      <c r="L5075" s="37">
        <v>1</v>
      </c>
      <c r="M5075" s="22">
        <f>IF(OR(ISBLANK(C5075),C5075=""),"",ROUND((C5075-B5075)*24,2))</f>
        <v>80.77</v>
      </c>
      <c r="N5075" s="38" t="str">
        <f>IF(OR(ISBLANK(C5075),C5075="",M5075=""),"In Progress",IF(M5075&lt;=J5075,"Met","Breached"))</f>
        <v>Breached</v>
      </c>
    </row>
    <row r="5076" ht="19" customHeight="1" spans="1:14" x14ac:dyDescent="0.25">
      <c r="A5076" s="19" t="s">
        <v>5190</v>
      </c>
      <c r="B5076" s="33">
        <v>46029.0875</v>
      </c>
      <c r="C5076" s="33">
        <v>46029.25486111111</v>
      </c>
      <c r="D5076" s="19" t="s">
        <v>36</v>
      </c>
      <c r="E5076" s="19" t="s">
        <v>57</v>
      </c>
      <c r="F5076" s="19" t="s">
        <v>34</v>
      </c>
      <c r="G5076" s="19" t="s">
        <v>63</v>
      </c>
      <c r="H5076" s="19" t="s">
        <v>63</v>
      </c>
      <c r="I5076" s="19" t="s">
        <v>111</v>
      </c>
      <c r="J5076" s="20">
        <v>4</v>
      </c>
      <c r="K5076" s="34">
        <v>0</v>
      </c>
      <c r="L5076" s="34">
        <v>4</v>
      </c>
      <c r="M5076" s="19">
        <f>IF(OR(ISBLANK(C5076),C5076=""),"",ROUND((C5076-B5076)*24,2))</f>
        <v>4.02</v>
      </c>
      <c r="N5076" s="39" t="str">
        <f>IF(OR(ISBLANK(C5076),C5076="",M5076=""),"In Progress",IF(M5076&lt;=J5076,"Met","Breached"))</f>
        <v>Breached</v>
      </c>
    </row>
    <row r="5077" ht="19" customHeight="1" spans="1:14" x14ac:dyDescent="0.25">
      <c r="A5077" s="22" t="s">
        <v>5191</v>
      </c>
      <c r="B5077" s="36">
        <v>45826.96944444445</v>
      </c>
      <c r="C5077" s="36">
        <v>45827.66527777778</v>
      </c>
      <c r="D5077" s="22" t="s">
        <v>33</v>
      </c>
      <c r="E5077" s="22" t="s">
        <v>61</v>
      </c>
      <c r="F5077" s="22" t="s">
        <v>43</v>
      </c>
      <c r="G5077" s="22" t="s">
        <v>116</v>
      </c>
      <c r="H5077" s="22" t="s">
        <v>63</v>
      </c>
      <c r="I5077" s="22" t="s">
        <v>114</v>
      </c>
      <c r="J5077" s="23">
        <v>12</v>
      </c>
      <c r="K5077" s="37">
        <v>0</v>
      </c>
      <c r="L5077" s="37">
        <v>1</v>
      </c>
      <c r="M5077" s="22">
        <f>IF(OR(ISBLANK(C5077),C5077=""),"",ROUND((C5077-B5077)*24,2))</f>
        <v>16.7</v>
      </c>
      <c r="N5077" s="38" t="str">
        <f>IF(OR(ISBLANK(C5077),C5077="",M5077=""),"In Progress",IF(M5077&lt;=J5077,"Met","Breached"))</f>
        <v>Breached</v>
      </c>
    </row>
    <row r="5078" ht="19" customHeight="1" spans="1:14" x14ac:dyDescent="0.25">
      <c r="A5078" s="19" t="s">
        <v>5192</v>
      </c>
      <c r="B5078" s="33">
        <v>46167.103472222225</v>
      </c>
      <c r="D5078" s="19" t="s">
        <v>39</v>
      </c>
      <c r="E5078" s="19" t="s">
        <v>65</v>
      </c>
      <c r="F5078" s="19" t="s">
        <v>37</v>
      </c>
      <c r="G5078" s="19" t="s">
        <v>110</v>
      </c>
      <c r="H5078" s="19" t="s">
        <v>59</v>
      </c>
      <c r="I5078" s="19" t="s">
        <v>147</v>
      </c>
      <c r="J5078" s="20">
        <v>48</v>
      </c>
      <c r="K5078" s="34">
        <v>0</v>
      </c>
      <c r="M5078" s="19" t="str">
        <f>IF(OR(ISBLANK(C5078),C5078=""),"",ROUND((C5078-B5078)*24,2))</f>
        <v/>
      </c>
      <c r="N5078" s="19" t="str">
        <f>IF(OR(ISBLANK(C5078),C5078="",M5078=""),"In Progress",IF(M5078&lt;=J5078,"Met","Breached"))</f>
        <v>In Progress</v>
      </c>
    </row>
    <row r="5079" ht="19" customHeight="1" spans="1:14" x14ac:dyDescent="0.25">
      <c r="A5079" s="22" t="s">
        <v>5193</v>
      </c>
      <c r="B5079" s="36">
        <v>45861.01597222222</v>
      </c>
      <c r="C5079" s="36">
        <v>45861.80694444444</v>
      </c>
      <c r="D5079" s="22" t="s">
        <v>36</v>
      </c>
      <c r="E5079" s="22" t="s">
        <v>61</v>
      </c>
      <c r="F5079" s="22" t="s">
        <v>34</v>
      </c>
      <c r="G5079" s="22" t="s">
        <v>113</v>
      </c>
      <c r="H5079" s="22" t="s">
        <v>63</v>
      </c>
      <c r="I5079" s="22" t="s">
        <v>114</v>
      </c>
      <c r="J5079" s="23">
        <v>12</v>
      </c>
      <c r="K5079" s="37">
        <v>0</v>
      </c>
      <c r="M5079" s="22">
        <f>IF(OR(ISBLANK(C5079),C5079=""),"",ROUND((C5079-B5079)*24,2))</f>
        <v>18.98</v>
      </c>
      <c r="N5079" s="38" t="str">
        <f>IF(OR(ISBLANK(C5079),C5079="",M5079=""),"In Progress",IF(M5079&lt;=J5079,"Met","Breached"))</f>
        <v>Breached</v>
      </c>
    </row>
    <row r="5080" ht="19" customHeight="1" spans="1:14" x14ac:dyDescent="0.25">
      <c r="A5080" s="19" t="s">
        <v>5194</v>
      </c>
      <c r="B5080" s="33">
        <v>46033.788194444445</v>
      </c>
      <c r="D5080" s="19" t="s">
        <v>39</v>
      </c>
      <c r="E5080" s="19" t="s">
        <v>65</v>
      </c>
      <c r="F5080" s="19" t="s">
        <v>43</v>
      </c>
      <c r="G5080" s="19" t="s">
        <v>116</v>
      </c>
      <c r="H5080" s="19" t="s">
        <v>63</v>
      </c>
      <c r="I5080" s="19" t="s">
        <v>123</v>
      </c>
      <c r="J5080" s="20">
        <v>48</v>
      </c>
      <c r="K5080" s="34">
        <v>0</v>
      </c>
      <c r="M5080" s="19" t="str">
        <f>IF(OR(ISBLANK(C5080),C5080=""),"",ROUND((C5080-B5080)*24,2))</f>
        <v/>
      </c>
      <c r="N5080" s="19" t="str">
        <f>IF(OR(ISBLANK(C5080),C5080="",M5080=""),"In Progress",IF(M5080&lt;=J5080,"Met","Breached"))</f>
        <v>In Progress</v>
      </c>
    </row>
    <row r="5081" ht="19" customHeight="1" spans="1:14" x14ac:dyDescent="0.25">
      <c r="A5081" s="22" t="s">
        <v>5195</v>
      </c>
      <c r="B5081" s="36">
        <v>46239.757638888885</v>
      </c>
      <c r="C5081" s="36">
        <v>46242.16666666667</v>
      </c>
      <c r="D5081" s="22" t="s">
        <v>33</v>
      </c>
      <c r="E5081" s="22" t="s">
        <v>65</v>
      </c>
      <c r="F5081" s="22" t="s">
        <v>43</v>
      </c>
      <c r="G5081" s="22" t="s">
        <v>63</v>
      </c>
      <c r="H5081" s="22" t="s">
        <v>59</v>
      </c>
      <c r="I5081" s="22" t="s">
        <v>147</v>
      </c>
      <c r="J5081" s="23">
        <v>48</v>
      </c>
      <c r="K5081" s="37">
        <v>0</v>
      </c>
      <c r="L5081" s="37">
        <v>1</v>
      </c>
      <c r="M5081" s="22">
        <f>IF(OR(ISBLANK(C5081),C5081=""),"",ROUND((C5081-B5081)*24,2))</f>
        <v>57.82</v>
      </c>
      <c r="N5081" s="38" t="str">
        <f>IF(OR(ISBLANK(C5081),C5081="",M5081=""),"In Progress",IF(M5081&lt;=J5081,"Met","Breached"))</f>
        <v>Breached</v>
      </c>
    </row>
    <row r="5082" ht="19" customHeight="1" spans="1:14" x14ac:dyDescent="0.25">
      <c r="A5082" s="19" t="s">
        <v>5196</v>
      </c>
      <c r="B5082" s="33">
        <v>45833.58125</v>
      </c>
      <c r="C5082" s="33">
        <v>45834.336111111115</v>
      </c>
      <c r="D5082" s="19" t="s">
        <v>33</v>
      </c>
      <c r="E5082" s="19" t="s">
        <v>61</v>
      </c>
      <c r="F5082" s="19" t="s">
        <v>37</v>
      </c>
      <c r="G5082" s="19" t="s">
        <v>116</v>
      </c>
      <c r="H5082" s="19" t="s">
        <v>67</v>
      </c>
      <c r="I5082" s="19" t="s">
        <v>117</v>
      </c>
      <c r="J5082" s="20">
        <v>12</v>
      </c>
      <c r="K5082" s="34">
        <v>0</v>
      </c>
      <c r="L5082" s="34">
        <v>3</v>
      </c>
      <c r="M5082" s="19">
        <f>IF(OR(ISBLANK(C5082),C5082=""),"",ROUND((C5082-B5082)*24,2))</f>
        <v>18.12</v>
      </c>
      <c r="N5082" s="39" t="str">
        <f>IF(OR(ISBLANK(C5082),C5082="",M5082=""),"In Progress",IF(M5082&lt;=J5082,"Met","Breached"))</f>
        <v>Breached</v>
      </c>
    </row>
    <row r="5083" ht="19" customHeight="1" spans="1:14" x14ac:dyDescent="0.25">
      <c r="A5083" s="22" t="s">
        <v>5197</v>
      </c>
      <c r="B5083" s="36">
        <v>46015.87222222222</v>
      </c>
      <c r="C5083" s="36">
        <v>46023.54861111111</v>
      </c>
      <c r="D5083" s="22" t="s">
        <v>33</v>
      </c>
      <c r="E5083" s="22" t="s">
        <v>69</v>
      </c>
      <c r="F5083" s="22" t="s">
        <v>40</v>
      </c>
      <c r="G5083" s="22" t="s">
        <v>110</v>
      </c>
      <c r="H5083" s="22" t="s">
        <v>63</v>
      </c>
      <c r="I5083" s="22" t="s">
        <v>108</v>
      </c>
      <c r="J5083" s="23">
        <v>120</v>
      </c>
      <c r="K5083" s="37">
        <v>0</v>
      </c>
      <c r="L5083" s="37">
        <v>5</v>
      </c>
      <c r="M5083" s="22">
        <f>IF(OR(ISBLANK(C5083),C5083=""),"",ROUND((C5083-B5083)*24,2))</f>
        <v>184.23</v>
      </c>
      <c r="N5083" s="38" t="str">
        <f>IF(OR(ISBLANK(C5083),C5083="",M5083=""),"In Progress",IF(M5083&lt;=J5083,"Met","Breached"))</f>
        <v>Breached</v>
      </c>
    </row>
    <row r="5084" ht="19" customHeight="1" spans="1:14" x14ac:dyDescent="0.25">
      <c r="A5084" s="19" t="s">
        <v>5198</v>
      </c>
      <c r="B5084" s="33">
        <v>45991.11875</v>
      </c>
      <c r="C5084" s="33">
        <v>45993.20347222222</v>
      </c>
      <c r="D5084" s="19" t="s">
        <v>33</v>
      </c>
      <c r="E5084" s="19" t="s">
        <v>65</v>
      </c>
      <c r="F5084" s="19" t="s">
        <v>45</v>
      </c>
      <c r="G5084" s="19" t="s">
        <v>126</v>
      </c>
      <c r="H5084" s="19" t="s">
        <v>59</v>
      </c>
      <c r="I5084" s="19" t="s">
        <v>108</v>
      </c>
      <c r="J5084" s="20">
        <v>48</v>
      </c>
      <c r="K5084" s="34">
        <v>0</v>
      </c>
      <c r="L5084" s="34">
        <v>3</v>
      </c>
      <c r="M5084" s="19">
        <f>IF(OR(ISBLANK(C5084),C5084=""),"",ROUND((C5084-B5084)*24,2))</f>
        <v>50.03</v>
      </c>
      <c r="N5084" s="39" t="str">
        <f>IF(OR(ISBLANK(C5084),C5084="",M5084=""),"In Progress",IF(M5084&lt;=J5084,"Met","Breached"))</f>
        <v>Breached</v>
      </c>
    </row>
    <row r="5085" ht="19" customHeight="1" spans="1:14" x14ac:dyDescent="0.25">
      <c r="A5085" s="22" t="s">
        <v>5199</v>
      </c>
      <c r="B5085" s="36">
        <v>45753.89097222222</v>
      </c>
      <c r="C5085" s="36">
        <v>45754.76458333334</v>
      </c>
      <c r="D5085" s="22" t="s">
        <v>33</v>
      </c>
      <c r="E5085" s="22" t="s">
        <v>61</v>
      </c>
      <c r="F5085" s="22" t="s">
        <v>43</v>
      </c>
      <c r="G5085" s="22" t="s">
        <v>113</v>
      </c>
      <c r="H5085" s="22" t="s">
        <v>59</v>
      </c>
      <c r="I5085" s="22" t="s">
        <v>114</v>
      </c>
      <c r="J5085" s="23">
        <v>12</v>
      </c>
      <c r="K5085" s="37">
        <v>0</v>
      </c>
      <c r="L5085" s="37">
        <v>1</v>
      </c>
      <c r="M5085" s="22">
        <f>IF(OR(ISBLANK(C5085),C5085=""),"",ROUND((C5085-B5085)*24,2))</f>
        <v>20.97</v>
      </c>
      <c r="N5085" s="38" t="str">
        <f>IF(OR(ISBLANK(C5085),C5085="",M5085=""),"In Progress",IF(M5085&lt;=J5085,"Met","Breached"))</f>
        <v>Breached</v>
      </c>
    </row>
    <row r="5086" ht="19" customHeight="1" spans="1:14" x14ac:dyDescent="0.25">
      <c r="A5086" s="19" t="s">
        <v>5200</v>
      </c>
      <c r="B5086" s="33">
        <v>46237.336111111115</v>
      </c>
      <c r="C5086" s="33">
        <v>46240.06736111111</v>
      </c>
      <c r="D5086" s="19" t="s">
        <v>33</v>
      </c>
      <c r="E5086" s="19" t="s">
        <v>65</v>
      </c>
      <c r="F5086" s="19" t="s">
        <v>43</v>
      </c>
      <c r="G5086" s="19" t="s">
        <v>126</v>
      </c>
      <c r="H5086" s="19" t="s">
        <v>63</v>
      </c>
      <c r="I5086" s="19" t="s">
        <v>147</v>
      </c>
      <c r="J5086" s="20">
        <v>48</v>
      </c>
      <c r="K5086" s="34">
        <v>0</v>
      </c>
      <c r="L5086" s="34">
        <v>4</v>
      </c>
      <c r="M5086" s="19">
        <f>IF(OR(ISBLANK(C5086),C5086=""),"",ROUND((C5086-B5086)*24,2))</f>
        <v>65.55</v>
      </c>
      <c r="N5086" s="39" t="str">
        <f>IF(OR(ISBLANK(C5086),C5086="",M5086=""),"In Progress",IF(M5086&lt;=J5086,"Met","Breached"))</f>
        <v>Breached</v>
      </c>
    </row>
    <row r="5087" ht="19" customHeight="1" spans="1:14" x14ac:dyDescent="0.25">
      <c r="A5087" s="22" t="s">
        <v>5201</v>
      </c>
      <c r="B5087" s="36">
        <v>45768.05069444445</v>
      </c>
      <c r="C5087" s="36">
        <v>45768.91180555556</v>
      </c>
      <c r="D5087" s="22" t="s">
        <v>33</v>
      </c>
      <c r="E5087" s="22" t="s">
        <v>61</v>
      </c>
      <c r="F5087" s="22" t="s">
        <v>45</v>
      </c>
      <c r="G5087" s="22" t="s">
        <v>63</v>
      </c>
      <c r="H5087" s="22" t="s">
        <v>71</v>
      </c>
      <c r="I5087" s="22" t="s">
        <v>114</v>
      </c>
      <c r="J5087" s="23">
        <v>12</v>
      </c>
      <c r="K5087" s="37">
        <v>0</v>
      </c>
      <c r="L5087" s="37">
        <v>5</v>
      </c>
      <c r="M5087" s="22">
        <f>IF(OR(ISBLANK(C5087),C5087=""),"",ROUND((C5087-B5087)*24,2))</f>
        <v>20.67</v>
      </c>
      <c r="N5087" s="38" t="str">
        <f>IF(OR(ISBLANK(C5087),C5087="",M5087=""),"In Progress",IF(M5087&lt;=J5087,"Met","Breached"))</f>
        <v>Breached</v>
      </c>
    </row>
    <row r="5088" ht="19" customHeight="1" spans="1:14" x14ac:dyDescent="0.25">
      <c r="A5088" s="19" t="s">
        <v>5202</v>
      </c>
      <c r="B5088" s="33">
        <v>45930.4375</v>
      </c>
      <c r="C5088" s="33">
        <v>45937.09652777778</v>
      </c>
      <c r="D5088" s="19" t="s">
        <v>33</v>
      </c>
      <c r="E5088" s="19" t="s">
        <v>69</v>
      </c>
      <c r="F5088" s="19" t="s">
        <v>43</v>
      </c>
      <c r="G5088" s="19" t="s">
        <v>121</v>
      </c>
      <c r="H5088" s="19" t="s">
        <v>63</v>
      </c>
      <c r="I5088" s="19" t="s">
        <v>147</v>
      </c>
      <c r="J5088" s="20">
        <v>120</v>
      </c>
      <c r="K5088" s="34">
        <v>1</v>
      </c>
      <c r="L5088" s="34">
        <v>1</v>
      </c>
      <c r="M5088" s="19">
        <f>IF(OR(ISBLANK(C5088),C5088=""),"",ROUND((C5088-B5088)*24,2))</f>
        <v>159.82</v>
      </c>
      <c r="N5088" s="39" t="str">
        <f>IF(OR(ISBLANK(C5088),C5088="",M5088=""),"In Progress",IF(M5088&lt;=J5088,"Met","Breached"))</f>
        <v>Breached</v>
      </c>
    </row>
    <row r="5089" ht="19" customHeight="1" spans="1:14" x14ac:dyDescent="0.25">
      <c r="A5089" s="22" t="s">
        <v>5203</v>
      </c>
      <c r="B5089" s="36">
        <v>45922.00277777778</v>
      </c>
      <c r="C5089" s="36">
        <v>45922.99791666667</v>
      </c>
      <c r="D5089" s="22" t="s">
        <v>33</v>
      </c>
      <c r="E5089" s="22" t="s">
        <v>65</v>
      </c>
      <c r="F5089" s="22" t="s">
        <v>43</v>
      </c>
      <c r="G5089" s="22" t="s">
        <v>126</v>
      </c>
      <c r="H5089" s="22" t="s">
        <v>71</v>
      </c>
      <c r="I5089" s="22" t="s">
        <v>114</v>
      </c>
      <c r="J5089" s="23">
        <v>48</v>
      </c>
      <c r="K5089" s="37">
        <v>0</v>
      </c>
      <c r="M5089" s="22">
        <f>IF(OR(ISBLANK(C5089),C5089=""),"",ROUND((C5089-B5089)*24,2))</f>
        <v>23.88</v>
      </c>
      <c r="N5089" s="40" t="str">
        <f>IF(OR(ISBLANK(C5089),C5089="",M5089=""),"In Progress",IF(M5089&lt;=J5089,"Met","Breached"))</f>
        <v>Met</v>
      </c>
    </row>
    <row r="5090" ht="19" customHeight="1" spans="1:14" x14ac:dyDescent="0.25">
      <c r="A5090" s="19" t="s">
        <v>5204</v>
      </c>
      <c r="B5090" s="33">
        <v>45778.46805555555</v>
      </c>
      <c r="C5090" s="33">
        <v>45781.01458333334</v>
      </c>
      <c r="D5090" s="19" t="s">
        <v>33</v>
      </c>
      <c r="E5090" s="19" t="s">
        <v>65</v>
      </c>
      <c r="F5090" s="19" t="s">
        <v>43</v>
      </c>
      <c r="G5090" s="19" t="s">
        <v>126</v>
      </c>
      <c r="H5090" s="19" t="s">
        <v>63</v>
      </c>
      <c r="I5090" s="19" t="s">
        <v>108</v>
      </c>
      <c r="J5090" s="20">
        <v>48</v>
      </c>
      <c r="K5090" s="34">
        <v>0</v>
      </c>
      <c r="L5090" s="34">
        <v>2</v>
      </c>
      <c r="M5090" s="19">
        <f>IF(OR(ISBLANK(C5090),C5090=""),"",ROUND((C5090-B5090)*24,2))</f>
        <v>61.12</v>
      </c>
      <c r="N5090" s="39" t="str">
        <f>IF(OR(ISBLANK(C5090),C5090="",M5090=""),"In Progress",IF(M5090&lt;=J5090,"Met","Breached"))</f>
        <v>Breached</v>
      </c>
    </row>
    <row r="5091" ht="19" customHeight="1" spans="1:14" x14ac:dyDescent="0.25">
      <c r="A5091" s="22" t="s">
        <v>5205</v>
      </c>
      <c r="B5091" s="36">
        <v>45778.71319444444</v>
      </c>
      <c r="D5091" s="22" t="s">
        <v>39</v>
      </c>
      <c r="E5091" s="22" t="s">
        <v>65</v>
      </c>
      <c r="F5091" s="22" t="s">
        <v>40</v>
      </c>
      <c r="G5091" s="22" t="s">
        <v>126</v>
      </c>
      <c r="H5091" s="22" t="s">
        <v>59</v>
      </c>
      <c r="I5091" s="22" t="s">
        <v>114</v>
      </c>
      <c r="J5091" s="23">
        <v>48</v>
      </c>
      <c r="K5091" s="37">
        <v>0</v>
      </c>
      <c r="M5091" s="22" t="str">
        <f>IF(OR(ISBLANK(C5091),C5091=""),"",ROUND((C5091-B5091)*24,2))</f>
        <v/>
      </c>
      <c r="N5091" s="22" t="str">
        <f>IF(OR(ISBLANK(C5091),C5091="",M5091=""),"In Progress",IF(M5091&lt;=J5091,"Met","Breached"))</f>
        <v>In Progress</v>
      </c>
    </row>
    <row r="5092" ht="19" customHeight="1" spans="1:14" x14ac:dyDescent="0.25">
      <c r="A5092" s="19" t="s">
        <v>5206</v>
      </c>
      <c r="B5092" s="33">
        <v>45773.59930555556</v>
      </c>
      <c r="C5092" s="33">
        <v>45774.00069444445</v>
      </c>
      <c r="D5092" s="19" t="s">
        <v>33</v>
      </c>
      <c r="E5092" s="19" t="s">
        <v>61</v>
      </c>
      <c r="F5092" s="19" t="s">
        <v>43</v>
      </c>
      <c r="G5092" s="19" t="s">
        <v>121</v>
      </c>
      <c r="H5092" s="19" t="s">
        <v>67</v>
      </c>
      <c r="I5092" s="19" t="s">
        <v>117</v>
      </c>
      <c r="J5092" s="20">
        <v>12</v>
      </c>
      <c r="K5092" s="34">
        <v>0</v>
      </c>
      <c r="L5092" s="34">
        <v>1</v>
      </c>
      <c r="M5092" s="19">
        <f>IF(OR(ISBLANK(C5092),C5092=""),"",ROUND((C5092-B5092)*24,2))</f>
        <v>9.63</v>
      </c>
      <c r="N5092" s="35" t="str">
        <f>IF(OR(ISBLANK(C5092),C5092="",M5092=""),"In Progress",IF(M5092&lt;=J5092,"Met","Breached"))</f>
        <v>Met</v>
      </c>
    </row>
    <row r="5093" ht="19" customHeight="1" spans="1:14" x14ac:dyDescent="0.25">
      <c r="A5093" s="22" t="s">
        <v>5207</v>
      </c>
      <c r="B5093" s="36">
        <v>46025.455555555556</v>
      </c>
      <c r="D5093" s="22" t="s">
        <v>39</v>
      </c>
      <c r="E5093" s="22" t="s">
        <v>65</v>
      </c>
      <c r="F5093" s="22" t="s">
        <v>40</v>
      </c>
      <c r="G5093" s="22" t="s">
        <v>63</v>
      </c>
      <c r="H5093" s="22" t="s">
        <v>59</v>
      </c>
      <c r="I5093" s="22" t="s">
        <v>108</v>
      </c>
      <c r="J5093" s="23">
        <v>48</v>
      </c>
      <c r="K5093" s="37">
        <v>0</v>
      </c>
      <c r="M5093" s="22" t="str">
        <f>IF(OR(ISBLANK(C5093),C5093=""),"",ROUND((C5093-B5093)*24,2))</f>
        <v/>
      </c>
      <c r="N5093" s="22" t="str">
        <f>IF(OR(ISBLANK(C5093),C5093="",M5093=""),"In Progress",IF(M5093&lt;=J5093,"Met","Breached"))</f>
        <v>In Progress</v>
      </c>
    </row>
    <row r="5094" ht="19" customHeight="1" spans="1:14" x14ac:dyDescent="0.25">
      <c r="A5094" s="19" t="s">
        <v>5208</v>
      </c>
      <c r="B5094" s="33">
        <v>45726.29166666667</v>
      </c>
      <c r="C5094" s="33">
        <v>45727.72916666667</v>
      </c>
      <c r="D5094" s="19" t="s">
        <v>33</v>
      </c>
      <c r="E5094" s="19" t="s">
        <v>65</v>
      </c>
      <c r="F5094" s="19" t="s">
        <v>43</v>
      </c>
      <c r="G5094" s="19" t="s">
        <v>116</v>
      </c>
      <c r="H5094" s="19" t="s">
        <v>67</v>
      </c>
      <c r="I5094" s="19" t="s">
        <v>111</v>
      </c>
      <c r="J5094" s="20">
        <v>48</v>
      </c>
      <c r="K5094" s="34">
        <v>0</v>
      </c>
      <c r="L5094" s="34">
        <v>2</v>
      </c>
      <c r="M5094" s="19">
        <f>IF(OR(ISBLANK(C5094),C5094=""),"",ROUND((C5094-B5094)*24,2))</f>
        <v>34.5</v>
      </c>
      <c r="N5094" s="35" t="str">
        <f>IF(OR(ISBLANK(C5094),C5094="",M5094=""),"In Progress",IF(M5094&lt;=J5094,"Met","Breached"))</f>
        <v>Met</v>
      </c>
    </row>
    <row r="5095" ht="19" customHeight="1" spans="1:14" x14ac:dyDescent="0.25">
      <c r="A5095" s="22" t="s">
        <v>5209</v>
      </c>
      <c r="B5095" s="36">
        <v>45987.62986111111</v>
      </c>
      <c r="C5095" s="36">
        <v>45990.77013888889</v>
      </c>
      <c r="D5095" s="22" t="s">
        <v>36</v>
      </c>
      <c r="E5095" s="22" t="s">
        <v>65</v>
      </c>
      <c r="F5095" s="22" t="s">
        <v>34</v>
      </c>
      <c r="G5095" s="22" t="s">
        <v>126</v>
      </c>
      <c r="H5095" s="22" t="s">
        <v>59</v>
      </c>
      <c r="I5095" s="22" t="s">
        <v>114</v>
      </c>
      <c r="J5095" s="23">
        <v>48</v>
      </c>
      <c r="K5095" s="37">
        <v>1</v>
      </c>
      <c r="L5095" s="37">
        <v>4</v>
      </c>
      <c r="M5095" s="22">
        <f>IF(OR(ISBLANK(C5095),C5095=""),"",ROUND((C5095-B5095)*24,2))</f>
        <v>75.37</v>
      </c>
      <c r="N5095" s="38" t="str">
        <f>IF(OR(ISBLANK(C5095),C5095="",M5095=""),"In Progress",IF(M5095&lt;=J5095,"Met","Breached"))</f>
        <v>Breached</v>
      </c>
    </row>
    <row r="5096" ht="19" customHeight="1" spans="1:14" x14ac:dyDescent="0.25">
      <c r="A5096" s="19" t="s">
        <v>5210</v>
      </c>
      <c r="B5096" s="33">
        <v>45822.54652777778</v>
      </c>
      <c r="C5096" s="33">
        <v>45822.990277777775</v>
      </c>
      <c r="D5096" s="19" t="s">
        <v>33</v>
      </c>
      <c r="E5096" s="19" t="s">
        <v>61</v>
      </c>
      <c r="F5096" s="19" t="s">
        <v>34</v>
      </c>
      <c r="G5096" s="19" t="s">
        <v>116</v>
      </c>
      <c r="H5096" s="19" t="s">
        <v>71</v>
      </c>
      <c r="I5096" s="19" t="s">
        <v>114</v>
      </c>
      <c r="J5096" s="20">
        <v>12</v>
      </c>
      <c r="K5096" s="34">
        <v>0</v>
      </c>
      <c r="L5096" s="34">
        <v>1</v>
      </c>
      <c r="M5096" s="19">
        <f>IF(OR(ISBLANK(C5096),C5096=""),"",ROUND((C5096-B5096)*24,2))</f>
        <v>10.65</v>
      </c>
      <c r="N5096" s="35" t="str">
        <f>IF(OR(ISBLANK(C5096),C5096="",M5096=""),"In Progress",IF(M5096&lt;=J5096,"Met","Breached"))</f>
        <v>Met</v>
      </c>
    </row>
    <row r="5097" ht="19" customHeight="1" spans="1:14" x14ac:dyDescent="0.25">
      <c r="A5097" s="22" t="s">
        <v>5211</v>
      </c>
      <c r="B5097" s="36">
        <v>45934.20277777778</v>
      </c>
      <c r="C5097" s="36">
        <v>45937.41111111111</v>
      </c>
      <c r="D5097" s="22" t="s">
        <v>33</v>
      </c>
      <c r="E5097" s="22" t="s">
        <v>65</v>
      </c>
      <c r="F5097" s="22" t="s">
        <v>34</v>
      </c>
      <c r="G5097" s="22" t="s">
        <v>126</v>
      </c>
      <c r="H5097" s="22" t="s">
        <v>59</v>
      </c>
      <c r="I5097" s="22" t="s">
        <v>108</v>
      </c>
      <c r="J5097" s="23">
        <v>48</v>
      </c>
      <c r="K5097" s="37">
        <v>0</v>
      </c>
      <c r="L5097" s="37">
        <v>1</v>
      </c>
      <c r="M5097" s="22">
        <f>IF(OR(ISBLANK(C5097),C5097=""),"",ROUND((C5097-B5097)*24,2))</f>
        <v>77</v>
      </c>
      <c r="N5097" s="38" t="str">
        <f>IF(OR(ISBLANK(C5097),C5097="",M5097=""),"In Progress",IF(M5097&lt;=J5097,"Met","Breached"))</f>
        <v>Breached</v>
      </c>
    </row>
    <row r="5098" ht="19" customHeight="1" spans="1:14" x14ac:dyDescent="0.25">
      <c r="A5098" s="19" t="s">
        <v>5212</v>
      </c>
      <c r="B5098" s="33">
        <v>46207.48541666666</v>
      </c>
      <c r="D5098" s="19" t="s">
        <v>39</v>
      </c>
      <c r="E5098" s="19" t="s">
        <v>61</v>
      </c>
      <c r="F5098" s="19" t="s">
        <v>34</v>
      </c>
      <c r="G5098" s="19" t="s">
        <v>63</v>
      </c>
      <c r="H5098" s="19" t="s">
        <v>59</v>
      </c>
      <c r="I5098" s="19" t="s">
        <v>147</v>
      </c>
      <c r="J5098" s="20">
        <v>12</v>
      </c>
      <c r="K5098" s="34">
        <v>0</v>
      </c>
      <c r="M5098" s="19" t="str">
        <f>IF(OR(ISBLANK(C5098),C5098=""),"",ROUND((C5098-B5098)*24,2))</f>
        <v/>
      </c>
      <c r="N5098" s="19" t="str">
        <f>IF(OR(ISBLANK(C5098),C5098="",M5098=""),"In Progress",IF(M5098&lt;=J5098,"Met","Breached"))</f>
        <v>In Progress</v>
      </c>
    </row>
    <row r="5099" ht="19" customHeight="1" spans="1:14" x14ac:dyDescent="0.25">
      <c r="A5099" s="22" t="s">
        <v>5213</v>
      </c>
      <c r="B5099" s="36">
        <v>46047.69097222222</v>
      </c>
      <c r="C5099" s="36">
        <v>46047.790972222225</v>
      </c>
      <c r="D5099" s="22" t="s">
        <v>33</v>
      </c>
      <c r="E5099" s="22" t="s">
        <v>57</v>
      </c>
      <c r="F5099" s="22" t="s">
        <v>43</v>
      </c>
      <c r="G5099" s="22" t="s">
        <v>110</v>
      </c>
      <c r="H5099" s="22" t="s">
        <v>59</v>
      </c>
      <c r="I5099" s="22" t="s">
        <v>117</v>
      </c>
      <c r="J5099" s="23">
        <v>4</v>
      </c>
      <c r="K5099" s="37">
        <v>0</v>
      </c>
      <c r="L5099" s="37">
        <v>2</v>
      </c>
      <c r="M5099" s="22">
        <f>IF(OR(ISBLANK(C5099),C5099=""),"",ROUND((C5099-B5099)*24,2))</f>
        <v>2.4</v>
      </c>
      <c r="N5099" s="40" t="str">
        <f>IF(OR(ISBLANK(C5099),C5099="",M5099=""),"In Progress",IF(M5099&lt;=J5099,"Met","Breached"))</f>
        <v>Met</v>
      </c>
    </row>
    <row r="5100" ht="19" customHeight="1" spans="1:14" x14ac:dyDescent="0.25">
      <c r="A5100" s="19" t="s">
        <v>5214</v>
      </c>
      <c r="B5100" s="33">
        <v>45721.12638888889</v>
      </c>
      <c r="C5100" s="33">
        <v>45722.00138888889</v>
      </c>
      <c r="D5100" s="19" t="s">
        <v>33</v>
      </c>
      <c r="E5100" s="19" t="s">
        <v>61</v>
      </c>
      <c r="F5100" s="19" t="s">
        <v>34</v>
      </c>
      <c r="G5100" s="19" t="s">
        <v>126</v>
      </c>
      <c r="H5100" s="19" t="s">
        <v>67</v>
      </c>
      <c r="I5100" s="19" t="s">
        <v>147</v>
      </c>
      <c r="J5100" s="20">
        <v>12</v>
      </c>
      <c r="K5100" s="34">
        <v>0</v>
      </c>
      <c r="M5100" s="19">
        <f>IF(OR(ISBLANK(C5100),C5100=""),"",ROUND((C5100-B5100)*24,2))</f>
        <v>21</v>
      </c>
      <c r="N5100" s="39" t="str">
        <f>IF(OR(ISBLANK(C5100),C5100="",M5100=""),"In Progress",IF(M5100&lt;=J5100,"Met","Breached"))</f>
        <v>Breached</v>
      </c>
    </row>
    <row r="5101" ht="19" customHeight="1" spans="1:14" x14ac:dyDescent="0.25">
      <c r="A5101" s="22" t="s">
        <v>5215</v>
      </c>
      <c r="B5101" s="36">
        <v>45788.319444444445</v>
      </c>
      <c r="D5101" s="22" t="s">
        <v>39</v>
      </c>
      <c r="E5101" s="22" t="s">
        <v>65</v>
      </c>
      <c r="F5101" s="22" t="s">
        <v>34</v>
      </c>
      <c r="G5101" s="22" t="s">
        <v>116</v>
      </c>
      <c r="H5101" s="22" t="s">
        <v>59</v>
      </c>
      <c r="I5101" s="22" t="s">
        <v>123</v>
      </c>
      <c r="J5101" s="23">
        <v>48</v>
      </c>
      <c r="K5101" s="37">
        <v>0</v>
      </c>
      <c r="M5101" s="22" t="str">
        <f>IF(OR(ISBLANK(C5101),C5101=""),"",ROUND((C5101-B5101)*24,2))</f>
        <v/>
      </c>
      <c r="N5101" s="22" t="str">
        <f>IF(OR(ISBLANK(C5101),C5101="",M5101=""),"In Progress",IF(M5101&lt;=J5101,"Met","Breached"))</f>
        <v>In Progress</v>
      </c>
    </row>
    <row r="5102" ht="19" customHeight="1" spans="1:14" x14ac:dyDescent="0.25">
      <c r="A5102" s="19" t="s">
        <v>5216</v>
      </c>
      <c r="B5102" s="33">
        <v>45906.46805555555</v>
      </c>
      <c r="D5102" s="19" t="s">
        <v>39</v>
      </c>
      <c r="E5102" s="19" t="s">
        <v>69</v>
      </c>
      <c r="F5102" s="19" t="s">
        <v>43</v>
      </c>
      <c r="G5102" s="19" t="s">
        <v>126</v>
      </c>
      <c r="H5102" s="19" t="s">
        <v>59</v>
      </c>
      <c r="I5102" s="19" t="s">
        <v>117</v>
      </c>
      <c r="J5102" s="20">
        <v>120</v>
      </c>
      <c r="K5102" s="34">
        <v>0</v>
      </c>
      <c r="M5102" s="19" t="str">
        <f>IF(OR(ISBLANK(C5102),C5102=""),"",ROUND((C5102-B5102)*24,2))</f>
        <v/>
      </c>
      <c r="N5102" s="19" t="str">
        <f>IF(OR(ISBLANK(C5102),C5102="",M5102=""),"In Progress",IF(M5102&lt;=J5102,"Met","Breached"))</f>
        <v>In Progress</v>
      </c>
    </row>
    <row r="5103" ht="19" customHeight="1" spans="1:14" x14ac:dyDescent="0.25">
      <c r="A5103" s="22" t="s">
        <v>5217</v>
      </c>
      <c r="B5103" s="36">
        <v>45862.48888888889</v>
      </c>
      <c r="C5103" s="36">
        <v>45867.5625</v>
      </c>
      <c r="D5103" s="22" t="s">
        <v>33</v>
      </c>
      <c r="E5103" s="22" t="s">
        <v>69</v>
      </c>
      <c r="F5103" s="22" t="s">
        <v>43</v>
      </c>
      <c r="G5103" s="22" t="s">
        <v>126</v>
      </c>
      <c r="H5103" s="22" t="s">
        <v>59</v>
      </c>
      <c r="I5103" s="22" t="s">
        <v>147</v>
      </c>
      <c r="J5103" s="23">
        <v>120</v>
      </c>
      <c r="K5103" s="37">
        <v>0</v>
      </c>
      <c r="L5103" s="37">
        <v>2</v>
      </c>
      <c r="M5103" s="22">
        <f>IF(OR(ISBLANK(C5103),C5103=""),"",ROUND((C5103-B5103)*24,2))</f>
        <v>121.77</v>
      </c>
      <c r="N5103" s="38" t="str">
        <f>IF(OR(ISBLANK(C5103),C5103="",M5103=""),"In Progress",IF(M5103&lt;=J5103,"Met","Breached"))</f>
        <v>Breached</v>
      </c>
    </row>
    <row r="5104" ht="19" customHeight="1" spans="1:14" x14ac:dyDescent="0.25">
      <c r="A5104" s="19" t="s">
        <v>5218</v>
      </c>
      <c r="B5104" s="33">
        <v>45973.29027777778</v>
      </c>
      <c r="C5104" s="33">
        <v>45976.256944444445</v>
      </c>
      <c r="D5104" s="19" t="s">
        <v>33</v>
      </c>
      <c r="E5104" s="19" t="s">
        <v>65</v>
      </c>
      <c r="F5104" s="19" t="s">
        <v>45</v>
      </c>
      <c r="G5104" s="19" t="s">
        <v>110</v>
      </c>
      <c r="H5104" s="19" t="s">
        <v>59</v>
      </c>
      <c r="I5104" s="19" t="s">
        <v>117</v>
      </c>
      <c r="J5104" s="20">
        <v>48</v>
      </c>
      <c r="K5104" s="34">
        <v>0</v>
      </c>
      <c r="L5104" s="34">
        <v>5</v>
      </c>
      <c r="M5104" s="19">
        <f>IF(OR(ISBLANK(C5104),C5104=""),"",ROUND((C5104-B5104)*24,2))</f>
        <v>71.2</v>
      </c>
      <c r="N5104" s="39" t="str">
        <f>IF(OR(ISBLANK(C5104),C5104="",M5104=""),"In Progress",IF(M5104&lt;=J5104,"Met","Breached"))</f>
        <v>Breached</v>
      </c>
    </row>
    <row r="5105" ht="19" customHeight="1" spans="1:14" x14ac:dyDescent="0.25">
      <c r="A5105" s="22" t="s">
        <v>5219</v>
      </c>
      <c r="B5105" s="36">
        <v>45712.8125</v>
      </c>
      <c r="D5105" s="22" t="s">
        <v>39</v>
      </c>
      <c r="E5105" s="22" t="s">
        <v>65</v>
      </c>
      <c r="F5105" s="22" t="s">
        <v>37</v>
      </c>
      <c r="G5105" s="22" t="s">
        <v>121</v>
      </c>
      <c r="H5105" s="22" t="s">
        <v>59</v>
      </c>
      <c r="I5105" s="22" t="s">
        <v>108</v>
      </c>
      <c r="J5105" s="23">
        <v>48</v>
      </c>
      <c r="K5105" s="37">
        <v>0</v>
      </c>
      <c r="M5105" s="22" t="str">
        <f>IF(OR(ISBLANK(C5105),C5105=""),"",ROUND((C5105-B5105)*24,2))</f>
        <v/>
      </c>
      <c r="N5105" s="22" t="str">
        <f>IF(OR(ISBLANK(C5105),C5105="",M5105=""),"In Progress",IF(M5105&lt;=J5105,"Met","Breached"))</f>
        <v>In Progress</v>
      </c>
    </row>
    <row r="5106" ht="19" customHeight="1" spans="1:14" x14ac:dyDescent="0.25">
      <c r="A5106" s="19" t="s">
        <v>5220</v>
      </c>
      <c r="B5106" s="33">
        <v>45983.45694444445</v>
      </c>
      <c r="C5106" s="33">
        <v>45985.39722222222</v>
      </c>
      <c r="D5106" s="19" t="s">
        <v>33</v>
      </c>
      <c r="E5106" s="19" t="s">
        <v>69</v>
      </c>
      <c r="F5106" s="19" t="s">
        <v>37</v>
      </c>
      <c r="G5106" s="19" t="s">
        <v>63</v>
      </c>
      <c r="H5106" s="19" t="s">
        <v>67</v>
      </c>
      <c r="I5106" s="19" t="s">
        <v>114</v>
      </c>
      <c r="J5106" s="20">
        <v>120</v>
      </c>
      <c r="K5106" s="34">
        <v>0</v>
      </c>
      <c r="L5106" s="34">
        <v>1</v>
      </c>
      <c r="M5106" s="19">
        <f>IF(OR(ISBLANK(C5106),C5106=""),"",ROUND((C5106-B5106)*24,2))</f>
        <v>46.57</v>
      </c>
      <c r="N5106" s="35" t="str">
        <f>IF(OR(ISBLANK(C5106),C5106="",M5106=""),"In Progress",IF(M5106&lt;=J5106,"Met","Breached"))</f>
        <v>Met</v>
      </c>
    </row>
    <row r="5107" ht="19" customHeight="1" spans="1:14" x14ac:dyDescent="0.25">
      <c r="A5107" s="22" t="s">
        <v>5221</v>
      </c>
      <c r="B5107" s="36">
        <v>45696.78680555556</v>
      </c>
      <c r="D5107" s="22" t="s">
        <v>42</v>
      </c>
      <c r="E5107" s="22" t="s">
        <v>57</v>
      </c>
      <c r="F5107" s="22" t="s">
        <v>40</v>
      </c>
      <c r="G5107" s="22" t="s">
        <v>110</v>
      </c>
      <c r="H5107" s="22" t="s">
        <v>71</v>
      </c>
      <c r="I5107" s="22" t="s">
        <v>114</v>
      </c>
      <c r="J5107" s="23">
        <v>4</v>
      </c>
      <c r="K5107" s="37">
        <v>0</v>
      </c>
      <c r="M5107" s="22" t="str">
        <f>IF(OR(ISBLANK(C5107),C5107=""),"",ROUND((C5107-B5107)*24,2))</f>
        <v/>
      </c>
      <c r="N5107" s="22" t="str">
        <f>IF(OR(ISBLANK(C5107),C5107="",M5107=""),"In Progress",IF(M5107&lt;=J5107,"Met","Breached"))</f>
        <v>In Progress</v>
      </c>
    </row>
    <row r="5108" ht="19" customHeight="1" spans="1:14" x14ac:dyDescent="0.25">
      <c r="A5108" s="19" t="s">
        <v>5222</v>
      </c>
      <c r="B5108" s="33">
        <v>45696.49513888889</v>
      </c>
      <c r="C5108" s="33">
        <v>45696.7375</v>
      </c>
      <c r="D5108" s="19" t="s">
        <v>33</v>
      </c>
      <c r="E5108" s="19" t="s">
        <v>61</v>
      </c>
      <c r="F5108" s="19" t="s">
        <v>40</v>
      </c>
      <c r="G5108" s="19" t="s">
        <v>121</v>
      </c>
      <c r="H5108" s="19" t="s">
        <v>59</v>
      </c>
      <c r="I5108" s="19" t="s">
        <v>123</v>
      </c>
      <c r="J5108" s="20">
        <v>12</v>
      </c>
      <c r="K5108" s="34">
        <v>0</v>
      </c>
      <c r="L5108" s="34">
        <v>3</v>
      </c>
      <c r="M5108" s="19">
        <f>IF(OR(ISBLANK(C5108),C5108=""),"",ROUND((C5108-B5108)*24,2))</f>
        <v>5.82</v>
      </c>
      <c r="N5108" s="35" t="str">
        <f>IF(OR(ISBLANK(C5108),C5108="",M5108=""),"In Progress",IF(M5108&lt;=J5108,"Met","Breached"))</f>
        <v>Met</v>
      </c>
    </row>
    <row r="5109" ht="19" customHeight="1" spans="1:14" x14ac:dyDescent="0.25">
      <c r="A5109" s="22" t="s">
        <v>5223</v>
      </c>
      <c r="B5109" s="36">
        <v>45888.75833333333</v>
      </c>
      <c r="C5109" s="36">
        <v>45892.32291666667</v>
      </c>
      <c r="D5109" s="22" t="s">
        <v>33</v>
      </c>
      <c r="E5109" s="22" t="s">
        <v>65</v>
      </c>
      <c r="F5109" s="22" t="s">
        <v>45</v>
      </c>
      <c r="G5109" s="22" t="s">
        <v>63</v>
      </c>
      <c r="H5109" s="22" t="s">
        <v>59</v>
      </c>
      <c r="I5109" s="22" t="s">
        <v>111</v>
      </c>
      <c r="J5109" s="23">
        <v>48</v>
      </c>
      <c r="K5109" s="37">
        <v>0</v>
      </c>
      <c r="M5109" s="22">
        <f>IF(OR(ISBLANK(C5109),C5109=""),"",ROUND((C5109-B5109)*24,2))</f>
        <v>85.55</v>
      </c>
      <c r="N5109" s="38" t="str">
        <f>IF(OR(ISBLANK(C5109),C5109="",M5109=""),"In Progress",IF(M5109&lt;=J5109,"Met","Breached"))</f>
        <v>Breached</v>
      </c>
    </row>
    <row r="5110" ht="19" customHeight="1" spans="1:14" x14ac:dyDescent="0.25">
      <c r="A5110" s="19" t="s">
        <v>5224</v>
      </c>
      <c r="B5110" s="33">
        <v>46113.48819444445</v>
      </c>
      <c r="C5110" s="33">
        <v>46113.82916666666</v>
      </c>
      <c r="D5110" s="19" t="s">
        <v>33</v>
      </c>
      <c r="E5110" s="19" t="s">
        <v>61</v>
      </c>
      <c r="F5110" s="19" t="s">
        <v>43</v>
      </c>
      <c r="G5110" s="19" t="s">
        <v>121</v>
      </c>
      <c r="H5110" s="19" t="s">
        <v>71</v>
      </c>
      <c r="I5110" s="19" t="s">
        <v>123</v>
      </c>
      <c r="J5110" s="20">
        <v>12</v>
      </c>
      <c r="K5110" s="34">
        <v>0</v>
      </c>
      <c r="L5110" s="34">
        <v>5</v>
      </c>
      <c r="M5110" s="19">
        <f>IF(OR(ISBLANK(C5110),C5110=""),"",ROUND((C5110-B5110)*24,2))</f>
        <v>8.18</v>
      </c>
      <c r="N5110" s="35" t="str">
        <f>IF(OR(ISBLANK(C5110),C5110="",M5110=""),"In Progress",IF(M5110&lt;=J5110,"Met","Breached"))</f>
        <v>Met</v>
      </c>
    </row>
    <row r="5111" ht="19" customHeight="1" spans="1:14" x14ac:dyDescent="0.25">
      <c r="A5111" s="22" t="s">
        <v>5225</v>
      </c>
      <c r="B5111" s="36">
        <v>45949.26666666666</v>
      </c>
      <c r="C5111" s="36">
        <v>45949.53125</v>
      </c>
      <c r="D5111" s="22" t="s">
        <v>33</v>
      </c>
      <c r="E5111" s="22" t="s">
        <v>57</v>
      </c>
      <c r="F5111" s="22" t="s">
        <v>40</v>
      </c>
      <c r="G5111" s="22" t="s">
        <v>110</v>
      </c>
      <c r="H5111" s="22" t="s">
        <v>71</v>
      </c>
      <c r="I5111" s="22" t="s">
        <v>117</v>
      </c>
      <c r="J5111" s="23">
        <v>4</v>
      </c>
      <c r="K5111" s="37">
        <v>0</v>
      </c>
      <c r="L5111" s="37">
        <v>5</v>
      </c>
      <c r="M5111" s="22">
        <f>IF(OR(ISBLANK(C5111),C5111=""),"",ROUND((C5111-B5111)*24,2))</f>
        <v>6.35</v>
      </c>
      <c r="N5111" s="38" t="str">
        <f>IF(OR(ISBLANK(C5111),C5111="",M5111=""),"In Progress",IF(M5111&lt;=J5111,"Met","Breached"))</f>
        <v>Breached</v>
      </c>
    </row>
    <row r="5112" ht="19" customHeight="1" spans="1:14" x14ac:dyDescent="0.25">
      <c r="A5112" s="19" t="s">
        <v>5226</v>
      </c>
      <c r="B5112" s="33">
        <v>45726.820138888885</v>
      </c>
      <c r="C5112" s="33">
        <v>45727.30625</v>
      </c>
      <c r="D5112" s="19" t="s">
        <v>33</v>
      </c>
      <c r="E5112" s="19" t="s">
        <v>61</v>
      </c>
      <c r="F5112" s="19" t="s">
        <v>34</v>
      </c>
      <c r="G5112" s="19" t="s">
        <v>121</v>
      </c>
      <c r="H5112" s="19" t="s">
        <v>63</v>
      </c>
      <c r="I5112" s="19" t="s">
        <v>108</v>
      </c>
      <c r="J5112" s="20">
        <v>12</v>
      </c>
      <c r="K5112" s="34">
        <v>0</v>
      </c>
      <c r="L5112" s="34">
        <v>2</v>
      </c>
      <c r="M5112" s="19">
        <f>IF(OR(ISBLANK(C5112),C5112=""),"",ROUND((C5112-B5112)*24,2))</f>
        <v>11.67</v>
      </c>
      <c r="N5112" s="35" t="str">
        <f>IF(OR(ISBLANK(C5112),C5112="",M5112=""),"In Progress",IF(M5112&lt;=J5112,"Met","Breached"))</f>
        <v>Met</v>
      </c>
    </row>
    <row r="5113" ht="19" customHeight="1" spans="1:14" x14ac:dyDescent="0.25">
      <c r="A5113" s="22" t="s">
        <v>5227</v>
      </c>
      <c r="B5113" s="36">
        <v>45771.756944444445</v>
      </c>
      <c r="C5113" s="36">
        <v>45772.00833333333</v>
      </c>
      <c r="D5113" s="22" t="s">
        <v>36</v>
      </c>
      <c r="E5113" s="22" t="s">
        <v>61</v>
      </c>
      <c r="F5113" s="22" t="s">
        <v>40</v>
      </c>
      <c r="G5113" s="22" t="s">
        <v>63</v>
      </c>
      <c r="H5113" s="22" t="s">
        <v>63</v>
      </c>
      <c r="I5113" s="22" t="s">
        <v>111</v>
      </c>
      <c r="J5113" s="23">
        <v>12</v>
      </c>
      <c r="K5113" s="37">
        <v>0</v>
      </c>
      <c r="M5113" s="22">
        <f>IF(OR(ISBLANK(C5113),C5113=""),"",ROUND((C5113-B5113)*24,2))</f>
        <v>6.03</v>
      </c>
      <c r="N5113" s="40" t="str">
        <f>IF(OR(ISBLANK(C5113),C5113="",M5113=""),"In Progress",IF(M5113&lt;=J5113,"Met","Breached"))</f>
        <v>Met</v>
      </c>
    </row>
    <row r="5114" ht="19" customHeight="1" spans="1:14" x14ac:dyDescent="0.25">
      <c r="A5114" s="19" t="s">
        <v>5228</v>
      </c>
      <c r="B5114" s="33">
        <v>45922.986805555556</v>
      </c>
      <c r="C5114" s="33">
        <v>45923.254166666666</v>
      </c>
      <c r="D5114" s="19" t="s">
        <v>36</v>
      </c>
      <c r="E5114" s="19" t="s">
        <v>57</v>
      </c>
      <c r="F5114" s="19" t="s">
        <v>40</v>
      </c>
      <c r="G5114" s="19" t="s">
        <v>121</v>
      </c>
      <c r="H5114" s="19" t="s">
        <v>63</v>
      </c>
      <c r="I5114" s="19" t="s">
        <v>114</v>
      </c>
      <c r="J5114" s="20">
        <v>4</v>
      </c>
      <c r="K5114" s="34">
        <v>0</v>
      </c>
      <c r="L5114" s="34">
        <v>1</v>
      </c>
      <c r="M5114" s="19">
        <f>IF(OR(ISBLANK(C5114),C5114=""),"",ROUND((C5114-B5114)*24,2))</f>
        <v>6.42</v>
      </c>
      <c r="N5114" s="39" t="str">
        <f>IF(OR(ISBLANK(C5114),C5114="",M5114=""),"In Progress",IF(M5114&lt;=J5114,"Met","Breached"))</f>
        <v>Breached</v>
      </c>
    </row>
    <row r="5115" ht="19" customHeight="1" spans="1:14" x14ac:dyDescent="0.25">
      <c r="A5115" s="22" t="s">
        <v>5229</v>
      </c>
      <c r="B5115" s="36">
        <v>46116.0375</v>
      </c>
      <c r="C5115" s="36">
        <v>46118.86458333333</v>
      </c>
      <c r="D5115" s="22" t="s">
        <v>33</v>
      </c>
      <c r="E5115" s="22" t="s">
        <v>69</v>
      </c>
      <c r="F5115" s="22" t="s">
        <v>45</v>
      </c>
      <c r="G5115" s="22" t="s">
        <v>116</v>
      </c>
      <c r="H5115" s="22" t="s">
        <v>67</v>
      </c>
      <c r="I5115" s="22" t="s">
        <v>111</v>
      </c>
      <c r="J5115" s="23">
        <v>120</v>
      </c>
      <c r="K5115" s="37">
        <v>0</v>
      </c>
      <c r="L5115" s="37">
        <v>2</v>
      </c>
      <c r="M5115" s="22">
        <f>IF(OR(ISBLANK(C5115),C5115=""),"",ROUND((C5115-B5115)*24,2))</f>
        <v>67.85</v>
      </c>
      <c r="N5115" s="40" t="str">
        <f>IF(OR(ISBLANK(C5115),C5115="",M5115=""),"In Progress",IF(M5115&lt;=J5115,"Met","Breached"))</f>
        <v>Met</v>
      </c>
    </row>
    <row r="5116" ht="19" customHeight="1" spans="1:14" x14ac:dyDescent="0.25">
      <c r="A5116" s="19" t="s">
        <v>5230</v>
      </c>
      <c r="B5116" s="33">
        <v>46064.84513888889</v>
      </c>
      <c r="C5116" s="33">
        <v>46065.01736111111</v>
      </c>
      <c r="D5116" s="19" t="s">
        <v>33</v>
      </c>
      <c r="E5116" s="19" t="s">
        <v>57</v>
      </c>
      <c r="F5116" s="19" t="s">
        <v>34</v>
      </c>
      <c r="G5116" s="19" t="s">
        <v>63</v>
      </c>
      <c r="H5116" s="19" t="s">
        <v>59</v>
      </c>
      <c r="I5116" s="19" t="s">
        <v>111</v>
      </c>
      <c r="J5116" s="20">
        <v>4</v>
      </c>
      <c r="K5116" s="34">
        <v>0</v>
      </c>
      <c r="L5116" s="34">
        <v>2</v>
      </c>
      <c r="M5116" s="19">
        <f>IF(OR(ISBLANK(C5116),C5116=""),"",ROUND((C5116-B5116)*24,2))</f>
        <v>4.13</v>
      </c>
      <c r="N5116" s="39" t="str">
        <f>IF(OR(ISBLANK(C5116),C5116="",M5116=""),"In Progress",IF(M5116&lt;=J5116,"Met","Breached"))</f>
        <v>Breached</v>
      </c>
    </row>
    <row r="5117" ht="19" customHeight="1" spans="1:14" x14ac:dyDescent="0.25">
      <c r="A5117" s="22" t="s">
        <v>5231</v>
      </c>
      <c r="B5117" s="36">
        <v>46180.67291666666</v>
      </c>
      <c r="C5117" s="36">
        <v>46181.398611111115</v>
      </c>
      <c r="D5117" s="22" t="s">
        <v>33</v>
      </c>
      <c r="E5117" s="22" t="s">
        <v>65</v>
      </c>
      <c r="F5117" s="22" t="s">
        <v>40</v>
      </c>
      <c r="G5117" s="22" t="s">
        <v>121</v>
      </c>
      <c r="H5117" s="22" t="s">
        <v>59</v>
      </c>
      <c r="I5117" s="22" t="s">
        <v>117</v>
      </c>
      <c r="J5117" s="23">
        <v>48</v>
      </c>
      <c r="K5117" s="37">
        <v>0</v>
      </c>
      <c r="L5117" s="37">
        <v>5</v>
      </c>
      <c r="M5117" s="22">
        <f>IF(OR(ISBLANK(C5117),C5117=""),"",ROUND((C5117-B5117)*24,2))</f>
        <v>17.42</v>
      </c>
      <c r="N5117" s="40" t="str">
        <f>IF(OR(ISBLANK(C5117),C5117="",M5117=""),"In Progress",IF(M5117&lt;=J5117,"Met","Breached"))</f>
        <v>Met</v>
      </c>
    </row>
    <row r="5118" ht="19" customHeight="1" spans="1:14" x14ac:dyDescent="0.25">
      <c r="A5118" s="19" t="s">
        <v>5232</v>
      </c>
      <c r="B5118" s="33">
        <v>45925.74444444444</v>
      </c>
      <c r="C5118" s="33">
        <v>45928.257638888885</v>
      </c>
      <c r="D5118" s="19" t="s">
        <v>33</v>
      </c>
      <c r="E5118" s="19" t="s">
        <v>65</v>
      </c>
      <c r="F5118" s="19" t="s">
        <v>34</v>
      </c>
      <c r="G5118" s="19" t="s">
        <v>126</v>
      </c>
      <c r="H5118" s="19" t="s">
        <v>59</v>
      </c>
      <c r="I5118" s="19" t="s">
        <v>117</v>
      </c>
      <c r="J5118" s="20">
        <v>48</v>
      </c>
      <c r="K5118" s="34">
        <v>0</v>
      </c>
      <c r="L5118" s="34">
        <v>1</v>
      </c>
      <c r="M5118" s="19">
        <f>IF(OR(ISBLANK(C5118),C5118=""),"",ROUND((C5118-B5118)*24,2))</f>
        <v>60.32</v>
      </c>
      <c r="N5118" s="39" t="str">
        <f>IF(OR(ISBLANK(C5118),C5118="",M5118=""),"In Progress",IF(M5118&lt;=J5118,"Met","Breached"))</f>
        <v>Breached</v>
      </c>
    </row>
    <row r="5119" ht="19" customHeight="1" spans="1:14" x14ac:dyDescent="0.25">
      <c r="A5119" s="22" t="s">
        <v>5233</v>
      </c>
      <c r="B5119" s="36">
        <v>45757.242361111115</v>
      </c>
      <c r="C5119" s="36">
        <v>45757.60833333334</v>
      </c>
      <c r="D5119" s="22" t="s">
        <v>33</v>
      </c>
      <c r="E5119" s="22" t="s">
        <v>61</v>
      </c>
      <c r="F5119" s="22" t="s">
        <v>34</v>
      </c>
      <c r="G5119" s="22" t="s">
        <v>126</v>
      </c>
      <c r="H5119" s="22" t="s">
        <v>63</v>
      </c>
      <c r="I5119" s="22" t="s">
        <v>108</v>
      </c>
      <c r="J5119" s="23">
        <v>12</v>
      </c>
      <c r="K5119" s="37">
        <v>0</v>
      </c>
      <c r="L5119" s="37">
        <v>2</v>
      </c>
      <c r="M5119" s="22">
        <f>IF(OR(ISBLANK(C5119),C5119=""),"",ROUND((C5119-B5119)*24,2))</f>
        <v>8.78</v>
      </c>
      <c r="N5119" s="40" t="str">
        <f>IF(OR(ISBLANK(C5119),C5119="",M5119=""),"In Progress",IF(M5119&lt;=J5119,"Met","Breached"))</f>
        <v>Met</v>
      </c>
    </row>
    <row r="5120" ht="19" customHeight="1" spans="1:14" x14ac:dyDescent="0.25">
      <c r="A5120" s="19" t="s">
        <v>5234</v>
      </c>
      <c r="B5120" s="33">
        <v>45718.70972222222</v>
      </c>
      <c r="D5120" s="19" t="s">
        <v>39</v>
      </c>
      <c r="E5120" s="19" t="s">
        <v>57</v>
      </c>
      <c r="F5120" s="19" t="s">
        <v>37</v>
      </c>
      <c r="G5120" s="19" t="s">
        <v>110</v>
      </c>
      <c r="H5120" s="19" t="s">
        <v>59</v>
      </c>
      <c r="I5120" s="19" t="s">
        <v>108</v>
      </c>
      <c r="J5120" s="20">
        <v>4</v>
      </c>
      <c r="K5120" s="34">
        <v>0</v>
      </c>
      <c r="M5120" s="19" t="str">
        <f>IF(OR(ISBLANK(C5120),C5120=""),"",ROUND((C5120-B5120)*24,2))</f>
        <v/>
      </c>
      <c r="N5120" s="19" t="str">
        <f>IF(OR(ISBLANK(C5120),C5120="",M5120=""),"In Progress",IF(M5120&lt;=J5120,"Met","Breached"))</f>
        <v>In Progress</v>
      </c>
    </row>
    <row r="5121" ht="19" customHeight="1" spans="1:14" x14ac:dyDescent="0.25">
      <c r="A5121" s="22" t="s">
        <v>5235</v>
      </c>
      <c r="B5121" s="36">
        <v>46200.197222222225</v>
      </c>
      <c r="C5121" s="36">
        <v>46203.023611111115</v>
      </c>
      <c r="D5121" s="22" t="s">
        <v>36</v>
      </c>
      <c r="E5121" s="22" t="s">
        <v>69</v>
      </c>
      <c r="F5121" s="22" t="s">
        <v>43</v>
      </c>
      <c r="G5121" s="22" t="s">
        <v>110</v>
      </c>
      <c r="H5121" s="22" t="s">
        <v>63</v>
      </c>
      <c r="I5121" s="22" t="s">
        <v>147</v>
      </c>
      <c r="J5121" s="23">
        <v>120</v>
      </c>
      <c r="K5121" s="37">
        <v>0</v>
      </c>
      <c r="L5121" s="37">
        <v>2</v>
      </c>
      <c r="M5121" s="22">
        <f>IF(OR(ISBLANK(C5121),C5121=""),"",ROUND((C5121-B5121)*24,2))</f>
        <v>67.83</v>
      </c>
      <c r="N5121" s="40" t="str">
        <f>IF(OR(ISBLANK(C5121),C5121="",M5121=""),"In Progress",IF(M5121&lt;=J5121,"Met","Breached"))</f>
        <v>Met</v>
      </c>
    </row>
    <row r="5122" ht="19" customHeight="1" spans="1:14" x14ac:dyDescent="0.25">
      <c r="A5122" s="19" t="s">
        <v>5236</v>
      </c>
      <c r="B5122" s="33">
        <v>45885.20277777778</v>
      </c>
      <c r="C5122" s="33">
        <v>45886.42847222222</v>
      </c>
      <c r="D5122" s="19" t="s">
        <v>33</v>
      </c>
      <c r="E5122" s="19" t="s">
        <v>65</v>
      </c>
      <c r="F5122" s="19" t="s">
        <v>37</v>
      </c>
      <c r="G5122" s="19" t="s">
        <v>126</v>
      </c>
      <c r="H5122" s="19" t="s">
        <v>63</v>
      </c>
      <c r="I5122" s="19" t="s">
        <v>123</v>
      </c>
      <c r="J5122" s="20">
        <v>48</v>
      </c>
      <c r="K5122" s="34">
        <v>0</v>
      </c>
      <c r="L5122" s="34">
        <v>4</v>
      </c>
      <c r="M5122" s="19">
        <f>IF(OR(ISBLANK(C5122),C5122=""),"",ROUND((C5122-B5122)*24,2))</f>
        <v>29.42</v>
      </c>
      <c r="N5122" s="35" t="str">
        <f>IF(OR(ISBLANK(C5122),C5122="",M5122=""),"In Progress",IF(M5122&lt;=J5122,"Met","Breached"))</f>
        <v>Met</v>
      </c>
    </row>
    <row r="5123" ht="19" customHeight="1" spans="1:14" x14ac:dyDescent="0.25">
      <c r="A5123" s="22" t="s">
        <v>5237</v>
      </c>
      <c r="B5123" s="36">
        <v>45684.0125</v>
      </c>
      <c r="D5123" s="22" t="s">
        <v>39</v>
      </c>
      <c r="E5123" s="22" t="s">
        <v>65</v>
      </c>
      <c r="F5123" s="22" t="s">
        <v>40</v>
      </c>
      <c r="G5123" s="22" t="s">
        <v>116</v>
      </c>
      <c r="H5123" s="22" t="s">
        <v>59</v>
      </c>
      <c r="I5123" s="22" t="s">
        <v>117</v>
      </c>
      <c r="J5123" s="23">
        <v>48</v>
      </c>
      <c r="K5123" s="37">
        <v>0</v>
      </c>
      <c r="M5123" s="22" t="str">
        <f>IF(OR(ISBLANK(C5123),C5123=""),"",ROUND((C5123-B5123)*24,2))</f>
        <v/>
      </c>
      <c r="N5123" s="22" t="str">
        <f>IF(OR(ISBLANK(C5123),C5123="",M5123=""),"In Progress",IF(M5123&lt;=J5123,"Met","Breached"))</f>
        <v>In Progress</v>
      </c>
    </row>
    <row r="5124" ht="19" customHeight="1" spans="1:14" x14ac:dyDescent="0.25">
      <c r="A5124" s="19" t="s">
        <v>5238</v>
      </c>
      <c r="B5124" s="33">
        <v>45690.39166666666</v>
      </c>
      <c r="C5124" s="33">
        <v>45690.77777777778</v>
      </c>
      <c r="D5124" s="19" t="s">
        <v>33</v>
      </c>
      <c r="E5124" s="19" t="s">
        <v>61</v>
      </c>
      <c r="F5124" s="19" t="s">
        <v>40</v>
      </c>
      <c r="G5124" s="19" t="s">
        <v>116</v>
      </c>
      <c r="H5124" s="19" t="s">
        <v>63</v>
      </c>
      <c r="I5124" s="19" t="s">
        <v>111</v>
      </c>
      <c r="J5124" s="20">
        <v>12</v>
      </c>
      <c r="K5124" s="34">
        <v>0</v>
      </c>
      <c r="L5124" s="34">
        <v>5</v>
      </c>
      <c r="M5124" s="19">
        <f>IF(OR(ISBLANK(C5124),C5124=""),"",ROUND((C5124-B5124)*24,2))</f>
        <v>9.27</v>
      </c>
      <c r="N5124" s="35" t="str">
        <f>IF(OR(ISBLANK(C5124),C5124="",M5124=""),"In Progress",IF(M5124&lt;=J5124,"Met","Breached"))</f>
        <v>Met</v>
      </c>
    </row>
    <row r="5125" ht="19" customHeight="1" spans="1:14" x14ac:dyDescent="0.25">
      <c r="A5125" s="22" t="s">
        <v>5239</v>
      </c>
      <c r="B5125" s="36">
        <v>45734.38125</v>
      </c>
      <c r="C5125" s="36">
        <v>45735.16180555556</v>
      </c>
      <c r="D5125" s="22" t="s">
        <v>36</v>
      </c>
      <c r="E5125" s="22" t="s">
        <v>61</v>
      </c>
      <c r="F5125" s="22" t="s">
        <v>45</v>
      </c>
      <c r="G5125" s="22" t="s">
        <v>113</v>
      </c>
      <c r="H5125" s="22" t="s">
        <v>67</v>
      </c>
      <c r="I5125" s="22" t="s">
        <v>111</v>
      </c>
      <c r="J5125" s="23">
        <v>12</v>
      </c>
      <c r="K5125" s="37">
        <v>0</v>
      </c>
      <c r="M5125" s="22">
        <f>IF(OR(ISBLANK(C5125),C5125=""),"",ROUND((C5125-B5125)*24,2))</f>
        <v>18.73</v>
      </c>
      <c r="N5125" s="38" t="str">
        <f>IF(OR(ISBLANK(C5125),C5125="",M5125=""),"In Progress",IF(M5125&lt;=J5125,"Met","Breached"))</f>
        <v>Breached</v>
      </c>
    </row>
    <row r="5126" ht="19" customHeight="1" spans="1:14" x14ac:dyDescent="0.25">
      <c r="A5126" s="19" t="s">
        <v>5240</v>
      </c>
      <c r="B5126" s="33">
        <v>46017.990277777775</v>
      </c>
      <c r="C5126" s="33">
        <v>46018.48611111111</v>
      </c>
      <c r="D5126" s="19" t="s">
        <v>36</v>
      </c>
      <c r="E5126" s="19" t="s">
        <v>61</v>
      </c>
      <c r="F5126" s="19" t="s">
        <v>34</v>
      </c>
      <c r="G5126" s="19" t="s">
        <v>121</v>
      </c>
      <c r="H5126" s="19" t="s">
        <v>59</v>
      </c>
      <c r="I5126" s="19" t="s">
        <v>123</v>
      </c>
      <c r="J5126" s="20">
        <v>12</v>
      </c>
      <c r="K5126" s="34">
        <v>0</v>
      </c>
      <c r="L5126" s="34">
        <v>2</v>
      </c>
      <c r="M5126" s="19">
        <f>IF(OR(ISBLANK(C5126),C5126=""),"",ROUND((C5126-B5126)*24,2))</f>
        <v>11.9</v>
      </c>
      <c r="N5126" s="35" t="str">
        <f>IF(OR(ISBLANK(C5126),C5126="",M5126=""),"In Progress",IF(M5126&lt;=J5126,"Met","Breached"))</f>
        <v>Met</v>
      </c>
    </row>
    <row r="5127" ht="19" customHeight="1" spans="1:14" x14ac:dyDescent="0.25">
      <c r="A5127" s="22" t="s">
        <v>5241</v>
      </c>
      <c r="B5127" s="36">
        <v>45881.57847222222</v>
      </c>
      <c r="C5127" s="36">
        <v>45881.89513888889</v>
      </c>
      <c r="D5127" s="22" t="s">
        <v>33</v>
      </c>
      <c r="E5127" s="22" t="s">
        <v>61</v>
      </c>
      <c r="F5127" s="22" t="s">
        <v>45</v>
      </c>
      <c r="G5127" s="22" t="s">
        <v>63</v>
      </c>
      <c r="H5127" s="22" t="s">
        <v>59</v>
      </c>
      <c r="I5127" s="22" t="s">
        <v>114</v>
      </c>
      <c r="J5127" s="23">
        <v>12</v>
      </c>
      <c r="K5127" s="37">
        <v>0</v>
      </c>
      <c r="L5127" s="37">
        <v>5</v>
      </c>
      <c r="M5127" s="22">
        <f>IF(OR(ISBLANK(C5127),C5127=""),"",ROUND((C5127-B5127)*24,2))</f>
        <v>7.6</v>
      </c>
      <c r="N5127" s="40" t="str">
        <f>IF(OR(ISBLANK(C5127),C5127="",M5127=""),"In Progress",IF(M5127&lt;=J5127,"Met","Breached"))</f>
        <v>Met</v>
      </c>
    </row>
    <row r="5128" ht="19" customHeight="1" spans="1:14" x14ac:dyDescent="0.25">
      <c r="A5128" s="19" t="s">
        <v>5242</v>
      </c>
      <c r="B5128" s="33">
        <v>45983.36597222222</v>
      </c>
      <c r="C5128" s="33">
        <v>45984.2</v>
      </c>
      <c r="D5128" s="19" t="s">
        <v>33</v>
      </c>
      <c r="E5128" s="19" t="s">
        <v>61</v>
      </c>
      <c r="F5128" s="19" t="s">
        <v>37</v>
      </c>
      <c r="G5128" s="19" t="s">
        <v>126</v>
      </c>
      <c r="H5128" s="19" t="s">
        <v>63</v>
      </c>
      <c r="I5128" s="19" t="s">
        <v>108</v>
      </c>
      <c r="J5128" s="20">
        <v>12</v>
      </c>
      <c r="K5128" s="34">
        <v>0</v>
      </c>
      <c r="L5128" s="34">
        <v>4</v>
      </c>
      <c r="M5128" s="19">
        <f>IF(OR(ISBLANK(C5128),C5128=""),"",ROUND((C5128-B5128)*24,2))</f>
        <v>20.02</v>
      </c>
      <c r="N5128" s="39" t="str">
        <f>IF(OR(ISBLANK(C5128),C5128="",M5128=""),"In Progress",IF(M5128&lt;=J5128,"Met","Breached"))</f>
        <v>Breached</v>
      </c>
    </row>
    <row r="5129" ht="19" customHeight="1" spans="1:14" x14ac:dyDescent="0.25">
      <c r="A5129" s="22" t="s">
        <v>5243</v>
      </c>
      <c r="B5129" s="36">
        <v>45660.89375</v>
      </c>
      <c r="D5129" s="22" t="s">
        <v>39</v>
      </c>
      <c r="E5129" s="22" t="s">
        <v>65</v>
      </c>
      <c r="F5129" s="22" t="s">
        <v>34</v>
      </c>
      <c r="G5129" s="22" t="s">
        <v>116</v>
      </c>
      <c r="H5129" s="22" t="s">
        <v>63</v>
      </c>
      <c r="I5129" s="22" t="s">
        <v>123</v>
      </c>
      <c r="J5129" s="23">
        <v>48</v>
      </c>
      <c r="K5129" s="37">
        <v>0</v>
      </c>
      <c r="M5129" s="22" t="str">
        <f>IF(OR(ISBLANK(C5129),C5129=""),"",ROUND((C5129-B5129)*24,2))</f>
        <v/>
      </c>
      <c r="N5129" s="22" t="str">
        <f>IF(OR(ISBLANK(C5129),C5129="",M5129=""),"In Progress",IF(M5129&lt;=J5129,"Met","Breached"))</f>
        <v>In Progress</v>
      </c>
    </row>
    <row r="5130" ht="19" customHeight="1" spans="1:14" x14ac:dyDescent="0.25">
      <c r="A5130" s="19" t="s">
        <v>5244</v>
      </c>
      <c r="B5130" s="33">
        <v>45830.03194444445</v>
      </c>
      <c r="C5130" s="33">
        <v>45830.15138888889</v>
      </c>
      <c r="D5130" s="19" t="s">
        <v>33</v>
      </c>
      <c r="E5130" s="19" t="s">
        <v>57</v>
      </c>
      <c r="F5130" s="19" t="s">
        <v>43</v>
      </c>
      <c r="G5130" s="19" t="s">
        <v>63</v>
      </c>
      <c r="H5130" s="19" t="s">
        <v>67</v>
      </c>
      <c r="I5130" s="19" t="s">
        <v>111</v>
      </c>
      <c r="J5130" s="20">
        <v>4</v>
      </c>
      <c r="K5130" s="34">
        <v>1</v>
      </c>
      <c r="M5130" s="19">
        <f>IF(OR(ISBLANK(C5130),C5130=""),"",ROUND((C5130-B5130)*24,2))</f>
        <v>2.87</v>
      </c>
      <c r="N5130" s="35" t="str">
        <f>IF(OR(ISBLANK(C5130),C5130="",M5130=""),"In Progress",IF(M5130&lt;=J5130,"Met","Breached"))</f>
        <v>Met</v>
      </c>
    </row>
    <row r="5131" ht="19" customHeight="1" spans="1:14" x14ac:dyDescent="0.25">
      <c r="A5131" s="22" t="s">
        <v>5245</v>
      </c>
      <c r="B5131" s="36">
        <v>46202.70763888889</v>
      </c>
      <c r="C5131" s="36">
        <v>46203.37638888889</v>
      </c>
      <c r="D5131" s="22" t="s">
        <v>33</v>
      </c>
      <c r="E5131" s="22" t="s">
        <v>65</v>
      </c>
      <c r="F5131" s="22" t="s">
        <v>34</v>
      </c>
      <c r="G5131" s="22" t="s">
        <v>121</v>
      </c>
      <c r="H5131" s="22" t="s">
        <v>59</v>
      </c>
      <c r="I5131" s="22" t="s">
        <v>108</v>
      </c>
      <c r="J5131" s="23">
        <v>48</v>
      </c>
      <c r="K5131" s="37">
        <v>0</v>
      </c>
      <c r="M5131" s="22">
        <f>IF(OR(ISBLANK(C5131),C5131=""),"",ROUND((C5131-B5131)*24,2))</f>
        <v>16.05</v>
      </c>
      <c r="N5131" s="40" t="str">
        <f>IF(OR(ISBLANK(C5131),C5131="",M5131=""),"In Progress",IF(M5131&lt;=J5131,"Met","Breached"))</f>
        <v>Met</v>
      </c>
    </row>
    <row r="5132" ht="19" customHeight="1" spans="1:14" x14ac:dyDescent="0.25">
      <c r="A5132" s="19" t="s">
        <v>5246</v>
      </c>
      <c r="B5132" s="33">
        <v>46272.67847222222</v>
      </c>
      <c r="C5132" s="33">
        <v>46275.85972222222</v>
      </c>
      <c r="D5132" s="19" t="s">
        <v>36</v>
      </c>
      <c r="E5132" s="19" t="s">
        <v>69</v>
      </c>
      <c r="F5132" s="19" t="s">
        <v>40</v>
      </c>
      <c r="G5132" s="19" t="s">
        <v>126</v>
      </c>
      <c r="H5132" s="19" t="s">
        <v>59</v>
      </c>
      <c r="I5132" s="19" t="s">
        <v>117</v>
      </c>
      <c r="J5132" s="20">
        <v>120</v>
      </c>
      <c r="K5132" s="34">
        <v>0</v>
      </c>
      <c r="L5132" s="34">
        <v>5</v>
      </c>
      <c r="M5132" s="19">
        <f>IF(OR(ISBLANK(C5132),C5132=""),"",ROUND((C5132-B5132)*24,2))</f>
        <v>76.35</v>
      </c>
      <c r="N5132" s="35" t="str">
        <f>IF(OR(ISBLANK(C5132),C5132="",M5132=""),"In Progress",IF(M5132&lt;=J5132,"Met","Breached"))</f>
        <v>Met</v>
      </c>
    </row>
    <row r="5133" ht="19" customHeight="1" spans="1:14" x14ac:dyDescent="0.25">
      <c r="A5133" s="22" t="s">
        <v>5247</v>
      </c>
      <c r="B5133" s="36">
        <v>46178.413194444445</v>
      </c>
      <c r="C5133" s="36">
        <v>46179.18541666667</v>
      </c>
      <c r="D5133" s="22" t="s">
        <v>36</v>
      </c>
      <c r="E5133" s="22" t="s">
        <v>61</v>
      </c>
      <c r="F5133" s="22" t="s">
        <v>37</v>
      </c>
      <c r="G5133" s="22" t="s">
        <v>126</v>
      </c>
      <c r="H5133" s="22" t="s">
        <v>59</v>
      </c>
      <c r="I5133" s="22" t="s">
        <v>147</v>
      </c>
      <c r="J5133" s="23">
        <v>12</v>
      </c>
      <c r="K5133" s="37">
        <v>0</v>
      </c>
      <c r="M5133" s="22">
        <f>IF(OR(ISBLANK(C5133),C5133=""),"",ROUND((C5133-B5133)*24,2))</f>
        <v>18.53</v>
      </c>
      <c r="N5133" s="38" t="str">
        <f>IF(OR(ISBLANK(C5133),C5133="",M5133=""),"In Progress",IF(M5133&lt;=J5133,"Met","Breached"))</f>
        <v>Breached</v>
      </c>
    </row>
    <row r="5134" ht="19" customHeight="1" spans="1:14" x14ac:dyDescent="0.25">
      <c r="A5134" s="19" t="s">
        <v>5248</v>
      </c>
      <c r="B5134" s="33">
        <v>46160.84444444445</v>
      </c>
      <c r="D5134" s="19" t="s">
        <v>42</v>
      </c>
      <c r="E5134" s="19" t="s">
        <v>65</v>
      </c>
      <c r="F5134" s="19" t="s">
        <v>45</v>
      </c>
      <c r="G5134" s="19" t="s">
        <v>126</v>
      </c>
      <c r="H5134" s="19" t="s">
        <v>59</v>
      </c>
      <c r="I5134" s="19" t="s">
        <v>147</v>
      </c>
      <c r="J5134" s="20">
        <v>48</v>
      </c>
      <c r="K5134" s="34">
        <v>0</v>
      </c>
      <c r="M5134" s="19" t="str">
        <f>IF(OR(ISBLANK(C5134),C5134=""),"",ROUND((C5134-B5134)*24,2))</f>
        <v/>
      </c>
      <c r="N5134" s="19" t="str">
        <f>IF(OR(ISBLANK(C5134),C5134="",M5134=""),"In Progress",IF(M5134&lt;=J5134,"Met","Breached"))</f>
        <v>In Progress</v>
      </c>
    </row>
    <row r="5135" ht="19" customHeight="1" spans="1:14" x14ac:dyDescent="0.25">
      <c r="A5135" s="22" t="s">
        <v>5249</v>
      </c>
      <c r="B5135" s="36">
        <v>45905.898611111115</v>
      </c>
      <c r="C5135" s="36">
        <v>45906.80069444445</v>
      </c>
      <c r="D5135" s="22" t="s">
        <v>33</v>
      </c>
      <c r="E5135" s="22" t="s">
        <v>65</v>
      </c>
      <c r="F5135" s="22" t="s">
        <v>37</v>
      </c>
      <c r="G5135" s="22" t="s">
        <v>63</v>
      </c>
      <c r="H5135" s="22" t="s">
        <v>67</v>
      </c>
      <c r="I5135" s="22" t="s">
        <v>117</v>
      </c>
      <c r="J5135" s="23">
        <v>48</v>
      </c>
      <c r="K5135" s="37">
        <v>0</v>
      </c>
      <c r="L5135" s="37">
        <v>1</v>
      </c>
      <c r="M5135" s="22">
        <f>IF(OR(ISBLANK(C5135),C5135=""),"",ROUND((C5135-B5135)*24,2))</f>
        <v>21.65</v>
      </c>
      <c r="N5135" s="40" t="str">
        <f>IF(OR(ISBLANK(C5135),C5135="",M5135=""),"In Progress",IF(M5135&lt;=J5135,"Met","Breached"))</f>
        <v>Met</v>
      </c>
    </row>
    <row r="5136" ht="19" customHeight="1" spans="1:14" x14ac:dyDescent="0.25">
      <c r="A5136" s="19" t="s">
        <v>5250</v>
      </c>
      <c r="B5136" s="33">
        <v>46254.84722222222</v>
      </c>
      <c r="D5136" s="19" t="s">
        <v>39</v>
      </c>
      <c r="E5136" s="19" t="s">
        <v>57</v>
      </c>
      <c r="F5136" s="19" t="s">
        <v>37</v>
      </c>
      <c r="G5136" s="19" t="s">
        <v>63</v>
      </c>
      <c r="H5136" s="19" t="s">
        <v>63</v>
      </c>
      <c r="I5136" s="19" t="s">
        <v>108</v>
      </c>
      <c r="J5136" s="20">
        <v>4</v>
      </c>
      <c r="K5136" s="34">
        <v>0</v>
      </c>
      <c r="M5136" s="19" t="str">
        <f>IF(OR(ISBLANK(C5136),C5136=""),"",ROUND((C5136-B5136)*24,2))</f>
        <v/>
      </c>
      <c r="N5136" s="19" t="str">
        <f>IF(OR(ISBLANK(C5136),C5136="",M5136=""),"In Progress",IF(M5136&lt;=J5136,"Met","Breached"))</f>
        <v>In Progress</v>
      </c>
    </row>
    <row r="5137" ht="19" customHeight="1" spans="1:14" x14ac:dyDescent="0.25">
      <c r="A5137" s="22" t="s">
        <v>5251</v>
      </c>
      <c r="B5137" s="36">
        <v>45749.481944444444</v>
      </c>
      <c r="C5137" s="36">
        <v>45750.91666666667</v>
      </c>
      <c r="D5137" s="22" t="s">
        <v>36</v>
      </c>
      <c r="E5137" s="22" t="s">
        <v>65</v>
      </c>
      <c r="F5137" s="22" t="s">
        <v>45</v>
      </c>
      <c r="G5137" s="22" t="s">
        <v>63</v>
      </c>
      <c r="H5137" s="22" t="s">
        <v>63</v>
      </c>
      <c r="I5137" s="22" t="s">
        <v>111</v>
      </c>
      <c r="J5137" s="23">
        <v>48</v>
      </c>
      <c r="K5137" s="37">
        <v>0</v>
      </c>
      <c r="M5137" s="22">
        <f>IF(OR(ISBLANK(C5137),C5137=""),"",ROUND((C5137-B5137)*24,2))</f>
        <v>34.43</v>
      </c>
      <c r="N5137" s="40" t="str">
        <f>IF(OR(ISBLANK(C5137),C5137="",M5137=""),"In Progress",IF(M5137&lt;=J5137,"Met","Breached"))</f>
        <v>Met</v>
      </c>
    </row>
    <row r="5138" ht="19" customHeight="1" spans="1:14" x14ac:dyDescent="0.25">
      <c r="A5138" s="19" t="s">
        <v>5252</v>
      </c>
      <c r="B5138" s="33">
        <v>45755.11458333333</v>
      </c>
      <c r="C5138" s="33">
        <v>45759.413194444445</v>
      </c>
      <c r="D5138" s="19" t="s">
        <v>33</v>
      </c>
      <c r="E5138" s="19" t="s">
        <v>69</v>
      </c>
      <c r="F5138" s="19" t="s">
        <v>40</v>
      </c>
      <c r="G5138" s="19" t="s">
        <v>113</v>
      </c>
      <c r="H5138" s="19" t="s">
        <v>71</v>
      </c>
      <c r="I5138" s="19" t="s">
        <v>108</v>
      </c>
      <c r="J5138" s="20">
        <v>120</v>
      </c>
      <c r="K5138" s="34">
        <v>0</v>
      </c>
      <c r="M5138" s="19">
        <f>IF(OR(ISBLANK(C5138),C5138=""),"",ROUND((C5138-B5138)*24,2))</f>
        <v>103.17</v>
      </c>
      <c r="N5138" s="35" t="str">
        <f>IF(OR(ISBLANK(C5138),C5138="",M5138=""),"In Progress",IF(M5138&lt;=J5138,"Met","Breached"))</f>
        <v>Met</v>
      </c>
    </row>
    <row r="5139" ht="19" customHeight="1" spans="1:14" x14ac:dyDescent="0.25">
      <c r="A5139" s="22" t="s">
        <v>5253</v>
      </c>
      <c r="B5139" s="36">
        <v>45850.549305555556</v>
      </c>
      <c r="C5139" s="36">
        <v>45852.35555555555</v>
      </c>
      <c r="D5139" s="22" t="s">
        <v>33</v>
      </c>
      <c r="E5139" s="22" t="s">
        <v>69</v>
      </c>
      <c r="F5139" s="22" t="s">
        <v>34</v>
      </c>
      <c r="G5139" s="22" t="s">
        <v>121</v>
      </c>
      <c r="H5139" s="22" t="s">
        <v>63</v>
      </c>
      <c r="I5139" s="22" t="s">
        <v>108</v>
      </c>
      <c r="J5139" s="23">
        <v>120</v>
      </c>
      <c r="K5139" s="37">
        <v>0</v>
      </c>
      <c r="L5139" s="37">
        <v>5</v>
      </c>
      <c r="M5139" s="22">
        <f>IF(OR(ISBLANK(C5139),C5139=""),"",ROUND((C5139-B5139)*24,2))</f>
        <v>43.35</v>
      </c>
      <c r="N5139" s="40" t="str">
        <f>IF(OR(ISBLANK(C5139),C5139="",M5139=""),"In Progress",IF(M5139&lt;=J5139,"Met","Breached"))</f>
        <v>Met</v>
      </c>
    </row>
    <row r="5140" ht="19" customHeight="1" spans="1:14" x14ac:dyDescent="0.25">
      <c r="A5140" s="19" t="s">
        <v>5254</v>
      </c>
      <c r="B5140" s="33">
        <v>45668.17013888889</v>
      </c>
      <c r="C5140" s="33">
        <v>45670.26111111111</v>
      </c>
      <c r="D5140" s="19" t="s">
        <v>33</v>
      </c>
      <c r="E5140" s="19" t="s">
        <v>65</v>
      </c>
      <c r="F5140" s="19" t="s">
        <v>45</v>
      </c>
      <c r="G5140" s="19" t="s">
        <v>126</v>
      </c>
      <c r="H5140" s="19" t="s">
        <v>59</v>
      </c>
      <c r="I5140" s="19" t="s">
        <v>123</v>
      </c>
      <c r="J5140" s="20">
        <v>48</v>
      </c>
      <c r="K5140" s="34">
        <v>0</v>
      </c>
      <c r="L5140" s="34">
        <v>5</v>
      </c>
      <c r="M5140" s="19">
        <f>IF(OR(ISBLANK(C5140),C5140=""),"",ROUND((C5140-B5140)*24,2))</f>
        <v>50.18</v>
      </c>
      <c r="N5140" s="39" t="str">
        <f>IF(OR(ISBLANK(C5140),C5140="",M5140=""),"In Progress",IF(M5140&lt;=J5140,"Met","Breached"))</f>
        <v>Breached</v>
      </c>
    </row>
    <row r="5141" ht="19" customHeight="1" spans="1:14" x14ac:dyDescent="0.25">
      <c r="A5141" s="22" t="s">
        <v>5255</v>
      </c>
      <c r="B5141" s="36">
        <v>45973.39166666666</v>
      </c>
      <c r="C5141" s="36">
        <v>45975.75138888889</v>
      </c>
      <c r="D5141" s="22" t="s">
        <v>33</v>
      </c>
      <c r="E5141" s="22" t="s">
        <v>65</v>
      </c>
      <c r="F5141" s="22" t="s">
        <v>34</v>
      </c>
      <c r="G5141" s="22" t="s">
        <v>63</v>
      </c>
      <c r="H5141" s="22" t="s">
        <v>67</v>
      </c>
      <c r="I5141" s="22" t="s">
        <v>111</v>
      </c>
      <c r="J5141" s="23">
        <v>48</v>
      </c>
      <c r="K5141" s="37">
        <v>0</v>
      </c>
      <c r="M5141" s="22">
        <f>IF(OR(ISBLANK(C5141),C5141=""),"",ROUND((C5141-B5141)*24,2))</f>
        <v>56.63</v>
      </c>
      <c r="N5141" s="38" t="str">
        <f>IF(OR(ISBLANK(C5141),C5141="",M5141=""),"In Progress",IF(M5141&lt;=J5141,"Met","Breached"))</f>
        <v>Breached</v>
      </c>
    </row>
    <row r="5142" ht="19" customHeight="1" spans="1:14" x14ac:dyDescent="0.25">
      <c r="A5142" s="19" t="s">
        <v>5256</v>
      </c>
      <c r="B5142" s="33">
        <v>46060.31319444445</v>
      </c>
      <c r="D5142" s="19" t="s">
        <v>39</v>
      </c>
      <c r="E5142" s="19" t="s">
        <v>65</v>
      </c>
      <c r="F5142" s="19" t="s">
        <v>40</v>
      </c>
      <c r="G5142" s="19" t="s">
        <v>126</v>
      </c>
      <c r="H5142" s="19" t="s">
        <v>67</v>
      </c>
      <c r="I5142" s="19" t="s">
        <v>117</v>
      </c>
      <c r="J5142" s="20">
        <v>48</v>
      </c>
      <c r="K5142" s="34">
        <v>0</v>
      </c>
      <c r="M5142" s="19" t="str">
        <f>IF(OR(ISBLANK(C5142),C5142=""),"",ROUND((C5142-B5142)*24,2))</f>
        <v/>
      </c>
      <c r="N5142" s="19" t="str">
        <f>IF(OR(ISBLANK(C5142),C5142="",M5142=""),"In Progress",IF(M5142&lt;=J5142,"Met","Breached"))</f>
        <v>In Progress</v>
      </c>
    </row>
    <row r="5143" ht="19" customHeight="1" spans="1:14" x14ac:dyDescent="0.25">
      <c r="A5143" s="22" t="s">
        <v>5257</v>
      </c>
      <c r="B5143" s="36">
        <v>46061.34722222222</v>
      </c>
      <c r="C5143" s="36">
        <v>46061.89583333333</v>
      </c>
      <c r="D5143" s="22" t="s">
        <v>36</v>
      </c>
      <c r="E5143" s="22" t="s">
        <v>61</v>
      </c>
      <c r="F5143" s="22" t="s">
        <v>45</v>
      </c>
      <c r="G5143" s="22" t="s">
        <v>121</v>
      </c>
      <c r="H5143" s="22" t="s">
        <v>63</v>
      </c>
      <c r="I5143" s="22" t="s">
        <v>108</v>
      </c>
      <c r="J5143" s="23">
        <v>12</v>
      </c>
      <c r="K5143" s="37">
        <v>1</v>
      </c>
      <c r="M5143" s="22">
        <f>IF(OR(ISBLANK(C5143),C5143=""),"",ROUND((C5143-B5143)*24,2))</f>
        <v>13.17</v>
      </c>
      <c r="N5143" s="38" t="str">
        <f>IF(OR(ISBLANK(C5143),C5143="",M5143=""),"In Progress",IF(M5143&lt;=J5143,"Met","Breached"))</f>
        <v>Breached</v>
      </c>
    </row>
    <row r="5144" ht="19" customHeight="1" spans="1:14" x14ac:dyDescent="0.25">
      <c r="A5144" s="19" t="s">
        <v>5258</v>
      </c>
      <c r="B5144" s="33">
        <v>46243.8625</v>
      </c>
      <c r="C5144" s="33">
        <v>46244.66805555555</v>
      </c>
      <c r="D5144" s="19" t="s">
        <v>36</v>
      </c>
      <c r="E5144" s="19" t="s">
        <v>65</v>
      </c>
      <c r="F5144" s="19" t="s">
        <v>34</v>
      </c>
      <c r="G5144" s="19" t="s">
        <v>121</v>
      </c>
      <c r="H5144" s="19" t="s">
        <v>59</v>
      </c>
      <c r="I5144" s="19" t="s">
        <v>111</v>
      </c>
      <c r="J5144" s="20">
        <v>48</v>
      </c>
      <c r="K5144" s="34">
        <v>0</v>
      </c>
      <c r="L5144" s="34">
        <v>5</v>
      </c>
      <c r="M5144" s="19">
        <f>IF(OR(ISBLANK(C5144),C5144=""),"",ROUND((C5144-B5144)*24,2))</f>
        <v>19.33</v>
      </c>
      <c r="N5144" s="35" t="str">
        <f>IF(OR(ISBLANK(C5144),C5144="",M5144=""),"In Progress",IF(M5144&lt;=J5144,"Met","Breached"))</f>
        <v>Met</v>
      </c>
    </row>
    <row r="5145" ht="19" customHeight="1" spans="1:14" x14ac:dyDescent="0.25">
      <c r="A5145" s="22" t="s">
        <v>5259</v>
      </c>
      <c r="B5145" s="36">
        <v>46014.430555555555</v>
      </c>
      <c r="C5145" s="36">
        <v>46014.820138888885</v>
      </c>
      <c r="D5145" s="22" t="s">
        <v>36</v>
      </c>
      <c r="E5145" s="22" t="s">
        <v>61</v>
      </c>
      <c r="F5145" s="22" t="s">
        <v>40</v>
      </c>
      <c r="G5145" s="22" t="s">
        <v>113</v>
      </c>
      <c r="H5145" s="22" t="s">
        <v>63</v>
      </c>
      <c r="I5145" s="22" t="s">
        <v>123</v>
      </c>
      <c r="J5145" s="23">
        <v>12</v>
      </c>
      <c r="K5145" s="37">
        <v>0</v>
      </c>
      <c r="M5145" s="22">
        <f>IF(OR(ISBLANK(C5145),C5145=""),"",ROUND((C5145-B5145)*24,2))</f>
        <v>9.35</v>
      </c>
      <c r="N5145" s="40" t="str">
        <f>IF(OR(ISBLANK(C5145),C5145="",M5145=""),"In Progress",IF(M5145&lt;=J5145,"Met","Breached"))</f>
        <v>Met</v>
      </c>
    </row>
    <row r="5146" ht="19" customHeight="1" spans="1:14" x14ac:dyDescent="0.25">
      <c r="A5146" s="19" t="s">
        <v>5260</v>
      </c>
      <c r="B5146" s="33">
        <v>46199.131944444445</v>
      </c>
      <c r="D5146" s="19" t="s">
        <v>42</v>
      </c>
      <c r="E5146" s="19" t="s">
        <v>65</v>
      </c>
      <c r="F5146" s="19" t="s">
        <v>40</v>
      </c>
      <c r="G5146" s="19" t="s">
        <v>121</v>
      </c>
      <c r="H5146" s="19" t="s">
        <v>67</v>
      </c>
      <c r="I5146" s="19" t="s">
        <v>114</v>
      </c>
      <c r="J5146" s="20">
        <v>48</v>
      </c>
      <c r="K5146" s="34">
        <v>0</v>
      </c>
      <c r="M5146" s="19" t="str">
        <f>IF(OR(ISBLANK(C5146),C5146=""),"",ROUND((C5146-B5146)*24,2))</f>
        <v/>
      </c>
      <c r="N5146" s="19" t="str">
        <f>IF(OR(ISBLANK(C5146),C5146="",M5146=""),"In Progress",IF(M5146&lt;=J5146,"Met","Breached"))</f>
        <v>In Progress</v>
      </c>
    </row>
    <row r="5147" ht="19" customHeight="1" spans="1:14" x14ac:dyDescent="0.25">
      <c r="A5147" s="22" t="s">
        <v>5261</v>
      </c>
      <c r="B5147" s="36">
        <v>45701.38611111111</v>
      </c>
      <c r="C5147" s="36">
        <v>45701.74513888889</v>
      </c>
      <c r="D5147" s="22" t="s">
        <v>36</v>
      </c>
      <c r="E5147" s="22" t="s">
        <v>61</v>
      </c>
      <c r="F5147" s="22" t="s">
        <v>45</v>
      </c>
      <c r="G5147" s="22" t="s">
        <v>116</v>
      </c>
      <c r="H5147" s="22" t="s">
        <v>59</v>
      </c>
      <c r="I5147" s="22" t="s">
        <v>147</v>
      </c>
      <c r="J5147" s="23">
        <v>12</v>
      </c>
      <c r="K5147" s="37">
        <v>1</v>
      </c>
      <c r="M5147" s="22">
        <f>IF(OR(ISBLANK(C5147),C5147=""),"",ROUND((C5147-B5147)*24,2))</f>
        <v>8.62</v>
      </c>
      <c r="N5147" s="40" t="str">
        <f>IF(OR(ISBLANK(C5147),C5147="",M5147=""),"In Progress",IF(M5147&lt;=J5147,"Met","Breached"))</f>
        <v>Met</v>
      </c>
    </row>
    <row r="5148" ht="19" customHeight="1" spans="1:14" x14ac:dyDescent="0.25">
      <c r="A5148" s="19" t="s">
        <v>5262</v>
      </c>
      <c r="B5148" s="33">
        <v>46136.52847222222</v>
      </c>
      <c r="C5148" s="33">
        <v>46136.705555555556</v>
      </c>
      <c r="D5148" s="19" t="s">
        <v>33</v>
      </c>
      <c r="E5148" s="19" t="s">
        <v>61</v>
      </c>
      <c r="F5148" s="19" t="s">
        <v>45</v>
      </c>
      <c r="G5148" s="19" t="s">
        <v>113</v>
      </c>
      <c r="H5148" s="19" t="s">
        <v>67</v>
      </c>
      <c r="I5148" s="19" t="s">
        <v>114</v>
      </c>
      <c r="J5148" s="20">
        <v>12</v>
      </c>
      <c r="K5148" s="34">
        <v>0</v>
      </c>
      <c r="L5148" s="34">
        <v>3</v>
      </c>
      <c r="M5148" s="19">
        <f>IF(OR(ISBLANK(C5148),C5148=""),"",ROUND((C5148-B5148)*24,2))</f>
        <v>4.25</v>
      </c>
      <c r="N5148" s="35" t="str">
        <f>IF(OR(ISBLANK(C5148),C5148="",M5148=""),"In Progress",IF(M5148&lt;=J5148,"Met","Breached"))</f>
        <v>Met</v>
      </c>
    </row>
    <row r="5149" ht="19" customHeight="1" spans="1:14" x14ac:dyDescent="0.25">
      <c r="A5149" s="22" t="s">
        <v>5263</v>
      </c>
      <c r="B5149" s="36">
        <v>46100.34861111111</v>
      </c>
      <c r="C5149" s="36">
        <v>46100.72430555556</v>
      </c>
      <c r="D5149" s="22" t="s">
        <v>36</v>
      </c>
      <c r="E5149" s="22" t="s">
        <v>61</v>
      </c>
      <c r="F5149" s="22" t="s">
        <v>40</v>
      </c>
      <c r="G5149" s="22" t="s">
        <v>63</v>
      </c>
      <c r="H5149" s="22" t="s">
        <v>71</v>
      </c>
      <c r="I5149" s="22" t="s">
        <v>114</v>
      </c>
      <c r="J5149" s="23">
        <v>12</v>
      </c>
      <c r="K5149" s="37">
        <v>0</v>
      </c>
      <c r="L5149" s="37">
        <v>3</v>
      </c>
      <c r="M5149" s="22">
        <f>IF(OR(ISBLANK(C5149),C5149=""),"",ROUND((C5149-B5149)*24,2))</f>
        <v>9.02</v>
      </c>
      <c r="N5149" s="40" t="str">
        <f>IF(OR(ISBLANK(C5149),C5149="",M5149=""),"In Progress",IF(M5149&lt;=J5149,"Met","Breached"))</f>
        <v>Met</v>
      </c>
    </row>
    <row r="5150" ht="19" customHeight="1" spans="1:14" x14ac:dyDescent="0.25">
      <c r="A5150" s="19" t="s">
        <v>5264</v>
      </c>
      <c r="B5150" s="33">
        <v>45824.868055555555</v>
      </c>
      <c r="C5150" s="33">
        <v>45824.995833333334</v>
      </c>
      <c r="D5150" s="19" t="s">
        <v>33</v>
      </c>
      <c r="E5150" s="19" t="s">
        <v>57</v>
      </c>
      <c r="F5150" s="19" t="s">
        <v>45</v>
      </c>
      <c r="G5150" s="19" t="s">
        <v>110</v>
      </c>
      <c r="H5150" s="19" t="s">
        <v>63</v>
      </c>
      <c r="I5150" s="19" t="s">
        <v>111</v>
      </c>
      <c r="J5150" s="20">
        <v>4</v>
      </c>
      <c r="K5150" s="34">
        <v>0</v>
      </c>
      <c r="L5150" s="34">
        <v>2</v>
      </c>
      <c r="M5150" s="19">
        <f>IF(OR(ISBLANK(C5150),C5150=""),"",ROUND((C5150-B5150)*24,2))</f>
        <v>3.07</v>
      </c>
      <c r="N5150" s="35" t="str">
        <f>IF(OR(ISBLANK(C5150),C5150="",M5150=""),"In Progress",IF(M5150&lt;=J5150,"Met","Breached"))</f>
        <v>Met</v>
      </c>
    </row>
    <row r="5151" ht="19" customHeight="1" spans="1:14" x14ac:dyDescent="0.25">
      <c r="A5151" s="22" t="s">
        <v>5265</v>
      </c>
      <c r="B5151" s="36">
        <v>46143.711805555555</v>
      </c>
      <c r="D5151" s="22" t="s">
        <v>42</v>
      </c>
      <c r="E5151" s="22" t="s">
        <v>69</v>
      </c>
      <c r="F5151" s="22" t="s">
        <v>45</v>
      </c>
      <c r="G5151" s="22" t="s">
        <v>116</v>
      </c>
      <c r="H5151" s="22" t="s">
        <v>71</v>
      </c>
      <c r="I5151" s="22" t="s">
        <v>114</v>
      </c>
      <c r="J5151" s="23">
        <v>120</v>
      </c>
      <c r="K5151" s="37">
        <v>0</v>
      </c>
      <c r="M5151" s="22" t="str">
        <f>IF(OR(ISBLANK(C5151),C5151=""),"",ROUND((C5151-B5151)*24,2))</f>
        <v/>
      </c>
      <c r="N5151" s="22" t="str">
        <f>IF(OR(ISBLANK(C5151),C5151="",M5151=""),"In Progress",IF(M5151&lt;=J5151,"Met","Breached"))</f>
        <v>In Progress</v>
      </c>
    </row>
    <row r="5152" ht="19" customHeight="1" spans="1:14" x14ac:dyDescent="0.25">
      <c r="A5152" s="19" t="s">
        <v>5266</v>
      </c>
      <c r="B5152" s="33">
        <v>46153.30902777778</v>
      </c>
      <c r="D5152" s="19" t="s">
        <v>39</v>
      </c>
      <c r="E5152" s="19" t="s">
        <v>65</v>
      </c>
      <c r="F5152" s="19" t="s">
        <v>34</v>
      </c>
      <c r="G5152" s="19" t="s">
        <v>110</v>
      </c>
      <c r="H5152" s="19" t="s">
        <v>71</v>
      </c>
      <c r="I5152" s="19" t="s">
        <v>147</v>
      </c>
      <c r="J5152" s="20">
        <v>48</v>
      </c>
      <c r="K5152" s="34">
        <v>0</v>
      </c>
      <c r="M5152" s="19" t="str">
        <f>IF(OR(ISBLANK(C5152),C5152=""),"",ROUND((C5152-B5152)*24,2))</f>
        <v/>
      </c>
      <c r="N5152" s="19" t="str">
        <f>IF(OR(ISBLANK(C5152),C5152="",M5152=""),"In Progress",IF(M5152&lt;=J5152,"Met","Breached"))</f>
        <v>In Progress</v>
      </c>
    </row>
    <row r="5153" ht="19" customHeight="1" spans="1:14" x14ac:dyDescent="0.25">
      <c r="A5153" s="22" t="s">
        <v>5267</v>
      </c>
      <c r="B5153" s="36">
        <v>45879.05208333333</v>
      </c>
      <c r="C5153" s="36">
        <v>45880.14444444445</v>
      </c>
      <c r="D5153" s="22" t="s">
        <v>33</v>
      </c>
      <c r="E5153" s="22" t="s">
        <v>65</v>
      </c>
      <c r="F5153" s="22" t="s">
        <v>40</v>
      </c>
      <c r="G5153" s="22" t="s">
        <v>110</v>
      </c>
      <c r="H5153" s="22" t="s">
        <v>63</v>
      </c>
      <c r="I5153" s="22" t="s">
        <v>123</v>
      </c>
      <c r="J5153" s="23">
        <v>48</v>
      </c>
      <c r="K5153" s="37">
        <v>1</v>
      </c>
      <c r="L5153" s="37">
        <v>4</v>
      </c>
      <c r="M5153" s="22">
        <f>IF(OR(ISBLANK(C5153),C5153=""),"",ROUND((C5153-B5153)*24,2))</f>
        <v>26.22</v>
      </c>
      <c r="N5153" s="40" t="str">
        <f>IF(OR(ISBLANK(C5153),C5153="",M5153=""),"In Progress",IF(M5153&lt;=J5153,"Met","Breached"))</f>
        <v>Met</v>
      </c>
    </row>
    <row r="5154" ht="19" customHeight="1" spans="1:14" x14ac:dyDescent="0.25">
      <c r="A5154" s="19" t="s">
        <v>5268</v>
      </c>
      <c r="B5154" s="33">
        <v>45752.46805555555</v>
      </c>
      <c r="D5154" s="19" t="s">
        <v>39</v>
      </c>
      <c r="E5154" s="19" t="s">
        <v>65</v>
      </c>
      <c r="F5154" s="19" t="s">
        <v>34</v>
      </c>
      <c r="G5154" s="19" t="s">
        <v>113</v>
      </c>
      <c r="H5154" s="19" t="s">
        <v>59</v>
      </c>
      <c r="I5154" s="19" t="s">
        <v>117</v>
      </c>
      <c r="J5154" s="20">
        <v>48</v>
      </c>
      <c r="K5154" s="34">
        <v>0</v>
      </c>
      <c r="M5154" s="19" t="str">
        <f>IF(OR(ISBLANK(C5154),C5154=""),"",ROUND((C5154-B5154)*24,2))</f>
        <v/>
      </c>
      <c r="N5154" s="19" t="str">
        <f>IF(OR(ISBLANK(C5154),C5154="",M5154=""),"In Progress",IF(M5154&lt;=J5154,"Met","Breached"))</f>
        <v>In Progress</v>
      </c>
    </row>
    <row r="5155" ht="19" customHeight="1" spans="1:14" x14ac:dyDescent="0.25">
      <c r="A5155" s="22" t="s">
        <v>5269</v>
      </c>
      <c r="B5155" s="36">
        <v>45774.46736111111</v>
      </c>
      <c r="C5155" s="36">
        <v>45779.822222222225</v>
      </c>
      <c r="D5155" s="22" t="s">
        <v>33</v>
      </c>
      <c r="E5155" s="22" t="s">
        <v>69</v>
      </c>
      <c r="F5155" s="22" t="s">
        <v>43</v>
      </c>
      <c r="G5155" s="22" t="s">
        <v>113</v>
      </c>
      <c r="H5155" s="22" t="s">
        <v>63</v>
      </c>
      <c r="I5155" s="22" t="s">
        <v>117</v>
      </c>
      <c r="J5155" s="23">
        <v>120</v>
      </c>
      <c r="K5155" s="37">
        <v>0</v>
      </c>
      <c r="L5155" s="37">
        <v>2</v>
      </c>
      <c r="M5155" s="22">
        <f>IF(OR(ISBLANK(C5155),C5155=""),"",ROUND((C5155-B5155)*24,2))</f>
        <v>128.52</v>
      </c>
      <c r="N5155" s="38" t="str">
        <f>IF(OR(ISBLANK(C5155),C5155="",M5155=""),"In Progress",IF(M5155&lt;=J5155,"Met","Breached"))</f>
        <v>Breached</v>
      </c>
    </row>
    <row r="5156" ht="19" customHeight="1" spans="1:14" x14ac:dyDescent="0.25">
      <c r="A5156" s="19" t="s">
        <v>5270</v>
      </c>
      <c r="B5156" s="33">
        <v>46006.18194444444</v>
      </c>
      <c r="C5156" s="33">
        <v>46006.62013888889</v>
      </c>
      <c r="D5156" s="19" t="s">
        <v>33</v>
      </c>
      <c r="E5156" s="19" t="s">
        <v>61</v>
      </c>
      <c r="F5156" s="19" t="s">
        <v>45</v>
      </c>
      <c r="G5156" s="19" t="s">
        <v>113</v>
      </c>
      <c r="H5156" s="19" t="s">
        <v>71</v>
      </c>
      <c r="I5156" s="19" t="s">
        <v>117</v>
      </c>
      <c r="J5156" s="20">
        <v>12</v>
      </c>
      <c r="K5156" s="34">
        <v>0</v>
      </c>
      <c r="L5156" s="34">
        <v>4</v>
      </c>
      <c r="M5156" s="19">
        <f>IF(OR(ISBLANK(C5156),C5156=""),"",ROUND((C5156-B5156)*24,2))</f>
        <v>10.52</v>
      </c>
      <c r="N5156" s="35" t="str">
        <f>IF(OR(ISBLANK(C5156),C5156="",M5156=""),"In Progress",IF(M5156&lt;=J5156,"Met","Breached"))</f>
        <v>Met</v>
      </c>
    </row>
    <row r="5157" ht="19" customHeight="1" spans="1:14" x14ac:dyDescent="0.25">
      <c r="A5157" s="22" t="s">
        <v>5271</v>
      </c>
      <c r="B5157" s="36">
        <v>46155.8</v>
      </c>
      <c r="C5157" s="36">
        <v>46157.12708333333</v>
      </c>
      <c r="D5157" s="22" t="s">
        <v>33</v>
      </c>
      <c r="E5157" s="22" t="s">
        <v>65</v>
      </c>
      <c r="F5157" s="22" t="s">
        <v>43</v>
      </c>
      <c r="G5157" s="22" t="s">
        <v>126</v>
      </c>
      <c r="H5157" s="22" t="s">
        <v>67</v>
      </c>
      <c r="I5157" s="22" t="s">
        <v>117</v>
      </c>
      <c r="J5157" s="23">
        <v>48</v>
      </c>
      <c r="K5157" s="37">
        <v>0</v>
      </c>
      <c r="L5157" s="37">
        <v>3</v>
      </c>
      <c r="M5157" s="22">
        <f>IF(OR(ISBLANK(C5157),C5157=""),"",ROUND((C5157-B5157)*24,2))</f>
        <v>31.85</v>
      </c>
      <c r="N5157" s="40" t="str">
        <f>IF(OR(ISBLANK(C5157),C5157="",M5157=""),"In Progress",IF(M5157&lt;=J5157,"Met","Breached"))</f>
        <v>Met</v>
      </c>
    </row>
    <row r="5158" ht="19" customHeight="1" spans="1:14" x14ac:dyDescent="0.25">
      <c r="A5158" s="19" t="s">
        <v>5272</v>
      </c>
      <c r="B5158" s="33">
        <v>46090.493055555555</v>
      </c>
      <c r="C5158" s="33">
        <v>46090.54305555555</v>
      </c>
      <c r="D5158" s="19" t="s">
        <v>33</v>
      </c>
      <c r="E5158" s="19" t="s">
        <v>57</v>
      </c>
      <c r="F5158" s="19" t="s">
        <v>43</v>
      </c>
      <c r="G5158" s="19" t="s">
        <v>113</v>
      </c>
      <c r="H5158" s="19" t="s">
        <v>59</v>
      </c>
      <c r="I5158" s="19" t="s">
        <v>117</v>
      </c>
      <c r="J5158" s="20">
        <v>4</v>
      </c>
      <c r="K5158" s="34">
        <v>0</v>
      </c>
      <c r="L5158" s="34">
        <v>2</v>
      </c>
      <c r="M5158" s="19">
        <f>IF(OR(ISBLANK(C5158),C5158=""),"",ROUND((C5158-B5158)*24,2))</f>
        <v>1.2</v>
      </c>
      <c r="N5158" s="35" t="str">
        <f>IF(OR(ISBLANK(C5158),C5158="",M5158=""),"In Progress",IF(M5158&lt;=J5158,"Met","Breached"))</f>
        <v>Met</v>
      </c>
    </row>
    <row r="5159" ht="19" customHeight="1" spans="1:14" x14ac:dyDescent="0.25">
      <c r="A5159" s="22" t="s">
        <v>5273</v>
      </c>
      <c r="B5159" s="36">
        <v>45806.44583333333</v>
      </c>
      <c r="D5159" s="22" t="s">
        <v>42</v>
      </c>
      <c r="E5159" s="22" t="s">
        <v>65</v>
      </c>
      <c r="F5159" s="22" t="s">
        <v>40</v>
      </c>
      <c r="G5159" s="22" t="s">
        <v>116</v>
      </c>
      <c r="H5159" s="22" t="s">
        <v>59</v>
      </c>
      <c r="I5159" s="22" t="s">
        <v>147</v>
      </c>
      <c r="J5159" s="23">
        <v>48</v>
      </c>
      <c r="K5159" s="37">
        <v>0</v>
      </c>
      <c r="M5159" s="22" t="str">
        <f>IF(OR(ISBLANK(C5159),C5159=""),"",ROUND((C5159-B5159)*24,2))</f>
        <v/>
      </c>
      <c r="N5159" s="22" t="str">
        <f>IF(OR(ISBLANK(C5159),C5159="",M5159=""),"In Progress",IF(M5159&lt;=J5159,"Met","Breached"))</f>
        <v>In Progress</v>
      </c>
    </row>
    <row r="5160" ht="19" customHeight="1" spans="1:14" x14ac:dyDescent="0.25">
      <c r="A5160" s="19" t="s">
        <v>5274</v>
      </c>
      <c r="B5160" s="33">
        <v>45688.81319444445</v>
      </c>
      <c r="D5160" s="19" t="s">
        <v>39</v>
      </c>
      <c r="E5160" s="19" t="s">
        <v>65</v>
      </c>
      <c r="F5160" s="19" t="s">
        <v>34</v>
      </c>
      <c r="G5160" s="19" t="s">
        <v>121</v>
      </c>
      <c r="H5160" s="19" t="s">
        <v>71</v>
      </c>
      <c r="I5160" s="19" t="s">
        <v>108</v>
      </c>
      <c r="J5160" s="20">
        <v>48</v>
      </c>
      <c r="K5160" s="34">
        <v>0</v>
      </c>
      <c r="M5160" s="19" t="str">
        <f>IF(OR(ISBLANK(C5160),C5160=""),"",ROUND((C5160-B5160)*24,2))</f>
        <v/>
      </c>
      <c r="N5160" s="19" t="str">
        <f>IF(OR(ISBLANK(C5160),C5160="",M5160=""),"In Progress",IF(M5160&lt;=J5160,"Met","Breached"))</f>
        <v>In Progress</v>
      </c>
    </row>
    <row r="5161" ht="19" customHeight="1" spans="1:14" x14ac:dyDescent="0.25">
      <c r="A5161" s="22" t="s">
        <v>5275</v>
      </c>
      <c r="B5161" s="36">
        <v>45930.94236111111</v>
      </c>
      <c r="D5161" s="22" t="s">
        <v>39</v>
      </c>
      <c r="E5161" s="22" t="s">
        <v>65</v>
      </c>
      <c r="F5161" s="22" t="s">
        <v>43</v>
      </c>
      <c r="G5161" s="22" t="s">
        <v>110</v>
      </c>
      <c r="H5161" s="22" t="s">
        <v>59</v>
      </c>
      <c r="I5161" s="22" t="s">
        <v>117</v>
      </c>
      <c r="J5161" s="23">
        <v>48</v>
      </c>
      <c r="K5161" s="37">
        <v>0</v>
      </c>
      <c r="M5161" s="22" t="str">
        <f>IF(OR(ISBLANK(C5161),C5161=""),"",ROUND((C5161-B5161)*24,2))</f>
        <v/>
      </c>
      <c r="N5161" s="22" t="str">
        <f>IF(OR(ISBLANK(C5161),C5161="",M5161=""),"In Progress",IF(M5161&lt;=J5161,"Met","Breached"))</f>
        <v>In Progress</v>
      </c>
    </row>
    <row r="5162" ht="19" customHeight="1" spans="1:14" x14ac:dyDescent="0.25">
      <c r="A5162" s="19" t="s">
        <v>5276</v>
      </c>
      <c r="B5162" s="33">
        <v>45703.12777777778</v>
      </c>
      <c r="D5162" s="19" t="s">
        <v>42</v>
      </c>
      <c r="E5162" s="19" t="s">
        <v>65</v>
      </c>
      <c r="F5162" s="19" t="s">
        <v>45</v>
      </c>
      <c r="G5162" s="19" t="s">
        <v>121</v>
      </c>
      <c r="H5162" s="19" t="s">
        <v>59</v>
      </c>
      <c r="I5162" s="19" t="s">
        <v>108</v>
      </c>
      <c r="J5162" s="20">
        <v>48</v>
      </c>
      <c r="K5162" s="34">
        <v>0</v>
      </c>
      <c r="M5162" s="19" t="str">
        <f>IF(OR(ISBLANK(C5162),C5162=""),"",ROUND((C5162-B5162)*24,2))</f>
        <v/>
      </c>
      <c r="N5162" s="19" t="str">
        <f>IF(OR(ISBLANK(C5162),C5162="",M5162=""),"In Progress",IF(M5162&lt;=J5162,"Met","Breached"))</f>
        <v>In Progress</v>
      </c>
    </row>
    <row r="5163" ht="19" customHeight="1" spans="1:14" x14ac:dyDescent="0.25">
      <c r="A5163" s="22" t="s">
        <v>5277</v>
      </c>
      <c r="B5163" s="36">
        <v>46186.54166666667</v>
      </c>
      <c r="D5163" s="22" t="s">
        <v>39</v>
      </c>
      <c r="E5163" s="22" t="s">
        <v>65</v>
      </c>
      <c r="F5163" s="22" t="s">
        <v>45</v>
      </c>
      <c r="G5163" s="22" t="s">
        <v>116</v>
      </c>
      <c r="H5163" s="22" t="s">
        <v>59</v>
      </c>
      <c r="I5163" s="22" t="s">
        <v>117</v>
      </c>
      <c r="J5163" s="23">
        <v>48</v>
      </c>
      <c r="K5163" s="37">
        <v>0</v>
      </c>
      <c r="M5163" s="22" t="str">
        <f>IF(OR(ISBLANK(C5163),C5163=""),"",ROUND((C5163-B5163)*24,2))</f>
        <v/>
      </c>
      <c r="N5163" s="22" t="str">
        <f>IF(OR(ISBLANK(C5163),C5163="",M5163=""),"In Progress",IF(M5163&lt;=J5163,"Met","Breached"))</f>
        <v>In Progress</v>
      </c>
    </row>
    <row r="5164" ht="19" customHeight="1" spans="1:14" x14ac:dyDescent="0.25">
      <c r="A5164" s="19" t="s">
        <v>5278</v>
      </c>
      <c r="B5164" s="33">
        <v>45932.816666666666</v>
      </c>
      <c r="C5164" s="33">
        <v>45935.92152777778</v>
      </c>
      <c r="D5164" s="19" t="s">
        <v>33</v>
      </c>
      <c r="E5164" s="19" t="s">
        <v>65</v>
      </c>
      <c r="F5164" s="19" t="s">
        <v>37</v>
      </c>
      <c r="G5164" s="19" t="s">
        <v>121</v>
      </c>
      <c r="H5164" s="19" t="s">
        <v>67</v>
      </c>
      <c r="I5164" s="19" t="s">
        <v>108</v>
      </c>
      <c r="J5164" s="20">
        <v>48</v>
      </c>
      <c r="K5164" s="34">
        <v>0</v>
      </c>
      <c r="L5164" s="34">
        <v>5</v>
      </c>
      <c r="M5164" s="19">
        <f>IF(OR(ISBLANK(C5164),C5164=""),"",ROUND((C5164-B5164)*24,2))</f>
        <v>74.52</v>
      </c>
      <c r="N5164" s="39" t="str">
        <f>IF(OR(ISBLANK(C5164),C5164="",M5164=""),"In Progress",IF(M5164&lt;=J5164,"Met","Breached"))</f>
        <v>Breached</v>
      </c>
    </row>
    <row r="5165" ht="19" customHeight="1" spans="1:14" x14ac:dyDescent="0.25">
      <c r="A5165" s="22" t="s">
        <v>5279</v>
      </c>
      <c r="B5165" s="36">
        <v>45821.78611111111</v>
      </c>
      <c r="D5165" s="22" t="s">
        <v>42</v>
      </c>
      <c r="E5165" s="22" t="s">
        <v>65</v>
      </c>
      <c r="F5165" s="22" t="s">
        <v>43</v>
      </c>
      <c r="G5165" s="22" t="s">
        <v>121</v>
      </c>
      <c r="H5165" s="22" t="s">
        <v>67</v>
      </c>
      <c r="I5165" s="22" t="s">
        <v>111</v>
      </c>
      <c r="J5165" s="23">
        <v>48</v>
      </c>
      <c r="K5165" s="37">
        <v>0</v>
      </c>
      <c r="M5165" s="22" t="str">
        <f>IF(OR(ISBLANK(C5165),C5165=""),"",ROUND((C5165-B5165)*24,2))</f>
        <v/>
      </c>
      <c r="N5165" s="22" t="str">
        <f>IF(OR(ISBLANK(C5165),C5165="",M5165=""),"In Progress",IF(M5165&lt;=J5165,"Met","Breached"))</f>
        <v>In Progress</v>
      </c>
    </row>
    <row r="5166" ht="19" customHeight="1" spans="1:14" x14ac:dyDescent="0.25">
      <c r="A5166" s="19" t="s">
        <v>5280</v>
      </c>
      <c r="B5166" s="33">
        <v>46191.93819444445</v>
      </c>
      <c r="C5166" s="33">
        <v>46193.117361111115</v>
      </c>
      <c r="D5166" s="19" t="s">
        <v>33</v>
      </c>
      <c r="E5166" s="19" t="s">
        <v>65</v>
      </c>
      <c r="F5166" s="19" t="s">
        <v>45</v>
      </c>
      <c r="G5166" s="19" t="s">
        <v>63</v>
      </c>
      <c r="H5166" s="19" t="s">
        <v>59</v>
      </c>
      <c r="I5166" s="19" t="s">
        <v>117</v>
      </c>
      <c r="J5166" s="20">
        <v>48</v>
      </c>
      <c r="K5166" s="34">
        <v>0</v>
      </c>
      <c r="L5166" s="34">
        <v>3</v>
      </c>
      <c r="M5166" s="19">
        <f>IF(OR(ISBLANK(C5166),C5166=""),"",ROUND((C5166-B5166)*24,2))</f>
        <v>28.3</v>
      </c>
      <c r="N5166" s="35" t="str">
        <f>IF(OR(ISBLANK(C5166),C5166="",M5166=""),"In Progress",IF(M5166&lt;=J5166,"Met","Breached"))</f>
        <v>Met</v>
      </c>
    </row>
    <row r="5167" ht="19" customHeight="1" spans="1:14" x14ac:dyDescent="0.25">
      <c r="A5167" s="22" t="s">
        <v>5281</v>
      </c>
      <c r="B5167" s="36">
        <v>45862.39444444445</v>
      </c>
      <c r="C5167" s="36">
        <v>45865.11319444445</v>
      </c>
      <c r="D5167" s="22" t="s">
        <v>33</v>
      </c>
      <c r="E5167" s="22" t="s">
        <v>69</v>
      </c>
      <c r="F5167" s="22" t="s">
        <v>37</v>
      </c>
      <c r="G5167" s="22" t="s">
        <v>121</v>
      </c>
      <c r="H5167" s="22" t="s">
        <v>67</v>
      </c>
      <c r="I5167" s="22" t="s">
        <v>147</v>
      </c>
      <c r="J5167" s="23">
        <v>120</v>
      </c>
      <c r="K5167" s="37">
        <v>0</v>
      </c>
      <c r="L5167" s="37">
        <v>5</v>
      </c>
      <c r="M5167" s="22">
        <f>IF(OR(ISBLANK(C5167),C5167=""),"",ROUND((C5167-B5167)*24,2))</f>
        <v>65.25</v>
      </c>
      <c r="N5167" s="40" t="str">
        <f>IF(OR(ISBLANK(C5167),C5167="",M5167=""),"In Progress",IF(M5167&lt;=J5167,"Met","Breached"))</f>
        <v>Met</v>
      </c>
    </row>
    <row r="5168" ht="19" customHeight="1" spans="1:14" x14ac:dyDescent="0.25">
      <c r="A5168" s="19" t="s">
        <v>5282</v>
      </c>
      <c r="B5168" s="33">
        <v>45765.60416666667</v>
      </c>
      <c r="C5168" s="33">
        <v>45768.350694444445</v>
      </c>
      <c r="D5168" s="19" t="s">
        <v>33</v>
      </c>
      <c r="E5168" s="19" t="s">
        <v>69</v>
      </c>
      <c r="F5168" s="19" t="s">
        <v>40</v>
      </c>
      <c r="G5168" s="19" t="s">
        <v>126</v>
      </c>
      <c r="H5168" s="19" t="s">
        <v>63</v>
      </c>
      <c r="I5168" s="19" t="s">
        <v>117</v>
      </c>
      <c r="J5168" s="20">
        <v>120</v>
      </c>
      <c r="K5168" s="34">
        <v>0</v>
      </c>
      <c r="L5168" s="34">
        <v>1</v>
      </c>
      <c r="M5168" s="19">
        <f>IF(OR(ISBLANK(C5168),C5168=""),"",ROUND((C5168-B5168)*24,2))</f>
        <v>65.92</v>
      </c>
      <c r="N5168" s="35" t="str">
        <f>IF(OR(ISBLANK(C5168),C5168="",M5168=""),"In Progress",IF(M5168&lt;=J5168,"Met","Breached"))</f>
        <v>Met</v>
      </c>
    </row>
    <row r="5169" ht="19" customHeight="1" spans="1:14" x14ac:dyDescent="0.25">
      <c r="A5169" s="22" t="s">
        <v>5283</v>
      </c>
      <c r="B5169" s="36">
        <v>45887.06319444445</v>
      </c>
      <c r="D5169" s="22" t="s">
        <v>39</v>
      </c>
      <c r="E5169" s="22" t="s">
        <v>69</v>
      </c>
      <c r="F5169" s="22" t="s">
        <v>43</v>
      </c>
      <c r="G5169" s="22" t="s">
        <v>116</v>
      </c>
      <c r="H5169" s="22" t="s">
        <v>59</v>
      </c>
      <c r="I5169" s="22" t="s">
        <v>123</v>
      </c>
      <c r="J5169" s="23">
        <v>120</v>
      </c>
      <c r="K5169" s="37">
        <v>0</v>
      </c>
      <c r="M5169" s="22" t="str">
        <f>IF(OR(ISBLANK(C5169),C5169=""),"",ROUND((C5169-B5169)*24,2))</f>
        <v/>
      </c>
      <c r="N5169" s="22" t="str">
        <f>IF(OR(ISBLANK(C5169),C5169="",M5169=""),"In Progress",IF(M5169&lt;=J5169,"Met","Breached"))</f>
        <v>In Progress</v>
      </c>
    </row>
    <row r="5170" ht="19" customHeight="1" spans="1:14" x14ac:dyDescent="0.25">
      <c r="A5170" s="19" t="s">
        <v>5284</v>
      </c>
      <c r="B5170" s="33">
        <v>45808.138194444444</v>
      </c>
      <c r="C5170" s="33">
        <v>45808.73055555555</v>
      </c>
      <c r="D5170" s="19" t="s">
        <v>36</v>
      </c>
      <c r="E5170" s="19" t="s">
        <v>61</v>
      </c>
      <c r="F5170" s="19" t="s">
        <v>45</v>
      </c>
      <c r="G5170" s="19" t="s">
        <v>63</v>
      </c>
      <c r="H5170" s="19" t="s">
        <v>63</v>
      </c>
      <c r="I5170" s="19" t="s">
        <v>111</v>
      </c>
      <c r="J5170" s="20">
        <v>12</v>
      </c>
      <c r="K5170" s="34">
        <v>0</v>
      </c>
      <c r="L5170" s="34">
        <v>3</v>
      </c>
      <c r="M5170" s="19">
        <f>IF(OR(ISBLANK(C5170),C5170=""),"",ROUND((C5170-B5170)*24,2))</f>
        <v>14.22</v>
      </c>
      <c r="N5170" s="39" t="str">
        <f>IF(OR(ISBLANK(C5170),C5170="",M5170=""),"In Progress",IF(M5170&lt;=J5170,"Met","Breached"))</f>
        <v>Breached</v>
      </c>
    </row>
    <row r="5171" ht="19" customHeight="1" spans="1:14" x14ac:dyDescent="0.25">
      <c r="A5171" s="22" t="s">
        <v>5285</v>
      </c>
      <c r="B5171" s="36">
        <v>46065.490277777775</v>
      </c>
      <c r="C5171" s="36">
        <v>46068.28055555555</v>
      </c>
      <c r="D5171" s="22" t="s">
        <v>33</v>
      </c>
      <c r="E5171" s="22" t="s">
        <v>65</v>
      </c>
      <c r="F5171" s="22" t="s">
        <v>40</v>
      </c>
      <c r="G5171" s="22" t="s">
        <v>63</v>
      </c>
      <c r="H5171" s="22" t="s">
        <v>59</v>
      </c>
      <c r="I5171" s="22" t="s">
        <v>108</v>
      </c>
      <c r="J5171" s="23">
        <v>48</v>
      </c>
      <c r="K5171" s="37">
        <v>0</v>
      </c>
      <c r="L5171" s="37">
        <v>3</v>
      </c>
      <c r="M5171" s="22">
        <f>IF(OR(ISBLANK(C5171),C5171=""),"",ROUND((C5171-B5171)*24,2))</f>
        <v>66.97</v>
      </c>
      <c r="N5171" s="38" t="str">
        <f>IF(OR(ISBLANK(C5171),C5171="",M5171=""),"In Progress",IF(M5171&lt;=J5171,"Met","Breached"))</f>
        <v>Breached</v>
      </c>
    </row>
    <row r="5172" ht="19" customHeight="1" spans="1:14" x14ac:dyDescent="0.25">
      <c r="A5172" s="19" t="s">
        <v>5286</v>
      </c>
      <c r="B5172" s="33">
        <v>46122.148611111115</v>
      </c>
      <c r="C5172" s="33">
        <v>46131.086111111115</v>
      </c>
      <c r="D5172" s="19" t="s">
        <v>33</v>
      </c>
      <c r="E5172" s="19" t="s">
        <v>69</v>
      </c>
      <c r="F5172" s="19" t="s">
        <v>45</v>
      </c>
      <c r="G5172" s="19" t="s">
        <v>113</v>
      </c>
      <c r="H5172" s="19" t="s">
        <v>59</v>
      </c>
      <c r="I5172" s="19" t="s">
        <v>123</v>
      </c>
      <c r="J5172" s="20">
        <v>120</v>
      </c>
      <c r="K5172" s="34">
        <v>0</v>
      </c>
      <c r="L5172" s="34">
        <v>3</v>
      </c>
      <c r="M5172" s="19">
        <f>IF(OR(ISBLANK(C5172),C5172=""),"",ROUND((C5172-B5172)*24,2))</f>
        <v>214.5</v>
      </c>
      <c r="N5172" s="39" t="str">
        <f>IF(OR(ISBLANK(C5172),C5172="",M5172=""),"In Progress",IF(M5172&lt;=J5172,"Met","Breached"))</f>
        <v>Breached</v>
      </c>
    </row>
    <row r="5173" ht="19" customHeight="1" spans="1:14" x14ac:dyDescent="0.25">
      <c r="A5173" s="22" t="s">
        <v>5287</v>
      </c>
      <c r="B5173" s="36">
        <v>46149.46597222222</v>
      </c>
      <c r="C5173" s="36">
        <v>46150.19583333333</v>
      </c>
      <c r="D5173" s="22" t="s">
        <v>33</v>
      </c>
      <c r="E5173" s="22" t="s">
        <v>61</v>
      </c>
      <c r="F5173" s="22" t="s">
        <v>43</v>
      </c>
      <c r="G5173" s="22" t="s">
        <v>110</v>
      </c>
      <c r="H5173" s="22" t="s">
        <v>63</v>
      </c>
      <c r="I5173" s="22" t="s">
        <v>108</v>
      </c>
      <c r="J5173" s="23">
        <v>12</v>
      </c>
      <c r="K5173" s="37">
        <v>0</v>
      </c>
      <c r="M5173" s="22">
        <f>IF(OR(ISBLANK(C5173),C5173=""),"",ROUND((C5173-B5173)*24,2))</f>
        <v>17.52</v>
      </c>
      <c r="N5173" s="38" t="str">
        <f>IF(OR(ISBLANK(C5173),C5173="",M5173=""),"In Progress",IF(M5173&lt;=J5173,"Met","Breached"))</f>
        <v>Breached</v>
      </c>
    </row>
    <row r="5174" ht="19" customHeight="1" spans="1:14" x14ac:dyDescent="0.25">
      <c r="A5174" s="19" t="s">
        <v>5288</v>
      </c>
      <c r="B5174" s="33">
        <v>45750.25555555556</v>
      </c>
      <c r="D5174" s="19" t="s">
        <v>42</v>
      </c>
      <c r="E5174" s="19" t="s">
        <v>65</v>
      </c>
      <c r="F5174" s="19" t="s">
        <v>45</v>
      </c>
      <c r="G5174" s="19" t="s">
        <v>116</v>
      </c>
      <c r="H5174" s="19" t="s">
        <v>59</v>
      </c>
      <c r="I5174" s="19" t="s">
        <v>123</v>
      </c>
      <c r="J5174" s="20">
        <v>48</v>
      </c>
      <c r="K5174" s="34">
        <v>0</v>
      </c>
      <c r="M5174" s="19" t="str">
        <f>IF(OR(ISBLANK(C5174),C5174=""),"",ROUND((C5174-B5174)*24,2))</f>
        <v/>
      </c>
      <c r="N5174" s="19" t="str">
        <f>IF(OR(ISBLANK(C5174),C5174="",M5174=""),"In Progress",IF(M5174&lt;=J5174,"Met","Breached"))</f>
        <v>In Progress</v>
      </c>
    </row>
    <row r="5175" ht="19" customHeight="1" spans="1:14" x14ac:dyDescent="0.25">
      <c r="A5175" s="22" t="s">
        <v>5289</v>
      </c>
      <c r="B5175" s="36">
        <v>46250.79791666666</v>
      </c>
      <c r="D5175" s="22" t="s">
        <v>42</v>
      </c>
      <c r="E5175" s="22" t="s">
        <v>65</v>
      </c>
      <c r="F5175" s="22" t="s">
        <v>45</v>
      </c>
      <c r="G5175" s="22" t="s">
        <v>121</v>
      </c>
      <c r="H5175" s="22" t="s">
        <v>59</v>
      </c>
      <c r="I5175" s="22" t="s">
        <v>147</v>
      </c>
      <c r="J5175" s="23">
        <v>48</v>
      </c>
      <c r="K5175" s="37">
        <v>0</v>
      </c>
      <c r="M5175" s="22" t="str">
        <f>IF(OR(ISBLANK(C5175),C5175=""),"",ROUND((C5175-B5175)*24,2))</f>
        <v/>
      </c>
      <c r="N5175" s="22" t="str">
        <f>IF(OR(ISBLANK(C5175),C5175="",M5175=""),"In Progress",IF(M5175&lt;=J5175,"Met","Breached"))</f>
        <v>In Progress</v>
      </c>
    </row>
    <row r="5176" ht="19" customHeight="1" spans="1:14" x14ac:dyDescent="0.25">
      <c r="A5176" s="19" t="s">
        <v>5290</v>
      </c>
      <c r="B5176" s="33">
        <v>45799.40555555555</v>
      </c>
      <c r="C5176" s="33">
        <v>45802.90833333333</v>
      </c>
      <c r="D5176" s="19" t="s">
        <v>33</v>
      </c>
      <c r="E5176" s="19" t="s">
        <v>69</v>
      </c>
      <c r="F5176" s="19" t="s">
        <v>34</v>
      </c>
      <c r="G5176" s="19" t="s">
        <v>116</v>
      </c>
      <c r="H5176" s="19" t="s">
        <v>59</v>
      </c>
      <c r="I5176" s="19" t="s">
        <v>123</v>
      </c>
      <c r="J5176" s="20">
        <v>120</v>
      </c>
      <c r="K5176" s="34">
        <v>0</v>
      </c>
      <c r="L5176" s="34">
        <v>2</v>
      </c>
      <c r="M5176" s="19">
        <f>IF(OR(ISBLANK(C5176),C5176=""),"",ROUND((C5176-B5176)*24,2))</f>
        <v>84.07</v>
      </c>
      <c r="N5176" s="35" t="str">
        <f>IF(OR(ISBLANK(C5176),C5176="",M5176=""),"In Progress",IF(M5176&lt;=J5176,"Met","Breached"))</f>
        <v>Met</v>
      </c>
    </row>
    <row r="5177" ht="19" customHeight="1" spans="1:14" x14ac:dyDescent="0.25">
      <c r="A5177" s="22" t="s">
        <v>5291</v>
      </c>
      <c r="B5177" s="36">
        <v>45796.43263888889</v>
      </c>
      <c r="D5177" s="22" t="s">
        <v>39</v>
      </c>
      <c r="E5177" s="22" t="s">
        <v>69</v>
      </c>
      <c r="F5177" s="22" t="s">
        <v>43</v>
      </c>
      <c r="G5177" s="22" t="s">
        <v>63</v>
      </c>
      <c r="H5177" s="22" t="s">
        <v>59</v>
      </c>
      <c r="I5177" s="22" t="s">
        <v>117</v>
      </c>
      <c r="J5177" s="23">
        <v>120</v>
      </c>
      <c r="K5177" s="37">
        <v>0</v>
      </c>
      <c r="M5177" s="22" t="str">
        <f>IF(OR(ISBLANK(C5177),C5177=""),"",ROUND((C5177-B5177)*24,2))</f>
        <v/>
      </c>
      <c r="N5177" s="22" t="str">
        <f>IF(OR(ISBLANK(C5177),C5177="",M5177=""),"In Progress",IF(M5177&lt;=J5177,"Met","Breached"))</f>
        <v>In Progress</v>
      </c>
    </row>
    <row r="5178" ht="19" customHeight="1" spans="1:14" x14ac:dyDescent="0.25">
      <c r="A5178" s="19" t="s">
        <v>5292</v>
      </c>
      <c r="B5178" s="33">
        <v>46082.132638888885</v>
      </c>
      <c r="D5178" s="19" t="s">
        <v>39</v>
      </c>
      <c r="E5178" s="19" t="s">
        <v>65</v>
      </c>
      <c r="F5178" s="19" t="s">
        <v>45</v>
      </c>
      <c r="G5178" s="19" t="s">
        <v>121</v>
      </c>
      <c r="H5178" s="19" t="s">
        <v>59</v>
      </c>
      <c r="I5178" s="19" t="s">
        <v>117</v>
      </c>
      <c r="J5178" s="20">
        <v>48</v>
      </c>
      <c r="K5178" s="34">
        <v>0</v>
      </c>
      <c r="M5178" s="19" t="str">
        <f>IF(OR(ISBLANK(C5178),C5178=""),"",ROUND((C5178-B5178)*24,2))</f>
        <v/>
      </c>
      <c r="N5178" s="19" t="str">
        <f>IF(OR(ISBLANK(C5178),C5178="",M5178=""),"In Progress",IF(M5178&lt;=J5178,"Met","Breached"))</f>
        <v>In Progress</v>
      </c>
    </row>
    <row r="5179" ht="19" customHeight="1" spans="1:14" x14ac:dyDescent="0.25">
      <c r="A5179" s="22" t="s">
        <v>5293</v>
      </c>
      <c r="B5179" s="36">
        <v>45968.32083333333</v>
      </c>
      <c r="D5179" s="22" t="s">
        <v>39</v>
      </c>
      <c r="E5179" s="22" t="s">
        <v>57</v>
      </c>
      <c r="F5179" s="22" t="s">
        <v>45</v>
      </c>
      <c r="G5179" s="22" t="s">
        <v>63</v>
      </c>
      <c r="H5179" s="22" t="s">
        <v>71</v>
      </c>
      <c r="I5179" s="22" t="s">
        <v>117</v>
      </c>
      <c r="J5179" s="23">
        <v>4</v>
      </c>
      <c r="K5179" s="37">
        <v>0</v>
      </c>
      <c r="M5179" s="22" t="str">
        <f>IF(OR(ISBLANK(C5179),C5179=""),"",ROUND((C5179-B5179)*24,2))</f>
        <v/>
      </c>
      <c r="N5179" s="22" t="str">
        <f>IF(OR(ISBLANK(C5179),C5179="",M5179=""),"In Progress",IF(M5179&lt;=J5179,"Met","Breached"))</f>
        <v>In Progress</v>
      </c>
    </row>
    <row r="5180" ht="19" customHeight="1" spans="1:14" x14ac:dyDescent="0.25">
      <c r="A5180" s="19" t="s">
        <v>5294</v>
      </c>
      <c r="B5180" s="33">
        <v>46122.711805555555</v>
      </c>
      <c r="D5180" s="19" t="s">
        <v>42</v>
      </c>
      <c r="E5180" s="19" t="s">
        <v>65</v>
      </c>
      <c r="F5180" s="19" t="s">
        <v>40</v>
      </c>
      <c r="G5180" s="19" t="s">
        <v>113</v>
      </c>
      <c r="H5180" s="19" t="s">
        <v>63</v>
      </c>
      <c r="I5180" s="19" t="s">
        <v>114</v>
      </c>
      <c r="J5180" s="20">
        <v>48</v>
      </c>
      <c r="K5180" s="34">
        <v>0</v>
      </c>
      <c r="M5180" s="19" t="str">
        <f>IF(OR(ISBLANK(C5180),C5180=""),"",ROUND((C5180-B5180)*24,2))</f>
        <v/>
      </c>
      <c r="N5180" s="19" t="str">
        <f>IF(OR(ISBLANK(C5180),C5180="",M5180=""),"In Progress",IF(M5180&lt;=J5180,"Met","Breached"))</f>
        <v>In Progress</v>
      </c>
    </row>
    <row r="5181" ht="19" customHeight="1" spans="1:14" x14ac:dyDescent="0.25">
      <c r="A5181" s="22" t="s">
        <v>5295</v>
      </c>
      <c r="B5181" s="36">
        <v>45958.24097222222</v>
      </c>
      <c r="C5181" s="36">
        <v>45967.038888888885</v>
      </c>
      <c r="D5181" s="22" t="s">
        <v>33</v>
      </c>
      <c r="E5181" s="22" t="s">
        <v>69</v>
      </c>
      <c r="F5181" s="22" t="s">
        <v>34</v>
      </c>
      <c r="G5181" s="22" t="s">
        <v>126</v>
      </c>
      <c r="H5181" s="22" t="s">
        <v>59</v>
      </c>
      <c r="I5181" s="22" t="s">
        <v>111</v>
      </c>
      <c r="J5181" s="23">
        <v>120</v>
      </c>
      <c r="K5181" s="37">
        <v>0</v>
      </c>
      <c r="L5181" s="37">
        <v>4</v>
      </c>
      <c r="M5181" s="22">
        <f>IF(OR(ISBLANK(C5181),C5181=""),"",ROUND((C5181-B5181)*24,2))</f>
        <v>211.15</v>
      </c>
      <c r="N5181" s="38" t="str">
        <f>IF(OR(ISBLANK(C5181),C5181="",M5181=""),"In Progress",IF(M5181&lt;=J5181,"Met","Breached"))</f>
        <v>Breached</v>
      </c>
    </row>
    <row r="5182" ht="19" customHeight="1" spans="1:14" x14ac:dyDescent="0.25">
      <c r="A5182" s="19" t="s">
        <v>5296</v>
      </c>
      <c r="B5182" s="33">
        <v>45697.18611111111</v>
      </c>
      <c r="C5182" s="33">
        <v>45700.195138888885</v>
      </c>
      <c r="D5182" s="19" t="s">
        <v>36</v>
      </c>
      <c r="E5182" s="19" t="s">
        <v>65</v>
      </c>
      <c r="F5182" s="19" t="s">
        <v>37</v>
      </c>
      <c r="G5182" s="19" t="s">
        <v>116</v>
      </c>
      <c r="H5182" s="19" t="s">
        <v>63</v>
      </c>
      <c r="I5182" s="19" t="s">
        <v>111</v>
      </c>
      <c r="J5182" s="20">
        <v>48</v>
      </c>
      <c r="K5182" s="34">
        <v>0</v>
      </c>
      <c r="L5182" s="34">
        <v>1</v>
      </c>
      <c r="M5182" s="19">
        <f>IF(OR(ISBLANK(C5182),C5182=""),"",ROUND((C5182-B5182)*24,2))</f>
        <v>72.22</v>
      </c>
      <c r="N5182" s="39" t="str">
        <f>IF(OR(ISBLANK(C5182),C5182="",M5182=""),"In Progress",IF(M5182&lt;=J5182,"Met","Breached"))</f>
        <v>Breached</v>
      </c>
    </row>
    <row r="5183" ht="19" customHeight="1" spans="1:14" x14ac:dyDescent="0.25">
      <c r="A5183" s="22" t="s">
        <v>5297</v>
      </c>
      <c r="B5183" s="36">
        <v>45686.79305555555</v>
      </c>
      <c r="D5183" s="22" t="s">
        <v>42</v>
      </c>
      <c r="E5183" s="22" t="s">
        <v>65</v>
      </c>
      <c r="F5183" s="22" t="s">
        <v>37</v>
      </c>
      <c r="G5183" s="22" t="s">
        <v>110</v>
      </c>
      <c r="H5183" s="22" t="s">
        <v>59</v>
      </c>
      <c r="I5183" s="22" t="s">
        <v>117</v>
      </c>
      <c r="J5183" s="23">
        <v>48</v>
      </c>
      <c r="K5183" s="37">
        <v>0</v>
      </c>
      <c r="M5183" s="22" t="str">
        <f>IF(OR(ISBLANK(C5183),C5183=""),"",ROUND((C5183-B5183)*24,2))</f>
        <v/>
      </c>
      <c r="N5183" s="22" t="str">
        <f>IF(OR(ISBLANK(C5183),C5183="",M5183=""),"In Progress",IF(M5183&lt;=J5183,"Met","Breached"))</f>
        <v>In Progress</v>
      </c>
    </row>
    <row r="5184" ht="19" customHeight="1" spans="1:14" x14ac:dyDescent="0.25">
      <c r="A5184" s="19" t="s">
        <v>5298</v>
      </c>
      <c r="B5184" s="33">
        <v>45898.04166666667</v>
      </c>
      <c r="C5184" s="33">
        <v>45899.3625</v>
      </c>
      <c r="D5184" s="19" t="s">
        <v>33</v>
      </c>
      <c r="E5184" s="19" t="s">
        <v>65</v>
      </c>
      <c r="F5184" s="19" t="s">
        <v>34</v>
      </c>
      <c r="G5184" s="19" t="s">
        <v>113</v>
      </c>
      <c r="H5184" s="19" t="s">
        <v>59</v>
      </c>
      <c r="I5184" s="19" t="s">
        <v>114</v>
      </c>
      <c r="J5184" s="20">
        <v>48</v>
      </c>
      <c r="K5184" s="34">
        <v>0</v>
      </c>
      <c r="L5184" s="34">
        <v>3</v>
      </c>
      <c r="M5184" s="19">
        <f>IF(OR(ISBLANK(C5184),C5184=""),"",ROUND((C5184-B5184)*24,2))</f>
        <v>31.7</v>
      </c>
      <c r="N5184" s="35" t="str">
        <f>IF(OR(ISBLANK(C5184),C5184="",M5184=""),"In Progress",IF(M5184&lt;=J5184,"Met","Breached"))</f>
        <v>Met</v>
      </c>
    </row>
    <row r="5185" ht="19" customHeight="1" spans="1:14" x14ac:dyDescent="0.25">
      <c r="A5185" s="22" t="s">
        <v>5299</v>
      </c>
      <c r="B5185" s="36">
        <v>45924.18125</v>
      </c>
      <c r="C5185" s="36">
        <v>45925.9125</v>
      </c>
      <c r="D5185" s="22" t="s">
        <v>33</v>
      </c>
      <c r="E5185" s="22" t="s">
        <v>65</v>
      </c>
      <c r="F5185" s="22" t="s">
        <v>34</v>
      </c>
      <c r="G5185" s="22" t="s">
        <v>116</v>
      </c>
      <c r="H5185" s="22" t="s">
        <v>59</v>
      </c>
      <c r="I5185" s="22" t="s">
        <v>108</v>
      </c>
      <c r="J5185" s="23">
        <v>48</v>
      </c>
      <c r="K5185" s="37">
        <v>0</v>
      </c>
      <c r="L5185" s="37">
        <v>3</v>
      </c>
      <c r="M5185" s="22">
        <f>IF(OR(ISBLANK(C5185),C5185=""),"",ROUND((C5185-B5185)*24,2))</f>
        <v>41.55</v>
      </c>
      <c r="N5185" s="40" t="str">
        <f>IF(OR(ISBLANK(C5185),C5185="",M5185=""),"In Progress",IF(M5185&lt;=J5185,"Met","Breached"))</f>
        <v>Met</v>
      </c>
    </row>
    <row r="5186" ht="19" customHeight="1" spans="1:14" x14ac:dyDescent="0.25">
      <c r="A5186" s="19" t="s">
        <v>5300</v>
      </c>
      <c r="B5186" s="33">
        <v>45830.304861111115</v>
      </c>
      <c r="C5186" s="33">
        <v>45834.60902777778</v>
      </c>
      <c r="D5186" s="19" t="s">
        <v>33</v>
      </c>
      <c r="E5186" s="19" t="s">
        <v>69</v>
      </c>
      <c r="F5186" s="19" t="s">
        <v>40</v>
      </c>
      <c r="G5186" s="19" t="s">
        <v>113</v>
      </c>
      <c r="H5186" s="19" t="s">
        <v>67</v>
      </c>
      <c r="I5186" s="19" t="s">
        <v>147</v>
      </c>
      <c r="J5186" s="20">
        <v>120</v>
      </c>
      <c r="K5186" s="34">
        <v>0</v>
      </c>
      <c r="L5186" s="34">
        <v>5</v>
      </c>
      <c r="M5186" s="19">
        <f>IF(OR(ISBLANK(C5186),C5186=""),"",ROUND((C5186-B5186)*24,2))</f>
        <v>103.3</v>
      </c>
      <c r="N5186" s="35" t="str">
        <f>IF(OR(ISBLANK(C5186),C5186="",M5186=""),"In Progress",IF(M5186&lt;=J5186,"Met","Breached"))</f>
        <v>Met</v>
      </c>
    </row>
    <row r="5187" ht="19" customHeight="1" spans="1:14" x14ac:dyDescent="0.25">
      <c r="A5187" s="22" t="s">
        <v>5301</v>
      </c>
      <c r="B5187" s="36">
        <v>46049.95347222222</v>
      </c>
      <c r="D5187" s="22" t="s">
        <v>39</v>
      </c>
      <c r="E5187" s="22" t="s">
        <v>69</v>
      </c>
      <c r="F5187" s="22" t="s">
        <v>43</v>
      </c>
      <c r="G5187" s="22" t="s">
        <v>63</v>
      </c>
      <c r="H5187" s="22" t="s">
        <v>71</v>
      </c>
      <c r="I5187" s="22" t="s">
        <v>117</v>
      </c>
      <c r="J5187" s="23">
        <v>120</v>
      </c>
      <c r="K5187" s="37">
        <v>0</v>
      </c>
      <c r="M5187" s="22" t="str">
        <f>IF(OR(ISBLANK(C5187),C5187=""),"",ROUND((C5187-B5187)*24,2))</f>
        <v/>
      </c>
      <c r="N5187" s="22" t="str">
        <f>IF(OR(ISBLANK(C5187),C5187="",M5187=""),"In Progress",IF(M5187&lt;=J5187,"Met","Breached"))</f>
        <v>In Progress</v>
      </c>
    </row>
    <row r="5188" ht="19" customHeight="1" spans="1:14" x14ac:dyDescent="0.25">
      <c r="A5188" s="19" t="s">
        <v>5302</v>
      </c>
      <c r="B5188" s="33">
        <v>45921.99444444444</v>
      </c>
      <c r="D5188" s="19" t="s">
        <v>42</v>
      </c>
      <c r="E5188" s="19" t="s">
        <v>61</v>
      </c>
      <c r="F5188" s="19" t="s">
        <v>45</v>
      </c>
      <c r="G5188" s="19" t="s">
        <v>121</v>
      </c>
      <c r="H5188" s="19" t="s">
        <v>71</v>
      </c>
      <c r="I5188" s="19" t="s">
        <v>123</v>
      </c>
      <c r="J5188" s="20">
        <v>12</v>
      </c>
      <c r="K5188" s="34">
        <v>0</v>
      </c>
      <c r="M5188" s="19" t="str">
        <f>IF(OR(ISBLANK(C5188),C5188=""),"",ROUND((C5188-B5188)*24,2))</f>
        <v/>
      </c>
      <c r="N5188" s="19" t="str">
        <f>IF(OR(ISBLANK(C5188),C5188="",M5188=""),"In Progress",IF(M5188&lt;=J5188,"Met","Breached"))</f>
        <v>In Progress</v>
      </c>
    </row>
    <row r="5189" ht="19" customHeight="1" spans="1:14" x14ac:dyDescent="0.25">
      <c r="A5189" s="22" t="s">
        <v>5303</v>
      </c>
      <c r="B5189" s="36">
        <v>46038.625</v>
      </c>
      <c r="D5189" s="22" t="s">
        <v>39</v>
      </c>
      <c r="E5189" s="22" t="s">
        <v>61</v>
      </c>
      <c r="F5189" s="22" t="s">
        <v>43</v>
      </c>
      <c r="G5189" s="22" t="s">
        <v>110</v>
      </c>
      <c r="H5189" s="22" t="s">
        <v>67</v>
      </c>
      <c r="I5189" s="22" t="s">
        <v>108</v>
      </c>
      <c r="J5189" s="23">
        <v>12</v>
      </c>
      <c r="K5189" s="37">
        <v>0</v>
      </c>
      <c r="M5189" s="22" t="str">
        <f>IF(OR(ISBLANK(C5189),C5189=""),"",ROUND((C5189-B5189)*24,2))</f>
        <v/>
      </c>
      <c r="N5189" s="22" t="str">
        <f>IF(OR(ISBLANK(C5189),C5189="",M5189=""),"In Progress",IF(M5189&lt;=J5189,"Met","Breached"))</f>
        <v>In Progress</v>
      </c>
    </row>
    <row r="5190" ht="19" customHeight="1" spans="1:14" x14ac:dyDescent="0.25">
      <c r="A5190" s="19" t="s">
        <v>5304</v>
      </c>
      <c r="B5190" s="33">
        <v>46146.1375</v>
      </c>
      <c r="D5190" s="19" t="s">
        <v>42</v>
      </c>
      <c r="E5190" s="19" t="s">
        <v>65</v>
      </c>
      <c r="F5190" s="19" t="s">
        <v>45</v>
      </c>
      <c r="G5190" s="19" t="s">
        <v>116</v>
      </c>
      <c r="H5190" s="19" t="s">
        <v>59</v>
      </c>
      <c r="I5190" s="19" t="s">
        <v>111</v>
      </c>
      <c r="J5190" s="20">
        <v>48</v>
      </c>
      <c r="K5190" s="34">
        <v>0</v>
      </c>
      <c r="M5190" s="19" t="str">
        <f>IF(OR(ISBLANK(C5190),C5190=""),"",ROUND((C5190-B5190)*24,2))</f>
        <v/>
      </c>
      <c r="N5190" s="19" t="str">
        <f>IF(OR(ISBLANK(C5190),C5190="",M5190=""),"In Progress",IF(M5190&lt;=J5190,"Met","Breached"))</f>
        <v>In Progress</v>
      </c>
    </row>
    <row r="5191" ht="19" customHeight="1" spans="1:14" x14ac:dyDescent="0.25">
      <c r="A5191" s="22" t="s">
        <v>5305</v>
      </c>
      <c r="B5191" s="36">
        <v>45749.28611111111</v>
      </c>
      <c r="D5191" s="22" t="s">
        <v>39</v>
      </c>
      <c r="E5191" s="22" t="s">
        <v>65</v>
      </c>
      <c r="F5191" s="22" t="s">
        <v>37</v>
      </c>
      <c r="G5191" s="22" t="s">
        <v>113</v>
      </c>
      <c r="H5191" s="22" t="s">
        <v>59</v>
      </c>
      <c r="I5191" s="22" t="s">
        <v>114</v>
      </c>
      <c r="J5191" s="23">
        <v>48</v>
      </c>
      <c r="K5191" s="37">
        <v>0</v>
      </c>
      <c r="M5191" s="22" t="str">
        <f>IF(OR(ISBLANK(C5191),C5191=""),"",ROUND((C5191-B5191)*24,2))</f>
        <v/>
      </c>
      <c r="N5191" s="22" t="str">
        <f>IF(OR(ISBLANK(C5191),C5191="",M5191=""),"In Progress",IF(M5191&lt;=J5191,"Met","Breached"))</f>
        <v>In Progress</v>
      </c>
    </row>
    <row r="5192" ht="19" customHeight="1" spans="1:14" x14ac:dyDescent="0.25">
      <c r="A5192" s="19" t="s">
        <v>5306</v>
      </c>
      <c r="B5192" s="33">
        <v>45836.84305555555</v>
      </c>
      <c r="C5192" s="33">
        <v>45843.87291666667</v>
      </c>
      <c r="D5192" s="19" t="s">
        <v>33</v>
      </c>
      <c r="E5192" s="19" t="s">
        <v>69</v>
      </c>
      <c r="F5192" s="19" t="s">
        <v>34</v>
      </c>
      <c r="G5192" s="19" t="s">
        <v>126</v>
      </c>
      <c r="H5192" s="19" t="s">
        <v>71</v>
      </c>
      <c r="I5192" s="19" t="s">
        <v>108</v>
      </c>
      <c r="J5192" s="20">
        <v>120</v>
      </c>
      <c r="K5192" s="34">
        <v>0</v>
      </c>
      <c r="L5192" s="34">
        <v>1</v>
      </c>
      <c r="M5192" s="19">
        <f>IF(OR(ISBLANK(C5192),C5192=""),"",ROUND((C5192-B5192)*24,2))</f>
        <v>168.72</v>
      </c>
      <c r="N5192" s="39" t="str">
        <f>IF(OR(ISBLANK(C5192),C5192="",M5192=""),"In Progress",IF(M5192&lt;=J5192,"Met","Breached"))</f>
        <v>Breached</v>
      </c>
    </row>
    <row r="5193" ht="19" customHeight="1" spans="1:14" x14ac:dyDescent="0.25">
      <c r="A5193" s="22" t="s">
        <v>5307</v>
      </c>
      <c r="B5193" s="36">
        <v>45871.836111111115</v>
      </c>
      <c r="C5193" s="36">
        <v>45875.086111111115</v>
      </c>
      <c r="D5193" s="22" t="s">
        <v>33</v>
      </c>
      <c r="E5193" s="22" t="s">
        <v>65</v>
      </c>
      <c r="F5193" s="22" t="s">
        <v>37</v>
      </c>
      <c r="G5193" s="22" t="s">
        <v>63</v>
      </c>
      <c r="H5193" s="22" t="s">
        <v>59</v>
      </c>
      <c r="I5193" s="22" t="s">
        <v>147</v>
      </c>
      <c r="J5193" s="23">
        <v>48</v>
      </c>
      <c r="K5193" s="37">
        <v>0</v>
      </c>
      <c r="L5193" s="37">
        <v>2</v>
      </c>
      <c r="M5193" s="22">
        <f>IF(OR(ISBLANK(C5193),C5193=""),"",ROUND((C5193-B5193)*24,2))</f>
        <v>78</v>
      </c>
      <c r="N5193" s="38" t="str">
        <f>IF(OR(ISBLANK(C5193),C5193="",M5193=""),"In Progress",IF(M5193&lt;=J5193,"Met","Breached"))</f>
        <v>Breached</v>
      </c>
    </row>
    <row r="5194" ht="19" customHeight="1" spans="1:14" x14ac:dyDescent="0.25">
      <c r="A5194" s="19" t="s">
        <v>5308</v>
      </c>
      <c r="B5194" s="33">
        <v>45879.43263888889</v>
      </c>
      <c r="D5194" s="19" t="s">
        <v>39</v>
      </c>
      <c r="E5194" s="19" t="s">
        <v>61</v>
      </c>
      <c r="F5194" s="19" t="s">
        <v>37</v>
      </c>
      <c r="G5194" s="19" t="s">
        <v>63</v>
      </c>
      <c r="H5194" s="19" t="s">
        <v>63</v>
      </c>
      <c r="I5194" s="19" t="s">
        <v>147</v>
      </c>
      <c r="J5194" s="20">
        <v>12</v>
      </c>
      <c r="K5194" s="34">
        <v>0</v>
      </c>
      <c r="M5194" s="19" t="str">
        <f>IF(OR(ISBLANK(C5194),C5194=""),"",ROUND((C5194-B5194)*24,2))</f>
        <v/>
      </c>
      <c r="N5194" s="19" t="str">
        <f>IF(OR(ISBLANK(C5194),C5194="",M5194=""),"In Progress",IF(M5194&lt;=J5194,"Met","Breached"))</f>
        <v>In Progress</v>
      </c>
    </row>
    <row r="5195" ht="19" customHeight="1" spans="1:14" x14ac:dyDescent="0.25">
      <c r="A5195" s="22" t="s">
        <v>5309</v>
      </c>
      <c r="B5195" s="36">
        <v>45847.009722222225</v>
      </c>
      <c r="C5195" s="36">
        <v>45850.26111111111</v>
      </c>
      <c r="D5195" s="22" t="s">
        <v>33</v>
      </c>
      <c r="E5195" s="22" t="s">
        <v>65</v>
      </c>
      <c r="F5195" s="22" t="s">
        <v>43</v>
      </c>
      <c r="G5195" s="22" t="s">
        <v>126</v>
      </c>
      <c r="H5195" s="22" t="s">
        <v>59</v>
      </c>
      <c r="I5195" s="22" t="s">
        <v>123</v>
      </c>
      <c r="J5195" s="23">
        <v>48</v>
      </c>
      <c r="K5195" s="37">
        <v>0</v>
      </c>
      <c r="L5195" s="37">
        <v>4</v>
      </c>
      <c r="M5195" s="22">
        <f>IF(OR(ISBLANK(C5195),C5195=""),"",ROUND((C5195-B5195)*24,2))</f>
        <v>78.03</v>
      </c>
      <c r="N5195" s="38" t="str">
        <f>IF(OR(ISBLANK(C5195),C5195="",M5195=""),"In Progress",IF(M5195&lt;=J5195,"Met","Breached"))</f>
        <v>Breached</v>
      </c>
    </row>
    <row r="5196" ht="19" customHeight="1" spans="1:14" x14ac:dyDescent="0.25">
      <c r="A5196" s="19" t="s">
        <v>5310</v>
      </c>
      <c r="B5196" s="33">
        <v>46087.59166666667</v>
      </c>
      <c r="C5196" s="33">
        <v>46088.06111111111</v>
      </c>
      <c r="D5196" s="19" t="s">
        <v>33</v>
      </c>
      <c r="E5196" s="19" t="s">
        <v>61</v>
      </c>
      <c r="F5196" s="19" t="s">
        <v>37</v>
      </c>
      <c r="G5196" s="19" t="s">
        <v>113</v>
      </c>
      <c r="H5196" s="19" t="s">
        <v>59</v>
      </c>
      <c r="I5196" s="19" t="s">
        <v>117</v>
      </c>
      <c r="J5196" s="20">
        <v>12</v>
      </c>
      <c r="K5196" s="34">
        <v>0</v>
      </c>
      <c r="L5196" s="34">
        <v>2</v>
      </c>
      <c r="M5196" s="19">
        <f>IF(OR(ISBLANK(C5196),C5196=""),"",ROUND((C5196-B5196)*24,2))</f>
        <v>11.27</v>
      </c>
      <c r="N5196" s="35" t="str">
        <f>IF(OR(ISBLANK(C5196),C5196="",M5196=""),"In Progress",IF(M5196&lt;=J5196,"Met","Breached"))</f>
        <v>Met</v>
      </c>
    </row>
    <row r="5197" ht="19" customHeight="1" spans="1:14" x14ac:dyDescent="0.25">
      <c r="A5197" s="22" t="s">
        <v>5311</v>
      </c>
      <c r="B5197" s="36">
        <v>46147.88680555555</v>
      </c>
      <c r="C5197" s="36">
        <v>46149.30208333333</v>
      </c>
      <c r="D5197" s="22" t="s">
        <v>33</v>
      </c>
      <c r="E5197" s="22" t="s">
        <v>65</v>
      </c>
      <c r="F5197" s="22" t="s">
        <v>37</v>
      </c>
      <c r="G5197" s="22" t="s">
        <v>113</v>
      </c>
      <c r="H5197" s="22" t="s">
        <v>63</v>
      </c>
      <c r="I5197" s="22" t="s">
        <v>108</v>
      </c>
      <c r="J5197" s="23">
        <v>48</v>
      </c>
      <c r="K5197" s="37">
        <v>0</v>
      </c>
      <c r="L5197" s="37">
        <v>4</v>
      </c>
      <c r="M5197" s="22">
        <f>IF(OR(ISBLANK(C5197),C5197=""),"",ROUND((C5197-B5197)*24,2))</f>
        <v>33.97</v>
      </c>
      <c r="N5197" s="40" t="str">
        <f>IF(OR(ISBLANK(C5197),C5197="",M5197=""),"In Progress",IF(M5197&lt;=J5197,"Met","Breached"))</f>
        <v>Met</v>
      </c>
    </row>
    <row r="5198" ht="19" customHeight="1" spans="1:14" x14ac:dyDescent="0.25">
      <c r="A5198" s="19" t="s">
        <v>5312</v>
      </c>
      <c r="B5198" s="33">
        <v>45708.33819444444</v>
      </c>
      <c r="C5198" s="33">
        <v>45714.04027777778</v>
      </c>
      <c r="D5198" s="19" t="s">
        <v>33</v>
      </c>
      <c r="E5198" s="19" t="s">
        <v>69</v>
      </c>
      <c r="F5198" s="19" t="s">
        <v>45</v>
      </c>
      <c r="G5198" s="19" t="s">
        <v>116</v>
      </c>
      <c r="H5198" s="19" t="s">
        <v>63</v>
      </c>
      <c r="I5198" s="19" t="s">
        <v>123</v>
      </c>
      <c r="J5198" s="20">
        <v>120</v>
      </c>
      <c r="K5198" s="34">
        <v>0</v>
      </c>
      <c r="L5198" s="34">
        <v>3</v>
      </c>
      <c r="M5198" s="19">
        <f>IF(OR(ISBLANK(C5198),C5198=""),"",ROUND((C5198-B5198)*24,2))</f>
        <v>136.85</v>
      </c>
      <c r="N5198" s="39" t="str">
        <f>IF(OR(ISBLANK(C5198),C5198="",M5198=""),"In Progress",IF(M5198&lt;=J5198,"Met","Breached"))</f>
        <v>Breached</v>
      </c>
    </row>
    <row r="5199" ht="19" customHeight="1" spans="1:14" x14ac:dyDescent="0.25">
      <c r="A5199" s="22" t="s">
        <v>5313</v>
      </c>
      <c r="B5199" s="36">
        <v>46118.37430555555</v>
      </c>
      <c r="C5199" s="36">
        <v>46120.66527777778</v>
      </c>
      <c r="D5199" s="22" t="s">
        <v>33</v>
      </c>
      <c r="E5199" s="22" t="s">
        <v>65</v>
      </c>
      <c r="F5199" s="22" t="s">
        <v>40</v>
      </c>
      <c r="G5199" s="22" t="s">
        <v>126</v>
      </c>
      <c r="H5199" s="22" t="s">
        <v>59</v>
      </c>
      <c r="I5199" s="22" t="s">
        <v>147</v>
      </c>
      <c r="J5199" s="23">
        <v>48</v>
      </c>
      <c r="K5199" s="37">
        <v>0</v>
      </c>
      <c r="L5199" s="37">
        <v>3</v>
      </c>
      <c r="M5199" s="22">
        <f>IF(OR(ISBLANK(C5199),C5199=""),"",ROUND((C5199-B5199)*24,2))</f>
        <v>54.98</v>
      </c>
      <c r="N5199" s="38" t="str">
        <f>IF(OR(ISBLANK(C5199),C5199="",M5199=""),"In Progress",IF(M5199&lt;=J5199,"Met","Breached"))</f>
        <v>Breached</v>
      </c>
    </row>
    <row r="5200" ht="19" customHeight="1" spans="1:14" x14ac:dyDescent="0.25">
      <c r="A5200" s="19" t="s">
        <v>5314</v>
      </c>
      <c r="B5200" s="33">
        <v>45821.711111111115</v>
      </c>
      <c r="C5200" s="33">
        <v>45825.788888888885</v>
      </c>
      <c r="D5200" s="19" t="s">
        <v>36</v>
      </c>
      <c r="E5200" s="19" t="s">
        <v>69</v>
      </c>
      <c r="F5200" s="19" t="s">
        <v>43</v>
      </c>
      <c r="G5200" s="19" t="s">
        <v>110</v>
      </c>
      <c r="H5200" s="19" t="s">
        <v>63</v>
      </c>
      <c r="I5200" s="19" t="s">
        <v>117</v>
      </c>
      <c r="J5200" s="20">
        <v>120</v>
      </c>
      <c r="K5200" s="34">
        <v>0</v>
      </c>
      <c r="L5200" s="34">
        <v>4</v>
      </c>
      <c r="M5200" s="19">
        <f>IF(OR(ISBLANK(C5200),C5200=""),"",ROUND((C5200-B5200)*24,2))</f>
        <v>97.87</v>
      </c>
      <c r="N5200" s="35" t="str">
        <f>IF(OR(ISBLANK(C5200),C5200="",M5200=""),"In Progress",IF(M5200&lt;=J5200,"Met","Breached"))</f>
        <v>Met</v>
      </c>
    </row>
    <row r="5201" ht="19" customHeight="1" spans="1:14" x14ac:dyDescent="0.25">
      <c r="A5201" s="22" t="s">
        <v>5315</v>
      </c>
      <c r="B5201" s="36">
        <v>45801.96597222222</v>
      </c>
      <c r="C5201" s="36">
        <v>45802.59722222222</v>
      </c>
      <c r="D5201" s="22" t="s">
        <v>36</v>
      </c>
      <c r="E5201" s="22" t="s">
        <v>61</v>
      </c>
      <c r="F5201" s="22" t="s">
        <v>40</v>
      </c>
      <c r="G5201" s="22" t="s">
        <v>63</v>
      </c>
      <c r="H5201" s="22" t="s">
        <v>59</v>
      </c>
      <c r="I5201" s="22" t="s">
        <v>147</v>
      </c>
      <c r="J5201" s="23">
        <v>12</v>
      </c>
      <c r="K5201" s="37">
        <v>0</v>
      </c>
      <c r="L5201" s="37">
        <v>2</v>
      </c>
      <c r="M5201" s="22">
        <f>IF(OR(ISBLANK(C5201),C5201=""),"",ROUND((C5201-B5201)*24,2))</f>
        <v>15.15</v>
      </c>
      <c r="N5201" s="38" t="str">
        <f>IF(OR(ISBLANK(C5201),C5201="",M5201=""),"In Progress",IF(M5201&lt;=J5201,"Met","Breached"))</f>
        <v>Breached</v>
      </c>
    </row>
    <row r="5202" ht="19" customHeight="1" spans="1:14" x14ac:dyDescent="0.25">
      <c r="A5202" s="19" t="s">
        <v>5316</v>
      </c>
      <c r="B5202" s="33">
        <v>45842.74166666667</v>
      </c>
      <c r="C5202" s="33">
        <v>45843.20277777778</v>
      </c>
      <c r="D5202" s="19" t="s">
        <v>33</v>
      </c>
      <c r="E5202" s="19" t="s">
        <v>61</v>
      </c>
      <c r="F5202" s="19" t="s">
        <v>37</v>
      </c>
      <c r="G5202" s="19" t="s">
        <v>121</v>
      </c>
      <c r="H5202" s="19" t="s">
        <v>59</v>
      </c>
      <c r="I5202" s="19" t="s">
        <v>114</v>
      </c>
      <c r="J5202" s="20">
        <v>12</v>
      </c>
      <c r="K5202" s="34">
        <v>0</v>
      </c>
      <c r="L5202" s="34">
        <v>2</v>
      </c>
      <c r="M5202" s="19">
        <f>IF(OR(ISBLANK(C5202),C5202=""),"",ROUND((C5202-B5202)*24,2))</f>
        <v>11.07</v>
      </c>
      <c r="N5202" s="35" t="str">
        <f>IF(OR(ISBLANK(C5202),C5202="",M5202=""),"In Progress",IF(M5202&lt;=J5202,"Met","Breached"))</f>
        <v>Met</v>
      </c>
    </row>
    <row r="5203" ht="19" customHeight="1" spans="1:14" x14ac:dyDescent="0.25">
      <c r="A5203" s="22" t="s">
        <v>5317</v>
      </c>
      <c r="B5203" s="36">
        <v>45902.743055555555</v>
      </c>
      <c r="C5203" s="36">
        <v>45910.11041666666</v>
      </c>
      <c r="D5203" s="22" t="s">
        <v>33</v>
      </c>
      <c r="E5203" s="22" t="s">
        <v>69</v>
      </c>
      <c r="F5203" s="22" t="s">
        <v>34</v>
      </c>
      <c r="G5203" s="22" t="s">
        <v>63</v>
      </c>
      <c r="H5203" s="22" t="s">
        <v>59</v>
      </c>
      <c r="I5203" s="22" t="s">
        <v>147</v>
      </c>
      <c r="J5203" s="23">
        <v>120</v>
      </c>
      <c r="K5203" s="37">
        <v>0</v>
      </c>
      <c r="M5203" s="22">
        <f>IF(OR(ISBLANK(C5203),C5203=""),"",ROUND((C5203-B5203)*24,2))</f>
        <v>176.82</v>
      </c>
      <c r="N5203" s="38" t="str">
        <f>IF(OR(ISBLANK(C5203),C5203="",M5203=""),"In Progress",IF(M5203&lt;=J5203,"Met","Breached"))</f>
        <v>Breached</v>
      </c>
    </row>
    <row r="5204" ht="19" customHeight="1" spans="1:14" x14ac:dyDescent="0.25">
      <c r="A5204" s="19" t="s">
        <v>5318</v>
      </c>
      <c r="B5204" s="33">
        <v>45874.84652777778</v>
      </c>
      <c r="C5204" s="33">
        <v>45875.85972222222</v>
      </c>
      <c r="D5204" s="19" t="s">
        <v>33</v>
      </c>
      <c r="E5204" s="19" t="s">
        <v>65</v>
      </c>
      <c r="F5204" s="19" t="s">
        <v>45</v>
      </c>
      <c r="G5204" s="19" t="s">
        <v>113</v>
      </c>
      <c r="H5204" s="19" t="s">
        <v>71</v>
      </c>
      <c r="I5204" s="19" t="s">
        <v>147</v>
      </c>
      <c r="J5204" s="20">
        <v>48</v>
      </c>
      <c r="K5204" s="34">
        <v>1</v>
      </c>
      <c r="M5204" s="19">
        <f>IF(OR(ISBLANK(C5204),C5204=""),"",ROUND((C5204-B5204)*24,2))</f>
        <v>24.32</v>
      </c>
      <c r="N5204" s="35" t="str">
        <f>IF(OR(ISBLANK(C5204),C5204="",M5204=""),"In Progress",IF(M5204&lt;=J5204,"Met","Breached"))</f>
        <v>Met</v>
      </c>
    </row>
    <row r="5205" ht="19" customHeight="1" spans="1:14" x14ac:dyDescent="0.25">
      <c r="A5205" s="22" t="s">
        <v>5319</v>
      </c>
      <c r="B5205" s="36">
        <v>46199.85833333334</v>
      </c>
      <c r="D5205" s="22" t="s">
        <v>39</v>
      </c>
      <c r="E5205" s="22" t="s">
        <v>65</v>
      </c>
      <c r="F5205" s="22" t="s">
        <v>37</v>
      </c>
      <c r="G5205" s="22" t="s">
        <v>63</v>
      </c>
      <c r="H5205" s="22" t="s">
        <v>71</v>
      </c>
      <c r="I5205" s="22" t="s">
        <v>111</v>
      </c>
      <c r="J5205" s="23">
        <v>48</v>
      </c>
      <c r="K5205" s="37">
        <v>0</v>
      </c>
      <c r="M5205" s="22" t="str">
        <f>IF(OR(ISBLANK(C5205),C5205=""),"",ROUND((C5205-B5205)*24,2))</f>
        <v/>
      </c>
      <c r="N5205" s="22" t="str">
        <f>IF(OR(ISBLANK(C5205),C5205="",M5205=""),"In Progress",IF(M5205&lt;=J5205,"Met","Breached"))</f>
        <v>In Progress</v>
      </c>
    </row>
    <row r="5206" ht="19" customHeight="1" spans="1:14" x14ac:dyDescent="0.25">
      <c r="A5206" s="19" t="s">
        <v>5320</v>
      </c>
      <c r="B5206" s="33">
        <v>45746.836805555555</v>
      </c>
      <c r="C5206" s="33">
        <v>45747.15347222222</v>
      </c>
      <c r="D5206" s="19" t="s">
        <v>36</v>
      </c>
      <c r="E5206" s="19" t="s">
        <v>61</v>
      </c>
      <c r="F5206" s="19" t="s">
        <v>40</v>
      </c>
      <c r="G5206" s="19" t="s">
        <v>126</v>
      </c>
      <c r="H5206" s="19" t="s">
        <v>67</v>
      </c>
      <c r="I5206" s="19" t="s">
        <v>147</v>
      </c>
      <c r="J5206" s="20">
        <v>12</v>
      </c>
      <c r="K5206" s="34">
        <v>0</v>
      </c>
      <c r="L5206" s="34">
        <v>1</v>
      </c>
      <c r="M5206" s="19">
        <f>IF(OR(ISBLANK(C5206),C5206=""),"",ROUND((C5206-B5206)*24,2))</f>
        <v>7.6</v>
      </c>
      <c r="N5206" s="35" t="str">
        <f>IF(OR(ISBLANK(C5206),C5206="",M5206=""),"In Progress",IF(M5206&lt;=J5206,"Met","Breached"))</f>
        <v>Met</v>
      </c>
    </row>
    <row r="5207" ht="19" customHeight="1" spans="1:14" x14ac:dyDescent="0.25">
      <c r="A5207" s="22" t="s">
        <v>5321</v>
      </c>
      <c r="B5207" s="36">
        <v>46222.867361111115</v>
      </c>
      <c r="C5207" s="36">
        <v>46226.18194444444</v>
      </c>
      <c r="D5207" s="22" t="s">
        <v>33</v>
      </c>
      <c r="E5207" s="22" t="s">
        <v>65</v>
      </c>
      <c r="F5207" s="22" t="s">
        <v>34</v>
      </c>
      <c r="G5207" s="22" t="s">
        <v>121</v>
      </c>
      <c r="H5207" s="22" t="s">
        <v>59</v>
      </c>
      <c r="I5207" s="22" t="s">
        <v>123</v>
      </c>
      <c r="J5207" s="23">
        <v>48</v>
      </c>
      <c r="K5207" s="37">
        <v>0</v>
      </c>
      <c r="L5207" s="37">
        <v>5</v>
      </c>
      <c r="M5207" s="22">
        <f>IF(OR(ISBLANK(C5207),C5207=""),"",ROUND((C5207-B5207)*24,2))</f>
        <v>79.55</v>
      </c>
      <c r="N5207" s="38" t="str">
        <f>IF(OR(ISBLANK(C5207),C5207="",M5207=""),"In Progress",IF(M5207&lt;=J5207,"Met","Breached"))</f>
        <v>Breached</v>
      </c>
    </row>
    <row r="5208" ht="19" customHeight="1" spans="1:14" x14ac:dyDescent="0.25">
      <c r="A5208" s="19" t="s">
        <v>5322</v>
      </c>
      <c r="B5208" s="33">
        <v>45747.930555555555</v>
      </c>
      <c r="D5208" s="19" t="s">
        <v>39</v>
      </c>
      <c r="E5208" s="19" t="s">
        <v>65</v>
      </c>
      <c r="F5208" s="19" t="s">
        <v>45</v>
      </c>
      <c r="G5208" s="19" t="s">
        <v>121</v>
      </c>
      <c r="H5208" s="19" t="s">
        <v>59</v>
      </c>
      <c r="I5208" s="19" t="s">
        <v>117</v>
      </c>
      <c r="J5208" s="20">
        <v>48</v>
      </c>
      <c r="K5208" s="34">
        <v>0</v>
      </c>
      <c r="M5208" s="19" t="str">
        <f>IF(OR(ISBLANK(C5208),C5208=""),"",ROUND((C5208-B5208)*24,2))</f>
        <v/>
      </c>
      <c r="N5208" s="19" t="str">
        <f>IF(OR(ISBLANK(C5208),C5208="",M5208=""),"In Progress",IF(M5208&lt;=J5208,"Met","Breached"))</f>
        <v>In Progress</v>
      </c>
    </row>
    <row r="5209" ht="19" customHeight="1" spans="1:14" x14ac:dyDescent="0.25">
      <c r="A5209" s="22" t="s">
        <v>5323</v>
      </c>
      <c r="B5209" s="36">
        <v>45800.10763888889</v>
      </c>
      <c r="C5209" s="36">
        <v>45808.700694444444</v>
      </c>
      <c r="D5209" s="22" t="s">
        <v>33</v>
      </c>
      <c r="E5209" s="22" t="s">
        <v>69</v>
      </c>
      <c r="F5209" s="22" t="s">
        <v>34</v>
      </c>
      <c r="G5209" s="22" t="s">
        <v>113</v>
      </c>
      <c r="H5209" s="22" t="s">
        <v>63</v>
      </c>
      <c r="I5209" s="22" t="s">
        <v>111</v>
      </c>
      <c r="J5209" s="23">
        <v>120</v>
      </c>
      <c r="K5209" s="37">
        <v>0</v>
      </c>
      <c r="L5209" s="37">
        <v>4</v>
      </c>
      <c r="M5209" s="22">
        <f>IF(OR(ISBLANK(C5209),C5209=""),"",ROUND((C5209-B5209)*24,2))</f>
        <v>206.23</v>
      </c>
      <c r="N5209" s="38" t="str">
        <f>IF(OR(ISBLANK(C5209),C5209="",M5209=""),"In Progress",IF(M5209&lt;=J5209,"Met","Breached"))</f>
        <v>Breached</v>
      </c>
    </row>
    <row r="5210" ht="19" customHeight="1" spans="1:14" x14ac:dyDescent="0.25">
      <c r="A5210" s="19" t="s">
        <v>5324</v>
      </c>
      <c r="B5210" s="33">
        <v>45911.60208333333</v>
      </c>
      <c r="C5210" s="33">
        <v>45920.18819444445</v>
      </c>
      <c r="D5210" s="19" t="s">
        <v>33</v>
      </c>
      <c r="E5210" s="19" t="s">
        <v>69</v>
      </c>
      <c r="F5210" s="19" t="s">
        <v>37</v>
      </c>
      <c r="G5210" s="19" t="s">
        <v>126</v>
      </c>
      <c r="H5210" s="19" t="s">
        <v>59</v>
      </c>
      <c r="I5210" s="19" t="s">
        <v>117</v>
      </c>
      <c r="J5210" s="20">
        <v>120</v>
      </c>
      <c r="K5210" s="34">
        <v>0</v>
      </c>
      <c r="L5210" s="34">
        <v>5</v>
      </c>
      <c r="M5210" s="19">
        <f>IF(OR(ISBLANK(C5210),C5210=""),"",ROUND((C5210-B5210)*24,2))</f>
        <v>206.07</v>
      </c>
      <c r="N5210" s="39" t="str">
        <f>IF(OR(ISBLANK(C5210),C5210="",M5210=""),"In Progress",IF(M5210&lt;=J5210,"Met","Breached"))</f>
        <v>Breached</v>
      </c>
    </row>
    <row r="5211" ht="19" customHeight="1" spans="1:14" x14ac:dyDescent="0.25">
      <c r="A5211" s="22" t="s">
        <v>5325</v>
      </c>
      <c r="B5211" s="36">
        <v>45939.20694444445</v>
      </c>
      <c r="C5211" s="36">
        <v>45942.32152777778</v>
      </c>
      <c r="D5211" s="22" t="s">
        <v>33</v>
      </c>
      <c r="E5211" s="22" t="s">
        <v>69</v>
      </c>
      <c r="F5211" s="22" t="s">
        <v>34</v>
      </c>
      <c r="G5211" s="22" t="s">
        <v>63</v>
      </c>
      <c r="H5211" s="22" t="s">
        <v>71</v>
      </c>
      <c r="I5211" s="22" t="s">
        <v>114</v>
      </c>
      <c r="J5211" s="23">
        <v>120</v>
      </c>
      <c r="K5211" s="37">
        <v>0</v>
      </c>
      <c r="L5211" s="37">
        <v>3</v>
      </c>
      <c r="M5211" s="22">
        <f>IF(OR(ISBLANK(C5211),C5211=""),"",ROUND((C5211-B5211)*24,2))</f>
        <v>74.75</v>
      </c>
      <c r="N5211" s="40" t="str">
        <f>IF(OR(ISBLANK(C5211),C5211="",M5211=""),"In Progress",IF(M5211&lt;=J5211,"Met","Breached"))</f>
        <v>Met</v>
      </c>
    </row>
    <row r="5212" ht="19" customHeight="1" spans="1:14" x14ac:dyDescent="0.25">
      <c r="A5212" s="19" t="s">
        <v>5326</v>
      </c>
      <c r="B5212" s="33">
        <v>46114.103472222225</v>
      </c>
      <c r="C5212" s="33">
        <v>46116.26666666666</v>
      </c>
      <c r="D5212" s="19" t="s">
        <v>33</v>
      </c>
      <c r="E5212" s="19" t="s">
        <v>65</v>
      </c>
      <c r="F5212" s="19" t="s">
        <v>37</v>
      </c>
      <c r="G5212" s="19" t="s">
        <v>121</v>
      </c>
      <c r="H5212" s="19" t="s">
        <v>59</v>
      </c>
      <c r="I5212" s="19" t="s">
        <v>114</v>
      </c>
      <c r="J5212" s="20">
        <v>48</v>
      </c>
      <c r="K5212" s="34">
        <v>0</v>
      </c>
      <c r="L5212" s="34">
        <v>3</v>
      </c>
      <c r="M5212" s="19">
        <f>IF(OR(ISBLANK(C5212),C5212=""),"",ROUND((C5212-B5212)*24,2))</f>
        <v>51.92</v>
      </c>
      <c r="N5212" s="39" t="str">
        <f>IF(OR(ISBLANK(C5212),C5212="",M5212=""),"In Progress",IF(M5212&lt;=J5212,"Met","Breached"))</f>
        <v>Breached</v>
      </c>
    </row>
    <row r="5213" ht="19" customHeight="1" spans="1:14" x14ac:dyDescent="0.25">
      <c r="A5213" s="22" t="s">
        <v>5327</v>
      </c>
      <c r="B5213" s="36">
        <v>46043.070138888885</v>
      </c>
      <c r="C5213" s="36">
        <v>46048.66458333333</v>
      </c>
      <c r="D5213" s="22" t="s">
        <v>36</v>
      </c>
      <c r="E5213" s="22" t="s">
        <v>69</v>
      </c>
      <c r="F5213" s="22" t="s">
        <v>40</v>
      </c>
      <c r="G5213" s="22" t="s">
        <v>110</v>
      </c>
      <c r="H5213" s="22" t="s">
        <v>67</v>
      </c>
      <c r="I5213" s="22" t="s">
        <v>108</v>
      </c>
      <c r="J5213" s="23">
        <v>120</v>
      </c>
      <c r="K5213" s="37">
        <v>0</v>
      </c>
      <c r="L5213" s="37">
        <v>1</v>
      </c>
      <c r="M5213" s="22">
        <f>IF(OR(ISBLANK(C5213),C5213=""),"",ROUND((C5213-B5213)*24,2))</f>
        <v>134.27</v>
      </c>
      <c r="N5213" s="38" t="str">
        <f>IF(OR(ISBLANK(C5213),C5213="",M5213=""),"In Progress",IF(M5213&lt;=J5213,"Met","Breached"))</f>
        <v>Breached</v>
      </c>
    </row>
    <row r="5214" ht="19" customHeight="1" spans="1:14" x14ac:dyDescent="0.25">
      <c r="A5214" s="19" t="s">
        <v>5328</v>
      </c>
      <c r="B5214" s="33">
        <v>46120.259722222225</v>
      </c>
      <c r="C5214" s="33">
        <v>46121.78680555556</v>
      </c>
      <c r="D5214" s="19" t="s">
        <v>33</v>
      </c>
      <c r="E5214" s="19" t="s">
        <v>65</v>
      </c>
      <c r="F5214" s="19" t="s">
        <v>34</v>
      </c>
      <c r="G5214" s="19" t="s">
        <v>121</v>
      </c>
      <c r="H5214" s="19" t="s">
        <v>59</v>
      </c>
      <c r="I5214" s="19" t="s">
        <v>111</v>
      </c>
      <c r="J5214" s="20">
        <v>48</v>
      </c>
      <c r="K5214" s="34">
        <v>0</v>
      </c>
      <c r="L5214" s="34">
        <v>4</v>
      </c>
      <c r="M5214" s="19">
        <f>IF(OR(ISBLANK(C5214),C5214=""),"",ROUND((C5214-B5214)*24,2))</f>
        <v>36.65</v>
      </c>
      <c r="N5214" s="35" t="str">
        <f>IF(OR(ISBLANK(C5214),C5214="",M5214=""),"In Progress",IF(M5214&lt;=J5214,"Met","Breached"))</f>
        <v>Met</v>
      </c>
    </row>
    <row r="5215" ht="19" customHeight="1" spans="1:14" x14ac:dyDescent="0.25">
      <c r="A5215" s="22" t="s">
        <v>5329</v>
      </c>
      <c r="B5215" s="36">
        <v>46081.5875</v>
      </c>
      <c r="C5215" s="36">
        <v>46084.33472222222</v>
      </c>
      <c r="D5215" s="22" t="s">
        <v>33</v>
      </c>
      <c r="E5215" s="22" t="s">
        <v>69</v>
      </c>
      <c r="F5215" s="22" t="s">
        <v>43</v>
      </c>
      <c r="G5215" s="22" t="s">
        <v>126</v>
      </c>
      <c r="H5215" s="22" t="s">
        <v>63</v>
      </c>
      <c r="I5215" s="22" t="s">
        <v>123</v>
      </c>
      <c r="J5215" s="23">
        <v>120</v>
      </c>
      <c r="K5215" s="37">
        <v>0</v>
      </c>
      <c r="M5215" s="22">
        <f>IF(OR(ISBLANK(C5215),C5215=""),"",ROUND((C5215-B5215)*24,2))</f>
        <v>65.93</v>
      </c>
      <c r="N5215" s="40" t="str">
        <f>IF(OR(ISBLANK(C5215),C5215="",M5215=""),"In Progress",IF(M5215&lt;=J5215,"Met","Breached"))</f>
        <v>Met</v>
      </c>
    </row>
    <row r="5216" ht="19" customHeight="1" spans="1:14" x14ac:dyDescent="0.25">
      <c r="A5216" s="19" t="s">
        <v>5330</v>
      </c>
      <c r="B5216" s="33">
        <v>45806.00138888889</v>
      </c>
      <c r="D5216" s="19" t="s">
        <v>42</v>
      </c>
      <c r="E5216" s="19" t="s">
        <v>57</v>
      </c>
      <c r="F5216" s="19" t="s">
        <v>40</v>
      </c>
      <c r="G5216" s="19" t="s">
        <v>110</v>
      </c>
      <c r="H5216" s="19" t="s">
        <v>59</v>
      </c>
      <c r="I5216" s="19" t="s">
        <v>114</v>
      </c>
      <c r="J5216" s="20">
        <v>4</v>
      </c>
      <c r="K5216" s="34">
        <v>0</v>
      </c>
      <c r="M5216" s="19" t="str">
        <f>IF(OR(ISBLANK(C5216),C5216=""),"",ROUND((C5216-B5216)*24,2))</f>
        <v/>
      </c>
      <c r="N5216" s="19" t="str">
        <f>IF(OR(ISBLANK(C5216),C5216="",M5216=""),"In Progress",IF(M5216&lt;=J5216,"Met","Breached"))</f>
        <v>In Progress</v>
      </c>
    </row>
    <row r="5217" ht="19" customHeight="1" spans="1:14" x14ac:dyDescent="0.25">
      <c r="A5217" s="22" t="s">
        <v>5331</v>
      </c>
      <c r="B5217" s="36">
        <v>45832.39166666666</v>
      </c>
      <c r="D5217" s="22" t="s">
        <v>39</v>
      </c>
      <c r="E5217" s="22" t="s">
        <v>65</v>
      </c>
      <c r="F5217" s="22" t="s">
        <v>37</v>
      </c>
      <c r="G5217" s="22" t="s">
        <v>116</v>
      </c>
      <c r="H5217" s="22" t="s">
        <v>59</v>
      </c>
      <c r="I5217" s="22" t="s">
        <v>117</v>
      </c>
      <c r="J5217" s="23">
        <v>48</v>
      </c>
      <c r="K5217" s="37">
        <v>0</v>
      </c>
      <c r="M5217" s="22" t="str">
        <f>IF(OR(ISBLANK(C5217),C5217=""),"",ROUND((C5217-B5217)*24,2))</f>
        <v/>
      </c>
      <c r="N5217" s="22" t="str">
        <f>IF(OR(ISBLANK(C5217),C5217="",M5217=""),"In Progress",IF(M5217&lt;=J5217,"Met","Breached"))</f>
        <v>In Progress</v>
      </c>
    </row>
    <row r="5218" ht="19" customHeight="1" spans="1:14" x14ac:dyDescent="0.25">
      <c r="A5218" s="19" t="s">
        <v>5332</v>
      </c>
      <c r="B5218" s="33">
        <v>45870.64027777778</v>
      </c>
      <c r="C5218" s="33">
        <v>45876.07430555555</v>
      </c>
      <c r="D5218" s="19" t="s">
        <v>33</v>
      </c>
      <c r="E5218" s="19" t="s">
        <v>69</v>
      </c>
      <c r="F5218" s="19" t="s">
        <v>40</v>
      </c>
      <c r="G5218" s="19" t="s">
        <v>110</v>
      </c>
      <c r="H5218" s="19" t="s">
        <v>59</v>
      </c>
      <c r="I5218" s="19" t="s">
        <v>147</v>
      </c>
      <c r="J5218" s="20">
        <v>120</v>
      </c>
      <c r="K5218" s="34">
        <v>0</v>
      </c>
      <c r="L5218" s="34">
        <v>3</v>
      </c>
      <c r="M5218" s="19">
        <f>IF(OR(ISBLANK(C5218),C5218=""),"",ROUND((C5218-B5218)*24,2))</f>
        <v>130.42</v>
      </c>
      <c r="N5218" s="39" t="str">
        <f>IF(OR(ISBLANK(C5218),C5218="",M5218=""),"In Progress",IF(M5218&lt;=J5218,"Met","Breached"))</f>
        <v>Breached</v>
      </c>
    </row>
    <row r="5219" ht="19" customHeight="1" spans="1:14" x14ac:dyDescent="0.25">
      <c r="A5219" s="22" t="s">
        <v>5333</v>
      </c>
      <c r="B5219" s="36">
        <v>45697.74444444444</v>
      </c>
      <c r="C5219" s="36">
        <v>45699.38958333334</v>
      </c>
      <c r="D5219" s="22" t="s">
        <v>33</v>
      </c>
      <c r="E5219" s="22" t="s">
        <v>65</v>
      </c>
      <c r="F5219" s="22" t="s">
        <v>40</v>
      </c>
      <c r="G5219" s="22" t="s">
        <v>121</v>
      </c>
      <c r="H5219" s="22" t="s">
        <v>59</v>
      </c>
      <c r="I5219" s="22" t="s">
        <v>123</v>
      </c>
      <c r="J5219" s="23">
        <v>48</v>
      </c>
      <c r="K5219" s="37">
        <v>0</v>
      </c>
      <c r="L5219" s="37">
        <v>5</v>
      </c>
      <c r="M5219" s="22">
        <f>IF(OR(ISBLANK(C5219),C5219=""),"",ROUND((C5219-B5219)*24,2))</f>
        <v>39.48</v>
      </c>
      <c r="N5219" s="40" t="str">
        <f>IF(OR(ISBLANK(C5219),C5219="",M5219=""),"In Progress",IF(M5219&lt;=J5219,"Met","Breached"))</f>
        <v>Met</v>
      </c>
    </row>
    <row r="5220" ht="19" customHeight="1" spans="1:14" x14ac:dyDescent="0.25">
      <c r="A5220" s="19" t="s">
        <v>5334</v>
      </c>
      <c r="B5220" s="33">
        <v>46283.43819444445</v>
      </c>
      <c r="D5220" s="19" t="s">
        <v>39</v>
      </c>
      <c r="E5220" s="19" t="s">
        <v>69</v>
      </c>
      <c r="F5220" s="19" t="s">
        <v>43</v>
      </c>
      <c r="G5220" s="19" t="s">
        <v>110</v>
      </c>
      <c r="H5220" s="19" t="s">
        <v>63</v>
      </c>
      <c r="I5220" s="19" t="s">
        <v>117</v>
      </c>
      <c r="J5220" s="20">
        <v>120</v>
      </c>
      <c r="K5220" s="34">
        <v>0</v>
      </c>
      <c r="M5220" s="19" t="str">
        <f>IF(OR(ISBLANK(C5220),C5220=""),"",ROUND((C5220-B5220)*24,2))</f>
        <v/>
      </c>
      <c r="N5220" s="19" t="str">
        <f>IF(OR(ISBLANK(C5220),C5220="",M5220=""),"In Progress",IF(M5220&lt;=J5220,"Met","Breached"))</f>
        <v>In Progress</v>
      </c>
    </row>
    <row r="5221" ht="19" customHeight="1" spans="1:14" x14ac:dyDescent="0.25">
      <c r="A5221" s="22" t="s">
        <v>5335</v>
      </c>
      <c r="B5221" s="36">
        <v>46227.20416666666</v>
      </c>
      <c r="C5221" s="36">
        <v>46227.47152777778</v>
      </c>
      <c r="D5221" s="22" t="s">
        <v>33</v>
      </c>
      <c r="E5221" s="22" t="s">
        <v>61</v>
      </c>
      <c r="F5221" s="22" t="s">
        <v>34</v>
      </c>
      <c r="G5221" s="22" t="s">
        <v>110</v>
      </c>
      <c r="H5221" s="22" t="s">
        <v>63</v>
      </c>
      <c r="I5221" s="22" t="s">
        <v>123</v>
      </c>
      <c r="J5221" s="23">
        <v>12</v>
      </c>
      <c r="K5221" s="37">
        <v>0</v>
      </c>
      <c r="M5221" s="22">
        <f>IF(OR(ISBLANK(C5221),C5221=""),"",ROUND((C5221-B5221)*24,2))</f>
        <v>6.42</v>
      </c>
      <c r="N5221" s="40" t="str">
        <f>IF(OR(ISBLANK(C5221),C5221="",M5221=""),"In Progress",IF(M5221&lt;=J5221,"Met","Breached"))</f>
        <v>Met</v>
      </c>
    </row>
    <row r="5222" ht="19" customHeight="1" spans="1:14" x14ac:dyDescent="0.25">
      <c r="A5222" s="19" t="s">
        <v>5336</v>
      </c>
      <c r="B5222" s="33">
        <v>45736.20416666666</v>
      </c>
      <c r="D5222" s="19" t="s">
        <v>39</v>
      </c>
      <c r="E5222" s="19" t="s">
        <v>65</v>
      </c>
      <c r="F5222" s="19" t="s">
        <v>43</v>
      </c>
      <c r="G5222" s="19" t="s">
        <v>110</v>
      </c>
      <c r="H5222" s="19" t="s">
        <v>59</v>
      </c>
      <c r="I5222" s="19" t="s">
        <v>108</v>
      </c>
      <c r="J5222" s="20">
        <v>48</v>
      </c>
      <c r="K5222" s="34">
        <v>0</v>
      </c>
      <c r="M5222" s="19" t="str">
        <f>IF(OR(ISBLANK(C5222),C5222=""),"",ROUND((C5222-B5222)*24,2))</f>
        <v/>
      </c>
      <c r="N5222" s="19" t="str">
        <f>IF(OR(ISBLANK(C5222),C5222="",M5222=""),"In Progress",IF(M5222&lt;=J5222,"Met","Breached"))</f>
        <v>In Progress</v>
      </c>
    </row>
    <row r="5223" ht="19" customHeight="1" spans="1:14" x14ac:dyDescent="0.25">
      <c r="A5223" s="22" t="s">
        <v>5337</v>
      </c>
      <c r="B5223" s="36">
        <v>46045.69930555555</v>
      </c>
      <c r="C5223" s="36">
        <v>46047.62222222222</v>
      </c>
      <c r="D5223" s="22" t="s">
        <v>33</v>
      </c>
      <c r="E5223" s="22" t="s">
        <v>69</v>
      </c>
      <c r="F5223" s="22" t="s">
        <v>45</v>
      </c>
      <c r="G5223" s="22" t="s">
        <v>126</v>
      </c>
      <c r="H5223" s="22" t="s">
        <v>63</v>
      </c>
      <c r="I5223" s="22" t="s">
        <v>108</v>
      </c>
      <c r="J5223" s="23">
        <v>120</v>
      </c>
      <c r="K5223" s="37">
        <v>0</v>
      </c>
      <c r="L5223" s="37">
        <v>5</v>
      </c>
      <c r="M5223" s="22">
        <f>IF(OR(ISBLANK(C5223),C5223=""),"",ROUND((C5223-B5223)*24,2))</f>
        <v>46.15</v>
      </c>
      <c r="N5223" s="40" t="str">
        <f>IF(OR(ISBLANK(C5223),C5223="",M5223=""),"In Progress",IF(M5223&lt;=J5223,"Met","Breached"))</f>
        <v>Met</v>
      </c>
    </row>
    <row r="5224" ht="19" customHeight="1" spans="1:14" x14ac:dyDescent="0.25">
      <c r="A5224" s="19" t="s">
        <v>5338</v>
      </c>
      <c r="B5224" s="33">
        <v>46074.64583333333</v>
      </c>
      <c r="C5224" s="33">
        <v>46078.01736111111</v>
      </c>
      <c r="D5224" s="19" t="s">
        <v>33</v>
      </c>
      <c r="E5224" s="19" t="s">
        <v>65</v>
      </c>
      <c r="F5224" s="19" t="s">
        <v>40</v>
      </c>
      <c r="G5224" s="19" t="s">
        <v>63</v>
      </c>
      <c r="H5224" s="19" t="s">
        <v>59</v>
      </c>
      <c r="I5224" s="19" t="s">
        <v>147</v>
      </c>
      <c r="J5224" s="20">
        <v>48</v>
      </c>
      <c r="K5224" s="34">
        <v>0</v>
      </c>
      <c r="L5224" s="34">
        <v>2</v>
      </c>
      <c r="M5224" s="19">
        <f>IF(OR(ISBLANK(C5224),C5224=""),"",ROUND((C5224-B5224)*24,2))</f>
        <v>80.92</v>
      </c>
      <c r="N5224" s="39" t="str">
        <f>IF(OR(ISBLANK(C5224),C5224="",M5224=""),"In Progress",IF(M5224&lt;=J5224,"Met","Breached"))</f>
        <v>Breached</v>
      </c>
    </row>
    <row r="5225" ht="19" customHeight="1" spans="1:14" x14ac:dyDescent="0.25">
      <c r="A5225" s="22" t="s">
        <v>5339</v>
      </c>
      <c r="B5225" s="36">
        <v>45720.146527777775</v>
      </c>
      <c r="C5225" s="36">
        <v>45720.88680555555</v>
      </c>
      <c r="D5225" s="22" t="s">
        <v>33</v>
      </c>
      <c r="E5225" s="22" t="s">
        <v>65</v>
      </c>
      <c r="F5225" s="22" t="s">
        <v>40</v>
      </c>
      <c r="G5225" s="22" t="s">
        <v>110</v>
      </c>
      <c r="H5225" s="22" t="s">
        <v>59</v>
      </c>
      <c r="I5225" s="22" t="s">
        <v>117</v>
      </c>
      <c r="J5225" s="23">
        <v>48</v>
      </c>
      <c r="K5225" s="37">
        <v>0</v>
      </c>
      <c r="L5225" s="37">
        <v>4</v>
      </c>
      <c r="M5225" s="22">
        <f>IF(OR(ISBLANK(C5225),C5225=""),"",ROUND((C5225-B5225)*24,2))</f>
        <v>17.77</v>
      </c>
      <c r="N5225" s="40" t="str">
        <f>IF(OR(ISBLANK(C5225),C5225="",M5225=""),"In Progress",IF(M5225&lt;=J5225,"Met","Breached"))</f>
        <v>Met</v>
      </c>
    </row>
    <row r="5226" ht="19" customHeight="1" spans="1:14" x14ac:dyDescent="0.25">
      <c r="A5226" s="19" t="s">
        <v>5340</v>
      </c>
      <c r="B5226" s="33">
        <v>45693.851388888885</v>
      </c>
      <c r="C5226" s="33">
        <v>45697.81458333333</v>
      </c>
      <c r="D5226" s="19" t="s">
        <v>33</v>
      </c>
      <c r="E5226" s="19" t="s">
        <v>69</v>
      </c>
      <c r="F5226" s="19" t="s">
        <v>37</v>
      </c>
      <c r="G5226" s="19" t="s">
        <v>110</v>
      </c>
      <c r="H5226" s="19" t="s">
        <v>59</v>
      </c>
      <c r="I5226" s="19" t="s">
        <v>117</v>
      </c>
      <c r="J5226" s="20">
        <v>120</v>
      </c>
      <c r="K5226" s="34">
        <v>0</v>
      </c>
      <c r="L5226" s="34">
        <v>1</v>
      </c>
      <c r="M5226" s="19">
        <f>IF(OR(ISBLANK(C5226),C5226=""),"",ROUND((C5226-B5226)*24,2))</f>
        <v>95.12</v>
      </c>
      <c r="N5226" s="35" t="str">
        <f>IF(OR(ISBLANK(C5226),C5226="",M5226=""),"In Progress",IF(M5226&lt;=J5226,"Met","Breached"))</f>
        <v>Met</v>
      </c>
    </row>
    <row r="5227" ht="19" customHeight="1" spans="1:14" x14ac:dyDescent="0.25">
      <c r="A5227" s="22" t="s">
        <v>5341</v>
      </c>
      <c r="B5227" s="36">
        <v>46225.320138888885</v>
      </c>
      <c r="D5227" s="22" t="s">
        <v>39</v>
      </c>
      <c r="E5227" s="22" t="s">
        <v>69</v>
      </c>
      <c r="F5227" s="22" t="s">
        <v>43</v>
      </c>
      <c r="G5227" s="22" t="s">
        <v>113</v>
      </c>
      <c r="H5227" s="22" t="s">
        <v>63</v>
      </c>
      <c r="I5227" s="22" t="s">
        <v>123</v>
      </c>
      <c r="J5227" s="23">
        <v>120</v>
      </c>
      <c r="K5227" s="37">
        <v>0</v>
      </c>
      <c r="M5227" s="22" t="str">
        <f>IF(OR(ISBLANK(C5227),C5227=""),"",ROUND((C5227-B5227)*24,2))</f>
        <v/>
      </c>
      <c r="N5227" s="22" t="str">
        <f>IF(OR(ISBLANK(C5227),C5227="",M5227=""),"In Progress",IF(M5227&lt;=J5227,"Met","Breached"))</f>
        <v>In Progress</v>
      </c>
    </row>
    <row r="5228" ht="19" customHeight="1" spans="1:14" x14ac:dyDescent="0.25">
      <c r="A5228" s="19" t="s">
        <v>5342</v>
      </c>
      <c r="B5228" s="33">
        <v>45912.66736111111</v>
      </c>
      <c r="C5228" s="33">
        <v>45915.96736111111</v>
      </c>
      <c r="D5228" s="19" t="s">
        <v>33</v>
      </c>
      <c r="E5228" s="19" t="s">
        <v>65</v>
      </c>
      <c r="F5228" s="19" t="s">
        <v>45</v>
      </c>
      <c r="G5228" s="19" t="s">
        <v>126</v>
      </c>
      <c r="H5228" s="19" t="s">
        <v>63</v>
      </c>
      <c r="I5228" s="19" t="s">
        <v>147</v>
      </c>
      <c r="J5228" s="20">
        <v>48</v>
      </c>
      <c r="K5228" s="34">
        <v>0</v>
      </c>
      <c r="L5228" s="34">
        <v>4</v>
      </c>
      <c r="M5228" s="19">
        <f>IF(OR(ISBLANK(C5228),C5228=""),"",ROUND((C5228-B5228)*24,2))</f>
        <v>79.2</v>
      </c>
      <c r="N5228" s="39" t="str">
        <f>IF(OR(ISBLANK(C5228),C5228="",M5228=""),"In Progress",IF(M5228&lt;=J5228,"Met","Breached"))</f>
        <v>Breached</v>
      </c>
    </row>
    <row r="5229" ht="19" customHeight="1" spans="1:14" x14ac:dyDescent="0.25">
      <c r="A5229" s="22" t="s">
        <v>5343</v>
      </c>
      <c r="B5229" s="36">
        <v>45864.29166666667</v>
      </c>
      <c r="C5229" s="36">
        <v>45865.14375</v>
      </c>
      <c r="D5229" s="22" t="s">
        <v>33</v>
      </c>
      <c r="E5229" s="22" t="s">
        <v>61</v>
      </c>
      <c r="F5229" s="22" t="s">
        <v>34</v>
      </c>
      <c r="G5229" s="22" t="s">
        <v>110</v>
      </c>
      <c r="H5229" s="22" t="s">
        <v>63</v>
      </c>
      <c r="I5229" s="22" t="s">
        <v>108</v>
      </c>
      <c r="J5229" s="23">
        <v>12</v>
      </c>
      <c r="K5229" s="37">
        <v>0</v>
      </c>
      <c r="L5229" s="37">
        <v>1</v>
      </c>
      <c r="M5229" s="22">
        <f>IF(OR(ISBLANK(C5229),C5229=""),"",ROUND((C5229-B5229)*24,2))</f>
        <v>20.45</v>
      </c>
      <c r="N5229" s="38" t="str">
        <f>IF(OR(ISBLANK(C5229),C5229="",M5229=""),"In Progress",IF(M5229&lt;=J5229,"Met","Breached"))</f>
        <v>Breached</v>
      </c>
    </row>
    <row r="5230" ht="19" customHeight="1" spans="1:14" x14ac:dyDescent="0.25">
      <c r="A5230" s="19" t="s">
        <v>5344</v>
      </c>
      <c r="B5230" s="33">
        <v>45929.25347222222</v>
      </c>
      <c r="C5230" s="33">
        <v>45929.67847222222</v>
      </c>
      <c r="D5230" s="19" t="s">
        <v>33</v>
      </c>
      <c r="E5230" s="19" t="s">
        <v>61</v>
      </c>
      <c r="F5230" s="19" t="s">
        <v>40</v>
      </c>
      <c r="G5230" s="19" t="s">
        <v>63</v>
      </c>
      <c r="H5230" s="19" t="s">
        <v>63</v>
      </c>
      <c r="I5230" s="19" t="s">
        <v>108</v>
      </c>
      <c r="J5230" s="20">
        <v>12</v>
      </c>
      <c r="K5230" s="34">
        <v>0</v>
      </c>
      <c r="L5230" s="34">
        <v>3</v>
      </c>
      <c r="M5230" s="19">
        <f>IF(OR(ISBLANK(C5230),C5230=""),"",ROUND((C5230-B5230)*24,2))</f>
        <v>10.2</v>
      </c>
      <c r="N5230" s="35" t="str">
        <f>IF(OR(ISBLANK(C5230),C5230="",M5230=""),"In Progress",IF(M5230&lt;=J5230,"Met","Breached"))</f>
        <v>Met</v>
      </c>
    </row>
    <row r="5231" ht="19" customHeight="1" spans="1:14" x14ac:dyDescent="0.25">
      <c r="A5231" s="22" t="s">
        <v>5345</v>
      </c>
      <c r="B5231" s="36">
        <v>45966.259722222225</v>
      </c>
      <c r="C5231" s="36">
        <v>45966.99097222222</v>
      </c>
      <c r="D5231" s="22" t="s">
        <v>36</v>
      </c>
      <c r="E5231" s="22" t="s">
        <v>61</v>
      </c>
      <c r="F5231" s="22" t="s">
        <v>45</v>
      </c>
      <c r="G5231" s="22" t="s">
        <v>63</v>
      </c>
      <c r="H5231" s="22" t="s">
        <v>63</v>
      </c>
      <c r="I5231" s="22" t="s">
        <v>111</v>
      </c>
      <c r="J5231" s="23">
        <v>12</v>
      </c>
      <c r="K5231" s="37">
        <v>0</v>
      </c>
      <c r="L5231" s="37">
        <v>5</v>
      </c>
      <c r="M5231" s="22">
        <f>IF(OR(ISBLANK(C5231),C5231=""),"",ROUND((C5231-B5231)*24,2))</f>
        <v>17.55</v>
      </c>
      <c r="N5231" s="38" t="str">
        <f>IF(OR(ISBLANK(C5231),C5231="",M5231=""),"In Progress",IF(M5231&lt;=J5231,"Met","Breached"))</f>
        <v>Breached</v>
      </c>
    </row>
    <row r="5232" ht="19" customHeight="1" spans="1:14" x14ac:dyDescent="0.25">
      <c r="A5232" s="19" t="s">
        <v>5346</v>
      </c>
      <c r="B5232" s="33">
        <v>45936.60902777778</v>
      </c>
      <c r="D5232" s="19" t="s">
        <v>42</v>
      </c>
      <c r="E5232" s="19" t="s">
        <v>57</v>
      </c>
      <c r="F5232" s="19" t="s">
        <v>45</v>
      </c>
      <c r="G5232" s="19" t="s">
        <v>110</v>
      </c>
      <c r="H5232" s="19" t="s">
        <v>63</v>
      </c>
      <c r="I5232" s="19" t="s">
        <v>111</v>
      </c>
      <c r="J5232" s="20">
        <v>4</v>
      </c>
      <c r="K5232" s="34">
        <v>0</v>
      </c>
      <c r="M5232" s="19" t="str">
        <f>IF(OR(ISBLANK(C5232),C5232=""),"",ROUND((C5232-B5232)*24,2))</f>
        <v/>
      </c>
      <c r="N5232" s="19" t="str">
        <f>IF(OR(ISBLANK(C5232),C5232="",M5232=""),"In Progress",IF(M5232&lt;=J5232,"Met","Breached"))</f>
        <v>In Progress</v>
      </c>
    </row>
    <row r="5233" ht="19" customHeight="1" spans="1:14" x14ac:dyDescent="0.25">
      <c r="A5233" s="22" t="s">
        <v>5347</v>
      </c>
      <c r="B5233" s="36">
        <v>45936.601388888885</v>
      </c>
      <c r="C5233" s="36">
        <v>45939.674305555556</v>
      </c>
      <c r="D5233" s="22" t="s">
        <v>33</v>
      </c>
      <c r="E5233" s="22" t="s">
        <v>65</v>
      </c>
      <c r="F5233" s="22" t="s">
        <v>34</v>
      </c>
      <c r="G5233" s="22" t="s">
        <v>63</v>
      </c>
      <c r="H5233" s="22" t="s">
        <v>71</v>
      </c>
      <c r="I5233" s="22" t="s">
        <v>114</v>
      </c>
      <c r="J5233" s="23">
        <v>48</v>
      </c>
      <c r="K5233" s="37">
        <v>0</v>
      </c>
      <c r="L5233" s="37">
        <v>1</v>
      </c>
      <c r="M5233" s="22">
        <f>IF(OR(ISBLANK(C5233),C5233=""),"",ROUND((C5233-B5233)*24,2))</f>
        <v>73.75</v>
      </c>
      <c r="N5233" s="38" t="str">
        <f>IF(OR(ISBLANK(C5233),C5233="",M5233=""),"In Progress",IF(M5233&lt;=J5233,"Met","Breached"))</f>
        <v>Breached</v>
      </c>
    </row>
    <row r="5234" ht="19" customHeight="1" spans="1:14" x14ac:dyDescent="0.25">
      <c r="A5234" s="19" t="s">
        <v>5348</v>
      </c>
      <c r="B5234" s="33">
        <v>46065.00625</v>
      </c>
      <c r="C5234" s="33">
        <v>46065.71805555555</v>
      </c>
      <c r="D5234" s="19" t="s">
        <v>33</v>
      </c>
      <c r="E5234" s="19" t="s">
        <v>61</v>
      </c>
      <c r="F5234" s="19" t="s">
        <v>45</v>
      </c>
      <c r="G5234" s="19" t="s">
        <v>121</v>
      </c>
      <c r="H5234" s="19" t="s">
        <v>59</v>
      </c>
      <c r="I5234" s="19" t="s">
        <v>111</v>
      </c>
      <c r="J5234" s="20">
        <v>12</v>
      </c>
      <c r="K5234" s="34">
        <v>1</v>
      </c>
      <c r="M5234" s="19">
        <f>IF(OR(ISBLANK(C5234),C5234=""),"",ROUND((C5234-B5234)*24,2))</f>
        <v>17.08</v>
      </c>
      <c r="N5234" s="39" t="str">
        <f>IF(OR(ISBLANK(C5234),C5234="",M5234=""),"In Progress",IF(M5234&lt;=J5234,"Met","Breached"))</f>
        <v>Breached</v>
      </c>
    </row>
    <row r="5235" ht="19" customHeight="1" spans="1:14" x14ac:dyDescent="0.25">
      <c r="A5235" s="22" t="s">
        <v>5349</v>
      </c>
      <c r="B5235" s="36">
        <v>45738.464583333334</v>
      </c>
      <c r="C5235" s="36">
        <v>45741.14236111111</v>
      </c>
      <c r="D5235" s="22" t="s">
        <v>33</v>
      </c>
      <c r="E5235" s="22" t="s">
        <v>65</v>
      </c>
      <c r="F5235" s="22" t="s">
        <v>34</v>
      </c>
      <c r="G5235" s="22" t="s">
        <v>126</v>
      </c>
      <c r="H5235" s="22" t="s">
        <v>67</v>
      </c>
      <c r="I5235" s="22" t="s">
        <v>123</v>
      </c>
      <c r="J5235" s="23">
        <v>48</v>
      </c>
      <c r="K5235" s="37">
        <v>0</v>
      </c>
      <c r="L5235" s="37">
        <v>3</v>
      </c>
      <c r="M5235" s="22">
        <f>IF(OR(ISBLANK(C5235),C5235=""),"",ROUND((C5235-B5235)*24,2))</f>
        <v>64.27</v>
      </c>
      <c r="N5235" s="38" t="str">
        <f>IF(OR(ISBLANK(C5235),C5235="",M5235=""),"In Progress",IF(M5235&lt;=J5235,"Met","Breached"))</f>
        <v>Breached</v>
      </c>
    </row>
    <row r="5236" ht="19" customHeight="1" spans="1:14" x14ac:dyDescent="0.25">
      <c r="A5236" s="19" t="s">
        <v>5350</v>
      </c>
      <c r="B5236" s="33">
        <v>45691.04652777778</v>
      </c>
      <c r="C5236" s="33">
        <v>45694.42222222222</v>
      </c>
      <c r="D5236" s="19" t="s">
        <v>36</v>
      </c>
      <c r="E5236" s="19" t="s">
        <v>65</v>
      </c>
      <c r="F5236" s="19" t="s">
        <v>45</v>
      </c>
      <c r="G5236" s="19" t="s">
        <v>116</v>
      </c>
      <c r="H5236" s="19" t="s">
        <v>63</v>
      </c>
      <c r="I5236" s="19" t="s">
        <v>114</v>
      </c>
      <c r="J5236" s="20">
        <v>48</v>
      </c>
      <c r="K5236" s="34">
        <v>0</v>
      </c>
      <c r="M5236" s="19">
        <f>IF(OR(ISBLANK(C5236),C5236=""),"",ROUND((C5236-B5236)*24,2))</f>
        <v>81.02</v>
      </c>
      <c r="N5236" s="39" t="str">
        <f>IF(OR(ISBLANK(C5236),C5236="",M5236=""),"In Progress",IF(M5236&lt;=J5236,"Met","Breached"))</f>
        <v>Breached</v>
      </c>
    </row>
    <row r="5237" ht="19" customHeight="1" spans="1:14" x14ac:dyDescent="0.25">
      <c r="A5237" s="22" t="s">
        <v>5351</v>
      </c>
      <c r="B5237" s="36">
        <v>45846.09375</v>
      </c>
      <c r="D5237" s="22" t="s">
        <v>39</v>
      </c>
      <c r="E5237" s="22" t="s">
        <v>69</v>
      </c>
      <c r="F5237" s="22" t="s">
        <v>37</v>
      </c>
      <c r="G5237" s="22" t="s">
        <v>110</v>
      </c>
      <c r="H5237" s="22" t="s">
        <v>63</v>
      </c>
      <c r="I5237" s="22" t="s">
        <v>111</v>
      </c>
      <c r="J5237" s="23">
        <v>120</v>
      </c>
      <c r="K5237" s="37">
        <v>0</v>
      </c>
      <c r="M5237" s="22" t="str">
        <f>IF(OR(ISBLANK(C5237),C5237=""),"",ROUND((C5237-B5237)*24,2))</f>
        <v/>
      </c>
      <c r="N5237" s="22" t="str">
        <f>IF(OR(ISBLANK(C5237),C5237="",M5237=""),"In Progress",IF(M5237&lt;=J5237,"Met","Breached"))</f>
        <v>In Progress</v>
      </c>
    </row>
    <row r="5238" ht="19" customHeight="1" spans="1:14" x14ac:dyDescent="0.25">
      <c r="A5238" s="19" t="s">
        <v>5352</v>
      </c>
      <c r="B5238" s="33">
        <v>45887.14583333333</v>
      </c>
      <c r="D5238" s="19" t="s">
        <v>39</v>
      </c>
      <c r="E5238" s="19" t="s">
        <v>65</v>
      </c>
      <c r="F5238" s="19" t="s">
        <v>37</v>
      </c>
      <c r="G5238" s="19" t="s">
        <v>113</v>
      </c>
      <c r="H5238" s="19" t="s">
        <v>71</v>
      </c>
      <c r="I5238" s="19" t="s">
        <v>147</v>
      </c>
      <c r="J5238" s="20">
        <v>48</v>
      </c>
      <c r="K5238" s="34">
        <v>0</v>
      </c>
      <c r="M5238" s="19" t="str">
        <f>IF(OR(ISBLANK(C5238),C5238=""),"",ROUND((C5238-B5238)*24,2))</f>
        <v/>
      </c>
      <c r="N5238" s="19" t="str">
        <f>IF(OR(ISBLANK(C5238),C5238="",M5238=""),"In Progress",IF(M5238&lt;=J5238,"Met","Breached"))</f>
        <v>In Progress</v>
      </c>
    </row>
    <row r="5239" ht="19" customHeight="1" spans="1:14" x14ac:dyDescent="0.25">
      <c r="A5239" s="22" t="s">
        <v>5353</v>
      </c>
      <c r="B5239" s="36">
        <v>46139.52222222222</v>
      </c>
      <c r="D5239" s="22" t="s">
        <v>42</v>
      </c>
      <c r="E5239" s="22" t="s">
        <v>69</v>
      </c>
      <c r="F5239" s="22" t="s">
        <v>43</v>
      </c>
      <c r="G5239" s="22" t="s">
        <v>126</v>
      </c>
      <c r="H5239" s="22" t="s">
        <v>59</v>
      </c>
      <c r="I5239" s="22" t="s">
        <v>123</v>
      </c>
      <c r="J5239" s="23">
        <v>120</v>
      </c>
      <c r="K5239" s="37">
        <v>0</v>
      </c>
      <c r="M5239" s="22" t="str">
        <f>IF(OR(ISBLANK(C5239),C5239=""),"",ROUND((C5239-B5239)*24,2))</f>
        <v/>
      </c>
      <c r="N5239" s="22" t="str">
        <f>IF(OR(ISBLANK(C5239),C5239="",M5239=""),"In Progress",IF(M5239&lt;=J5239,"Met","Breached"))</f>
        <v>In Progress</v>
      </c>
    </row>
    <row r="5240" ht="19" customHeight="1" spans="1:14" x14ac:dyDescent="0.25">
      <c r="A5240" s="19" t="s">
        <v>5354</v>
      </c>
      <c r="B5240" s="33">
        <v>46005.231944444444</v>
      </c>
      <c r="C5240" s="33">
        <v>46005.4375</v>
      </c>
      <c r="D5240" s="19" t="s">
        <v>36</v>
      </c>
      <c r="E5240" s="19" t="s">
        <v>57</v>
      </c>
      <c r="F5240" s="19" t="s">
        <v>40</v>
      </c>
      <c r="G5240" s="19" t="s">
        <v>116</v>
      </c>
      <c r="H5240" s="19" t="s">
        <v>59</v>
      </c>
      <c r="I5240" s="19" t="s">
        <v>117</v>
      </c>
      <c r="J5240" s="20">
        <v>4</v>
      </c>
      <c r="K5240" s="34">
        <v>0</v>
      </c>
      <c r="L5240" s="34">
        <v>3</v>
      </c>
      <c r="M5240" s="19">
        <f>IF(OR(ISBLANK(C5240),C5240=""),"",ROUND((C5240-B5240)*24,2))</f>
        <v>4.93</v>
      </c>
      <c r="N5240" s="39" t="str">
        <f>IF(OR(ISBLANK(C5240),C5240="",M5240=""),"In Progress",IF(M5240&lt;=J5240,"Met","Breached"))</f>
        <v>Breached</v>
      </c>
    </row>
    <row r="5241" ht="19" customHeight="1" spans="1:14" x14ac:dyDescent="0.25">
      <c r="A5241" s="22" t="s">
        <v>5355</v>
      </c>
      <c r="B5241" s="36">
        <v>45692.9125</v>
      </c>
      <c r="D5241" s="22" t="s">
        <v>39</v>
      </c>
      <c r="E5241" s="22" t="s">
        <v>61</v>
      </c>
      <c r="F5241" s="22" t="s">
        <v>34</v>
      </c>
      <c r="G5241" s="22" t="s">
        <v>63</v>
      </c>
      <c r="H5241" s="22" t="s">
        <v>59</v>
      </c>
      <c r="I5241" s="22" t="s">
        <v>114</v>
      </c>
      <c r="J5241" s="23">
        <v>12</v>
      </c>
      <c r="K5241" s="37">
        <v>0</v>
      </c>
      <c r="M5241" s="22" t="str">
        <f>IF(OR(ISBLANK(C5241),C5241=""),"",ROUND((C5241-B5241)*24,2))</f>
        <v/>
      </c>
      <c r="N5241" s="22" t="str">
        <f>IF(OR(ISBLANK(C5241),C5241="",M5241=""),"In Progress",IF(M5241&lt;=J5241,"Met","Breached"))</f>
        <v>In Progress</v>
      </c>
    </row>
    <row r="5242" ht="19" customHeight="1" spans="1:14" x14ac:dyDescent="0.25">
      <c r="A5242" s="19" t="s">
        <v>5356</v>
      </c>
      <c r="B5242" s="33">
        <v>45980.665972222225</v>
      </c>
      <c r="D5242" s="19" t="s">
        <v>39</v>
      </c>
      <c r="E5242" s="19" t="s">
        <v>61</v>
      </c>
      <c r="F5242" s="19" t="s">
        <v>37</v>
      </c>
      <c r="G5242" s="19" t="s">
        <v>126</v>
      </c>
      <c r="H5242" s="19" t="s">
        <v>71</v>
      </c>
      <c r="I5242" s="19" t="s">
        <v>123</v>
      </c>
      <c r="J5242" s="20">
        <v>12</v>
      </c>
      <c r="K5242" s="34">
        <v>0</v>
      </c>
      <c r="M5242" s="19" t="str">
        <f>IF(OR(ISBLANK(C5242),C5242=""),"",ROUND((C5242-B5242)*24,2))</f>
        <v/>
      </c>
      <c r="N5242" s="19" t="str">
        <f>IF(OR(ISBLANK(C5242),C5242="",M5242=""),"In Progress",IF(M5242&lt;=J5242,"Met","Breached"))</f>
        <v>In Progress</v>
      </c>
    </row>
    <row r="5243" ht="19" customHeight="1" spans="1:14" x14ac:dyDescent="0.25">
      <c r="A5243" s="22" t="s">
        <v>5357</v>
      </c>
      <c r="B5243" s="36">
        <v>46010.56805555556</v>
      </c>
      <c r="C5243" s="36">
        <v>46019.19583333333</v>
      </c>
      <c r="D5243" s="22" t="s">
        <v>33</v>
      </c>
      <c r="E5243" s="22" t="s">
        <v>69</v>
      </c>
      <c r="F5243" s="22" t="s">
        <v>45</v>
      </c>
      <c r="G5243" s="22" t="s">
        <v>116</v>
      </c>
      <c r="H5243" s="22" t="s">
        <v>67</v>
      </c>
      <c r="I5243" s="22" t="s">
        <v>114</v>
      </c>
      <c r="J5243" s="23">
        <v>120</v>
      </c>
      <c r="K5243" s="37">
        <v>0</v>
      </c>
      <c r="L5243" s="37">
        <v>5</v>
      </c>
      <c r="M5243" s="22">
        <f>IF(OR(ISBLANK(C5243),C5243=""),"",ROUND((C5243-B5243)*24,2))</f>
        <v>207.07</v>
      </c>
      <c r="N5243" s="38" t="str">
        <f>IF(OR(ISBLANK(C5243),C5243="",M5243=""),"In Progress",IF(M5243&lt;=J5243,"Met","Breached"))</f>
        <v>Breached</v>
      </c>
    </row>
    <row r="5244" ht="19" customHeight="1" spans="1:14" x14ac:dyDescent="0.25">
      <c r="A5244" s="19" t="s">
        <v>5358</v>
      </c>
      <c r="B5244" s="33">
        <v>46244.399305555555</v>
      </c>
      <c r="D5244" s="19" t="s">
        <v>39</v>
      </c>
      <c r="E5244" s="19" t="s">
        <v>61</v>
      </c>
      <c r="F5244" s="19" t="s">
        <v>37</v>
      </c>
      <c r="G5244" s="19" t="s">
        <v>113</v>
      </c>
      <c r="H5244" s="19" t="s">
        <v>63</v>
      </c>
      <c r="I5244" s="19" t="s">
        <v>114</v>
      </c>
      <c r="J5244" s="20">
        <v>12</v>
      </c>
      <c r="K5244" s="34">
        <v>0</v>
      </c>
      <c r="M5244" s="19" t="str">
        <f>IF(OR(ISBLANK(C5244),C5244=""),"",ROUND((C5244-B5244)*24,2))</f>
        <v/>
      </c>
      <c r="N5244" s="19" t="str">
        <f>IF(OR(ISBLANK(C5244),C5244="",M5244=""),"In Progress",IF(M5244&lt;=J5244,"Met","Breached"))</f>
        <v>In Progress</v>
      </c>
    </row>
    <row r="5245" ht="19" customHeight="1" spans="1:14" x14ac:dyDescent="0.25">
      <c r="A5245" s="22" t="s">
        <v>5359</v>
      </c>
      <c r="B5245" s="36">
        <v>46241.77083333333</v>
      </c>
      <c r="C5245" s="36">
        <v>46244.76666666666</v>
      </c>
      <c r="D5245" s="22" t="s">
        <v>36</v>
      </c>
      <c r="E5245" s="22" t="s">
        <v>65</v>
      </c>
      <c r="F5245" s="22" t="s">
        <v>43</v>
      </c>
      <c r="G5245" s="22" t="s">
        <v>116</v>
      </c>
      <c r="H5245" s="22" t="s">
        <v>67</v>
      </c>
      <c r="I5245" s="22" t="s">
        <v>147</v>
      </c>
      <c r="J5245" s="23">
        <v>48</v>
      </c>
      <c r="K5245" s="37">
        <v>0</v>
      </c>
      <c r="L5245" s="37">
        <v>5</v>
      </c>
      <c r="M5245" s="22">
        <f>IF(OR(ISBLANK(C5245),C5245=""),"",ROUND((C5245-B5245)*24,2))</f>
        <v>71.9</v>
      </c>
      <c r="N5245" s="38" t="str">
        <f>IF(OR(ISBLANK(C5245),C5245="",M5245=""),"In Progress",IF(M5245&lt;=J5245,"Met","Breached"))</f>
        <v>Breached</v>
      </c>
    </row>
    <row r="5246" ht="19" customHeight="1" spans="1:14" x14ac:dyDescent="0.25">
      <c r="A5246" s="19" t="s">
        <v>5360</v>
      </c>
      <c r="B5246" s="33">
        <v>45847.40625</v>
      </c>
      <c r="D5246" s="19" t="s">
        <v>42</v>
      </c>
      <c r="E5246" s="19" t="s">
        <v>65</v>
      </c>
      <c r="F5246" s="19" t="s">
        <v>37</v>
      </c>
      <c r="G5246" s="19" t="s">
        <v>116</v>
      </c>
      <c r="H5246" s="19" t="s">
        <v>59</v>
      </c>
      <c r="I5246" s="19" t="s">
        <v>147</v>
      </c>
      <c r="J5246" s="20">
        <v>48</v>
      </c>
      <c r="K5246" s="34">
        <v>0</v>
      </c>
      <c r="M5246" s="19" t="str">
        <f>IF(OR(ISBLANK(C5246),C5246=""),"",ROUND((C5246-B5246)*24,2))</f>
        <v/>
      </c>
      <c r="N5246" s="19" t="str">
        <f>IF(OR(ISBLANK(C5246),C5246="",M5246=""),"In Progress",IF(M5246&lt;=J5246,"Met","Breached"))</f>
        <v>In Progress</v>
      </c>
    </row>
    <row r="5247" ht="19" customHeight="1" spans="1:14" x14ac:dyDescent="0.25">
      <c r="A5247" s="22" t="s">
        <v>5361</v>
      </c>
      <c r="B5247" s="36">
        <v>45917.165972222225</v>
      </c>
      <c r="C5247" s="36">
        <v>45920.44930555555</v>
      </c>
      <c r="D5247" s="22" t="s">
        <v>36</v>
      </c>
      <c r="E5247" s="22" t="s">
        <v>65</v>
      </c>
      <c r="F5247" s="22" t="s">
        <v>40</v>
      </c>
      <c r="G5247" s="22" t="s">
        <v>121</v>
      </c>
      <c r="H5247" s="22" t="s">
        <v>67</v>
      </c>
      <c r="I5247" s="22" t="s">
        <v>147</v>
      </c>
      <c r="J5247" s="23">
        <v>48</v>
      </c>
      <c r="K5247" s="37">
        <v>0</v>
      </c>
      <c r="L5247" s="37">
        <v>2</v>
      </c>
      <c r="M5247" s="22">
        <f>IF(OR(ISBLANK(C5247),C5247=""),"",ROUND((C5247-B5247)*24,2))</f>
        <v>78.8</v>
      </c>
      <c r="N5247" s="38" t="str">
        <f>IF(OR(ISBLANK(C5247),C5247="",M5247=""),"In Progress",IF(M5247&lt;=J5247,"Met","Breached"))</f>
        <v>Breached</v>
      </c>
    </row>
    <row r="5248" ht="19" customHeight="1" spans="1:14" x14ac:dyDescent="0.25">
      <c r="A5248" s="19" t="s">
        <v>5362</v>
      </c>
      <c r="B5248" s="33">
        <v>45660.75902777778</v>
      </c>
      <c r="D5248" s="19" t="s">
        <v>42</v>
      </c>
      <c r="E5248" s="19" t="s">
        <v>65</v>
      </c>
      <c r="F5248" s="19" t="s">
        <v>45</v>
      </c>
      <c r="G5248" s="19" t="s">
        <v>110</v>
      </c>
      <c r="H5248" s="19" t="s">
        <v>59</v>
      </c>
      <c r="I5248" s="19" t="s">
        <v>108</v>
      </c>
      <c r="J5248" s="20">
        <v>48</v>
      </c>
      <c r="K5248" s="34">
        <v>0</v>
      </c>
      <c r="M5248" s="19" t="str">
        <f>IF(OR(ISBLANK(C5248),C5248=""),"",ROUND((C5248-B5248)*24,2))</f>
        <v/>
      </c>
      <c r="N5248" s="19" t="str">
        <f>IF(OR(ISBLANK(C5248),C5248="",M5248=""),"In Progress",IF(M5248&lt;=J5248,"Met","Breached"))</f>
        <v>In Progress</v>
      </c>
    </row>
    <row r="5249" ht="19" customHeight="1" spans="1:14" x14ac:dyDescent="0.25">
      <c r="A5249" s="22" t="s">
        <v>5363</v>
      </c>
      <c r="B5249" s="36">
        <v>46240.32638888889</v>
      </c>
      <c r="D5249" s="22" t="s">
        <v>39</v>
      </c>
      <c r="E5249" s="22" t="s">
        <v>61</v>
      </c>
      <c r="F5249" s="22" t="s">
        <v>45</v>
      </c>
      <c r="G5249" s="22" t="s">
        <v>63</v>
      </c>
      <c r="H5249" s="22" t="s">
        <v>59</v>
      </c>
      <c r="I5249" s="22" t="s">
        <v>111</v>
      </c>
      <c r="J5249" s="23">
        <v>12</v>
      </c>
      <c r="K5249" s="37">
        <v>0</v>
      </c>
      <c r="M5249" s="22" t="str">
        <f>IF(OR(ISBLANK(C5249),C5249=""),"",ROUND((C5249-B5249)*24,2))</f>
        <v/>
      </c>
      <c r="N5249" s="22" t="str">
        <f>IF(OR(ISBLANK(C5249),C5249="",M5249=""),"In Progress",IF(M5249&lt;=J5249,"Met","Breached"))</f>
        <v>In Progress</v>
      </c>
    </row>
    <row r="5250" ht="19" customHeight="1" spans="1:14" x14ac:dyDescent="0.25">
      <c r="A5250" s="19" t="s">
        <v>5364</v>
      </c>
      <c r="B5250" s="33">
        <v>46136.09027777778</v>
      </c>
      <c r="D5250" s="19" t="s">
        <v>42</v>
      </c>
      <c r="E5250" s="19" t="s">
        <v>65</v>
      </c>
      <c r="F5250" s="19" t="s">
        <v>45</v>
      </c>
      <c r="G5250" s="19" t="s">
        <v>126</v>
      </c>
      <c r="H5250" s="19" t="s">
        <v>63</v>
      </c>
      <c r="I5250" s="19" t="s">
        <v>123</v>
      </c>
      <c r="J5250" s="20">
        <v>48</v>
      </c>
      <c r="K5250" s="34">
        <v>0</v>
      </c>
      <c r="M5250" s="19" t="str">
        <f>IF(OR(ISBLANK(C5250),C5250=""),"",ROUND((C5250-B5250)*24,2))</f>
        <v/>
      </c>
      <c r="N5250" s="19" t="str">
        <f>IF(OR(ISBLANK(C5250),C5250="",M5250=""),"In Progress",IF(M5250&lt;=J5250,"Met","Breached"))</f>
        <v>In Progress</v>
      </c>
    </row>
    <row r="5251" ht="19" customHeight="1" spans="1:14" x14ac:dyDescent="0.25">
      <c r="A5251" s="22" t="s">
        <v>5365</v>
      </c>
      <c r="B5251" s="36">
        <v>45905.53680555556</v>
      </c>
      <c r="C5251" s="36">
        <v>45914.38541666667</v>
      </c>
      <c r="D5251" s="22" t="s">
        <v>33</v>
      </c>
      <c r="E5251" s="22" t="s">
        <v>69</v>
      </c>
      <c r="F5251" s="22" t="s">
        <v>43</v>
      </c>
      <c r="G5251" s="22" t="s">
        <v>121</v>
      </c>
      <c r="H5251" s="22" t="s">
        <v>59</v>
      </c>
      <c r="I5251" s="22" t="s">
        <v>117</v>
      </c>
      <c r="J5251" s="23">
        <v>120</v>
      </c>
      <c r="K5251" s="37">
        <v>0</v>
      </c>
      <c r="L5251" s="37">
        <v>1</v>
      </c>
      <c r="M5251" s="22">
        <f>IF(OR(ISBLANK(C5251),C5251=""),"",ROUND((C5251-B5251)*24,2))</f>
        <v>212.37</v>
      </c>
      <c r="N5251" s="38" t="str">
        <f>IF(OR(ISBLANK(C5251),C5251="",M5251=""),"In Progress",IF(M5251&lt;=J5251,"Met","Breached"))</f>
        <v>Breached</v>
      </c>
    </row>
    <row r="5252" ht="19" customHeight="1" spans="1:14" x14ac:dyDescent="0.25">
      <c r="A5252" s="19" t="s">
        <v>5366</v>
      </c>
      <c r="B5252" s="33">
        <v>45781.46041666667</v>
      </c>
      <c r="C5252" s="33">
        <v>45786.6</v>
      </c>
      <c r="D5252" s="19" t="s">
        <v>33</v>
      </c>
      <c r="E5252" s="19" t="s">
        <v>69</v>
      </c>
      <c r="F5252" s="19" t="s">
        <v>34</v>
      </c>
      <c r="G5252" s="19" t="s">
        <v>113</v>
      </c>
      <c r="H5252" s="19" t="s">
        <v>59</v>
      </c>
      <c r="I5252" s="19" t="s">
        <v>123</v>
      </c>
      <c r="J5252" s="20">
        <v>120</v>
      </c>
      <c r="K5252" s="34">
        <v>0</v>
      </c>
      <c r="L5252" s="34">
        <v>1</v>
      </c>
      <c r="M5252" s="19">
        <f>IF(OR(ISBLANK(C5252),C5252=""),"",ROUND((C5252-B5252)*24,2))</f>
        <v>123.35</v>
      </c>
      <c r="N5252" s="39" t="str">
        <f>IF(OR(ISBLANK(C5252),C5252="",M5252=""),"In Progress",IF(M5252&lt;=J5252,"Met","Breached"))</f>
        <v>Breached</v>
      </c>
    </row>
    <row r="5253" ht="19" customHeight="1" spans="1:14" x14ac:dyDescent="0.25">
      <c r="A5253" s="22" t="s">
        <v>5367</v>
      </c>
      <c r="B5253" s="36">
        <v>45820.93680555555</v>
      </c>
      <c r="C5253" s="36">
        <v>45822.33472222222</v>
      </c>
      <c r="D5253" s="22" t="s">
        <v>33</v>
      </c>
      <c r="E5253" s="22" t="s">
        <v>65</v>
      </c>
      <c r="F5253" s="22" t="s">
        <v>43</v>
      </c>
      <c r="G5253" s="22" t="s">
        <v>63</v>
      </c>
      <c r="H5253" s="22" t="s">
        <v>71</v>
      </c>
      <c r="I5253" s="22" t="s">
        <v>111</v>
      </c>
      <c r="J5253" s="23">
        <v>48</v>
      </c>
      <c r="K5253" s="37">
        <v>0</v>
      </c>
      <c r="L5253" s="37">
        <v>1</v>
      </c>
      <c r="M5253" s="22">
        <f>IF(OR(ISBLANK(C5253),C5253=""),"",ROUND((C5253-B5253)*24,2))</f>
        <v>33.55</v>
      </c>
      <c r="N5253" s="40" t="str">
        <f>IF(OR(ISBLANK(C5253),C5253="",M5253=""),"In Progress",IF(M5253&lt;=J5253,"Met","Breached"))</f>
        <v>Met</v>
      </c>
    </row>
    <row r="5254" ht="19" customHeight="1" spans="1:14" x14ac:dyDescent="0.25">
      <c r="A5254" s="19" t="s">
        <v>5368</v>
      </c>
      <c r="B5254" s="33">
        <v>45760.71736111111</v>
      </c>
      <c r="D5254" s="19" t="s">
        <v>42</v>
      </c>
      <c r="E5254" s="19" t="s">
        <v>61</v>
      </c>
      <c r="F5254" s="19" t="s">
        <v>37</v>
      </c>
      <c r="G5254" s="19" t="s">
        <v>63</v>
      </c>
      <c r="H5254" s="19" t="s">
        <v>59</v>
      </c>
      <c r="I5254" s="19" t="s">
        <v>111</v>
      </c>
      <c r="J5254" s="20">
        <v>12</v>
      </c>
      <c r="K5254" s="34">
        <v>0</v>
      </c>
      <c r="M5254" s="19" t="str">
        <f>IF(OR(ISBLANK(C5254),C5254=""),"",ROUND((C5254-B5254)*24,2))</f>
        <v/>
      </c>
      <c r="N5254" s="19" t="str">
        <f>IF(OR(ISBLANK(C5254),C5254="",M5254=""),"In Progress",IF(M5254&lt;=J5254,"Met","Breached"))</f>
        <v>In Progress</v>
      </c>
    </row>
    <row r="5255" ht="19" customHeight="1" spans="1:14" x14ac:dyDescent="0.25">
      <c r="A5255" s="22" t="s">
        <v>5369</v>
      </c>
      <c r="B5255" s="36">
        <v>45789.91875</v>
      </c>
      <c r="C5255" s="36">
        <v>45792.20833333333</v>
      </c>
      <c r="D5255" s="22" t="s">
        <v>36</v>
      </c>
      <c r="E5255" s="22" t="s">
        <v>65</v>
      </c>
      <c r="F5255" s="22" t="s">
        <v>37</v>
      </c>
      <c r="G5255" s="22" t="s">
        <v>116</v>
      </c>
      <c r="H5255" s="22" t="s">
        <v>67</v>
      </c>
      <c r="I5255" s="22" t="s">
        <v>114</v>
      </c>
      <c r="J5255" s="23">
        <v>48</v>
      </c>
      <c r="K5255" s="37">
        <v>0</v>
      </c>
      <c r="L5255" s="37">
        <v>2</v>
      </c>
      <c r="M5255" s="22">
        <f>IF(OR(ISBLANK(C5255),C5255=""),"",ROUND((C5255-B5255)*24,2))</f>
        <v>54.95</v>
      </c>
      <c r="N5255" s="38" t="str">
        <f>IF(OR(ISBLANK(C5255),C5255="",M5255=""),"In Progress",IF(M5255&lt;=J5255,"Met","Breached"))</f>
        <v>Breached</v>
      </c>
    </row>
    <row r="5256" ht="19" customHeight="1" spans="1:14" x14ac:dyDescent="0.25">
      <c r="A5256" s="19" t="s">
        <v>5370</v>
      </c>
      <c r="B5256" s="33">
        <v>46059.04375</v>
      </c>
      <c r="C5256" s="33">
        <v>46059.68402777778</v>
      </c>
      <c r="D5256" s="19" t="s">
        <v>33</v>
      </c>
      <c r="E5256" s="19" t="s">
        <v>61</v>
      </c>
      <c r="F5256" s="19" t="s">
        <v>43</v>
      </c>
      <c r="G5256" s="19" t="s">
        <v>116</v>
      </c>
      <c r="H5256" s="19" t="s">
        <v>67</v>
      </c>
      <c r="I5256" s="19" t="s">
        <v>111</v>
      </c>
      <c r="J5256" s="20">
        <v>12</v>
      </c>
      <c r="K5256" s="34">
        <v>0</v>
      </c>
      <c r="L5256" s="34">
        <v>5</v>
      </c>
      <c r="M5256" s="19">
        <f>IF(OR(ISBLANK(C5256),C5256=""),"",ROUND((C5256-B5256)*24,2))</f>
        <v>15.37</v>
      </c>
      <c r="N5256" s="39" t="str">
        <f>IF(OR(ISBLANK(C5256),C5256="",M5256=""),"In Progress",IF(M5256&lt;=J5256,"Met","Breached"))</f>
        <v>Breached</v>
      </c>
    </row>
    <row r="5257" ht="19" customHeight="1" spans="1:14" x14ac:dyDescent="0.25">
      <c r="A5257" s="22" t="s">
        <v>5371</v>
      </c>
      <c r="B5257" s="36">
        <v>45764.42361111111</v>
      </c>
      <c r="C5257" s="36">
        <v>45764.53263888889</v>
      </c>
      <c r="D5257" s="22" t="s">
        <v>33</v>
      </c>
      <c r="E5257" s="22" t="s">
        <v>57</v>
      </c>
      <c r="F5257" s="22" t="s">
        <v>43</v>
      </c>
      <c r="G5257" s="22" t="s">
        <v>110</v>
      </c>
      <c r="H5257" s="22" t="s">
        <v>67</v>
      </c>
      <c r="I5257" s="22" t="s">
        <v>117</v>
      </c>
      <c r="J5257" s="23">
        <v>4</v>
      </c>
      <c r="K5257" s="37">
        <v>1</v>
      </c>
      <c r="L5257" s="37">
        <v>1</v>
      </c>
      <c r="M5257" s="22">
        <f>IF(OR(ISBLANK(C5257),C5257=""),"",ROUND((C5257-B5257)*24,2))</f>
        <v>2.62</v>
      </c>
      <c r="N5257" s="40" t="str">
        <f>IF(OR(ISBLANK(C5257),C5257="",M5257=""),"In Progress",IF(M5257&lt;=J5257,"Met","Breached"))</f>
        <v>Met</v>
      </c>
    </row>
    <row r="5258" ht="19" customHeight="1" spans="1:14" x14ac:dyDescent="0.25">
      <c r="A5258" s="19" t="s">
        <v>5372</v>
      </c>
      <c r="B5258" s="33">
        <v>45815.820138888885</v>
      </c>
      <c r="C5258" s="33">
        <v>45822.1125</v>
      </c>
      <c r="D5258" s="19" t="s">
        <v>33</v>
      </c>
      <c r="E5258" s="19" t="s">
        <v>69</v>
      </c>
      <c r="F5258" s="19" t="s">
        <v>40</v>
      </c>
      <c r="G5258" s="19" t="s">
        <v>110</v>
      </c>
      <c r="H5258" s="19" t="s">
        <v>59</v>
      </c>
      <c r="I5258" s="19" t="s">
        <v>117</v>
      </c>
      <c r="J5258" s="20">
        <v>120</v>
      </c>
      <c r="K5258" s="34">
        <v>0</v>
      </c>
      <c r="L5258" s="34">
        <v>1</v>
      </c>
      <c r="M5258" s="19">
        <f>IF(OR(ISBLANK(C5258),C5258=""),"",ROUND((C5258-B5258)*24,2))</f>
        <v>151.02</v>
      </c>
      <c r="N5258" s="39" t="str">
        <f>IF(OR(ISBLANK(C5258),C5258="",M5258=""),"In Progress",IF(M5258&lt;=J5258,"Met","Breached"))</f>
        <v>Breached</v>
      </c>
    </row>
    <row r="5259" ht="19" customHeight="1" spans="1:14" x14ac:dyDescent="0.25">
      <c r="A5259" s="22" t="s">
        <v>5373</v>
      </c>
      <c r="B5259" s="36">
        <v>46059.25486111111</v>
      </c>
      <c r="C5259" s="36">
        <v>46059.87777777778</v>
      </c>
      <c r="D5259" s="22" t="s">
        <v>33</v>
      </c>
      <c r="E5259" s="22" t="s">
        <v>61</v>
      </c>
      <c r="F5259" s="22" t="s">
        <v>43</v>
      </c>
      <c r="G5259" s="22" t="s">
        <v>113</v>
      </c>
      <c r="H5259" s="22" t="s">
        <v>59</v>
      </c>
      <c r="I5259" s="22" t="s">
        <v>114</v>
      </c>
      <c r="J5259" s="23">
        <v>12</v>
      </c>
      <c r="K5259" s="37">
        <v>0</v>
      </c>
      <c r="L5259" s="37">
        <v>4</v>
      </c>
      <c r="M5259" s="22">
        <f>IF(OR(ISBLANK(C5259),C5259=""),"",ROUND((C5259-B5259)*24,2))</f>
        <v>14.95</v>
      </c>
      <c r="N5259" s="38" t="str">
        <f>IF(OR(ISBLANK(C5259),C5259="",M5259=""),"In Progress",IF(M5259&lt;=J5259,"Met","Breached"))</f>
        <v>Breached</v>
      </c>
    </row>
    <row r="5260" ht="19" customHeight="1" spans="1:14" x14ac:dyDescent="0.25">
      <c r="A5260" s="19" t="s">
        <v>5374</v>
      </c>
      <c r="B5260" s="33">
        <v>45890.040972222225</v>
      </c>
      <c r="D5260" s="19" t="s">
        <v>39</v>
      </c>
      <c r="E5260" s="19" t="s">
        <v>69</v>
      </c>
      <c r="F5260" s="19" t="s">
        <v>43</v>
      </c>
      <c r="G5260" s="19" t="s">
        <v>121</v>
      </c>
      <c r="H5260" s="19" t="s">
        <v>63</v>
      </c>
      <c r="I5260" s="19" t="s">
        <v>108</v>
      </c>
      <c r="J5260" s="20">
        <v>120</v>
      </c>
      <c r="K5260" s="34">
        <v>0</v>
      </c>
      <c r="M5260" s="19" t="str">
        <f>IF(OR(ISBLANK(C5260),C5260=""),"",ROUND((C5260-B5260)*24,2))</f>
        <v/>
      </c>
      <c r="N5260" s="19" t="str">
        <f>IF(OR(ISBLANK(C5260),C5260="",M5260=""),"In Progress",IF(M5260&lt;=J5260,"Met","Breached"))</f>
        <v>In Progress</v>
      </c>
    </row>
    <row r="5261" ht="19" customHeight="1" spans="1:14" x14ac:dyDescent="0.25">
      <c r="A5261" s="22" t="s">
        <v>5375</v>
      </c>
      <c r="B5261" s="36">
        <v>45925.03472222222</v>
      </c>
      <c r="C5261" s="36">
        <v>45925.84375</v>
      </c>
      <c r="D5261" s="22" t="s">
        <v>33</v>
      </c>
      <c r="E5261" s="22" t="s">
        <v>61</v>
      </c>
      <c r="F5261" s="22" t="s">
        <v>34</v>
      </c>
      <c r="G5261" s="22" t="s">
        <v>110</v>
      </c>
      <c r="H5261" s="22" t="s">
        <v>59</v>
      </c>
      <c r="I5261" s="22" t="s">
        <v>147</v>
      </c>
      <c r="J5261" s="23">
        <v>12</v>
      </c>
      <c r="K5261" s="37">
        <v>0</v>
      </c>
      <c r="L5261" s="37">
        <v>3</v>
      </c>
      <c r="M5261" s="22">
        <f>IF(OR(ISBLANK(C5261),C5261=""),"",ROUND((C5261-B5261)*24,2))</f>
        <v>19.42</v>
      </c>
      <c r="N5261" s="38" t="str">
        <f>IF(OR(ISBLANK(C5261),C5261="",M5261=""),"In Progress",IF(M5261&lt;=J5261,"Met","Breached"))</f>
        <v>Breached</v>
      </c>
    </row>
    <row r="5262" ht="19" customHeight="1" spans="1:14" x14ac:dyDescent="0.25">
      <c r="A5262" s="19" t="s">
        <v>5376</v>
      </c>
      <c r="B5262" s="33">
        <v>46253.763194444444</v>
      </c>
      <c r="C5262" s="33">
        <v>46257.277083333334</v>
      </c>
      <c r="D5262" s="19" t="s">
        <v>33</v>
      </c>
      <c r="E5262" s="19" t="s">
        <v>65</v>
      </c>
      <c r="F5262" s="19" t="s">
        <v>45</v>
      </c>
      <c r="G5262" s="19" t="s">
        <v>121</v>
      </c>
      <c r="H5262" s="19" t="s">
        <v>59</v>
      </c>
      <c r="I5262" s="19" t="s">
        <v>108</v>
      </c>
      <c r="J5262" s="20">
        <v>48</v>
      </c>
      <c r="K5262" s="34">
        <v>0</v>
      </c>
      <c r="M5262" s="19">
        <f>IF(OR(ISBLANK(C5262),C5262=""),"",ROUND((C5262-B5262)*24,2))</f>
        <v>84.33</v>
      </c>
      <c r="N5262" s="39" t="str">
        <f>IF(OR(ISBLANK(C5262),C5262="",M5262=""),"In Progress",IF(M5262&lt;=J5262,"Met","Breached"))</f>
        <v>Breached</v>
      </c>
    </row>
    <row r="5263" ht="19" customHeight="1" spans="1:14" x14ac:dyDescent="0.25">
      <c r="A5263" s="22" t="s">
        <v>5377</v>
      </c>
      <c r="B5263" s="36">
        <v>46118.04236111111</v>
      </c>
      <c r="C5263" s="36">
        <v>46119.90347222222</v>
      </c>
      <c r="D5263" s="22" t="s">
        <v>36</v>
      </c>
      <c r="E5263" s="22" t="s">
        <v>65</v>
      </c>
      <c r="F5263" s="22" t="s">
        <v>40</v>
      </c>
      <c r="G5263" s="22" t="s">
        <v>63</v>
      </c>
      <c r="H5263" s="22" t="s">
        <v>59</v>
      </c>
      <c r="I5263" s="22" t="s">
        <v>123</v>
      </c>
      <c r="J5263" s="23">
        <v>48</v>
      </c>
      <c r="K5263" s="37">
        <v>1</v>
      </c>
      <c r="L5263" s="37">
        <v>3</v>
      </c>
      <c r="M5263" s="22">
        <f>IF(OR(ISBLANK(C5263),C5263=""),"",ROUND((C5263-B5263)*24,2))</f>
        <v>44.67</v>
      </c>
      <c r="N5263" s="40" t="str">
        <f>IF(OR(ISBLANK(C5263),C5263="",M5263=""),"In Progress",IF(M5263&lt;=J5263,"Met","Breached"))</f>
        <v>Met</v>
      </c>
    </row>
    <row r="5264" ht="19" customHeight="1" spans="1:14" x14ac:dyDescent="0.25">
      <c r="A5264" s="19" t="s">
        <v>5378</v>
      </c>
      <c r="B5264" s="33">
        <v>45880.6125</v>
      </c>
      <c r="C5264" s="33">
        <v>45885.95277777778</v>
      </c>
      <c r="D5264" s="19" t="s">
        <v>33</v>
      </c>
      <c r="E5264" s="19" t="s">
        <v>69</v>
      </c>
      <c r="F5264" s="19" t="s">
        <v>37</v>
      </c>
      <c r="G5264" s="19" t="s">
        <v>110</v>
      </c>
      <c r="H5264" s="19" t="s">
        <v>71</v>
      </c>
      <c r="I5264" s="19" t="s">
        <v>114</v>
      </c>
      <c r="J5264" s="20">
        <v>120</v>
      </c>
      <c r="K5264" s="34">
        <v>0</v>
      </c>
      <c r="L5264" s="34">
        <v>2</v>
      </c>
      <c r="M5264" s="19">
        <f>IF(OR(ISBLANK(C5264),C5264=""),"",ROUND((C5264-B5264)*24,2))</f>
        <v>128.17</v>
      </c>
      <c r="N5264" s="39" t="str">
        <f>IF(OR(ISBLANK(C5264),C5264="",M5264=""),"In Progress",IF(M5264&lt;=J5264,"Met","Breached"))</f>
        <v>Breached</v>
      </c>
    </row>
    <row r="5265" ht="19" customHeight="1" spans="1:14" x14ac:dyDescent="0.25">
      <c r="A5265" s="22" t="s">
        <v>5379</v>
      </c>
      <c r="B5265" s="36">
        <v>45899.868055555555</v>
      </c>
      <c r="C5265" s="36">
        <v>45902.77013888889</v>
      </c>
      <c r="D5265" s="22" t="s">
        <v>33</v>
      </c>
      <c r="E5265" s="22" t="s">
        <v>65</v>
      </c>
      <c r="F5265" s="22" t="s">
        <v>34</v>
      </c>
      <c r="G5265" s="22" t="s">
        <v>126</v>
      </c>
      <c r="H5265" s="22" t="s">
        <v>71</v>
      </c>
      <c r="I5265" s="22" t="s">
        <v>123</v>
      </c>
      <c r="J5265" s="23">
        <v>48</v>
      </c>
      <c r="K5265" s="37">
        <v>0</v>
      </c>
      <c r="M5265" s="22">
        <f>IF(OR(ISBLANK(C5265),C5265=""),"",ROUND((C5265-B5265)*24,2))</f>
        <v>69.65</v>
      </c>
      <c r="N5265" s="38" t="str">
        <f>IF(OR(ISBLANK(C5265),C5265="",M5265=""),"In Progress",IF(M5265&lt;=J5265,"Met","Breached"))</f>
        <v>Breached</v>
      </c>
    </row>
    <row r="5266" ht="19" customHeight="1" spans="1:14" x14ac:dyDescent="0.25">
      <c r="A5266" s="19" t="s">
        <v>5380</v>
      </c>
      <c r="B5266" s="33">
        <v>45928.805555555555</v>
      </c>
      <c r="C5266" s="33">
        <v>45930.39097222222</v>
      </c>
      <c r="D5266" s="19" t="s">
        <v>33</v>
      </c>
      <c r="E5266" s="19" t="s">
        <v>65</v>
      </c>
      <c r="F5266" s="19" t="s">
        <v>37</v>
      </c>
      <c r="G5266" s="19" t="s">
        <v>121</v>
      </c>
      <c r="H5266" s="19" t="s">
        <v>59</v>
      </c>
      <c r="I5266" s="19" t="s">
        <v>108</v>
      </c>
      <c r="J5266" s="20">
        <v>48</v>
      </c>
      <c r="K5266" s="34">
        <v>0</v>
      </c>
      <c r="M5266" s="19">
        <f>IF(OR(ISBLANK(C5266),C5266=""),"",ROUND((C5266-B5266)*24,2))</f>
        <v>38.05</v>
      </c>
      <c r="N5266" s="35" t="str">
        <f>IF(OR(ISBLANK(C5266),C5266="",M5266=""),"In Progress",IF(M5266&lt;=J5266,"Met","Breached"))</f>
        <v>Met</v>
      </c>
    </row>
    <row r="5267" ht="19" customHeight="1" spans="1:14" x14ac:dyDescent="0.25">
      <c r="A5267" s="22" t="s">
        <v>5381</v>
      </c>
      <c r="B5267" s="36">
        <v>45795.538888888885</v>
      </c>
      <c r="C5267" s="36">
        <v>45799.023611111115</v>
      </c>
      <c r="D5267" s="22" t="s">
        <v>33</v>
      </c>
      <c r="E5267" s="22" t="s">
        <v>65</v>
      </c>
      <c r="F5267" s="22" t="s">
        <v>43</v>
      </c>
      <c r="G5267" s="22" t="s">
        <v>113</v>
      </c>
      <c r="H5267" s="22" t="s">
        <v>67</v>
      </c>
      <c r="I5267" s="22" t="s">
        <v>114</v>
      </c>
      <c r="J5267" s="23">
        <v>48</v>
      </c>
      <c r="K5267" s="37">
        <v>1</v>
      </c>
      <c r="L5267" s="37">
        <v>4</v>
      </c>
      <c r="M5267" s="22">
        <f>IF(OR(ISBLANK(C5267),C5267=""),"",ROUND((C5267-B5267)*24,2))</f>
        <v>83.63</v>
      </c>
      <c r="N5267" s="38" t="str">
        <f>IF(OR(ISBLANK(C5267),C5267="",M5267=""),"In Progress",IF(M5267&lt;=J5267,"Met","Breached"))</f>
        <v>Breached</v>
      </c>
    </row>
    <row r="5268" ht="19" customHeight="1" spans="1:14" x14ac:dyDescent="0.25">
      <c r="A5268" s="19" t="s">
        <v>5382</v>
      </c>
      <c r="B5268" s="33">
        <v>45853.57430555555</v>
      </c>
      <c r="C5268" s="33">
        <v>45853.768055555556</v>
      </c>
      <c r="D5268" s="19" t="s">
        <v>36</v>
      </c>
      <c r="E5268" s="19" t="s">
        <v>61</v>
      </c>
      <c r="F5268" s="19" t="s">
        <v>40</v>
      </c>
      <c r="G5268" s="19" t="s">
        <v>126</v>
      </c>
      <c r="H5268" s="19" t="s">
        <v>67</v>
      </c>
      <c r="I5268" s="19" t="s">
        <v>147</v>
      </c>
      <c r="J5268" s="20">
        <v>12</v>
      </c>
      <c r="K5268" s="34">
        <v>0</v>
      </c>
      <c r="L5268" s="34">
        <v>3</v>
      </c>
      <c r="M5268" s="19">
        <f>IF(OR(ISBLANK(C5268),C5268=""),"",ROUND((C5268-B5268)*24,2))</f>
        <v>4.65</v>
      </c>
      <c r="N5268" s="35" t="str">
        <f>IF(OR(ISBLANK(C5268),C5268="",M5268=""),"In Progress",IF(M5268&lt;=J5268,"Met","Breached"))</f>
        <v>Met</v>
      </c>
    </row>
    <row r="5269" ht="19" customHeight="1" spans="1:14" x14ac:dyDescent="0.25">
      <c r="A5269" s="22" t="s">
        <v>5383</v>
      </c>
      <c r="B5269" s="36">
        <v>45897.134722222225</v>
      </c>
      <c r="C5269" s="36">
        <v>45897.28125</v>
      </c>
      <c r="D5269" s="22" t="s">
        <v>33</v>
      </c>
      <c r="E5269" s="22" t="s">
        <v>57</v>
      </c>
      <c r="F5269" s="22" t="s">
        <v>43</v>
      </c>
      <c r="G5269" s="22" t="s">
        <v>113</v>
      </c>
      <c r="H5269" s="22" t="s">
        <v>59</v>
      </c>
      <c r="I5269" s="22" t="s">
        <v>108</v>
      </c>
      <c r="J5269" s="23">
        <v>4</v>
      </c>
      <c r="K5269" s="37">
        <v>0</v>
      </c>
      <c r="L5269" s="37">
        <v>2</v>
      </c>
      <c r="M5269" s="22">
        <f>IF(OR(ISBLANK(C5269),C5269=""),"",ROUND((C5269-B5269)*24,2))</f>
        <v>3.52</v>
      </c>
      <c r="N5269" s="40" t="str">
        <f>IF(OR(ISBLANK(C5269),C5269="",M5269=""),"In Progress",IF(M5269&lt;=J5269,"Met","Breached"))</f>
        <v>Met</v>
      </c>
    </row>
    <row r="5270" ht="19" customHeight="1" spans="1:14" x14ac:dyDescent="0.25">
      <c r="A5270" s="19" t="s">
        <v>5384</v>
      </c>
      <c r="B5270" s="33">
        <v>45872.65277777778</v>
      </c>
      <c r="C5270" s="33">
        <v>45876.134722222225</v>
      </c>
      <c r="D5270" s="19" t="s">
        <v>36</v>
      </c>
      <c r="E5270" s="19" t="s">
        <v>69</v>
      </c>
      <c r="F5270" s="19" t="s">
        <v>34</v>
      </c>
      <c r="G5270" s="19" t="s">
        <v>126</v>
      </c>
      <c r="H5270" s="19" t="s">
        <v>63</v>
      </c>
      <c r="I5270" s="19" t="s">
        <v>147</v>
      </c>
      <c r="J5270" s="20">
        <v>120</v>
      </c>
      <c r="K5270" s="34">
        <v>0</v>
      </c>
      <c r="L5270" s="34">
        <v>5</v>
      </c>
      <c r="M5270" s="19">
        <f>IF(OR(ISBLANK(C5270),C5270=""),"",ROUND((C5270-B5270)*24,2))</f>
        <v>83.57</v>
      </c>
      <c r="N5270" s="35" t="str">
        <f>IF(OR(ISBLANK(C5270),C5270="",M5270=""),"In Progress",IF(M5270&lt;=J5270,"Met","Breached"))</f>
        <v>Met</v>
      </c>
    </row>
    <row r="5271" ht="19" customHeight="1" spans="1:14" x14ac:dyDescent="0.25">
      <c r="A5271" s="22" t="s">
        <v>5385</v>
      </c>
      <c r="B5271" s="36">
        <v>45964.55416666667</v>
      </c>
      <c r="C5271" s="36">
        <v>45965.24444444444</v>
      </c>
      <c r="D5271" s="22" t="s">
        <v>33</v>
      </c>
      <c r="E5271" s="22" t="s">
        <v>61</v>
      </c>
      <c r="F5271" s="22" t="s">
        <v>45</v>
      </c>
      <c r="G5271" s="22" t="s">
        <v>63</v>
      </c>
      <c r="H5271" s="22" t="s">
        <v>59</v>
      </c>
      <c r="I5271" s="22" t="s">
        <v>147</v>
      </c>
      <c r="J5271" s="23">
        <v>12</v>
      </c>
      <c r="K5271" s="37">
        <v>0</v>
      </c>
      <c r="L5271" s="37">
        <v>3</v>
      </c>
      <c r="M5271" s="22">
        <f>IF(OR(ISBLANK(C5271),C5271=""),"",ROUND((C5271-B5271)*24,2))</f>
        <v>16.57</v>
      </c>
      <c r="N5271" s="38" t="str">
        <f>IF(OR(ISBLANK(C5271),C5271="",M5271=""),"In Progress",IF(M5271&lt;=J5271,"Met","Breached"))</f>
        <v>Breached</v>
      </c>
    </row>
    <row r="5272" ht="19" customHeight="1" spans="1:14" x14ac:dyDescent="0.25">
      <c r="A5272" s="19" t="s">
        <v>5386</v>
      </c>
      <c r="B5272" s="33">
        <v>46143.64791666667</v>
      </c>
      <c r="C5272" s="33">
        <v>46144.45694444445</v>
      </c>
      <c r="D5272" s="19" t="s">
        <v>33</v>
      </c>
      <c r="E5272" s="19" t="s">
        <v>61</v>
      </c>
      <c r="F5272" s="19" t="s">
        <v>43</v>
      </c>
      <c r="G5272" s="19" t="s">
        <v>113</v>
      </c>
      <c r="H5272" s="19" t="s">
        <v>67</v>
      </c>
      <c r="I5272" s="19" t="s">
        <v>108</v>
      </c>
      <c r="J5272" s="20">
        <v>12</v>
      </c>
      <c r="K5272" s="34">
        <v>0</v>
      </c>
      <c r="L5272" s="34">
        <v>4</v>
      </c>
      <c r="M5272" s="19">
        <f>IF(OR(ISBLANK(C5272),C5272=""),"",ROUND((C5272-B5272)*24,2))</f>
        <v>19.42</v>
      </c>
      <c r="N5272" s="39" t="str">
        <f>IF(OR(ISBLANK(C5272),C5272="",M5272=""),"In Progress",IF(M5272&lt;=J5272,"Met","Breached"))</f>
        <v>Breached</v>
      </c>
    </row>
    <row r="5273" ht="19" customHeight="1" spans="1:14" x14ac:dyDescent="0.25">
      <c r="A5273" s="22" t="s">
        <v>5387</v>
      </c>
      <c r="B5273" s="36">
        <v>45882.37986111111</v>
      </c>
      <c r="C5273" s="36">
        <v>45883.56875</v>
      </c>
      <c r="D5273" s="22" t="s">
        <v>33</v>
      </c>
      <c r="E5273" s="22" t="s">
        <v>65</v>
      </c>
      <c r="F5273" s="22" t="s">
        <v>34</v>
      </c>
      <c r="G5273" s="22" t="s">
        <v>121</v>
      </c>
      <c r="H5273" s="22" t="s">
        <v>63</v>
      </c>
      <c r="I5273" s="22" t="s">
        <v>108</v>
      </c>
      <c r="J5273" s="23">
        <v>48</v>
      </c>
      <c r="K5273" s="37">
        <v>0</v>
      </c>
      <c r="L5273" s="37">
        <v>3</v>
      </c>
      <c r="M5273" s="22">
        <f>IF(OR(ISBLANK(C5273),C5273=""),"",ROUND((C5273-B5273)*24,2))</f>
        <v>28.53</v>
      </c>
      <c r="N5273" s="40" t="str">
        <f>IF(OR(ISBLANK(C5273),C5273="",M5273=""),"In Progress",IF(M5273&lt;=J5273,"Met","Breached"))</f>
        <v>Met</v>
      </c>
    </row>
    <row r="5274" ht="19" customHeight="1" spans="1:14" x14ac:dyDescent="0.25">
      <c r="A5274" s="19" t="s">
        <v>5388</v>
      </c>
      <c r="B5274" s="33">
        <v>46030.67847222222</v>
      </c>
      <c r="D5274" s="19" t="s">
        <v>42</v>
      </c>
      <c r="E5274" s="19" t="s">
        <v>57</v>
      </c>
      <c r="F5274" s="19" t="s">
        <v>43</v>
      </c>
      <c r="G5274" s="19" t="s">
        <v>121</v>
      </c>
      <c r="H5274" s="19" t="s">
        <v>67</v>
      </c>
      <c r="I5274" s="19" t="s">
        <v>117</v>
      </c>
      <c r="J5274" s="20">
        <v>4</v>
      </c>
      <c r="K5274" s="34">
        <v>0</v>
      </c>
      <c r="M5274" s="19" t="str">
        <f>IF(OR(ISBLANK(C5274),C5274=""),"",ROUND((C5274-B5274)*24,2))</f>
        <v/>
      </c>
      <c r="N5274" s="19" t="str">
        <f>IF(OR(ISBLANK(C5274),C5274="",M5274=""),"In Progress",IF(M5274&lt;=J5274,"Met","Breached"))</f>
        <v>In Progress</v>
      </c>
    </row>
    <row r="5275" ht="19" customHeight="1" spans="1:14" x14ac:dyDescent="0.25">
      <c r="A5275" s="22" t="s">
        <v>5389</v>
      </c>
      <c r="B5275" s="36">
        <v>45991.72013888889</v>
      </c>
      <c r="C5275" s="36">
        <v>45992.67222222222</v>
      </c>
      <c r="D5275" s="22" t="s">
        <v>33</v>
      </c>
      <c r="E5275" s="22" t="s">
        <v>65</v>
      </c>
      <c r="F5275" s="22" t="s">
        <v>40</v>
      </c>
      <c r="G5275" s="22" t="s">
        <v>121</v>
      </c>
      <c r="H5275" s="22" t="s">
        <v>59</v>
      </c>
      <c r="I5275" s="22" t="s">
        <v>117</v>
      </c>
      <c r="J5275" s="23">
        <v>48</v>
      </c>
      <c r="K5275" s="37">
        <v>0</v>
      </c>
      <c r="M5275" s="22">
        <f>IF(OR(ISBLANK(C5275),C5275=""),"",ROUND((C5275-B5275)*24,2))</f>
        <v>22.85</v>
      </c>
      <c r="N5275" s="40" t="str">
        <f>IF(OR(ISBLANK(C5275),C5275="",M5275=""),"In Progress",IF(M5275&lt;=J5275,"Met","Breached"))</f>
        <v>Met</v>
      </c>
    </row>
    <row r="5276" ht="19" customHeight="1" spans="1:14" x14ac:dyDescent="0.25">
      <c r="A5276" s="19" t="s">
        <v>5390</v>
      </c>
      <c r="B5276" s="33">
        <v>45715.93125</v>
      </c>
      <c r="C5276" s="33">
        <v>45719.14791666667</v>
      </c>
      <c r="D5276" s="19" t="s">
        <v>36</v>
      </c>
      <c r="E5276" s="19" t="s">
        <v>65</v>
      </c>
      <c r="F5276" s="19" t="s">
        <v>40</v>
      </c>
      <c r="G5276" s="19" t="s">
        <v>110</v>
      </c>
      <c r="H5276" s="19" t="s">
        <v>71</v>
      </c>
      <c r="I5276" s="19" t="s">
        <v>114</v>
      </c>
      <c r="J5276" s="20">
        <v>48</v>
      </c>
      <c r="K5276" s="34">
        <v>0</v>
      </c>
      <c r="L5276" s="34">
        <v>5</v>
      </c>
      <c r="M5276" s="19">
        <f>IF(OR(ISBLANK(C5276),C5276=""),"",ROUND((C5276-B5276)*24,2))</f>
        <v>77.2</v>
      </c>
      <c r="N5276" s="39" t="str">
        <f>IF(OR(ISBLANK(C5276),C5276="",M5276=""),"In Progress",IF(M5276&lt;=J5276,"Met","Breached"))</f>
        <v>Breached</v>
      </c>
    </row>
    <row r="5277" ht="19" customHeight="1" spans="1:14" x14ac:dyDescent="0.25">
      <c r="A5277" s="22" t="s">
        <v>5391</v>
      </c>
      <c r="B5277" s="36">
        <v>45935.76111111111</v>
      </c>
      <c r="C5277" s="36">
        <v>45937.040972222225</v>
      </c>
      <c r="D5277" s="22" t="s">
        <v>33</v>
      </c>
      <c r="E5277" s="22" t="s">
        <v>65</v>
      </c>
      <c r="F5277" s="22" t="s">
        <v>34</v>
      </c>
      <c r="G5277" s="22" t="s">
        <v>113</v>
      </c>
      <c r="H5277" s="22" t="s">
        <v>59</v>
      </c>
      <c r="I5277" s="22" t="s">
        <v>147</v>
      </c>
      <c r="J5277" s="23">
        <v>48</v>
      </c>
      <c r="K5277" s="37">
        <v>0</v>
      </c>
      <c r="L5277" s="37">
        <v>1</v>
      </c>
      <c r="M5277" s="22">
        <f>IF(OR(ISBLANK(C5277),C5277=""),"",ROUND((C5277-B5277)*24,2))</f>
        <v>30.72</v>
      </c>
      <c r="N5277" s="40" t="str">
        <f>IF(OR(ISBLANK(C5277),C5277="",M5277=""),"In Progress",IF(M5277&lt;=J5277,"Met","Breached"))</f>
        <v>Met</v>
      </c>
    </row>
    <row r="5278" ht="19" customHeight="1" spans="1:14" x14ac:dyDescent="0.25">
      <c r="A5278" s="19" t="s">
        <v>5392</v>
      </c>
      <c r="B5278" s="33">
        <v>46106.75833333333</v>
      </c>
      <c r="C5278" s="33">
        <v>46112.089583333334</v>
      </c>
      <c r="D5278" s="19" t="s">
        <v>33</v>
      </c>
      <c r="E5278" s="19" t="s">
        <v>69</v>
      </c>
      <c r="F5278" s="19" t="s">
        <v>45</v>
      </c>
      <c r="G5278" s="19" t="s">
        <v>110</v>
      </c>
      <c r="H5278" s="19" t="s">
        <v>63</v>
      </c>
      <c r="I5278" s="19" t="s">
        <v>108</v>
      </c>
      <c r="J5278" s="20">
        <v>120</v>
      </c>
      <c r="K5278" s="34">
        <v>1</v>
      </c>
      <c r="L5278" s="34">
        <v>2</v>
      </c>
      <c r="M5278" s="19">
        <f>IF(OR(ISBLANK(C5278),C5278=""),"",ROUND((C5278-B5278)*24,2))</f>
        <v>127.95</v>
      </c>
      <c r="N5278" s="39" t="str">
        <f>IF(OR(ISBLANK(C5278),C5278="",M5278=""),"In Progress",IF(M5278&lt;=J5278,"Met","Breached"))</f>
        <v>Breached</v>
      </c>
    </row>
    <row r="5279" ht="19" customHeight="1" spans="1:14" x14ac:dyDescent="0.25">
      <c r="A5279" s="22" t="s">
        <v>5393</v>
      </c>
      <c r="B5279" s="36">
        <v>46285.18680555555</v>
      </c>
      <c r="C5279" s="36">
        <v>46285.461805555555</v>
      </c>
      <c r="D5279" s="22" t="s">
        <v>33</v>
      </c>
      <c r="E5279" s="22" t="s">
        <v>61</v>
      </c>
      <c r="F5279" s="22" t="s">
        <v>43</v>
      </c>
      <c r="G5279" s="22" t="s">
        <v>110</v>
      </c>
      <c r="H5279" s="22" t="s">
        <v>71</v>
      </c>
      <c r="I5279" s="22" t="s">
        <v>123</v>
      </c>
      <c r="J5279" s="23">
        <v>12</v>
      </c>
      <c r="K5279" s="37">
        <v>0</v>
      </c>
      <c r="L5279" s="37">
        <v>4</v>
      </c>
      <c r="M5279" s="22">
        <f>IF(OR(ISBLANK(C5279),C5279=""),"",ROUND((C5279-B5279)*24,2))</f>
        <v>6.6</v>
      </c>
      <c r="N5279" s="40" t="str">
        <f>IF(OR(ISBLANK(C5279),C5279="",M5279=""),"In Progress",IF(M5279&lt;=J5279,"Met","Breached"))</f>
        <v>Met</v>
      </c>
    </row>
    <row r="5280" ht="19" customHeight="1" spans="1:14" x14ac:dyDescent="0.25">
      <c r="A5280" s="19" t="s">
        <v>5394</v>
      </c>
      <c r="B5280" s="33">
        <v>46218.06458333333</v>
      </c>
      <c r="C5280" s="33">
        <v>46220.7125</v>
      </c>
      <c r="D5280" s="19" t="s">
        <v>33</v>
      </c>
      <c r="E5280" s="19" t="s">
        <v>65</v>
      </c>
      <c r="F5280" s="19" t="s">
        <v>37</v>
      </c>
      <c r="G5280" s="19" t="s">
        <v>63</v>
      </c>
      <c r="H5280" s="19" t="s">
        <v>71</v>
      </c>
      <c r="I5280" s="19" t="s">
        <v>108</v>
      </c>
      <c r="J5280" s="20">
        <v>48</v>
      </c>
      <c r="K5280" s="34">
        <v>0</v>
      </c>
      <c r="M5280" s="19">
        <f>IF(OR(ISBLANK(C5280),C5280=""),"",ROUND((C5280-B5280)*24,2))</f>
        <v>63.55</v>
      </c>
      <c r="N5280" s="39" t="str">
        <f>IF(OR(ISBLANK(C5280),C5280="",M5280=""),"In Progress",IF(M5280&lt;=J5280,"Met","Breached"))</f>
        <v>Breached</v>
      </c>
    </row>
    <row r="5281" ht="19" customHeight="1" spans="1:14" x14ac:dyDescent="0.25">
      <c r="A5281" s="22" t="s">
        <v>5395</v>
      </c>
      <c r="B5281" s="36">
        <v>45702.898611111115</v>
      </c>
      <c r="D5281" s="22" t="s">
        <v>42</v>
      </c>
      <c r="E5281" s="22" t="s">
        <v>61</v>
      </c>
      <c r="F5281" s="22" t="s">
        <v>40</v>
      </c>
      <c r="G5281" s="22" t="s">
        <v>113</v>
      </c>
      <c r="H5281" s="22" t="s">
        <v>67</v>
      </c>
      <c r="I5281" s="22" t="s">
        <v>117</v>
      </c>
      <c r="J5281" s="23">
        <v>12</v>
      </c>
      <c r="K5281" s="37">
        <v>0</v>
      </c>
      <c r="M5281" s="22" t="str">
        <f>IF(OR(ISBLANK(C5281),C5281=""),"",ROUND((C5281-B5281)*24,2))</f>
        <v/>
      </c>
      <c r="N5281" s="22" t="str">
        <f>IF(OR(ISBLANK(C5281),C5281="",M5281=""),"In Progress",IF(M5281&lt;=J5281,"Met","Breached"))</f>
        <v>In Progress</v>
      </c>
    </row>
    <row r="5282" ht="19" customHeight="1" spans="1:14" x14ac:dyDescent="0.25">
      <c r="A5282" s="19" t="s">
        <v>5396</v>
      </c>
      <c r="B5282" s="33">
        <v>46039.40625</v>
      </c>
      <c r="C5282" s="33">
        <v>46039.87291666667</v>
      </c>
      <c r="D5282" s="19" t="s">
        <v>33</v>
      </c>
      <c r="E5282" s="19" t="s">
        <v>61</v>
      </c>
      <c r="F5282" s="19" t="s">
        <v>37</v>
      </c>
      <c r="G5282" s="19" t="s">
        <v>121</v>
      </c>
      <c r="H5282" s="19" t="s">
        <v>67</v>
      </c>
      <c r="I5282" s="19" t="s">
        <v>147</v>
      </c>
      <c r="J5282" s="20">
        <v>12</v>
      </c>
      <c r="K5282" s="34">
        <v>0</v>
      </c>
      <c r="L5282" s="34">
        <v>1</v>
      </c>
      <c r="M5282" s="19">
        <f>IF(OR(ISBLANK(C5282),C5282=""),"",ROUND((C5282-B5282)*24,2))</f>
        <v>11.2</v>
      </c>
      <c r="N5282" s="35" t="str">
        <f>IF(OR(ISBLANK(C5282),C5282="",M5282=""),"In Progress",IF(M5282&lt;=J5282,"Met","Breached"))</f>
        <v>Met</v>
      </c>
    </row>
    <row r="5283" ht="19" customHeight="1" spans="1:14" x14ac:dyDescent="0.25">
      <c r="A5283" s="22" t="s">
        <v>5397</v>
      </c>
      <c r="B5283" s="36">
        <v>46098.42916666667</v>
      </c>
      <c r="C5283" s="36">
        <v>46099.11111111111</v>
      </c>
      <c r="D5283" s="22" t="s">
        <v>33</v>
      </c>
      <c r="E5283" s="22" t="s">
        <v>65</v>
      </c>
      <c r="F5283" s="22" t="s">
        <v>37</v>
      </c>
      <c r="G5283" s="22" t="s">
        <v>113</v>
      </c>
      <c r="H5283" s="22" t="s">
        <v>59</v>
      </c>
      <c r="I5283" s="22" t="s">
        <v>111</v>
      </c>
      <c r="J5283" s="23">
        <v>48</v>
      </c>
      <c r="K5283" s="37">
        <v>0</v>
      </c>
      <c r="L5283" s="37">
        <v>4</v>
      </c>
      <c r="M5283" s="22">
        <f>IF(OR(ISBLANK(C5283),C5283=""),"",ROUND((C5283-B5283)*24,2))</f>
        <v>16.37</v>
      </c>
      <c r="N5283" s="40" t="str">
        <f>IF(OR(ISBLANK(C5283),C5283="",M5283=""),"In Progress",IF(M5283&lt;=J5283,"Met","Breached"))</f>
        <v>Met</v>
      </c>
    </row>
    <row r="5284" ht="19" customHeight="1" spans="1:14" x14ac:dyDescent="0.25">
      <c r="A5284" s="19" t="s">
        <v>5398</v>
      </c>
      <c r="B5284" s="33">
        <v>46139.49722222222</v>
      </c>
      <c r="C5284" s="33">
        <v>46147.492361111115</v>
      </c>
      <c r="D5284" s="19" t="s">
        <v>33</v>
      </c>
      <c r="E5284" s="19" t="s">
        <v>69</v>
      </c>
      <c r="F5284" s="19" t="s">
        <v>40</v>
      </c>
      <c r="G5284" s="19" t="s">
        <v>63</v>
      </c>
      <c r="H5284" s="19" t="s">
        <v>67</v>
      </c>
      <c r="I5284" s="19" t="s">
        <v>117</v>
      </c>
      <c r="J5284" s="20">
        <v>120</v>
      </c>
      <c r="K5284" s="34">
        <v>0</v>
      </c>
      <c r="L5284" s="34">
        <v>5</v>
      </c>
      <c r="M5284" s="19">
        <f>IF(OR(ISBLANK(C5284),C5284=""),"",ROUND((C5284-B5284)*24,2))</f>
        <v>191.88</v>
      </c>
      <c r="N5284" s="39" t="str">
        <f>IF(OR(ISBLANK(C5284),C5284="",M5284=""),"In Progress",IF(M5284&lt;=J5284,"Met","Breached"))</f>
        <v>Breached</v>
      </c>
    </row>
    <row r="5285" ht="19" customHeight="1" spans="1:14" x14ac:dyDescent="0.25">
      <c r="A5285" s="22" t="s">
        <v>5399</v>
      </c>
      <c r="B5285" s="36">
        <v>45818.64583333333</v>
      </c>
      <c r="C5285" s="36">
        <v>45819.02083333333</v>
      </c>
      <c r="D5285" s="22" t="s">
        <v>33</v>
      </c>
      <c r="E5285" s="22" t="s">
        <v>61</v>
      </c>
      <c r="F5285" s="22" t="s">
        <v>45</v>
      </c>
      <c r="G5285" s="22" t="s">
        <v>63</v>
      </c>
      <c r="H5285" s="22" t="s">
        <v>59</v>
      </c>
      <c r="I5285" s="22" t="s">
        <v>147</v>
      </c>
      <c r="J5285" s="23">
        <v>12</v>
      </c>
      <c r="K5285" s="37">
        <v>0</v>
      </c>
      <c r="L5285" s="37">
        <v>4</v>
      </c>
      <c r="M5285" s="22">
        <f>IF(OR(ISBLANK(C5285),C5285=""),"",ROUND((C5285-B5285)*24,2))</f>
        <v>9</v>
      </c>
      <c r="N5285" s="40" t="str">
        <f>IF(OR(ISBLANK(C5285),C5285="",M5285=""),"In Progress",IF(M5285&lt;=J5285,"Met","Breached"))</f>
        <v>Met</v>
      </c>
    </row>
    <row r="5286" ht="19" customHeight="1" spans="1:14" x14ac:dyDescent="0.25">
      <c r="A5286" s="19" t="s">
        <v>5400</v>
      </c>
      <c r="B5286" s="33">
        <v>45831.56041666667</v>
      </c>
      <c r="C5286" s="33">
        <v>45832.59375</v>
      </c>
      <c r="D5286" s="19" t="s">
        <v>33</v>
      </c>
      <c r="E5286" s="19" t="s">
        <v>65</v>
      </c>
      <c r="F5286" s="19" t="s">
        <v>45</v>
      </c>
      <c r="G5286" s="19" t="s">
        <v>126</v>
      </c>
      <c r="H5286" s="19" t="s">
        <v>59</v>
      </c>
      <c r="I5286" s="19" t="s">
        <v>123</v>
      </c>
      <c r="J5286" s="20">
        <v>48</v>
      </c>
      <c r="K5286" s="34">
        <v>0</v>
      </c>
      <c r="L5286" s="34">
        <v>4</v>
      </c>
      <c r="M5286" s="19">
        <f>IF(OR(ISBLANK(C5286),C5286=""),"",ROUND((C5286-B5286)*24,2))</f>
        <v>24.8</v>
      </c>
      <c r="N5286" s="35" t="str">
        <f>IF(OR(ISBLANK(C5286),C5286="",M5286=""),"In Progress",IF(M5286&lt;=J5286,"Met","Breached"))</f>
        <v>Met</v>
      </c>
    </row>
    <row r="5287" ht="19" customHeight="1" spans="1:14" x14ac:dyDescent="0.25">
      <c r="A5287" s="22" t="s">
        <v>5401</v>
      </c>
      <c r="B5287" s="36">
        <v>45921.13611111111</v>
      </c>
      <c r="D5287" s="22" t="s">
        <v>42</v>
      </c>
      <c r="E5287" s="22" t="s">
        <v>65</v>
      </c>
      <c r="F5287" s="22" t="s">
        <v>34</v>
      </c>
      <c r="G5287" s="22" t="s">
        <v>110</v>
      </c>
      <c r="H5287" s="22" t="s">
        <v>67</v>
      </c>
      <c r="I5287" s="22" t="s">
        <v>111</v>
      </c>
      <c r="J5287" s="23">
        <v>48</v>
      </c>
      <c r="K5287" s="37">
        <v>0</v>
      </c>
      <c r="M5287" s="22" t="str">
        <f>IF(OR(ISBLANK(C5287),C5287=""),"",ROUND((C5287-B5287)*24,2))</f>
        <v/>
      </c>
      <c r="N5287" s="22" t="str">
        <f>IF(OR(ISBLANK(C5287),C5287="",M5287=""),"In Progress",IF(M5287&lt;=J5287,"Met","Breached"))</f>
        <v>In Progress</v>
      </c>
    </row>
    <row r="5288" ht="19" customHeight="1" spans="1:14" x14ac:dyDescent="0.25">
      <c r="A5288" s="19" t="s">
        <v>5402</v>
      </c>
      <c r="B5288" s="33">
        <v>45751.069444444445</v>
      </c>
      <c r="D5288" s="19" t="s">
        <v>39</v>
      </c>
      <c r="E5288" s="19" t="s">
        <v>65</v>
      </c>
      <c r="F5288" s="19" t="s">
        <v>43</v>
      </c>
      <c r="G5288" s="19" t="s">
        <v>110</v>
      </c>
      <c r="H5288" s="19" t="s">
        <v>63</v>
      </c>
      <c r="I5288" s="19" t="s">
        <v>147</v>
      </c>
      <c r="J5288" s="20">
        <v>48</v>
      </c>
      <c r="K5288" s="34">
        <v>0</v>
      </c>
      <c r="M5288" s="19" t="str">
        <f>IF(OR(ISBLANK(C5288),C5288=""),"",ROUND((C5288-B5288)*24,2))</f>
        <v/>
      </c>
      <c r="N5288" s="19" t="str">
        <f>IF(OR(ISBLANK(C5288),C5288="",M5288=""),"In Progress",IF(M5288&lt;=J5288,"Met","Breached"))</f>
        <v>In Progress</v>
      </c>
    </row>
    <row r="5289" ht="19" customHeight="1" spans="1:14" x14ac:dyDescent="0.25">
      <c r="A5289" s="22" t="s">
        <v>5403</v>
      </c>
      <c r="B5289" s="36">
        <v>46277.054861111115</v>
      </c>
      <c r="D5289" s="22" t="s">
        <v>39</v>
      </c>
      <c r="E5289" s="22" t="s">
        <v>69</v>
      </c>
      <c r="F5289" s="22" t="s">
        <v>34</v>
      </c>
      <c r="G5289" s="22" t="s">
        <v>110</v>
      </c>
      <c r="H5289" s="22" t="s">
        <v>63</v>
      </c>
      <c r="I5289" s="22" t="s">
        <v>117</v>
      </c>
      <c r="J5289" s="23">
        <v>120</v>
      </c>
      <c r="K5289" s="37">
        <v>0</v>
      </c>
      <c r="M5289" s="22" t="str">
        <f>IF(OR(ISBLANK(C5289),C5289=""),"",ROUND((C5289-B5289)*24,2))</f>
        <v/>
      </c>
      <c r="N5289" s="22" t="str">
        <f>IF(OR(ISBLANK(C5289),C5289="",M5289=""),"In Progress",IF(M5289&lt;=J5289,"Met","Breached"))</f>
        <v>In Progress</v>
      </c>
    </row>
    <row r="5290" ht="19" customHeight="1" spans="1:14" x14ac:dyDescent="0.25">
      <c r="A5290" s="19" t="s">
        <v>5404</v>
      </c>
      <c r="B5290" s="33">
        <v>45999.945138888885</v>
      </c>
      <c r="D5290" s="19" t="s">
        <v>39</v>
      </c>
      <c r="E5290" s="19" t="s">
        <v>57</v>
      </c>
      <c r="F5290" s="19" t="s">
        <v>34</v>
      </c>
      <c r="G5290" s="19" t="s">
        <v>63</v>
      </c>
      <c r="H5290" s="19" t="s">
        <v>71</v>
      </c>
      <c r="I5290" s="19" t="s">
        <v>108</v>
      </c>
      <c r="J5290" s="20">
        <v>4</v>
      </c>
      <c r="K5290" s="34">
        <v>0</v>
      </c>
      <c r="M5290" s="19" t="str">
        <f>IF(OR(ISBLANK(C5290),C5290=""),"",ROUND((C5290-B5290)*24,2))</f>
        <v/>
      </c>
      <c r="N5290" s="19" t="str">
        <f>IF(OR(ISBLANK(C5290),C5290="",M5290=""),"In Progress",IF(M5290&lt;=J5290,"Met","Breached"))</f>
        <v>In Progress</v>
      </c>
    </row>
    <row r="5291" ht="19" customHeight="1" spans="1:14" x14ac:dyDescent="0.25">
      <c r="A5291" s="22" t="s">
        <v>5405</v>
      </c>
      <c r="B5291" s="36">
        <v>46011.06180555555</v>
      </c>
      <c r="C5291" s="36">
        <v>46011.27916666667</v>
      </c>
      <c r="D5291" s="22" t="s">
        <v>36</v>
      </c>
      <c r="E5291" s="22" t="s">
        <v>57</v>
      </c>
      <c r="F5291" s="22" t="s">
        <v>45</v>
      </c>
      <c r="G5291" s="22" t="s">
        <v>126</v>
      </c>
      <c r="H5291" s="22" t="s">
        <v>59</v>
      </c>
      <c r="I5291" s="22" t="s">
        <v>114</v>
      </c>
      <c r="J5291" s="23">
        <v>4</v>
      </c>
      <c r="K5291" s="37">
        <v>0</v>
      </c>
      <c r="L5291" s="37">
        <v>5</v>
      </c>
      <c r="M5291" s="22">
        <f>IF(OR(ISBLANK(C5291),C5291=""),"",ROUND((C5291-B5291)*24,2))</f>
        <v>5.22</v>
      </c>
      <c r="N5291" s="38" t="str">
        <f>IF(OR(ISBLANK(C5291),C5291="",M5291=""),"In Progress",IF(M5291&lt;=J5291,"Met","Breached"))</f>
        <v>Breached</v>
      </c>
    </row>
    <row r="5292" ht="19" customHeight="1" spans="1:14" x14ac:dyDescent="0.25">
      <c r="A5292" s="19" t="s">
        <v>5406</v>
      </c>
      <c r="B5292" s="33">
        <v>45681.89236111111</v>
      </c>
      <c r="C5292" s="33">
        <v>45682.98402777778</v>
      </c>
      <c r="D5292" s="19" t="s">
        <v>33</v>
      </c>
      <c r="E5292" s="19" t="s">
        <v>65</v>
      </c>
      <c r="F5292" s="19" t="s">
        <v>40</v>
      </c>
      <c r="G5292" s="19" t="s">
        <v>63</v>
      </c>
      <c r="H5292" s="19" t="s">
        <v>59</v>
      </c>
      <c r="I5292" s="19" t="s">
        <v>123</v>
      </c>
      <c r="J5292" s="20">
        <v>48</v>
      </c>
      <c r="K5292" s="34">
        <v>0</v>
      </c>
      <c r="L5292" s="34">
        <v>2</v>
      </c>
      <c r="M5292" s="19">
        <f>IF(OR(ISBLANK(C5292),C5292=""),"",ROUND((C5292-B5292)*24,2))</f>
        <v>26.2</v>
      </c>
      <c r="N5292" s="35" t="str">
        <f>IF(OR(ISBLANK(C5292),C5292="",M5292=""),"In Progress",IF(M5292&lt;=J5292,"Met","Breached"))</f>
        <v>Met</v>
      </c>
    </row>
    <row r="5293" ht="19" customHeight="1" spans="1:14" x14ac:dyDescent="0.25">
      <c r="A5293" s="22" t="s">
        <v>5407</v>
      </c>
      <c r="B5293" s="36">
        <v>46140.472916666666</v>
      </c>
      <c r="D5293" s="22" t="s">
        <v>42</v>
      </c>
      <c r="E5293" s="22" t="s">
        <v>65</v>
      </c>
      <c r="F5293" s="22" t="s">
        <v>43</v>
      </c>
      <c r="G5293" s="22" t="s">
        <v>113</v>
      </c>
      <c r="H5293" s="22" t="s">
        <v>59</v>
      </c>
      <c r="I5293" s="22" t="s">
        <v>123</v>
      </c>
      <c r="J5293" s="23">
        <v>48</v>
      </c>
      <c r="K5293" s="37">
        <v>0</v>
      </c>
      <c r="M5293" s="22" t="str">
        <f>IF(OR(ISBLANK(C5293),C5293=""),"",ROUND((C5293-B5293)*24,2))</f>
        <v/>
      </c>
      <c r="N5293" s="22" t="str">
        <f>IF(OR(ISBLANK(C5293),C5293="",M5293=""),"In Progress",IF(M5293&lt;=J5293,"Met","Breached"))</f>
        <v>In Progress</v>
      </c>
    </row>
    <row r="5294" ht="19" customHeight="1" spans="1:14" x14ac:dyDescent="0.25">
      <c r="A5294" s="19" t="s">
        <v>5408</v>
      </c>
      <c r="B5294" s="33">
        <v>46115.603472222225</v>
      </c>
      <c r="C5294" s="33">
        <v>46116.413888888885</v>
      </c>
      <c r="D5294" s="19" t="s">
        <v>33</v>
      </c>
      <c r="E5294" s="19" t="s">
        <v>61</v>
      </c>
      <c r="F5294" s="19" t="s">
        <v>43</v>
      </c>
      <c r="G5294" s="19" t="s">
        <v>110</v>
      </c>
      <c r="H5294" s="19" t="s">
        <v>67</v>
      </c>
      <c r="I5294" s="19" t="s">
        <v>147</v>
      </c>
      <c r="J5294" s="20">
        <v>12</v>
      </c>
      <c r="K5294" s="34">
        <v>0</v>
      </c>
      <c r="L5294" s="34">
        <v>4</v>
      </c>
      <c r="M5294" s="19">
        <f>IF(OR(ISBLANK(C5294),C5294=""),"",ROUND((C5294-B5294)*24,2))</f>
        <v>19.45</v>
      </c>
      <c r="N5294" s="39" t="str">
        <f>IF(OR(ISBLANK(C5294),C5294="",M5294=""),"In Progress",IF(M5294&lt;=J5294,"Met","Breached"))</f>
        <v>Breached</v>
      </c>
    </row>
    <row r="5295" ht="19" customHeight="1" spans="1:14" x14ac:dyDescent="0.25">
      <c r="A5295" s="22" t="s">
        <v>5409</v>
      </c>
      <c r="B5295" s="36">
        <v>45998.23333333334</v>
      </c>
      <c r="C5295" s="36">
        <v>45998.65694444445</v>
      </c>
      <c r="D5295" s="22" t="s">
        <v>33</v>
      </c>
      <c r="E5295" s="22" t="s">
        <v>61</v>
      </c>
      <c r="F5295" s="22" t="s">
        <v>43</v>
      </c>
      <c r="G5295" s="22" t="s">
        <v>110</v>
      </c>
      <c r="H5295" s="22" t="s">
        <v>59</v>
      </c>
      <c r="I5295" s="22" t="s">
        <v>114</v>
      </c>
      <c r="J5295" s="23">
        <v>12</v>
      </c>
      <c r="K5295" s="37">
        <v>0</v>
      </c>
      <c r="L5295" s="37">
        <v>3</v>
      </c>
      <c r="M5295" s="22">
        <f>IF(OR(ISBLANK(C5295),C5295=""),"",ROUND((C5295-B5295)*24,2))</f>
        <v>10.17</v>
      </c>
      <c r="N5295" s="40" t="str">
        <f>IF(OR(ISBLANK(C5295),C5295="",M5295=""),"In Progress",IF(M5295&lt;=J5295,"Met","Breached"))</f>
        <v>Met</v>
      </c>
    </row>
    <row r="5296" ht="19" customHeight="1" spans="1:14" x14ac:dyDescent="0.25">
      <c r="A5296" s="19" t="s">
        <v>5410</v>
      </c>
      <c r="B5296" s="33">
        <v>46260.81041666667</v>
      </c>
      <c r="D5296" s="19" t="s">
        <v>39</v>
      </c>
      <c r="E5296" s="19" t="s">
        <v>65</v>
      </c>
      <c r="F5296" s="19" t="s">
        <v>37</v>
      </c>
      <c r="G5296" s="19" t="s">
        <v>110</v>
      </c>
      <c r="H5296" s="19" t="s">
        <v>59</v>
      </c>
      <c r="I5296" s="19" t="s">
        <v>147</v>
      </c>
      <c r="J5296" s="20">
        <v>48</v>
      </c>
      <c r="K5296" s="34">
        <v>0</v>
      </c>
      <c r="M5296" s="19" t="str">
        <f>IF(OR(ISBLANK(C5296),C5296=""),"",ROUND((C5296-B5296)*24,2))</f>
        <v/>
      </c>
      <c r="N5296" s="19" t="str">
        <f>IF(OR(ISBLANK(C5296),C5296="",M5296=""),"In Progress",IF(M5296&lt;=J5296,"Met","Breached"))</f>
        <v>In Progress</v>
      </c>
    </row>
    <row r="5297" ht="19" customHeight="1" spans="1:14" x14ac:dyDescent="0.25">
      <c r="A5297" s="22" t="s">
        <v>5411</v>
      </c>
      <c r="B5297" s="36">
        <v>45825.89236111111</v>
      </c>
      <c r="C5297" s="36">
        <v>45827.72222222222</v>
      </c>
      <c r="D5297" s="22" t="s">
        <v>33</v>
      </c>
      <c r="E5297" s="22" t="s">
        <v>65</v>
      </c>
      <c r="F5297" s="22" t="s">
        <v>40</v>
      </c>
      <c r="G5297" s="22" t="s">
        <v>121</v>
      </c>
      <c r="H5297" s="22" t="s">
        <v>59</v>
      </c>
      <c r="I5297" s="22" t="s">
        <v>123</v>
      </c>
      <c r="J5297" s="23">
        <v>48</v>
      </c>
      <c r="K5297" s="37">
        <v>0</v>
      </c>
      <c r="L5297" s="37">
        <v>4</v>
      </c>
      <c r="M5297" s="22">
        <f>IF(OR(ISBLANK(C5297),C5297=""),"",ROUND((C5297-B5297)*24,2))</f>
        <v>43.92</v>
      </c>
      <c r="N5297" s="40" t="str">
        <f>IF(OR(ISBLANK(C5297),C5297="",M5297=""),"In Progress",IF(M5297&lt;=J5297,"Met","Breached"))</f>
        <v>Met</v>
      </c>
    </row>
    <row r="5298" ht="19" customHeight="1" spans="1:14" x14ac:dyDescent="0.25">
      <c r="A5298" s="19" t="s">
        <v>5412</v>
      </c>
      <c r="B5298" s="33">
        <v>45936.84236111111</v>
      </c>
      <c r="C5298" s="33">
        <v>45939.325694444444</v>
      </c>
      <c r="D5298" s="19" t="s">
        <v>33</v>
      </c>
      <c r="E5298" s="19" t="s">
        <v>65</v>
      </c>
      <c r="F5298" s="19" t="s">
        <v>37</v>
      </c>
      <c r="G5298" s="19" t="s">
        <v>116</v>
      </c>
      <c r="H5298" s="19" t="s">
        <v>59</v>
      </c>
      <c r="I5298" s="19" t="s">
        <v>117</v>
      </c>
      <c r="J5298" s="20">
        <v>48</v>
      </c>
      <c r="K5298" s="34">
        <v>0</v>
      </c>
      <c r="L5298" s="34">
        <v>1</v>
      </c>
      <c r="M5298" s="19">
        <f>IF(OR(ISBLANK(C5298),C5298=""),"",ROUND((C5298-B5298)*24,2))</f>
        <v>59.6</v>
      </c>
      <c r="N5298" s="39" t="str">
        <f>IF(OR(ISBLANK(C5298),C5298="",M5298=""),"In Progress",IF(M5298&lt;=J5298,"Met","Breached"))</f>
        <v>Breached</v>
      </c>
    </row>
    <row r="5299" ht="19" customHeight="1" spans="1:14" x14ac:dyDescent="0.25">
      <c r="A5299" s="22" t="s">
        <v>5413</v>
      </c>
      <c r="B5299" s="36">
        <v>46172.40277777778</v>
      </c>
      <c r="C5299" s="36">
        <v>46173.12152777778</v>
      </c>
      <c r="D5299" s="22" t="s">
        <v>36</v>
      </c>
      <c r="E5299" s="22" t="s">
        <v>61</v>
      </c>
      <c r="F5299" s="22" t="s">
        <v>43</v>
      </c>
      <c r="G5299" s="22" t="s">
        <v>116</v>
      </c>
      <c r="H5299" s="22" t="s">
        <v>59</v>
      </c>
      <c r="I5299" s="22" t="s">
        <v>108</v>
      </c>
      <c r="J5299" s="23">
        <v>12</v>
      </c>
      <c r="K5299" s="37">
        <v>0</v>
      </c>
      <c r="M5299" s="22">
        <f>IF(OR(ISBLANK(C5299),C5299=""),"",ROUND((C5299-B5299)*24,2))</f>
        <v>17.25</v>
      </c>
      <c r="N5299" s="38" t="str">
        <f>IF(OR(ISBLANK(C5299),C5299="",M5299=""),"In Progress",IF(M5299&lt;=J5299,"Met","Breached"))</f>
        <v>Breached</v>
      </c>
    </row>
    <row r="5300" ht="19" customHeight="1" spans="1:14" x14ac:dyDescent="0.25">
      <c r="A5300" s="19" t="s">
        <v>5414</v>
      </c>
      <c r="B5300" s="33">
        <v>46073.99166666667</v>
      </c>
      <c r="C5300" s="33">
        <v>46074.27986111111</v>
      </c>
      <c r="D5300" s="19" t="s">
        <v>33</v>
      </c>
      <c r="E5300" s="19" t="s">
        <v>61</v>
      </c>
      <c r="F5300" s="19" t="s">
        <v>40</v>
      </c>
      <c r="G5300" s="19" t="s">
        <v>126</v>
      </c>
      <c r="H5300" s="19" t="s">
        <v>67</v>
      </c>
      <c r="I5300" s="19" t="s">
        <v>108</v>
      </c>
      <c r="J5300" s="20">
        <v>12</v>
      </c>
      <c r="K5300" s="34">
        <v>0</v>
      </c>
      <c r="L5300" s="34">
        <v>4</v>
      </c>
      <c r="M5300" s="19">
        <f>IF(OR(ISBLANK(C5300),C5300=""),"",ROUND((C5300-B5300)*24,2))</f>
        <v>6.92</v>
      </c>
      <c r="N5300" s="35" t="str">
        <f>IF(OR(ISBLANK(C5300),C5300="",M5300=""),"In Progress",IF(M5300&lt;=J5300,"Met","Breached"))</f>
        <v>Met</v>
      </c>
    </row>
    <row r="5301" ht="19" customHeight="1" spans="1:14" x14ac:dyDescent="0.25">
      <c r="A5301" s="22" t="s">
        <v>5415</v>
      </c>
      <c r="B5301" s="36">
        <v>45750.64444444445</v>
      </c>
      <c r="C5301" s="36">
        <v>45754.138194444444</v>
      </c>
      <c r="D5301" s="22" t="s">
        <v>36</v>
      </c>
      <c r="E5301" s="22" t="s">
        <v>69</v>
      </c>
      <c r="F5301" s="22" t="s">
        <v>45</v>
      </c>
      <c r="G5301" s="22" t="s">
        <v>110</v>
      </c>
      <c r="H5301" s="22" t="s">
        <v>63</v>
      </c>
      <c r="I5301" s="22" t="s">
        <v>114</v>
      </c>
      <c r="J5301" s="23">
        <v>120</v>
      </c>
      <c r="K5301" s="37">
        <v>0</v>
      </c>
      <c r="M5301" s="22">
        <f>IF(OR(ISBLANK(C5301),C5301=""),"",ROUND((C5301-B5301)*24,2))</f>
        <v>83.85</v>
      </c>
      <c r="N5301" s="40" t="str">
        <f>IF(OR(ISBLANK(C5301),C5301="",M5301=""),"In Progress",IF(M5301&lt;=J5301,"Met","Breached"))</f>
        <v>Met</v>
      </c>
    </row>
    <row r="5302" ht="19" customHeight="1" spans="1:14" x14ac:dyDescent="0.25">
      <c r="A5302" s="19" t="s">
        <v>5416</v>
      </c>
      <c r="B5302" s="33">
        <v>45828.24375</v>
      </c>
      <c r="D5302" s="19" t="s">
        <v>42</v>
      </c>
      <c r="E5302" s="19" t="s">
        <v>65</v>
      </c>
      <c r="F5302" s="19" t="s">
        <v>45</v>
      </c>
      <c r="G5302" s="19" t="s">
        <v>113</v>
      </c>
      <c r="H5302" s="19" t="s">
        <v>63</v>
      </c>
      <c r="I5302" s="19" t="s">
        <v>111</v>
      </c>
      <c r="J5302" s="20">
        <v>48</v>
      </c>
      <c r="K5302" s="34">
        <v>0</v>
      </c>
      <c r="M5302" s="19" t="str">
        <f>IF(OR(ISBLANK(C5302),C5302=""),"",ROUND((C5302-B5302)*24,2))</f>
        <v/>
      </c>
      <c r="N5302" s="19" t="str">
        <f>IF(OR(ISBLANK(C5302),C5302="",M5302=""),"In Progress",IF(M5302&lt;=J5302,"Met","Breached"))</f>
        <v>In Progress</v>
      </c>
    </row>
    <row r="5303" ht="19" customHeight="1" spans="1:14" x14ac:dyDescent="0.25">
      <c r="A5303" s="22" t="s">
        <v>5417</v>
      </c>
      <c r="B5303" s="36">
        <v>45860.09583333333</v>
      </c>
      <c r="D5303" s="22" t="s">
        <v>39</v>
      </c>
      <c r="E5303" s="22" t="s">
        <v>69</v>
      </c>
      <c r="F5303" s="22" t="s">
        <v>43</v>
      </c>
      <c r="G5303" s="22" t="s">
        <v>110</v>
      </c>
      <c r="H5303" s="22" t="s">
        <v>71</v>
      </c>
      <c r="I5303" s="22" t="s">
        <v>123</v>
      </c>
      <c r="J5303" s="23">
        <v>120</v>
      </c>
      <c r="K5303" s="37">
        <v>0</v>
      </c>
      <c r="M5303" s="22" t="str">
        <f>IF(OR(ISBLANK(C5303),C5303=""),"",ROUND((C5303-B5303)*24,2))</f>
        <v/>
      </c>
      <c r="N5303" s="22" t="str">
        <f>IF(OR(ISBLANK(C5303),C5303="",M5303=""),"In Progress",IF(M5303&lt;=J5303,"Met","Breached"))</f>
        <v>In Progress</v>
      </c>
    </row>
    <row r="5304" ht="19" customHeight="1" spans="1:14" x14ac:dyDescent="0.25">
      <c r="A5304" s="19" t="s">
        <v>5418</v>
      </c>
      <c r="B5304" s="33">
        <v>45971.54791666666</v>
      </c>
      <c r="C5304" s="33">
        <v>45974.96944444445</v>
      </c>
      <c r="D5304" s="19" t="s">
        <v>36</v>
      </c>
      <c r="E5304" s="19" t="s">
        <v>65</v>
      </c>
      <c r="F5304" s="19" t="s">
        <v>40</v>
      </c>
      <c r="G5304" s="19" t="s">
        <v>116</v>
      </c>
      <c r="H5304" s="19" t="s">
        <v>63</v>
      </c>
      <c r="I5304" s="19" t="s">
        <v>108</v>
      </c>
      <c r="J5304" s="20">
        <v>48</v>
      </c>
      <c r="K5304" s="34">
        <v>0</v>
      </c>
      <c r="L5304" s="34">
        <v>5</v>
      </c>
      <c r="M5304" s="19">
        <f>IF(OR(ISBLANK(C5304),C5304=""),"",ROUND((C5304-B5304)*24,2))</f>
        <v>82.12</v>
      </c>
      <c r="N5304" s="39" t="str">
        <f>IF(OR(ISBLANK(C5304),C5304="",M5304=""),"In Progress",IF(M5304&lt;=J5304,"Met","Breached"))</f>
        <v>Breached</v>
      </c>
    </row>
    <row r="5305" ht="19" customHeight="1" spans="1:14" x14ac:dyDescent="0.25">
      <c r="A5305" s="22" t="s">
        <v>5419</v>
      </c>
      <c r="B5305" s="36">
        <v>45982.89166666666</v>
      </c>
      <c r="C5305" s="36">
        <v>45983.76527777778</v>
      </c>
      <c r="D5305" s="22" t="s">
        <v>33</v>
      </c>
      <c r="E5305" s="22" t="s">
        <v>61</v>
      </c>
      <c r="F5305" s="22" t="s">
        <v>43</v>
      </c>
      <c r="G5305" s="22" t="s">
        <v>63</v>
      </c>
      <c r="H5305" s="22" t="s">
        <v>71</v>
      </c>
      <c r="I5305" s="22" t="s">
        <v>117</v>
      </c>
      <c r="J5305" s="23">
        <v>12</v>
      </c>
      <c r="K5305" s="37">
        <v>0</v>
      </c>
      <c r="L5305" s="37">
        <v>3</v>
      </c>
      <c r="M5305" s="22">
        <f>IF(OR(ISBLANK(C5305),C5305=""),"",ROUND((C5305-B5305)*24,2))</f>
        <v>20.97</v>
      </c>
      <c r="N5305" s="38" t="str">
        <f>IF(OR(ISBLANK(C5305),C5305="",M5305=""),"In Progress",IF(M5305&lt;=J5305,"Met","Breached"))</f>
        <v>Breached</v>
      </c>
    </row>
    <row r="5306" ht="19" customHeight="1" spans="1:14" x14ac:dyDescent="0.25">
      <c r="A5306" s="19" t="s">
        <v>5420</v>
      </c>
      <c r="B5306" s="33">
        <v>46088.62777777778</v>
      </c>
      <c r="C5306" s="33">
        <v>46089.81597222222</v>
      </c>
      <c r="D5306" s="19" t="s">
        <v>36</v>
      </c>
      <c r="E5306" s="19" t="s">
        <v>65</v>
      </c>
      <c r="F5306" s="19" t="s">
        <v>34</v>
      </c>
      <c r="G5306" s="19" t="s">
        <v>121</v>
      </c>
      <c r="H5306" s="19" t="s">
        <v>63</v>
      </c>
      <c r="I5306" s="19" t="s">
        <v>147</v>
      </c>
      <c r="J5306" s="20">
        <v>48</v>
      </c>
      <c r="K5306" s="34">
        <v>0</v>
      </c>
      <c r="L5306" s="34">
        <v>5</v>
      </c>
      <c r="M5306" s="19">
        <f>IF(OR(ISBLANK(C5306),C5306=""),"",ROUND((C5306-B5306)*24,2))</f>
        <v>28.52</v>
      </c>
      <c r="N5306" s="35" t="str">
        <f>IF(OR(ISBLANK(C5306),C5306="",M5306=""),"In Progress",IF(M5306&lt;=J5306,"Met","Breached"))</f>
        <v>Met</v>
      </c>
    </row>
    <row r="5307" ht="19" customHeight="1" spans="1:14" x14ac:dyDescent="0.25">
      <c r="A5307" s="22" t="s">
        <v>5421</v>
      </c>
      <c r="B5307" s="36">
        <v>46045.89444444445</v>
      </c>
      <c r="D5307" s="22" t="s">
        <v>39</v>
      </c>
      <c r="E5307" s="22" t="s">
        <v>61</v>
      </c>
      <c r="F5307" s="22" t="s">
        <v>34</v>
      </c>
      <c r="G5307" s="22" t="s">
        <v>63</v>
      </c>
      <c r="H5307" s="22" t="s">
        <v>71</v>
      </c>
      <c r="I5307" s="22" t="s">
        <v>117</v>
      </c>
      <c r="J5307" s="23">
        <v>12</v>
      </c>
      <c r="K5307" s="37">
        <v>0</v>
      </c>
      <c r="M5307" s="22" t="str">
        <f>IF(OR(ISBLANK(C5307),C5307=""),"",ROUND((C5307-B5307)*24,2))</f>
        <v/>
      </c>
      <c r="N5307" s="22" t="str">
        <f>IF(OR(ISBLANK(C5307),C5307="",M5307=""),"In Progress",IF(M5307&lt;=J5307,"Met","Breached"))</f>
        <v>In Progress</v>
      </c>
    </row>
    <row r="5308" ht="19" customHeight="1" spans="1:14" x14ac:dyDescent="0.25">
      <c r="A5308" s="19" t="s">
        <v>5422</v>
      </c>
      <c r="B5308" s="33">
        <v>45660.19583333333</v>
      </c>
      <c r="C5308" s="33">
        <v>45661.74861111111</v>
      </c>
      <c r="D5308" s="19" t="s">
        <v>36</v>
      </c>
      <c r="E5308" s="19" t="s">
        <v>65</v>
      </c>
      <c r="F5308" s="19" t="s">
        <v>40</v>
      </c>
      <c r="G5308" s="19" t="s">
        <v>116</v>
      </c>
      <c r="H5308" s="19" t="s">
        <v>63</v>
      </c>
      <c r="I5308" s="19" t="s">
        <v>108</v>
      </c>
      <c r="J5308" s="20">
        <v>48</v>
      </c>
      <c r="K5308" s="34">
        <v>0</v>
      </c>
      <c r="L5308" s="34">
        <v>1</v>
      </c>
      <c r="M5308" s="19">
        <f>IF(OR(ISBLANK(C5308),C5308=""),"",ROUND((C5308-B5308)*24,2))</f>
        <v>37.27</v>
      </c>
      <c r="N5308" s="35" t="str">
        <f>IF(OR(ISBLANK(C5308),C5308="",M5308=""),"In Progress",IF(M5308&lt;=J5308,"Met","Breached"))</f>
        <v>Met</v>
      </c>
    </row>
    <row r="5309" ht="19" customHeight="1" spans="1:14" x14ac:dyDescent="0.25">
      <c r="A5309" s="22" t="s">
        <v>5423</v>
      </c>
      <c r="B5309" s="36">
        <v>45899.42083333334</v>
      </c>
      <c r="C5309" s="36">
        <v>45899.72361111111</v>
      </c>
      <c r="D5309" s="22" t="s">
        <v>33</v>
      </c>
      <c r="E5309" s="22" t="s">
        <v>61</v>
      </c>
      <c r="F5309" s="22" t="s">
        <v>37</v>
      </c>
      <c r="G5309" s="22" t="s">
        <v>116</v>
      </c>
      <c r="H5309" s="22" t="s">
        <v>71</v>
      </c>
      <c r="I5309" s="22" t="s">
        <v>123</v>
      </c>
      <c r="J5309" s="23">
        <v>12</v>
      </c>
      <c r="K5309" s="37">
        <v>0</v>
      </c>
      <c r="L5309" s="37">
        <v>3</v>
      </c>
      <c r="M5309" s="22">
        <f>IF(OR(ISBLANK(C5309),C5309=""),"",ROUND((C5309-B5309)*24,2))</f>
        <v>7.27</v>
      </c>
      <c r="N5309" s="40" t="str">
        <f>IF(OR(ISBLANK(C5309),C5309="",M5309=""),"In Progress",IF(M5309&lt;=J5309,"Met","Breached"))</f>
        <v>Met</v>
      </c>
    </row>
    <row r="5310" ht="19" customHeight="1" spans="1:14" x14ac:dyDescent="0.25">
      <c r="A5310" s="19" t="s">
        <v>5424</v>
      </c>
      <c r="B5310" s="33">
        <v>46219.62638888889</v>
      </c>
      <c r="C5310" s="33">
        <v>46219.81180555555</v>
      </c>
      <c r="D5310" s="19" t="s">
        <v>36</v>
      </c>
      <c r="E5310" s="19" t="s">
        <v>61</v>
      </c>
      <c r="F5310" s="19" t="s">
        <v>37</v>
      </c>
      <c r="G5310" s="19" t="s">
        <v>126</v>
      </c>
      <c r="H5310" s="19" t="s">
        <v>63</v>
      </c>
      <c r="I5310" s="19" t="s">
        <v>108</v>
      </c>
      <c r="J5310" s="20">
        <v>12</v>
      </c>
      <c r="K5310" s="34">
        <v>0</v>
      </c>
      <c r="L5310" s="34">
        <v>3</v>
      </c>
      <c r="M5310" s="19">
        <f>IF(OR(ISBLANK(C5310),C5310=""),"",ROUND((C5310-B5310)*24,2))</f>
        <v>4.45</v>
      </c>
      <c r="N5310" s="35" t="str">
        <f>IF(OR(ISBLANK(C5310),C5310="",M5310=""),"In Progress",IF(M5310&lt;=J5310,"Met","Breached"))</f>
        <v>Met</v>
      </c>
    </row>
    <row r="5311" ht="19" customHeight="1" spans="1:14" x14ac:dyDescent="0.25">
      <c r="A5311" s="22" t="s">
        <v>5425</v>
      </c>
      <c r="B5311" s="36">
        <v>45872.66736111111</v>
      </c>
      <c r="C5311" s="36">
        <v>45875.77222222222</v>
      </c>
      <c r="D5311" s="22" t="s">
        <v>36</v>
      </c>
      <c r="E5311" s="22" t="s">
        <v>65</v>
      </c>
      <c r="F5311" s="22" t="s">
        <v>40</v>
      </c>
      <c r="G5311" s="22" t="s">
        <v>110</v>
      </c>
      <c r="H5311" s="22" t="s">
        <v>63</v>
      </c>
      <c r="I5311" s="22" t="s">
        <v>123</v>
      </c>
      <c r="J5311" s="23">
        <v>48</v>
      </c>
      <c r="K5311" s="37">
        <v>0</v>
      </c>
      <c r="L5311" s="37">
        <v>5</v>
      </c>
      <c r="M5311" s="22">
        <f>IF(OR(ISBLANK(C5311),C5311=""),"",ROUND((C5311-B5311)*24,2))</f>
        <v>74.52</v>
      </c>
      <c r="N5311" s="38" t="str">
        <f>IF(OR(ISBLANK(C5311),C5311="",M5311=""),"In Progress",IF(M5311&lt;=J5311,"Met","Breached"))</f>
        <v>Breached</v>
      </c>
    </row>
    <row r="5312" ht="19" customHeight="1" spans="1:14" x14ac:dyDescent="0.25">
      <c r="A5312" s="19" t="s">
        <v>5426</v>
      </c>
      <c r="B5312" s="33">
        <v>45780.959027777775</v>
      </c>
      <c r="C5312" s="33">
        <v>45781.94791666667</v>
      </c>
      <c r="D5312" s="19" t="s">
        <v>36</v>
      </c>
      <c r="E5312" s="19" t="s">
        <v>65</v>
      </c>
      <c r="F5312" s="19" t="s">
        <v>34</v>
      </c>
      <c r="G5312" s="19" t="s">
        <v>116</v>
      </c>
      <c r="H5312" s="19" t="s">
        <v>67</v>
      </c>
      <c r="I5312" s="19" t="s">
        <v>117</v>
      </c>
      <c r="J5312" s="20">
        <v>48</v>
      </c>
      <c r="K5312" s="34">
        <v>0</v>
      </c>
      <c r="M5312" s="19">
        <f>IF(OR(ISBLANK(C5312),C5312=""),"",ROUND((C5312-B5312)*24,2))</f>
        <v>23.73</v>
      </c>
      <c r="N5312" s="35" t="str">
        <f>IF(OR(ISBLANK(C5312),C5312="",M5312=""),"In Progress",IF(M5312&lt;=J5312,"Met","Breached"))</f>
        <v>Met</v>
      </c>
    </row>
    <row r="5313" ht="19" customHeight="1" spans="1:14" x14ac:dyDescent="0.25">
      <c r="A5313" s="22" t="s">
        <v>5427</v>
      </c>
      <c r="B5313" s="36">
        <v>46050.82152777778</v>
      </c>
      <c r="C5313" s="36">
        <v>46051.55347222222</v>
      </c>
      <c r="D5313" s="22" t="s">
        <v>36</v>
      </c>
      <c r="E5313" s="22" t="s">
        <v>65</v>
      </c>
      <c r="F5313" s="22" t="s">
        <v>45</v>
      </c>
      <c r="G5313" s="22" t="s">
        <v>126</v>
      </c>
      <c r="H5313" s="22" t="s">
        <v>59</v>
      </c>
      <c r="I5313" s="22" t="s">
        <v>111</v>
      </c>
      <c r="J5313" s="23">
        <v>48</v>
      </c>
      <c r="K5313" s="37">
        <v>0</v>
      </c>
      <c r="M5313" s="22">
        <f>IF(OR(ISBLANK(C5313),C5313=""),"",ROUND((C5313-B5313)*24,2))</f>
        <v>17.57</v>
      </c>
      <c r="N5313" s="40" t="str">
        <f>IF(OR(ISBLANK(C5313),C5313="",M5313=""),"In Progress",IF(M5313&lt;=J5313,"Met","Breached"))</f>
        <v>Met</v>
      </c>
    </row>
    <row r="5314" ht="19" customHeight="1" spans="1:14" x14ac:dyDescent="0.25">
      <c r="A5314" s="19" t="s">
        <v>5428</v>
      </c>
      <c r="B5314" s="33">
        <v>45677.665972222225</v>
      </c>
      <c r="D5314" s="19" t="s">
        <v>39</v>
      </c>
      <c r="E5314" s="19" t="s">
        <v>69</v>
      </c>
      <c r="F5314" s="19" t="s">
        <v>40</v>
      </c>
      <c r="G5314" s="19" t="s">
        <v>110</v>
      </c>
      <c r="H5314" s="19" t="s">
        <v>59</v>
      </c>
      <c r="I5314" s="19" t="s">
        <v>111</v>
      </c>
      <c r="J5314" s="20">
        <v>120</v>
      </c>
      <c r="K5314" s="34">
        <v>0</v>
      </c>
      <c r="M5314" s="19" t="str">
        <f>IF(OR(ISBLANK(C5314),C5314=""),"",ROUND((C5314-B5314)*24,2))</f>
        <v/>
      </c>
      <c r="N5314" s="19" t="str">
        <f>IF(OR(ISBLANK(C5314),C5314="",M5314=""),"In Progress",IF(M5314&lt;=J5314,"Met","Breached"))</f>
        <v>In Progress</v>
      </c>
    </row>
    <row r="5315" ht="19" customHeight="1" spans="1:14" x14ac:dyDescent="0.25">
      <c r="A5315" s="22" t="s">
        <v>5429</v>
      </c>
      <c r="B5315" s="36">
        <v>46206.2125</v>
      </c>
      <c r="C5315" s="36">
        <v>46207.80763888889</v>
      </c>
      <c r="D5315" s="22" t="s">
        <v>36</v>
      </c>
      <c r="E5315" s="22" t="s">
        <v>65</v>
      </c>
      <c r="F5315" s="22" t="s">
        <v>43</v>
      </c>
      <c r="G5315" s="22" t="s">
        <v>113</v>
      </c>
      <c r="H5315" s="22" t="s">
        <v>71</v>
      </c>
      <c r="I5315" s="22" t="s">
        <v>123</v>
      </c>
      <c r="J5315" s="23">
        <v>48</v>
      </c>
      <c r="K5315" s="37">
        <v>0</v>
      </c>
      <c r="L5315" s="37">
        <v>5</v>
      </c>
      <c r="M5315" s="22">
        <f>IF(OR(ISBLANK(C5315),C5315=""),"",ROUND((C5315-B5315)*24,2))</f>
        <v>38.28</v>
      </c>
      <c r="N5315" s="40" t="str">
        <f>IF(OR(ISBLANK(C5315),C5315="",M5315=""),"In Progress",IF(M5315&lt;=J5315,"Met","Breached"))</f>
        <v>Met</v>
      </c>
    </row>
    <row r="5316" ht="19" customHeight="1" spans="1:14" x14ac:dyDescent="0.25">
      <c r="A5316" s="19" t="s">
        <v>5430</v>
      </c>
      <c r="B5316" s="33">
        <v>45724.32638888889</v>
      </c>
      <c r="C5316" s="33">
        <v>45725.995833333334</v>
      </c>
      <c r="D5316" s="19" t="s">
        <v>33</v>
      </c>
      <c r="E5316" s="19" t="s">
        <v>65</v>
      </c>
      <c r="F5316" s="19" t="s">
        <v>40</v>
      </c>
      <c r="G5316" s="19" t="s">
        <v>121</v>
      </c>
      <c r="H5316" s="19" t="s">
        <v>71</v>
      </c>
      <c r="I5316" s="19" t="s">
        <v>117</v>
      </c>
      <c r="J5316" s="20">
        <v>48</v>
      </c>
      <c r="K5316" s="34">
        <v>0</v>
      </c>
      <c r="L5316" s="34">
        <v>5</v>
      </c>
      <c r="M5316" s="19">
        <f>IF(OR(ISBLANK(C5316),C5316=""),"",ROUND((C5316-B5316)*24,2))</f>
        <v>40.07</v>
      </c>
      <c r="N5316" s="35" t="str">
        <f>IF(OR(ISBLANK(C5316),C5316="",M5316=""),"In Progress",IF(M5316&lt;=J5316,"Met","Breached"))</f>
        <v>Met</v>
      </c>
    </row>
    <row r="5317" ht="19" customHeight="1" spans="1:14" x14ac:dyDescent="0.25">
      <c r="A5317" s="22" t="s">
        <v>5431</v>
      </c>
      <c r="B5317" s="36">
        <v>46043.61041666666</v>
      </c>
      <c r="D5317" s="22" t="s">
        <v>39</v>
      </c>
      <c r="E5317" s="22" t="s">
        <v>65</v>
      </c>
      <c r="F5317" s="22" t="s">
        <v>34</v>
      </c>
      <c r="G5317" s="22" t="s">
        <v>63</v>
      </c>
      <c r="H5317" s="22" t="s">
        <v>63</v>
      </c>
      <c r="I5317" s="22" t="s">
        <v>114</v>
      </c>
      <c r="J5317" s="23">
        <v>48</v>
      </c>
      <c r="K5317" s="37">
        <v>0</v>
      </c>
      <c r="M5317" s="22" t="str">
        <f>IF(OR(ISBLANK(C5317),C5317=""),"",ROUND((C5317-B5317)*24,2))</f>
        <v/>
      </c>
      <c r="N5317" s="22" t="str">
        <f>IF(OR(ISBLANK(C5317),C5317="",M5317=""),"In Progress",IF(M5317&lt;=J5317,"Met","Breached"))</f>
        <v>In Progress</v>
      </c>
    </row>
    <row r="5318" ht="19" customHeight="1" spans="1:14" x14ac:dyDescent="0.25">
      <c r="A5318" s="19" t="s">
        <v>5432</v>
      </c>
      <c r="B5318" s="33">
        <v>46137.90694444445</v>
      </c>
      <c r="C5318" s="33">
        <v>46141.45</v>
      </c>
      <c r="D5318" s="19" t="s">
        <v>33</v>
      </c>
      <c r="E5318" s="19" t="s">
        <v>65</v>
      </c>
      <c r="F5318" s="19" t="s">
        <v>37</v>
      </c>
      <c r="G5318" s="19" t="s">
        <v>110</v>
      </c>
      <c r="H5318" s="19" t="s">
        <v>71</v>
      </c>
      <c r="I5318" s="19" t="s">
        <v>111</v>
      </c>
      <c r="J5318" s="20">
        <v>48</v>
      </c>
      <c r="K5318" s="34">
        <v>0</v>
      </c>
      <c r="L5318" s="34">
        <v>2</v>
      </c>
      <c r="M5318" s="19">
        <f>IF(OR(ISBLANK(C5318),C5318=""),"",ROUND((C5318-B5318)*24,2))</f>
        <v>85.03</v>
      </c>
      <c r="N5318" s="39" t="str">
        <f>IF(OR(ISBLANK(C5318),C5318="",M5318=""),"In Progress",IF(M5318&lt;=J5318,"Met","Breached"))</f>
        <v>Breached</v>
      </c>
    </row>
    <row r="5319" ht="19" customHeight="1" spans="1:14" x14ac:dyDescent="0.25">
      <c r="A5319" s="22" t="s">
        <v>5433</v>
      </c>
      <c r="B5319" s="36">
        <v>46110.75625</v>
      </c>
      <c r="D5319" s="22" t="s">
        <v>42</v>
      </c>
      <c r="E5319" s="22" t="s">
        <v>69</v>
      </c>
      <c r="F5319" s="22" t="s">
        <v>37</v>
      </c>
      <c r="G5319" s="22" t="s">
        <v>126</v>
      </c>
      <c r="H5319" s="22" t="s">
        <v>71</v>
      </c>
      <c r="I5319" s="22" t="s">
        <v>123</v>
      </c>
      <c r="J5319" s="23">
        <v>120</v>
      </c>
      <c r="K5319" s="37">
        <v>0</v>
      </c>
      <c r="M5319" s="22" t="str">
        <f>IF(OR(ISBLANK(C5319),C5319=""),"",ROUND((C5319-B5319)*24,2))</f>
        <v/>
      </c>
      <c r="N5319" s="22" t="str">
        <f>IF(OR(ISBLANK(C5319),C5319="",M5319=""),"In Progress",IF(M5319&lt;=J5319,"Met","Breached"))</f>
        <v>In Progress</v>
      </c>
    </row>
    <row r="5320" ht="19" customHeight="1" spans="1:14" x14ac:dyDescent="0.25">
      <c r="A5320" s="19" t="s">
        <v>5434</v>
      </c>
      <c r="B5320" s="33">
        <v>45707.464583333334</v>
      </c>
      <c r="D5320" s="19" t="s">
        <v>39</v>
      </c>
      <c r="E5320" s="19" t="s">
        <v>61</v>
      </c>
      <c r="F5320" s="19" t="s">
        <v>43</v>
      </c>
      <c r="G5320" s="19" t="s">
        <v>63</v>
      </c>
      <c r="H5320" s="19" t="s">
        <v>59</v>
      </c>
      <c r="I5320" s="19" t="s">
        <v>114</v>
      </c>
      <c r="J5320" s="20">
        <v>12</v>
      </c>
      <c r="K5320" s="34">
        <v>0</v>
      </c>
      <c r="M5320" s="19" t="str">
        <f>IF(OR(ISBLANK(C5320),C5320=""),"",ROUND((C5320-B5320)*24,2))</f>
        <v/>
      </c>
      <c r="N5320" s="19" t="str">
        <f>IF(OR(ISBLANK(C5320),C5320="",M5320=""),"In Progress",IF(M5320&lt;=J5320,"Met","Breached"))</f>
        <v>In Progress</v>
      </c>
    </row>
    <row r="5321" ht="19" customHeight="1" spans="1:14" x14ac:dyDescent="0.25">
      <c r="A5321" s="22" t="s">
        <v>5435</v>
      </c>
      <c r="B5321" s="36">
        <v>45846.48125</v>
      </c>
      <c r="C5321" s="36">
        <v>45852.12291666667</v>
      </c>
      <c r="D5321" s="22" t="s">
        <v>33</v>
      </c>
      <c r="E5321" s="22" t="s">
        <v>69</v>
      </c>
      <c r="F5321" s="22" t="s">
        <v>37</v>
      </c>
      <c r="G5321" s="22" t="s">
        <v>63</v>
      </c>
      <c r="H5321" s="22" t="s">
        <v>59</v>
      </c>
      <c r="I5321" s="22" t="s">
        <v>114</v>
      </c>
      <c r="J5321" s="23">
        <v>120</v>
      </c>
      <c r="K5321" s="37">
        <v>0</v>
      </c>
      <c r="L5321" s="37">
        <v>4</v>
      </c>
      <c r="M5321" s="22">
        <f>IF(OR(ISBLANK(C5321),C5321=""),"",ROUND((C5321-B5321)*24,2))</f>
        <v>135.4</v>
      </c>
      <c r="N5321" s="38" t="str">
        <f>IF(OR(ISBLANK(C5321),C5321="",M5321=""),"In Progress",IF(M5321&lt;=J5321,"Met","Breached"))</f>
        <v>Breached</v>
      </c>
    </row>
    <row r="5322" ht="19" customHeight="1" spans="1:14" x14ac:dyDescent="0.25">
      <c r="A5322" s="19" t="s">
        <v>5436</v>
      </c>
      <c r="B5322" s="33">
        <v>45889.07777777778</v>
      </c>
      <c r="C5322" s="33">
        <v>45889.271527777775</v>
      </c>
      <c r="D5322" s="19" t="s">
        <v>33</v>
      </c>
      <c r="E5322" s="19" t="s">
        <v>61</v>
      </c>
      <c r="F5322" s="19" t="s">
        <v>34</v>
      </c>
      <c r="G5322" s="19" t="s">
        <v>126</v>
      </c>
      <c r="H5322" s="19" t="s">
        <v>63</v>
      </c>
      <c r="I5322" s="19" t="s">
        <v>147</v>
      </c>
      <c r="J5322" s="20">
        <v>12</v>
      </c>
      <c r="K5322" s="34">
        <v>0</v>
      </c>
      <c r="M5322" s="19">
        <f>IF(OR(ISBLANK(C5322),C5322=""),"",ROUND((C5322-B5322)*24,2))</f>
        <v>4.65</v>
      </c>
      <c r="N5322" s="35" t="str">
        <f>IF(OR(ISBLANK(C5322),C5322="",M5322=""),"In Progress",IF(M5322&lt;=J5322,"Met","Breached"))</f>
        <v>Met</v>
      </c>
    </row>
    <row r="5323" ht="19" customHeight="1" spans="1:14" x14ac:dyDescent="0.25">
      <c r="A5323" s="22" t="s">
        <v>5437</v>
      </c>
      <c r="B5323" s="36">
        <v>45706.43680555555</v>
      </c>
      <c r="D5323" s="22" t="s">
        <v>42</v>
      </c>
      <c r="E5323" s="22" t="s">
        <v>69</v>
      </c>
      <c r="F5323" s="22" t="s">
        <v>34</v>
      </c>
      <c r="G5323" s="22" t="s">
        <v>116</v>
      </c>
      <c r="H5323" s="22" t="s">
        <v>59</v>
      </c>
      <c r="I5323" s="22" t="s">
        <v>108</v>
      </c>
      <c r="J5323" s="23">
        <v>120</v>
      </c>
      <c r="K5323" s="37">
        <v>0</v>
      </c>
      <c r="M5323" s="22" t="str">
        <f>IF(OR(ISBLANK(C5323),C5323=""),"",ROUND((C5323-B5323)*24,2))</f>
        <v/>
      </c>
      <c r="N5323" s="22" t="str">
        <f>IF(OR(ISBLANK(C5323),C5323="",M5323=""),"In Progress",IF(M5323&lt;=J5323,"Met","Breached"))</f>
        <v>In Progress</v>
      </c>
    </row>
    <row r="5324" ht="19" customHeight="1" spans="1:14" x14ac:dyDescent="0.25">
      <c r="A5324" s="19" t="s">
        <v>5438</v>
      </c>
      <c r="B5324" s="33">
        <v>46164.58541666667</v>
      </c>
      <c r="C5324" s="33">
        <v>46165.23958333333</v>
      </c>
      <c r="D5324" s="19" t="s">
        <v>36</v>
      </c>
      <c r="E5324" s="19" t="s">
        <v>65</v>
      </c>
      <c r="F5324" s="19" t="s">
        <v>34</v>
      </c>
      <c r="G5324" s="19" t="s">
        <v>110</v>
      </c>
      <c r="H5324" s="19" t="s">
        <v>63</v>
      </c>
      <c r="I5324" s="19" t="s">
        <v>108</v>
      </c>
      <c r="J5324" s="20">
        <v>48</v>
      </c>
      <c r="K5324" s="34">
        <v>0</v>
      </c>
      <c r="L5324" s="34">
        <v>1</v>
      </c>
      <c r="M5324" s="19">
        <f>IF(OR(ISBLANK(C5324),C5324=""),"",ROUND((C5324-B5324)*24,2))</f>
        <v>15.7</v>
      </c>
      <c r="N5324" s="35" t="str">
        <f>IF(OR(ISBLANK(C5324),C5324="",M5324=""),"In Progress",IF(M5324&lt;=J5324,"Met","Breached"))</f>
        <v>Met</v>
      </c>
    </row>
    <row r="5325" ht="19" customHeight="1" spans="1:14" x14ac:dyDescent="0.25">
      <c r="A5325" s="22" t="s">
        <v>5439</v>
      </c>
      <c r="B5325" s="36">
        <v>45734.42847222222</v>
      </c>
      <c r="C5325" s="36">
        <v>45736.09236111111</v>
      </c>
      <c r="D5325" s="22" t="s">
        <v>36</v>
      </c>
      <c r="E5325" s="22" t="s">
        <v>65</v>
      </c>
      <c r="F5325" s="22" t="s">
        <v>34</v>
      </c>
      <c r="G5325" s="22" t="s">
        <v>110</v>
      </c>
      <c r="H5325" s="22" t="s">
        <v>63</v>
      </c>
      <c r="I5325" s="22" t="s">
        <v>117</v>
      </c>
      <c r="J5325" s="23">
        <v>48</v>
      </c>
      <c r="K5325" s="37">
        <v>0</v>
      </c>
      <c r="L5325" s="37">
        <v>2</v>
      </c>
      <c r="M5325" s="22">
        <f>IF(OR(ISBLANK(C5325),C5325=""),"",ROUND((C5325-B5325)*24,2))</f>
        <v>39.93</v>
      </c>
      <c r="N5325" s="40" t="str">
        <f>IF(OR(ISBLANK(C5325),C5325="",M5325=""),"In Progress",IF(M5325&lt;=J5325,"Met","Breached"))</f>
        <v>Met</v>
      </c>
    </row>
    <row r="5326" ht="19" customHeight="1" spans="1:14" x14ac:dyDescent="0.25">
      <c r="A5326" s="19" t="s">
        <v>5440</v>
      </c>
      <c r="B5326" s="33">
        <v>45995.90625</v>
      </c>
      <c r="C5326" s="33">
        <v>45998.45833333333</v>
      </c>
      <c r="D5326" s="19" t="s">
        <v>36</v>
      </c>
      <c r="E5326" s="19" t="s">
        <v>69</v>
      </c>
      <c r="F5326" s="19" t="s">
        <v>37</v>
      </c>
      <c r="G5326" s="19" t="s">
        <v>116</v>
      </c>
      <c r="H5326" s="19" t="s">
        <v>67</v>
      </c>
      <c r="I5326" s="19" t="s">
        <v>111</v>
      </c>
      <c r="J5326" s="20">
        <v>120</v>
      </c>
      <c r="K5326" s="34">
        <v>0</v>
      </c>
      <c r="L5326" s="34">
        <v>1</v>
      </c>
      <c r="M5326" s="19">
        <f>IF(OR(ISBLANK(C5326),C5326=""),"",ROUND((C5326-B5326)*24,2))</f>
        <v>61.25</v>
      </c>
      <c r="N5326" s="35" t="str">
        <f>IF(OR(ISBLANK(C5326),C5326="",M5326=""),"In Progress",IF(M5326&lt;=J5326,"Met","Breached"))</f>
        <v>Met</v>
      </c>
    </row>
    <row r="5327" ht="19" customHeight="1" spans="1:14" x14ac:dyDescent="0.25">
      <c r="A5327" s="22" t="s">
        <v>5441</v>
      </c>
      <c r="B5327" s="36">
        <v>45973.14513888889</v>
      </c>
      <c r="D5327" s="22" t="s">
        <v>39</v>
      </c>
      <c r="E5327" s="22" t="s">
        <v>65</v>
      </c>
      <c r="F5327" s="22" t="s">
        <v>34</v>
      </c>
      <c r="G5327" s="22" t="s">
        <v>113</v>
      </c>
      <c r="H5327" s="22" t="s">
        <v>59</v>
      </c>
      <c r="I5327" s="22" t="s">
        <v>123</v>
      </c>
      <c r="J5327" s="23">
        <v>48</v>
      </c>
      <c r="K5327" s="37">
        <v>0</v>
      </c>
      <c r="M5327" s="22" t="str">
        <f>IF(OR(ISBLANK(C5327),C5327=""),"",ROUND((C5327-B5327)*24,2))</f>
        <v/>
      </c>
      <c r="N5327" s="22" t="str">
        <f>IF(OR(ISBLANK(C5327),C5327="",M5327=""),"In Progress",IF(M5327&lt;=J5327,"Met","Breached"))</f>
        <v>In Progress</v>
      </c>
    </row>
    <row r="5328" ht="19" customHeight="1" spans="1:14" x14ac:dyDescent="0.25">
      <c r="A5328" s="19" t="s">
        <v>5442</v>
      </c>
      <c r="B5328" s="33">
        <v>45688.63541666667</v>
      </c>
      <c r="C5328" s="33">
        <v>45689.915972222225</v>
      </c>
      <c r="D5328" s="19" t="s">
        <v>33</v>
      </c>
      <c r="E5328" s="19" t="s">
        <v>65</v>
      </c>
      <c r="F5328" s="19" t="s">
        <v>40</v>
      </c>
      <c r="G5328" s="19" t="s">
        <v>121</v>
      </c>
      <c r="H5328" s="19" t="s">
        <v>59</v>
      </c>
      <c r="I5328" s="19" t="s">
        <v>111</v>
      </c>
      <c r="J5328" s="20">
        <v>48</v>
      </c>
      <c r="K5328" s="34">
        <v>0</v>
      </c>
      <c r="M5328" s="19">
        <f>IF(OR(ISBLANK(C5328),C5328=""),"",ROUND((C5328-B5328)*24,2))</f>
        <v>30.73</v>
      </c>
      <c r="N5328" s="35" t="str">
        <f>IF(OR(ISBLANK(C5328),C5328="",M5328=""),"In Progress",IF(M5328&lt;=J5328,"Met","Breached"))</f>
        <v>Met</v>
      </c>
    </row>
    <row r="5329" ht="19" customHeight="1" spans="1:14" x14ac:dyDescent="0.25">
      <c r="A5329" s="22" t="s">
        <v>5443</v>
      </c>
      <c r="B5329" s="36">
        <v>46277.92569444445</v>
      </c>
      <c r="C5329" s="36">
        <v>46278.665972222225</v>
      </c>
      <c r="D5329" s="22" t="s">
        <v>36</v>
      </c>
      <c r="E5329" s="22" t="s">
        <v>65</v>
      </c>
      <c r="F5329" s="22" t="s">
        <v>37</v>
      </c>
      <c r="G5329" s="22" t="s">
        <v>116</v>
      </c>
      <c r="H5329" s="22" t="s">
        <v>59</v>
      </c>
      <c r="I5329" s="22" t="s">
        <v>111</v>
      </c>
      <c r="J5329" s="23">
        <v>48</v>
      </c>
      <c r="K5329" s="37">
        <v>0</v>
      </c>
      <c r="L5329" s="37">
        <v>3</v>
      </c>
      <c r="M5329" s="22">
        <f>IF(OR(ISBLANK(C5329),C5329=""),"",ROUND((C5329-B5329)*24,2))</f>
        <v>17.77</v>
      </c>
      <c r="N5329" s="40" t="str">
        <f>IF(OR(ISBLANK(C5329),C5329="",M5329=""),"In Progress",IF(M5329&lt;=J5329,"Met","Breached"))</f>
        <v>Met</v>
      </c>
    </row>
    <row r="5330" ht="19" customHeight="1" spans="1:14" x14ac:dyDescent="0.25">
      <c r="A5330" s="19" t="s">
        <v>5444</v>
      </c>
      <c r="B5330" s="33">
        <v>45807.10208333333</v>
      </c>
      <c r="D5330" s="19" t="s">
        <v>39</v>
      </c>
      <c r="E5330" s="19" t="s">
        <v>61</v>
      </c>
      <c r="F5330" s="19" t="s">
        <v>37</v>
      </c>
      <c r="G5330" s="19" t="s">
        <v>126</v>
      </c>
      <c r="H5330" s="19" t="s">
        <v>63</v>
      </c>
      <c r="I5330" s="19" t="s">
        <v>117</v>
      </c>
      <c r="J5330" s="20">
        <v>12</v>
      </c>
      <c r="K5330" s="34">
        <v>0</v>
      </c>
      <c r="M5330" s="19" t="str">
        <f>IF(OR(ISBLANK(C5330),C5330=""),"",ROUND((C5330-B5330)*24,2))</f>
        <v/>
      </c>
      <c r="N5330" s="19" t="str">
        <f>IF(OR(ISBLANK(C5330),C5330="",M5330=""),"In Progress",IF(M5330&lt;=J5330,"Met","Breached"))</f>
        <v>In Progress</v>
      </c>
    </row>
    <row r="5331" ht="19" customHeight="1" spans="1:14" x14ac:dyDescent="0.25">
      <c r="A5331" s="22" t="s">
        <v>5445</v>
      </c>
      <c r="B5331" s="36">
        <v>46033.675</v>
      </c>
      <c r="D5331" s="22" t="s">
        <v>42</v>
      </c>
      <c r="E5331" s="22" t="s">
        <v>61</v>
      </c>
      <c r="F5331" s="22" t="s">
        <v>34</v>
      </c>
      <c r="G5331" s="22" t="s">
        <v>63</v>
      </c>
      <c r="H5331" s="22" t="s">
        <v>59</v>
      </c>
      <c r="I5331" s="22" t="s">
        <v>108</v>
      </c>
      <c r="J5331" s="23">
        <v>12</v>
      </c>
      <c r="K5331" s="37">
        <v>0</v>
      </c>
      <c r="M5331" s="22" t="str">
        <f>IF(OR(ISBLANK(C5331),C5331=""),"",ROUND((C5331-B5331)*24,2))</f>
        <v/>
      </c>
      <c r="N5331" s="22" t="str">
        <f>IF(OR(ISBLANK(C5331),C5331="",M5331=""),"In Progress",IF(M5331&lt;=J5331,"Met","Breached"))</f>
        <v>In Progress</v>
      </c>
    </row>
    <row r="5332" ht="19" customHeight="1" spans="1:14" x14ac:dyDescent="0.25">
      <c r="A5332" s="19" t="s">
        <v>5446</v>
      </c>
      <c r="B5332" s="33">
        <v>45855.64166666666</v>
      </c>
      <c r="C5332" s="33">
        <v>45859.058333333334</v>
      </c>
      <c r="D5332" s="19" t="s">
        <v>33</v>
      </c>
      <c r="E5332" s="19" t="s">
        <v>65</v>
      </c>
      <c r="F5332" s="19" t="s">
        <v>40</v>
      </c>
      <c r="G5332" s="19" t="s">
        <v>63</v>
      </c>
      <c r="H5332" s="19" t="s">
        <v>63</v>
      </c>
      <c r="I5332" s="19" t="s">
        <v>111</v>
      </c>
      <c r="J5332" s="20">
        <v>48</v>
      </c>
      <c r="K5332" s="34">
        <v>0</v>
      </c>
      <c r="M5332" s="19">
        <f>IF(OR(ISBLANK(C5332),C5332=""),"",ROUND((C5332-B5332)*24,2))</f>
        <v>82</v>
      </c>
      <c r="N5332" s="39" t="str">
        <f>IF(OR(ISBLANK(C5332),C5332="",M5332=""),"In Progress",IF(M5332&lt;=J5332,"Met","Breached"))</f>
        <v>Breached</v>
      </c>
    </row>
    <row r="5333" ht="19" customHeight="1" spans="1:14" x14ac:dyDescent="0.25">
      <c r="A5333" s="22" t="s">
        <v>5447</v>
      </c>
      <c r="B5333" s="36">
        <v>45690.43819444445</v>
      </c>
      <c r="C5333" s="36">
        <v>45691.15277777778</v>
      </c>
      <c r="D5333" s="22" t="s">
        <v>33</v>
      </c>
      <c r="E5333" s="22" t="s">
        <v>61</v>
      </c>
      <c r="F5333" s="22" t="s">
        <v>45</v>
      </c>
      <c r="G5333" s="22" t="s">
        <v>121</v>
      </c>
      <c r="H5333" s="22" t="s">
        <v>63</v>
      </c>
      <c r="I5333" s="22" t="s">
        <v>117</v>
      </c>
      <c r="J5333" s="23">
        <v>12</v>
      </c>
      <c r="K5333" s="37">
        <v>0</v>
      </c>
      <c r="M5333" s="22">
        <f>IF(OR(ISBLANK(C5333),C5333=""),"",ROUND((C5333-B5333)*24,2))</f>
        <v>17.15</v>
      </c>
      <c r="N5333" s="38" t="str">
        <f>IF(OR(ISBLANK(C5333),C5333="",M5333=""),"In Progress",IF(M5333&lt;=J5333,"Met","Breached"))</f>
        <v>Breached</v>
      </c>
    </row>
    <row r="5334" ht="19" customHeight="1" spans="1:14" x14ac:dyDescent="0.25">
      <c r="A5334" s="19" t="s">
        <v>5448</v>
      </c>
      <c r="B5334" s="33">
        <v>45730.055555555555</v>
      </c>
      <c r="D5334" s="19" t="s">
        <v>39</v>
      </c>
      <c r="E5334" s="19" t="s">
        <v>61</v>
      </c>
      <c r="F5334" s="19" t="s">
        <v>34</v>
      </c>
      <c r="G5334" s="19" t="s">
        <v>121</v>
      </c>
      <c r="H5334" s="19" t="s">
        <v>59</v>
      </c>
      <c r="I5334" s="19" t="s">
        <v>147</v>
      </c>
      <c r="J5334" s="20">
        <v>12</v>
      </c>
      <c r="K5334" s="34">
        <v>0</v>
      </c>
      <c r="M5334" s="19" t="str">
        <f>IF(OR(ISBLANK(C5334),C5334=""),"",ROUND((C5334-B5334)*24,2))</f>
        <v/>
      </c>
      <c r="N5334" s="19" t="str">
        <f>IF(OR(ISBLANK(C5334),C5334="",M5334=""),"In Progress",IF(M5334&lt;=J5334,"Met","Breached"))</f>
        <v>In Progress</v>
      </c>
    </row>
    <row r="5335" ht="19" customHeight="1" spans="1:14" x14ac:dyDescent="0.25">
      <c r="A5335" s="22" t="s">
        <v>5449</v>
      </c>
      <c r="B5335" s="36">
        <v>46268.54722222222</v>
      </c>
      <c r="C5335" s="36">
        <v>46271.36319444445</v>
      </c>
      <c r="D5335" s="22" t="s">
        <v>36</v>
      </c>
      <c r="E5335" s="22" t="s">
        <v>65</v>
      </c>
      <c r="F5335" s="22" t="s">
        <v>40</v>
      </c>
      <c r="G5335" s="22" t="s">
        <v>110</v>
      </c>
      <c r="H5335" s="22" t="s">
        <v>59</v>
      </c>
      <c r="I5335" s="22" t="s">
        <v>111</v>
      </c>
      <c r="J5335" s="23">
        <v>48</v>
      </c>
      <c r="K5335" s="37">
        <v>0</v>
      </c>
      <c r="L5335" s="37">
        <v>1</v>
      </c>
      <c r="M5335" s="22">
        <f>IF(OR(ISBLANK(C5335),C5335=""),"",ROUND((C5335-B5335)*24,2))</f>
        <v>67.58</v>
      </c>
      <c r="N5335" s="38" t="str">
        <f>IF(OR(ISBLANK(C5335),C5335="",M5335=""),"In Progress",IF(M5335&lt;=J5335,"Met","Breached"))</f>
        <v>Breached</v>
      </c>
    </row>
    <row r="5336" ht="19" customHeight="1" spans="1:14" x14ac:dyDescent="0.25">
      <c r="A5336" s="19" t="s">
        <v>5450</v>
      </c>
      <c r="B5336" s="33">
        <v>46036.40972222222</v>
      </c>
      <c r="C5336" s="33">
        <v>46039.30972222222</v>
      </c>
      <c r="D5336" s="19" t="s">
        <v>33</v>
      </c>
      <c r="E5336" s="19" t="s">
        <v>69</v>
      </c>
      <c r="F5336" s="19" t="s">
        <v>37</v>
      </c>
      <c r="G5336" s="19" t="s">
        <v>116</v>
      </c>
      <c r="H5336" s="19" t="s">
        <v>63</v>
      </c>
      <c r="I5336" s="19" t="s">
        <v>108</v>
      </c>
      <c r="J5336" s="20">
        <v>120</v>
      </c>
      <c r="K5336" s="34">
        <v>0</v>
      </c>
      <c r="L5336" s="34">
        <v>1</v>
      </c>
      <c r="M5336" s="19">
        <f>IF(OR(ISBLANK(C5336),C5336=""),"",ROUND((C5336-B5336)*24,2))</f>
        <v>69.6</v>
      </c>
      <c r="N5336" s="35" t="str">
        <f>IF(OR(ISBLANK(C5336),C5336="",M5336=""),"In Progress",IF(M5336&lt;=J5336,"Met","Breached"))</f>
        <v>Met</v>
      </c>
    </row>
    <row r="5337" ht="19" customHeight="1" spans="1:14" x14ac:dyDescent="0.25">
      <c r="A5337" s="22" t="s">
        <v>5451</v>
      </c>
      <c r="B5337" s="36">
        <v>45832.23402777778</v>
      </c>
      <c r="D5337" s="22" t="s">
        <v>42</v>
      </c>
      <c r="E5337" s="22" t="s">
        <v>61</v>
      </c>
      <c r="F5337" s="22" t="s">
        <v>43</v>
      </c>
      <c r="G5337" s="22" t="s">
        <v>126</v>
      </c>
      <c r="H5337" s="22" t="s">
        <v>59</v>
      </c>
      <c r="I5337" s="22" t="s">
        <v>114</v>
      </c>
      <c r="J5337" s="23">
        <v>12</v>
      </c>
      <c r="K5337" s="37">
        <v>0</v>
      </c>
      <c r="M5337" s="22" t="str">
        <f>IF(OR(ISBLANK(C5337),C5337=""),"",ROUND((C5337-B5337)*24,2))</f>
        <v/>
      </c>
      <c r="N5337" s="22" t="str">
        <f>IF(OR(ISBLANK(C5337),C5337="",M5337=""),"In Progress",IF(M5337&lt;=J5337,"Met","Breached"))</f>
        <v>In Progress</v>
      </c>
    </row>
    <row r="5338" ht="19" customHeight="1" spans="1:14" x14ac:dyDescent="0.25">
      <c r="A5338" s="19" t="s">
        <v>5452</v>
      </c>
      <c r="B5338" s="33">
        <v>46237.830555555556</v>
      </c>
      <c r="C5338" s="33">
        <v>46240.07916666666</v>
      </c>
      <c r="D5338" s="19" t="s">
        <v>36</v>
      </c>
      <c r="E5338" s="19" t="s">
        <v>65</v>
      </c>
      <c r="F5338" s="19" t="s">
        <v>34</v>
      </c>
      <c r="G5338" s="19" t="s">
        <v>110</v>
      </c>
      <c r="H5338" s="19" t="s">
        <v>71</v>
      </c>
      <c r="I5338" s="19" t="s">
        <v>111</v>
      </c>
      <c r="J5338" s="20">
        <v>48</v>
      </c>
      <c r="K5338" s="34">
        <v>0</v>
      </c>
      <c r="L5338" s="34">
        <v>1</v>
      </c>
      <c r="M5338" s="19">
        <f>IF(OR(ISBLANK(C5338),C5338=""),"",ROUND((C5338-B5338)*24,2))</f>
        <v>53.97</v>
      </c>
      <c r="N5338" s="39" t="str">
        <f>IF(OR(ISBLANK(C5338),C5338="",M5338=""),"In Progress",IF(M5338&lt;=J5338,"Met","Breached"))</f>
        <v>Breached</v>
      </c>
    </row>
    <row r="5339" ht="19" customHeight="1" spans="1:14" x14ac:dyDescent="0.25">
      <c r="A5339" s="22" t="s">
        <v>5453</v>
      </c>
      <c r="B5339" s="36">
        <v>46111.802777777775</v>
      </c>
      <c r="D5339" s="22" t="s">
        <v>42</v>
      </c>
      <c r="E5339" s="22" t="s">
        <v>65</v>
      </c>
      <c r="F5339" s="22" t="s">
        <v>43</v>
      </c>
      <c r="G5339" s="22" t="s">
        <v>113</v>
      </c>
      <c r="H5339" s="22" t="s">
        <v>63</v>
      </c>
      <c r="I5339" s="22" t="s">
        <v>108</v>
      </c>
      <c r="J5339" s="23">
        <v>48</v>
      </c>
      <c r="K5339" s="37">
        <v>0</v>
      </c>
      <c r="M5339" s="22" t="str">
        <f>IF(OR(ISBLANK(C5339),C5339=""),"",ROUND((C5339-B5339)*24,2))</f>
        <v/>
      </c>
      <c r="N5339" s="22" t="str">
        <f>IF(OR(ISBLANK(C5339),C5339="",M5339=""),"In Progress",IF(M5339&lt;=J5339,"Met","Breached"))</f>
        <v>In Progress</v>
      </c>
    </row>
    <row r="5340" ht="19" customHeight="1" spans="1:14" x14ac:dyDescent="0.25">
      <c r="A5340" s="19" t="s">
        <v>5454</v>
      </c>
      <c r="B5340" s="33">
        <v>46080.481944444444</v>
      </c>
      <c r="C5340" s="33">
        <v>46083.72222222222</v>
      </c>
      <c r="D5340" s="19" t="s">
        <v>33</v>
      </c>
      <c r="E5340" s="19" t="s">
        <v>69</v>
      </c>
      <c r="F5340" s="19" t="s">
        <v>45</v>
      </c>
      <c r="G5340" s="19" t="s">
        <v>110</v>
      </c>
      <c r="H5340" s="19" t="s">
        <v>59</v>
      </c>
      <c r="I5340" s="19" t="s">
        <v>111</v>
      </c>
      <c r="J5340" s="20">
        <v>120</v>
      </c>
      <c r="K5340" s="34">
        <v>0</v>
      </c>
      <c r="M5340" s="19">
        <f>IF(OR(ISBLANK(C5340),C5340=""),"",ROUND((C5340-B5340)*24,2))</f>
        <v>77.77</v>
      </c>
      <c r="N5340" s="35" t="str">
        <f>IF(OR(ISBLANK(C5340),C5340="",M5340=""),"In Progress",IF(M5340&lt;=J5340,"Met","Breached"))</f>
        <v>Met</v>
      </c>
    </row>
    <row r="5341" ht="19" customHeight="1" spans="1:14" x14ac:dyDescent="0.25">
      <c r="A5341" s="22" t="s">
        <v>5455</v>
      </c>
      <c r="B5341" s="36">
        <v>45857.111805555556</v>
      </c>
      <c r="C5341" s="36">
        <v>45857.50138888889</v>
      </c>
      <c r="D5341" s="22" t="s">
        <v>36</v>
      </c>
      <c r="E5341" s="22" t="s">
        <v>61</v>
      </c>
      <c r="F5341" s="22" t="s">
        <v>40</v>
      </c>
      <c r="G5341" s="22" t="s">
        <v>121</v>
      </c>
      <c r="H5341" s="22" t="s">
        <v>59</v>
      </c>
      <c r="I5341" s="22" t="s">
        <v>114</v>
      </c>
      <c r="J5341" s="23">
        <v>12</v>
      </c>
      <c r="K5341" s="37">
        <v>0</v>
      </c>
      <c r="M5341" s="22">
        <f>IF(OR(ISBLANK(C5341),C5341=""),"",ROUND((C5341-B5341)*24,2))</f>
        <v>9.35</v>
      </c>
      <c r="N5341" s="40" t="str">
        <f>IF(OR(ISBLANK(C5341),C5341="",M5341=""),"In Progress",IF(M5341&lt;=J5341,"Met","Breached"))</f>
        <v>Met</v>
      </c>
    </row>
    <row r="5342" ht="19" customHeight="1" spans="1:14" x14ac:dyDescent="0.25">
      <c r="A5342" s="19" t="s">
        <v>5456</v>
      </c>
      <c r="B5342" s="33">
        <v>46136.45972222222</v>
      </c>
      <c r="D5342" s="19" t="s">
        <v>39</v>
      </c>
      <c r="E5342" s="19" t="s">
        <v>61</v>
      </c>
      <c r="F5342" s="19" t="s">
        <v>43</v>
      </c>
      <c r="G5342" s="19" t="s">
        <v>121</v>
      </c>
      <c r="H5342" s="19" t="s">
        <v>67</v>
      </c>
      <c r="I5342" s="19" t="s">
        <v>114</v>
      </c>
      <c r="J5342" s="20">
        <v>12</v>
      </c>
      <c r="K5342" s="34">
        <v>0</v>
      </c>
      <c r="M5342" s="19" t="str">
        <f>IF(OR(ISBLANK(C5342),C5342=""),"",ROUND((C5342-B5342)*24,2))</f>
        <v/>
      </c>
      <c r="N5342" s="19" t="str">
        <f>IF(OR(ISBLANK(C5342),C5342="",M5342=""),"In Progress",IF(M5342&lt;=J5342,"Met","Breached"))</f>
        <v>In Progress</v>
      </c>
    </row>
    <row r="5343" ht="19" customHeight="1" spans="1:14" x14ac:dyDescent="0.25">
      <c r="A5343" s="22" t="s">
        <v>5457</v>
      </c>
      <c r="B5343" s="36">
        <v>45803.17291666666</v>
      </c>
      <c r="C5343" s="36">
        <v>45803.9</v>
      </c>
      <c r="D5343" s="22" t="s">
        <v>33</v>
      </c>
      <c r="E5343" s="22" t="s">
        <v>61</v>
      </c>
      <c r="F5343" s="22" t="s">
        <v>43</v>
      </c>
      <c r="G5343" s="22" t="s">
        <v>63</v>
      </c>
      <c r="H5343" s="22" t="s">
        <v>63</v>
      </c>
      <c r="I5343" s="22" t="s">
        <v>117</v>
      </c>
      <c r="J5343" s="23">
        <v>12</v>
      </c>
      <c r="K5343" s="37">
        <v>0</v>
      </c>
      <c r="L5343" s="37">
        <v>4</v>
      </c>
      <c r="M5343" s="22">
        <f>IF(OR(ISBLANK(C5343),C5343=""),"",ROUND((C5343-B5343)*24,2))</f>
        <v>17.45</v>
      </c>
      <c r="N5343" s="38" t="str">
        <f>IF(OR(ISBLANK(C5343),C5343="",M5343=""),"In Progress",IF(M5343&lt;=J5343,"Met","Breached"))</f>
        <v>Breached</v>
      </c>
    </row>
    <row r="5344" ht="19" customHeight="1" spans="1:14" x14ac:dyDescent="0.25">
      <c r="A5344" s="19" t="s">
        <v>5458</v>
      </c>
      <c r="B5344" s="33">
        <v>46083.79513888889</v>
      </c>
      <c r="C5344" s="33">
        <v>46084.02291666667</v>
      </c>
      <c r="D5344" s="19" t="s">
        <v>33</v>
      </c>
      <c r="E5344" s="19" t="s">
        <v>57</v>
      </c>
      <c r="F5344" s="19" t="s">
        <v>40</v>
      </c>
      <c r="G5344" s="19" t="s">
        <v>126</v>
      </c>
      <c r="H5344" s="19" t="s">
        <v>63</v>
      </c>
      <c r="I5344" s="19" t="s">
        <v>111</v>
      </c>
      <c r="J5344" s="20">
        <v>4</v>
      </c>
      <c r="K5344" s="34">
        <v>0</v>
      </c>
      <c r="M5344" s="19">
        <f>IF(OR(ISBLANK(C5344),C5344=""),"",ROUND((C5344-B5344)*24,2))</f>
        <v>5.47</v>
      </c>
      <c r="N5344" s="39" t="str">
        <f>IF(OR(ISBLANK(C5344),C5344="",M5344=""),"In Progress",IF(M5344&lt;=J5344,"Met","Breached"))</f>
        <v>Breached</v>
      </c>
    </row>
    <row r="5345" ht="19" customHeight="1" spans="1:14" x14ac:dyDescent="0.25">
      <c r="A5345" s="22" t="s">
        <v>5459</v>
      </c>
      <c r="B5345" s="36">
        <v>46270.09583333333</v>
      </c>
      <c r="C5345" s="36">
        <v>46272.3375</v>
      </c>
      <c r="D5345" s="22" t="s">
        <v>33</v>
      </c>
      <c r="E5345" s="22" t="s">
        <v>65</v>
      </c>
      <c r="F5345" s="22" t="s">
        <v>34</v>
      </c>
      <c r="G5345" s="22" t="s">
        <v>113</v>
      </c>
      <c r="H5345" s="22" t="s">
        <v>67</v>
      </c>
      <c r="I5345" s="22" t="s">
        <v>111</v>
      </c>
      <c r="J5345" s="23">
        <v>48</v>
      </c>
      <c r="K5345" s="37">
        <v>0</v>
      </c>
      <c r="M5345" s="22">
        <f>IF(OR(ISBLANK(C5345),C5345=""),"",ROUND((C5345-B5345)*24,2))</f>
        <v>53.8</v>
      </c>
      <c r="N5345" s="38" t="str">
        <f>IF(OR(ISBLANK(C5345),C5345="",M5345=""),"In Progress",IF(M5345&lt;=J5345,"Met","Breached"))</f>
        <v>Breached</v>
      </c>
    </row>
    <row r="5346" ht="19" customHeight="1" spans="1:14" x14ac:dyDescent="0.25">
      <c r="A5346" s="19" t="s">
        <v>5460</v>
      </c>
      <c r="B5346" s="33">
        <v>46133.56041666667</v>
      </c>
      <c r="C5346" s="33">
        <v>46136.288194444445</v>
      </c>
      <c r="D5346" s="19" t="s">
        <v>36</v>
      </c>
      <c r="E5346" s="19" t="s">
        <v>65</v>
      </c>
      <c r="F5346" s="19" t="s">
        <v>43</v>
      </c>
      <c r="G5346" s="19" t="s">
        <v>110</v>
      </c>
      <c r="H5346" s="19" t="s">
        <v>59</v>
      </c>
      <c r="I5346" s="19" t="s">
        <v>117</v>
      </c>
      <c r="J5346" s="20">
        <v>48</v>
      </c>
      <c r="K5346" s="34">
        <v>0</v>
      </c>
      <c r="L5346" s="34">
        <v>3</v>
      </c>
      <c r="M5346" s="19">
        <f>IF(OR(ISBLANK(C5346),C5346=""),"",ROUND((C5346-B5346)*24,2))</f>
        <v>65.47</v>
      </c>
      <c r="N5346" s="39" t="str">
        <f>IF(OR(ISBLANK(C5346),C5346="",M5346=""),"In Progress",IF(M5346&lt;=J5346,"Met","Breached"))</f>
        <v>Breached</v>
      </c>
    </row>
    <row r="5347" ht="19" customHeight="1" spans="1:14" x14ac:dyDescent="0.25">
      <c r="A5347" s="22" t="s">
        <v>5461</v>
      </c>
      <c r="B5347" s="36">
        <v>46276.51666666666</v>
      </c>
      <c r="C5347" s="36">
        <v>46277.21944444445</v>
      </c>
      <c r="D5347" s="22" t="s">
        <v>33</v>
      </c>
      <c r="E5347" s="22" t="s">
        <v>65</v>
      </c>
      <c r="F5347" s="22" t="s">
        <v>34</v>
      </c>
      <c r="G5347" s="22" t="s">
        <v>110</v>
      </c>
      <c r="H5347" s="22" t="s">
        <v>59</v>
      </c>
      <c r="I5347" s="22" t="s">
        <v>108</v>
      </c>
      <c r="J5347" s="23">
        <v>48</v>
      </c>
      <c r="K5347" s="37">
        <v>1</v>
      </c>
      <c r="M5347" s="22">
        <f>IF(OR(ISBLANK(C5347),C5347=""),"",ROUND((C5347-B5347)*24,2))</f>
        <v>16.87</v>
      </c>
      <c r="N5347" s="40" t="str">
        <f>IF(OR(ISBLANK(C5347),C5347="",M5347=""),"In Progress",IF(M5347&lt;=J5347,"Met","Breached"))</f>
        <v>Met</v>
      </c>
    </row>
    <row r="5348" ht="19" customHeight="1" spans="1:14" x14ac:dyDescent="0.25">
      <c r="A5348" s="19" t="s">
        <v>5462</v>
      </c>
      <c r="B5348" s="33">
        <v>46160.180555555555</v>
      </c>
      <c r="C5348" s="33">
        <v>46160.95833333333</v>
      </c>
      <c r="D5348" s="19" t="s">
        <v>33</v>
      </c>
      <c r="E5348" s="19" t="s">
        <v>61</v>
      </c>
      <c r="F5348" s="19" t="s">
        <v>43</v>
      </c>
      <c r="G5348" s="19" t="s">
        <v>110</v>
      </c>
      <c r="H5348" s="19" t="s">
        <v>63</v>
      </c>
      <c r="I5348" s="19" t="s">
        <v>117</v>
      </c>
      <c r="J5348" s="20">
        <v>12</v>
      </c>
      <c r="K5348" s="34">
        <v>0</v>
      </c>
      <c r="L5348" s="34">
        <v>1</v>
      </c>
      <c r="M5348" s="19">
        <f>IF(OR(ISBLANK(C5348),C5348=""),"",ROUND((C5348-B5348)*24,2))</f>
        <v>18.67</v>
      </c>
      <c r="N5348" s="39" t="str">
        <f>IF(OR(ISBLANK(C5348),C5348="",M5348=""),"In Progress",IF(M5348&lt;=J5348,"Met","Breached"))</f>
        <v>Breached</v>
      </c>
    </row>
    <row r="5349" ht="19" customHeight="1" spans="1:14" x14ac:dyDescent="0.25">
      <c r="A5349" s="22" t="s">
        <v>5463</v>
      </c>
      <c r="B5349" s="36">
        <v>45858.34861111111</v>
      </c>
      <c r="C5349" s="36">
        <v>45866.21736111111</v>
      </c>
      <c r="D5349" s="22" t="s">
        <v>33</v>
      </c>
      <c r="E5349" s="22" t="s">
        <v>69</v>
      </c>
      <c r="F5349" s="22" t="s">
        <v>34</v>
      </c>
      <c r="G5349" s="22" t="s">
        <v>121</v>
      </c>
      <c r="H5349" s="22" t="s">
        <v>59</v>
      </c>
      <c r="I5349" s="22" t="s">
        <v>114</v>
      </c>
      <c r="J5349" s="23">
        <v>120</v>
      </c>
      <c r="K5349" s="37">
        <v>0</v>
      </c>
      <c r="L5349" s="37">
        <v>2</v>
      </c>
      <c r="M5349" s="22">
        <f>IF(OR(ISBLANK(C5349),C5349=""),"",ROUND((C5349-B5349)*24,2))</f>
        <v>188.85</v>
      </c>
      <c r="N5349" s="38" t="str">
        <f>IF(OR(ISBLANK(C5349),C5349="",M5349=""),"In Progress",IF(M5349&lt;=J5349,"Met","Breached"))</f>
        <v>Breached</v>
      </c>
    </row>
    <row r="5350" ht="19" customHeight="1" spans="1:14" x14ac:dyDescent="0.25">
      <c r="A5350" s="19" t="s">
        <v>5464</v>
      </c>
      <c r="B5350" s="33">
        <v>46271.316666666666</v>
      </c>
      <c r="D5350" s="19" t="s">
        <v>39</v>
      </c>
      <c r="E5350" s="19" t="s">
        <v>65</v>
      </c>
      <c r="F5350" s="19" t="s">
        <v>37</v>
      </c>
      <c r="G5350" s="19" t="s">
        <v>121</v>
      </c>
      <c r="H5350" s="19" t="s">
        <v>71</v>
      </c>
      <c r="I5350" s="19" t="s">
        <v>147</v>
      </c>
      <c r="J5350" s="20">
        <v>48</v>
      </c>
      <c r="K5350" s="34">
        <v>0</v>
      </c>
      <c r="M5350" s="19" t="str">
        <f>IF(OR(ISBLANK(C5350),C5350=""),"",ROUND((C5350-B5350)*24,2))</f>
        <v/>
      </c>
      <c r="N5350" s="19" t="str">
        <f>IF(OR(ISBLANK(C5350),C5350="",M5350=""),"In Progress",IF(M5350&lt;=J5350,"Met","Breached"))</f>
        <v>In Progress</v>
      </c>
    </row>
    <row r="5351" ht="19" customHeight="1" spans="1:14" x14ac:dyDescent="0.25">
      <c r="A5351" s="22" t="s">
        <v>5465</v>
      </c>
      <c r="B5351" s="36">
        <v>45697.83125</v>
      </c>
      <c r="C5351" s="36">
        <v>45699.07083333333</v>
      </c>
      <c r="D5351" s="22" t="s">
        <v>33</v>
      </c>
      <c r="E5351" s="22" t="s">
        <v>65</v>
      </c>
      <c r="F5351" s="22" t="s">
        <v>37</v>
      </c>
      <c r="G5351" s="22" t="s">
        <v>110</v>
      </c>
      <c r="H5351" s="22" t="s">
        <v>63</v>
      </c>
      <c r="I5351" s="22" t="s">
        <v>123</v>
      </c>
      <c r="J5351" s="23">
        <v>48</v>
      </c>
      <c r="K5351" s="37">
        <v>0</v>
      </c>
      <c r="L5351" s="37">
        <v>1</v>
      </c>
      <c r="M5351" s="22">
        <f>IF(OR(ISBLANK(C5351),C5351=""),"",ROUND((C5351-B5351)*24,2))</f>
        <v>29.75</v>
      </c>
      <c r="N5351" s="40" t="str">
        <f>IF(OR(ISBLANK(C5351),C5351="",M5351=""),"In Progress",IF(M5351&lt;=J5351,"Met","Breached"))</f>
        <v>Met</v>
      </c>
    </row>
    <row r="5352" ht="19" customHeight="1" spans="1:14" x14ac:dyDescent="0.25">
      <c r="A5352" s="19" t="s">
        <v>5466</v>
      </c>
      <c r="B5352" s="33">
        <v>45774.319444444445</v>
      </c>
      <c r="C5352" s="33">
        <v>45777.65277777778</v>
      </c>
      <c r="D5352" s="19" t="s">
        <v>33</v>
      </c>
      <c r="E5352" s="19" t="s">
        <v>69</v>
      </c>
      <c r="F5352" s="19" t="s">
        <v>37</v>
      </c>
      <c r="G5352" s="19" t="s">
        <v>110</v>
      </c>
      <c r="H5352" s="19" t="s">
        <v>59</v>
      </c>
      <c r="I5352" s="19" t="s">
        <v>147</v>
      </c>
      <c r="J5352" s="20">
        <v>120</v>
      </c>
      <c r="K5352" s="34">
        <v>1</v>
      </c>
      <c r="L5352" s="34">
        <v>1</v>
      </c>
      <c r="M5352" s="19">
        <f>IF(OR(ISBLANK(C5352),C5352=""),"",ROUND((C5352-B5352)*24,2))</f>
        <v>80</v>
      </c>
      <c r="N5352" s="35" t="str">
        <f>IF(OR(ISBLANK(C5352),C5352="",M5352=""),"In Progress",IF(M5352&lt;=J5352,"Met","Breached"))</f>
        <v>Met</v>
      </c>
    </row>
    <row r="5353" ht="19" customHeight="1" spans="1:14" x14ac:dyDescent="0.25">
      <c r="A5353" s="22" t="s">
        <v>5467</v>
      </c>
      <c r="B5353" s="36">
        <v>46207.57430555555</v>
      </c>
      <c r="C5353" s="36">
        <v>46214.31458333333</v>
      </c>
      <c r="D5353" s="22" t="s">
        <v>36</v>
      </c>
      <c r="E5353" s="22" t="s">
        <v>69</v>
      </c>
      <c r="F5353" s="22" t="s">
        <v>43</v>
      </c>
      <c r="G5353" s="22" t="s">
        <v>110</v>
      </c>
      <c r="H5353" s="22" t="s">
        <v>59</v>
      </c>
      <c r="I5353" s="22" t="s">
        <v>147</v>
      </c>
      <c r="J5353" s="23">
        <v>120</v>
      </c>
      <c r="K5353" s="37">
        <v>0</v>
      </c>
      <c r="L5353" s="37">
        <v>4</v>
      </c>
      <c r="M5353" s="22">
        <f>IF(OR(ISBLANK(C5353),C5353=""),"",ROUND((C5353-B5353)*24,2))</f>
        <v>161.77</v>
      </c>
      <c r="N5353" s="38" t="str">
        <f>IF(OR(ISBLANK(C5353),C5353="",M5353=""),"In Progress",IF(M5353&lt;=J5353,"Met","Breached"))</f>
        <v>Breached</v>
      </c>
    </row>
    <row r="5354" ht="19" customHeight="1" spans="1:14" x14ac:dyDescent="0.25">
      <c r="A5354" s="19" t="s">
        <v>5468</v>
      </c>
      <c r="B5354" s="33">
        <v>46108.5125</v>
      </c>
      <c r="C5354" s="33">
        <v>46112.26458333334</v>
      </c>
      <c r="D5354" s="19" t="s">
        <v>36</v>
      </c>
      <c r="E5354" s="19" t="s">
        <v>69</v>
      </c>
      <c r="F5354" s="19" t="s">
        <v>45</v>
      </c>
      <c r="G5354" s="19" t="s">
        <v>121</v>
      </c>
      <c r="H5354" s="19" t="s">
        <v>63</v>
      </c>
      <c r="I5354" s="19" t="s">
        <v>111</v>
      </c>
      <c r="J5354" s="20">
        <v>120</v>
      </c>
      <c r="K5354" s="34">
        <v>0</v>
      </c>
      <c r="M5354" s="19">
        <f>IF(OR(ISBLANK(C5354),C5354=""),"",ROUND((C5354-B5354)*24,2))</f>
        <v>90.05</v>
      </c>
      <c r="N5354" s="35" t="str">
        <f>IF(OR(ISBLANK(C5354),C5354="",M5354=""),"In Progress",IF(M5354&lt;=J5354,"Met","Breached"))</f>
        <v>Met</v>
      </c>
    </row>
    <row r="5355" ht="19" customHeight="1" spans="1:14" x14ac:dyDescent="0.25">
      <c r="A5355" s="22" t="s">
        <v>5469</v>
      </c>
      <c r="B5355" s="36">
        <v>45661.64166666666</v>
      </c>
      <c r="C5355" s="36">
        <v>45662.23402777778</v>
      </c>
      <c r="D5355" s="22" t="s">
        <v>33</v>
      </c>
      <c r="E5355" s="22" t="s">
        <v>61</v>
      </c>
      <c r="F5355" s="22" t="s">
        <v>43</v>
      </c>
      <c r="G5355" s="22" t="s">
        <v>110</v>
      </c>
      <c r="H5355" s="22" t="s">
        <v>71</v>
      </c>
      <c r="I5355" s="22" t="s">
        <v>147</v>
      </c>
      <c r="J5355" s="23">
        <v>12</v>
      </c>
      <c r="K5355" s="37">
        <v>0</v>
      </c>
      <c r="L5355" s="37">
        <v>4</v>
      </c>
      <c r="M5355" s="22">
        <f>IF(OR(ISBLANK(C5355),C5355=""),"",ROUND((C5355-B5355)*24,2))</f>
        <v>14.22</v>
      </c>
      <c r="N5355" s="38" t="str">
        <f>IF(OR(ISBLANK(C5355),C5355="",M5355=""),"In Progress",IF(M5355&lt;=J5355,"Met","Breached"))</f>
        <v>Breached</v>
      </c>
    </row>
    <row r="5356" ht="19" customHeight="1" spans="1:14" x14ac:dyDescent="0.25">
      <c r="A5356" s="19" t="s">
        <v>5470</v>
      </c>
      <c r="B5356" s="33">
        <v>46046.94375</v>
      </c>
      <c r="C5356" s="33">
        <v>46048.86944444444</v>
      </c>
      <c r="D5356" s="19" t="s">
        <v>33</v>
      </c>
      <c r="E5356" s="19" t="s">
        <v>69</v>
      </c>
      <c r="F5356" s="19" t="s">
        <v>45</v>
      </c>
      <c r="G5356" s="19" t="s">
        <v>121</v>
      </c>
      <c r="H5356" s="19" t="s">
        <v>63</v>
      </c>
      <c r="I5356" s="19" t="s">
        <v>111</v>
      </c>
      <c r="J5356" s="20">
        <v>120</v>
      </c>
      <c r="K5356" s="34">
        <v>0</v>
      </c>
      <c r="L5356" s="34">
        <v>1</v>
      </c>
      <c r="M5356" s="19">
        <f>IF(OR(ISBLANK(C5356),C5356=""),"",ROUND((C5356-B5356)*24,2))</f>
        <v>46.22</v>
      </c>
      <c r="N5356" s="35" t="str">
        <f>IF(OR(ISBLANK(C5356),C5356="",M5356=""),"In Progress",IF(M5356&lt;=J5356,"Met","Breached"))</f>
        <v>Met</v>
      </c>
    </row>
    <row r="5357" ht="19" customHeight="1" spans="1:14" x14ac:dyDescent="0.25">
      <c r="A5357" s="22" t="s">
        <v>5471</v>
      </c>
      <c r="B5357" s="36">
        <v>46229.05416666667</v>
      </c>
      <c r="C5357" s="36">
        <v>46230.00208333333</v>
      </c>
      <c r="D5357" s="22" t="s">
        <v>33</v>
      </c>
      <c r="E5357" s="22" t="s">
        <v>65</v>
      </c>
      <c r="F5357" s="22" t="s">
        <v>34</v>
      </c>
      <c r="G5357" s="22" t="s">
        <v>113</v>
      </c>
      <c r="H5357" s="22" t="s">
        <v>59</v>
      </c>
      <c r="I5357" s="22" t="s">
        <v>117</v>
      </c>
      <c r="J5357" s="23">
        <v>48</v>
      </c>
      <c r="K5357" s="37">
        <v>0</v>
      </c>
      <c r="M5357" s="22">
        <f>IF(OR(ISBLANK(C5357),C5357=""),"",ROUND((C5357-B5357)*24,2))</f>
        <v>22.75</v>
      </c>
      <c r="N5357" s="40" t="str">
        <f>IF(OR(ISBLANK(C5357),C5357="",M5357=""),"In Progress",IF(M5357&lt;=J5357,"Met","Breached"))</f>
        <v>Met</v>
      </c>
    </row>
    <row r="5358" ht="19" customHeight="1" spans="1:14" x14ac:dyDescent="0.25">
      <c r="A5358" s="19" t="s">
        <v>5472</v>
      </c>
      <c r="B5358" s="33">
        <v>46040.17152777778</v>
      </c>
      <c r="C5358" s="33">
        <v>46040.73055555555</v>
      </c>
      <c r="D5358" s="19" t="s">
        <v>36</v>
      </c>
      <c r="E5358" s="19" t="s">
        <v>61</v>
      </c>
      <c r="F5358" s="19" t="s">
        <v>34</v>
      </c>
      <c r="G5358" s="19" t="s">
        <v>126</v>
      </c>
      <c r="H5358" s="19" t="s">
        <v>59</v>
      </c>
      <c r="I5358" s="19" t="s">
        <v>111</v>
      </c>
      <c r="J5358" s="20">
        <v>12</v>
      </c>
      <c r="K5358" s="34">
        <v>0</v>
      </c>
      <c r="L5358" s="34">
        <v>2</v>
      </c>
      <c r="M5358" s="19">
        <f>IF(OR(ISBLANK(C5358),C5358=""),"",ROUND((C5358-B5358)*24,2))</f>
        <v>13.42</v>
      </c>
      <c r="N5358" s="39" t="str">
        <f>IF(OR(ISBLANK(C5358),C5358="",M5358=""),"In Progress",IF(M5358&lt;=J5358,"Met","Breached"))</f>
        <v>Breached</v>
      </c>
    </row>
    <row r="5359" ht="19" customHeight="1" spans="1:14" x14ac:dyDescent="0.25">
      <c r="A5359" s="22" t="s">
        <v>5473</v>
      </c>
      <c r="B5359" s="36">
        <v>45668.700694444444</v>
      </c>
      <c r="D5359" s="22" t="s">
        <v>42</v>
      </c>
      <c r="E5359" s="22" t="s">
        <v>65</v>
      </c>
      <c r="F5359" s="22" t="s">
        <v>45</v>
      </c>
      <c r="G5359" s="22" t="s">
        <v>63</v>
      </c>
      <c r="H5359" s="22" t="s">
        <v>71</v>
      </c>
      <c r="I5359" s="22" t="s">
        <v>111</v>
      </c>
      <c r="J5359" s="23">
        <v>48</v>
      </c>
      <c r="K5359" s="37">
        <v>0</v>
      </c>
      <c r="M5359" s="22" t="str">
        <f>IF(OR(ISBLANK(C5359),C5359=""),"",ROUND((C5359-B5359)*24,2))</f>
        <v/>
      </c>
      <c r="N5359" s="22" t="str">
        <f>IF(OR(ISBLANK(C5359),C5359="",M5359=""),"In Progress",IF(M5359&lt;=J5359,"Met","Breached"))</f>
        <v>In Progress</v>
      </c>
    </row>
    <row r="5360" ht="19" customHeight="1" spans="1:14" x14ac:dyDescent="0.25">
      <c r="A5360" s="19" t="s">
        <v>5474</v>
      </c>
      <c r="B5360" s="33">
        <v>46100.226388888885</v>
      </c>
      <c r="C5360" s="33">
        <v>46107.629166666666</v>
      </c>
      <c r="D5360" s="19" t="s">
        <v>36</v>
      </c>
      <c r="E5360" s="19" t="s">
        <v>69</v>
      </c>
      <c r="F5360" s="19" t="s">
        <v>43</v>
      </c>
      <c r="G5360" s="19" t="s">
        <v>121</v>
      </c>
      <c r="H5360" s="19" t="s">
        <v>63</v>
      </c>
      <c r="I5360" s="19" t="s">
        <v>114</v>
      </c>
      <c r="J5360" s="20">
        <v>120</v>
      </c>
      <c r="K5360" s="34">
        <v>0</v>
      </c>
      <c r="L5360" s="34">
        <v>5</v>
      </c>
      <c r="M5360" s="19">
        <f>IF(OR(ISBLANK(C5360),C5360=""),"",ROUND((C5360-B5360)*24,2))</f>
        <v>177.67</v>
      </c>
      <c r="N5360" s="39" t="str">
        <f>IF(OR(ISBLANK(C5360),C5360="",M5360=""),"In Progress",IF(M5360&lt;=J5360,"Met","Breached"))</f>
        <v>Breached</v>
      </c>
    </row>
    <row r="5361" ht="19" customHeight="1" spans="1:14" x14ac:dyDescent="0.25">
      <c r="A5361" s="22" t="s">
        <v>5475</v>
      </c>
      <c r="B5361" s="36">
        <v>45929.10972222222</v>
      </c>
      <c r="D5361" s="22" t="s">
        <v>39</v>
      </c>
      <c r="E5361" s="22" t="s">
        <v>69</v>
      </c>
      <c r="F5361" s="22" t="s">
        <v>37</v>
      </c>
      <c r="G5361" s="22" t="s">
        <v>126</v>
      </c>
      <c r="H5361" s="22" t="s">
        <v>59</v>
      </c>
      <c r="I5361" s="22" t="s">
        <v>123</v>
      </c>
      <c r="J5361" s="23">
        <v>120</v>
      </c>
      <c r="K5361" s="37">
        <v>0</v>
      </c>
      <c r="M5361" s="22" t="str">
        <f>IF(OR(ISBLANK(C5361),C5361=""),"",ROUND((C5361-B5361)*24,2))</f>
        <v/>
      </c>
      <c r="N5361" s="22" t="str">
        <f>IF(OR(ISBLANK(C5361),C5361="",M5361=""),"In Progress",IF(M5361&lt;=J5361,"Met","Breached"))</f>
        <v>In Progress</v>
      </c>
    </row>
    <row r="5362" ht="19" customHeight="1" spans="1:14" x14ac:dyDescent="0.25">
      <c r="A5362" s="19" t="s">
        <v>5476</v>
      </c>
      <c r="B5362" s="33">
        <v>45856.45486111111</v>
      </c>
      <c r="C5362" s="33">
        <v>45857.62847222222</v>
      </c>
      <c r="D5362" s="19" t="s">
        <v>33</v>
      </c>
      <c r="E5362" s="19" t="s">
        <v>65</v>
      </c>
      <c r="F5362" s="19" t="s">
        <v>37</v>
      </c>
      <c r="G5362" s="19" t="s">
        <v>116</v>
      </c>
      <c r="H5362" s="19" t="s">
        <v>59</v>
      </c>
      <c r="I5362" s="19" t="s">
        <v>117</v>
      </c>
      <c r="J5362" s="20">
        <v>48</v>
      </c>
      <c r="K5362" s="34">
        <v>0</v>
      </c>
      <c r="L5362" s="34">
        <v>3</v>
      </c>
      <c r="M5362" s="19">
        <f>IF(OR(ISBLANK(C5362),C5362=""),"",ROUND((C5362-B5362)*24,2))</f>
        <v>28.17</v>
      </c>
      <c r="N5362" s="35" t="str">
        <f>IF(OR(ISBLANK(C5362),C5362="",M5362=""),"In Progress",IF(M5362&lt;=J5362,"Met","Breached"))</f>
        <v>Met</v>
      </c>
    </row>
    <row r="5363" ht="19" customHeight="1" spans="1:14" x14ac:dyDescent="0.25">
      <c r="A5363" s="22" t="s">
        <v>5477</v>
      </c>
      <c r="B5363" s="36">
        <v>45907.66666666667</v>
      </c>
      <c r="C5363" s="36">
        <v>45909.55694444444</v>
      </c>
      <c r="D5363" s="22" t="s">
        <v>36</v>
      </c>
      <c r="E5363" s="22" t="s">
        <v>69</v>
      </c>
      <c r="F5363" s="22" t="s">
        <v>37</v>
      </c>
      <c r="G5363" s="22" t="s">
        <v>113</v>
      </c>
      <c r="H5363" s="22" t="s">
        <v>59</v>
      </c>
      <c r="I5363" s="22" t="s">
        <v>123</v>
      </c>
      <c r="J5363" s="23">
        <v>120</v>
      </c>
      <c r="K5363" s="37">
        <v>0</v>
      </c>
      <c r="M5363" s="22">
        <f>IF(OR(ISBLANK(C5363),C5363=""),"",ROUND((C5363-B5363)*24,2))</f>
        <v>45.37</v>
      </c>
      <c r="N5363" s="40" t="str">
        <f>IF(OR(ISBLANK(C5363),C5363="",M5363=""),"In Progress",IF(M5363&lt;=J5363,"Met","Breached"))</f>
        <v>Met</v>
      </c>
    </row>
    <row r="5364" ht="19" customHeight="1" spans="1:14" x14ac:dyDescent="0.25">
      <c r="A5364" s="19" t="s">
        <v>5478</v>
      </c>
      <c r="B5364" s="33">
        <v>46124.19583333333</v>
      </c>
      <c r="D5364" s="19" t="s">
        <v>42</v>
      </c>
      <c r="E5364" s="19" t="s">
        <v>61</v>
      </c>
      <c r="F5364" s="19" t="s">
        <v>45</v>
      </c>
      <c r="G5364" s="19" t="s">
        <v>63</v>
      </c>
      <c r="H5364" s="19" t="s">
        <v>59</v>
      </c>
      <c r="I5364" s="19" t="s">
        <v>123</v>
      </c>
      <c r="J5364" s="20">
        <v>12</v>
      </c>
      <c r="K5364" s="34">
        <v>0</v>
      </c>
      <c r="M5364" s="19" t="str">
        <f>IF(OR(ISBLANK(C5364),C5364=""),"",ROUND((C5364-B5364)*24,2))</f>
        <v/>
      </c>
      <c r="N5364" s="19" t="str">
        <f>IF(OR(ISBLANK(C5364),C5364="",M5364=""),"In Progress",IF(M5364&lt;=J5364,"Met","Breached"))</f>
        <v>In Progress</v>
      </c>
    </row>
    <row r="5365" ht="19" customHeight="1" spans="1:14" x14ac:dyDescent="0.25">
      <c r="A5365" s="22" t="s">
        <v>5479</v>
      </c>
      <c r="B5365" s="36">
        <v>46261.368055555555</v>
      </c>
      <c r="C5365" s="36">
        <v>46262.325694444444</v>
      </c>
      <c r="D5365" s="22" t="s">
        <v>33</v>
      </c>
      <c r="E5365" s="22" t="s">
        <v>65</v>
      </c>
      <c r="F5365" s="22" t="s">
        <v>45</v>
      </c>
      <c r="G5365" s="22" t="s">
        <v>126</v>
      </c>
      <c r="H5365" s="22" t="s">
        <v>63</v>
      </c>
      <c r="I5365" s="22" t="s">
        <v>111</v>
      </c>
      <c r="J5365" s="23">
        <v>48</v>
      </c>
      <c r="K5365" s="37">
        <v>0</v>
      </c>
      <c r="L5365" s="37">
        <v>1</v>
      </c>
      <c r="M5365" s="22">
        <f>IF(OR(ISBLANK(C5365),C5365=""),"",ROUND((C5365-B5365)*24,2))</f>
        <v>22.98</v>
      </c>
      <c r="N5365" s="40" t="str">
        <f>IF(OR(ISBLANK(C5365),C5365="",M5365=""),"In Progress",IF(M5365&lt;=J5365,"Met","Breached"))</f>
        <v>Met</v>
      </c>
    </row>
    <row r="5366" ht="19" customHeight="1" spans="1:14" x14ac:dyDescent="0.25">
      <c r="A5366" s="19" t="s">
        <v>5480</v>
      </c>
      <c r="B5366" s="33">
        <v>45659.72916666667</v>
      </c>
      <c r="C5366" s="33">
        <v>45660.52986111111</v>
      </c>
      <c r="D5366" s="19" t="s">
        <v>33</v>
      </c>
      <c r="E5366" s="19" t="s">
        <v>61</v>
      </c>
      <c r="F5366" s="19" t="s">
        <v>37</v>
      </c>
      <c r="G5366" s="19" t="s">
        <v>116</v>
      </c>
      <c r="H5366" s="19" t="s">
        <v>59</v>
      </c>
      <c r="I5366" s="19" t="s">
        <v>147</v>
      </c>
      <c r="J5366" s="20">
        <v>12</v>
      </c>
      <c r="K5366" s="34">
        <v>0</v>
      </c>
      <c r="L5366" s="34">
        <v>5</v>
      </c>
      <c r="M5366" s="19">
        <f>IF(OR(ISBLANK(C5366),C5366=""),"",ROUND((C5366-B5366)*24,2))</f>
        <v>19.22</v>
      </c>
      <c r="N5366" s="39" t="str">
        <f>IF(OR(ISBLANK(C5366),C5366="",M5366=""),"In Progress",IF(M5366&lt;=J5366,"Met","Breached"))</f>
        <v>Breached</v>
      </c>
    </row>
    <row r="5367" ht="19" customHeight="1" spans="1:14" x14ac:dyDescent="0.25">
      <c r="A5367" s="22" t="s">
        <v>5481</v>
      </c>
      <c r="B5367" s="36">
        <v>45666.95</v>
      </c>
      <c r="D5367" s="22" t="s">
        <v>39</v>
      </c>
      <c r="E5367" s="22" t="s">
        <v>61</v>
      </c>
      <c r="F5367" s="22" t="s">
        <v>34</v>
      </c>
      <c r="G5367" s="22" t="s">
        <v>121</v>
      </c>
      <c r="H5367" s="22" t="s">
        <v>59</v>
      </c>
      <c r="I5367" s="22" t="s">
        <v>147</v>
      </c>
      <c r="J5367" s="23">
        <v>12</v>
      </c>
      <c r="K5367" s="37">
        <v>0</v>
      </c>
      <c r="M5367" s="22" t="str">
        <f>IF(OR(ISBLANK(C5367),C5367=""),"",ROUND((C5367-B5367)*24,2))</f>
        <v/>
      </c>
      <c r="N5367" s="22" t="str">
        <f>IF(OR(ISBLANK(C5367),C5367="",M5367=""),"In Progress",IF(M5367&lt;=J5367,"Met","Breached"))</f>
        <v>In Progress</v>
      </c>
    </row>
    <row r="5368" ht="19" customHeight="1" spans="1:14" x14ac:dyDescent="0.25">
      <c r="A5368" s="19" t="s">
        <v>5482</v>
      </c>
      <c r="B5368" s="33">
        <v>46217.865277777775</v>
      </c>
      <c r="C5368" s="33">
        <v>46218.65902777778</v>
      </c>
      <c r="D5368" s="19" t="s">
        <v>33</v>
      </c>
      <c r="E5368" s="19" t="s">
        <v>61</v>
      </c>
      <c r="F5368" s="19" t="s">
        <v>37</v>
      </c>
      <c r="G5368" s="19" t="s">
        <v>63</v>
      </c>
      <c r="H5368" s="19" t="s">
        <v>59</v>
      </c>
      <c r="I5368" s="19" t="s">
        <v>114</v>
      </c>
      <c r="J5368" s="20">
        <v>12</v>
      </c>
      <c r="K5368" s="34">
        <v>0</v>
      </c>
      <c r="L5368" s="34">
        <v>4</v>
      </c>
      <c r="M5368" s="19">
        <f>IF(OR(ISBLANK(C5368),C5368=""),"",ROUND((C5368-B5368)*24,2))</f>
        <v>19.05</v>
      </c>
      <c r="N5368" s="39" t="str">
        <f>IF(OR(ISBLANK(C5368),C5368="",M5368=""),"In Progress",IF(M5368&lt;=J5368,"Met","Breached"))</f>
        <v>Breached</v>
      </c>
    </row>
    <row r="5369" ht="19" customHeight="1" spans="1:14" x14ac:dyDescent="0.25">
      <c r="A5369" s="22" t="s">
        <v>5483</v>
      </c>
      <c r="B5369" s="36">
        <v>46052.98611111111</v>
      </c>
      <c r="D5369" s="22" t="s">
        <v>42</v>
      </c>
      <c r="E5369" s="22" t="s">
        <v>65</v>
      </c>
      <c r="F5369" s="22" t="s">
        <v>34</v>
      </c>
      <c r="G5369" s="22" t="s">
        <v>63</v>
      </c>
      <c r="H5369" s="22" t="s">
        <v>59</v>
      </c>
      <c r="I5369" s="22" t="s">
        <v>123</v>
      </c>
      <c r="J5369" s="23">
        <v>48</v>
      </c>
      <c r="K5369" s="37">
        <v>0</v>
      </c>
      <c r="M5369" s="22" t="str">
        <f>IF(OR(ISBLANK(C5369),C5369=""),"",ROUND((C5369-B5369)*24,2))</f>
        <v/>
      </c>
      <c r="N5369" s="22" t="str">
        <f>IF(OR(ISBLANK(C5369),C5369="",M5369=""),"In Progress",IF(M5369&lt;=J5369,"Met","Breached"))</f>
        <v>In Progress</v>
      </c>
    </row>
    <row r="5370" ht="19" customHeight="1" spans="1:14" x14ac:dyDescent="0.25">
      <c r="A5370" s="19" t="s">
        <v>5484</v>
      </c>
      <c r="B5370" s="33">
        <v>45771.898611111115</v>
      </c>
      <c r="C5370" s="33">
        <v>45772.79375</v>
      </c>
      <c r="D5370" s="19" t="s">
        <v>36</v>
      </c>
      <c r="E5370" s="19" t="s">
        <v>61</v>
      </c>
      <c r="F5370" s="19" t="s">
        <v>34</v>
      </c>
      <c r="G5370" s="19" t="s">
        <v>63</v>
      </c>
      <c r="H5370" s="19" t="s">
        <v>59</v>
      </c>
      <c r="I5370" s="19" t="s">
        <v>111</v>
      </c>
      <c r="J5370" s="20">
        <v>12</v>
      </c>
      <c r="K5370" s="34">
        <v>0</v>
      </c>
      <c r="L5370" s="34">
        <v>2</v>
      </c>
      <c r="M5370" s="19">
        <f>IF(OR(ISBLANK(C5370),C5370=""),"",ROUND((C5370-B5370)*24,2))</f>
        <v>21.48</v>
      </c>
      <c r="N5370" s="39" t="str">
        <f>IF(OR(ISBLANK(C5370),C5370="",M5370=""),"In Progress",IF(M5370&lt;=J5370,"Met","Breached"))</f>
        <v>Breached</v>
      </c>
    </row>
    <row r="5371" ht="19" customHeight="1" spans="1:14" x14ac:dyDescent="0.25">
      <c r="A5371" s="22" t="s">
        <v>5485</v>
      </c>
      <c r="B5371" s="36">
        <v>46100.115277777775</v>
      </c>
      <c r="C5371" s="36">
        <v>46107.20138888889</v>
      </c>
      <c r="D5371" s="22" t="s">
        <v>33</v>
      </c>
      <c r="E5371" s="22" t="s">
        <v>69</v>
      </c>
      <c r="F5371" s="22" t="s">
        <v>37</v>
      </c>
      <c r="G5371" s="22" t="s">
        <v>126</v>
      </c>
      <c r="H5371" s="22" t="s">
        <v>63</v>
      </c>
      <c r="I5371" s="22" t="s">
        <v>147</v>
      </c>
      <c r="J5371" s="23">
        <v>120</v>
      </c>
      <c r="K5371" s="37">
        <v>0</v>
      </c>
      <c r="L5371" s="37">
        <v>5</v>
      </c>
      <c r="M5371" s="22">
        <f>IF(OR(ISBLANK(C5371),C5371=""),"",ROUND((C5371-B5371)*24,2))</f>
        <v>170.07</v>
      </c>
      <c r="N5371" s="38" t="str">
        <f>IF(OR(ISBLANK(C5371),C5371="",M5371=""),"In Progress",IF(M5371&lt;=J5371,"Met","Breached"))</f>
        <v>Breached</v>
      </c>
    </row>
    <row r="5372" ht="19" customHeight="1" spans="1:14" x14ac:dyDescent="0.25">
      <c r="A5372" s="19" t="s">
        <v>5486</v>
      </c>
      <c r="B5372" s="33">
        <v>46031.71597222222</v>
      </c>
      <c r="C5372" s="33">
        <v>46033.256944444445</v>
      </c>
      <c r="D5372" s="19" t="s">
        <v>36</v>
      </c>
      <c r="E5372" s="19" t="s">
        <v>65</v>
      </c>
      <c r="F5372" s="19" t="s">
        <v>43</v>
      </c>
      <c r="G5372" s="19" t="s">
        <v>116</v>
      </c>
      <c r="H5372" s="19" t="s">
        <v>67</v>
      </c>
      <c r="I5372" s="19" t="s">
        <v>123</v>
      </c>
      <c r="J5372" s="20">
        <v>48</v>
      </c>
      <c r="K5372" s="34">
        <v>0</v>
      </c>
      <c r="L5372" s="34">
        <v>5</v>
      </c>
      <c r="M5372" s="19">
        <f>IF(OR(ISBLANK(C5372),C5372=""),"",ROUND((C5372-B5372)*24,2))</f>
        <v>36.98</v>
      </c>
      <c r="N5372" s="35" t="str">
        <f>IF(OR(ISBLANK(C5372),C5372="",M5372=""),"In Progress",IF(M5372&lt;=J5372,"Met","Breached"))</f>
        <v>Met</v>
      </c>
    </row>
    <row r="5373" ht="19" customHeight="1" spans="1:14" x14ac:dyDescent="0.25">
      <c r="A5373" s="22" t="s">
        <v>5487</v>
      </c>
      <c r="B5373" s="36">
        <v>45949.117361111115</v>
      </c>
      <c r="C5373" s="36">
        <v>45949.47361111111</v>
      </c>
      <c r="D5373" s="22" t="s">
        <v>33</v>
      </c>
      <c r="E5373" s="22" t="s">
        <v>61</v>
      </c>
      <c r="F5373" s="22" t="s">
        <v>34</v>
      </c>
      <c r="G5373" s="22" t="s">
        <v>121</v>
      </c>
      <c r="H5373" s="22" t="s">
        <v>59</v>
      </c>
      <c r="I5373" s="22" t="s">
        <v>123</v>
      </c>
      <c r="J5373" s="23">
        <v>12</v>
      </c>
      <c r="K5373" s="37">
        <v>0</v>
      </c>
      <c r="L5373" s="37">
        <v>5</v>
      </c>
      <c r="M5373" s="22">
        <f>IF(OR(ISBLANK(C5373),C5373=""),"",ROUND((C5373-B5373)*24,2))</f>
        <v>8.55</v>
      </c>
      <c r="N5373" s="40" t="str">
        <f>IF(OR(ISBLANK(C5373),C5373="",M5373=""),"In Progress",IF(M5373&lt;=J5373,"Met","Breached"))</f>
        <v>Met</v>
      </c>
    </row>
    <row r="5374" ht="19" customHeight="1" spans="1:14" x14ac:dyDescent="0.25">
      <c r="A5374" s="19" t="s">
        <v>5488</v>
      </c>
      <c r="B5374" s="33">
        <v>46003.97222222222</v>
      </c>
      <c r="C5374" s="33">
        <v>46004.63125</v>
      </c>
      <c r="D5374" s="19" t="s">
        <v>36</v>
      </c>
      <c r="E5374" s="19" t="s">
        <v>61</v>
      </c>
      <c r="F5374" s="19" t="s">
        <v>37</v>
      </c>
      <c r="G5374" s="19" t="s">
        <v>121</v>
      </c>
      <c r="H5374" s="19" t="s">
        <v>67</v>
      </c>
      <c r="I5374" s="19" t="s">
        <v>111</v>
      </c>
      <c r="J5374" s="20">
        <v>12</v>
      </c>
      <c r="K5374" s="34">
        <v>0</v>
      </c>
      <c r="L5374" s="34">
        <v>5</v>
      </c>
      <c r="M5374" s="19">
        <f>IF(OR(ISBLANK(C5374),C5374=""),"",ROUND((C5374-B5374)*24,2))</f>
        <v>15.82</v>
      </c>
      <c r="N5374" s="39" t="str">
        <f>IF(OR(ISBLANK(C5374),C5374="",M5374=""),"In Progress",IF(M5374&lt;=J5374,"Met","Breached"))</f>
        <v>Breached</v>
      </c>
    </row>
    <row r="5375" ht="19" customHeight="1" spans="1:14" x14ac:dyDescent="0.25">
      <c r="A5375" s="22" t="s">
        <v>5489</v>
      </c>
      <c r="B5375" s="36">
        <v>45831.00277777778</v>
      </c>
      <c r="D5375" s="22" t="s">
        <v>39</v>
      </c>
      <c r="E5375" s="22" t="s">
        <v>65</v>
      </c>
      <c r="F5375" s="22" t="s">
        <v>34</v>
      </c>
      <c r="G5375" s="22" t="s">
        <v>113</v>
      </c>
      <c r="H5375" s="22" t="s">
        <v>63</v>
      </c>
      <c r="I5375" s="22" t="s">
        <v>111</v>
      </c>
      <c r="J5375" s="23">
        <v>48</v>
      </c>
      <c r="K5375" s="37">
        <v>0</v>
      </c>
      <c r="M5375" s="22" t="str">
        <f>IF(OR(ISBLANK(C5375),C5375=""),"",ROUND((C5375-B5375)*24,2))</f>
        <v/>
      </c>
      <c r="N5375" s="22" t="str">
        <f>IF(OR(ISBLANK(C5375),C5375="",M5375=""),"In Progress",IF(M5375&lt;=J5375,"Met","Breached"))</f>
        <v>In Progress</v>
      </c>
    </row>
    <row r="5376" ht="19" customHeight="1" spans="1:14" x14ac:dyDescent="0.25">
      <c r="A5376" s="19" t="s">
        <v>5490</v>
      </c>
      <c r="B5376" s="33">
        <v>45794.15069444444</v>
      </c>
      <c r="C5376" s="33">
        <v>45799.26597222222</v>
      </c>
      <c r="D5376" s="19" t="s">
        <v>33</v>
      </c>
      <c r="E5376" s="19" t="s">
        <v>69</v>
      </c>
      <c r="F5376" s="19" t="s">
        <v>40</v>
      </c>
      <c r="G5376" s="19" t="s">
        <v>113</v>
      </c>
      <c r="H5376" s="19" t="s">
        <v>63</v>
      </c>
      <c r="I5376" s="19" t="s">
        <v>123</v>
      </c>
      <c r="J5376" s="20">
        <v>120</v>
      </c>
      <c r="K5376" s="34">
        <v>0</v>
      </c>
      <c r="L5376" s="34">
        <v>5</v>
      </c>
      <c r="M5376" s="19">
        <f>IF(OR(ISBLANK(C5376),C5376=""),"",ROUND((C5376-B5376)*24,2))</f>
        <v>122.77</v>
      </c>
      <c r="N5376" s="39" t="str">
        <f>IF(OR(ISBLANK(C5376),C5376="",M5376=""),"In Progress",IF(M5376&lt;=J5376,"Met","Breached"))</f>
        <v>Breached</v>
      </c>
    </row>
    <row r="5377" ht="19" customHeight="1" spans="1:14" x14ac:dyDescent="0.25">
      <c r="A5377" s="22" t="s">
        <v>5491</v>
      </c>
      <c r="B5377" s="36">
        <v>46194.41180555556</v>
      </c>
      <c r="D5377" s="22" t="s">
        <v>42</v>
      </c>
      <c r="E5377" s="22" t="s">
        <v>65</v>
      </c>
      <c r="F5377" s="22" t="s">
        <v>34</v>
      </c>
      <c r="G5377" s="22" t="s">
        <v>126</v>
      </c>
      <c r="H5377" s="22" t="s">
        <v>59</v>
      </c>
      <c r="I5377" s="22" t="s">
        <v>123</v>
      </c>
      <c r="J5377" s="23">
        <v>48</v>
      </c>
      <c r="K5377" s="37">
        <v>0</v>
      </c>
      <c r="M5377" s="22" t="str">
        <f>IF(OR(ISBLANK(C5377),C5377=""),"",ROUND((C5377-B5377)*24,2))</f>
        <v/>
      </c>
      <c r="N5377" s="22" t="str">
        <f>IF(OR(ISBLANK(C5377),C5377="",M5377=""),"In Progress",IF(M5377&lt;=J5377,"Met","Breached"))</f>
        <v>In Progress</v>
      </c>
    </row>
    <row r="5378" ht="19" customHeight="1" spans="1:14" x14ac:dyDescent="0.25">
      <c r="A5378" s="19" t="s">
        <v>5492</v>
      </c>
      <c r="B5378" s="33">
        <v>45888.486805555556</v>
      </c>
      <c r="C5378" s="33">
        <v>45889.71319444444</v>
      </c>
      <c r="D5378" s="19" t="s">
        <v>36</v>
      </c>
      <c r="E5378" s="19" t="s">
        <v>65</v>
      </c>
      <c r="F5378" s="19" t="s">
        <v>45</v>
      </c>
      <c r="G5378" s="19" t="s">
        <v>63</v>
      </c>
      <c r="H5378" s="19" t="s">
        <v>71</v>
      </c>
      <c r="I5378" s="19" t="s">
        <v>108</v>
      </c>
      <c r="J5378" s="20">
        <v>48</v>
      </c>
      <c r="K5378" s="34">
        <v>0</v>
      </c>
      <c r="M5378" s="19">
        <f>IF(OR(ISBLANK(C5378),C5378=""),"",ROUND((C5378-B5378)*24,2))</f>
        <v>29.43</v>
      </c>
      <c r="N5378" s="35" t="str">
        <f>IF(OR(ISBLANK(C5378),C5378="",M5378=""),"In Progress",IF(M5378&lt;=J5378,"Met","Breached"))</f>
        <v>Met</v>
      </c>
    </row>
    <row r="5379" ht="19" customHeight="1" spans="1:14" x14ac:dyDescent="0.25">
      <c r="A5379" s="22" t="s">
        <v>5493</v>
      </c>
      <c r="B5379" s="36">
        <v>46205.90416666667</v>
      </c>
      <c r="C5379" s="36">
        <v>46208.84652777778</v>
      </c>
      <c r="D5379" s="22" t="s">
        <v>36</v>
      </c>
      <c r="E5379" s="22" t="s">
        <v>65</v>
      </c>
      <c r="F5379" s="22" t="s">
        <v>45</v>
      </c>
      <c r="G5379" s="22" t="s">
        <v>126</v>
      </c>
      <c r="H5379" s="22" t="s">
        <v>59</v>
      </c>
      <c r="I5379" s="22" t="s">
        <v>123</v>
      </c>
      <c r="J5379" s="23">
        <v>48</v>
      </c>
      <c r="K5379" s="37">
        <v>0</v>
      </c>
      <c r="M5379" s="22">
        <f>IF(OR(ISBLANK(C5379),C5379=""),"",ROUND((C5379-B5379)*24,2))</f>
        <v>70.62</v>
      </c>
      <c r="N5379" s="38" t="str">
        <f>IF(OR(ISBLANK(C5379),C5379="",M5379=""),"In Progress",IF(M5379&lt;=J5379,"Met","Breached"))</f>
        <v>Breached</v>
      </c>
    </row>
    <row r="5380" ht="19" customHeight="1" spans="1:14" x14ac:dyDescent="0.25">
      <c r="A5380" s="19" t="s">
        <v>5494</v>
      </c>
      <c r="B5380" s="33">
        <v>45865.26666666666</v>
      </c>
      <c r="C5380" s="33">
        <v>45865.85763888889</v>
      </c>
      <c r="D5380" s="19" t="s">
        <v>36</v>
      </c>
      <c r="E5380" s="19" t="s">
        <v>61</v>
      </c>
      <c r="F5380" s="19" t="s">
        <v>37</v>
      </c>
      <c r="G5380" s="19" t="s">
        <v>110</v>
      </c>
      <c r="H5380" s="19" t="s">
        <v>59</v>
      </c>
      <c r="I5380" s="19" t="s">
        <v>117</v>
      </c>
      <c r="J5380" s="20">
        <v>12</v>
      </c>
      <c r="K5380" s="34">
        <v>0</v>
      </c>
      <c r="M5380" s="19">
        <f>IF(OR(ISBLANK(C5380),C5380=""),"",ROUND((C5380-B5380)*24,2))</f>
        <v>14.18</v>
      </c>
      <c r="N5380" s="39" t="str">
        <f>IF(OR(ISBLANK(C5380),C5380="",M5380=""),"In Progress",IF(M5380&lt;=J5380,"Met","Breached"))</f>
        <v>Breached</v>
      </c>
    </row>
    <row r="5381" ht="19" customHeight="1" spans="1:14" x14ac:dyDescent="0.25">
      <c r="A5381" s="22" t="s">
        <v>5495</v>
      </c>
      <c r="B5381" s="36">
        <v>45942.18680555555</v>
      </c>
      <c r="C5381" s="36">
        <v>45947.054861111115</v>
      </c>
      <c r="D5381" s="22" t="s">
        <v>36</v>
      </c>
      <c r="E5381" s="22" t="s">
        <v>69</v>
      </c>
      <c r="F5381" s="22" t="s">
        <v>40</v>
      </c>
      <c r="G5381" s="22" t="s">
        <v>63</v>
      </c>
      <c r="H5381" s="22" t="s">
        <v>59</v>
      </c>
      <c r="I5381" s="22" t="s">
        <v>114</v>
      </c>
      <c r="J5381" s="23">
        <v>120</v>
      </c>
      <c r="K5381" s="37">
        <v>0</v>
      </c>
      <c r="L5381" s="37">
        <v>3</v>
      </c>
      <c r="M5381" s="22">
        <f>IF(OR(ISBLANK(C5381),C5381=""),"",ROUND((C5381-B5381)*24,2))</f>
        <v>116.83</v>
      </c>
      <c r="N5381" s="40" t="str">
        <f>IF(OR(ISBLANK(C5381),C5381="",M5381=""),"In Progress",IF(M5381&lt;=J5381,"Met","Breached"))</f>
        <v>Met</v>
      </c>
    </row>
    <row r="5382" ht="19" customHeight="1" spans="1:14" x14ac:dyDescent="0.25">
      <c r="A5382" s="19" t="s">
        <v>5496</v>
      </c>
      <c r="B5382" s="33">
        <v>45784.61041666666</v>
      </c>
      <c r="C5382" s="33">
        <v>45793.55625</v>
      </c>
      <c r="D5382" s="19" t="s">
        <v>33</v>
      </c>
      <c r="E5382" s="19" t="s">
        <v>69</v>
      </c>
      <c r="F5382" s="19" t="s">
        <v>40</v>
      </c>
      <c r="G5382" s="19" t="s">
        <v>121</v>
      </c>
      <c r="H5382" s="19" t="s">
        <v>59</v>
      </c>
      <c r="I5382" s="19" t="s">
        <v>111</v>
      </c>
      <c r="J5382" s="20">
        <v>120</v>
      </c>
      <c r="K5382" s="34">
        <v>0</v>
      </c>
      <c r="L5382" s="34">
        <v>1</v>
      </c>
      <c r="M5382" s="19">
        <f>IF(OR(ISBLANK(C5382),C5382=""),"",ROUND((C5382-B5382)*24,2))</f>
        <v>214.7</v>
      </c>
      <c r="N5382" s="39" t="str">
        <f>IF(OR(ISBLANK(C5382),C5382="",M5382=""),"In Progress",IF(M5382&lt;=J5382,"Met","Breached"))</f>
        <v>Breached</v>
      </c>
    </row>
    <row r="5383" ht="19" customHeight="1" spans="1:14" x14ac:dyDescent="0.25">
      <c r="A5383" s="22" t="s">
        <v>5497</v>
      </c>
      <c r="B5383" s="36">
        <v>45726.22430555556</v>
      </c>
      <c r="C5383" s="36">
        <v>45727.21388888889</v>
      </c>
      <c r="D5383" s="22" t="s">
        <v>33</v>
      </c>
      <c r="E5383" s="22" t="s">
        <v>65</v>
      </c>
      <c r="F5383" s="22" t="s">
        <v>40</v>
      </c>
      <c r="G5383" s="22" t="s">
        <v>126</v>
      </c>
      <c r="H5383" s="22" t="s">
        <v>59</v>
      </c>
      <c r="I5383" s="22" t="s">
        <v>111</v>
      </c>
      <c r="J5383" s="23">
        <v>48</v>
      </c>
      <c r="K5383" s="37">
        <v>1</v>
      </c>
      <c r="L5383" s="37">
        <v>2</v>
      </c>
      <c r="M5383" s="22">
        <f>IF(OR(ISBLANK(C5383),C5383=""),"",ROUND((C5383-B5383)*24,2))</f>
        <v>23.75</v>
      </c>
      <c r="N5383" s="40" t="str">
        <f>IF(OR(ISBLANK(C5383),C5383="",M5383=""),"In Progress",IF(M5383&lt;=J5383,"Met","Breached"))</f>
        <v>Met</v>
      </c>
    </row>
    <row r="5384" ht="19" customHeight="1" spans="1:14" x14ac:dyDescent="0.25">
      <c r="A5384" s="19" t="s">
        <v>5498</v>
      </c>
      <c r="B5384" s="33">
        <v>45753.40069444444</v>
      </c>
      <c r="D5384" s="19" t="s">
        <v>42</v>
      </c>
      <c r="E5384" s="19" t="s">
        <v>61</v>
      </c>
      <c r="F5384" s="19" t="s">
        <v>40</v>
      </c>
      <c r="G5384" s="19" t="s">
        <v>63</v>
      </c>
      <c r="H5384" s="19" t="s">
        <v>59</v>
      </c>
      <c r="I5384" s="19" t="s">
        <v>108</v>
      </c>
      <c r="J5384" s="20">
        <v>12</v>
      </c>
      <c r="K5384" s="34">
        <v>0</v>
      </c>
      <c r="M5384" s="19" t="str">
        <f>IF(OR(ISBLANK(C5384),C5384=""),"",ROUND((C5384-B5384)*24,2))</f>
        <v/>
      </c>
      <c r="N5384" s="19" t="str">
        <f>IF(OR(ISBLANK(C5384),C5384="",M5384=""),"In Progress",IF(M5384&lt;=J5384,"Met","Breached"))</f>
        <v>In Progress</v>
      </c>
    </row>
    <row r="5385" ht="19" customHeight="1" spans="1:14" x14ac:dyDescent="0.25">
      <c r="A5385" s="22" t="s">
        <v>5499</v>
      </c>
      <c r="B5385" s="36">
        <v>46175.5375</v>
      </c>
      <c r="D5385" s="22" t="s">
        <v>42</v>
      </c>
      <c r="E5385" s="22" t="s">
        <v>65</v>
      </c>
      <c r="F5385" s="22" t="s">
        <v>40</v>
      </c>
      <c r="G5385" s="22" t="s">
        <v>126</v>
      </c>
      <c r="H5385" s="22" t="s">
        <v>63</v>
      </c>
      <c r="I5385" s="22" t="s">
        <v>114</v>
      </c>
      <c r="J5385" s="23">
        <v>48</v>
      </c>
      <c r="K5385" s="37">
        <v>0</v>
      </c>
      <c r="M5385" s="22" t="str">
        <f>IF(OR(ISBLANK(C5385),C5385=""),"",ROUND((C5385-B5385)*24,2))</f>
        <v/>
      </c>
      <c r="N5385" s="22" t="str">
        <f>IF(OR(ISBLANK(C5385),C5385="",M5385=""),"In Progress",IF(M5385&lt;=J5385,"Met","Breached"))</f>
        <v>In Progress</v>
      </c>
    </row>
    <row r="5386" ht="19" customHeight="1" spans="1:14" x14ac:dyDescent="0.25">
      <c r="A5386" s="19" t="s">
        <v>5500</v>
      </c>
      <c r="B5386" s="33">
        <v>46197.14513888889</v>
      </c>
      <c r="C5386" s="33">
        <v>46204.525</v>
      </c>
      <c r="D5386" s="19" t="s">
        <v>33</v>
      </c>
      <c r="E5386" s="19" t="s">
        <v>69</v>
      </c>
      <c r="F5386" s="19" t="s">
        <v>43</v>
      </c>
      <c r="G5386" s="19" t="s">
        <v>110</v>
      </c>
      <c r="H5386" s="19" t="s">
        <v>59</v>
      </c>
      <c r="I5386" s="19" t="s">
        <v>147</v>
      </c>
      <c r="J5386" s="20">
        <v>120</v>
      </c>
      <c r="K5386" s="34">
        <v>0</v>
      </c>
      <c r="M5386" s="19">
        <f>IF(OR(ISBLANK(C5386),C5386=""),"",ROUND((C5386-B5386)*24,2))</f>
        <v>177.12</v>
      </c>
      <c r="N5386" s="39" t="str">
        <f>IF(OR(ISBLANK(C5386),C5386="",M5386=""),"In Progress",IF(M5386&lt;=J5386,"Met","Breached"))</f>
        <v>Breached</v>
      </c>
    </row>
    <row r="5387" ht="19" customHeight="1" spans="1:14" x14ac:dyDescent="0.25">
      <c r="A5387" s="22" t="s">
        <v>5501</v>
      </c>
      <c r="B5387" s="36">
        <v>45738.56736111111</v>
      </c>
      <c r="C5387" s="36">
        <v>45743.65763888889</v>
      </c>
      <c r="D5387" s="22" t="s">
        <v>33</v>
      </c>
      <c r="E5387" s="22" t="s">
        <v>69</v>
      </c>
      <c r="F5387" s="22" t="s">
        <v>40</v>
      </c>
      <c r="G5387" s="22" t="s">
        <v>110</v>
      </c>
      <c r="H5387" s="22" t="s">
        <v>63</v>
      </c>
      <c r="I5387" s="22" t="s">
        <v>108</v>
      </c>
      <c r="J5387" s="23">
        <v>120</v>
      </c>
      <c r="K5387" s="37">
        <v>0</v>
      </c>
      <c r="M5387" s="22">
        <f>IF(OR(ISBLANK(C5387),C5387=""),"",ROUND((C5387-B5387)*24,2))</f>
        <v>122.17</v>
      </c>
      <c r="N5387" s="38" t="str">
        <f>IF(OR(ISBLANK(C5387),C5387="",M5387=""),"In Progress",IF(M5387&lt;=J5387,"Met","Breached"))</f>
        <v>Breached</v>
      </c>
    </row>
    <row r="5388" ht="19" customHeight="1" spans="1:14" x14ac:dyDescent="0.25">
      <c r="A5388" s="19" t="s">
        <v>5502</v>
      </c>
      <c r="B5388" s="33">
        <v>45981.884722222225</v>
      </c>
      <c r="C5388" s="33">
        <v>45984.19097222222</v>
      </c>
      <c r="D5388" s="19" t="s">
        <v>33</v>
      </c>
      <c r="E5388" s="19" t="s">
        <v>65</v>
      </c>
      <c r="F5388" s="19" t="s">
        <v>43</v>
      </c>
      <c r="G5388" s="19" t="s">
        <v>113</v>
      </c>
      <c r="H5388" s="19" t="s">
        <v>59</v>
      </c>
      <c r="I5388" s="19" t="s">
        <v>117</v>
      </c>
      <c r="J5388" s="20">
        <v>48</v>
      </c>
      <c r="K5388" s="34">
        <v>0</v>
      </c>
      <c r="L5388" s="34">
        <v>5</v>
      </c>
      <c r="M5388" s="19">
        <f>IF(OR(ISBLANK(C5388),C5388=""),"",ROUND((C5388-B5388)*24,2))</f>
        <v>55.35</v>
      </c>
      <c r="N5388" s="39" t="str">
        <f>IF(OR(ISBLANK(C5388),C5388="",M5388=""),"In Progress",IF(M5388&lt;=J5388,"Met","Breached"))</f>
        <v>Breached</v>
      </c>
    </row>
    <row r="5389" ht="19" customHeight="1" spans="1:14" x14ac:dyDescent="0.25">
      <c r="A5389" s="22" t="s">
        <v>5503</v>
      </c>
      <c r="B5389" s="36">
        <v>45873.981944444444</v>
      </c>
      <c r="C5389" s="36">
        <v>45874.40972222222</v>
      </c>
      <c r="D5389" s="22" t="s">
        <v>33</v>
      </c>
      <c r="E5389" s="22" t="s">
        <v>61</v>
      </c>
      <c r="F5389" s="22" t="s">
        <v>45</v>
      </c>
      <c r="G5389" s="22" t="s">
        <v>116</v>
      </c>
      <c r="H5389" s="22" t="s">
        <v>63</v>
      </c>
      <c r="I5389" s="22" t="s">
        <v>111</v>
      </c>
      <c r="J5389" s="23">
        <v>12</v>
      </c>
      <c r="K5389" s="37">
        <v>0</v>
      </c>
      <c r="L5389" s="37">
        <v>4</v>
      </c>
      <c r="M5389" s="22">
        <f>IF(OR(ISBLANK(C5389),C5389=""),"",ROUND((C5389-B5389)*24,2))</f>
        <v>10.27</v>
      </c>
      <c r="N5389" s="40" t="str">
        <f>IF(OR(ISBLANK(C5389),C5389="",M5389=""),"In Progress",IF(M5389&lt;=J5389,"Met","Breached"))</f>
        <v>Met</v>
      </c>
    </row>
    <row r="5390" ht="19" customHeight="1" spans="1:14" x14ac:dyDescent="0.25">
      <c r="A5390" s="19" t="s">
        <v>5504</v>
      </c>
      <c r="B5390" s="33">
        <v>45710.82291666667</v>
      </c>
      <c r="C5390" s="33">
        <v>45715.22708333333</v>
      </c>
      <c r="D5390" s="19" t="s">
        <v>36</v>
      </c>
      <c r="E5390" s="19" t="s">
        <v>69</v>
      </c>
      <c r="F5390" s="19" t="s">
        <v>34</v>
      </c>
      <c r="G5390" s="19" t="s">
        <v>116</v>
      </c>
      <c r="H5390" s="19" t="s">
        <v>59</v>
      </c>
      <c r="I5390" s="19" t="s">
        <v>123</v>
      </c>
      <c r="J5390" s="20">
        <v>120</v>
      </c>
      <c r="K5390" s="34">
        <v>0</v>
      </c>
      <c r="M5390" s="19">
        <f>IF(OR(ISBLANK(C5390),C5390=""),"",ROUND((C5390-B5390)*24,2))</f>
        <v>105.7</v>
      </c>
      <c r="N5390" s="35" t="str">
        <f>IF(OR(ISBLANK(C5390),C5390="",M5390=""),"In Progress",IF(M5390&lt;=J5390,"Met","Breached"))</f>
        <v>Met</v>
      </c>
    </row>
    <row r="5391" ht="19" customHeight="1" spans="1:14" x14ac:dyDescent="0.25">
      <c r="A5391" s="22" t="s">
        <v>5505</v>
      </c>
      <c r="B5391" s="36">
        <v>46233.509722222225</v>
      </c>
      <c r="D5391" s="22" t="s">
        <v>42</v>
      </c>
      <c r="E5391" s="22" t="s">
        <v>65</v>
      </c>
      <c r="F5391" s="22" t="s">
        <v>37</v>
      </c>
      <c r="G5391" s="22" t="s">
        <v>113</v>
      </c>
      <c r="H5391" s="22" t="s">
        <v>59</v>
      </c>
      <c r="I5391" s="22" t="s">
        <v>117</v>
      </c>
      <c r="J5391" s="23">
        <v>48</v>
      </c>
      <c r="K5391" s="37">
        <v>0</v>
      </c>
      <c r="M5391" s="22" t="str">
        <f>IF(OR(ISBLANK(C5391),C5391=""),"",ROUND((C5391-B5391)*24,2))</f>
        <v/>
      </c>
      <c r="N5391" s="22" t="str">
        <f>IF(OR(ISBLANK(C5391),C5391="",M5391=""),"In Progress",IF(M5391&lt;=J5391,"Met","Breached"))</f>
        <v>In Progress</v>
      </c>
    </row>
    <row r="5392" ht="19" customHeight="1" spans="1:14" x14ac:dyDescent="0.25">
      <c r="A5392" s="19" t="s">
        <v>5506</v>
      </c>
      <c r="B5392" s="33">
        <v>46285.94652777778</v>
      </c>
      <c r="C5392" s="33">
        <v>46286.20763888889</v>
      </c>
      <c r="D5392" s="19" t="s">
        <v>33</v>
      </c>
      <c r="E5392" s="19" t="s">
        <v>57</v>
      </c>
      <c r="F5392" s="19" t="s">
        <v>45</v>
      </c>
      <c r="G5392" s="19" t="s">
        <v>116</v>
      </c>
      <c r="H5392" s="19" t="s">
        <v>59</v>
      </c>
      <c r="I5392" s="19" t="s">
        <v>108</v>
      </c>
      <c r="J5392" s="20">
        <v>4</v>
      </c>
      <c r="K5392" s="34">
        <v>0</v>
      </c>
      <c r="M5392" s="19">
        <f>IF(OR(ISBLANK(C5392),C5392=""),"",ROUND((C5392-B5392)*24,2))</f>
        <v>6.27</v>
      </c>
      <c r="N5392" s="39" t="str">
        <f>IF(OR(ISBLANK(C5392),C5392="",M5392=""),"In Progress",IF(M5392&lt;=J5392,"Met","Breached"))</f>
        <v>Breached</v>
      </c>
    </row>
    <row r="5393" ht="19" customHeight="1" spans="1:14" x14ac:dyDescent="0.25">
      <c r="A5393" s="22" t="s">
        <v>5507</v>
      </c>
      <c r="B5393" s="36">
        <v>45931.45347222222</v>
      </c>
      <c r="C5393" s="36">
        <v>45931.81180555555</v>
      </c>
      <c r="D5393" s="22" t="s">
        <v>36</v>
      </c>
      <c r="E5393" s="22" t="s">
        <v>61</v>
      </c>
      <c r="F5393" s="22" t="s">
        <v>43</v>
      </c>
      <c r="G5393" s="22" t="s">
        <v>110</v>
      </c>
      <c r="H5393" s="22" t="s">
        <v>63</v>
      </c>
      <c r="I5393" s="22" t="s">
        <v>147</v>
      </c>
      <c r="J5393" s="23">
        <v>12</v>
      </c>
      <c r="K5393" s="37">
        <v>0</v>
      </c>
      <c r="L5393" s="37">
        <v>1</v>
      </c>
      <c r="M5393" s="22">
        <f>IF(OR(ISBLANK(C5393),C5393=""),"",ROUND((C5393-B5393)*24,2))</f>
        <v>8.6</v>
      </c>
      <c r="N5393" s="40" t="str">
        <f>IF(OR(ISBLANK(C5393),C5393="",M5393=""),"In Progress",IF(M5393&lt;=J5393,"Met","Breached"))</f>
        <v>Met</v>
      </c>
    </row>
    <row r="5394" ht="19" customHeight="1" spans="1:14" x14ac:dyDescent="0.25">
      <c r="A5394" s="19" t="s">
        <v>5508</v>
      </c>
      <c r="B5394" s="33">
        <v>45666.73125</v>
      </c>
      <c r="D5394" s="19" t="s">
        <v>39</v>
      </c>
      <c r="E5394" s="19" t="s">
        <v>65</v>
      </c>
      <c r="F5394" s="19" t="s">
        <v>34</v>
      </c>
      <c r="G5394" s="19" t="s">
        <v>121</v>
      </c>
      <c r="H5394" s="19" t="s">
        <v>63</v>
      </c>
      <c r="I5394" s="19" t="s">
        <v>147</v>
      </c>
      <c r="J5394" s="20">
        <v>48</v>
      </c>
      <c r="K5394" s="34">
        <v>0</v>
      </c>
      <c r="M5394" s="19" t="str">
        <f>IF(OR(ISBLANK(C5394),C5394=""),"",ROUND((C5394-B5394)*24,2))</f>
        <v/>
      </c>
      <c r="N5394" s="19" t="str">
        <f>IF(OR(ISBLANK(C5394),C5394="",M5394=""),"In Progress",IF(M5394&lt;=J5394,"Met","Breached"))</f>
        <v>In Progress</v>
      </c>
    </row>
    <row r="5395" ht="19" customHeight="1" spans="1:14" x14ac:dyDescent="0.25">
      <c r="A5395" s="22" t="s">
        <v>5509</v>
      </c>
      <c r="B5395" s="36">
        <v>45935.214583333334</v>
      </c>
      <c r="C5395" s="36">
        <v>45935.49722222222</v>
      </c>
      <c r="D5395" s="22" t="s">
        <v>33</v>
      </c>
      <c r="E5395" s="22" t="s">
        <v>57</v>
      </c>
      <c r="F5395" s="22" t="s">
        <v>37</v>
      </c>
      <c r="G5395" s="22" t="s">
        <v>63</v>
      </c>
      <c r="H5395" s="22" t="s">
        <v>67</v>
      </c>
      <c r="I5395" s="22" t="s">
        <v>123</v>
      </c>
      <c r="J5395" s="23">
        <v>4</v>
      </c>
      <c r="K5395" s="37">
        <v>0</v>
      </c>
      <c r="L5395" s="37">
        <v>1</v>
      </c>
      <c r="M5395" s="22">
        <f>IF(OR(ISBLANK(C5395),C5395=""),"",ROUND((C5395-B5395)*24,2))</f>
        <v>6.78</v>
      </c>
      <c r="N5395" s="38" t="str">
        <f>IF(OR(ISBLANK(C5395),C5395="",M5395=""),"In Progress",IF(M5395&lt;=J5395,"Met","Breached"))</f>
        <v>Breached</v>
      </c>
    </row>
    <row r="5396" ht="19" customHeight="1" spans="1:14" x14ac:dyDescent="0.25">
      <c r="A5396" s="19" t="s">
        <v>5510</v>
      </c>
      <c r="B5396" s="33">
        <v>46175.01041666667</v>
      </c>
      <c r="D5396" s="19" t="s">
        <v>39</v>
      </c>
      <c r="E5396" s="19" t="s">
        <v>57</v>
      </c>
      <c r="F5396" s="19" t="s">
        <v>43</v>
      </c>
      <c r="G5396" s="19" t="s">
        <v>113</v>
      </c>
      <c r="H5396" s="19" t="s">
        <v>59</v>
      </c>
      <c r="I5396" s="19" t="s">
        <v>114</v>
      </c>
      <c r="J5396" s="20">
        <v>4</v>
      </c>
      <c r="K5396" s="34">
        <v>0</v>
      </c>
      <c r="M5396" s="19" t="str">
        <f>IF(OR(ISBLANK(C5396),C5396=""),"",ROUND((C5396-B5396)*24,2))</f>
        <v/>
      </c>
      <c r="N5396" s="19" t="str">
        <f>IF(OR(ISBLANK(C5396),C5396="",M5396=""),"In Progress",IF(M5396&lt;=J5396,"Met","Breached"))</f>
        <v>In Progress</v>
      </c>
    </row>
    <row r="5397" ht="19" customHeight="1" spans="1:14" x14ac:dyDescent="0.25">
      <c r="A5397" s="22" t="s">
        <v>5511</v>
      </c>
      <c r="B5397" s="36">
        <v>46073.86944444444</v>
      </c>
      <c r="C5397" s="36">
        <v>46074.64375</v>
      </c>
      <c r="D5397" s="22" t="s">
        <v>33</v>
      </c>
      <c r="E5397" s="22" t="s">
        <v>61</v>
      </c>
      <c r="F5397" s="22" t="s">
        <v>40</v>
      </c>
      <c r="G5397" s="22" t="s">
        <v>121</v>
      </c>
      <c r="H5397" s="22" t="s">
        <v>59</v>
      </c>
      <c r="I5397" s="22" t="s">
        <v>147</v>
      </c>
      <c r="J5397" s="23">
        <v>12</v>
      </c>
      <c r="K5397" s="37">
        <v>0</v>
      </c>
      <c r="L5397" s="37">
        <v>2</v>
      </c>
      <c r="M5397" s="22">
        <f>IF(OR(ISBLANK(C5397),C5397=""),"",ROUND((C5397-B5397)*24,2))</f>
        <v>18.58</v>
      </c>
      <c r="N5397" s="38" t="str">
        <f>IF(OR(ISBLANK(C5397),C5397="",M5397=""),"In Progress",IF(M5397&lt;=J5397,"Met","Breached"))</f>
        <v>Breached</v>
      </c>
    </row>
    <row r="5398" ht="19" customHeight="1" spans="1:14" x14ac:dyDescent="0.25">
      <c r="A5398" s="19" t="s">
        <v>5512</v>
      </c>
      <c r="B5398" s="33">
        <v>46012.81041666667</v>
      </c>
      <c r="C5398" s="33">
        <v>46016.30138888889</v>
      </c>
      <c r="D5398" s="19" t="s">
        <v>33</v>
      </c>
      <c r="E5398" s="19" t="s">
        <v>65</v>
      </c>
      <c r="F5398" s="19" t="s">
        <v>34</v>
      </c>
      <c r="G5398" s="19" t="s">
        <v>116</v>
      </c>
      <c r="H5398" s="19" t="s">
        <v>71</v>
      </c>
      <c r="I5398" s="19" t="s">
        <v>117</v>
      </c>
      <c r="J5398" s="20">
        <v>48</v>
      </c>
      <c r="K5398" s="34">
        <v>0</v>
      </c>
      <c r="L5398" s="34">
        <v>4</v>
      </c>
      <c r="M5398" s="19">
        <f>IF(OR(ISBLANK(C5398),C5398=""),"",ROUND((C5398-B5398)*24,2))</f>
        <v>83.78</v>
      </c>
      <c r="N5398" s="39" t="str">
        <f>IF(OR(ISBLANK(C5398),C5398="",M5398=""),"In Progress",IF(M5398&lt;=J5398,"Met","Breached"))</f>
        <v>Breached</v>
      </c>
    </row>
    <row r="5399" ht="19" customHeight="1" spans="1:14" x14ac:dyDescent="0.25">
      <c r="A5399" s="22" t="s">
        <v>5513</v>
      </c>
      <c r="B5399" s="36">
        <v>45946.964583333334</v>
      </c>
      <c r="C5399" s="36">
        <v>45947.87013888889</v>
      </c>
      <c r="D5399" s="22" t="s">
        <v>33</v>
      </c>
      <c r="E5399" s="22" t="s">
        <v>65</v>
      </c>
      <c r="F5399" s="22" t="s">
        <v>37</v>
      </c>
      <c r="G5399" s="22" t="s">
        <v>110</v>
      </c>
      <c r="H5399" s="22" t="s">
        <v>67</v>
      </c>
      <c r="I5399" s="22" t="s">
        <v>111</v>
      </c>
      <c r="J5399" s="23">
        <v>48</v>
      </c>
      <c r="K5399" s="37">
        <v>0</v>
      </c>
      <c r="L5399" s="37">
        <v>1</v>
      </c>
      <c r="M5399" s="22">
        <f>IF(OR(ISBLANK(C5399),C5399=""),"",ROUND((C5399-B5399)*24,2))</f>
        <v>21.73</v>
      </c>
      <c r="N5399" s="40" t="str">
        <f>IF(OR(ISBLANK(C5399),C5399="",M5399=""),"In Progress",IF(M5399&lt;=J5399,"Met","Breached"))</f>
        <v>Met</v>
      </c>
    </row>
    <row r="5400" ht="19" customHeight="1" spans="1:14" x14ac:dyDescent="0.25">
      <c r="A5400" s="19" t="s">
        <v>5514</v>
      </c>
      <c r="B5400" s="33">
        <v>46163.72916666667</v>
      </c>
      <c r="C5400" s="33">
        <v>46163.8375</v>
      </c>
      <c r="D5400" s="19" t="s">
        <v>36</v>
      </c>
      <c r="E5400" s="19" t="s">
        <v>57</v>
      </c>
      <c r="F5400" s="19" t="s">
        <v>34</v>
      </c>
      <c r="G5400" s="19" t="s">
        <v>116</v>
      </c>
      <c r="H5400" s="19" t="s">
        <v>59</v>
      </c>
      <c r="I5400" s="19" t="s">
        <v>147</v>
      </c>
      <c r="J5400" s="20">
        <v>4</v>
      </c>
      <c r="K5400" s="34">
        <v>1</v>
      </c>
      <c r="L5400" s="34">
        <v>1</v>
      </c>
      <c r="M5400" s="19">
        <f>IF(OR(ISBLANK(C5400),C5400=""),"",ROUND((C5400-B5400)*24,2))</f>
        <v>2.6</v>
      </c>
      <c r="N5400" s="35" t="str">
        <f>IF(OR(ISBLANK(C5400),C5400="",M5400=""),"In Progress",IF(M5400&lt;=J5400,"Met","Breached"))</f>
        <v>Met</v>
      </c>
    </row>
    <row r="5401" ht="19" customHeight="1" spans="1:14" x14ac:dyDescent="0.25">
      <c r="A5401" s="22" t="s">
        <v>5515</v>
      </c>
      <c r="B5401" s="36">
        <v>45694.92638888889</v>
      </c>
      <c r="C5401" s="36">
        <v>45702.04166666667</v>
      </c>
      <c r="D5401" s="22" t="s">
        <v>33</v>
      </c>
      <c r="E5401" s="22" t="s">
        <v>69</v>
      </c>
      <c r="F5401" s="22" t="s">
        <v>43</v>
      </c>
      <c r="G5401" s="22" t="s">
        <v>113</v>
      </c>
      <c r="H5401" s="22" t="s">
        <v>59</v>
      </c>
      <c r="I5401" s="22" t="s">
        <v>147</v>
      </c>
      <c r="J5401" s="23">
        <v>120</v>
      </c>
      <c r="K5401" s="37">
        <v>0</v>
      </c>
      <c r="M5401" s="22">
        <f>IF(OR(ISBLANK(C5401),C5401=""),"",ROUND((C5401-B5401)*24,2))</f>
        <v>170.77</v>
      </c>
      <c r="N5401" s="38" t="str">
        <f>IF(OR(ISBLANK(C5401),C5401="",M5401=""),"In Progress",IF(M5401&lt;=J5401,"Met","Breached"))</f>
        <v>Breached</v>
      </c>
    </row>
    <row r="5402" ht="19" customHeight="1" spans="1:14" x14ac:dyDescent="0.25">
      <c r="A5402" s="19" t="s">
        <v>5516</v>
      </c>
      <c r="B5402" s="33">
        <v>45754.00277777778</v>
      </c>
      <c r="C5402" s="33">
        <v>45754.45972222222</v>
      </c>
      <c r="D5402" s="19" t="s">
        <v>36</v>
      </c>
      <c r="E5402" s="19" t="s">
        <v>61</v>
      </c>
      <c r="F5402" s="19" t="s">
        <v>37</v>
      </c>
      <c r="G5402" s="19" t="s">
        <v>113</v>
      </c>
      <c r="H5402" s="19" t="s">
        <v>67</v>
      </c>
      <c r="I5402" s="19" t="s">
        <v>108</v>
      </c>
      <c r="J5402" s="20">
        <v>12</v>
      </c>
      <c r="K5402" s="34">
        <v>0</v>
      </c>
      <c r="M5402" s="19">
        <f>IF(OR(ISBLANK(C5402),C5402=""),"",ROUND((C5402-B5402)*24,2))</f>
        <v>10.97</v>
      </c>
      <c r="N5402" s="35" t="str">
        <f>IF(OR(ISBLANK(C5402),C5402="",M5402=""),"In Progress",IF(M5402&lt;=J5402,"Met","Breached"))</f>
        <v>Met</v>
      </c>
    </row>
    <row r="5403" ht="19" customHeight="1" spans="1:14" x14ac:dyDescent="0.25">
      <c r="A5403" s="22" t="s">
        <v>5517</v>
      </c>
      <c r="B5403" s="36">
        <v>45723.12708333333</v>
      </c>
      <c r="C5403" s="36">
        <v>45724.55347222222</v>
      </c>
      <c r="D5403" s="22" t="s">
        <v>33</v>
      </c>
      <c r="E5403" s="22" t="s">
        <v>65</v>
      </c>
      <c r="F5403" s="22" t="s">
        <v>43</v>
      </c>
      <c r="G5403" s="22" t="s">
        <v>113</v>
      </c>
      <c r="H5403" s="22" t="s">
        <v>67</v>
      </c>
      <c r="I5403" s="22" t="s">
        <v>114</v>
      </c>
      <c r="J5403" s="23">
        <v>48</v>
      </c>
      <c r="K5403" s="37">
        <v>0</v>
      </c>
      <c r="L5403" s="37">
        <v>1</v>
      </c>
      <c r="M5403" s="22">
        <f>IF(OR(ISBLANK(C5403),C5403=""),"",ROUND((C5403-B5403)*24,2))</f>
        <v>34.23</v>
      </c>
      <c r="N5403" s="40" t="str">
        <f>IF(OR(ISBLANK(C5403),C5403="",M5403=""),"In Progress",IF(M5403&lt;=J5403,"Met","Breached"))</f>
        <v>Met</v>
      </c>
    </row>
    <row r="5404" ht="19" customHeight="1" spans="1:14" x14ac:dyDescent="0.25">
      <c r="A5404" s="19" t="s">
        <v>5518</v>
      </c>
      <c r="B5404" s="33">
        <v>45952.05208333333</v>
      </c>
      <c r="C5404" s="33">
        <v>45955.61666666667</v>
      </c>
      <c r="D5404" s="19" t="s">
        <v>33</v>
      </c>
      <c r="E5404" s="19" t="s">
        <v>65</v>
      </c>
      <c r="F5404" s="19" t="s">
        <v>43</v>
      </c>
      <c r="G5404" s="19" t="s">
        <v>116</v>
      </c>
      <c r="H5404" s="19" t="s">
        <v>71</v>
      </c>
      <c r="I5404" s="19" t="s">
        <v>108</v>
      </c>
      <c r="J5404" s="20">
        <v>48</v>
      </c>
      <c r="K5404" s="34">
        <v>1</v>
      </c>
      <c r="L5404" s="34">
        <v>3</v>
      </c>
      <c r="M5404" s="19">
        <f>IF(OR(ISBLANK(C5404),C5404=""),"",ROUND((C5404-B5404)*24,2))</f>
        <v>85.55</v>
      </c>
      <c r="N5404" s="39" t="str">
        <f>IF(OR(ISBLANK(C5404),C5404="",M5404=""),"In Progress",IF(M5404&lt;=J5404,"Met","Breached"))</f>
        <v>Breached</v>
      </c>
    </row>
    <row r="5405" ht="19" customHeight="1" spans="1:14" x14ac:dyDescent="0.25">
      <c r="A5405" s="22" t="s">
        <v>5519</v>
      </c>
      <c r="B5405" s="36">
        <v>45965.09236111111</v>
      </c>
      <c r="C5405" s="36">
        <v>45968.03472222222</v>
      </c>
      <c r="D5405" s="22" t="s">
        <v>33</v>
      </c>
      <c r="E5405" s="22" t="s">
        <v>69</v>
      </c>
      <c r="F5405" s="22" t="s">
        <v>40</v>
      </c>
      <c r="G5405" s="22" t="s">
        <v>110</v>
      </c>
      <c r="H5405" s="22" t="s">
        <v>67</v>
      </c>
      <c r="I5405" s="22" t="s">
        <v>147</v>
      </c>
      <c r="J5405" s="23">
        <v>120</v>
      </c>
      <c r="K5405" s="37">
        <v>0</v>
      </c>
      <c r="M5405" s="22">
        <f>IF(OR(ISBLANK(C5405),C5405=""),"",ROUND((C5405-B5405)*24,2))</f>
        <v>70.62</v>
      </c>
      <c r="N5405" s="40" t="str">
        <f>IF(OR(ISBLANK(C5405),C5405="",M5405=""),"In Progress",IF(M5405&lt;=J5405,"Met","Breached"))</f>
        <v>Met</v>
      </c>
    </row>
    <row r="5406" ht="19" customHeight="1" spans="1:14" x14ac:dyDescent="0.25">
      <c r="A5406" s="19" t="s">
        <v>5520</v>
      </c>
      <c r="B5406" s="33">
        <v>45690.850694444445</v>
      </c>
      <c r="C5406" s="33">
        <v>45696.88680555555</v>
      </c>
      <c r="D5406" s="19" t="s">
        <v>33</v>
      </c>
      <c r="E5406" s="19" t="s">
        <v>69</v>
      </c>
      <c r="F5406" s="19" t="s">
        <v>45</v>
      </c>
      <c r="G5406" s="19" t="s">
        <v>110</v>
      </c>
      <c r="H5406" s="19" t="s">
        <v>67</v>
      </c>
      <c r="I5406" s="19" t="s">
        <v>114</v>
      </c>
      <c r="J5406" s="20">
        <v>120</v>
      </c>
      <c r="K5406" s="34">
        <v>0</v>
      </c>
      <c r="M5406" s="19">
        <f>IF(OR(ISBLANK(C5406),C5406=""),"",ROUND((C5406-B5406)*24,2))</f>
        <v>144.87</v>
      </c>
      <c r="N5406" s="39" t="str">
        <f>IF(OR(ISBLANK(C5406),C5406="",M5406=""),"In Progress",IF(M5406&lt;=J5406,"Met","Breached"))</f>
        <v>Breached</v>
      </c>
    </row>
    <row r="5407" ht="19" customHeight="1" spans="1:14" x14ac:dyDescent="0.25">
      <c r="A5407" s="22" t="s">
        <v>5521</v>
      </c>
      <c r="B5407" s="36">
        <v>46071.209027777775</v>
      </c>
      <c r="C5407" s="36">
        <v>46071.51597222222</v>
      </c>
      <c r="D5407" s="22" t="s">
        <v>36</v>
      </c>
      <c r="E5407" s="22" t="s">
        <v>61</v>
      </c>
      <c r="F5407" s="22" t="s">
        <v>43</v>
      </c>
      <c r="G5407" s="22" t="s">
        <v>110</v>
      </c>
      <c r="H5407" s="22" t="s">
        <v>59</v>
      </c>
      <c r="I5407" s="22" t="s">
        <v>147</v>
      </c>
      <c r="J5407" s="23">
        <v>12</v>
      </c>
      <c r="K5407" s="37">
        <v>0</v>
      </c>
      <c r="M5407" s="22">
        <f>IF(OR(ISBLANK(C5407),C5407=""),"",ROUND((C5407-B5407)*24,2))</f>
        <v>7.37</v>
      </c>
      <c r="N5407" s="40" t="str">
        <f>IF(OR(ISBLANK(C5407),C5407="",M5407=""),"In Progress",IF(M5407&lt;=J5407,"Met","Breached"))</f>
        <v>Met</v>
      </c>
    </row>
    <row r="5408" ht="19" customHeight="1" spans="1:14" x14ac:dyDescent="0.25">
      <c r="A5408" s="19" t="s">
        <v>5522</v>
      </c>
      <c r="B5408" s="33">
        <v>45858.10902777778</v>
      </c>
      <c r="D5408" s="19" t="s">
        <v>42</v>
      </c>
      <c r="E5408" s="19" t="s">
        <v>57</v>
      </c>
      <c r="F5408" s="19" t="s">
        <v>37</v>
      </c>
      <c r="G5408" s="19" t="s">
        <v>110</v>
      </c>
      <c r="H5408" s="19" t="s">
        <v>59</v>
      </c>
      <c r="I5408" s="19" t="s">
        <v>108</v>
      </c>
      <c r="J5408" s="20">
        <v>4</v>
      </c>
      <c r="K5408" s="34">
        <v>0</v>
      </c>
      <c r="M5408" s="19" t="str">
        <f>IF(OR(ISBLANK(C5408),C5408=""),"",ROUND((C5408-B5408)*24,2))</f>
        <v/>
      </c>
      <c r="N5408" s="19" t="str">
        <f>IF(OR(ISBLANK(C5408),C5408="",M5408=""),"In Progress",IF(M5408&lt;=J5408,"Met","Breached"))</f>
        <v>In Progress</v>
      </c>
    </row>
    <row r="5409" ht="19" customHeight="1" spans="1:14" x14ac:dyDescent="0.25">
      <c r="A5409" s="22" t="s">
        <v>5523</v>
      </c>
      <c r="B5409" s="36">
        <v>45721.81805555556</v>
      </c>
      <c r="C5409" s="36">
        <v>45722.85416666667</v>
      </c>
      <c r="D5409" s="22" t="s">
        <v>33</v>
      </c>
      <c r="E5409" s="22" t="s">
        <v>65</v>
      </c>
      <c r="F5409" s="22" t="s">
        <v>37</v>
      </c>
      <c r="G5409" s="22" t="s">
        <v>121</v>
      </c>
      <c r="H5409" s="22" t="s">
        <v>71</v>
      </c>
      <c r="I5409" s="22" t="s">
        <v>123</v>
      </c>
      <c r="J5409" s="23">
        <v>48</v>
      </c>
      <c r="K5409" s="37">
        <v>0</v>
      </c>
      <c r="L5409" s="37">
        <v>2</v>
      </c>
      <c r="M5409" s="22">
        <f>IF(OR(ISBLANK(C5409),C5409=""),"",ROUND((C5409-B5409)*24,2))</f>
        <v>24.87</v>
      </c>
      <c r="N5409" s="40" t="str">
        <f>IF(OR(ISBLANK(C5409),C5409="",M5409=""),"In Progress",IF(M5409&lt;=J5409,"Met","Breached"))</f>
        <v>Met</v>
      </c>
    </row>
    <row r="5410" ht="19" customHeight="1" spans="1:14" x14ac:dyDescent="0.25">
      <c r="A5410" s="19" t="s">
        <v>5524</v>
      </c>
      <c r="B5410" s="33">
        <v>45764.09166666667</v>
      </c>
      <c r="C5410" s="33">
        <v>45767.308333333334</v>
      </c>
      <c r="D5410" s="19" t="s">
        <v>33</v>
      </c>
      <c r="E5410" s="19" t="s">
        <v>65</v>
      </c>
      <c r="F5410" s="19" t="s">
        <v>37</v>
      </c>
      <c r="G5410" s="19" t="s">
        <v>113</v>
      </c>
      <c r="H5410" s="19" t="s">
        <v>63</v>
      </c>
      <c r="I5410" s="19" t="s">
        <v>117</v>
      </c>
      <c r="J5410" s="20">
        <v>48</v>
      </c>
      <c r="K5410" s="34">
        <v>0</v>
      </c>
      <c r="L5410" s="34">
        <v>5</v>
      </c>
      <c r="M5410" s="19">
        <f>IF(OR(ISBLANK(C5410),C5410=""),"",ROUND((C5410-B5410)*24,2))</f>
        <v>77.2</v>
      </c>
      <c r="N5410" s="39" t="str">
        <f>IF(OR(ISBLANK(C5410),C5410="",M5410=""),"In Progress",IF(M5410&lt;=J5410,"Met","Breached"))</f>
        <v>Breached</v>
      </c>
    </row>
    <row r="5411" ht="19" customHeight="1" spans="1:14" x14ac:dyDescent="0.25">
      <c r="A5411" s="22" t="s">
        <v>5525</v>
      </c>
      <c r="B5411" s="36">
        <v>46006.70277777778</v>
      </c>
      <c r="D5411" s="22" t="s">
        <v>39</v>
      </c>
      <c r="E5411" s="22" t="s">
        <v>65</v>
      </c>
      <c r="F5411" s="22" t="s">
        <v>37</v>
      </c>
      <c r="G5411" s="22" t="s">
        <v>63</v>
      </c>
      <c r="H5411" s="22" t="s">
        <v>59</v>
      </c>
      <c r="I5411" s="22" t="s">
        <v>147</v>
      </c>
      <c r="J5411" s="23">
        <v>48</v>
      </c>
      <c r="K5411" s="37">
        <v>0</v>
      </c>
      <c r="M5411" s="22" t="str">
        <f>IF(OR(ISBLANK(C5411),C5411=""),"",ROUND((C5411-B5411)*24,2))</f>
        <v/>
      </c>
      <c r="N5411" s="22" t="str">
        <f>IF(OR(ISBLANK(C5411),C5411="",M5411=""),"In Progress",IF(M5411&lt;=J5411,"Met","Breached"))</f>
        <v>In Progress</v>
      </c>
    </row>
    <row r="5412" ht="19" customHeight="1" spans="1:14" x14ac:dyDescent="0.25">
      <c r="A5412" s="19" t="s">
        <v>5526</v>
      </c>
      <c r="B5412" s="33">
        <v>46093.59930555556</v>
      </c>
      <c r="C5412" s="33">
        <v>46099.55069444445</v>
      </c>
      <c r="D5412" s="19" t="s">
        <v>36</v>
      </c>
      <c r="E5412" s="19" t="s">
        <v>69</v>
      </c>
      <c r="F5412" s="19" t="s">
        <v>34</v>
      </c>
      <c r="G5412" s="19" t="s">
        <v>110</v>
      </c>
      <c r="H5412" s="19" t="s">
        <v>59</v>
      </c>
      <c r="I5412" s="19" t="s">
        <v>111</v>
      </c>
      <c r="J5412" s="20">
        <v>120</v>
      </c>
      <c r="K5412" s="34">
        <v>0</v>
      </c>
      <c r="L5412" s="34">
        <v>2</v>
      </c>
      <c r="M5412" s="19">
        <f>IF(OR(ISBLANK(C5412),C5412=""),"",ROUND((C5412-B5412)*24,2))</f>
        <v>142.83</v>
      </c>
      <c r="N5412" s="39" t="str">
        <f>IF(OR(ISBLANK(C5412),C5412="",M5412=""),"In Progress",IF(M5412&lt;=J5412,"Met","Breached"))</f>
        <v>Breached</v>
      </c>
    </row>
    <row r="5413" ht="19" customHeight="1" spans="1:14" x14ac:dyDescent="0.25">
      <c r="A5413" s="22" t="s">
        <v>5527</v>
      </c>
      <c r="B5413" s="36">
        <v>45952.77638888889</v>
      </c>
      <c r="C5413" s="36">
        <v>45961.4125</v>
      </c>
      <c r="D5413" s="22" t="s">
        <v>33</v>
      </c>
      <c r="E5413" s="22" t="s">
        <v>69</v>
      </c>
      <c r="F5413" s="22" t="s">
        <v>43</v>
      </c>
      <c r="G5413" s="22" t="s">
        <v>126</v>
      </c>
      <c r="H5413" s="22" t="s">
        <v>63</v>
      </c>
      <c r="I5413" s="22" t="s">
        <v>108</v>
      </c>
      <c r="J5413" s="23">
        <v>120</v>
      </c>
      <c r="K5413" s="37">
        <v>0</v>
      </c>
      <c r="L5413" s="37">
        <v>3</v>
      </c>
      <c r="M5413" s="22">
        <f>IF(OR(ISBLANK(C5413),C5413=""),"",ROUND((C5413-B5413)*24,2))</f>
        <v>207.27</v>
      </c>
      <c r="N5413" s="38" t="str">
        <f>IF(OR(ISBLANK(C5413),C5413="",M5413=""),"In Progress",IF(M5413&lt;=J5413,"Met","Breached"))</f>
        <v>Breached</v>
      </c>
    </row>
    <row r="5414" ht="19" customHeight="1" spans="1:14" x14ac:dyDescent="0.25">
      <c r="A5414" s="19" t="s">
        <v>5528</v>
      </c>
      <c r="B5414" s="33">
        <v>45951.705555555556</v>
      </c>
      <c r="C5414" s="33">
        <v>45952.74652777778</v>
      </c>
      <c r="D5414" s="19" t="s">
        <v>33</v>
      </c>
      <c r="E5414" s="19" t="s">
        <v>65</v>
      </c>
      <c r="F5414" s="19" t="s">
        <v>37</v>
      </c>
      <c r="G5414" s="19" t="s">
        <v>126</v>
      </c>
      <c r="H5414" s="19" t="s">
        <v>59</v>
      </c>
      <c r="I5414" s="19" t="s">
        <v>123</v>
      </c>
      <c r="J5414" s="20">
        <v>48</v>
      </c>
      <c r="K5414" s="34">
        <v>0</v>
      </c>
      <c r="M5414" s="19">
        <f>IF(OR(ISBLANK(C5414),C5414=""),"",ROUND((C5414-B5414)*24,2))</f>
        <v>24.98</v>
      </c>
      <c r="N5414" s="35" t="str">
        <f>IF(OR(ISBLANK(C5414),C5414="",M5414=""),"In Progress",IF(M5414&lt;=J5414,"Met","Breached"))</f>
        <v>Met</v>
      </c>
    </row>
    <row r="5415" ht="19" customHeight="1" spans="1:14" x14ac:dyDescent="0.25">
      <c r="A5415" s="22" t="s">
        <v>5529</v>
      </c>
      <c r="B5415" s="36">
        <v>45781.319444444445</v>
      </c>
      <c r="D5415" s="22" t="s">
        <v>39</v>
      </c>
      <c r="E5415" s="22" t="s">
        <v>69</v>
      </c>
      <c r="F5415" s="22" t="s">
        <v>40</v>
      </c>
      <c r="G5415" s="22" t="s">
        <v>126</v>
      </c>
      <c r="H5415" s="22" t="s">
        <v>63</v>
      </c>
      <c r="I5415" s="22" t="s">
        <v>114</v>
      </c>
      <c r="J5415" s="23">
        <v>120</v>
      </c>
      <c r="K5415" s="37">
        <v>0</v>
      </c>
      <c r="M5415" s="22" t="str">
        <f>IF(OR(ISBLANK(C5415),C5415=""),"",ROUND((C5415-B5415)*24,2))</f>
        <v/>
      </c>
      <c r="N5415" s="22" t="str">
        <f>IF(OR(ISBLANK(C5415),C5415="",M5415=""),"In Progress",IF(M5415&lt;=J5415,"Met","Breached"))</f>
        <v>In Progress</v>
      </c>
    </row>
    <row r="5416" ht="19" customHeight="1" spans="1:14" x14ac:dyDescent="0.25">
      <c r="A5416" s="19" t="s">
        <v>5530</v>
      </c>
      <c r="B5416" s="33">
        <v>46270.475694444445</v>
      </c>
      <c r="D5416" s="19" t="s">
        <v>39</v>
      </c>
      <c r="E5416" s="19" t="s">
        <v>65</v>
      </c>
      <c r="F5416" s="19" t="s">
        <v>45</v>
      </c>
      <c r="G5416" s="19" t="s">
        <v>116</v>
      </c>
      <c r="H5416" s="19" t="s">
        <v>63</v>
      </c>
      <c r="I5416" s="19" t="s">
        <v>123</v>
      </c>
      <c r="J5416" s="20">
        <v>48</v>
      </c>
      <c r="K5416" s="34">
        <v>0</v>
      </c>
      <c r="M5416" s="19" t="str">
        <f>IF(OR(ISBLANK(C5416),C5416=""),"",ROUND((C5416-B5416)*24,2))</f>
        <v/>
      </c>
      <c r="N5416" s="19" t="str">
        <f>IF(OR(ISBLANK(C5416),C5416="",M5416=""),"In Progress",IF(M5416&lt;=J5416,"Met","Breached"))</f>
        <v>In Progress</v>
      </c>
    </row>
    <row r="5417" ht="19" customHeight="1" spans="1:14" x14ac:dyDescent="0.25">
      <c r="A5417" s="22" t="s">
        <v>5531</v>
      </c>
      <c r="B5417" s="36">
        <v>45922.27777777778</v>
      </c>
      <c r="C5417" s="36">
        <v>45929.99652777778</v>
      </c>
      <c r="D5417" s="22" t="s">
        <v>36</v>
      </c>
      <c r="E5417" s="22" t="s">
        <v>69</v>
      </c>
      <c r="F5417" s="22" t="s">
        <v>40</v>
      </c>
      <c r="G5417" s="22" t="s">
        <v>63</v>
      </c>
      <c r="H5417" s="22" t="s">
        <v>63</v>
      </c>
      <c r="I5417" s="22" t="s">
        <v>147</v>
      </c>
      <c r="J5417" s="23">
        <v>120</v>
      </c>
      <c r="K5417" s="37">
        <v>1</v>
      </c>
      <c r="L5417" s="37">
        <v>3</v>
      </c>
      <c r="M5417" s="22">
        <f>IF(OR(ISBLANK(C5417),C5417=""),"",ROUND((C5417-B5417)*24,2))</f>
        <v>185.25</v>
      </c>
      <c r="N5417" s="38" t="str">
        <f>IF(OR(ISBLANK(C5417),C5417="",M5417=""),"In Progress",IF(M5417&lt;=J5417,"Met","Breached"))</f>
        <v>Breached</v>
      </c>
    </row>
    <row r="5418" ht="19" customHeight="1" spans="1:14" x14ac:dyDescent="0.25">
      <c r="A5418" s="19" t="s">
        <v>5532</v>
      </c>
      <c r="B5418" s="33">
        <v>45690.38333333333</v>
      </c>
      <c r="C5418" s="33">
        <v>45690.67638888889</v>
      </c>
      <c r="D5418" s="19" t="s">
        <v>36</v>
      </c>
      <c r="E5418" s="19" t="s">
        <v>57</v>
      </c>
      <c r="F5418" s="19" t="s">
        <v>43</v>
      </c>
      <c r="G5418" s="19" t="s">
        <v>126</v>
      </c>
      <c r="H5418" s="19" t="s">
        <v>67</v>
      </c>
      <c r="I5418" s="19" t="s">
        <v>111</v>
      </c>
      <c r="J5418" s="20">
        <v>4</v>
      </c>
      <c r="K5418" s="34">
        <v>1</v>
      </c>
      <c r="L5418" s="34">
        <v>2</v>
      </c>
      <c r="M5418" s="19">
        <f>IF(OR(ISBLANK(C5418),C5418=""),"",ROUND((C5418-B5418)*24,2))</f>
        <v>7.03</v>
      </c>
      <c r="N5418" s="39" t="str">
        <f>IF(OR(ISBLANK(C5418),C5418="",M5418=""),"In Progress",IF(M5418&lt;=J5418,"Met","Breached"))</f>
        <v>Breached</v>
      </c>
    </row>
    <row r="5419" ht="19" customHeight="1" spans="1:14" x14ac:dyDescent="0.25">
      <c r="A5419" s="22" t="s">
        <v>5533</v>
      </c>
      <c r="B5419" s="36">
        <v>45844.94583333333</v>
      </c>
      <c r="C5419" s="36">
        <v>45848.09375</v>
      </c>
      <c r="D5419" s="22" t="s">
        <v>33</v>
      </c>
      <c r="E5419" s="22" t="s">
        <v>65</v>
      </c>
      <c r="F5419" s="22" t="s">
        <v>43</v>
      </c>
      <c r="G5419" s="22" t="s">
        <v>110</v>
      </c>
      <c r="H5419" s="22" t="s">
        <v>59</v>
      </c>
      <c r="I5419" s="22" t="s">
        <v>147</v>
      </c>
      <c r="J5419" s="23">
        <v>48</v>
      </c>
      <c r="K5419" s="37">
        <v>0</v>
      </c>
      <c r="L5419" s="37">
        <v>4</v>
      </c>
      <c r="M5419" s="22">
        <f>IF(OR(ISBLANK(C5419),C5419=""),"",ROUND((C5419-B5419)*24,2))</f>
        <v>75.55</v>
      </c>
      <c r="N5419" s="38" t="str">
        <f>IF(OR(ISBLANK(C5419),C5419="",M5419=""),"In Progress",IF(M5419&lt;=J5419,"Met","Breached"))</f>
        <v>Breached</v>
      </c>
    </row>
    <row r="5420" ht="19" customHeight="1" spans="1:14" x14ac:dyDescent="0.25">
      <c r="A5420" s="19" t="s">
        <v>5534</v>
      </c>
      <c r="B5420" s="33">
        <v>46041.71041666667</v>
      </c>
      <c r="D5420" s="19" t="s">
        <v>39</v>
      </c>
      <c r="E5420" s="19" t="s">
        <v>57</v>
      </c>
      <c r="F5420" s="19" t="s">
        <v>45</v>
      </c>
      <c r="G5420" s="19" t="s">
        <v>116</v>
      </c>
      <c r="H5420" s="19" t="s">
        <v>63</v>
      </c>
      <c r="I5420" s="19" t="s">
        <v>117</v>
      </c>
      <c r="J5420" s="20">
        <v>4</v>
      </c>
      <c r="K5420" s="34">
        <v>0</v>
      </c>
      <c r="M5420" s="19" t="str">
        <f>IF(OR(ISBLANK(C5420),C5420=""),"",ROUND((C5420-B5420)*24,2))</f>
        <v/>
      </c>
      <c r="N5420" s="19" t="str">
        <f>IF(OR(ISBLANK(C5420),C5420="",M5420=""),"In Progress",IF(M5420&lt;=J5420,"Met","Breached"))</f>
        <v>In Progress</v>
      </c>
    </row>
    <row r="5421" ht="19" customHeight="1" spans="1:14" x14ac:dyDescent="0.25">
      <c r="A5421" s="22" t="s">
        <v>5535</v>
      </c>
      <c r="B5421" s="36">
        <v>45931.46805555555</v>
      </c>
      <c r="D5421" s="22" t="s">
        <v>39</v>
      </c>
      <c r="E5421" s="22" t="s">
        <v>61</v>
      </c>
      <c r="F5421" s="22" t="s">
        <v>37</v>
      </c>
      <c r="G5421" s="22" t="s">
        <v>121</v>
      </c>
      <c r="H5421" s="22" t="s">
        <v>59</v>
      </c>
      <c r="I5421" s="22" t="s">
        <v>114</v>
      </c>
      <c r="J5421" s="23">
        <v>12</v>
      </c>
      <c r="K5421" s="37">
        <v>0</v>
      </c>
      <c r="M5421" s="22" t="str">
        <f>IF(OR(ISBLANK(C5421),C5421=""),"",ROUND((C5421-B5421)*24,2))</f>
        <v/>
      </c>
      <c r="N5421" s="22" t="str">
        <f>IF(OR(ISBLANK(C5421),C5421="",M5421=""),"In Progress",IF(M5421&lt;=J5421,"Met","Breached"))</f>
        <v>In Progress</v>
      </c>
    </row>
    <row r="5422" ht="19" customHeight="1" spans="1:14" x14ac:dyDescent="0.25">
      <c r="A5422" s="19" t="s">
        <v>5536</v>
      </c>
      <c r="B5422" s="33">
        <v>45819.55</v>
      </c>
      <c r="C5422" s="33">
        <v>45821.92916666667</v>
      </c>
      <c r="D5422" s="19" t="s">
        <v>33</v>
      </c>
      <c r="E5422" s="19" t="s">
        <v>65</v>
      </c>
      <c r="F5422" s="19" t="s">
        <v>34</v>
      </c>
      <c r="G5422" s="19" t="s">
        <v>126</v>
      </c>
      <c r="H5422" s="19" t="s">
        <v>59</v>
      </c>
      <c r="I5422" s="19" t="s">
        <v>117</v>
      </c>
      <c r="J5422" s="20">
        <v>48</v>
      </c>
      <c r="K5422" s="34">
        <v>0</v>
      </c>
      <c r="L5422" s="34">
        <v>1</v>
      </c>
      <c r="M5422" s="19">
        <f>IF(OR(ISBLANK(C5422),C5422=""),"",ROUND((C5422-B5422)*24,2))</f>
        <v>57.1</v>
      </c>
      <c r="N5422" s="39" t="str">
        <f>IF(OR(ISBLANK(C5422),C5422="",M5422=""),"In Progress",IF(M5422&lt;=J5422,"Met","Breached"))</f>
        <v>Breached</v>
      </c>
    </row>
    <row r="5423" ht="19" customHeight="1" spans="1:14" x14ac:dyDescent="0.25">
      <c r="A5423" s="22" t="s">
        <v>5537</v>
      </c>
      <c r="B5423" s="36">
        <v>45689.41111111111</v>
      </c>
      <c r="C5423" s="36">
        <v>45692.87361111111</v>
      </c>
      <c r="D5423" s="22" t="s">
        <v>33</v>
      </c>
      <c r="E5423" s="22" t="s">
        <v>65</v>
      </c>
      <c r="F5423" s="22" t="s">
        <v>45</v>
      </c>
      <c r="G5423" s="22" t="s">
        <v>121</v>
      </c>
      <c r="H5423" s="22" t="s">
        <v>71</v>
      </c>
      <c r="I5423" s="22" t="s">
        <v>123</v>
      </c>
      <c r="J5423" s="23">
        <v>48</v>
      </c>
      <c r="K5423" s="37">
        <v>0</v>
      </c>
      <c r="L5423" s="37">
        <v>3</v>
      </c>
      <c r="M5423" s="22">
        <f>IF(OR(ISBLANK(C5423),C5423=""),"",ROUND((C5423-B5423)*24,2))</f>
        <v>83.1</v>
      </c>
      <c r="N5423" s="38" t="str">
        <f>IF(OR(ISBLANK(C5423),C5423="",M5423=""),"In Progress",IF(M5423&lt;=J5423,"Met","Breached"))</f>
        <v>Breached</v>
      </c>
    </row>
    <row r="5424" ht="19" customHeight="1" spans="1:14" x14ac:dyDescent="0.25">
      <c r="A5424" s="19" t="s">
        <v>5538</v>
      </c>
      <c r="B5424" s="33">
        <v>45795.49722222222</v>
      </c>
      <c r="C5424" s="33">
        <v>45798.131944444445</v>
      </c>
      <c r="D5424" s="19" t="s">
        <v>33</v>
      </c>
      <c r="E5424" s="19" t="s">
        <v>65</v>
      </c>
      <c r="F5424" s="19" t="s">
        <v>43</v>
      </c>
      <c r="G5424" s="19" t="s">
        <v>113</v>
      </c>
      <c r="H5424" s="19" t="s">
        <v>59</v>
      </c>
      <c r="I5424" s="19" t="s">
        <v>123</v>
      </c>
      <c r="J5424" s="20">
        <v>48</v>
      </c>
      <c r="K5424" s="34">
        <v>0</v>
      </c>
      <c r="L5424" s="34">
        <v>1</v>
      </c>
      <c r="M5424" s="19">
        <f>IF(OR(ISBLANK(C5424),C5424=""),"",ROUND((C5424-B5424)*24,2))</f>
        <v>63.23</v>
      </c>
      <c r="N5424" s="39" t="str">
        <f>IF(OR(ISBLANK(C5424),C5424="",M5424=""),"In Progress",IF(M5424&lt;=J5424,"Met","Breached"))</f>
        <v>Breached</v>
      </c>
    </row>
    <row r="5425" ht="19" customHeight="1" spans="1:14" x14ac:dyDescent="0.25">
      <c r="A5425" s="22" t="s">
        <v>5539</v>
      </c>
      <c r="B5425" s="36">
        <v>46283.24097222222</v>
      </c>
      <c r="C5425" s="36">
        <v>46283.65069444444</v>
      </c>
      <c r="D5425" s="22" t="s">
        <v>33</v>
      </c>
      <c r="E5425" s="22" t="s">
        <v>61</v>
      </c>
      <c r="F5425" s="22" t="s">
        <v>37</v>
      </c>
      <c r="G5425" s="22" t="s">
        <v>126</v>
      </c>
      <c r="H5425" s="22" t="s">
        <v>67</v>
      </c>
      <c r="I5425" s="22" t="s">
        <v>108</v>
      </c>
      <c r="J5425" s="23">
        <v>12</v>
      </c>
      <c r="K5425" s="37">
        <v>0</v>
      </c>
      <c r="L5425" s="37">
        <v>5</v>
      </c>
      <c r="M5425" s="22">
        <f>IF(OR(ISBLANK(C5425),C5425=""),"",ROUND((C5425-B5425)*24,2))</f>
        <v>9.83</v>
      </c>
      <c r="N5425" s="40" t="str">
        <f>IF(OR(ISBLANK(C5425),C5425="",M5425=""),"In Progress",IF(M5425&lt;=J5425,"Met","Breached"))</f>
        <v>Met</v>
      </c>
    </row>
    <row r="5426" ht="19" customHeight="1" spans="1:14" x14ac:dyDescent="0.25">
      <c r="A5426" s="19" t="s">
        <v>5540</v>
      </c>
      <c r="B5426" s="33">
        <v>46284.915972222225</v>
      </c>
      <c r="D5426" s="19" t="s">
        <v>42</v>
      </c>
      <c r="E5426" s="19" t="s">
        <v>65</v>
      </c>
      <c r="F5426" s="19" t="s">
        <v>37</v>
      </c>
      <c r="G5426" s="19" t="s">
        <v>110</v>
      </c>
      <c r="H5426" s="19" t="s">
        <v>59</v>
      </c>
      <c r="I5426" s="19" t="s">
        <v>114</v>
      </c>
      <c r="J5426" s="20">
        <v>48</v>
      </c>
      <c r="K5426" s="34">
        <v>0</v>
      </c>
      <c r="M5426" s="19" t="str">
        <f>IF(OR(ISBLANK(C5426),C5426=""),"",ROUND((C5426-B5426)*24,2))</f>
        <v/>
      </c>
      <c r="N5426" s="19" t="str">
        <f>IF(OR(ISBLANK(C5426),C5426="",M5426=""),"In Progress",IF(M5426&lt;=J5426,"Met","Breached"))</f>
        <v>In Progress</v>
      </c>
    </row>
    <row r="5427" ht="19" customHeight="1" spans="1:14" x14ac:dyDescent="0.25">
      <c r="A5427" s="22" t="s">
        <v>5541</v>
      </c>
      <c r="B5427" s="36">
        <v>46281.55902777778</v>
      </c>
      <c r="C5427" s="36">
        <v>46283.898611111115</v>
      </c>
      <c r="D5427" s="22" t="s">
        <v>33</v>
      </c>
      <c r="E5427" s="22" t="s">
        <v>65</v>
      </c>
      <c r="F5427" s="22" t="s">
        <v>40</v>
      </c>
      <c r="G5427" s="22" t="s">
        <v>126</v>
      </c>
      <c r="H5427" s="22" t="s">
        <v>59</v>
      </c>
      <c r="I5427" s="22" t="s">
        <v>123</v>
      </c>
      <c r="J5427" s="23">
        <v>48</v>
      </c>
      <c r="K5427" s="37">
        <v>0</v>
      </c>
      <c r="L5427" s="37">
        <v>1</v>
      </c>
      <c r="M5427" s="22">
        <f>IF(OR(ISBLANK(C5427),C5427=""),"",ROUND((C5427-B5427)*24,2))</f>
        <v>56.15</v>
      </c>
      <c r="N5427" s="38" t="str">
        <f>IF(OR(ISBLANK(C5427),C5427="",M5427=""),"In Progress",IF(M5427&lt;=J5427,"Met","Breached"))</f>
        <v>Breached</v>
      </c>
    </row>
    <row r="5428" ht="19" customHeight="1" spans="1:14" x14ac:dyDescent="0.25">
      <c r="A5428" s="19" t="s">
        <v>5542</v>
      </c>
      <c r="B5428" s="33">
        <v>46093.21944444445</v>
      </c>
      <c r="C5428" s="33">
        <v>46094.93819444445</v>
      </c>
      <c r="D5428" s="19" t="s">
        <v>33</v>
      </c>
      <c r="E5428" s="19" t="s">
        <v>65</v>
      </c>
      <c r="F5428" s="19" t="s">
        <v>43</v>
      </c>
      <c r="G5428" s="19" t="s">
        <v>110</v>
      </c>
      <c r="H5428" s="19" t="s">
        <v>63</v>
      </c>
      <c r="I5428" s="19" t="s">
        <v>123</v>
      </c>
      <c r="J5428" s="20">
        <v>48</v>
      </c>
      <c r="K5428" s="34">
        <v>0</v>
      </c>
      <c r="M5428" s="19">
        <f>IF(OR(ISBLANK(C5428),C5428=""),"",ROUND((C5428-B5428)*24,2))</f>
        <v>41.25</v>
      </c>
      <c r="N5428" s="35" t="str">
        <f>IF(OR(ISBLANK(C5428),C5428="",M5428=""),"In Progress",IF(M5428&lt;=J5428,"Met","Breached"))</f>
        <v>Met</v>
      </c>
    </row>
    <row r="5429" ht="19" customHeight="1" spans="1:14" x14ac:dyDescent="0.25">
      <c r="A5429" s="22" t="s">
        <v>5543</v>
      </c>
      <c r="B5429" s="36">
        <v>45818.035416666666</v>
      </c>
      <c r="C5429" s="36">
        <v>45818.3125</v>
      </c>
      <c r="D5429" s="22" t="s">
        <v>33</v>
      </c>
      <c r="E5429" s="22" t="s">
        <v>61</v>
      </c>
      <c r="F5429" s="22" t="s">
        <v>45</v>
      </c>
      <c r="G5429" s="22" t="s">
        <v>121</v>
      </c>
      <c r="H5429" s="22" t="s">
        <v>63</v>
      </c>
      <c r="I5429" s="22" t="s">
        <v>114</v>
      </c>
      <c r="J5429" s="23">
        <v>12</v>
      </c>
      <c r="K5429" s="37">
        <v>0</v>
      </c>
      <c r="M5429" s="22">
        <f>IF(OR(ISBLANK(C5429),C5429=""),"",ROUND((C5429-B5429)*24,2))</f>
        <v>6.65</v>
      </c>
      <c r="N5429" s="40" t="str">
        <f>IF(OR(ISBLANK(C5429),C5429="",M5429=""),"In Progress",IF(M5429&lt;=J5429,"Met","Breached"))</f>
        <v>Met</v>
      </c>
    </row>
    <row r="5430" ht="19" customHeight="1" spans="1:14" x14ac:dyDescent="0.25">
      <c r="A5430" s="19" t="s">
        <v>5544</v>
      </c>
      <c r="B5430" s="33">
        <v>45934.77222222222</v>
      </c>
      <c r="D5430" s="19" t="s">
        <v>42</v>
      </c>
      <c r="E5430" s="19" t="s">
        <v>69</v>
      </c>
      <c r="F5430" s="19" t="s">
        <v>43</v>
      </c>
      <c r="G5430" s="19" t="s">
        <v>116</v>
      </c>
      <c r="H5430" s="19" t="s">
        <v>67</v>
      </c>
      <c r="I5430" s="19" t="s">
        <v>108</v>
      </c>
      <c r="J5430" s="20">
        <v>120</v>
      </c>
      <c r="K5430" s="34">
        <v>0</v>
      </c>
      <c r="M5430" s="19" t="str">
        <f>IF(OR(ISBLANK(C5430),C5430=""),"",ROUND((C5430-B5430)*24,2))</f>
        <v/>
      </c>
      <c r="N5430" s="19" t="str">
        <f>IF(OR(ISBLANK(C5430),C5430="",M5430=""),"In Progress",IF(M5430&lt;=J5430,"Met","Breached"))</f>
        <v>In Progress</v>
      </c>
    </row>
    <row r="5431" ht="19" customHeight="1" spans="1:14" x14ac:dyDescent="0.25">
      <c r="A5431" s="22" t="s">
        <v>5545</v>
      </c>
      <c r="B5431" s="36">
        <v>45988.07708333334</v>
      </c>
      <c r="C5431" s="36">
        <v>45988.30902777778</v>
      </c>
      <c r="D5431" s="22" t="s">
        <v>33</v>
      </c>
      <c r="E5431" s="22" t="s">
        <v>57</v>
      </c>
      <c r="F5431" s="22" t="s">
        <v>37</v>
      </c>
      <c r="G5431" s="22" t="s">
        <v>121</v>
      </c>
      <c r="H5431" s="22" t="s">
        <v>63</v>
      </c>
      <c r="I5431" s="22" t="s">
        <v>108</v>
      </c>
      <c r="J5431" s="23">
        <v>4</v>
      </c>
      <c r="K5431" s="37">
        <v>0</v>
      </c>
      <c r="L5431" s="37">
        <v>4</v>
      </c>
      <c r="M5431" s="22">
        <f>IF(OR(ISBLANK(C5431),C5431=""),"",ROUND((C5431-B5431)*24,2))</f>
        <v>5.57</v>
      </c>
      <c r="N5431" s="38" t="str">
        <f>IF(OR(ISBLANK(C5431),C5431="",M5431=""),"In Progress",IF(M5431&lt;=J5431,"Met","Breached"))</f>
        <v>Breached</v>
      </c>
    </row>
    <row r="5432" ht="19" customHeight="1" spans="1:14" x14ac:dyDescent="0.25">
      <c r="A5432" s="19" t="s">
        <v>5546</v>
      </c>
      <c r="B5432" s="33">
        <v>46002.274305555555</v>
      </c>
      <c r="C5432" s="33">
        <v>46004.6125</v>
      </c>
      <c r="D5432" s="19" t="s">
        <v>33</v>
      </c>
      <c r="E5432" s="19" t="s">
        <v>65</v>
      </c>
      <c r="F5432" s="19" t="s">
        <v>43</v>
      </c>
      <c r="G5432" s="19" t="s">
        <v>110</v>
      </c>
      <c r="H5432" s="19" t="s">
        <v>59</v>
      </c>
      <c r="I5432" s="19" t="s">
        <v>123</v>
      </c>
      <c r="J5432" s="20">
        <v>48</v>
      </c>
      <c r="K5432" s="34">
        <v>0</v>
      </c>
      <c r="L5432" s="34">
        <v>2</v>
      </c>
      <c r="M5432" s="19">
        <f>IF(OR(ISBLANK(C5432),C5432=""),"",ROUND((C5432-B5432)*24,2))</f>
        <v>56.12</v>
      </c>
      <c r="N5432" s="39" t="str">
        <f>IF(OR(ISBLANK(C5432),C5432="",M5432=""),"In Progress",IF(M5432&lt;=J5432,"Met","Breached"))</f>
        <v>Breached</v>
      </c>
    </row>
    <row r="5433" ht="19" customHeight="1" spans="1:14" x14ac:dyDescent="0.25">
      <c r="A5433" s="22" t="s">
        <v>5547</v>
      </c>
      <c r="B5433" s="36">
        <v>45762.23125</v>
      </c>
      <c r="D5433" s="22" t="s">
        <v>39</v>
      </c>
      <c r="E5433" s="22" t="s">
        <v>65</v>
      </c>
      <c r="F5433" s="22" t="s">
        <v>34</v>
      </c>
      <c r="G5433" s="22" t="s">
        <v>110</v>
      </c>
      <c r="H5433" s="22" t="s">
        <v>63</v>
      </c>
      <c r="I5433" s="22" t="s">
        <v>114</v>
      </c>
      <c r="J5433" s="23">
        <v>48</v>
      </c>
      <c r="K5433" s="37">
        <v>0</v>
      </c>
      <c r="M5433" s="22" t="str">
        <f>IF(OR(ISBLANK(C5433),C5433=""),"",ROUND((C5433-B5433)*24,2))</f>
        <v/>
      </c>
      <c r="N5433" s="22" t="str">
        <f>IF(OR(ISBLANK(C5433),C5433="",M5433=""),"In Progress",IF(M5433&lt;=J5433,"Met","Breached"))</f>
        <v>In Progress</v>
      </c>
    </row>
    <row r="5434" ht="19" customHeight="1" spans="1:14" x14ac:dyDescent="0.25">
      <c r="A5434" s="19" t="s">
        <v>5548</v>
      </c>
      <c r="B5434" s="33">
        <v>45836.507638888885</v>
      </c>
      <c r="C5434" s="33">
        <v>45837.98541666666</v>
      </c>
      <c r="D5434" s="19" t="s">
        <v>33</v>
      </c>
      <c r="E5434" s="19" t="s">
        <v>65</v>
      </c>
      <c r="F5434" s="19" t="s">
        <v>34</v>
      </c>
      <c r="G5434" s="19" t="s">
        <v>126</v>
      </c>
      <c r="H5434" s="19" t="s">
        <v>59</v>
      </c>
      <c r="I5434" s="19" t="s">
        <v>108</v>
      </c>
      <c r="J5434" s="20">
        <v>48</v>
      </c>
      <c r="K5434" s="34">
        <v>0</v>
      </c>
      <c r="L5434" s="34">
        <v>2</v>
      </c>
      <c r="M5434" s="19">
        <f>IF(OR(ISBLANK(C5434),C5434=""),"",ROUND((C5434-B5434)*24,2))</f>
        <v>35.47</v>
      </c>
      <c r="N5434" s="35" t="str">
        <f>IF(OR(ISBLANK(C5434),C5434="",M5434=""),"In Progress",IF(M5434&lt;=J5434,"Met","Breached"))</f>
        <v>Met</v>
      </c>
    </row>
    <row r="5435" ht="19" customHeight="1" spans="1:14" x14ac:dyDescent="0.25">
      <c r="A5435" s="22" t="s">
        <v>5549</v>
      </c>
      <c r="B5435" s="36">
        <v>45890.834027777775</v>
      </c>
      <c r="C5435" s="36">
        <v>45892.756944444445</v>
      </c>
      <c r="D5435" s="22" t="s">
        <v>36</v>
      </c>
      <c r="E5435" s="22" t="s">
        <v>65</v>
      </c>
      <c r="F5435" s="22" t="s">
        <v>40</v>
      </c>
      <c r="G5435" s="22" t="s">
        <v>126</v>
      </c>
      <c r="H5435" s="22" t="s">
        <v>71</v>
      </c>
      <c r="I5435" s="22" t="s">
        <v>123</v>
      </c>
      <c r="J5435" s="23">
        <v>48</v>
      </c>
      <c r="K5435" s="37">
        <v>0</v>
      </c>
      <c r="L5435" s="37">
        <v>2</v>
      </c>
      <c r="M5435" s="22">
        <f>IF(OR(ISBLANK(C5435),C5435=""),"",ROUND((C5435-B5435)*24,2))</f>
        <v>46.15</v>
      </c>
      <c r="N5435" s="40" t="str">
        <f>IF(OR(ISBLANK(C5435),C5435="",M5435=""),"In Progress",IF(M5435&lt;=J5435,"Met","Breached"))</f>
        <v>Met</v>
      </c>
    </row>
    <row r="5436" ht="19" customHeight="1" spans="1:14" x14ac:dyDescent="0.25">
      <c r="A5436" s="19" t="s">
        <v>5550</v>
      </c>
      <c r="B5436" s="33">
        <v>46178.84236111111</v>
      </c>
      <c r="C5436" s="33">
        <v>46181.07361111111</v>
      </c>
      <c r="D5436" s="19" t="s">
        <v>36</v>
      </c>
      <c r="E5436" s="19" t="s">
        <v>65</v>
      </c>
      <c r="F5436" s="19" t="s">
        <v>40</v>
      </c>
      <c r="G5436" s="19" t="s">
        <v>121</v>
      </c>
      <c r="H5436" s="19" t="s">
        <v>67</v>
      </c>
      <c r="I5436" s="19" t="s">
        <v>114</v>
      </c>
      <c r="J5436" s="20">
        <v>48</v>
      </c>
      <c r="K5436" s="34">
        <v>0</v>
      </c>
      <c r="L5436" s="34">
        <v>2</v>
      </c>
      <c r="M5436" s="19">
        <f>IF(OR(ISBLANK(C5436),C5436=""),"",ROUND((C5436-B5436)*24,2))</f>
        <v>53.55</v>
      </c>
      <c r="N5436" s="39" t="str">
        <f>IF(OR(ISBLANK(C5436),C5436="",M5436=""),"In Progress",IF(M5436&lt;=J5436,"Met","Breached"))</f>
        <v>Breached</v>
      </c>
    </row>
    <row r="5437" ht="19" customHeight="1" spans="1:14" x14ac:dyDescent="0.25">
      <c r="A5437" s="22" t="s">
        <v>5551</v>
      </c>
      <c r="B5437" s="36">
        <v>46149.21805555555</v>
      </c>
      <c r="C5437" s="36">
        <v>46149.9875</v>
      </c>
      <c r="D5437" s="22" t="s">
        <v>33</v>
      </c>
      <c r="E5437" s="22" t="s">
        <v>61</v>
      </c>
      <c r="F5437" s="22" t="s">
        <v>37</v>
      </c>
      <c r="G5437" s="22" t="s">
        <v>126</v>
      </c>
      <c r="H5437" s="22" t="s">
        <v>63</v>
      </c>
      <c r="I5437" s="22" t="s">
        <v>114</v>
      </c>
      <c r="J5437" s="23">
        <v>12</v>
      </c>
      <c r="K5437" s="37">
        <v>0</v>
      </c>
      <c r="L5437" s="37">
        <v>5</v>
      </c>
      <c r="M5437" s="22">
        <f>IF(OR(ISBLANK(C5437),C5437=""),"",ROUND((C5437-B5437)*24,2))</f>
        <v>18.47</v>
      </c>
      <c r="N5437" s="38" t="str">
        <f>IF(OR(ISBLANK(C5437),C5437="",M5437=""),"In Progress",IF(M5437&lt;=J5437,"Met","Breached"))</f>
        <v>Breached</v>
      </c>
    </row>
    <row r="5438" ht="19" customHeight="1" spans="1:14" x14ac:dyDescent="0.25">
      <c r="A5438" s="19" t="s">
        <v>5552</v>
      </c>
      <c r="B5438" s="33">
        <v>46263.96597222222</v>
      </c>
      <c r="C5438" s="33">
        <v>46264.586111111115</v>
      </c>
      <c r="D5438" s="19" t="s">
        <v>33</v>
      </c>
      <c r="E5438" s="19" t="s">
        <v>65</v>
      </c>
      <c r="F5438" s="19" t="s">
        <v>45</v>
      </c>
      <c r="G5438" s="19" t="s">
        <v>116</v>
      </c>
      <c r="H5438" s="19" t="s">
        <v>67</v>
      </c>
      <c r="I5438" s="19" t="s">
        <v>117</v>
      </c>
      <c r="J5438" s="20">
        <v>48</v>
      </c>
      <c r="K5438" s="34">
        <v>0</v>
      </c>
      <c r="M5438" s="19">
        <f>IF(OR(ISBLANK(C5438),C5438=""),"",ROUND((C5438-B5438)*24,2))</f>
        <v>14.88</v>
      </c>
      <c r="N5438" s="35" t="str">
        <f>IF(OR(ISBLANK(C5438),C5438="",M5438=""),"In Progress",IF(M5438&lt;=J5438,"Met","Breached"))</f>
        <v>Met</v>
      </c>
    </row>
    <row r="5439" ht="19" customHeight="1" spans="1:14" x14ac:dyDescent="0.25">
      <c r="A5439" s="22" t="s">
        <v>5553</v>
      </c>
      <c r="B5439" s="36">
        <v>45759.419444444444</v>
      </c>
      <c r="C5439" s="36">
        <v>45759.79513888889</v>
      </c>
      <c r="D5439" s="22" t="s">
        <v>33</v>
      </c>
      <c r="E5439" s="22" t="s">
        <v>61</v>
      </c>
      <c r="F5439" s="22" t="s">
        <v>45</v>
      </c>
      <c r="G5439" s="22" t="s">
        <v>63</v>
      </c>
      <c r="H5439" s="22" t="s">
        <v>59</v>
      </c>
      <c r="I5439" s="22" t="s">
        <v>108</v>
      </c>
      <c r="J5439" s="23">
        <v>12</v>
      </c>
      <c r="K5439" s="37">
        <v>0</v>
      </c>
      <c r="M5439" s="22">
        <f>IF(OR(ISBLANK(C5439),C5439=""),"",ROUND((C5439-B5439)*24,2))</f>
        <v>9.02</v>
      </c>
      <c r="N5439" s="40" t="str">
        <f>IF(OR(ISBLANK(C5439),C5439="",M5439=""),"In Progress",IF(M5439&lt;=J5439,"Met","Breached"))</f>
        <v>Met</v>
      </c>
    </row>
    <row r="5440" ht="19" customHeight="1" spans="1:14" x14ac:dyDescent="0.25">
      <c r="A5440" s="19" t="s">
        <v>5554</v>
      </c>
      <c r="B5440" s="33">
        <v>45875.92361111111</v>
      </c>
      <c r="D5440" s="19" t="s">
        <v>39</v>
      </c>
      <c r="E5440" s="19" t="s">
        <v>61</v>
      </c>
      <c r="F5440" s="19" t="s">
        <v>43</v>
      </c>
      <c r="G5440" s="19" t="s">
        <v>110</v>
      </c>
      <c r="H5440" s="19" t="s">
        <v>59</v>
      </c>
      <c r="I5440" s="19" t="s">
        <v>123</v>
      </c>
      <c r="J5440" s="20">
        <v>12</v>
      </c>
      <c r="K5440" s="34">
        <v>0</v>
      </c>
      <c r="M5440" s="19" t="str">
        <f>IF(OR(ISBLANK(C5440),C5440=""),"",ROUND((C5440-B5440)*24,2))</f>
        <v/>
      </c>
      <c r="N5440" s="19" t="str">
        <f>IF(OR(ISBLANK(C5440),C5440="",M5440=""),"In Progress",IF(M5440&lt;=J5440,"Met","Breached"))</f>
        <v>In Progress</v>
      </c>
    </row>
    <row r="5441" ht="19" customHeight="1" spans="1:14" x14ac:dyDescent="0.25">
      <c r="A5441" s="22" t="s">
        <v>5555</v>
      </c>
      <c r="B5441" s="36">
        <v>45932.44236111111</v>
      </c>
      <c r="C5441" s="36">
        <v>45933.95138888889</v>
      </c>
      <c r="D5441" s="22" t="s">
        <v>33</v>
      </c>
      <c r="E5441" s="22" t="s">
        <v>65</v>
      </c>
      <c r="F5441" s="22" t="s">
        <v>45</v>
      </c>
      <c r="G5441" s="22" t="s">
        <v>113</v>
      </c>
      <c r="H5441" s="22" t="s">
        <v>59</v>
      </c>
      <c r="I5441" s="22" t="s">
        <v>123</v>
      </c>
      <c r="J5441" s="23">
        <v>48</v>
      </c>
      <c r="K5441" s="37">
        <v>0</v>
      </c>
      <c r="L5441" s="37">
        <v>2</v>
      </c>
      <c r="M5441" s="22">
        <f>IF(OR(ISBLANK(C5441),C5441=""),"",ROUND((C5441-B5441)*24,2))</f>
        <v>36.22</v>
      </c>
      <c r="N5441" s="40" t="str">
        <f>IF(OR(ISBLANK(C5441),C5441="",M5441=""),"In Progress",IF(M5441&lt;=J5441,"Met","Breached"))</f>
        <v>Met</v>
      </c>
    </row>
    <row r="5442" ht="19" customHeight="1" spans="1:14" x14ac:dyDescent="0.25">
      <c r="A5442" s="19" t="s">
        <v>5556</v>
      </c>
      <c r="B5442" s="33">
        <v>45903.459027777775</v>
      </c>
      <c r="C5442" s="33">
        <v>45905.228472222225</v>
      </c>
      <c r="D5442" s="19" t="s">
        <v>33</v>
      </c>
      <c r="E5442" s="19" t="s">
        <v>69</v>
      </c>
      <c r="F5442" s="19" t="s">
        <v>34</v>
      </c>
      <c r="G5442" s="19" t="s">
        <v>110</v>
      </c>
      <c r="H5442" s="19" t="s">
        <v>59</v>
      </c>
      <c r="I5442" s="19" t="s">
        <v>114</v>
      </c>
      <c r="J5442" s="20">
        <v>120</v>
      </c>
      <c r="K5442" s="34">
        <v>0</v>
      </c>
      <c r="M5442" s="19">
        <f>IF(OR(ISBLANK(C5442),C5442=""),"",ROUND((C5442-B5442)*24,2))</f>
        <v>42.47</v>
      </c>
      <c r="N5442" s="35" t="str">
        <f>IF(OR(ISBLANK(C5442),C5442="",M5442=""),"In Progress",IF(M5442&lt;=J5442,"Met","Breached"))</f>
        <v>Met</v>
      </c>
    </row>
    <row r="5443" ht="19" customHeight="1" spans="1:14" x14ac:dyDescent="0.25">
      <c r="A5443" s="22" t="s">
        <v>5557</v>
      </c>
      <c r="B5443" s="36">
        <v>45887.27083333333</v>
      </c>
      <c r="C5443" s="36">
        <v>45890.85763888889</v>
      </c>
      <c r="D5443" s="22" t="s">
        <v>36</v>
      </c>
      <c r="E5443" s="22" t="s">
        <v>65</v>
      </c>
      <c r="F5443" s="22" t="s">
        <v>45</v>
      </c>
      <c r="G5443" s="22" t="s">
        <v>126</v>
      </c>
      <c r="H5443" s="22" t="s">
        <v>63</v>
      </c>
      <c r="I5443" s="22" t="s">
        <v>108</v>
      </c>
      <c r="J5443" s="23">
        <v>48</v>
      </c>
      <c r="K5443" s="37">
        <v>0</v>
      </c>
      <c r="L5443" s="37">
        <v>5</v>
      </c>
      <c r="M5443" s="22">
        <f>IF(OR(ISBLANK(C5443),C5443=""),"",ROUND((C5443-B5443)*24,2))</f>
        <v>86.08</v>
      </c>
      <c r="N5443" s="38" t="str">
        <f>IF(OR(ISBLANK(C5443),C5443="",M5443=""),"In Progress",IF(M5443&lt;=J5443,"Met","Breached"))</f>
        <v>Breached</v>
      </c>
    </row>
    <row r="5444" ht="19" customHeight="1" spans="1:14" x14ac:dyDescent="0.25">
      <c r="A5444" s="19" t="s">
        <v>5558</v>
      </c>
      <c r="B5444" s="33">
        <v>46254.22013888889</v>
      </c>
      <c r="C5444" s="33">
        <v>46254.57916666666</v>
      </c>
      <c r="D5444" s="19" t="s">
        <v>36</v>
      </c>
      <c r="E5444" s="19" t="s">
        <v>61</v>
      </c>
      <c r="F5444" s="19" t="s">
        <v>40</v>
      </c>
      <c r="G5444" s="19" t="s">
        <v>121</v>
      </c>
      <c r="H5444" s="19" t="s">
        <v>63</v>
      </c>
      <c r="I5444" s="19" t="s">
        <v>108</v>
      </c>
      <c r="J5444" s="20">
        <v>12</v>
      </c>
      <c r="K5444" s="34">
        <v>0</v>
      </c>
      <c r="L5444" s="34">
        <v>4</v>
      </c>
      <c r="M5444" s="19">
        <f>IF(OR(ISBLANK(C5444),C5444=""),"",ROUND((C5444-B5444)*24,2))</f>
        <v>8.62</v>
      </c>
      <c r="N5444" s="35" t="str">
        <f>IF(OR(ISBLANK(C5444),C5444="",M5444=""),"In Progress",IF(M5444&lt;=J5444,"Met","Breached"))</f>
        <v>Met</v>
      </c>
    </row>
    <row r="5445" ht="19" customHeight="1" spans="1:14" x14ac:dyDescent="0.25">
      <c r="A5445" s="22" t="s">
        <v>5559</v>
      </c>
      <c r="B5445" s="36">
        <v>46264.35833333334</v>
      </c>
      <c r="C5445" s="36">
        <v>46265.825</v>
      </c>
      <c r="D5445" s="22" t="s">
        <v>36</v>
      </c>
      <c r="E5445" s="22" t="s">
        <v>65</v>
      </c>
      <c r="F5445" s="22" t="s">
        <v>34</v>
      </c>
      <c r="G5445" s="22" t="s">
        <v>121</v>
      </c>
      <c r="H5445" s="22" t="s">
        <v>59</v>
      </c>
      <c r="I5445" s="22" t="s">
        <v>108</v>
      </c>
      <c r="J5445" s="23">
        <v>48</v>
      </c>
      <c r="K5445" s="37">
        <v>0</v>
      </c>
      <c r="L5445" s="37">
        <v>5</v>
      </c>
      <c r="M5445" s="22">
        <f>IF(OR(ISBLANK(C5445),C5445=""),"",ROUND((C5445-B5445)*24,2))</f>
        <v>35.2</v>
      </c>
      <c r="N5445" s="40" t="str">
        <f>IF(OR(ISBLANK(C5445),C5445="",M5445=""),"In Progress",IF(M5445&lt;=J5445,"Met","Breached"))</f>
        <v>Met</v>
      </c>
    </row>
    <row r="5446" ht="19" customHeight="1" spans="1:14" x14ac:dyDescent="0.25">
      <c r="A5446" s="19" t="s">
        <v>5560</v>
      </c>
      <c r="B5446" s="33">
        <v>46022.4625</v>
      </c>
      <c r="C5446" s="33">
        <v>46022.759722222225</v>
      </c>
      <c r="D5446" s="19" t="s">
        <v>33</v>
      </c>
      <c r="E5446" s="19" t="s">
        <v>57</v>
      </c>
      <c r="F5446" s="19" t="s">
        <v>34</v>
      </c>
      <c r="G5446" s="19" t="s">
        <v>126</v>
      </c>
      <c r="H5446" s="19" t="s">
        <v>63</v>
      </c>
      <c r="I5446" s="19" t="s">
        <v>108</v>
      </c>
      <c r="J5446" s="20">
        <v>4</v>
      </c>
      <c r="K5446" s="34">
        <v>1</v>
      </c>
      <c r="L5446" s="34">
        <v>4</v>
      </c>
      <c r="M5446" s="19">
        <f>IF(OR(ISBLANK(C5446),C5446=""),"",ROUND((C5446-B5446)*24,2))</f>
        <v>7.13</v>
      </c>
      <c r="N5446" s="39" t="str">
        <f>IF(OR(ISBLANK(C5446),C5446="",M5446=""),"In Progress",IF(M5446&lt;=J5446,"Met","Breached"))</f>
        <v>Breached</v>
      </c>
    </row>
    <row r="5447" ht="19" customHeight="1" spans="1:14" x14ac:dyDescent="0.25">
      <c r="A5447" s="22" t="s">
        <v>5561</v>
      </c>
      <c r="B5447" s="36">
        <v>46040.09513888889</v>
      </c>
      <c r="D5447" s="22" t="s">
        <v>42</v>
      </c>
      <c r="E5447" s="22" t="s">
        <v>69</v>
      </c>
      <c r="F5447" s="22" t="s">
        <v>43</v>
      </c>
      <c r="G5447" s="22" t="s">
        <v>63</v>
      </c>
      <c r="H5447" s="22" t="s">
        <v>63</v>
      </c>
      <c r="I5447" s="22" t="s">
        <v>147</v>
      </c>
      <c r="J5447" s="23">
        <v>120</v>
      </c>
      <c r="K5447" s="37">
        <v>0</v>
      </c>
      <c r="M5447" s="22" t="str">
        <f>IF(OR(ISBLANK(C5447),C5447=""),"",ROUND((C5447-B5447)*24,2))</f>
        <v/>
      </c>
      <c r="N5447" s="22" t="str">
        <f>IF(OR(ISBLANK(C5447),C5447="",M5447=""),"In Progress",IF(M5447&lt;=J5447,"Met","Breached"))</f>
        <v>In Progress</v>
      </c>
    </row>
    <row r="5448" ht="19" customHeight="1" spans="1:14" x14ac:dyDescent="0.25">
      <c r="A5448" s="19" t="s">
        <v>5562</v>
      </c>
      <c r="B5448" s="33">
        <v>46218.589583333334</v>
      </c>
      <c r="C5448" s="33">
        <v>46219.535416666666</v>
      </c>
      <c r="D5448" s="19" t="s">
        <v>33</v>
      </c>
      <c r="E5448" s="19" t="s">
        <v>65</v>
      </c>
      <c r="F5448" s="19" t="s">
        <v>45</v>
      </c>
      <c r="G5448" s="19" t="s">
        <v>126</v>
      </c>
      <c r="H5448" s="19" t="s">
        <v>67</v>
      </c>
      <c r="I5448" s="19" t="s">
        <v>111</v>
      </c>
      <c r="J5448" s="20">
        <v>48</v>
      </c>
      <c r="K5448" s="34">
        <v>0</v>
      </c>
      <c r="L5448" s="34">
        <v>5</v>
      </c>
      <c r="M5448" s="19">
        <f>IF(OR(ISBLANK(C5448),C5448=""),"",ROUND((C5448-B5448)*24,2))</f>
        <v>22.7</v>
      </c>
      <c r="N5448" s="35" t="str">
        <f>IF(OR(ISBLANK(C5448),C5448="",M5448=""),"In Progress",IF(M5448&lt;=J5448,"Met","Breached"))</f>
        <v>Met</v>
      </c>
    </row>
    <row r="5449" ht="19" customHeight="1" spans="1:14" x14ac:dyDescent="0.25">
      <c r="A5449" s="22" t="s">
        <v>5563</v>
      </c>
      <c r="B5449" s="36">
        <v>45756.93888888889</v>
      </c>
      <c r="D5449" s="22" t="s">
        <v>39</v>
      </c>
      <c r="E5449" s="22" t="s">
        <v>69</v>
      </c>
      <c r="F5449" s="22" t="s">
        <v>34</v>
      </c>
      <c r="G5449" s="22" t="s">
        <v>113</v>
      </c>
      <c r="H5449" s="22" t="s">
        <v>67</v>
      </c>
      <c r="I5449" s="22" t="s">
        <v>123</v>
      </c>
      <c r="J5449" s="23">
        <v>120</v>
      </c>
      <c r="K5449" s="37">
        <v>0</v>
      </c>
      <c r="M5449" s="22" t="str">
        <f>IF(OR(ISBLANK(C5449),C5449=""),"",ROUND((C5449-B5449)*24,2))</f>
        <v/>
      </c>
      <c r="N5449" s="22" t="str">
        <f>IF(OR(ISBLANK(C5449),C5449="",M5449=""),"In Progress",IF(M5449&lt;=J5449,"Met","Breached"))</f>
        <v>In Progress</v>
      </c>
    </row>
    <row r="5450" ht="19" customHeight="1" spans="1:14" x14ac:dyDescent="0.25">
      <c r="A5450" s="19" t="s">
        <v>5564</v>
      </c>
      <c r="B5450" s="33">
        <v>45791.09166666667</v>
      </c>
      <c r="C5450" s="33">
        <v>45791.652083333334</v>
      </c>
      <c r="D5450" s="19" t="s">
        <v>36</v>
      </c>
      <c r="E5450" s="19" t="s">
        <v>61</v>
      </c>
      <c r="F5450" s="19" t="s">
        <v>43</v>
      </c>
      <c r="G5450" s="19" t="s">
        <v>126</v>
      </c>
      <c r="H5450" s="19" t="s">
        <v>71</v>
      </c>
      <c r="I5450" s="19" t="s">
        <v>123</v>
      </c>
      <c r="J5450" s="20">
        <v>12</v>
      </c>
      <c r="K5450" s="34">
        <v>0</v>
      </c>
      <c r="M5450" s="19">
        <f>IF(OR(ISBLANK(C5450),C5450=""),"",ROUND((C5450-B5450)*24,2))</f>
        <v>13.45</v>
      </c>
      <c r="N5450" s="39" t="str">
        <f>IF(OR(ISBLANK(C5450),C5450="",M5450=""),"In Progress",IF(M5450&lt;=J5450,"Met","Breached"))</f>
        <v>Breached</v>
      </c>
    </row>
    <row r="5451" ht="19" customHeight="1" spans="1:14" x14ac:dyDescent="0.25">
      <c r="A5451" s="22" t="s">
        <v>5565</v>
      </c>
      <c r="B5451" s="36">
        <v>46171.19097222222</v>
      </c>
      <c r="C5451" s="36">
        <v>46171.30069444445</v>
      </c>
      <c r="D5451" s="22" t="s">
        <v>36</v>
      </c>
      <c r="E5451" s="22" t="s">
        <v>57</v>
      </c>
      <c r="F5451" s="22" t="s">
        <v>37</v>
      </c>
      <c r="G5451" s="22" t="s">
        <v>113</v>
      </c>
      <c r="H5451" s="22" t="s">
        <v>59</v>
      </c>
      <c r="I5451" s="22" t="s">
        <v>114</v>
      </c>
      <c r="J5451" s="23">
        <v>4</v>
      </c>
      <c r="K5451" s="37">
        <v>0</v>
      </c>
      <c r="L5451" s="37">
        <v>4</v>
      </c>
      <c r="M5451" s="22">
        <f>IF(OR(ISBLANK(C5451),C5451=""),"",ROUND((C5451-B5451)*24,2))</f>
        <v>2.63</v>
      </c>
      <c r="N5451" s="40" t="str">
        <f>IF(OR(ISBLANK(C5451),C5451="",M5451=""),"In Progress",IF(M5451&lt;=J5451,"Met","Breached"))</f>
        <v>Met</v>
      </c>
    </row>
    <row r="5452" ht="19" customHeight="1" spans="1:14" x14ac:dyDescent="0.25">
      <c r="A5452" s="19" t="s">
        <v>5566</v>
      </c>
      <c r="B5452" s="33">
        <v>45938.95486111111</v>
      </c>
      <c r="D5452" s="19" t="s">
        <v>39</v>
      </c>
      <c r="E5452" s="19" t="s">
        <v>65</v>
      </c>
      <c r="F5452" s="19" t="s">
        <v>34</v>
      </c>
      <c r="G5452" s="19" t="s">
        <v>121</v>
      </c>
      <c r="H5452" s="19" t="s">
        <v>59</v>
      </c>
      <c r="I5452" s="19" t="s">
        <v>114</v>
      </c>
      <c r="J5452" s="20">
        <v>48</v>
      </c>
      <c r="K5452" s="34">
        <v>0</v>
      </c>
      <c r="M5452" s="19" t="str">
        <f>IF(OR(ISBLANK(C5452),C5452=""),"",ROUND((C5452-B5452)*24,2))</f>
        <v/>
      </c>
      <c r="N5452" s="19" t="str">
        <f>IF(OR(ISBLANK(C5452),C5452="",M5452=""),"In Progress",IF(M5452&lt;=J5452,"Met","Breached"))</f>
        <v>In Progress</v>
      </c>
    </row>
    <row r="5453" ht="19" customHeight="1" spans="1:14" x14ac:dyDescent="0.25">
      <c r="A5453" s="22" t="s">
        <v>5567</v>
      </c>
      <c r="B5453" s="36">
        <v>46151.649305555555</v>
      </c>
      <c r="C5453" s="36">
        <v>46157.955555555556</v>
      </c>
      <c r="D5453" s="22" t="s">
        <v>33</v>
      </c>
      <c r="E5453" s="22" t="s">
        <v>69</v>
      </c>
      <c r="F5453" s="22" t="s">
        <v>43</v>
      </c>
      <c r="G5453" s="22" t="s">
        <v>113</v>
      </c>
      <c r="H5453" s="22" t="s">
        <v>63</v>
      </c>
      <c r="I5453" s="22" t="s">
        <v>123</v>
      </c>
      <c r="J5453" s="23">
        <v>120</v>
      </c>
      <c r="K5453" s="37">
        <v>0</v>
      </c>
      <c r="L5453" s="37">
        <v>5</v>
      </c>
      <c r="M5453" s="22">
        <f>IF(OR(ISBLANK(C5453),C5453=""),"",ROUND((C5453-B5453)*24,2))</f>
        <v>151.35</v>
      </c>
      <c r="N5453" s="38" t="str">
        <f>IF(OR(ISBLANK(C5453),C5453="",M5453=""),"In Progress",IF(M5453&lt;=J5453,"Met","Breached"))</f>
        <v>Breached</v>
      </c>
    </row>
    <row r="5454" ht="19" customHeight="1" spans="1:14" x14ac:dyDescent="0.25">
      <c r="A5454" s="19" t="s">
        <v>5568</v>
      </c>
      <c r="B5454" s="33">
        <v>46117.325</v>
      </c>
      <c r="C5454" s="33">
        <v>46119.53472222222</v>
      </c>
      <c r="D5454" s="19" t="s">
        <v>33</v>
      </c>
      <c r="E5454" s="19" t="s">
        <v>65</v>
      </c>
      <c r="F5454" s="19" t="s">
        <v>45</v>
      </c>
      <c r="G5454" s="19" t="s">
        <v>63</v>
      </c>
      <c r="H5454" s="19" t="s">
        <v>63</v>
      </c>
      <c r="I5454" s="19" t="s">
        <v>117</v>
      </c>
      <c r="J5454" s="20">
        <v>48</v>
      </c>
      <c r="K5454" s="34">
        <v>0</v>
      </c>
      <c r="L5454" s="34">
        <v>1</v>
      </c>
      <c r="M5454" s="19">
        <f>IF(OR(ISBLANK(C5454),C5454=""),"",ROUND((C5454-B5454)*24,2))</f>
        <v>53.03</v>
      </c>
      <c r="N5454" s="39" t="str">
        <f>IF(OR(ISBLANK(C5454),C5454="",M5454=""),"In Progress",IF(M5454&lt;=J5454,"Met","Breached"))</f>
        <v>Breached</v>
      </c>
    </row>
    <row r="5455" ht="19" customHeight="1" spans="1:14" x14ac:dyDescent="0.25">
      <c r="A5455" s="22" t="s">
        <v>5569</v>
      </c>
      <c r="B5455" s="36">
        <v>46091.37638888889</v>
      </c>
      <c r="C5455" s="36">
        <v>46098.49861111111</v>
      </c>
      <c r="D5455" s="22" t="s">
        <v>33</v>
      </c>
      <c r="E5455" s="22" t="s">
        <v>69</v>
      </c>
      <c r="F5455" s="22" t="s">
        <v>45</v>
      </c>
      <c r="G5455" s="22" t="s">
        <v>63</v>
      </c>
      <c r="H5455" s="22" t="s">
        <v>59</v>
      </c>
      <c r="I5455" s="22" t="s">
        <v>114</v>
      </c>
      <c r="J5455" s="23">
        <v>120</v>
      </c>
      <c r="K5455" s="37">
        <v>0</v>
      </c>
      <c r="M5455" s="22">
        <f>IF(OR(ISBLANK(C5455),C5455=""),"",ROUND((C5455-B5455)*24,2))</f>
        <v>170.93</v>
      </c>
      <c r="N5455" s="38" t="str">
        <f>IF(OR(ISBLANK(C5455),C5455="",M5455=""),"In Progress",IF(M5455&lt;=J5455,"Met","Breached"))</f>
        <v>Breached</v>
      </c>
    </row>
    <row r="5456" ht="19" customHeight="1" spans="1:14" x14ac:dyDescent="0.25">
      <c r="A5456" s="19" t="s">
        <v>5570</v>
      </c>
      <c r="B5456" s="33">
        <v>46036.929861111115</v>
      </c>
      <c r="D5456" s="19" t="s">
        <v>42</v>
      </c>
      <c r="E5456" s="19" t="s">
        <v>61</v>
      </c>
      <c r="F5456" s="19" t="s">
        <v>37</v>
      </c>
      <c r="G5456" s="19" t="s">
        <v>116</v>
      </c>
      <c r="H5456" s="19" t="s">
        <v>67</v>
      </c>
      <c r="I5456" s="19" t="s">
        <v>117</v>
      </c>
      <c r="J5456" s="20">
        <v>12</v>
      </c>
      <c r="K5456" s="34">
        <v>0</v>
      </c>
      <c r="M5456" s="19" t="str">
        <f>IF(OR(ISBLANK(C5456),C5456=""),"",ROUND((C5456-B5456)*24,2))</f>
        <v/>
      </c>
      <c r="N5456" s="19" t="str">
        <f>IF(OR(ISBLANK(C5456),C5456="",M5456=""),"In Progress",IF(M5456&lt;=J5456,"Met","Breached"))</f>
        <v>In Progress</v>
      </c>
    </row>
    <row r="5457" ht="19" customHeight="1" spans="1:14" x14ac:dyDescent="0.25">
      <c r="A5457" s="22" t="s">
        <v>5571</v>
      </c>
      <c r="B5457" s="36">
        <v>45754.22083333333</v>
      </c>
      <c r="C5457" s="36">
        <v>45757.78402777778</v>
      </c>
      <c r="D5457" s="22" t="s">
        <v>33</v>
      </c>
      <c r="E5457" s="22" t="s">
        <v>65</v>
      </c>
      <c r="F5457" s="22" t="s">
        <v>34</v>
      </c>
      <c r="G5457" s="22" t="s">
        <v>110</v>
      </c>
      <c r="H5457" s="22" t="s">
        <v>63</v>
      </c>
      <c r="I5457" s="22" t="s">
        <v>108</v>
      </c>
      <c r="J5457" s="23">
        <v>48</v>
      </c>
      <c r="K5457" s="37">
        <v>0</v>
      </c>
      <c r="L5457" s="37">
        <v>2</v>
      </c>
      <c r="M5457" s="22">
        <f>IF(OR(ISBLANK(C5457),C5457=""),"",ROUND((C5457-B5457)*24,2))</f>
        <v>85.52</v>
      </c>
      <c r="N5457" s="38" t="str">
        <f>IF(OR(ISBLANK(C5457),C5457="",M5457=""),"In Progress",IF(M5457&lt;=J5457,"Met","Breached"))</f>
        <v>Breached</v>
      </c>
    </row>
    <row r="5458" ht="19" customHeight="1" spans="1:14" x14ac:dyDescent="0.25">
      <c r="A5458" s="19" t="s">
        <v>5572</v>
      </c>
      <c r="B5458" s="33">
        <v>46155.993055555555</v>
      </c>
      <c r="C5458" s="33">
        <v>46158.29722222222</v>
      </c>
      <c r="D5458" s="19" t="s">
        <v>33</v>
      </c>
      <c r="E5458" s="19" t="s">
        <v>65</v>
      </c>
      <c r="F5458" s="19" t="s">
        <v>37</v>
      </c>
      <c r="G5458" s="19" t="s">
        <v>126</v>
      </c>
      <c r="H5458" s="19" t="s">
        <v>59</v>
      </c>
      <c r="I5458" s="19" t="s">
        <v>114</v>
      </c>
      <c r="J5458" s="20">
        <v>48</v>
      </c>
      <c r="K5458" s="34">
        <v>0</v>
      </c>
      <c r="M5458" s="19">
        <f>IF(OR(ISBLANK(C5458),C5458=""),"",ROUND((C5458-B5458)*24,2))</f>
        <v>55.3</v>
      </c>
      <c r="N5458" s="39" t="str">
        <f>IF(OR(ISBLANK(C5458),C5458="",M5458=""),"In Progress",IF(M5458&lt;=J5458,"Met","Breached"))</f>
        <v>Breached</v>
      </c>
    </row>
    <row r="5459" ht="19" customHeight="1" spans="1:14" x14ac:dyDescent="0.25">
      <c r="A5459" s="22" t="s">
        <v>5573</v>
      </c>
      <c r="B5459" s="36">
        <v>45917.56458333333</v>
      </c>
      <c r="C5459" s="36">
        <v>45919.12291666667</v>
      </c>
      <c r="D5459" s="22" t="s">
        <v>33</v>
      </c>
      <c r="E5459" s="22" t="s">
        <v>65</v>
      </c>
      <c r="F5459" s="22" t="s">
        <v>45</v>
      </c>
      <c r="G5459" s="22" t="s">
        <v>113</v>
      </c>
      <c r="H5459" s="22" t="s">
        <v>59</v>
      </c>
      <c r="I5459" s="22" t="s">
        <v>117</v>
      </c>
      <c r="J5459" s="23">
        <v>48</v>
      </c>
      <c r="K5459" s="37">
        <v>0</v>
      </c>
      <c r="L5459" s="37">
        <v>3</v>
      </c>
      <c r="M5459" s="22">
        <f>IF(OR(ISBLANK(C5459),C5459=""),"",ROUND((C5459-B5459)*24,2))</f>
        <v>37.4</v>
      </c>
      <c r="N5459" s="40" t="str">
        <f>IF(OR(ISBLANK(C5459),C5459="",M5459=""),"In Progress",IF(M5459&lt;=J5459,"Met","Breached"))</f>
        <v>Met</v>
      </c>
    </row>
    <row r="5460" ht="19" customHeight="1" spans="1:14" x14ac:dyDescent="0.25">
      <c r="A5460" s="19" t="s">
        <v>5574</v>
      </c>
      <c r="B5460" s="33">
        <v>46052.177777777775</v>
      </c>
      <c r="C5460" s="33">
        <v>46052.40277777778</v>
      </c>
      <c r="D5460" s="19" t="s">
        <v>33</v>
      </c>
      <c r="E5460" s="19" t="s">
        <v>57</v>
      </c>
      <c r="F5460" s="19" t="s">
        <v>43</v>
      </c>
      <c r="G5460" s="19" t="s">
        <v>63</v>
      </c>
      <c r="H5460" s="19" t="s">
        <v>67</v>
      </c>
      <c r="I5460" s="19" t="s">
        <v>111</v>
      </c>
      <c r="J5460" s="20">
        <v>4</v>
      </c>
      <c r="K5460" s="34">
        <v>0</v>
      </c>
      <c r="L5460" s="34">
        <v>5</v>
      </c>
      <c r="M5460" s="19">
        <f>IF(OR(ISBLANK(C5460),C5460=""),"",ROUND((C5460-B5460)*24,2))</f>
        <v>5.4</v>
      </c>
      <c r="N5460" s="39" t="str">
        <f>IF(OR(ISBLANK(C5460),C5460="",M5460=""),"In Progress",IF(M5460&lt;=J5460,"Met","Breached"))</f>
        <v>Breached</v>
      </c>
    </row>
    <row r="5461" ht="19" customHeight="1" spans="1:14" x14ac:dyDescent="0.25">
      <c r="A5461" s="22" t="s">
        <v>5575</v>
      </c>
      <c r="B5461" s="36">
        <v>46015.86666666667</v>
      </c>
      <c r="D5461" s="22" t="s">
        <v>42</v>
      </c>
      <c r="E5461" s="22" t="s">
        <v>65</v>
      </c>
      <c r="F5461" s="22" t="s">
        <v>45</v>
      </c>
      <c r="G5461" s="22" t="s">
        <v>126</v>
      </c>
      <c r="H5461" s="22" t="s">
        <v>63</v>
      </c>
      <c r="I5461" s="22" t="s">
        <v>114</v>
      </c>
      <c r="J5461" s="23">
        <v>48</v>
      </c>
      <c r="K5461" s="37">
        <v>0</v>
      </c>
      <c r="M5461" s="22" t="str">
        <f>IF(OR(ISBLANK(C5461),C5461=""),"",ROUND((C5461-B5461)*24,2))</f>
        <v/>
      </c>
      <c r="N5461" s="22" t="str">
        <f>IF(OR(ISBLANK(C5461),C5461="",M5461=""),"In Progress",IF(M5461&lt;=J5461,"Met","Breached"))</f>
        <v>In Progress</v>
      </c>
    </row>
    <row r="5462" ht="19" customHeight="1" spans="1:14" x14ac:dyDescent="0.25">
      <c r="A5462" s="19" t="s">
        <v>5576</v>
      </c>
      <c r="B5462" s="33">
        <v>45896.33888888889</v>
      </c>
      <c r="D5462" s="19" t="s">
        <v>42</v>
      </c>
      <c r="E5462" s="19" t="s">
        <v>69</v>
      </c>
      <c r="F5462" s="19" t="s">
        <v>43</v>
      </c>
      <c r="G5462" s="19" t="s">
        <v>121</v>
      </c>
      <c r="H5462" s="19" t="s">
        <v>59</v>
      </c>
      <c r="I5462" s="19" t="s">
        <v>114</v>
      </c>
      <c r="J5462" s="20">
        <v>120</v>
      </c>
      <c r="K5462" s="34">
        <v>0</v>
      </c>
      <c r="M5462" s="19" t="str">
        <f>IF(OR(ISBLANK(C5462),C5462=""),"",ROUND((C5462-B5462)*24,2))</f>
        <v/>
      </c>
      <c r="N5462" s="19" t="str">
        <f>IF(OR(ISBLANK(C5462),C5462="",M5462=""),"In Progress",IF(M5462&lt;=J5462,"Met","Breached"))</f>
        <v>In Progress</v>
      </c>
    </row>
    <row r="5463" ht="19" customHeight="1" spans="1:14" x14ac:dyDescent="0.25">
      <c r="A5463" s="22" t="s">
        <v>5577</v>
      </c>
      <c r="B5463" s="36">
        <v>45850.05347222222</v>
      </c>
      <c r="C5463" s="36">
        <v>45851.85763888889</v>
      </c>
      <c r="D5463" s="22" t="s">
        <v>33</v>
      </c>
      <c r="E5463" s="22" t="s">
        <v>65</v>
      </c>
      <c r="F5463" s="22" t="s">
        <v>43</v>
      </c>
      <c r="G5463" s="22" t="s">
        <v>116</v>
      </c>
      <c r="H5463" s="22" t="s">
        <v>67</v>
      </c>
      <c r="I5463" s="22" t="s">
        <v>123</v>
      </c>
      <c r="J5463" s="23">
        <v>48</v>
      </c>
      <c r="K5463" s="37">
        <v>0</v>
      </c>
      <c r="L5463" s="37">
        <v>3</v>
      </c>
      <c r="M5463" s="22">
        <f>IF(OR(ISBLANK(C5463),C5463=""),"",ROUND((C5463-B5463)*24,2))</f>
        <v>43.3</v>
      </c>
      <c r="N5463" s="40" t="str">
        <f>IF(OR(ISBLANK(C5463),C5463="",M5463=""),"In Progress",IF(M5463&lt;=J5463,"Met","Breached"))</f>
        <v>Met</v>
      </c>
    </row>
    <row r="5464" ht="19" customHeight="1" spans="1:14" x14ac:dyDescent="0.25">
      <c r="A5464" s="19" t="s">
        <v>5578</v>
      </c>
      <c r="B5464" s="33">
        <v>45990.15277777778</v>
      </c>
      <c r="D5464" s="19" t="s">
        <v>39</v>
      </c>
      <c r="E5464" s="19" t="s">
        <v>57</v>
      </c>
      <c r="F5464" s="19" t="s">
        <v>43</v>
      </c>
      <c r="G5464" s="19" t="s">
        <v>63</v>
      </c>
      <c r="H5464" s="19" t="s">
        <v>67</v>
      </c>
      <c r="I5464" s="19" t="s">
        <v>117</v>
      </c>
      <c r="J5464" s="20">
        <v>4</v>
      </c>
      <c r="K5464" s="34">
        <v>0</v>
      </c>
      <c r="M5464" s="19" t="str">
        <f>IF(OR(ISBLANK(C5464),C5464=""),"",ROUND((C5464-B5464)*24,2))</f>
        <v/>
      </c>
      <c r="N5464" s="19" t="str">
        <f>IF(OR(ISBLANK(C5464),C5464="",M5464=""),"In Progress",IF(M5464&lt;=J5464,"Met","Breached"))</f>
        <v>In Progress</v>
      </c>
    </row>
    <row r="5465" ht="19" customHeight="1" spans="1:14" x14ac:dyDescent="0.25">
      <c r="A5465" s="22" t="s">
        <v>5579</v>
      </c>
      <c r="B5465" s="36">
        <v>45804.29583333334</v>
      </c>
      <c r="D5465" s="22" t="s">
        <v>42</v>
      </c>
      <c r="E5465" s="22" t="s">
        <v>65</v>
      </c>
      <c r="F5465" s="22" t="s">
        <v>45</v>
      </c>
      <c r="G5465" s="22" t="s">
        <v>113</v>
      </c>
      <c r="H5465" s="22" t="s">
        <v>67</v>
      </c>
      <c r="I5465" s="22" t="s">
        <v>147</v>
      </c>
      <c r="J5465" s="23">
        <v>48</v>
      </c>
      <c r="K5465" s="37">
        <v>0</v>
      </c>
      <c r="M5465" s="22" t="str">
        <f>IF(OR(ISBLANK(C5465),C5465=""),"",ROUND((C5465-B5465)*24,2))</f>
        <v/>
      </c>
      <c r="N5465" s="22" t="str">
        <f>IF(OR(ISBLANK(C5465),C5465="",M5465=""),"In Progress",IF(M5465&lt;=J5465,"Met","Breached"))</f>
        <v>In Progress</v>
      </c>
    </row>
    <row r="5466" ht="19" customHeight="1" spans="1:14" x14ac:dyDescent="0.25">
      <c r="A5466" s="19" t="s">
        <v>5580</v>
      </c>
      <c r="B5466" s="33">
        <v>45833.79861111111</v>
      </c>
      <c r="C5466" s="33">
        <v>45834.20694444445</v>
      </c>
      <c r="D5466" s="19" t="s">
        <v>36</v>
      </c>
      <c r="E5466" s="19" t="s">
        <v>61</v>
      </c>
      <c r="F5466" s="19" t="s">
        <v>40</v>
      </c>
      <c r="G5466" s="19" t="s">
        <v>110</v>
      </c>
      <c r="H5466" s="19" t="s">
        <v>59</v>
      </c>
      <c r="I5466" s="19" t="s">
        <v>117</v>
      </c>
      <c r="J5466" s="20">
        <v>12</v>
      </c>
      <c r="K5466" s="34">
        <v>0</v>
      </c>
      <c r="L5466" s="34">
        <v>2</v>
      </c>
      <c r="M5466" s="19">
        <f>IF(OR(ISBLANK(C5466),C5466=""),"",ROUND((C5466-B5466)*24,2))</f>
        <v>9.8</v>
      </c>
      <c r="N5466" s="35" t="str">
        <f>IF(OR(ISBLANK(C5466),C5466="",M5466=""),"In Progress",IF(M5466&lt;=J5466,"Met","Breached"))</f>
        <v>Met</v>
      </c>
    </row>
    <row r="5467" ht="19" customHeight="1" spans="1:14" x14ac:dyDescent="0.25">
      <c r="A5467" s="22" t="s">
        <v>5581</v>
      </c>
      <c r="B5467" s="36">
        <v>45788.97708333333</v>
      </c>
      <c r="C5467" s="36">
        <v>45790.77916666667</v>
      </c>
      <c r="D5467" s="22" t="s">
        <v>33</v>
      </c>
      <c r="E5467" s="22" t="s">
        <v>65</v>
      </c>
      <c r="F5467" s="22" t="s">
        <v>34</v>
      </c>
      <c r="G5467" s="22" t="s">
        <v>63</v>
      </c>
      <c r="H5467" s="22" t="s">
        <v>59</v>
      </c>
      <c r="I5467" s="22" t="s">
        <v>147</v>
      </c>
      <c r="J5467" s="23">
        <v>48</v>
      </c>
      <c r="K5467" s="37">
        <v>0</v>
      </c>
      <c r="L5467" s="37">
        <v>5</v>
      </c>
      <c r="M5467" s="22">
        <f>IF(OR(ISBLANK(C5467),C5467=""),"",ROUND((C5467-B5467)*24,2))</f>
        <v>43.25</v>
      </c>
      <c r="N5467" s="40" t="str">
        <f>IF(OR(ISBLANK(C5467),C5467="",M5467=""),"In Progress",IF(M5467&lt;=J5467,"Met","Breached"))</f>
        <v>Met</v>
      </c>
    </row>
    <row r="5468" ht="19" customHeight="1" spans="1:14" x14ac:dyDescent="0.25">
      <c r="A5468" s="19" t="s">
        <v>5582</v>
      </c>
      <c r="B5468" s="33">
        <v>46051.01736111111</v>
      </c>
      <c r="D5468" s="19" t="s">
        <v>39</v>
      </c>
      <c r="E5468" s="19" t="s">
        <v>61</v>
      </c>
      <c r="F5468" s="19" t="s">
        <v>34</v>
      </c>
      <c r="G5468" s="19" t="s">
        <v>110</v>
      </c>
      <c r="H5468" s="19" t="s">
        <v>59</v>
      </c>
      <c r="I5468" s="19" t="s">
        <v>108</v>
      </c>
      <c r="J5468" s="20">
        <v>12</v>
      </c>
      <c r="K5468" s="34">
        <v>0</v>
      </c>
      <c r="M5468" s="19" t="str">
        <f>IF(OR(ISBLANK(C5468),C5468=""),"",ROUND((C5468-B5468)*24,2))</f>
        <v/>
      </c>
      <c r="N5468" s="19" t="str">
        <f>IF(OR(ISBLANK(C5468),C5468="",M5468=""),"In Progress",IF(M5468&lt;=J5468,"Met","Breached"))</f>
        <v>In Progress</v>
      </c>
    </row>
    <row r="5469" ht="19" customHeight="1" spans="1:14" x14ac:dyDescent="0.25">
      <c r="A5469" s="22" t="s">
        <v>5583</v>
      </c>
      <c r="B5469" s="36">
        <v>46224.56458333333</v>
      </c>
      <c r="D5469" s="22" t="s">
        <v>42</v>
      </c>
      <c r="E5469" s="22" t="s">
        <v>65</v>
      </c>
      <c r="F5469" s="22" t="s">
        <v>43</v>
      </c>
      <c r="G5469" s="22" t="s">
        <v>116</v>
      </c>
      <c r="H5469" s="22" t="s">
        <v>63</v>
      </c>
      <c r="I5469" s="22" t="s">
        <v>123</v>
      </c>
      <c r="J5469" s="23">
        <v>48</v>
      </c>
      <c r="K5469" s="37">
        <v>0</v>
      </c>
      <c r="M5469" s="22" t="str">
        <f>IF(OR(ISBLANK(C5469),C5469=""),"",ROUND((C5469-B5469)*24,2))</f>
        <v/>
      </c>
      <c r="N5469" s="22" t="str">
        <f>IF(OR(ISBLANK(C5469),C5469="",M5469=""),"In Progress",IF(M5469&lt;=J5469,"Met","Breached"))</f>
        <v>In Progress</v>
      </c>
    </row>
    <row r="5470" ht="19" customHeight="1" spans="1:14" x14ac:dyDescent="0.25">
      <c r="A5470" s="19" t="s">
        <v>5584</v>
      </c>
      <c r="B5470" s="33">
        <v>45810.39375</v>
      </c>
      <c r="C5470" s="33">
        <v>45811.10208333333</v>
      </c>
      <c r="D5470" s="19" t="s">
        <v>33</v>
      </c>
      <c r="E5470" s="19" t="s">
        <v>65</v>
      </c>
      <c r="F5470" s="19" t="s">
        <v>43</v>
      </c>
      <c r="G5470" s="19" t="s">
        <v>121</v>
      </c>
      <c r="H5470" s="19" t="s">
        <v>59</v>
      </c>
      <c r="I5470" s="19" t="s">
        <v>108</v>
      </c>
      <c r="J5470" s="20">
        <v>48</v>
      </c>
      <c r="K5470" s="34">
        <v>0</v>
      </c>
      <c r="L5470" s="34">
        <v>3</v>
      </c>
      <c r="M5470" s="19">
        <f>IF(OR(ISBLANK(C5470),C5470=""),"",ROUND((C5470-B5470)*24,2))</f>
        <v>17</v>
      </c>
      <c r="N5470" s="35" t="str">
        <f>IF(OR(ISBLANK(C5470),C5470="",M5470=""),"In Progress",IF(M5470&lt;=J5470,"Met","Breached"))</f>
        <v>Met</v>
      </c>
    </row>
    <row r="5471" ht="19" customHeight="1" spans="1:14" x14ac:dyDescent="0.25">
      <c r="A5471" s="22" t="s">
        <v>5585</v>
      </c>
      <c r="B5471" s="36">
        <v>45779.43888888889</v>
      </c>
      <c r="C5471" s="36">
        <v>45783.60625</v>
      </c>
      <c r="D5471" s="22" t="s">
        <v>33</v>
      </c>
      <c r="E5471" s="22" t="s">
        <v>69</v>
      </c>
      <c r="F5471" s="22" t="s">
        <v>37</v>
      </c>
      <c r="G5471" s="22" t="s">
        <v>113</v>
      </c>
      <c r="H5471" s="22" t="s">
        <v>59</v>
      </c>
      <c r="I5471" s="22" t="s">
        <v>114</v>
      </c>
      <c r="J5471" s="23">
        <v>120</v>
      </c>
      <c r="K5471" s="37">
        <v>1</v>
      </c>
      <c r="L5471" s="37">
        <v>1</v>
      </c>
      <c r="M5471" s="22">
        <f>IF(OR(ISBLANK(C5471),C5471=""),"",ROUND((C5471-B5471)*24,2))</f>
        <v>100.02</v>
      </c>
      <c r="N5471" s="40" t="str">
        <f>IF(OR(ISBLANK(C5471),C5471="",M5471=""),"In Progress",IF(M5471&lt;=J5471,"Met","Breached"))</f>
        <v>Met</v>
      </c>
    </row>
    <row r="5472" ht="19" customHeight="1" spans="1:14" x14ac:dyDescent="0.25">
      <c r="A5472" s="19" t="s">
        <v>5586</v>
      </c>
      <c r="B5472" s="33">
        <v>45899.05138888889</v>
      </c>
      <c r="C5472" s="33">
        <v>45908.018055555556</v>
      </c>
      <c r="D5472" s="19" t="s">
        <v>33</v>
      </c>
      <c r="E5472" s="19" t="s">
        <v>69</v>
      </c>
      <c r="F5472" s="19" t="s">
        <v>37</v>
      </c>
      <c r="G5472" s="19" t="s">
        <v>121</v>
      </c>
      <c r="H5472" s="19" t="s">
        <v>59</v>
      </c>
      <c r="I5472" s="19" t="s">
        <v>111</v>
      </c>
      <c r="J5472" s="20">
        <v>120</v>
      </c>
      <c r="K5472" s="34">
        <v>0</v>
      </c>
      <c r="L5472" s="34">
        <v>2</v>
      </c>
      <c r="M5472" s="19">
        <f>IF(OR(ISBLANK(C5472),C5472=""),"",ROUND((C5472-B5472)*24,2))</f>
        <v>215.2</v>
      </c>
      <c r="N5472" s="39" t="str">
        <f>IF(OR(ISBLANK(C5472),C5472="",M5472=""),"In Progress",IF(M5472&lt;=J5472,"Met","Breached"))</f>
        <v>Breached</v>
      </c>
    </row>
    <row r="5473" ht="19" customHeight="1" spans="1:14" x14ac:dyDescent="0.25">
      <c r="A5473" s="22" t="s">
        <v>5587</v>
      </c>
      <c r="B5473" s="36">
        <v>45916.16180555556</v>
      </c>
      <c r="C5473" s="36">
        <v>45918.85625</v>
      </c>
      <c r="D5473" s="22" t="s">
        <v>33</v>
      </c>
      <c r="E5473" s="22" t="s">
        <v>65</v>
      </c>
      <c r="F5473" s="22" t="s">
        <v>34</v>
      </c>
      <c r="G5473" s="22" t="s">
        <v>116</v>
      </c>
      <c r="H5473" s="22" t="s">
        <v>67</v>
      </c>
      <c r="I5473" s="22" t="s">
        <v>123</v>
      </c>
      <c r="J5473" s="23">
        <v>48</v>
      </c>
      <c r="K5473" s="37">
        <v>0</v>
      </c>
      <c r="L5473" s="37">
        <v>4</v>
      </c>
      <c r="M5473" s="22">
        <f>IF(OR(ISBLANK(C5473),C5473=""),"",ROUND((C5473-B5473)*24,2))</f>
        <v>64.67</v>
      </c>
      <c r="N5473" s="38" t="str">
        <f>IF(OR(ISBLANK(C5473),C5473="",M5473=""),"In Progress",IF(M5473&lt;=J5473,"Met","Breached"))</f>
        <v>Breached</v>
      </c>
    </row>
    <row r="5474" ht="19" customHeight="1" spans="1:14" x14ac:dyDescent="0.25">
      <c r="A5474" s="19" t="s">
        <v>5588</v>
      </c>
      <c r="B5474" s="33">
        <v>46074.94583333333</v>
      </c>
      <c r="C5474" s="33">
        <v>46075.73888888889</v>
      </c>
      <c r="D5474" s="19" t="s">
        <v>36</v>
      </c>
      <c r="E5474" s="19" t="s">
        <v>65</v>
      </c>
      <c r="F5474" s="19" t="s">
        <v>34</v>
      </c>
      <c r="G5474" s="19" t="s">
        <v>121</v>
      </c>
      <c r="H5474" s="19" t="s">
        <v>63</v>
      </c>
      <c r="I5474" s="19" t="s">
        <v>147</v>
      </c>
      <c r="J5474" s="20">
        <v>48</v>
      </c>
      <c r="K5474" s="34">
        <v>0</v>
      </c>
      <c r="M5474" s="19">
        <f>IF(OR(ISBLANK(C5474),C5474=""),"",ROUND((C5474-B5474)*24,2))</f>
        <v>19.03</v>
      </c>
      <c r="N5474" s="35" t="str">
        <f>IF(OR(ISBLANK(C5474),C5474="",M5474=""),"In Progress",IF(M5474&lt;=J5474,"Met","Breached"))</f>
        <v>Met</v>
      </c>
    </row>
    <row r="5475" ht="19" customHeight="1" spans="1:14" x14ac:dyDescent="0.25">
      <c r="A5475" s="22" t="s">
        <v>5589</v>
      </c>
      <c r="B5475" s="36">
        <v>45869.74930555555</v>
      </c>
      <c r="D5475" s="22" t="s">
        <v>39</v>
      </c>
      <c r="E5475" s="22" t="s">
        <v>65</v>
      </c>
      <c r="F5475" s="22" t="s">
        <v>37</v>
      </c>
      <c r="G5475" s="22" t="s">
        <v>63</v>
      </c>
      <c r="H5475" s="22" t="s">
        <v>59</v>
      </c>
      <c r="I5475" s="22" t="s">
        <v>147</v>
      </c>
      <c r="J5475" s="23">
        <v>48</v>
      </c>
      <c r="K5475" s="37">
        <v>0</v>
      </c>
      <c r="M5475" s="22" t="str">
        <f>IF(OR(ISBLANK(C5475),C5475=""),"",ROUND((C5475-B5475)*24,2))</f>
        <v/>
      </c>
      <c r="N5475" s="22" t="str">
        <f>IF(OR(ISBLANK(C5475),C5475="",M5475=""),"In Progress",IF(M5475&lt;=J5475,"Met","Breached"))</f>
        <v>In Progress</v>
      </c>
    </row>
    <row r="5476" ht="19" customHeight="1" spans="1:14" x14ac:dyDescent="0.25">
      <c r="A5476" s="19" t="s">
        <v>5590</v>
      </c>
      <c r="B5476" s="33">
        <v>45791.53680555556</v>
      </c>
      <c r="C5476" s="33">
        <v>45798.725694444445</v>
      </c>
      <c r="D5476" s="19" t="s">
        <v>33</v>
      </c>
      <c r="E5476" s="19" t="s">
        <v>69</v>
      </c>
      <c r="F5476" s="19" t="s">
        <v>34</v>
      </c>
      <c r="G5476" s="19" t="s">
        <v>63</v>
      </c>
      <c r="H5476" s="19" t="s">
        <v>67</v>
      </c>
      <c r="I5476" s="19" t="s">
        <v>108</v>
      </c>
      <c r="J5476" s="20">
        <v>120</v>
      </c>
      <c r="K5476" s="34">
        <v>0</v>
      </c>
      <c r="L5476" s="34">
        <v>5</v>
      </c>
      <c r="M5476" s="19">
        <f>IF(OR(ISBLANK(C5476),C5476=""),"",ROUND((C5476-B5476)*24,2))</f>
        <v>172.53</v>
      </c>
      <c r="N5476" s="39" t="str">
        <f>IF(OR(ISBLANK(C5476),C5476="",M5476=""),"In Progress",IF(M5476&lt;=J5476,"Met","Breached"))</f>
        <v>Breached</v>
      </c>
    </row>
    <row r="5477" ht="19" customHeight="1" spans="1:14" x14ac:dyDescent="0.25">
      <c r="A5477" s="22" t="s">
        <v>5591</v>
      </c>
      <c r="B5477" s="36">
        <v>45981.353472222225</v>
      </c>
      <c r="C5477" s="36">
        <v>45981.74652777778</v>
      </c>
      <c r="D5477" s="22" t="s">
        <v>33</v>
      </c>
      <c r="E5477" s="22" t="s">
        <v>61</v>
      </c>
      <c r="F5477" s="22" t="s">
        <v>43</v>
      </c>
      <c r="G5477" s="22" t="s">
        <v>126</v>
      </c>
      <c r="H5477" s="22" t="s">
        <v>63</v>
      </c>
      <c r="I5477" s="22" t="s">
        <v>117</v>
      </c>
      <c r="J5477" s="23">
        <v>12</v>
      </c>
      <c r="K5477" s="37">
        <v>0</v>
      </c>
      <c r="M5477" s="22">
        <f>IF(OR(ISBLANK(C5477),C5477=""),"",ROUND((C5477-B5477)*24,2))</f>
        <v>9.43</v>
      </c>
      <c r="N5477" s="40" t="str">
        <f>IF(OR(ISBLANK(C5477),C5477="",M5477=""),"In Progress",IF(M5477&lt;=J5477,"Met","Breached"))</f>
        <v>Met</v>
      </c>
    </row>
    <row r="5478" ht="19" customHeight="1" spans="1:14" x14ac:dyDescent="0.25">
      <c r="A5478" s="19" t="s">
        <v>5592</v>
      </c>
      <c r="B5478" s="33">
        <v>46103.9375</v>
      </c>
      <c r="D5478" s="19" t="s">
        <v>39</v>
      </c>
      <c r="E5478" s="19" t="s">
        <v>69</v>
      </c>
      <c r="F5478" s="19" t="s">
        <v>34</v>
      </c>
      <c r="G5478" s="19" t="s">
        <v>110</v>
      </c>
      <c r="H5478" s="19" t="s">
        <v>63</v>
      </c>
      <c r="I5478" s="19" t="s">
        <v>117</v>
      </c>
      <c r="J5478" s="20">
        <v>120</v>
      </c>
      <c r="K5478" s="34">
        <v>0</v>
      </c>
      <c r="M5478" s="19" t="str">
        <f>IF(OR(ISBLANK(C5478),C5478=""),"",ROUND((C5478-B5478)*24,2))</f>
        <v/>
      </c>
      <c r="N5478" s="19" t="str">
        <f>IF(OR(ISBLANK(C5478),C5478="",M5478=""),"In Progress",IF(M5478&lt;=J5478,"Met","Breached"))</f>
        <v>In Progress</v>
      </c>
    </row>
    <row r="5479" ht="19" customHeight="1" spans="1:14" x14ac:dyDescent="0.25">
      <c r="A5479" s="22" t="s">
        <v>5593</v>
      </c>
      <c r="B5479" s="36">
        <v>46230.211805555555</v>
      </c>
      <c r="D5479" s="22" t="s">
        <v>42</v>
      </c>
      <c r="E5479" s="22" t="s">
        <v>61</v>
      </c>
      <c r="F5479" s="22" t="s">
        <v>43</v>
      </c>
      <c r="G5479" s="22" t="s">
        <v>63</v>
      </c>
      <c r="H5479" s="22" t="s">
        <v>63</v>
      </c>
      <c r="I5479" s="22" t="s">
        <v>123</v>
      </c>
      <c r="J5479" s="23">
        <v>12</v>
      </c>
      <c r="K5479" s="37">
        <v>0</v>
      </c>
      <c r="M5479" s="22" t="str">
        <f>IF(OR(ISBLANK(C5479),C5479=""),"",ROUND((C5479-B5479)*24,2))</f>
        <v/>
      </c>
      <c r="N5479" s="22" t="str">
        <f>IF(OR(ISBLANK(C5479),C5479="",M5479=""),"In Progress",IF(M5479&lt;=J5479,"Met","Breached"))</f>
        <v>In Progress</v>
      </c>
    </row>
    <row r="5480" ht="19" customHeight="1" spans="1:14" x14ac:dyDescent="0.25">
      <c r="A5480" s="19" t="s">
        <v>5594</v>
      </c>
      <c r="B5480" s="33">
        <v>45746.16875</v>
      </c>
      <c r="C5480" s="33">
        <v>45748.131944444445</v>
      </c>
      <c r="D5480" s="19" t="s">
        <v>33</v>
      </c>
      <c r="E5480" s="19" t="s">
        <v>65</v>
      </c>
      <c r="F5480" s="19" t="s">
        <v>45</v>
      </c>
      <c r="G5480" s="19" t="s">
        <v>110</v>
      </c>
      <c r="H5480" s="19" t="s">
        <v>59</v>
      </c>
      <c r="I5480" s="19" t="s">
        <v>108</v>
      </c>
      <c r="J5480" s="20">
        <v>48</v>
      </c>
      <c r="K5480" s="34">
        <v>0</v>
      </c>
      <c r="L5480" s="34">
        <v>2</v>
      </c>
      <c r="M5480" s="19">
        <f>IF(OR(ISBLANK(C5480),C5480=""),"",ROUND((C5480-B5480)*24,2))</f>
        <v>47.12</v>
      </c>
      <c r="N5480" s="35" t="str">
        <f>IF(OR(ISBLANK(C5480),C5480="",M5480=""),"In Progress",IF(M5480&lt;=J5480,"Met","Breached"))</f>
        <v>Met</v>
      </c>
    </row>
    <row r="5481" ht="19" customHeight="1" spans="1:14" x14ac:dyDescent="0.25">
      <c r="A5481" s="22" t="s">
        <v>5595</v>
      </c>
      <c r="B5481" s="36">
        <v>45873.49930555555</v>
      </c>
      <c r="C5481" s="36">
        <v>45874.882638888885</v>
      </c>
      <c r="D5481" s="22" t="s">
        <v>36</v>
      </c>
      <c r="E5481" s="22" t="s">
        <v>65</v>
      </c>
      <c r="F5481" s="22" t="s">
        <v>43</v>
      </c>
      <c r="G5481" s="22" t="s">
        <v>121</v>
      </c>
      <c r="H5481" s="22" t="s">
        <v>67</v>
      </c>
      <c r="I5481" s="22" t="s">
        <v>123</v>
      </c>
      <c r="J5481" s="23">
        <v>48</v>
      </c>
      <c r="K5481" s="37">
        <v>0</v>
      </c>
      <c r="L5481" s="37">
        <v>4</v>
      </c>
      <c r="M5481" s="22">
        <f>IF(OR(ISBLANK(C5481),C5481=""),"",ROUND((C5481-B5481)*24,2))</f>
        <v>33.2</v>
      </c>
      <c r="N5481" s="40" t="str">
        <f>IF(OR(ISBLANK(C5481),C5481="",M5481=""),"In Progress",IF(M5481&lt;=J5481,"Met","Breached"))</f>
        <v>Met</v>
      </c>
    </row>
    <row r="5482" ht="19" customHeight="1" spans="1:14" x14ac:dyDescent="0.25">
      <c r="A5482" s="19" t="s">
        <v>5596</v>
      </c>
      <c r="B5482" s="33">
        <v>46063.32777777778</v>
      </c>
      <c r="D5482" s="19" t="s">
        <v>39</v>
      </c>
      <c r="E5482" s="19" t="s">
        <v>65</v>
      </c>
      <c r="F5482" s="19" t="s">
        <v>45</v>
      </c>
      <c r="G5482" s="19" t="s">
        <v>110</v>
      </c>
      <c r="H5482" s="19" t="s">
        <v>59</v>
      </c>
      <c r="I5482" s="19" t="s">
        <v>147</v>
      </c>
      <c r="J5482" s="20">
        <v>48</v>
      </c>
      <c r="K5482" s="34">
        <v>0</v>
      </c>
      <c r="M5482" s="19" t="str">
        <f>IF(OR(ISBLANK(C5482),C5482=""),"",ROUND((C5482-B5482)*24,2))</f>
        <v/>
      </c>
      <c r="N5482" s="19" t="str">
        <f>IF(OR(ISBLANK(C5482),C5482="",M5482=""),"In Progress",IF(M5482&lt;=J5482,"Met","Breached"))</f>
        <v>In Progress</v>
      </c>
    </row>
    <row r="5483" ht="19" customHeight="1" spans="1:14" x14ac:dyDescent="0.25">
      <c r="A5483" s="22" t="s">
        <v>5597</v>
      </c>
      <c r="B5483" s="36">
        <v>46164.92916666667</v>
      </c>
      <c r="C5483" s="36">
        <v>46168.09375</v>
      </c>
      <c r="D5483" s="22" t="s">
        <v>33</v>
      </c>
      <c r="E5483" s="22" t="s">
        <v>65</v>
      </c>
      <c r="F5483" s="22" t="s">
        <v>45</v>
      </c>
      <c r="G5483" s="22" t="s">
        <v>116</v>
      </c>
      <c r="H5483" s="22" t="s">
        <v>63</v>
      </c>
      <c r="I5483" s="22" t="s">
        <v>123</v>
      </c>
      <c r="J5483" s="23">
        <v>48</v>
      </c>
      <c r="K5483" s="37">
        <v>0</v>
      </c>
      <c r="L5483" s="37">
        <v>2</v>
      </c>
      <c r="M5483" s="22">
        <f>IF(OR(ISBLANK(C5483),C5483=""),"",ROUND((C5483-B5483)*24,2))</f>
        <v>75.95</v>
      </c>
      <c r="N5483" s="38" t="str">
        <f>IF(OR(ISBLANK(C5483),C5483="",M5483=""),"In Progress",IF(M5483&lt;=J5483,"Met","Breached"))</f>
        <v>Breached</v>
      </c>
    </row>
    <row r="5484" ht="19" customHeight="1" spans="1:14" x14ac:dyDescent="0.25">
      <c r="A5484" s="19" t="s">
        <v>5598</v>
      </c>
      <c r="B5484" s="33">
        <v>45816.59444444445</v>
      </c>
      <c r="C5484" s="33">
        <v>45817.21597222222</v>
      </c>
      <c r="D5484" s="19" t="s">
        <v>36</v>
      </c>
      <c r="E5484" s="19" t="s">
        <v>61</v>
      </c>
      <c r="F5484" s="19" t="s">
        <v>37</v>
      </c>
      <c r="G5484" s="19" t="s">
        <v>121</v>
      </c>
      <c r="H5484" s="19" t="s">
        <v>63</v>
      </c>
      <c r="I5484" s="19" t="s">
        <v>123</v>
      </c>
      <c r="J5484" s="20">
        <v>12</v>
      </c>
      <c r="K5484" s="34">
        <v>0</v>
      </c>
      <c r="L5484" s="34">
        <v>1</v>
      </c>
      <c r="M5484" s="19">
        <f>IF(OR(ISBLANK(C5484),C5484=""),"",ROUND((C5484-B5484)*24,2))</f>
        <v>14.92</v>
      </c>
      <c r="N5484" s="39" t="str">
        <f>IF(OR(ISBLANK(C5484),C5484="",M5484=""),"In Progress",IF(M5484&lt;=J5484,"Met","Breached"))</f>
        <v>Breached</v>
      </c>
    </row>
    <row r="5485" ht="19" customHeight="1" spans="1:14" x14ac:dyDescent="0.25">
      <c r="A5485" s="22" t="s">
        <v>5599</v>
      </c>
      <c r="B5485" s="36">
        <v>45731.22777777778</v>
      </c>
      <c r="C5485" s="36">
        <v>45732.08194444445</v>
      </c>
      <c r="D5485" s="22" t="s">
        <v>33</v>
      </c>
      <c r="E5485" s="22" t="s">
        <v>65</v>
      </c>
      <c r="F5485" s="22" t="s">
        <v>37</v>
      </c>
      <c r="G5485" s="22" t="s">
        <v>121</v>
      </c>
      <c r="H5485" s="22" t="s">
        <v>59</v>
      </c>
      <c r="I5485" s="22" t="s">
        <v>123</v>
      </c>
      <c r="J5485" s="23">
        <v>48</v>
      </c>
      <c r="K5485" s="37">
        <v>1</v>
      </c>
      <c r="L5485" s="37">
        <v>5</v>
      </c>
      <c r="M5485" s="22">
        <f>IF(OR(ISBLANK(C5485),C5485=""),"",ROUND((C5485-B5485)*24,2))</f>
        <v>20.5</v>
      </c>
      <c r="N5485" s="40" t="str">
        <f>IF(OR(ISBLANK(C5485),C5485="",M5485=""),"In Progress",IF(M5485&lt;=J5485,"Met","Breached"))</f>
        <v>Met</v>
      </c>
    </row>
    <row r="5486" ht="19" customHeight="1" spans="1:14" x14ac:dyDescent="0.25">
      <c r="A5486" s="19" t="s">
        <v>5600</v>
      </c>
      <c r="B5486" s="33">
        <v>45820.475</v>
      </c>
      <c r="C5486" s="33">
        <v>45821.06111111111</v>
      </c>
      <c r="D5486" s="19" t="s">
        <v>36</v>
      </c>
      <c r="E5486" s="19" t="s">
        <v>61</v>
      </c>
      <c r="F5486" s="19" t="s">
        <v>40</v>
      </c>
      <c r="G5486" s="19" t="s">
        <v>113</v>
      </c>
      <c r="H5486" s="19" t="s">
        <v>59</v>
      </c>
      <c r="I5486" s="19" t="s">
        <v>117</v>
      </c>
      <c r="J5486" s="20">
        <v>12</v>
      </c>
      <c r="K5486" s="34">
        <v>0</v>
      </c>
      <c r="L5486" s="34">
        <v>4</v>
      </c>
      <c r="M5486" s="19">
        <f>IF(OR(ISBLANK(C5486),C5486=""),"",ROUND((C5486-B5486)*24,2))</f>
        <v>14.07</v>
      </c>
      <c r="N5486" s="39" t="str">
        <f>IF(OR(ISBLANK(C5486),C5486="",M5486=""),"In Progress",IF(M5486&lt;=J5486,"Met","Breached"))</f>
        <v>Breached</v>
      </c>
    </row>
    <row r="5487" ht="19" customHeight="1" spans="1:14" x14ac:dyDescent="0.25">
      <c r="A5487" s="22" t="s">
        <v>5601</v>
      </c>
      <c r="B5487" s="36">
        <v>46230.30972222222</v>
      </c>
      <c r="C5487" s="36">
        <v>46232.54236111111</v>
      </c>
      <c r="D5487" s="22" t="s">
        <v>33</v>
      </c>
      <c r="E5487" s="22" t="s">
        <v>65</v>
      </c>
      <c r="F5487" s="22" t="s">
        <v>37</v>
      </c>
      <c r="G5487" s="22" t="s">
        <v>113</v>
      </c>
      <c r="H5487" s="22" t="s">
        <v>59</v>
      </c>
      <c r="I5487" s="22" t="s">
        <v>114</v>
      </c>
      <c r="J5487" s="23">
        <v>48</v>
      </c>
      <c r="K5487" s="37">
        <v>0</v>
      </c>
      <c r="L5487" s="37">
        <v>4</v>
      </c>
      <c r="M5487" s="22">
        <f>IF(OR(ISBLANK(C5487),C5487=""),"",ROUND((C5487-B5487)*24,2))</f>
        <v>53.58</v>
      </c>
      <c r="N5487" s="38" t="str">
        <f>IF(OR(ISBLANK(C5487),C5487="",M5487=""),"In Progress",IF(M5487&lt;=J5487,"Met","Breached"))</f>
        <v>Breached</v>
      </c>
    </row>
    <row r="5488" ht="19" customHeight="1" spans="1:14" x14ac:dyDescent="0.25">
      <c r="A5488" s="19" t="s">
        <v>5602</v>
      </c>
      <c r="B5488" s="33">
        <v>45879.74930555555</v>
      </c>
      <c r="D5488" s="19" t="s">
        <v>39</v>
      </c>
      <c r="E5488" s="19" t="s">
        <v>61</v>
      </c>
      <c r="F5488" s="19" t="s">
        <v>34</v>
      </c>
      <c r="G5488" s="19" t="s">
        <v>126</v>
      </c>
      <c r="H5488" s="19" t="s">
        <v>59</v>
      </c>
      <c r="I5488" s="19" t="s">
        <v>108</v>
      </c>
      <c r="J5488" s="20">
        <v>12</v>
      </c>
      <c r="K5488" s="34">
        <v>0</v>
      </c>
      <c r="M5488" s="19" t="str">
        <f>IF(OR(ISBLANK(C5488),C5488=""),"",ROUND((C5488-B5488)*24,2))</f>
        <v/>
      </c>
      <c r="N5488" s="19" t="str">
        <f>IF(OR(ISBLANK(C5488),C5488="",M5488=""),"In Progress",IF(M5488&lt;=J5488,"Met","Breached"))</f>
        <v>In Progress</v>
      </c>
    </row>
    <row r="5489" ht="19" customHeight="1" spans="1:14" x14ac:dyDescent="0.25">
      <c r="A5489" s="22" t="s">
        <v>5603</v>
      </c>
      <c r="B5489" s="36">
        <v>46196.538888888885</v>
      </c>
      <c r="C5489" s="36">
        <v>46198.67222222222</v>
      </c>
      <c r="D5489" s="22" t="s">
        <v>33</v>
      </c>
      <c r="E5489" s="22" t="s">
        <v>65</v>
      </c>
      <c r="F5489" s="22" t="s">
        <v>43</v>
      </c>
      <c r="G5489" s="22" t="s">
        <v>63</v>
      </c>
      <c r="H5489" s="22" t="s">
        <v>59</v>
      </c>
      <c r="I5489" s="22" t="s">
        <v>123</v>
      </c>
      <c r="J5489" s="23">
        <v>48</v>
      </c>
      <c r="K5489" s="37">
        <v>0</v>
      </c>
      <c r="L5489" s="37">
        <v>5</v>
      </c>
      <c r="M5489" s="22">
        <f>IF(OR(ISBLANK(C5489),C5489=""),"",ROUND((C5489-B5489)*24,2))</f>
        <v>51.2</v>
      </c>
      <c r="N5489" s="38" t="str">
        <f>IF(OR(ISBLANK(C5489),C5489="",M5489=""),"In Progress",IF(M5489&lt;=J5489,"Met","Breached"))</f>
        <v>Breached</v>
      </c>
    </row>
    <row r="5490" ht="19" customHeight="1" spans="1:14" x14ac:dyDescent="0.25">
      <c r="A5490" s="19" t="s">
        <v>5604</v>
      </c>
      <c r="B5490" s="33">
        <v>45799.22916666667</v>
      </c>
      <c r="C5490" s="33">
        <v>45802.94375</v>
      </c>
      <c r="D5490" s="19" t="s">
        <v>33</v>
      </c>
      <c r="E5490" s="19" t="s">
        <v>69</v>
      </c>
      <c r="F5490" s="19" t="s">
        <v>37</v>
      </c>
      <c r="G5490" s="19" t="s">
        <v>113</v>
      </c>
      <c r="H5490" s="19" t="s">
        <v>67</v>
      </c>
      <c r="I5490" s="19" t="s">
        <v>117</v>
      </c>
      <c r="J5490" s="20">
        <v>120</v>
      </c>
      <c r="K5490" s="34">
        <v>0</v>
      </c>
      <c r="L5490" s="34">
        <v>1</v>
      </c>
      <c r="M5490" s="19">
        <f>IF(OR(ISBLANK(C5490),C5490=""),"",ROUND((C5490-B5490)*24,2))</f>
        <v>89.15</v>
      </c>
      <c r="N5490" s="35" t="str">
        <f>IF(OR(ISBLANK(C5490),C5490="",M5490=""),"In Progress",IF(M5490&lt;=J5490,"Met","Breached"))</f>
        <v>Met</v>
      </c>
    </row>
    <row r="5491" ht="19" customHeight="1" spans="1:14" x14ac:dyDescent="0.25">
      <c r="A5491" s="22" t="s">
        <v>5605</v>
      </c>
      <c r="B5491" s="36">
        <v>46224.17083333334</v>
      </c>
      <c r="C5491" s="36">
        <v>46226.66736111111</v>
      </c>
      <c r="D5491" s="22" t="s">
        <v>36</v>
      </c>
      <c r="E5491" s="22" t="s">
        <v>65</v>
      </c>
      <c r="F5491" s="22" t="s">
        <v>40</v>
      </c>
      <c r="G5491" s="22" t="s">
        <v>121</v>
      </c>
      <c r="H5491" s="22" t="s">
        <v>63</v>
      </c>
      <c r="I5491" s="22" t="s">
        <v>123</v>
      </c>
      <c r="J5491" s="23">
        <v>48</v>
      </c>
      <c r="K5491" s="37">
        <v>0</v>
      </c>
      <c r="L5491" s="37">
        <v>3</v>
      </c>
      <c r="M5491" s="22">
        <f>IF(OR(ISBLANK(C5491),C5491=""),"",ROUND((C5491-B5491)*24,2))</f>
        <v>59.92</v>
      </c>
      <c r="N5491" s="38" t="str">
        <f>IF(OR(ISBLANK(C5491),C5491="",M5491=""),"In Progress",IF(M5491&lt;=J5491,"Met","Breached"))</f>
        <v>Breached</v>
      </c>
    </row>
    <row r="5492" ht="19" customHeight="1" spans="1:14" x14ac:dyDescent="0.25">
      <c r="A5492" s="19" t="s">
        <v>5606</v>
      </c>
      <c r="B5492" s="33">
        <v>45749.76527777778</v>
      </c>
      <c r="D5492" s="19" t="s">
        <v>42</v>
      </c>
      <c r="E5492" s="19" t="s">
        <v>69</v>
      </c>
      <c r="F5492" s="19" t="s">
        <v>37</v>
      </c>
      <c r="G5492" s="19" t="s">
        <v>121</v>
      </c>
      <c r="H5492" s="19" t="s">
        <v>59</v>
      </c>
      <c r="I5492" s="19" t="s">
        <v>123</v>
      </c>
      <c r="J5492" s="20">
        <v>120</v>
      </c>
      <c r="K5492" s="34">
        <v>0</v>
      </c>
      <c r="M5492" s="19" t="str">
        <f>IF(OR(ISBLANK(C5492),C5492=""),"",ROUND((C5492-B5492)*24,2))</f>
        <v/>
      </c>
      <c r="N5492" s="19" t="str">
        <f>IF(OR(ISBLANK(C5492),C5492="",M5492=""),"In Progress",IF(M5492&lt;=J5492,"Met","Breached"))</f>
        <v>In Progress</v>
      </c>
    </row>
    <row r="5493" ht="19" customHeight="1" spans="1:14" x14ac:dyDescent="0.25">
      <c r="A5493" s="22" t="s">
        <v>5607</v>
      </c>
      <c r="B5493" s="36">
        <v>45974.964583333334</v>
      </c>
      <c r="C5493" s="36">
        <v>45975.209027777775</v>
      </c>
      <c r="D5493" s="22" t="s">
        <v>33</v>
      </c>
      <c r="E5493" s="22" t="s">
        <v>57</v>
      </c>
      <c r="F5493" s="22" t="s">
        <v>40</v>
      </c>
      <c r="G5493" s="22" t="s">
        <v>110</v>
      </c>
      <c r="H5493" s="22" t="s">
        <v>63</v>
      </c>
      <c r="I5493" s="22" t="s">
        <v>123</v>
      </c>
      <c r="J5493" s="23">
        <v>4</v>
      </c>
      <c r="K5493" s="37">
        <v>0</v>
      </c>
      <c r="M5493" s="22">
        <f>IF(OR(ISBLANK(C5493),C5493=""),"",ROUND((C5493-B5493)*24,2))</f>
        <v>5.87</v>
      </c>
      <c r="N5493" s="38" t="str">
        <f>IF(OR(ISBLANK(C5493),C5493="",M5493=""),"In Progress",IF(M5493&lt;=J5493,"Met","Breached"))</f>
        <v>Breached</v>
      </c>
    </row>
    <row r="5494" ht="19" customHeight="1" spans="1:14" x14ac:dyDescent="0.25">
      <c r="A5494" s="19" t="s">
        <v>5608</v>
      </c>
      <c r="B5494" s="33">
        <v>45758.74166666667</v>
      </c>
      <c r="C5494" s="33">
        <v>45762.33263888889</v>
      </c>
      <c r="D5494" s="19" t="s">
        <v>33</v>
      </c>
      <c r="E5494" s="19" t="s">
        <v>65</v>
      </c>
      <c r="F5494" s="19" t="s">
        <v>43</v>
      </c>
      <c r="G5494" s="19" t="s">
        <v>110</v>
      </c>
      <c r="H5494" s="19" t="s">
        <v>67</v>
      </c>
      <c r="I5494" s="19" t="s">
        <v>111</v>
      </c>
      <c r="J5494" s="20">
        <v>48</v>
      </c>
      <c r="K5494" s="34">
        <v>0</v>
      </c>
      <c r="M5494" s="19">
        <f>IF(OR(ISBLANK(C5494),C5494=""),"",ROUND((C5494-B5494)*24,2))</f>
        <v>86.18</v>
      </c>
      <c r="N5494" s="39" t="str">
        <f>IF(OR(ISBLANK(C5494),C5494="",M5494=""),"In Progress",IF(M5494&lt;=J5494,"Met","Breached"))</f>
        <v>Breached</v>
      </c>
    </row>
    <row r="5495" ht="19" customHeight="1" spans="1:14" x14ac:dyDescent="0.25">
      <c r="A5495" s="22" t="s">
        <v>5609</v>
      </c>
      <c r="B5495" s="36">
        <v>46032.86666666667</v>
      </c>
      <c r="D5495" s="22" t="s">
        <v>42</v>
      </c>
      <c r="E5495" s="22" t="s">
        <v>57</v>
      </c>
      <c r="F5495" s="22" t="s">
        <v>37</v>
      </c>
      <c r="G5495" s="22" t="s">
        <v>126</v>
      </c>
      <c r="H5495" s="22" t="s">
        <v>63</v>
      </c>
      <c r="I5495" s="22" t="s">
        <v>111</v>
      </c>
      <c r="J5495" s="23">
        <v>4</v>
      </c>
      <c r="K5495" s="37">
        <v>0</v>
      </c>
      <c r="M5495" s="22" t="str">
        <f>IF(OR(ISBLANK(C5495),C5495=""),"",ROUND((C5495-B5495)*24,2))</f>
        <v/>
      </c>
      <c r="N5495" s="22" t="str">
        <f>IF(OR(ISBLANK(C5495),C5495="",M5495=""),"In Progress",IF(M5495&lt;=J5495,"Met","Breached"))</f>
        <v>In Progress</v>
      </c>
    </row>
    <row r="5496" ht="19" customHeight="1" spans="1:14" x14ac:dyDescent="0.25">
      <c r="A5496" s="19" t="s">
        <v>5610</v>
      </c>
      <c r="B5496" s="33">
        <v>45802.805555555555</v>
      </c>
      <c r="C5496" s="33">
        <v>45803.68194444444</v>
      </c>
      <c r="D5496" s="19" t="s">
        <v>33</v>
      </c>
      <c r="E5496" s="19" t="s">
        <v>65</v>
      </c>
      <c r="F5496" s="19" t="s">
        <v>45</v>
      </c>
      <c r="G5496" s="19" t="s">
        <v>121</v>
      </c>
      <c r="H5496" s="19" t="s">
        <v>59</v>
      </c>
      <c r="I5496" s="19" t="s">
        <v>123</v>
      </c>
      <c r="J5496" s="20">
        <v>48</v>
      </c>
      <c r="K5496" s="34">
        <v>1</v>
      </c>
      <c r="M5496" s="19">
        <f>IF(OR(ISBLANK(C5496),C5496=""),"",ROUND((C5496-B5496)*24,2))</f>
        <v>21.03</v>
      </c>
      <c r="N5496" s="35" t="str">
        <f>IF(OR(ISBLANK(C5496),C5496="",M5496=""),"In Progress",IF(M5496&lt;=J5496,"Met","Breached"))</f>
        <v>Met</v>
      </c>
    </row>
    <row r="5497" ht="19" customHeight="1" spans="1:14" x14ac:dyDescent="0.25">
      <c r="A5497" s="22" t="s">
        <v>5611</v>
      </c>
      <c r="B5497" s="36">
        <v>46236.90416666667</v>
      </c>
      <c r="C5497" s="36">
        <v>46237.51875</v>
      </c>
      <c r="D5497" s="22" t="s">
        <v>36</v>
      </c>
      <c r="E5497" s="22" t="s">
        <v>61</v>
      </c>
      <c r="F5497" s="22" t="s">
        <v>40</v>
      </c>
      <c r="G5497" s="22" t="s">
        <v>116</v>
      </c>
      <c r="H5497" s="22" t="s">
        <v>59</v>
      </c>
      <c r="I5497" s="22" t="s">
        <v>117</v>
      </c>
      <c r="J5497" s="23">
        <v>12</v>
      </c>
      <c r="K5497" s="37">
        <v>0</v>
      </c>
      <c r="L5497" s="37">
        <v>5</v>
      </c>
      <c r="M5497" s="22">
        <f>IF(OR(ISBLANK(C5497),C5497=""),"",ROUND((C5497-B5497)*24,2))</f>
        <v>14.75</v>
      </c>
      <c r="N5497" s="38" t="str">
        <f>IF(OR(ISBLANK(C5497),C5497="",M5497=""),"In Progress",IF(M5497&lt;=J5497,"Met","Breached"))</f>
        <v>Breached</v>
      </c>
    </row>
    <row r="5498" ht="19" customHeight="1" spans="1:14" x14ac:dyDescent="0.25">
      <c r="A5498" s="19" t="s">
        <v>5612</v>
      </c>
      <c r="B5498" s="33">
        <v>46033.97916666667</v>
      </c>
      <c r="C5498" s="33">
        <v>46034.11597222222</v>
      </c>
      <c r="D5498" s="19" t="s">
        <v>33</v>
      </c>
      <c r="E5498" s="19" t="s">
        <v>57</v>
      </c>
      <c r="F5498" s="19" t="s">
        <v>45</v>
      </c>
      <c r="G5498" s="19" t="s">
        <v>116</v>
      </c>
      <c r="H5498" s="19" t="s">
        <v>67</v>
      </c>
      <c r="I5498" s="19" t="s">
        <v>114</v>
      </c>
      <c r="J5498" s="20">
        <v>4</v>
      </c>
      <c r="K5498" s="34">
        <v>0</v>
      </c>
      <c r="L5498" s="34">
        <v>2</v>
      </c>
      <c r="M5498" s="19">
        <f>IF(OR(ISBLANK(C5498),C5498=""),"",ROUND((C5498-B5498)*24,2))</f>
        <v>3.28</v>
      </c>
      <c r="N5498" s="35" t="str">
        <f>IF(OR(ISBLANK(C5498),C5498="",M5498=""),"In Progress",IF(M5498&lt;=J5498,"Met","Breached"))</f>
        <v>Met</v>
      </c>
    </row>
    <row r="5499" ht="19" customHeight="1" spans="1:14" x14ac:dyDescent="0.25">
      <c r="A5499" s="22" t="s">
        <v>5613</v>
      </c>
      <c r="B5499" s="36">
        <v>45938.87847222222</v>
      </c>
      <c r="D5499" s="22" t="s">
        <v>42</v>
      </c>
      <c r="E5499" s="22" t="s">
        <v>65</v>
      </c>
      <c r="F5499" s="22" t="s">
        <v>43</v>
      </c>
      <c r="G5499" s="22" t="s">
        <v>110</v>
      </c>
      <c r="H5499" s="22" t="s">
        <v>59</v>
      </c>
      <c r="I5499" s="22" t="s">
        <v>111</v>
      </c>
      <c r="J5499" s="23">
        <v>48</v>
      </c>
      <c r="K5499" s="37">
        <v>0</v>
      </c>
      <c r="M5499" s="22" t="str">
        <f>IF(OR(ISBLANK(C5499),C5499=""),"",ROUND((C5499-B5499)*24,2))</f>
        <v/>
      </c>
      <c r="N5499" s="22" t="str">
        <f>IF(OR(ISBLANK(C5499),C5499="",M5499=""),"In Progress",IF(M5499&lt;=J5499,"Met","Breached"))</f>
        <v>In Progress</v>
      </c>
    </row>
    <row r="5500" ht="19" customHeight="1" spans="1:14" x14ac:dyDescent="0.25">
      <c r="A5500" s="19" t="s">
        <v>5614</v>
      </c>
      <c r="B5500" s="33">
        <v>46193.42638888889</v>
      </c>
      <c r="D5500" s="19" t="s">
        <v>39</v>
      </c>
      <c r="E5500" s="19" t="s">
        <v>65</v>
      </c>
      <c r="F5500" s="19" t="s">
        <v>40</v>
      </c>
      <c r="G5500" s="19" t="s">
        <v>116</v>
      </c>
      <c r="H5500" s="19" t="s">
        <v>59</v>
      </c>
      <c r="I5500" s="19" t="s">
        <v>108</v>
      </c>
      <c r="J5500" s="20">
        <v>48</v>
      </c>
      <c r="K5500" s="34">
        <v>0</v>
      </c>
      <c r="M5500" s="19" t="str">
        <f>IF(OR(ISBLANK(C5500),C5500=""),"",ROUND((C5500-B5500)*24,2))</f>
        <v/>
      </c>
      <c r="N5500" s="19" t="str">
        <f>IF(OR(ISBLANK(C5500),C5500="",M5500=""),"In Progress",IF(M5500&lt;=J5500,"Met","Breached"))</f>
        <v>In Progress</v>
      </c>
    </row>
    <row r="5501" ht="19" customHeight="1" spans="1:14" x14ac:dyDescent="0.25">
      <c r="A5501" s="22" t="s">
        <v>5615</v>
      </c>
      <c r="B5501" s="36">
        <v>46276.05902777778</v>
      </c>
      <c r="C5501" s="36">
        <v>46276.89166666666</v>
      </c>
      <c r="D5501" s="22" t="s">
        <v>36</v>
      </c>
      <c r="E5501" s="22" t="s">
        <v>61</v>
      </c>
      <c r="F5501" s="22" t="s">
        <v>43</v>
      </c>
      <c r="G5501" s="22" t="s">
        <v>63</v>
      </c>
      <c r="H5501" s="22" t="s">
        <v>59</v>
      </c>
      <c r="I5501" s="22" t="s">
        <v>147</v>
      </c>
      <c r="J5501" s="23">
        <v>12</v>
      </c>
      <c r="K5501" s="37">
        <v>0</v>
      </c>
      <c r="M5501" s="22">
        <f>IF(OR(ISBLANK(C5501),C5501=""),"",ROUND((C5501-B5501)*24,2))</f>
        <v>19.98</v>
      </c>
      <c r="N5501" s="38" t="str">
        <f>IF(OR(ISBLANK(C5501),C5501="",M5501=""),"In Progress",IF(M5501&lt;=J5501,"Met","Breached"))</f>
        <v>Breached</v>
      </c>
    </row>
    <row r="5502" ht="19" customHeight="1" spans="1:14" x14ac:dyDescent="0.25">
      <c r="A5502" s="19" t="s">
        <v>5616</v>
      </c>
      <c r="B5502" s="33">
        <v>45811.82638888889</v>
      </c>
      <c r="C5502" s="33">
        <v>45813.74930555555</v>
      </c>
      <c r="D5502" s="19" t="s">
        <v>33</v>
      </c>
      <c r="E5502" s="19" t="s">
        <v>65</v>
      </c>
      <c r="F5502" s="19" t="s">
        <v>43</v>
      </c>
      <c r="G5502" s="19" t="s">
        <v>63</v>
      </c>
      <c r="H5502" s="19" t="s">
        <v>71</v>
      </c>
      <c r="I5502" s="19" t="s">
        <v>123</v>
      </c>
      <c r="J5502" s="20">
        <v>48</v>
      </c>
      <c r="K5502" s="34">
        <v>0</v>
      </c>
      <c r="L5502" s="34">
        <v>4</v>
      </c>
      <c r="M5502" s="19">
        <f>IF(OR(ISBLANK(C5502),C5502=""),"",ROUND((C5502-B5502)*24,2))</f>
        <v>46.15</v>
      </c>
      <c r="N5502" s="35" t="str">
        <f>IF(OR(ISBLANK(C5502),C5502="",M5502=""),"In Progress",IF(M5502&lt;=J5502,"Met","Breached"))</f>
        <v>Met</v>
      </c>
    </row>
    <row r="5503" ht="19" customHeight="1" spans="1:14" x14ac:dyDescent="0.25">
      <c r="A5503" s="22" t="s">
        <v>5617</v>
      </c>
      <c r="B5503" s="36">
        <v>45751.570138888885</v>
      </c>
      <c r="C5503" s="36">
        <v>45751.72083333333</v>
      </c>
      <c r="D5503" s="22" t="s">
        <v>36</v>
      </c>
      <c r="E5503" s="22" t="s">
        <v>61</v>
      </c>
      <c r="F5503" s="22" t="s">
        <v>43</v>
      </c>
      <c r="G5503" s="22" t="s">
        <v>110</v>
      </c>
      <c r="H5503" s="22" t="s">
        <v>59</v>
      </c>
      <c r="I5503" s="22" t="s">
        <v>117</v>
      </c>
      <c r="J5503" s="23">
        <v>12</v>
      </c>
      <c r="K5503" s="37">
        <v>0</v>
      </c>
      <c r="L5503" s="37">
        <v>5</v>
      </c>
      <c r="M5503" s="22">
        <f>IF(OR(ISBLANK(C5503),C5503=""),"",ROUND((C5503-B5503)*24,2))</f>
        <v>3.62</v>
      </c>
      <c r="N5503" s="40" t="str">
        <f>IF(OR(ISBLANK(C5503),C5503="",M5503=""),"In Progress",IF(M5503&lt;=J5503,"Met","Breached"))</f>
        <v>Met</v>
      </c>
    </row>
    <row r="5504" ht="19" customHeight="1" spans="1:14" x14ac:dyDescent="0.25">
      <c r="A5504" s="19" t="s">
        <v>5618</v>
      </c>
      <c r="B5504" s="33">
        <v>45824.14097222222</v>
      </c>
      <c r="C5504" s="33">
        <v>45824.299305555556</v>
      </c>
      <c r="D5504" s="19" t="s">
        <v>33</v>
      </c>
      <c r="E5504" s="19" t="s">
        <v>61</v>
      </c>
      <c r="F5504" s="19" t="s">
        <v>34</v>
      </c>
      <c r="G5504" s="19" t="s">
        <v>121</v>
      </c>
      <c r="H5504" s="19" t="s">
        <v>63</v>
      </c>
      <c r="I5504" s="19" t="s">
        <v>114</v>
      </c>
      <c r="J5504" s="20">
        <v>12</v>
      </c>
      <c r="K5504" s="34">
        <v>0</v>
      </c>
      <c r="L5504" s="34">
        <v>5</v>
      </c>
      <c r="M5504" s="19">
        <f>IF(OR(ISBLANK(C5504),C5504=""),"",ROUND((C5504-B5504)*24,2))</f>
        <v>3.8</v>
      </c>
      <c r="N5504" s="35" t="str">
        <f>IF(OR(ISBLANK(C5504),C5504="",M5504=""),"In Progress",IF(M5504&lt;=J5504,"Met","Breached"))</f>
        <v>Met</v>
      </c>
    </row>
    <row r="5505" ht="19" customHeight="1" spans="1:14" x14ac:dyDescent="0.25">
      <c r="A5505" s="22" t="s">
        <v>5619</v>
      </c>
      <c r="B5505" s="36">
        <v>46269.65694444445</v>
      </c>
      <c r="C5505" s="36">
        <v>46272.17013888889</v>
      </c>
      <c r="D5505" s="22" t="s">
        <v>33</v>
      </c>
      <c r="E5505" s="22" t="s">
        <v>65</v>
      </c>
      <c r="F5505" s="22" t="s">
        <v>40</v>
      </c>
      <c r="G5505" s="22" t="s">
        <v>126</v>
      </c>
      <c r="H5505" s="22" t="s">
        <v>63</v>
      </c>
      <c r="I5505" s="22" t="s">
        <v>111</v>
      </c>
      <c r="J5505" s="23">
        <v>48</v>
      </c>
      <c r="K5505" s="37">
        <v>0</v>
      </c>
      <c r="L5505" s="37">
        <v>5</v>
      </c>
      <c r="M5505" s="22">
        <f>IF(OR(ISBLANK(C5505),C5505=""),"",ROUND((C5505-B5505)*24,2))</f>
        <v>60.32</v>
      </c>
      <c r="N5505" s="38" t="str">
        <f>IF(OR(ISBLANK(C5505),C5505="",M5505=""),"In Progress",IF(M5505&lt;=J5505,"Met","Breached"))</f>
        <v>Breached</v>
      </c>
    </row>
    <row r="5506" ht="19" customHeight="1" spans="1:14" x14ac:dyDescent="0.25">
      <c r="A5506" s="19" t="s">
        <v>5620</v>
      </c>
      <c r="B5506" s="33">
        <v>46132.50069444445</v>
      </c>
      <c r="C5506" s="33">
        <v>46134.84513888889</v>
      </c>
      <c r="D5506" s="19" t="s">
        <v>36</v>
      </c>
      <c r="E5506" s="19" t="s">
        <v>65</v>
      </c>
      <c r="F5506" s="19" t="s">
        <v>34</v>
      </c>
      <c r="G5506" s="19" t="s">
        <v>110</v>
      </c>
      <c r="H5506" s="19" t="s">
        <v>63</v>
      </c>
      <c r="I5506" s="19" t="s">
        <v>117</v>
      </c>
      <c r="J5506" s="20">
        <v>48</v>
      </c>
      <c r="K5506" s="34">
        <v>0</v>
      </c>
      <c r="L5506" s="34">
        <v>4</v>
      </c>
      <c r="M5506" s="19">
        <f>IF(OR(ISBLANK(C5506),C5506=""),"",ROUND((C5506-B5506)*24,2))</f>
        <v>56.27</v>
      </c>
      <c r="N5506" s="39" t="str">
        <f>IF(OR(ISBLANK(C5506),C5506="",M5506=""),"In Progress",IF(M5506&lt;=J5506,"Met","Breached"))</f>
        <v>Breached</v>
      </c>
    </row>
    <row r="5507" ht="19" customHeight="1" spans="1:14" x14ac:dyDescent="0.25">
      <c r="A5507" s="22" t="s">
        <v>5621</v>
      </c>
      <c r="B5507" s="36">
        <v>45973.77847222222</v>
      </c>
      <c r="C5507" s="36">
        <v>45975.90763888889</v>
      </c>
      <c r="D5507" s="22" t="s">
        <v>33</v>
      </c>
      <c r="E5507" s="22" t="s">
        <v>65</v>
      </c>
      <c r="F5507" s="22" t="s">
        <v>37</v>
      </c>
      <c r="G5507" s="22" t="s">
        <v>121</v>
      </c>
      <c r="H5507" s="22" t="s">
        <v>59</v>
      </c>
      <c r="I5507" s="22" t="s">
        <v>123</v>
      </c>
      <c r="J5507" s="23">
        <v>48</v>
      </c>
      <c r="K5507" s="37">
        <v>0</v>
      </c>
      <c r="M5507" s="22">
        <f>IF(OR(ISBLANK(C5507),C5507=""),"",ROUND((C5507-B5507)*24,2))</f>
        <v>51.1</v>
      </c>
      <c r="N5507" s="38" t="str">
        <f>IF(OR(ISBLANK(C5507),C5507="",M5507=""),"In Progress",IF(M5507&lt;=J5507,"Met","Breached"))</f>
        <v>Breached</v>
      </c>
    </row>
    <row r="5508" ht="19" customHeight="1" spans="1:14" x14ac:dyDescent="0.25">
      <c r="A5508" s="19" t="s">
        <v>5622</v>
      </c>
      <c r="B5508" s="33">
        <v>46219.367361111115</v>
      </c>
      <c r="C5508" s="33">
        <v>46220.132638888885</v>
      </c>
      <c r="D5508" s="19" t="s">
        <v>33</v>
      </c>
      <c r="E5508" s="19" t="s">
        <v>61</v>
      </c>
      <c r="F5508" s="19" t="s">
        <v>40</v>
      </c>
      <c r="G5508" s="19" t="s">
        <v>110</v>
      </c>
      <c r="H5508" s="19" t="s">
        <v>59</v>
      </c>
      <c r="I5508" s="19" t="s">
        <v>117</v>
      </c>
      <c r="J5508" s="20">
        <v>12</v>
      </c>
      <c r="K5508" s="34">
        <v>0</v>
      </c>
      <c r="M5508" s="19">
        <f>IF(OR(ISBLANK(C5508),C5508=""),"",ROUND((C5508-B5508)*24,2))</f>
        <v>18.37</v>
      </c>
      <c r="N5508" s="39" t="str">
        <f>IF(OR(ISBLANK(C5508),C5508="",M5508=""),"In Progress",IF(M5508&lt;=J5508,"Met","Breached"))</f>
        <v>Breached</v>
      </c>
    </row>
    <row r="5509" ht="19" customHeight="1" spans="1:14" x14ac:dyDescent="0.25">
      <c r="A5509" s="22" t="s">
        <v>5623</v>
      </c>
      <c r="B5509" s="36">
        <v>45772.361805555556</v>
      </c>
      <c r="C5509" s="36">
        <v>45773.03263888889</v>
      </c>
      <c r="D5509" s="22" t="s">
        <v>36</v>
      </c>
      <c r="E5509" s="22" t="s">
        <v>61</v>
      </c>
      <c r="F5509" s="22" t="s">
        <v>45</v>
      </c>
      <c r="G5509" s="22" t="s">
        <v>121</v>
      </c>
      <c r="H5509" s="22" t="s">
        <v>63</v>
      </c>
      <c r="I5509" s="22" t="s">
        <v>108</v>
      </c>
      <c r="J5509" s="23">
        <v>12</v>
      </c>
      <c r="K5509" s="37">
        <v>0</v>
      </c>
      <c r="L5509" s="37">
        <v>2</v>
      </c>
      <c r="M5509" s="22">
        <f>IF(OR(ISBLANK(C5509),C5509=""),"",ROUND((C5509-B5509)*24,2))</f>
        <v>16.1</v>
      </c>
      <c r="N5509" s="38" t="str">
        <f>IF(OR(ISBLANK(C5509),C5509="",M5509=""),"In Progress",IF(M5509&lt;=J5509,"Met","Breached"))</f>
        <v>Breached</v>
      </c>
    </row>
    <row r="5510" ht="19" customHeight="1" spans="1:14" x14ac:dyDescent="0.25">
      <c r="A5510" s="19" t="s">
        <v>5624</v>
      </c>
      <c r="B5510" s="33">
        <v>45817.197222222225</v>
      </c>
      <c r="C5510" s="33">
        <v>45817.95208333334</v>
      </c>
      <c r="D5510" s="19" t="s">
        <v>33</v>
      </c>
      <c r="E5510" s="19" t="s">
        <v>61</v>
      </c>
      <c r="F5510" s="19" t="s">
        <v>37</v>
      </c>
      <c r="G5510" s="19" t="s">
        <v>116</v>
      </c>
      <c r="H5510" s="19" t="s">
        <v>59</v>
      </c>
      <c r="I5510" s="19" t="s">
        <v>117</v>
      </c>
      <c r="J5510" s="20">
        <v>12</v>
      </c>
      <c r="K5510" s="34">
        <v>0</v>
      </c>
      <c r="L5510" s="34">
        <v>2</v>
      </c>
      <c r="M5510" s="19">
        <f>IF(OR(ISBLANK(C5510),C5510=""),"",ROUND((C5510-B5510)*24,2))</f>
        <v>18.12</v>
      </c>
      <c r="N5510" s="39" t="str">
        <f>IF(OR(ISBLANK(C5510),C5510="",M5510=""),"In Progress",IF(M5510&lt;=J5510,"Met","Breached"))</f>
        <v>Breached</v>
      </c>
    </row>
    <row r="5511" ht="19" customHeight="1" spans="1:14" x14ac:dyDescent="0.25">
      <c r="A5511" s="22" t="s">
        <v>5625</v>
      </c>
      <c r="B5511" s="36">
        <v>46009.566666666666</v>
      </c>
      <c r="C5511" s="36">
        <v>46017.53611111111</v>
      </c>
      <c r="D5511" s="22" t="s">
        <v>33</v>
      </c>
      <c r="E5511" s="22" t="s">
        <v>69</v>
      </c>
      <c r="F5511" s="22" t="s">
        <v>40</v>
      </c>
      <c r="G5511" s="22" t="s">
        <v>63</v>
      </c>
      <c r="H5511" s="22" t="s">
        <v>71</v>
      </c>
      <c r="I5511" s="22" t="s">
        <v>111</v>
      </c>
      <c r="J5511" s="23">
        <v>120</v>
      </c>
      <c r="K5511" s="37">
        <v>0</v>
      </c>
      <c r="M5511" s="22">
        <f>IF(OR(ISBLANK(C5511),C5511=""),"",ROUND((C5511-B5511)*24,2))</f>
        <v>191.27</v>
      </c>
      <c r="N5511" s="38" t="str">
        <f>IF(OR(ISBLANK(C5511),C5511="",M5511=""),"In Progress",IF(M5511&lt;=J5511,"Met","Breached"))</f>
        <v>Breached</v>
      </c>
    </row>
    <row r="5512" ht="19" customHeight="1" spans="1:14" x14ac:dyDescent="0.25">
      <c r="A5512" s="19" t="s">
        <v>5626</v>
      </c>
      <c r="B5512" s="33">
        <v>46181.850694444445</v>
      </c>
      <c r="C5512" s="33">
        <v>46184.73958333333</v>
      </c>
      <c r="D5512" s="19" t="s">
        <v>33</v>
      </c>
      <c r="E5512" s="19" t="s">
        <v>65</v>
      </c>
      <c r="F5512" s="19" t="s">
        <v>43</v>
      </c>
      <c r="G5512" s="19" t="s">
        <v>121</v>
      </c>
      <c r="H5512" s="19" t="s">
        <v>59</v>
      </c>
      <c r="I5512" s="19" t="s">
        <v>147</v>
      </c>
      <c r="J5512" s="20">
        <v>48</v>
      </c>
      <c r="K5512" s="34">
        <v>0</v>
      </c>
      <c r="M5512" s="19">
        <f>IF(OR(ISBLANK(C5512),C5512=""),"",ROUND((C5512-B5512)*24,2))</f>
        <v>69.33</v>
      </c>
      <c r="N5512" s="39" t="str">
        <f>IF(OR(ISBLANK(C5512),C5512="",M5512=""),"In Progress",IF(M5512&lt;=J5512,"Met","Breached"))</f>
        <v>Breached</v>
      </c>
    </row>
    <row r="5513" ht="19" customHeight="1" spans="1:14" x14ac:dyDescent="0.25">
      <c r="A5513" s="22" t="s">
        <v>5627</v>
      </c>
      <c r="B5513" s="36">
        <v>46090.91111111111</v>
      </c>
      <c r="C5513" s="36">
        <v>46091.91527777778</v>
      </c>
      <c r="D5513" s="22" t="s">
        <v>33</v>
      </c>
      <c r="E5513" s="22" t="s">
        <v>65</v>
      </c>
      <c r="F5513" s="22" t="s">
        <v>34</v>
      </c>
      <c r="G5513" s="22" t="s">
        <v>121</v>
      </c>
      <c r="H5513" s="22" t="s">
        <v>63</v>
      </c>
      <c r="I5513" s="22" t="s">
        <v>117</v>
      </c>
      <c r="J5513" s="23">
        <v>48</v>
      </c>
      <c r="K5513" s="37">
        <v>0</v>
      </c>
      <c r="M5513" s="22">
        <f>IF(OR(ISBLANK(C5513),C5513=""),"",ROUND((C5513-B5513)*24,2))</f>
        <v>24.1</v>
      </c>
      <c r="N5513" s="40" t="str">
        <f>IF(OR(ISBLANK(C5513),C5513="",M5513=""),"In Progress",IF(M5513&lt;=J5513,"Met","Breached"))</f>
        <v>Met</v>
      </c>
    </row>
    <row r="5514" ht="19" customHeight="1" spans="1:14" x14ac:dyDescent="0.25">
      <c r="A5514" s="19" t="s">
        <v>5628</v>
      </c>
      <c r="B5514" s="33">
        <v>46036.65833333333</v>
      </c>
      <c r="D5514" s="19" t="s">
        <v>39</v>
      </c>
      <c r="E5514" s="19" t="s">
        <v>61</v>
      </c>
      <c r="F5514" s="19" t="s">
        <v>45</v>
      </c>
      <c r="G5514" s="19" t="s">
        <v>113</v>
      </c>
      <c r="H5514" s="19" t="s">
        <v>59</v>
      </c>
      <c r="I5514" s="19" t="s">
        <v>147</v>
      </c>
      <c r="J5514" s="20">
        <v>12</v>
      </c>
      <c r="K5514" s="34">
        <v>0</v>
      </c>
      <c r="M5514" s="19" t="str">
        <f>IF(OR(ISBLANK(C5514),C5514=""),"",ROUND((C5514-B5514)*24,2))</f>
        <v/>
      </c>
      <c r="N5514" s="19" t="str">
        <f>IF(OR(ISBLANK(C5514),C5514="",M5514=""),"In Progress",IF(M5514&lt;=J5514,"Met","Breached"))</f>
        <v>In Progress</v>
      </c>
    </row>
    <row r="5515" ht="19" customHeight="1" spans="1:14" x14ac:dyDescent="0.25">
      <c r="A5515" s="22" t="s">
        <v>5629</v>
      </c>
      <c r="B5515" s="36">
        <v>45702.30625</v>
      </c>
      <c r="C5515" s="36">
        <v>45707.396527777775</v>
      </c>
      <c r="D5515" s="22" t="s">
        <v>36</v>
      </c>
      <c r="E5515" s="22" t="s">
        <v>69</v>
      </c>
      <c r="F5515" s="22" t="s">
        <v>34</v>
      </c>
      <c r="G5515" s="22" t="s">
        <v>63</v>
      </c>
      <c r="H5515" s="22" t="s">
        <v>59</v>
      </c>
      <c r="I5515" s="22" t="s">
        <v>114</v>
      </c>
      <c r="J5515" s="23">
        <v>120</v>
      </c>
      <c r="K5515" s="37">
        <v>0</v>
      </c>
      <c r="L5515" s="37">
        <v>5</v>
      </c>
      <c r="M5515" s="22">
        <f>IF(OR(ISBLANK(C5515),C5515=""),"",ROUND((C5515-B5515)*24,2))</f>
        <v>122.17</v>
      </c>
      <c r="N5515" s="38" t="str">
        <f>IF(OR(ISBLANK(C5515),C5515="",M5515=""),"In Progress",IF(M5515&lt;=J5515,"Met","Breached"))</f>
        <v>Breached</v>
      </c>
    </row>
    <row r="5516" ht="19" customHeight="1" spans="1:14" x14ac:dyDescent="0.25">
      <c r="A5516" s="19" t="s">
        <v>5630</v>
      </c>
      <c r="B5516" s="33">
        <v>46236.94027777778</v>
      </c>
      <c r="C5516" s="33">
        <v>46237.183333333334</v>
      </c>
      <c r="D5516" s="19" t="s">
        <v>33</v>
      </c>
      <c r="E5516" s="19" t="s">
        <v>57</v>
      </c>
      <c r="F5516" s="19" t="s">
        <v>40</v>
      </c>
      <c r="G5516" s="19" t="s">
        <v>126</v>
      </c>
      <c r="H5516" s="19" t="s">
        <v>71</v>
      </c>
      <c r="I5516" s="19" t="s">
        <v>111</v>
      </c>
      <c r="J5516" s="20">
        <v>4</v>
      </c>
      <c r="K5516" s="34">
        <v>0</v>
      </c>
      <c r="L5516" s="34">
        <v>3</v>
      </c>
      <c r="M5516" s="19">
        <f>IF(OR(ISBLANK(C5516),C5516=""),"",ROUND((C5516-B5516)*24,2))</f>
        <v>5.83</v>
      </c>
      <c r="N5516" s="39" t="str">
        <f>IF(OR(ISBLANK(C5516),C5516="",M5516=""),"In Progress",IF(M5516&lt;=J5516,"Met","Breached"))</f>
        <v>Breached</v>
      </c>
    </row>
    <row r="5517" ht="19" customHeight="1" spans="1:14" x14ac:dyDescent="0.25">
      <c r="A5517" s="22" t="s">
        <v>5631</v>
      </c>
      <c r="B5517" s="36">
        <v>46222.0625</v>
      </c>
      <c r="C5517" s="36">
        <v>46224.66527777778</v>
      </c>
      <c r="D5517" s="22" t="s">
        <v>36</v>
      </c>
      <c r="E5517" s="22" t="s">
        <v>65</v>
      </c>
      <c r="F5517" s="22" t="s">
        <v>40</v>
      </c>
      <c r="G5517" s="22" t="s">
        <v>116</v>
      </c>
      <c r="H5517" s="22" t="s">
        <v>63</v>
      </c>
      <c r="I5517" s="22" t="s">
        <v>108</v>
      </c>
      <c r="J5517" s="23">
        <v>48</v>
      </c>
      <c r="K5517" s="37">
        <v>0</v>
      </c>
      <c r="L5517" s="37">
        <v>2</v>
      </c>
      <c r="M5517" s="22">
        <f>IF(OR(ISBLANK(C5517),C5517=""),"",ROUND((C5517-B5517)*24,2))</f>
        <v>62.47</v>
      </c>
      <c r="N5517" s="38" t="str">
        <f>IF(OR(ISBLANK(C5517),C5517="",M5517=""),"In Progress",IF(M5517&lt;=J5517,"Met","Breached"))</f>
        <v>Breached</v>
      </c>
    </row>
    <row r="5518" ht="19" customHeight="1" spans="1:14" x14ac:dyDescent="0.25">
      <c r="A5518" s="19" t="s">
        <v>5632</v>
      </c>
      <c r="B5518" s="33">
        <v>45888.11111111111</v>
      </c>
      <c r="C5518" s="33">
        <v>45891.28402777778</v>
      </c>
      <c r="D5518" s="19" t="s">
        <v>36</v>
      </c>
      <c r="E5518" s="19" t="s">
        <v>69</v>
      </c>
      <c r="F5518" s="19" t="s">
        <v>34</v>
      </c>
      <c r="G5518" s="19" t="s">
        <v>116</v>
      </c>
      <c r="H5518" s="19" t="s">
        <v>59</v>
      </c>
      <c r="I5518" s="19" t="s">
        <v>117</v>
      </c>
      <c r="J5518" s="20">
        <v>120</v>
      </c>
      <c r="K5518" s="34">
        <v>0</v>
      </c>
      <c r="L5518" s="34">
        <v>4</v>
      </c>
      <c r="M5518" s="19">
        <f>IF(OR(ISBLANK(C5518),C5518=""),"",ROUND((C5518-B5518)*24,2))</f>
        <v>76.15</v>
      </c>
      <c r="N5518" s="35" t="str">
        <f>IF(OR(ISBLANK(C5518),C5518="",M5518=""),"In Progress",IF(M5518&lt;=J5518,"Met","Breached"))</f>
        <v>Met</v>
      </c>
    </row>
    <row r="5519" ht="19" customHeight="1" spans="1:14" x14ac:dyDescent="0.25">
      <c r="A5519" s="22" t="s">
        <v>5633</v>
      </c>
      <c r="B5519" s="36">
        <v>45813.55902777778</v>
      </c>
      <c r="C5519" s="36">
        <v>45815.40902777778</v>
      </c>
      <c r="D5519" s="22" t="s">
        <v>33</v>
      </c>
      <c r="E5519" s="22" t="s">
        <v>65</v>
      </c>
      <c r="F5519" s="22" t="s">
        <v>45</v>
      </c>
      <c r="G5519" s="22" t="s">
        <v>63</v>
      </c>
      <c r="H5519" s="22" t="s">
        <v>59</v>
      </c>
      <c r="I5519" s="22" t="s">
        <v>117</v>
      </c>
      <c r="J5519" s="23">
        <v>48</v>
      </c>
      <c r="K5519" s="37">
        <v>0</v>
      </c>
      <c r="L5519" s="37">
        <v>3</v>
      </c>
      <c r="M5519" s="22">
        <f>IF(OR(ISBLANK(C5519),C5519=""),"",ROUND((C5519-B5519)*24,2))</f>
        <v>44.4</v>
      </c>
      <c r="N5519" s="40" t="str">
        <f>IF(OR(ISBLANK(C5519),C5519="",M5519=""),"In Progress",IF(M5519&lt;=J5519,"Met","Breached"))</f>
        <v>Met</v>
      </c>
    </row>
    <row r="5520" ht="19" customHeight="1" spans="1:14" x14ac:dyDescent="0.25">
      <c r="A5520" s="19" t="s">
        <v>5634</v>
      </c>
      <c r="B5520" s="33">
        <v>45689.26180555555</v>
      </c>
      <c r="C5520" s="33">
        <v>45689.350694444445</v>
      </c>
      <c r="D5520" s="19" t="s">
        <v>33</v>
      </c>
      <c r="E5520" s="19" t="s">
        <v>57</v>
      </c>
      <c r="F5520" s="19" t="s">
        <v>43</v>
      </c>
      <c r="G5520" s="19" t="s">
        <v>63</v>
      </c>
      <c r="H5520" s="19" t="s">
        <v>59</v>
      </c>
      <c r="I5520" s="19" t="s">
        <v>117</v>
      </c>
      <c r="J5520" s="20">
        <v>4</v>
      </c>
      <c r="K5520" s="34">
        <v>0</v>
      </c>
      <c r="M5520" s="19">
        <f>IF(OR(ISBLANK(C5520),C5520=""),"",ROUND((C5520-B5520)*24,2))</f>
        <v>2.13</v>
      </c>
      <c r="N5520" s="35" t="str">
        <f>IF(OR(ISBLANK(C5520),C5520="",M5520=""),"In Progress",IF(M5520&lt;=J5520,"Met","Breached"))</f>
        <v>Met</v>
      </c>
    </row>
    <row r="5521" ht="19" customHeight="1" spans="1:14" x14ac:dyDescent="0.25">
      <c r="A5521" s="22" t="s">
        <v>5635</v>
      </c>
      <c r="B5521" s="36">
        <v>46017.94375</v>
      </c>
      <c r="D5521" s="22" t="s">
        <v>39</v>
      </c>
      <c r="E5521" s="22" t="s">
        <v>65</v>
      </c>
      <c r="F5521" s="22" t="s">
        <v>40</v>
      </c>
      <c r="G5521" s="22" t="s">
        <v>113</v>
      </c>
      <c r="H5521" s="22" t="s">
        <v>59</v>
      </c>
      <c r="I5521" s="22" t="s">
        <v>111</v>
      </c>
      <c r="J5521" s="23">
        <v>48</v>
      </c>
      <c r="K5521" s="37">
        <v>0</v>
      </c>
      <c r="M5521" s="22" t="str">
        <f>IF(OR(ISBLANK(C5521),C5521=""),"",ROUND((C5521-B5521)*24,2))</f>
        <v/>
      </c>
      <c r="N5521" s="22" t="str">
        <f>IF(OR(ISBLANK(C5521),C5521="",M5521=""),"In Progress",IF(M5521&lt;=J5521,"Met","Breached"))</f>
        <v>In Progress</v>
      </c>
    </row>
    <row r="5522" ht="19" customHeight="1" spans="1:14" x14ac:dyDescent="0.25">
      <c r="A5522" s="19" t="s">
        <v>5636</v>
      </c>
      <c r="B5522" s="33">
        <v>46193.34722222222</v>
      </c>
      <c r="C5522" s="33">
        <v>46194.34652777778</v>
      </c>
      <c r="D5522" s="19" t="s">
        <v>33</v>
      </c>
      <c r="E5522" s="19" t="s">
        <v>65</v>
      </c>
      <c r="F5522" s="19" t="s">
        <v>43</v>
      </c>
      <c r="G5522" s="19" t="s">
        <v>121</v>
      </c>
      <c r="H5522" s="19" t="s">
        <v>63</v>
      </c>
      <c r="I5522" s="19" t="s">
        <v>147</v>
      </c>
      <c r="J5522" s="20">
        <v>48</v>
      </c>
      <c r="K5522" s="34">
        <v>0</v>
      </c>
      <c r="L5522" s="34">
        <v>5</v>
      </c>
      <c r="M5522" s="19">
        <f>IF(OR(ISBLANK(C5522),C5522=""),"",ROUND((C5522-B5522)*24,2))</f>
        <v>23.98</v>
      </c>
      <c r="N5522" s="35" t="str">
        <f>IF(OR(ISBLANK(C5522),C5522="",M5522=""),"In Progress",IF(M5522&lt;=J5522,"Met","Breached"))</f>
        <v>Met</v>
      </c>
    </row>
    <row r="5523" ht="19" customHeight="1" spans="1:14" x14ac:dyDescent="0.25">
      <c r="A5523" s="22" t="s">
        <v>5637</v>
      </c>
      <c r="B5523" s="36">
        <v>46228.62361111111</v>
      </c>
      <c r="C5523" s="36">
        <v>46231.055555555555</v>
      </c>
      <c r="D5523" s="22" t="s">
        <v>33</v>
      </c>
      <c r="E5523" s="22" t="s">
        <v>65</v>
      </c>
      <c r="F5523" s="22" t="s">
        <v>40</v>
      </c>
      <c r="G5523" s="22" t="s">
        <v>116</v>
      </c>
      <c r="H5523" s="22" t="s">
        <v>71</v>
      </c>
      <c r="I5523" s="22" t="s">
        <v>117</v>
      </c>
      <c r="J5523" s="23">
        <v>48</v>
      </c>
      <c r="K5523" s="37">
        <v>0</v>
      </c>
      <c r="L5523" s="37">
        <v>1</v>
      </c>
      <c r="M5523" s="22">
        <f>IF(OR(ISBLANK(C5523),C5523=""),"",ROUND((C5523-B5523)*24,2))</f>
        <v>58.37</v>
      </c>
      <c r="N5523" s="38" t="str">
        <f>IF(OR(ISBLANK(C5523),C5523="",M5523=""),"In Progress",IF(M5523&lt;=J5523,"Met","Breached"))</f>
        <v>Breached</v>
      </c>
    </row>
    <row r="5524" ht="19" customHeight="1" spans="1:14" x14ac:dyDescent="0.25">
      <c r="A5524" s="19" t="s">
        <v>5638</v>
      </c>
      <c r="B5524" s="33">
        <v>46280.67013888889</v>
      </c>
      <c r="C5524" s="33">
        <v>46282.75555555556</v>
      </c>
      <c r="D5524" s="19" t="s">
        <v>33</v>
      </c>
      <c r="E5524" s="19" t="s">
        <v>65</v>
      </c>
      <c r="F5524" s="19" t="s">
        <v>40</v>
      </c>
      <c r="G5524" s="19" t="s">
        <v>113</v>
      </c>
      <c r="H5524" s="19" t="s">
        <v>63</v>
      </c>
      <c r="I5524" s="19" t="s">
        <v>123</v>
      </c>
      <c r="J5524" s="20">
        <v>48</v>
      </c>
      <c r="K5524" s="34">
        <v>0</v>
      </c>
      <c r="L5524" s="34">
        <v>4</v>
      </c>
      <c r="M5524" s="19">
        <f>IF(OR(ISBLANK(C5524),C5524=""),"",ROUND((C5524-B5524)*24,2))</f>
        <v>50.05</v>
      </c>
      <c r="N5524" s="39" t="str">
        <f>IF(OR(ISBLANK(C5524),C5524="",M5524=""),"In Progress",IF(M5524&lt;=J5524,"Met","Breached"))</f>
        <v>Breached</v>
      </c>
    </row>
    <row r="5525" ht="19" customHeight="1" spans="1:14" x14ac:dyDescent="0.25">
      <c r="A5525" s="22" t="s">
        <v>5639</v>
      </c>
      <c r="B5525" s="36">
        <v>45848.76666666666</v>
      </c>
      <c r="C5525" s="36">
        <v>45852.00833333333</v>
      </c>
      <c r="D5525" s="22" t="s">
        <v>33</v>
      </c>
      <c r="E5525" s="22" t="s">
        <v>65</v>
      </c>
      <c r="F5525" s="22" t="s">
        <v>37</v>
      </c>
      <c r="G5525" s="22" t="s">
        <v>121</v>
      </c>
      <c r="H5525" s="22" t="s">
        <v>71</v>
      </c>
      <c r="I5525" s="22" t="s">
        <v>123</v>
      </c>
      <c r="J5525" s="23">
        <v>48</v>
      </c>
      <c r="K5525" s="37">
        <v>0</v>
      </c>
      <c r="L5525" s="37">
        <v>3</v>
      </c>
      <c r="M5525" s="22">
        <f>IF(OR(ISBLANK(C5525),C5525=""),"",ROUND((C5525-B5525)*24,2))</f>
        <v>77.8</v>
      </c>
      <c r="N5525" s="38" t="str">
        <f>IF(OR(ISBLANK(C5525),C5525="",M5525=""),"In Progress",IF(M5525&lt;=J5525,"Met","Breached"))</f>
        <v>Breached</v>
      </c>
    </row>
    <row r="5526" ht="19" customHeight="1" spans="1:14" x14ac:dyDescent="0.25">
      <c r="A5526" s="19" t="s">
        <v>5640</v>
      </c>
      <c r="B5526" s="33">
        <v>46054.20972222222</v>
      </c>
      <c r="C5526" s="33">
        <v>46060.74444444444</v>
      </c>
      <c r="D5526" s="19" t="s">
        <v>33</v>
      </c>
      <c r="E5526" s="19" t="s">
        <v>69</v>
      </c>
      <c r="F5526" s="19" t="s">
        <v>43</v>
      </c>
      <c r="G5526" s="19" t="s">
        <v>110</v>
      </c>
      <c r="H5526" s="19" t="s">
        <v>63</v>
      </c>
      <c r="I5526" s="19" t="s">
        <v>147</v>
      </c>
      <c r="J5526" s="20">
        <v>120</v>
      </c>
      <c r="K5526" s="34">
        <v>1</v>
      </c>
      <c r="L5526" s="34">
        <v>2</v>
      </c>
      <c r="M5526" s="19">
        <f>IF(OR(ISBLANK(C5526),C5526=""),"",ROUND((C5526-B5526)*24,2))</f>
        <v>156.83</v>
      </c>
      <c r="N5526" s="39" t="str">
        <f>IF(OR(ISBLANK(C5526),C5526="",M5526=""),"In Progress",IF(M5526&lt;=J5526,"Met","Breached"))</f>
        <v>Breached</v>
      </c>
    </row>
    <row r="5527" ht="19" customHeight="1" spans="1:14" x14ac:dyDescent="0.25">
      <c r="A5527" s="22" t="s">
        <v>5641</v>
      </c>
      <c r="B5527" s="36">
        <v>45810.899305555555</v>
      </c>
      <c r="C5527" s="36">
        <v>45813.393055555556</v>
      </c>
      <c r="D5527" s="22" t="s">
        <v>36</v>
      </c>
      <c r="E5527" s="22" t="s">
        <v>65</v>
      </c>
      <c r="F5527" s="22" t="s">
        <v>45</v>
      </c>
      <c r="G5527" s="22" t="s">
        <v>63</v>
      </c>
      <c r="H5527" s="22" t="s">
        <v>59</v>
      </c>
      <c r="I5527" s="22" t="s">
        <v>108</v>
      </c>
      <c r="J5527" s="23">
        <v>48</v>
      </c>
      <c r="K5527" s="37">
        <v>0</v>
      </c>
      <c r="L5527" s="37">
        <v>1</v>
      </c>
      <c r="M5527" s="22">
        <f>IF(OR(ISBLANK(C5527),C5527=""),"",ROUND((C5527-B5527)*24,2))</f>
        <v>59.85</v>
      </c>
      <c r="N5527" s="38" t="str">
        <f>IF(OR(ISBLANK(C5527),C5527="",M5527=""),"In Progress",IF(M5527&lt;=J5527,"Met","Breached"))</f>
        <v>Breached</v>
      </c>
    </row>
    <row r="5528" ht="19" customHeight="1" spans="1:14" x14ac:dyDescent="0.25">
      <c r="A5528" s="19" t="s">
        <v>5642</v>
      </c>
      <c r="B5528" s="33">
        <v>46138.01458333334</v>
      </c>
      <c r="C5528" s="33">
        <v>46138.80208333333</v>
      </c>
      <c r="D5528" s="19" t="s">
        <v>36</v>
      </c>
      <c r="E5528" s="19" t="s">
        <v>61</v>
      </c>
      <c r="F5528" s="19" t="s">
        <v>40</v>
      </c>
      <c r="G5528" s="19" t="s">
        <v>110</v>
      </c>
      <c r="H5528" s="19" t="s">
        <v>63</v>
      </c>
      <c r="I5528" s="19" t="s">
        <v>123</v>
      </c>
      <c r="J5528" s="20">
        <v>12</v>
      </c>
      <c r="K5528" s="34">
        <v>0</v>
      </c>
      <c r="M5528" s="19">
        <f>IF(OR(ISBLANK(C5528),C5528=""),"",ROUND((C5528-B5528)*24,2))</f>
        <v>18.9</v>
      </c>
      <c r="N5528" s="39" t="str">
        <f>IF(OR(ISBLANK(C5528),C5528="",M5528=""),"In Progress",IF(M5528&lt;=J5528,"Met","Breached"))</f>
        <v>Breached</v>
      </c>
    </row>
    <row r="5529" ht="19" customHeight="1" spans="1:14" x14ac:dyDescent="0.25">
      <c r="A5529" s="22" t="s">
        <v>5643</v>
      </c>
      <c r="B5529" s="36">
        <v>45836.68888888889</v>
      </c>
      <c r="C5529" s="36">
        <v>45836.97430555556</v>
      </c>
      <c r="D5529" s="22" t="s">
        <v>33</v>
      </c>
      <c r="E5529" s="22" t="s">
        <v>61</v>
      </c>
      <c r="F5529" s="22" t="s">
        <v>34</v>
      </c>
      <c r="G5529" s="22" t="s">
        <v>113</v>
      </c>
      <c r="H5529" s="22" t="s">
        <v>59</v>
      </c>
      <c r="I5529" s="22" t="s">
        <v>147</v>
      </c>
      <c r="J5529" s="23">
        <v>12</v>
      </c>
      <c r="K5529" s="37">
        <v>0</v>
      </c>
      <c r="L5529" s="37">
        <v>5</v>
      </c>
      <c r="M5529" s="22">
        <f>IF(OR(ISBLANK(C5529),C5529=""),"",ROUND((C5529-B5529)*24,2))</f>
        <v>6.85</v>
      </c>
      <c r="N5529" s="40" t="str">
        <f>IF(OR(ISBLANK(C5529),C5529="",M5529=""),"In Progress",IF(M5529&lt;=J5529,"Met","Breached"))</f>
        <v>Met</v>
      </c>
    </row>
    <row r="5530" ht="19" customHeight="1" spans="1:14" x14ac:dyDescent="0.25">
      <c r="A5530" s="19" t="s">
        <v>5644</v>
      </c>
      <c r="B5530" s="33">
        <v>45824.39097222222</v>
      </c>
      <c r="C5530" s="33">
        <v>45825.16875</v>
      </c>
      <c r="D5530" s="19" t="s">
        <v>33</v>
      </c>
      <c r="E5530" s="19" t="s">
        <v>61</v>
      </c>
      <c r="F5530" s="19" t="s">
        <v>40</v>
      </c>
      <c r="G5530" s="19" t="s">
        <v>116</v>
      </c>
      <c r="H5530" s="19" t="s">
        <v>63</v>
      </c>
      <c r="I5530" s="19" t="s">
        <v>117</v>
      </c>
      <c r="J5530" s="20">
        <v>12</v>
      </c>
      <c r="K5530" s="34">
        <v>0</v>
      </c>
      <c r="M5530" s="19">
        <f>IF(OR(ISBLANK(C5530),C5530=""),"",ROUND((C5530-B5530)*24,2))</f>
        <v>18.67</v>
      </c>
      <c r="N5530" s="39" t="str">
        <f>IF(OR(ISBLANK(C5530),C5530="",M5530=""),"In Progress",IF(M5530&lt;=J5530,"Met","Breached"))</f>
        <v>Breached</v>
      </c>
    </row>
    <row r="5531" ht="19" customHeight="1" spans="1:14" x14ac:dyDescent="0.25">
      <c r="A5531" s="22" t="s">
        <v>5645</v>
      </c>
      <c r="B5531" s="36">
        <v>45803.09861111111</v>
      </c>
      <c r="D5531" s="22" t="s">
        <v>39</v>
      </c>
      <c r="E5531" s="22" t="s">
        <v>65</v>
      </c>
      <c r="F5531" s="22" t="s">
        <v>34</v>
      </c>
      <c r="G5531" s="22" t="s">
        <v>121</v>
      </c>
      <c r="H5531" s="22" t="s">
        <v>63</v>
      </c>
      <c r="I5531" s="22" t="s">
        <v>111</v>
      </c>
      <c r="J5531" s="23">
        <v>48</v>
      </c>
      <c r="K5531" s="37">
        <v>0</v>
      </c>
      <c r="M5531" s="22" t="str">
        <f>IF(OR(ISBLANK(C5531),C5531=""),"",ROUND((C5531-B5531)*24,2))</f>
        <v/>
      </c>
      <c r="N5531" s="22" t="str">
        <f>IF(OR(ISBLANK(C5531),C5531="",M5531=""),"In Progress",IF(M5531&lt;=J5531,"Met","Breached"))</f>
        <v>In Progress</v>
      </c>
    </row>
    <row r="5532" ht="19" customHeight="1" spans="1:14" x14ac:dyDescent="0.25">
      <c r="A5532" s="19" t="s">
        <v>5646</v>
      </c>
      <c r="B5532" s="33">
        <v>45720.28055555555</v>
      </c>
      <c r="D5532" s="19" t="s">
        <v>39</v>
      </c>
      <c r="E5532" s="19" t="s">
        <v>69</v>
      </c>
      <c r="F5532" s="19" t="s">
        <v>40</v>
      </c>
      <c r="G5532" s="19" t="s">
        <v>121</v>
      </c>
      <c r="H5532" s="19" t="s">
        <v>71</v>
      </c>
      <c r="I5532" s="19" t="s">
        <v>117</v>
      </c>
      <c r="J5532" s="20">
        <v>120</v>
      </c>
      <c r="K5532" s="34">
        <v>0</v>
      </c>
      <c r="M5532" s="19" t="str">
        <f>IF(OR(ISBLANK(C5532),C5532=""),"",ROUND((C5532-B5532)*24,2))</f>
        <v/>
      </c>
      <c r="N5532" s="19" t="str">
        <f>IF(OR(ISBLANK(C5532),C5532="",M5532=""),"In Progress",IF(M5532&lt;=J5532,"Met","Breached"))</f>
        <v>In Progress</v>
      </c>
    </row>
    <row r="5533" ht="19" customHeight="1" spans="1:14" x14ac:dyDescent="0.25">
      <c r="A5533" s="22" t="s">
        <v>5647</v>
      </c>
      <c r="B5533" s="36">
        <v>45968.87708333333</v>
      </c>
      <c r="C5533" s="36">
        <v>45971.771527777775</v>
      </c>
      <c r="D5533" s="22" t="s">
        <v>33</v>
      </c>
      <c r="E5533" s="22" t="s">
        <v>65</v>
      </c>
      <c r="F5533" s="22" t="s">
        <v>37</v>
      </c>
      <c r="G5533" s="22" t="s">
        <v>110</v>
      </c>
      <c r="H5533" s="22" t="s">
        <v>59</v>
      </c>
      <c r="I5533" s="22" t="s">
        <v>147</v>
      </c>
      <c r="J5533" s="23">
        <v>48</v>
      </c>
      <c r="K5533" s="37">
        <v>0</v>
      </c>
      <c r="L5533" s="37">
        <v>5</v>
      </c>
      <c r="M5533" s="22">
        <f>IF(OR(ISBLANK(C5533),C5533=""),"",ROUND((C5533-B5533)*24,2))</f>
        <v>69.47</v>
      </c>
      <c r="N5533" s="38" t="str">
        <f>IF(OR(ISBLANK(C5533),C5533="",M5533=""),"In Progress",IF(M5533&lt;=J5533,"Met","Breached"))</f>
        <v>Breached</v>
      </c>
    </row>
    <row r="5534" ht="19" customHeight="1" spans="1:14" x14ac:dyDescent="0.25">
      <c r="A5534" s="19" t="s">
        <v>5648</v>
      </c>
      <c r="B5534" s="33">
        <v>46268.30138888889</v>
      </c>
      <c r="C5534" s="33">
        <v>46268.94027777778</v>
      </c>
      <c r="D5534" s="19" t="s">
        <v>33</v>
      </c>
      <c r="E5534" s="19" t="s">
        <v>61</v>
      </c>
      <c r="F5534" s="19" t="s">
        <v>37</v>
      </c>
      <c r="G5534" s="19" t="s">
        <v>63</v>
      </c>
      <c r="H5534" s="19" t="s">
        <v>59</v>
      </c>
      <c r="I5534" s="19" t="s">
        <v>114</v>
      </c>
      <c r="J5534" s="20">
        <v>12</v>
      </c>
      <c r="K5534" s="34">
        <v>0</v>
      </c>
      <c r="L5534" s="34">
        <v>5</v>
      </c>
      <c r="M5534" s="19">
        <f>IF(OR(ISBLANK(C5534),C5534=""),"",ROUND((C5534-B5534)*24,2))</f>
        <v>15.33</v>
      </c>
      <c r="N5534" s="39" t="str">
        <f>IF(OR(ISBLANK(C5534),C5534="",M5534=""),"In Progress",IF(M5534&lt;=J5534,"Met","Breached"))</f>
        <v>Breached</v>
      </c>
    </row>
    <row r="5535" ht="19" customHeight="1" spans="1:14" x14ac:dyDescent="0.25">
      <c r="A5535" s="22" t="s">
        <v>5649</v>
      </c>
      <c r="B5535" s="36">
        <v>46242.81805555556</v>
      </c>
      <c r="C5535" s="36">
        <v>46243.6</v>
      </c>
      <c r="D5535" s="22" t="s">
        <v>36</v>
      </c>
      <c r="E5535" s="22" t="s">
        <v>61</v>
      </c>
      <c r="F5535" s="22" t="s">
        <v>40</v>
      </c>
      <c r="G5535" s="22" t="s">
        <v>113</v>
      </c>
      <c r="H5535" s="22" t="s">
        <v>67</v>
      </c>
      <c r="I5535" s="22" t="s">
        <v>114</v>
      </c>
      <c r="J5535" s="23">
        <v>12</v>
      </c>
      <c r="K5535" s="37">
        <v>0</v>
      </c>
      <c r="L5535" s="37">
        <v>2</v>
      </c>
      <c r="M5535" s="22">
        <f>IF(OR(ISBLANK(C5535),C5535=""),"",ROUND((C5535-B5535)*24,2))</f>
        <v>18.77</v>
      </c>
      <c r="N5535" s="38" t="str">
        <f>IF(OR(ISBLANK(C5535),C5535="",M5535=""),"In Progress",IF(M5535&lt;=J5535,"Met","Breached"))</f>
        <v>Breached</v>
      </c>
    </row>
    <row r="5536" ht="19" customHeight="1" spans="1:14" x14ac:dyDescent="0.25">
      <c r="A5536" s="19" t="s">
        <v>5650</v>
      </c>
      <c r="B5536" s="33">
        <v>46091.330555555556</v>
      </c>
      <c r="D5536" s="19" t="s">
        <v>39</v>
      </c>
      <c r="E5536" s="19" t="s">
        <v>65</v>
      </c>
      <c r="F5536" s="19" t="s">
        <v>40</v>
      </c>
      <c r="G5536" s="19" t="s">
        <v>121</v>
      </c>
      <c r="H5536" s="19" t="s">
        <v>59</v>
      </c>
      <c r="I5536" s="19" t="s">
        <v>108</v>
      </c>
      <c r="J5536" s="20">
        <v>48</v>
      </c>
      <c r="K5536" s="34">
        <v>0</v>
      </c>
      <c r="M5536" s="19" t="str">
        <f>IF(OR(ISBLANK(C5536),C5536=""),"",ROUND((C5536-B5536)*24,2))</f>
        <v/>
      </c>
      <c r="N5536" s="19" t="str">
        <f>IF(OR(ISBLANK(C5536),C5536="",M5536=""),"In Progress",IF(M5536&lt;=J5536,"Met","Breached"))</f>
        <v>In Progress</v>
      </c>
    </row>
    <row r="5537" ht="19" customHeight="1" spans="1:14" x14ac:dyDescent="0.25">
      <c r="A5537" s="22" t="s">
        <v>5651</v>
      </c>
      <c r="B5537" s="36">
        <v>46148.06180555555</v>
      </c>
      <c r="D5537" s="22" t="s">
        <v>39</v>
      </c>
      <c r="E5537" s="22" t="s">
        <v>61</v>
      </c>
      <c r="F5537" s="22" t="s">
        <v>40</v>
      </c>
      <c r="G5537" s="22" t="s">
        <v>126</v>
      </c>
      <c r="H5537" s="22" t="s">
        <v>59</v>
      </c>
      <c r="I5537" s="22" t="s">
        <v>117</v>
      </c>
      <c r="J5537" s="23">
        <v>12</v>
      </c>
      <c r="K5537" s="37">
        <v>0</v>
      </c>
      <c r="M5537" s="22" t="str">
        <f>IF(OR(ISBLANK(C5537),C5537=""),"",ROUND((C5537-B5537)*24,2))</f>
        <v/>
      </c>
      <c r="N5537" s="22" t="str">
        <f>IF(OR(ISBLANK(C5537),C5537="",M5537=""),"In Progress",IF(M5537&lt;=J5537,"Met","Breached"))</f>
        <v>In Progress</v>
      </c>
    </row>
    <row r="5538" ht="19" customHeight="1" spans="1:14" x14ac:dyDescent="0.25">
      <c r="A5538" s="19" t="s">
        <v>5652</v>
      </c>
      <c r="B5538" s="33">
        <v>46093.6875</v>
      </c>
      <c r="C5538" s="33">
        <v>46096.879166666666</v>
      </c>
      <c r="D5538" s="19" t="s">
        <v>36</v>
      </c>
      <c r="E5538" s="19" t="s">
        <v>65</v>
      </c>
      <c r="F5538" s="19" t="s">
        <v>40</v>
      </c>
      <c r="G5538" s="19" t="s">
        <v>63</v>
      </c>
      <c r="H5538" s="19" t="s">
        <v>59</v>
      </c>
      <c r="I5538" s="19" t="s">
        <v>114</v>
      </c>
      <c r="J5538" s="20">
        <v>48</v>
      </c>
      <c r="K5538" s="34">
        <v>0</v>
      </c>
      <c r="L5538" s="34">
        <v>1</v>
      </c>
      <c r="M5538" s="19">
        <f>IF(OR(ISBLANK(C5538),C5538=""),"",ROUND((C5538-B5538)*24,2))</f>
        <v>76.6</v>
      </c>
      <c r="N5538" s="39" t="str">
        <f>IF(OR(ISBLANK(C5538),C5538="",M5538=""),"In Progress",IF(M5538&lt;=J5538,"Met","Breached"))</f>
        <v>Breached</v>
      </c>
    </row>
    <row r="5539" ht="19" customHeight="1" spans="1:14" x14ac:dyDescent="0.25">
      <c r="A5539" s="22" t="s">
        <v>5653</v>
      </c>
      <c r="B5539" s="36">
        <v>46282.21527777778</v>
      </c>
      <c r="C5539" s="36">
        <v>46282.28263888889</v>
      </c>
      <c r="D5539" s="22" t="s">
        <v>36</v>
      </c>
      <c r="E5539" s="22" t="s">
        <v>57</v>
      </c>
      <c r="F5539" s="22" t="s">
        <v>40</v>
      </c>
      <c r="G5539" s="22" t="s">
        <v>110</v>
      </c>
      <c r="H5539" s="22" t="s">
        <v>59</v>
      </c>
      <c r="I5539" s="22" t="s">
        <v>117</v>
      </c>
      <c r="J5539" s="23">
        <v>4</v>
      </c>
      <c r="K5539" s="37">
        <v>0</v>
      </c>
      <c r="L5539" s="37">
        <v>3</v>
      </c>
      <c r="M5539" s="22">
        <f>IF(OR(ISBLANK(C5539),C5539=""),"",ROUND((C5539-B5539)*24,2))</f>
        <v>1.62</v>
      </c>
      <c r="N5539" s="40" t="str">
        <f>IF(OR(ISBLANK(C5539),C5539="",M5539=""),"In Progress",IF(M5539&lt;=J5539,"Met","Breached"))</f>
        <v>Met</v>
      </c>
    </row>
    <row r="5540" ht="19" customHeight="1" spans="1:14" x14ac:dyDescent="0.25">
      <c r="A5540" s="19" t="s">
        <v>5654</v>
      </c>
      <c r="B5540" s="33">
        <v>45886.46041666667</v>
      </c>
      <c r="C5540" s="33">
        <v>45889.070138888885</v>
      </c>
      <c r="D5540" s="19" t="s">
        <v>36</v>
      </c>
      <c r="E5540" s="19" t="s">
        <v>65</v>
      </c>
      <c r="F5540" s="19" t="s">
        <v>37</v>
      </c>
      <c r="G5540" s="19" t="s">
        <v>126</v>
      </c>
      <c r="H5540" s="19" t="s">
        <v>63</v>
      </c>
      <c r="I5540" s="19" t="s">
        <v>114</v>
      </c>
      <c r="J5540" s="20">
        <v>48</v>
      </c>
      <c r="K5540" s="34">
        <v>0</v>
      </c>
      <c r="L5540" s="34">
        <v>2</v>
      </c>
      <c r="M5540" s="19">
        <f>IF(OR(ISBLANK(C5540),C5540=""),"",ROUND((C5540-B5540)*24,2))</f>
        <v>62.63</v>
      </c>
      <c r="N5540" s="39" t="str">
        <f>IF(OR(ISBLANK(C5540),C5540="",M5540=""),"In Progress",IF(M5540&lt;=J5540,"Met","Breached"))</f>
        <v>Breached</v>
      </c>
    </row>
    <row r="5541" ht="19" customHeight="1" spans="1:14" x14ac:dyDescent="0.25">
      <c r="A5541" s="22" t="s">
        <v>5655</v>
      </c>
      <c r="B5541" s="36">
        <v>45879.53333333333</v>
      </c>
      <c r="C5541" s="36">
        <v>45883.06319444445</v>
      </c>
      <c r="D5541" s="22" t="s">
        <v>36</v>
      </c>
      <c r="E5541" s="22" t="s">
        <v>65</v>
      </c>
      <c r="F5541" s="22" t="s">
        <v>34</v>
      </c>
      <c r="G5541" s="22" t="s">
        <v>113</v>
      </c>
      <c r="H5541" s="22" t="s">
        <v>63</v>
      </c>
      <c r="I5541" s="22" t="s">
        <v>108</v>
      </c>
      <c r="J5541" s="23">
        <v>48</v>
      </c>
      <c r="K5541" s="37">
        <v>0</v>
      </c>
      <c r="M5541" s="22">
        <f>IF(OR(ISBLANK(C5541),C5541=""),"",ROUND((C5541-B5541)*24,2))</f>
        <v>84.72</v>
      </c>
      <c r="N5541" s="38" t="str">
        <f>IF(OR(ISBLANK(C5541),C5541="",M5541=""),"In Progress",IF(M5541&lt;=J5541,"Met","Breached"))</f>
        <v>Breached</v>
      </c>
    </row>
    <row r="5542" ht="19" customHeight="1" spans="1:14" x14ac:dyDescent="0.25">
      <c r="A5542" s="19" t="s">
        <v>5656</v>
      </c>
      <c r="B5542" s="33">
        <v>45722.82083333333</v>
      </c>
      <c r="C5542" s="33">
        <v>45724.56319444445</v>
      </c>
      <c r="D5542" s="19" t="s">
        <v>36</v>
      </c>
      <c r="E5542" s="19" t="s">
        <v>65</v>
      </c>
      <c r="F5542" s="19" t="s">
        <v>37</v>
      </c>
      <c r="G5542" s="19" t="s">
        <v>113</v>
      </c>
      <c r="H5542" s="19" t="s">
        <v>63</v>
      </c>
      <c r="I5542" s="19" t="s">
        <v>123</v>
      </c>
      <c r="J5542" s="20">
        <v>48</v>
      </c>
      <c r="K5542" s="34">
        <v>0</v>
      </c>
      <c r="L5542" s="34">
        <v>2</v>
      </c>
      <c r="M5542" s="19">
        <f>IF(OR(ISBLANK(C5542),C5542=""),"",ROUND((C5542-B5542)*24,2))</f>
        <v>41.82</v>
      </c>
      <c r="N5542" s="35" t="str">
        <f>IF(OR(ISBLANK(C5542),C5542="",M5542=""),"In Progress",IF(M5542&lt;=J5542,"Met","Breached"))</f>
        <v>Met</v>
      </c>
    </row>
    <row r="5543" ht="19" customHeight="1" spans="1:14" x14ac:dyDescent="0.25">
      <c r="A5543" s="22" t="s">
        <v>5657</v>
      </c>
      <c r="B5543" s="36">
        <v>45686.00625</v>
      </c>
      <c r="C5543" s="36">
        <v>45686.8875</v>
      </c>
      <c r="D5543" s="22" t="s">
        <v>33</v>
      </c>
      <c r="E5543" s="22" t="s">
        <v>61</v>
      </c>
      <c r="F5543" s="22" t="s">
        <v>40</v>
      </c>
      <c r="G5543" s="22" t="s">
        <v>121</v>
      </c>
      <c r="H5543" s="22" t="s">
        <v>59</v>
      </c>
      <c r="I5543" s="22" t="s">
        <v>147</v>
      </c>
      <c r="J5543" s="23">
        <v>12</v>
      </c>
      <c r="K5543" s="37">
        <v>0</v>
      </c>
      <c r="M5543" s="22">
        <f>IF(OR(ISBLANK(C5543),C5543=""),"",ROUND((C5543-B5543)*24,2))</f>
        <v>21.15</v>
      </c>
      <c r="N5543" s="38" t="str">
        <f>IF(OR(ISBLANK(C5543),C5543="",M5543=""),"In Progress",IF(M5543&lt;=J5543,"Met","Breached"))</f>
        <v>Breached</v>
      </c>
    </row>
    <row r="5544" ht="19" customHeight="1" spans="1:14" x14ac:dyDescent="0.25">
      <c r="A5544" s="19" t="s">
        <v>5658</v>
      </c>
      <c r="B5544" s="33">
        <v>45754.115277777775</v>
      </c>
      <c r="D5544" s="19" t="s">
        <v>39</v>
      </c>
      <c r="E5544" s="19" t="s">
        <v>69</v>
      </c>
      <c r="F5544" s="19" t="s">
        <v>45</v>
      </c>
      <c r="G5544" s="19" t="s">
        <v>121</v>
      </c>
      <c r="H5544" s="19" t="s">
        <v>71</v>
      </c>
      <c r="I5544" s="19" t="s">
        <v>108</v>
      </c>
      <c r="J5544" s="20">
        <v>120</v>
      </c>
      <c r="K5544" s="34">
        <v>0</v>
      </c>
      <c r="M5544" s="19" t="str">
        <f>IF(OR(ISBLANK(C5544),C5544=""),"",ROUND((C5544-B5544)*24,2))</f>
        <v/>
      </c>
      <c r="N5544" s="19" t="str">
        <f>IF(OR(ISBLANK(C5544),C5544="",M5544=""),"In Progress",IF(M5544&lt;=J5544,"Met","Breached"))</f>
        <v>In Progress</v>
      </c>
    </row>
    <row r="5545" ht="19" customHeight="1" spans="1:14" x14ac:dyDescent="0.25">
      <c r="A5545" s="22" t="s">
        <v>5659</v>
      </c>
      <c r="B5545" s="36">
        <v>45978.086111111115</v>
      </c>
      <c r="D5545" s="22" t="s">
        <v>39</v>
      </c>
      <c r="E5545" s="22" t="s">
        <v>61</v>
      </c>
      <c r="F5545" s="22" t="s">
        <v>45</v>
      </c>
      <c r="G5545" s="22" t="s">
        <v>110</v>
      </c>
      <c r="H5545" s="22" t="s">
        <v>59</v>
      </c>
      <c r="I5545" s="22" t="s">
        <v>108</v>
      </c>
      <c r="J5545" s="23">
        <v>12</v>
      </c>
      <c r="K5545" s="37">
        <v>0</v>
      </c>
      <c r="M5545" s="22" t="str">
        <f>IF(OR(ISBLANK(C5545),C5545=""),"",ROUND((C5545-B5545)*24,2))</f>
        <v/>
      </c>
      <c r="N5545" s="22" t="str">
        <f>IF(OR(ISBLANK(C5545),C5545="",M5545=""),"In Progress",IF(M5545&lt;=J5545,"Met","Breached"))</f>
        <v>In Progress</v>
      </c>
    </row>
    <row r="5546" ht="19" customHeight="1" spans="1:14" x14ac:dyDescent="0.25">
      <c r="A5546" s="19" t="s">
        <v>5660</v>
      </c>
      <c r="B5546" s="33">
        <v>45923.195138888885</v>
      </c>
      <c r="C5546" s="33">
        <v>45924.51527777778</v>
      </c>
      <c r="D5546" s="19" t="s">
        <v>36</v>
      </c>
      <c r="E5546" s="19" t="s">
        <v>65</v>
      </c>
      <c r="F5546" s="19" t="s">
        <v>45</v>
      </c>
      <c r="G5546" s="19" t="s">
        <v>121</v>
      </c>
      <c r="H5546" s="19" t="s">
        <v>59</v>
      </c>
      <c r="I5546" s="19" t="s">
        <v>111</v>
      </c>
      <c r="J5546" s="20">
        <v>48</v>
      </c>
      <c r="K5546" s="34">
        <v>0</v>
      </c>
      <c r="L5546" s="34">
        <v>2</v>
      </c>
      <c r="M5546" s="19">
        <f>IF(OR(ISBLANK(C5546),C5546=""),"",ROUND((C5546-B5546)*24,2))</f>
        <v>31.68</v>
      </c>
      <c r="N5546" s="35" t="str">
        <f>IF(OR(ISBLANK(C5546),C5546="",M5546=""),"In Progress",IF(M5546&lt;=J5546,"Met","Breached"))</f>
        <v>Met</v>
      </c>
    </row>
    <row r="5547" ht="19" customHeight="1" spans="1:14" x14ac:dyDescent="0.25">
      <c r="A5547" s="22" t="s">
        <v>5661</v>
      </c>
      <c r="B5547" s="36">
        <v>45986.919444444444</v>
      </c>
      <c r="C5547" s="36">
        <v>45989.368055555555</v>
      </c>
      <c r="D5547" s="22" t="s">
        <v>33</v>
      </c>
      <c r="E5547" s="22" t="s">
        <v>65</v>
      </c>
      <c r="F5547" s="22" t="s">
        <v>40</v>
      </c>
      <c r="G5547" s="22" t="s">
        <v>116</v>
      </c>
      <c r="H5547" s="22" t="s">
        <v>63</v>
      </c>
      <c r="I5547" s="22" t="s">
        <v>108</v>
      </c>
      <c r="J5547" s="23">
        <v>48</v>
      </c>
      <c r="K5547" s="37">
        <v>0</v>
      </c>
      <c r="L5547" s="37">
        <v>1</v>
      </c>
      <c r="M5547" s="22">
        <f>IF(OR(ISBLANK(C5547),C5547=""),"",ROUND((C5547-B5547)*24,2))</f>
        <v>58.77</v>
      </c>
      <c r="N5547" s="38" t="str">
        <f>IF(OR(ISBLANK(C5547),C5547="",M5547=""),"In Progress",IF(M5547&lt;=J5547,"Met","Breached"))</f>
        <v>Breached</v>
      </c>
    </row>
    <row r="5548" ht="19" customHeight="1" spans="1:14" x14ac:dyDescent="0.25">
      <c r="A5548" s="19" t="s">
        <v>5662</v>
      </c>
      <c r="B5548" s="33">
        <v>45746.76736111111</v>
      </c>
      <c r="C5548" s="33">
        <v>45749.81527777778</v>
      </c>
      <c r="D5548" s="19" t="s">
        <v>33</v>
      </c>
      <c r="E5548" s="19" t="s">
        <v>65</v>
      </c>
      <c r="F5548" s="19" t="s">
        <v>45</v>
      </c>
      <c r="G5548" s="19" t="s">
        <v>121</v>
      </c>
      <c r="H5548" s="19" t="s">
        <v>59</v>
      </c>
      <c r="I5548" s="19" t="s">
        <v>147</v>
      </c>
      <c r="J5548" s="20">
        <v>48</v>
      </c>
      <c r="K5548" s="34">
        <v>1</v>
      </c>
      <c r="L5548" s="34">
        <v>1</v>
      </c>
      <c r="M5548" s="19">
        <f>IF(OR(ISBLANK(C5548),C5548=""),"",ROUND((C5548-B5548)*24,2))</f>
        <v>73.15</v>
      </c>
      <c r="N5548" s="39" t="str">
        <f>IF(OR(ISBLANK(C5548),C5548="",M5548=""),"In Progress",IF(M5548&lt;=J5548,"Met","Breached"))</f>
        <v>Breached</v>
      </c>
    </row>
    <row r="5549" ht="19" customHeight="1" spans="1:14" x14ac:dyDescent="0.25">
      <c r="A5549" s="22" t="s">
        <v>5663</v>
      </c>
      <c r="B5549" s="36">
        <v>45667.774305555555</v>
      </c>
      <c r="C5549" s="36">
        <v>45671.47986111111</v>
      </c>
      <c r="D5549" s="22" t="s">
        <v>33</v>
      </c>
      <c r="E5549" s="22" t="s">
        <v>69</v>
      </c>
      <c r="F5549" s="22" t="s">
        <v>34</v>
      </c>
      <c r="G5549" s="22" t="s">
        <v>116</v>
      </c>
      <c r="H5549" s="22" t="s">
        <v>67</v>
      </c>
      <c r="I5549" s="22" t="s">
        <v>114</v>
      </c>
      <c r="J5549" s="23">
        <v>120</v>
      </c>
      <c r="K5549" s="37">
        <v>1</v>
      </c>
      <c r="M5549" s="22">
        <f>IF(OR(ISBLANK(C5549),C5549=""),"",ROUND((C5549-B5549)*24,2))</f>
        <v>88.93</v>
      </c>
      <c r="N5549" s="40" t="str">
        <f>IF(OR(ISBLANK(C5549),C5549="",M5549=""),"In Progress",IF(M5549&lt;=J5549,"Met","Breached"))</f>
        <v>Met</v>
      </c>
    </row>
    <row r="5550" ht="19" customHeight="1" spans="1:14" x14ac:dyDescent="0.25">
      <c r="A5550" s="19" t="s">
        <v>5664</v>
      </c>
      <c r="B5550" s="33">
        <v>45976.07638888889</v>
      </c>
      <c r="C5550" s="33">
        <v>45976.93472222222</v>
      </c>
      <c r="D5550" s="19" t="s">
        <v>36</v>
      </c>
      <c r="E5550" s="19" t="s">
        <v>65</v>
      </c>
      <c r="F5550" s="19" t="s">
        <v>40</v>
      </c>
      <c r="G5550" s="19" t="s">
        <v>116</v>
      </c>
      <c r="H5550" s="19" t="s">
        <v>59</v>
      </c>
      <c r="I5550" s="19" t="s">
        <v>114</v>
      </c>
      <c r="J5550" s="20">
        <v>48</v>
      </c>
      <c r="K5550" s="34">
        <v>1</v>
      </c>
      <c r="L5550" s="34">
        <v>1</v>
      </c>
      <c r="M5550" s="19">
        <f>IF(OR(ISBLANK(C5550),C5550=""),"",ROUND((C5550-B5550)*24,2))</f>
        <v>20.6</v>
      </c>
      <c r="N5550" s="35" t="str">
        <f>IF(OR(ISBLANK(C5550),C5550="",M5550=""),"In Progress",IF(M5550&lt;=J5550,"Met","Breached"))</f>
        <v>Met</v>
      </c>
    </row>
    <row r="5551" ht="19" customHeight="1" spans="1:14" x14ac:dyDescent="0.25">
      <c r="A5551" s="22" t="s">
        <v>5665</v>
      </c>
      <c r="B5551" s="36">
        <v>46132.05694444444</v>
      </c>
      <c r="C5551" s="36">
        <v>46135.069444444445</v>
      </c>
      <c r="D5551" s="22" t="s">
        <v>33</v>
      </c>
      <c r="E5551" s="22" t="s">
        <v>65</v>
      </c>
      <c r="F5551" s="22" t="s">
        <v>40</v>
      </c>
      <c r="G5551" s="22" t="s">
        <v>116</v>
      </c>
      <c r="H5551" s="22" t="s">
        <v>59</v>
      </c>
      <c r="I5551" s="22" t="s">
        <v>117</v>
      </c>
      <c r="J5551" s="23">
        <v>48</v>
      </c>
      <c r="K5551" s="37">
        <v>0</v>
      </c>
      <c r="L5551" s="37">
        <v>1</v>
      </c>
      <c r="M5551" s="22">
        <f>IF(OR(ISBLANK(C5551),C5551=""),"",ROUND((C5551-B5551)*24,2))</f>
        <v>72.3</v>
      </c>
      <c r="N5551" s="38" t="str">
        <f>IF(OR(ISBLANK(C5551),C5551="",M5551=""),"In Progress",IF(M5551&lt;=J5551,"Met","Breached"))</f>
        <v>Breached</v>
      </c>
    </row>
    <row r="5552" ht="19" customHeight="1" spans="1:14" x14ac:dyDescent="0.25">
      <c r="A5552" s="19" t="s">
        <v>5666</v>
      </c>
      <c r="B5552" s="33">
        <v>45791.191666666666</v>
      </c>
      <c r="C5552" s="33">
        <v>45791.7</v>
      </c>
      <c r="D5552" s="19" t="s">
        <v>36</v>
      </c>
      <c r="E5552" s="19" t="s">
        <v>61</v>
      </c>
      <c r="F5552" s="19" t="s">
        <v>34</v>
      </c>
      <c r="G5552" s="19" t="s">
        <v>121</v>
      </c>
      <c r="H5552" s="19" t="s">
        <v>63</v>
      </c>
      <c r="I5552" s="19" t="s">
        <v>117</v>
      </c>
      <c r="J5552" s="20">
        <v>12</v>
      </c>
      <c r="K5552" s="34">
        <v>0</v>
      </c>
      <c r="M5552" s="19">
        <f>IF(OR(ISBLANK(C5552),C5552=""),"",ROUND((C5552-B5552)*24,2))</f>
        <v>12.2</v>
      </c>
      <c r="N5552" s="39" t="str">
        <f>IF(OR(ISBLANK(C5552),C5552="",M5552=""),"In Progress",IF(M5552&lt;=J5552,"Met","Breached"))</f>
        <v>Breached</v>
      </c>
    </row>
    <row r="5553" ht="19" customHeight="1" spans="1:14" x14ac:dyDescent="0.25">
      <c r="A5553" s="22" t="s">
        <v>5667</v>
      </c>
      <c r="B5553" s="36">
        <v>45973.08125</v>
      </c>
      <c r="D5553" s="22" t="s">
        <v>39</v>
      </c>
      <c r="E5553" s="22" t="s">
        <v>65</v>
      </c>
      <c r="F5553" s="22" t="s">
        <v>43</v>
      </c>
      <c r="G5553" s="22" t="s">
        <v>110</v>
      </c>
      <c r="H5553" s="22" t="s">
        <v>63</v>
      </c>
      <c r="I5553" s="22" t="s">
        <v>147</v>
      </c>
      <c r="J5553" s="23">
        <v>48</v>
      </c>
      <c r="K5553" s="37">
        <v>0</v>
      </c>
      <c r="M5553" s="22" t="str">
        <f>IF(OR(ISBLANK(C5553),C5553=""),"",ROUND((C5553-B5553)*24,2))</f>
        <v/>
      </c>
      <c r="N5553" s="22" t="str">
        <f>IF(OR(ISBLANK(C5553),C5553="",M5553=""),"In Progress",IF(M5553&lt;=J5553,"Met","Breached"))</f>
        <v>In Progress</v>
      </c>
    </row>
    <row r="5554" ht="19" customHeight="1" spans="1:14" x14ac:dyDescent="0.25">
      <c r="A5554" s="19" t="s">
        <v>5668</v>
      </c>
      <c r="B5554" s="33">
        <v>45678.48541666666</v>
      </c>
      <c r="C5554" s="33">
        <v>45686.14027777778</v>
      </c>
      <c r="D5554" s="19" t="s">
        <v>33</v>
      </c>
      <c r="E5554" s="19" t="s">
        <v>69</v>
      </c>
      <c r="F5554" s="19" t="s">
        <v>37</v>
      </c>
      <c r="G5554" s="19" t="s">
        <v>121</v>
      </c>
      <c r="H5554" s="19" t="s">
        <v>71</v>
      </c>
      <c r="I5554" s="19" t="s">
        <v>108</v>
      </c>
      <c r="J5554" s="20">
        <v>120</v>
      </c>
      <c r="K5554" s="34">
        <v>0</v>
      </c>
      <c r="M5554" s="19">
        <f>IF(OR(ISBLANK(C5554),C5554=""),"",ROUND((C5554-B5554)*24,2))</f>
        <v>183.72</v>
      </c>
      <c r="N5554" s="39" t="str">
        <f>IF(OR(ISBLANK(C5554),C5554="",M5554=""),"In Progress",IF(M5554&lt;=J5554,"Met","Breached"))</f>
        <v>Breached</v>
      </c>
    </row>
    <row r="5555" ht="19" customHeight="1" spans="1:14" x14ac:dyDescent="0.25">
      <c r="A5555" s="22" t="s">
        <v>5669</v>
      </c>
      <c r="B5555" s="36">
        <v>46138.69583333333</v>
      </c>
      <c r="C5555" s="36">
        <v>46140.379166666666</v>
      </c>
      <c r="D5555" s="22" t="s">
        <v>33</v>
      </c>
      <c r="E5555" s="22" t="s">
        <v>65</v>
      </c>
      <c r="F5555" s="22" t="s">
        <v>43</v>
      </c>
      <c r="G5555" s="22" t="s">
        <v>121</v>
      </c>
      <c r="H5555" s="22" t="s">
        <v>71</v>
      </c>
      <c r="I5555" s="22" t="s">
        <v>108</v>
      </c>
      <c r="J5555" s="23">
        <v>48</v>
      </c>
      <c r="K5555" s="37">
        <v>0</v>
      </c>
      <c r="L5555" s="37">
        <v>4</v>
      </c>
      <c r="M5555" s="22">
        <f>IF(OR(ISBLANK(C5555),C5555=""),"",ROUND((C5555-B5555)*24,2))</f>
        <v>40.4</v>
      </c>
      <c r="N5555" s="40" t="str">
        <f>IF(OR(ISBLANK(C5555),C5555="",M5555=""),"In Progress",IF(M5555&lt;=J5555,"Met","Breached"))</f>
        <v>Met</v>
      </c>
    </row>
    <row r="5556" ht="19" customHeight="1" spans="1:14" x14ac:dyDescent="0.25">
      <c r="A5556" s="19" t="s">
        <v>5670</v>
      </c>
      <c r="B5556" s="33">
        <v>45745.71597222222</v>
      </c>
      <c r="D5556" s="19" t="s">
        <v>39</v>
      </c>
      <c r="E5556" s="19" t="s">
        <v>65</v>
      </c>
      <c r="F5556" s="19" t="s">
        <v>37</v>
      </c>
      <c r="G5556" s="19" t="s">
        <v>113</v>
      </c>
      <c r="H5556" s="19" t="s">
        <v>59</v>
      </c>
      <c r="I5556" s="19" t="s">
        <v>147</v>
      </c>
      <c r="J5556" s="20">
        <v>48</v>
      </c>
      <c r="K5556" s="34">
        <v>0</v>
      </c>
      <c r="M5556" s="19" t="str">
        <f>IF(OR(ISBLANK(C5556),C5556=""),"",ROUND((C5556-B5556)*24,2))</f>
        <v/>
      </c>
      <c r="N5556" s="19" t="str">
        <f>IF(OR(ISBLANK(C5556),C5556="",M5556=""),"In Progress",IF(M5556&lt;=J5556,"Met","Breached"))</f>
        <v>In Progress</v>
      </c>
    </row>
    <row r="5557" ht="19" customHeight="1" spans="1:14" x14ac:dyDescent="0.25">
      <c r="A5557" s="22" t="s">
        <v>5671</v>
      </c>
      <c r="B5557" s="36">
        <v>45934.49930555555</v>
      </c>
      <c r="C5557" s="36">
        <v>45941.476388888885</v>
      </c>
      <c r="D5557" s="22" t="s">
        <v>36</v>
      </c>
      <c r="E5557" s="22" t="s">
        <v>69</v>
      </c>
      <c r="F5557" s="22" t="s">
        <v>43</v>
      </c>
      <c r="G5557" s="22" t="s">
        <v>121</v>
      </c>
      <c r="H5557" s="22" t="s">
        <v>71</v>
      </c>
      <c r="I5557" s="22" t="s">
        <v>147</v>
      </c>
      <c r="J5557" s="23">
        <v>120</v>
      </c>
      <c r="K5557" s="37">
        <v>0</v>
      </c>
      <c r="M5557" s="22">
        <f>IF(OR(ISBLANK(C5557),C5557=""),"",ROUND((C5557-B5557)*24,2))</f>
        <v>167.45</v>
      </c>
      <c r="N5557" s="38" t="str">
        <f>IF(OR(ISBLANK(C5557),C5557="",M5557=""),"In Progress",IF(M5557&lt;=J5557,"Met","Breached"))</f>
        <v>Breached</v>
      </c>
    </row>
    <row r="5558" ht="19" customHeight="1" spans="1:14" x14ac:dyDescent="0.25">
      <c r="A5558" s="19" t="s">
        <v>5672</v>
      </c>
      <c r="B5558" s="33">
        <v>46067.58194444445</v>
      </c>
      <c r="C5558" s="33">
        <v>46070.35277777778</v>
      </c>
      <c r="D5558" s="19" t="s">
        <v>36</v>
      </c>
      <c r="E5558" s="19" t="s">
        <v>65</v>
      </c>
      <c r="F5558" s="19" t="s">
        <v>37</v>
      </c>
      <c r="G5558" s="19" t="s">
        <v>116</v>
      </c>
      <c r="H5558" s="19" t="s">
        <v>59</v>
      </c>
      <c r="I5558" s="19" t="s">
        <v>123</v>
      </c>
      <c r="J5558" s="20">
        <v>48</v>
      </c>
      <c r="K5558" s="34">
        <v>0</v>
      </c>
      <c r="L5558" s="34">
        <v>4</v>
      </c>
      <c r="M5558" s="19">
        <f>IF(OR(ISBLANK(C5558),C5558=""),"",ROUND((C5558-B5558)*24,2))</f>
        <v>66.5</v>
      </c>
      <c r="N5558" s="39" t="str">
        <f>IF(OR(ISBLANK(C5558),C5558="",M5558=""),"In Progress",IF(M5558&lt;=J5558,"Met","Breached"))</f>
        <v>Breached</v>
      </c>
    </row>
    <row r="5559" ht="19" customHeight="1" spans="1:14" x14ac:dyDescent="0.25">
      <c r="A5559" s="22" t="s">
        <v>5673</v>
      </c>
      <c r="B5559" s="36">
        <v>45728.82291666667</v>
      </c>
      <c r="D5559" s="22" t="s">
        <v>39</v>
      </c>
      <c r="E5559" s="22" t="s">
        <v>65</v>
      </c>
      <c r="F5559" s="22" t="s">
        <v>34</v>
      </c>
      <c r="G5559" s="22" t="s">
        <v>113</v>
      </c>
      <c r="H5559" s="22" t="s">
        <v>59</v>
      </c>
      <c r="I5559" s="22" t="s">
        <v>111</v>
      </c>
      <c r="J5559" s="23">
        <v>48</v>
      </c>
      <c r="K5559" s="37">
        <v>0</v>
      </c>
      <c r="M5559" s="22" t="str">
        <f>IF(OR(ISBLANK(C5559),C5559=""),"",ROUND((C5559-B5559)*24,2))</f>
        <v/>
      </c>
      <c r="N5559" s="22" t="str">
        <f>IF(OR(ISBLANK(C5559),C5559="",M5559=""),"In Progress",IF(M5559&lt;=J5559,"Met","Breached"))</f>
        <v>In Progress</v>
      </c>
    </row>
    <row r="5560" ht="19" customHeight="1" spans="1:14" x14ac:dyDescent="0.25">
      <c r="A5560" s="19" t="s">
        <v>5674</v>
      </c>
      <c r="B5560" s="33">
        <v>45737.325</v>
      </c>
      <c r="C5560" s="33">
        <v>45738.148611111115</v>
      </c>
      <c r="D5560" s="19" t="s">
        <v>36</v>
      </c>
      <c r="E5560" s="19" t="s">
        <v>61</v>
      </c>
      <c r="F5560" s="19" t="s">
        <v>34</v>
      </c>
      <c r="G5560" s="19" t="s">
        <v>121</v>
      </c>
      <c r="H5560" s="19" t="s">
        <v>63</v>
      </c>
      <c r="I5560" s="19" t="s">
        <v>123</v>
      </c>
      <c r="J5560" s="20">
        <v>12</v>
      </c>
      <c r="K5560" s="34">
        <v>1</v>
      </c>
      <c r="L5560" s="34">
        <v>4</v>
      </c>
      <c r="M5560" s="19">
        <f>IF(OR(ISBLANK(C5560),C5560=""),"",ROUND((C5560-B5560)*24,2))</f>
        <v>19.77</v>
      </c>
      <c r="N5560" s="39" t="str">
        <f>IF(OR(ISBLANK(C5560),C5560="",M5560=""),"In Progress",IF(M5560&lt;=J5560,"Met","Breached"))</f>
        <v>Breached</v>
      </c>
    </row>
    <row r="5561" ht="19" customHeight="1" spans="1:14" x14ac:dyDescent="0.25">
      <c r="A5561" s="22" t="s">
        <v>5675</v>
      </c>
      <c r="B5561" s="36">
        <v>46253.39027777778</v>
      </c>
      <c r="D5561" s="22" t="s">
        <v>39</v>
      </c>
      <c r="E5561" s="22" t="s">
        <v>65</v>
      </c>
      <c r="F5561" s="22" t="s">
        <v>34</v>
      </c>
      <c r="G5561" s="22" t="s">
        <v>110</v>
      </c>
      <c r="H5561" s="22" t="s">
        <v>63</v>
      </c>
      <c r="I5561" s="22" t="s">
        <v>114</v>
      </c>
      <c r="J5561" s="23">
        <v>48</v>
      </c>
      <c r="K5561" s="37">
        <v>0</v>
      </c>
      <c r="M5561" s="22" t="str">
        <f>IF(OR(ISBLANK(C5561),C5561=""),"",ROUND((C5561-B5561)*24,2))</f>
        <v/>
      </c>
      <c r="N5561" s="22" t="str">
        <f>IF(OR(ISBLANK(C5561),C5561="",M5561=""),"In Progress",IF(M5561&lt;=J5561,"Met","Breached"))</f>
        <v>In Progress</v>
      </c>
    </row>
    <row r="5562" ht="19" customHeight="1" spans="1:14" x14ac:dyDescent="0.25">
      <c r="A5562" s="19" t="s">
        <v>5676</v>
      </c>
      <c r="B5562" s="33">
        <v>45850.353472222225</v>
      </c>
      <c r="C5562" s="33">
        <v>45850.663194444445</v>
      </c>
      <c r="D5562" s="19" t="s">
        <v>36</v>
      </c>
      <c r="E5562" s="19" t="s">
        <v>61</v>
      </c>
      <c r="F5562" s="19" t="s">
        <v>34</v>
      </c>
      <c r="G5562" s="19" t="s">
        <v>116</v>
      </c>
      <c r="H5562" s="19" t="s">
        <v>67</v>
      </c>
      <c r="I5562" s="19" t="s">
        <v>117</v>
      </c>
      <c r="J5562" s="20">
        <v>12</v>
      </c>
      <c r="K5562" s="34">
        <v>0</v>
      </c>
      <c r="L5562" s="34">
        <v>5</v>
      </c>
      <c r="M5562" s="19">
        <f>IF(OR(ISBLANK(C5562),C5562=""),"",ROUND((C5562-B5562)*24,2))</f>
        <v>7.43</v>
      </c>
      <c r="N5562" s="35" t="str">
        <f>IF(OR(ISBLANK(C5562),C5562="",M5562=""),"In Progress",IF(M5562&lt;=J5562,"Met","Breached"))</f>
        <v>Met</v>
      </c>
    </row>
    <row r="5563" ht="19" customHeight="1" spans="1:14" x14ac:dyDescent="0.25">
      <c r="A5563" s="22" t="s">
        <v>5677</v>
      </c>
      <c r="B5563" s="36">
        <v>45778.475694444445</v>
      </c>
      <c r="C5563" s="36">
        <v>45778.85277777778</v>
      </c>
      <c r="D5563" s="22" t="s">
        <v>33</v>
      </c>
      <c r="E5563" s="22" t="s">
        <v>61</v>
      </c>
      <c r="F5563" s="22" t="s">
        <v>34</v>
      </c>
      <c r="G5563" s="22" t="s">
        <v>126</v>
      </c>
      <c r="H5563" s="22" t="s">
        <v>63</v>
      </c>
      <c r="I5563" s="22" t="s">
        <v>123</v>
      </c>
      <c r="J5563" s="23">
        <v>12</v>
      </c>
      <c r="K5563" s="37">
        <v>0</v>
      </c>
      <c r="M5563" s="22">
        <f>IF(OR(ISBLANK(C5563),C5563=""),"",ROUND((C5563-B5563)*24,2))</f>
        <v>9.05</v>
      </c>
      <c r="N5563" s="40" t="str">
        <f>IF(OR(ISBLANK(C5563),C5563="",M5563=""),"In Progress",IF(M5563&lt;=J5563,"Met","Breached"))</f>
        <v>Met</v>
      </c>
    </row>
    <row r="5564" ht="19" customHeight="1" spans="1:14" x14ac:dyDescent="0.25">
      <c r="A5564" s="19" t="s">
        <v>5678</v>
      </c>
      <c r="B5564" s="33">
        <v>46220.16527777778</v>
      </c>
      <c r="C5564" s="33">
        <v>46221.430555555555</v>
      </c>
      <c r="D5564" s="19" t="s">
        <v>33</v>
      </c>
      <c r="E5564" s="19" t="s">
        <v>65</v>
      </c>
      <c r="F5564" s="19" t="s">
        <v>40</v>
      </c>
      <c r="G5564" s="19" t="s">
        <v>116</v>
      </c>
      <c r="H5564" s="19" t="s">
        <v>63</v>
      </c>
      <c r="I5564" s="19" t="s">
        <v>117</v>
      </c>
      <c r="J5564" s="20">
        <v>48</v>
      </c>
      <c r="K5564" s="34">
        <v>0</v>
      </c>
      <c r="L5564" s="34">
        <v>4</v>
      </c>
      <c r="M5564" s="19">
        <f>IF(OR(ISBLANK(C5564),C5564=""),"",ROUND((C5564-B5564)*24,2))</f>
        <v>30.37</v>
      </c>
      <c r="N5564" s="35" t="str">
        <f>IF(OR(ISBLANK(C5564),C5564="",M5564=""),"In Progress",IF(M5564&lt;=J5564,"Met","Breached"))</f>
        <v>Met</v>
      </c>
    </row>
    <row r="5565" ht="19" customHeight="1" spans="1:14" x14ac:dyDescent="0.25">
      <c r="A5565" s="22" t="s">
        <v>5679</v>
      </c>
      <c r="B5565" s="36">
        <v>46071.11944444444</v>
      </c>
      <c r="C5565" s="36">
        <v>46071.8125</v>
      </c>
      <c r="D5565" s="22" t="s">
        <v>33</v>
      </c>
      <c r="E5565" s="22" t="s">
        <v>61</v>
      </c>
      <c r="F5565" s="22" t="s">
        <v>34</v>
      </c>
      <c r="G5565" s="22" t="s">
        <v>63</v>
      </c>
      <c r="H5565" s="22" t="s">
        <v>59</v>
      </c>
      <c r="I5565" s="22" t="s">
        <v>147</v>
      </c>
      <c r="J5565" s="23">
        <v>12</v>
      </c>
      <c r="K5565" s="37">
        <v>0</v>
      </c>
      <c r="L5565" s="37">
        <v>4</v>
      </c>
      <c r="M5565" s="22">
        <f>IF(OR(ISBLANK(C5565),C5565=""),"",ROUND((C5565-B5565)*24,2))</f>
        <v>16.63</v>
      </c>
      <c r="N5565" s="38" t="str">
        <f>IF(OR(ISBLANK(C5565),C5565="",M5565=""),"In Progress",IF(M5565&lt;=J5565,"Met","Breached"))</f>
        <v>Breached</v>
      </c>
    </row>
    <row r="5566" ht="19" customHeight="1" spans="1:14" x14ac:dyDescent="0.25">
      <c r="A5566" s="19" t="s">
        <v>5680</v>
      </c>
      <c r="B5566" s="33">
        <v>45721.07083333333</v>
      </c>
      <c r="C5566" s="33">
        <v>45722.41805555555</v>
      </c>
      <c r="D5566" s="19" t="s">
        <v>33</v>
      </c>
      <c r="E5566" s="19" t="s">
        <v>65</v>
      </c>
      <c r="F5566" s="19" t="s">
        <v>40</v>
      </c>
      <c r="G5566" s="19" t="s">
        <v>63</v>
      </c>
      <c r="H5566" s="19" t="s">
        <v>63</v>
      </c>
      <c r="I5566" s="19" t="s">
        <v>114</v>
      </c>
      <c r="J5566" s="20">
        <v>48</v>
      </c>
      <c r="K5566" s="34">
        <v>0</v>
      </c>
      <c r="L5566" s="34">
        <v>2</v>
      </c>
      <c r="M5566" s="19">
        <f>IF(OR(ISBLANK(C5566),C5566=""),"",ROUND((C5566-B5566)*24,2))</f>
        <v>32.33</v>
      </c>
      <c r="N5566" s="35" t="str">
        <f>IF(OR(ISBLANK(C5566),C5566="",M5566=""),"In Progress",IF(M5566&lt;=J5566,"Met","Breached"))</f>
        <v>Met</v>
      </c>
    </row>
    <row r="5567" ht="19" customHeight="1" spans="1:14" x14ac:dyDescent="0.25">
      <c r="A5567" s="22" t="s">
        <v>5681</v>
      </c>
      <c r="B5567" s="36">
        <v>46045.79027777778</v>
      </c>
      <c r="C5567" s="36">
        <v>46047.47013888889</v>
      </c>
      <c r="D5567" s="22" t="s">
        <v>33</v>
      </c>
      <c r="E5567" s="22" t="s">
        <v>69</v>
      </c>
      <c r="F5567" s="22" t="s">
        <v>37</v>
      </c>
      <c r="G5567" s="22" t="s">
        <v>63</v>
      </c>
      <c r="H5567" s="22" t="s">
        <v>59</v>
      </c>
      <c r="I5567" s="22" t="s">
        <v>108</v>
      </c>
      <c r="J5567" s="23">
        <v>120</v>
      </c>
      <c r="K5567" s="37">
        <v>0</v>
      </c>
      <c r="M5567" s="22">
        <f>IF(OR(ISBLANK(C5567),C5567=""),"",ROUND((C5567-B5567)*24,2))</f>
        <v>40.32</v>
      </c>
      <c r="N5567" s="40" t="str">
        <f>IF(OR(ISBLANK(C5567),C5567="",M5567=""),"In Progress",IF(M5567&lt;=J5567,"Met","Breached"))</f>
        <v>Met</v>
      </c>
    </row>
    <row r="5568" ht="19" customHeight="1" spans="1:14" x14ac:dyDescent="0.25">
      <c r="A5568" s="19" t="s">
        <v>5682</v>
      </c>
      <c r="B5568" s="33">
        <v>45721.65416666667</v>
      </c>
      <c r="D5568" s="19" t="s">
        <v>39</v>
      </c>
      <c r="E5568" s="19" t="s">
        <v>65</v>
      </c>
      <c r="F5568" s="19" t="s">
        <v>37</v>
      </c>
      <c r="G5568" s="19" t="s">
        <v>116</v>
      </c>
      <c r="H5568" s="19" t="s">
        <v>67</v>
      </c>
      <c r="I5568" s="19" t="s">
        <v>114</v>
      </c>
      <c r="J5568" s="20">
        <v>48</v>
      </c>
      <c r="K5568" s="34">
        <v>0</v>
      </c>
      <c r="M5568" s="19" t="str">
        <f>IF(OR(ISBLANK(C5568),C5568=""),"",ROUND((C5568-B5568)*24,2))</f>
        <v/>
      </c>
      <c r="N5568" s="19" t="str">
        <f>IF(OR(ISBLANK(C5568),C5568="",M5568=""),"In Progress",IF(M5568&lt;=J5568,"Met","Breached"))</f>
        <v>In Progress</v>
      </c>
    </row>
    <row r="5569" ht="19" customHeight="1" spans="1:14" x14ac:dyDescent="0.25">
      <c r="A5569" s="22" t="s">
        <v>5683</v>
      </c>
      <c r="B5569" s="36">
        <v>46167.65</v>
      </c>
      <c r="C5569" s="36">
        <v>46170.98611111111</v>
      </c>
      <c r="D5569" s="22" t="s">
        <v>33</v>
      </c>
      <c r="E5569" s="22" t="s">
        <v>65</v>
      </c>
      <c r="F5569" s="22" t="s">
        <v>45</v>
      </c>
      <c r="G5569" s="22" t="s">
        <v>113</v>
      </c>
      <c r="H5569" s="22" t="s">
        <v>59</v>
      </c>
      <c r="I5569" s="22" t="s">
        <v>108</v>
      </c>
      <c r="J5569" s="23">
        <v>48</v>
      </c>
      <c r="K5569" s="37">
        <v>0</v>
      </c>
      <c r="L5569" s="37">
        <v>4</v>
      </c>
      <c r="M5569" s="22">
        <f>IF(OR(ISBLANK(C5569),C5569=""),"",ROUND((C5569-B5569)*24,2))</f>
        <v>80.07</v>
      </c>
      <c r="N5569" s="38" t="str">
        <f>IF(OR(ISBLANK(C5569),C5569="",M5569=""),"In Progress",IF(M5569&lt;=J5569,"Met","Breached"))</f>
        <v>Breached</v>
      </c>
    </row>
    <row r="5570" ht="19" customHeight="1" spans="1:14" x14ac:dyDescent="0.25">
      <c r="A5570" s="19" t="s">
        <v>5684</v>
      </c>
      <c r="B5570" s="33">
        <v>45802.44305555556</v>
      </c>
      <c r="C5570" s="33">
        <v>45803.24722222222</v>
      </c>
      <c r="D5570" s="19" t="s">
        <v>33</v>
      </c>
      <c r="E5570" s="19" t="s">
        <v>61</v>
      </c>
      <c r="F5570" s="19" t="s">
        <v>45</v>
      </c>
      <c r="G5570" s="19" t="s">
        <v>110</v>
      </c>
      <c r="H5570" s="19" t="s">
        <v>59</v>
      </c>
      <c r="I5570" s="19" t="s">
        <v>117</v>
      </c>
      <c r="J5570" s="20">
        <v>12</v>
      </c>
      <c r="K5570" s="34">
        <v>1</v>
      </c>
      <c r="L5570" s="34">
        <v>1</v>
      </c>
      <c r="M5570" s="19">
        <f>IF(OR(ISBLANK(C5570),C5570=""),"",ROUND((C5570-B5570)*24,2))</f>
        <v>19.3</v>
      </c>
      <c r="N5570" s="39" t="str">
        <f>IF(OR(ISBLANK(C5570),C5570="",M5570=""),"In Progress",IF(M5570&lt;=J5570,"Met","Breached"))</f>
        <v>Breached</v>
      </c>
    </row>
    <row r="5571" ht="19" customHeight="1" spans="1:14" x14ac:dyDescent="0.25">
      <c r="A5571" s="22" t="s">
        <v>5685</v>
      </c>
      <c r="B5571" s="36">
        <v>45698.71875</v>
      </c>
      <c r="D5571" s="22" t="s">
        <v>39</v>
      </c>
      <c r="E5571" s="22" t="s">
        <v>69</v>
      </c>
      <c r="F5571" s="22" t="s">
        <v>37</v>
      </c>
      <c r="G5571" s="22" t="s">
        <v>116</v>
      </c>
      <c r="H5571" s="22" t="s">
        <v>63</v>
      </c>
      <c r="I5571" s="22" t="s">
        <v>111</v>
      </c>
      <c r="J5571" s="23">
        <v>120</v>
      </c>
      <c r="K5571" s="37">
        <v>0</v>
      </c>
      <c r="M5571" s="22" t="str">
        <f>IF(OR(ISBLANK(C5571),C5571=""),"",ROUND((C5571-B5571)*24,2))</f>
        <v/>
      </c>
      <c r="N5571" s="22" t="str">
        <f>IF(OR(ISBLANK(C5571),C5571="",M5571=""),"In Progress",IF(M5571&lt;=J5571,"Met","Breached"))</f>
        <v>In Progress</v>
      </c>
    </row>
    <row r="5572" ht="19" customHeight="1" spans="1:14" x14ac:dyDescent="0.25">
      <c r="A5572" s="19" t="s">
        <v>5686</v>
      </c>
      <c r="B5572" s="33">
        <v>46101.018055555556</v>
      </c>
      <c r="C5572" s="33">
        <v>46103.74861111111</v>
      </c>
      <c r="D5572" s="19" t="s">
        <v>36</v>
      </c>
      <c r="E5572" s="19" t="s">
        <v>69</v>
      </c>
      <c r="F5572" s="19" t="s">
        <v>40</v>
      </c>
      <c r="G5572" s="19" t="s">
        <v>110</v>
      </c>
      <c r="H5572" s="19" t="s">
        <v>71</v>
      </c>
      <c r="I5572" s="19" t="s">
        <v>123</v>
      </c>
      <c r="J5572" s="20">
        <v>120</v>
      </c>
      <c r="K5572" s="34">
        <v>0</v>
      </c>
      <c r="L5572" s="34">
        <v>1</v>
      </c>
      <c r="M5572" s="19">
        <f>IF(OR(ISBLANK(C5572),C5572=""),"",ROUND((C5572-B5572)*24,2))</f>
        <v>65.53</v>
      </c>
      <c r="N5572" s="35" t="str">
        <f>IF(OR(ISBLANK(C5572),C5572="",M5572=""),"In Progress",IF(M5572&lt;=J5572,"Met","Breached"))</f>
        <v>Met</v>
      </c>
    </row>
    <row r="5573" ht="19" customHeight="1" spans="1:14" x14ac:dyDescent="0.25">
      <c r="A5573" s="22" t="s">
        <v>5687</v>
      </c>
      <c r="B5573" s="36">
        <v>46241.194444444445</v>
      </c>
      <c r="C5573" s="36">
        <v>46243.09722222222</v>
      </c>
      <c r="D5573" s="22" t="s">
        <v>36</v>
      </c>
      <c r="E5573" s="22" t="s">
        <v>65</v>
      </c>
      <c r="F5573" s="22" t="s">
        <v>45</v>
      </c>
      <c r="G5573" s="22" t="s">
        <v>116</v>
      </c>
      <c r="H5573" s="22" t="s">
        <v>59</v>
      </c>
      <c r="I5573" s="22" t="s">
        <v>108</v>
      </c>
      <c r="J5573" s="23">
        <v>48</v>
      </c>
      <c r="K5573" s="37">
        <v>0</v>
      </c>
      <c r="L5573" s="37">
        <v>4</v>
      </c>
      <c r="M5573" s="22">
        <f>IF(OR(ISBLANK(C5573),C5573=""),"",ROUND((C5573-B5573)*24,2))</f>
        <v>45.67</v>
      </c>
      <c r="N5573" s="40" t="str">
        <f>IF(OR(ISBLANK(C5573),C5573="",M5573=""),"In Progress",IF(M5573&lt;=J5573,"Met","Breached"))</f>
        <v>Met</v>
      </c>
    </row>
    <row r="5574" ht="19" customHeight="1" spans="1:14" x14ac:dyDescent="0.25">
      <c r="A5574" s="19" t="s">
        <v>5688</v>
      </c>
      <c r="B5574" s="33">
        <v>46238.23958333333</v>
      </c>
      <c r="D5574" s="19" t="s">
        <v>42</v>
      </c>
      <c r="E5574" s="19" t="s">
        <v>65</v>
      </c>
      <c r="F5574" s="19" t="s">
        <v>40</v>
      </c>
      <c r="G5574" s="19" t="s">
        <v>110</v>
      </c>
      <c r="H5574" s="19" t="s">
        <v>71</v>
      </c>
      <c r="I5574" s="19" t="s">
        <v>123</v>
      </c>
      <c r="J5574" s="20">
        <v>48</v>
      </c>
      <c r="K5574" s="34">
        <v>0</v>
      </c>
      <c r="M5574" s="19" t="str">
        <f>IF(OR(ISBLANK(C5574),C5574=""),"",ROUND((C5574-B5574)*24,2))</f>
        <v/>
      </c>
      <c r="N5574" s="19" t="str">
        <f>IF(OR(ISBLANK(C5574),C5574="",M5574=""),"In Progress",IF(M5574&lt;=J5574,"Met","Breached"))</f>
        <v>In Progress</v>
      </c>
    </row>
    <row r="5575" ht="19" customHeight="1" spans="1:14" x14ac:dyDescent="0.25">
      <c r="A5575" s="22" t="s">
        <v>5689</v>
      </c>
      <c r="B5575" s="36">
        <v>46170.47013888889</v>
      </c>
      <c r="C5575" s="36">
        <v>46172.39027777778</v>
      </c>
      <c r="D5575" s="22" t="s">
        <v>33</v>
      </c>
      <c r="E5575" s="22" t="s">
        <v>65</v>
      </c>
      <c r="F5575" s="22" t="s">
        <v>45</v>
      </c>
      <c r="G5575" s="22" t="s">
        <v>63</v>
      </c>
      <c r="H5575" s="22" t="s">
        <v>71</v>
      </c>
      <c r="I5575" s="22" t="s">
        <v>147</v>
      </c>
      <c r="J5575" s="23">
        <v>48</v>
      </c>
      <c r="K5575" s="37">
        <v>0</v>
      </c>
      <c r="L5575" s="37">
        <v>2</v>
      </c>
      <c r="M5575" s="22">
        <f>IF(OR(ISBLANK(C5575),C5575=""),"",ROUND((C5575-B5575)*24,2))</f>
        <v>46.08</v>
      </c>
      <c r="N5575" s="40" t="str">
        <f>IF(OR(ISBLANK(C5575),C5575="",M5575=""),"In Progress",IF(M5575&lt;=J5575,"Met","Breached"))</f>
        <v>Met</v>
      </c>
    </row>
    <row r="5576" ht="19" customHeight="1" spans="1:14" x14ac:dyDescent="0.25">
      <c r="A5576" s="19" t="s">
        <v>5690</v>
      </c>
      <c r="B5576" s="33">
        <v>46121.11944444444</v>
      </c>
      <c r="C5576" s="33">
        <v>46122.978472222225</v>
      </c>
      <c r="D5576" s="19" t="s">
        <v>33</v>
      </c>
      <c r="E5576" s="19" t="s">
        <v>65</v>
      </c>
      <c r="F5576" s="19" t="s">
        <v>34</v>
      </c>
      <c r="G5576" s="19" t="s">
        <v>121</v>
      </c>
      <c r="H5576" s="19" t="s">
        <v>59</v>
      </c>
      <c r="I5576" s="19" t="s">
        <v>111</v>
      </c>
      <c r="J5576" s="20">
        <v>48</v>
      </c>
      <c r="K5576" s="34">
        <v>0</v>
      </c>
      <c r="L5576" s="34">
        <v>2</v>
      </c>
      <c r="M5576" s="19">
        <f>IF(OR(ISBLANK(C5576),C5576=""),"",ROUND((C5576-B5576)*24,2))</f>
        <v>44.62</v>
      </c>
      <c r="N5576" s="35" t="str">
        <f>IF(OR(ISBLANK(C5576),C5576="",M5576=""),"In Progress",IF(M5576&lt;=J5576,"Met","Breached"))</f>
        <v>Met</v>
      </c>
    </row>
    <row r="5577" ht="19" customHeight="1" spans="1:14" x14ac:dyDescent="0.25">
      <c r="A5577" s="22" t="s">
        <v>5691</v>
      </c>
      <c r="B5577" s="36">
        <v>45817.16805555555</v>
      </c>
      <c r="D5577" s="22" t="s">
        <v>39</v>
      </c>
      <c r="E5577" s="22" t="s">
        <v>69</v>
      </c>
      <c r="F5577" s="22" t="s">
        <v>45</v>
      </c>
      <c r="G5577" s="22" t="s">
        <v>121</v>
      </c>
      <c r="H5577" s="22" t="s">
        <v>63</v>
      </c>
      <c r="I5577" s="22" t="s">
        <v>108</v>
      </c>
      <c r="J5577" s="23">
        <v>120</v>
      </c>
      <c r="K5577" s="37">
        <v>0</v>
      </c>
      <c r="M5577" s="22" t="str">
        <f>IF(OR(ISBLANK(C5577),C5577=""),"",ROUND((C5577-B5577)*24,2))</f>
        <v/>
      </c>
      <c r="N5577" s="22" t="str">
        <f>IF(OR(ISBLANK(C5577),C5577="",M5577=""),"In Progress",IF(M5577&lt;=J5577,"Met","Breached"))</f>
        <v>In Progress</v>
      </c>
    </row>
    <row r="5578" ht="19" customHeight="1" spans="1:14" x14ac:dyDescent="0.25">
      <c r="A5578" s="19" t="s">
        <v>5692</v>
      </c>
      <c r="B5578" s="33">
        <v>45828.183333333334</v>
      </c>
      <c r="D5578" s="19" t="s">
        <v>39</v>
      </c>
      <c r="E5578" s="19" t="s">
        <v>61</v>
      </c>
      <c r="F5578" s="19" t="s">
        <v>40</v>
      </c>
      <c r="G5578" s="19" t="s">
        <v>126</v>
      </c>
      <c r="H5578" s="19" t="s">
        <v>67</v>
      </c>
      <c r="I5578" s="19" t="s">
        <v>147</v>
      </c>
      <c r="J5578" s="20">
        <v>12</v>
      </c>
      <c r="K5578" s="34">
        <v>0</v>
      </c>
      <c r="M5578" s="19" t="str">
        <f>IF(OR(ISBLANK(C5578),C5578=""),"",ROUND((C5578-B5578)*24,2))</f>
        <v/>
      </c>
      <c r="N5578" s="19" t="str">
        <f>IF(OR(ISBLANK(C5578),C5578="",M5578=""),"In Progress",IF(M5578&lt;=J5578,"Met","Breached"))</f>
        <v>In Progress</v>
      </c>
    </row>
    <row r="5579" ht="19" customHeight="1" spans="1:14" x14ac:dyDescent="0.25">
      <c r="A5579" s="22" t="s">
        <v>5693</v>
      </c>
      <c r="B5579" s="36">
        <v>45707.52569444444</v>
      </c>
      <c r="C5579" s="36">
        <v>45708.163194444445</v>
      </c>
      <c r="D5579" s="22" t="s">
        <v>33</v>
      </c>
      <c r="E5579" s="22" t="s">
        <v>61</v>
      </c>
      <c r="F5579" s="22" t="s">
        <v>40</v>
      </c>
      <c r="G5579" s="22" t="s">
        <v>110</v>
      </c>
      <c r="H5579" s="22" t="s">
        <v>59</v>
      </c>
      <c r="I5579" s="22" t="s">
        <v>147</v>
      </c>
      <c r="J5579" s="23">
        <v>12</v>
      </c>
      <c r="K5579" s="37">
        <v>0</v>
      </c>
      <c r="L5579" s="37">
        <v>5</v>
      </c>
      <c r="M5579" s="22">
        <f>IF(OR(ISBLANK(C5579),C5579=""),"",ROUND((C5579-B5579)*24,2))</f>
        <v>15.3</v>
      </c>
      <c r="N5579" s="38" t="str">
        <f>IF(OR(ISBLANK(C5579),C5579="",M5579=""),"In Progress",IF(M5579&lt;=J5579,"Met","Breached"))</f>
        <v>Breached</v>
      </c>
    </row>
    <row r="5580" ht="19" customHeight="1" spans="1:14" x14ac:dyDescent="0.25">
      <c r="A5580" s="19" t="s">
        <v>5694</v>
      </c>
      <c r="B5580" s="33">
        <v>46045.57361111111</v>
      </c>
      <c r="C5580" s="33">
        <v>46047.60902777778</v>
      </c>
      <c r="D5580" s="19" t="s">
        <v>36</v>
      </c>
      <c r="E5580" s="19" t="s">
        <v>65</v>
      </c>
      <c r="F5580" s="19" t="s">
        <v>34</v>
      </c>
      <c r="G5580" s="19" t="s">
        <v>110</v>
      </c>
      <c r="H5580" s="19" t="s">
        <v>59</v>
      </c>
      <c r="I5580" s="19" t="s">
        <v>114</v>
      </c>
      <c r="J5580" s="20">
        <v>48</v>
      </c>
      <c r="K5580" s="34">
        <v>0</v>
      </c>
      <c r="L5580" s="34">
        <v>5</v>
      </c>
      <c r="M5580" s="19">
        <f>IF(OR(ISBLANK(C5580),C5580=""),"",ROUND((C5580-B5580)*24,2))</f>
        <v>48.85</v>
      </c>
      <c r="N5580" s="39" t="str">
        <f>IF(OR(ISBLANK(C5580),C5580="",M5580=""),"In Progress",IF(M5580&lt;=J5580,"Met","Breached"))</f>
        <v>Breached</v>
      </c>
    </row>
    <row r="5581" ht="19" customHeight="1" spans="1:14" x14ac:dyDescent="0.25">
      <c r="A5581" s="22" t="s">
        <v>5695</v>
      </c>
      <c r="B5581" s="36">
        <v>46281.90694444445</v>
      </c>
      <c r="C5581" s="36">
        <v>46285.13680555555</v>
      </c>
      <c r="D5581" s="22" t="s">
        <v>33</v>
      </c>
      <c r="E5581" s="22" t="s">
        <v>65</v>
      </c>
      <c r="F5581" s="22" t="s">
        <v>45</v>
      </c>
      <c r="G5581" s="22" t="s">
        <v>126</v>
      </c>
      <c r="H5581" s="22" t="s">
        <v>63</v>
      </c>
      <c r="I5581" s="22" t="s">
        <v>123</v>
      </c>
      <c r="J5581" s="23">
        <v>48</v>
      </c>
      <c r="K5581" s="37">
        <v>0</v>
      </c>
      <c r="L5581" s="37">
        <v>2</v>
      </c>
      <c r="M5581" s="22">
        <f>IF(OR(ISBLANK(C5581),C5581=""),"",ROUND((C5581-B5581)*24,2))</f>
        <v>77.52</v>
      </c>
      <c r="N5581" s="38" t="str">
        <f>IF(OR(ISBLANK(C5581),C5581="",M5581=""),"In Progress",IF(M5581&lt;=J5581,"Met","Breached"))</f>
        <v>Breached</v>
      </c>
    </row>
    <row r="5582" ht="19" customHeight="1" spans="1:14" x14ac:dyDescent="0.25">
      <c r="A5582" s="19" t="s">
        <v>5696</v>
      </c>
      <c r="B5582" s="33">
        <v>45729.660416666666</v>
      </c>
      <c r="C5582" s="33">
        <v>45730.399305555555</v>
      </c>
      <c r="D5582" s="19" t="s">
        <v>36</v>
      </c>
      <c r="E5582" s="19" t="s">
        <v>61</v>
      </c>
      <c r="F5582" s="19" t="s">
        <v>43</v>
      </c>
      <c r="G5582" s="19" t="s">
        <v>126</v>
      </c>
      <c r="H5582" s="19" t="s">
        <v>59</v>
      </c>
      <c r="I5582" s="19" t="s">
        <v>147</v>
      </c>
      <c r="J5582" s="20">
        <v>12</v>
      </c>
      <c r="K5582" s="34">
        <v>0</v>
      </c>
      <c r="L5582" s="34">
        <v>1</v>
      </c>
      <c r="M5582" s="19">
        <f>IF(OR(ISBLANK(C5582),C5582=""),"",ROUND((C5582-B5582)*24,2))</f>
        <v>17.73</v>
      </c>
      <c r="N5582" s="39" t="str">
        <f>IF(OR(ISBLANK(C5582),C5582="",M5582=""),"In Progress",IF(M5582&lt;=J5582,"Met","Breached"))</f>
        <v>Breached</v>
      </c>
    </row>
    <row r="5583" ht="19" customHeight="1" spans="1:14" x14ac:dyDescent="0.25">
      <c r="A5583" s="22" t="s">
        <v>5697</v>
      </c>
      <c r="B5583" s="36">
        <v>45750.74513888889</v>
      </c>
      <c r="C5583" s="36">
        <v>45751.273611111115</v>
      </c>
      <c r="D5583" s="22" t="s">
        <v>36</v>
      </c>
      <c r="E5583" s="22" t="s">
        <v>61</v>
      </c>
      <c r="F5583" s="22" t="s">
        <v>40</v>
      </c>
      <c r="G5583" s="22" t="s">
        <v>63</v>
      </c>
      <c r="H5583" s="22" t="s">
        <v>59</v>
      </c>
      <c r="I5583" s="22" t="s">
        <v>111</v>
      </c>
      <c r="J5583" s="23">
        <v>12</v>
      </c>
      <c r="K5583" s="37">
        <v>0</v>
      </c>
      <c r="L5583" s="37">
        <v>3</v>
      </c>
      <c r="M5583" s="22">
        <f>IF(OR(ISBLANK(C5583),C5583=""),"",ROUND((C5583-B5583)*24,2))</f>
        <v>12.68</v>
      </c>
      <c r="N5583" s="38" t="str">
        <f>IF(OR(ISBLANK(C5583),C5583="",M5583=""),"In Progress",IF(M5583&lt;=J5583,"Met","Breached"))</f>
        <v>Breached</v>
      </c>
    </row>
    <row r="5584" ht="19" customHeight="1" spans="1:14" x14ac:dyDescent="0.25">
      <c r="A5584" s="19" t="s">
        <v>5698</v>
      </c>
      <c r="B5584" s="33">
        <v>46111.55972222222</v>
      </c>
      <c r="C5584" s="33">
        <v>46119.98611111111</v>
      </c>
      <c r="D5584" s="19" t="s">
        <v>33</v>
      </c>
      <c r="E5584" s="19" t="s">
        <v>69</v>
      </c>
      <c r="F5584" s="19" t="s">
        <v>37</v>
      </c>
      <c r="G5584" s="19" t="s">
        <v>126</v>
      </c>
      <c r="H5584" s="19" t="s">
        <v>63</v>
      </c>
      <c r="I5584" s="19" t="s">
        <v>123</v>
      </c>
      <c r="J5584" s="20">
        <v>120</v>
      </c>
      <c r="K5584" s="34">
        <v>0</v>
      </c>
      <c r="L5584" s="34">
        <v>5</v>
      </c>
      <c r="M5584" s="19">
        <f>IF(OR(ISBLANK(C5584),C5584=""),"",ROUND((C5584-B5584)*24,2))</f>
        <v>202.23</v>
      </c>
      <c r="N5584" s="39" t="str">
        <f>IF(OR(ISBLANK(C5584),C5584="",M5584=""),"In Progress",IF(M5584&lt;=J5584,"Met","Breached"))</f>
        <v>Breached</v>
      </c>
    </row>
    <row r="5585" ht="19" customHeight="1" spans="1:14" x14ac:dyDescent="0.25">
      <c r="A5585" s="22" t="s">
        <v>5699</v>
      </c>
      <c r="B5585" s="36">
        <v>46115.78680555556</v>
      </c>
      <c r="C5585" s="36">
        <v>46117.74513888889</v>
      </c>
      <c r="D5585" s="22" t="s">
        <v>36</v>
      </c>
      <c r="E5585" s="22" t="s">
        <v>65</v>
      </c>
      <c r="F5585" s="22" t="s">
        <v>40</v>
      </c>
      <c r="G5585" s="22" t="s">
        <v>121</v>
      </c>
      <c r="H5585" s="22" t="s">
        <v>63</v>
      </c>
      <c r="I5585" s="22" t="s">
        <v>114</v>
      </c>
      <c r="J5585" s="23">
        <v>48</v>
      </c>
      <c r="K5585" s="37">
        <v>0</v>
      </c>
      <c r="L5585" s="37">
        <v>4</v>
      </c>
      <c r="M5585" s="22">
        <f>IF(OR(ISBLANK(C5585),C5585=""),"",ROUND((C5585-B5585)*24,2))</f>
        <v>47</v>
      </c>
      <c r="N5585" s="40" t="str">
        <f>IF(OR(ISBLANK(C5585),C5585="",M5585=""),"In Progress",IF(M5585&lt;=J5585,"Met","Breached"))</f>
        <v>Met</v>
      </c>
    </row>
    <row r="5586" ht="19" customHeight="1" spans="1:14" x14ac:dyDescent="0.25">
      <c r="A5586" s="19" t="s">
        <v>5700</v>
      </c>
      <c r="B5586" s="33">
        <v>45826.353472222225</v>
      </c>
      <c r="C5586" s="33">
        <v>45828.111805555556</v>
      </c>
      <c r="D5586" s="19" t="s">
        <v>33</v>
      </c>
      <c r="E5586" s="19" t="s">
        <v>65</v>
      </c>
      <c r="F5586" s="19" t="s">
        <v>43</v>
      </c>
      <c r="G5586" s="19" t="s">
        <v>116</v>
      </c>
      <c r="H5586" s="19" t="s">
        <v>63</v>
      </c>
      <c r="I5586" s="19" t="s">
        <v>114</v>
      </c>
      <c r="J5586" s="20">
        <v>48</v>
      </c>
      <c r="K5586" s="34">
        <v>0</v>
      </c>
      <c r="L5586" s="34">
        <v>5</v>
      </c>
      <c r="M5586" s="19">
        <f>IF(OR(ISBLANK(C5586),C5586=""),"",ROUND((C5586-B5586)*24,2))</f>
        <v>42.2</v>
      </c>
      <c r="N5586" s="35" t="str">
        <f>IF(OR(ISBLANK(C5586),C5586="",M5586=""),"In Progress",IF(M5586&lt;=J5586,"Met","Breached"))</f>
        <v>Met</v>
      </c>
    </row>
    <row r="5587" ht="19" customHeight="1" spans="1:14" x14ac:dyDescent="0.25">
      <c r="A5587" s="22" t="s">
        <v>5701</v>
      </c>
      <c r="B5587" s="36">
        <v>46275.847916666666</v>
      </c>
      <c r="C5587" s="36">
        <v>46278.97986111111</v>
      </c>
      <c r="D5587" s="22" t="s">
        <v>36</v>
      </c>
      <c r="E5587" s="22" t="s">
        <v>65</v>
      </c>
      <c r="F5587" s="22" t="s">
        <v>34</v>
      </c>
      <c r="G5587" s="22" t="s">
        <v>121</v>
      </c>
      <c r="H5587" s="22" t="s">
        <v>71</v>
      </c>
      <c r="I5587" s="22" t="s">
        <v>108</v>
      </c>
      <c r="J5587" s="23">
        <v>48</v>
      </c>
      <c r="K5587" s="37">
        <v>0</v>
      </c>
      <c r="M5587" s="22">
        <f>IF(OR(ISBLANK(C5587),C5587=""),"",ROUND((C5587-B5587)*24,2))</f>
        <v>75.17</v>
      </c>
      <c r="N5587" s="38" t="str">
        <f>IF(OR(ISBLANK(C5587),C5587="",M5587=""),"In Progress",IF(M5587&lt;=J5587,"Met","Breached"))</f>
        <v>Breached</v>
      </c>
    </row>
    <row r="5588" ht="19" customHeight="1" spans="1:14" x14ac:dyDescent="0.25">
      <c r="A5588" s="19" t="s">
        <v>5702</v>
      </c>
      <c r="B5588" s="33">
        <v>46275.80763888889</v>
      </c>
      <c r="C5588" s="33">
        <v>46278.85972222222</v>
      </c>
      <c r="D5588" s="19" t="s">
        <v>33</v>
      </c>
      <c r="E5588" s="19" t="s">
        <v>69</v>
      </c>
      <c r="F5588" s="19" t="s">
        <v>45</v>
      </c>
      <c r="G5588" s="19" t="s">
        <v>113</v>
      </c>
      <c r="H5588" s="19" t="s">
        <v>59</v>
      </c>
      <c r="I5588" s="19" t="s">
        <v>147</v>
      </c>
      <c r="J5588" s="20">
        <v>120</v>
      </c>
      <c r="K5588" s="34">
        <v>0</v>
      </c>
      <c r="M5588" s="19">
        <f>IF(OR(ISBLANK(C5588),C5588=""),"",ROUND((C5588-B5588)*24,2))</f>
        <v>73.25</v>
      </c>
      <c r="N5588" s="35" t="str">
        <f>IF(OR(ISBLANK(C5588),C5588="",M5588=""),"In Progress",IF(M5588&lt;=J5588,"Met","Breached"))</f>
        <v>Met</v>
      </c>
    </row>
    <row r="5589" ht="19" customHeight="1" spans="1:14" x14ac:dyDescent="0.25">
      <c r="A5589" s="22" t="s">
        <v>5703</v>
      </c>
      <c r="B5589" s="36">
        <v>45702.273611111115</v>
      </c>
      <c r="C5589" s="36">
        <v>45705.21944444445</v>
      </c>
      <c r="D5589" s="22" t="s">
        <v>36</v>
      </c>
      <c r="E5589" s="22" t="s">
        <v>65</v>
      </c>
      <c r="F5589" s="22" t="s">
        <v>45</v>
      </c>
      <c r="G5589" s="22" t="s">
        <v>113</v>
      </c>
      <c r="H5589" s="22" t="s">
        <v>63</v>
      </c>
      <c r="I5589" s="22" t="s">
        <v>108</v>
      </c>
      <c r="J5589" s="23">
        <v>48</v>
      </c>
      <c r="K5589" s="37">
        <v>0</v>
      </c>
      <c r="L5589" s="37">
        <v>5</v>
      </c>
      <c r="M5589" s="22">
        <f>IF(OR(ISBLANK(C5589),C5589=""),"",ROUND((C5589-B5589)*24,2))</f>
        <v>70.7</v>
      </c>
      <c r="N5589" s="38" t="str">
        <f>IF(OR(ISBLANK(C5589),C5589="",M5589=""),"In Progress",IF(M5589&lt;=J5589,"Met","Breached"))</f>
        <v>Breached</v>
      </c>
    </row>
    <row r="5590" ht="19" customHeight="1" spans="1:14" x14ac:dyDescent="0.25">
      <c r="A5590" s="19" t="s">
        <v>5704</v>
      </c>
      <c r="B5590" s="33">
        <v>46118.77083333333</v>
      </c>
      <c r="C5590" s="33">
        <v>46121.64444444445</v>
      </c>
      <c r="D5590" s="19" t="s">
        <v>36</v>
      </c>
      <c r="E5590" s="19" t="s">
        <v>65</v>
      </c>
      <c r="F5590" s="19" t="s">
        <v>45</v>
      </c>
      <c r="G5590" s="19" t="s">
        <v>63</v>
      </c>
      <c r="H5590" s="19" t="s">
        <v>63</v>
      </c>
      <c r="I5590" s="19" t="s">
        <v>108</v>
      </c>
      <c r="J5590" s="20">
        <v>48</v>
      </c>
      <c r="K5590" s="34">
        <v>0</v>
      </c>
      <c r="L5590" s="34">
        <v>1</v>
      </c>
      <c r="M5590" s="19">
        <f>IF(OR(ISBLANK(C5590),C5590=""),"",ROUND((C5590-B5590)*24,2))</f>
        <v>68.97</v>
      </c>
      <c r="N5590" s="39" t="str">
        <f>IF(OR(ISBLANK(C5590),C5590="",M5590=""),"In Progress",IF(M5590&lt;=J5590,"Met","Breached"))</f>
        <v>Breached</v>
      </c>
    </row>
    <row r="5591" ht="19" customHeight="1" spans="1:14" x14ac:dyDescent="0.25">
      <c r="A5591" s="22" t="s">
        <v>5705</v>
      </c>
      <c r="B5591" s="36">
        <v>45822.3625</v>
      </c>
      <c r="C5591" s="36">
        <v>45822.55069444445</v>
      </c>
      <c r="D5591" s="22" t="s">
        <v>33</v>
      </c>
      <c r="E5591" s="22" t="s">
        <v>57</v>
      </c>
      <c r="F5591" s="22" t="s">
        <v>43</v>
      </c>
      <c r="G5591" s="22" t="s">
        <v>116</v>
      </c>
      <c r="H5591" s="22" t="s">
        <v>59</v>
      </c>
      <c r="I5591" s="22" t="s">
        <v>123</v>
      </c>
      <c r="J5591" s="23">
        <v>4</v>
      </c>
      <c r="K5591" s="37">
        <v>0</v>
      </c>
      <c r="L5591" s="37">
        <v>3</v>
      </c>
      <c r="M5591" s="22">
        <f>IF(OR(ISBLANK(C5591),C5591=""),"",ROUND((C5591-B5591)*24,2))</f>
        <v>4.52</v>
      </c>
      <c r="N5591" s="38" t="str">
        <f>IF(OR(ISBLANK(C5591),C5591="",M5591=""),"In Progress",IF(M5591&lt;=J5591,"Met","Breached"))</f>
        <v>Breached</v>
      </c>
    </row>
    <row r="5592" ht="19" customHeight="1" spans="1:14" x14ac:dyDescent="0.25">
      <c r="A5592" s="19" t="s">
        <v>5706</v>
      </c>
      <c r="B5592" s="33">
        <v>46260.495833333334</v>
      </c>
      <c r="C5592" s="33">
        <v>46262.03055555555</v>
      </c>
      <c r="D5592" s="19" t="s">
        <v>36</v>
      </c>
      <c r="E5592" s="19" t="s">
        <v>65</v>
      </c>
      <c r="F5592" s="19" t="s">
        <v>40</v>
      </c>
      <c r="G5592" s="19" t="s">
        <v>113</v>
      </c>
      <c r="H5592" s="19" t="s">
        <v>59</v>
      </c>
      <c r="I5592" s="19" t="s">
        <v>123</v>
      </c>
      <c r="J5592" s="20">
        <v>48</v>
      </c>
      <c r="K5592" s="34">
        <v>0</v>
      </c>
      <c r="M5592" s="19">
        <f>IF(OR(ISBLANK(C5592),C5592=""),"",ROUND((C5592-B5592)*24,2))</f>
        <v>36.83</v>
      </c>
      <c r="N5592" s="35" t="str">
        <f>IF(OR(ISBLANK(C5592),C5592="",M5592=""),"In Progress",IF(M5592&lt;=J5592,"Met","Breached"))</f>
        <v>Met</v>
      </c>
    </row>
    <row r="5593" ht="19" customHeight="1" spans="1:14" x14ac:dyDescent="0.25">
      <c r="A5593" s="22" t="s">
        <v>5707</v>
      </c>
      <c r="B5593" s="36">
        <v>45935.86111111111</v>
      </c>
      <c r="C5593" s="36">
        <v>45941.91180555556</v>
      </c>
      <c r="D5593" s="22" t="s">
        <v>33</v>
      </c>
      <c r="E5593" s="22" t="s">
        <v>69</v>
      </c>
      <c r="F5593" s="22" t="s">
        <v>40</v>
      </c>
      <c r="G5593" s="22" t="s">
        <v>116</v>
      </c>
      <c r="H5593" s="22" t="s">
        <v>71</v>
      </c>
      <c r="I5593" s="22" t="s">
        <v>147</v>
      </c>
      <c r="J5593" s="23">
        <v>120</v>
      </c>
      <c r="K5593" s="37">
        <v>0</v>
      </c>
      <c r="M5593" s="22">
        <f>IF(OR(ISBLANK(C5593),C5593=""),"",ROUND((C5593-B5593)*24,2))</f>
        <v>145.22</v>
      </c>
      <c r="N5593" s="38" t="str">
        <f>IF(OR(ISBLANK(C5593),C5593="",M5593=""),"In Progress",IF(M5593&lt;=J5593,"Met","Breached"))</f>
        <v>Breached</v>
      </c>
    </row>
    <row r="5594" ht="19" customHeight="1" spans="1:14" x14ac:dyDescent="0.25">
      <c r="A5594" s="19" t="s">
        <v>5708</v>
      </c>
      <c r="B5594" s="33">
        <v>46218.91805555555</v>
      </c>
      <c r="C5594" s="33">
        <v>46221.07430555555</v>
      </c>
      <c r="D5594" s="19" t="s">
        <v>36</v>
      </c>
      <c r="E5594" s="19" t="s">
        <v>65</v>
      </c>
      <c r="F5594" s="19" t="s">
        <v>34</v>
      </c>
      <c r="G5594" s="19" t="s">
        <v>126</v>
      </c>
      <c r="H5594" s="19" t="s">
        <v>59</v>
      </c>
      <c r="I5594" s="19" t="s">
        <v>147</v>
      </c>
      <c r="J5594" s="20">
        <v>48</v>
      </c>
      <c r="K5594" s="34">
        <v>1</v>
      </c>
      <c r="L5594" s="34">
        <v>2</v>
      </c>
      <c r="M5594" s="19">
        <f>IF(OR(ISBLANK(C5594),C5594=""),"",ROUND((C5594-B5594)*24,2))</f>
        <v>51.75</v>
      </c>
      <c r="N5594" s="39" t="str">
        <f>IF(OR(ISBLANK(C5594),C5594="",M5594=""),"In Progress",IF(M5594&lt;=J5594,"Met","Breached"))</f>
        <v>Breached</v>
      </c>
    </row>
    <row r="5595" ht="19" customHeight="1" spans="1:14" x14ac:dyDescent="0.25">
      <c r="A5595" s="22" t="s">
        <v>5709</v>
      </c>
      <c r="B5595" s="36">
        <v>46125.21527777778</v>
      </c>
      <c r="D5595" s="22" t="s">
        <v>39</v>
      </c>
      <c r="E5595" s="22" t="s">
        <v>65</v>
      </c>
      <c r="F5595" s="22" t="s">
        <v>43</v>
      </c>
      <c r="G5595" s="22" t="s">
        <v>110</v>
      </c>
      <c r="H5595" s="22" t="s">
        <v>59</v>
      </c>
      <c r="I5595" s="22" t="s">
        <v>117</v>
      </c>
      <c r="J5595" s="23">
        <v>48</v>
      </c>
      <c r="K5595" s="37">
        <v>0</v>
      </c>
      <c r="M5595" s="22" t="str">
        <f>IF(OR(ISBLANK(C5595),C5595=""),"",ROUND((C5595-B5595)*24,2))</f>
        <v/>
      </c>
      <c r="N5595" s="22" t="str">
        <f>IF(OR(ISBLANK(C5595),C5595="",M5595=""),"In Progress",IF(M5595&lt;=J5595,"Met","Breached"))</f>
        <v>In Progress</v>
      </c>
    </row>
    <row r="5596" ht="19" customHeight="1" spans="1:14" x14ac:dyDescent="0.25">
      <c r="A5596" s="19" t="s">
        <v>5710</v>
      </c>
      <c r="B5596" s="33">
        <v>46103.955555555556</v>
      </c>
      <c r="C5596" s="33">
        <v>46105.97083333333</v>
      </c>
      <c r="D5596" s="19" t="s">
        <v>33</v>
      </c>
      <c r="E5596" s="19" t="s">
        <v>65</v>
      </c>
      <c r="F5596" s="19" t="s">
        <v>45</v>
      </c>
      <c r="G5596" s="19" t="s">
        <v>63</v>
      </c>
      <c r="H5596" s="19" t="s">
        <v>63</v>
      </c>
      <c r="I5596" s="19" t="s">
        <v>117</v>
      </c>
      <c r="J5596" s="20">
        <v>48</v>
      </c>
      <c r="K5596" s="34">
        <v>0</v>
      </c>
      <c r="L5596" s="34">
        <v>3</v>
      </c>
      <c r="M5596" s="19">
        <f>IF(OR(ISBLANK(C5596),C5596=""),"",ROUND((C5596-B5596)*24,2))</f>
        <v>48.37</v>
      </c>
      <c r="N5596" s="39" t="str">
        <f>IF(OR(ISBLANK(C5596),C5596="",M5596=""),"In Progress",IF(M5596&lt;=J5596,"Met","Breached"))</f>
        <v>Breached</v>
      </c>
    </row>
    <row r="5597" ht="19" customHeight="1" spans="1:14" x14ac:dyDescent="0.25">
      <c r="A5597" s="22" t="s">
        <v>5711</v>
      </c>
      <c r="B5597" s="36">
        <v>46149.12430555555</v>
      </c>
      <c r="C5597" s="36">
        <v>46151.27083333333</v>
      </c>
      <c r="D5597" s="22" t="s">
        <v>33</v>
      </c>
      <c r="E5597" s="22" t="s">
        <v>65</v>
      </c>
      <c r="F5597" s="22" t="s">
        <v>43</v>
      </c>
      <c r="G5597" s="22" t="s">
        <v>63</v>
      </c>
      <c r="H5597" s="22" t="s">
        <v>67</v>
      </c>
      <c r="I5597" s="22" t="s">
        <v>147</v>
      </c>
      <c r="J5597" s="23">
        <v>48</v>
      </c>
      <c r="K5597" s="37">
        <v>0</v>
      </c>
      <c r="L5597" s="37">
        <v>2</v>
      </c>
      <c r="M5597" s="22">
        <f>IF(OR(ISBLANK(C5597),C5597=""),"",ROUND((C5597-B5597)*24,2))</f>
        <v>51.52</v>
      </c>
      <c r="N5597" s="38" t="str">
        <f>IF(OR(ISBLANK(C5597),C5597="",M5597=""),"In Progress",IF(M5597&lt;=J5597,"Met","Breached"))</f>
        <v>Breached</v>
      </c>
    </row>
    <row r="5598" ht="19" customHeight="1" spans="1:14" x14ac:dyDescent="0.25">
      <c r="A5598" s="19" t="s">
        <v>5712</v>
      </c>
      <c r="B5598" s="33">
        <v>46104.99791666667</v>
      </c>
      <c r="D5598" s="19" t="s">
        <v>42</v>
      </c>
      <c r="E5598" s="19" t="s">
        <v>61</v>
      </c>
      <c r="F5598" s="19" t="s">
        <v>43</v>
      </c>
      <c r="G5598" s="19" t="s">
        <v>116</v>
      </c>
      <c r="H5598" s="19" t="s">
        <v>63</v>
      </c>
      <c r="I5598" s="19" t="s">
        <v>111</v>
      </c>
      <c r="J5598" s="20">
        <v>12</v>
      </c>
      <c r="K5598" s="34">
        <v>0</v>
      </c>
      <c r="M5598" s="19" t="str">
        <f>IF(OR(ISBLANK(C5598),C5598=""),"",ROUND((C5598-B5598)*24,2))</f>
        <v/>
      </c>
      <c r="N5598" s="19" t="str">
        <f>IF(OR(ISBLANK(C5598),C5598="",M5598=""),"In Progress",IF(M5598&lt;=J5598,"Met","Breached"))</f>
        <v>In Progress</v>
      </c>
    </row>
    <row r="5599" ht="19" customHeight="1" spans="1:14" x14ac:dyDescent="0.25">
      <c r="A5599" s="22" t="s">
        <v>5713</v>
      </c>
      <c r="B5599" s="36">
        <v>46016.05694444444</v>
      </c>
      <c r="D5599" s="22" t="s">
        <v>39</v>
      </c>
      <c r="E5599" s="22" t="s">
        <v>61</v>
      </c>
      <c r="F5599" s="22" t="s">
        <v>34</v>
      </c>
      <c r="G5599" s="22" t="s">
        <v>116</v>
      </c>
      <c r="H5599" s="22" t="s">
        <v>67</v>
      </c>
      <c r="I5599" s="22" t="s">
        <v>111</v>
      </c>
      <c r="J5599" s="23">
        <v>12</v>
      </c>
      <c r="K5599" s="37">
        <v>0</v>
      </c>
      <c r="M5599" s="22" t="str">
        <f>IF(OR(ISBLANK(C5599),C5599=""),"",ROUND((C5599-B5599)*24,2))</f>
        <v/>
      </c>
      <c r="N5599" s="22" t="str">
        <f>IF(OR(ISBLANK(C5599),C5599="",M5599=""),"In Progress",IF(M5599&lt;=J5599,"Met","Breached"))</f>
        <v>In Progress</v>
      </c>
    </row>
    <row r="5600" ht="19" customHeight="1" spans="1:14" x14ac:dyDescent="0.25">
      <c r="A5600" s="19" t="s">
        <v>5714</v>
      </c>
      <c r="B5600" s="33">
        <v>46285.46041666667</v>
      </c>
      <c r="C5600" s="33">
        <v>46292.95694444445</v>
      </c>
      <c r="D5600" s="19" t="s">
        <v>33</v>
      </c>
      <c r="E5600" s="19" t="s">
        <v>69</v>
      </c>
      <c r="F5600" s="19" t="s">
        <v>43</v>
      </c>
      <c r="G5600" s="19" t="s">
        <v>110</v>
      </c>
      <c r="H5600" s="19" t="s">
        <v>67</v>
      </c>
      <c r="I5600" s="19" t="s">
        <v>117</v>
      </c>
      <c r="J5600" s="20">
        <v>120</v>
      </c>
      <c r="K5600" s="34">
        <v>0</v>
      </c>
      <c r="L5600" s="34">
        <v>2</v>
      </c>
      <c r="M5600" s="19">
        <f>IF(OR(ISBLANK(C5600),C5600=""),"",ROUND((C5600-B5600)*24,2))</f>
        <v>179.92</v>
      </c>
      <c r="N5600" s="39" t="str">
        <f>IF(OR(ISBLANK(C5600),C5600="",M5600=""),"In Progress",IF(M5600&lt;=J5600,"Met","Breached"))</f>
        <v>Breached</v>
      </c>
    </row>
    <row r="5601" ht="19" customHeight="1" spans="1:14" x14ac:dyDescent="0.25">
      <c r="A5601" s="22" t="s">
        <v>5715</v>
      </c>
      <c r="B5601" s="36">
        <v>45850.56875</v>
      </c>
      <c r="C5601" s="36">
        <v>45854.075</v>
      </c>
      <c r="D5601" s="22" t="s">
        <v>36</v>
      </c>
      <c r="E5601" s="22" t="s">
        <v>65</v>
      </c>
      <c r="F5601" s="22" t="s">
        <v>40</v>
      </c>
      <c r="G5601" s="22" t="s">
        <v>113</v>
      </c>
      <c r="H5601" s="22" t="s">
        <v>63</v>
      </c>
      <c r="I5601" s="22" t="s">
        <v>147</v>
      </c>
      <c r="J5601" s="23">
        <v>48</v>
      </c>
      <c r="K5601" s="37">
        <v>0</v>
      </c>
      <c r="M5601" s="22">
        <f>IF(OR(ISBLANK(C5601),C5601=""),"",ROUND((C5601-B5601)*24,2))</f>
        <v>84.15</v>
      </c>
      <c r="N5601" s="38" t="str">
        <f>IF(OR(ISBLANK(C5601),C5601="",M5601=""),"In Progress",IF(M5601&lt;=J5601,"Met","Breached"))</f>
        <v>Breached</v>
      </c>
    </row>
    <row r="5602" ht="19" customHeight="1" spans="1:14" x14ac:dyDescent="0.25">
      <c r="A5602" s="19" t="s">
        <v>5716</v>
      </c>
      <c r="B5602" s="33">
        <v>45970.97361111111</v>
      </c>
      <c r="C5602" s="33">
        <v>45974.429861111115</v>
      </c>
      <c r="D5602" s="19" t="s">
        <v>36</v>
      </c>
      <c r="E5602" s="19" t="s">
        <v>69</v>
      </c>
      <c r="F5602" s="19" t="s">
        <v>40</v>
      </c>
      <c r="G5602" s="19" t="s">
        <v>113</v>
      </c>
      <c r="H5602" s="19" t="s">
        <v>59</v>
      </c>
      <c r="I5602" s="19" t="s">
        <v>123</v>
      </c>
      <c r="J5602" s="20">
        <v>120</v>
      </c>
      <c r="K5602" s="34">
        <v>0</v>
      </c>
      <c r="L5602" s="34">
        <v>3</v>
      </c>
      <c r="M5602" s="19">
        <f>IF(OR(ISBLANK(C5602),C5602=""),"",ROUND((C5602-B5602)*24,2))</f>
        <v>82.95</v>
      </c>
      <c r="N5602" s="35" t="str">
        <f>IF(OR(ISBLANK(C5602),C5602="",M5602=""),"In Progress",IF(M5602&lt;=J5602,"Met","Breached"))</f>
        <v>Met</v>
      </c>
    </row>
    <row r="5603" ht="19" customHeight="1" spans="1:14" x14ac:dyDescent="0.25">
      <c r="A5603" s="22" t="s">
        <v>5717</v>
      </c>
      <c r="B5603" s="36">
        <v>46262.54722222222</v>
      </c>
      <c r="C5603" s="36">
        <v>46262.80763888889</v>
      </c>
      <c r="D5603" s="22" t="s">
        <v>33</v>
      </c>
      <c r="E5603" s="22" t="s">
        <v>57</v>
      </c>
      <c r="F5603" s="22" t="s">
        <v>34</v>
      </c>
      <c r="G5603" s="22" t="s">
        <v>126</v>
      </c>
      <c r="H5603" s="22" t="s">
        <v>63</v>
      </c>
      <c r="I5603" s="22" t="s">
        <v>111</v>
      </c>
      <c r="J5603" s="23">
        <v>4</v>
      </c>
      <c r="K5603" s="37">
        <v>0</v>
      </c>
      <c r="M5603" s="22">
        <f>IF(OR(ISBLANK(C5603),C5603=""),"",ROUND((C5603-B5603)*24,2))</f>
        <v>6.25</v>
      </c>
      <c r="N5603" s="38" t="str">
        <f>IF(OR(ISBLANK(C5603),C5603="",M5603=""),"In Progress",IF(M5603&lt;=J5603,"Met","Breached"))</f>
        <v>Breached</v>
      </c>
    </row>
    <row r="5604" ht="19" customHeight="1" spans="1:14" x14ac:dyDescent="0.25">
      <c r="A5604" s="19" t="s">
        <v>5718</v>
      </c>
      <c r="B5604" s="33">
        <v>46059.69791666667</v>
      </c>
      <c r="C5604" s="33">
        <v>46065.40416666667</v>
      </c>
      <c r="D5604" s="19" t="s">
        <v>33</v>
      </c>
      <c r="E5604" s="19" t="s">
        <v>69</v>
      </c>
      <c r="F5604" s="19" t="s">
        <v>37</v>
      </c>
      <c r="G5604" s="19" t="s">
        <v>113</v>
      </c>
      <c r="H5604" s="19" t="s">
        <v>63</v>
      </c>
      <c r="I5604" s="19" t="s">
        <v>114</v>
      </c>
      <c r="J5604" s="20">
        <v>120</v>
      </c>
      <c r="K5604" s="34">
        <v>0</v>
      </c>
      <c r="M5604" s="19">
        <f>IF(OR(ISBLANK(C5604),C5604=""),"",ROUND((C5604-B5604)*24,2))</f>
        <v>136.95</v>
      </c>
      <c r="N5604" s="39" t="str">
        <f>IF(OR(ISBLANK(C5604),C5604="",M5604=""),"In Progress",IF(M5604&lt;=J5604,"Met","Breached"))</f>
        <v>Breached</v>
      </c>
    </row>
    <row r="5605" ht="19" customHeight="1" spans="1:14" x14ac:dyDescent="0.25">
      <c r="A5605" s="22" t="s">
        <v>5719</v>
      </c>
      <c r="B5605" s="36">
        <v>45737.13888888889</v>
      </c>
      <c r="C5605" s="36">
        <v>45741.20416666666</v>
      </c>
      <c r="D5605" s="22" t="s">
        <v>36</v>
      </c>
      <c r="E5605" s="22" t="s">
        <v>69</v>
      </c>
      <c r="F5605" s="22" t="s">
        <v>43</v>
      </c>
      <c r="G5605" s="22" t="s">
        <v>63</v>
      </c>
      <c r="H5605" s="22" t="s">
        <v>63</v>
      </c>
      <c r="I5605" s="22" t="s">
        <v>114</v>
      </c>
      <c r="J5605" s="23">
        <v>120</v>
      </c>
      <c r="K5605" s="37">
        <v>0</v>
      </c>
      <c r="L5605" s="37">
        <v>2</v>
      </c>
      <c r="M5605" s="22">
        <f>IF(OR(ISBLANK(C5605),C5605=""),"",ROUND((C5605-B5605)*24,2))</f>
        <v>97.57</v>
      </c>
      <c r="N5605" s="40" t="str">
        <f>IF(OR(ISBLANK(C5605),C5605="",M5605=""),"In Progress",IF(M5605&lt;=J5605,"Met","Breached"))</f>
        <v>Met</v>
      </c>
    </row>
    <row r="5606" ht="19" customHeight="1" spans="1:14" x14ac:dyDescent="0.25">
      <c r="A5606" s="19" t="s">
        <v>5720</v>
      </c>
      <c r="B5606" s="33">
        <v>46020.90138888889</v>
      </c>
      <c r="C5606" s="33">
        <v>46025.75</v>
      </c>
      <c r="D5606" s="19" t="s">
        <v>36</v>
      </c>
      <c r="E5606" s="19" t="s">
        <v>69</v>
      </c>
      <c r="F5606" s="19" t="s">
        <v>43</v>
      </c>
      <c r="G5606" s="19" t="s">
        <v>113</v>
      </c>
      <c r="H5606" s="19" t="s">
        <v>63</v>
      </c>
      <c r="I5606" s="19" t="s">
        <v>117</v>
      </c>
      <c r="J5606" s="20">
        <v>120</v>
      </c>
      <c r="K5606" s="34">
        <v>0</v>
      </c>
      <c r="L5606" s="34">
        <v>4</v>
      </c>
      <c r="M5606" s="19">
        <f>IF(OR(ISBLANK(C5606),C5606=""),"",ROUND((C5606-B5606)*24,2))</f>
        <v>116.37</v>
      </c>
      <c r="N5606" s="35" t="str">
        <f>IF(OR(ISBLANK(C5606),C5606="",M5606=""),"In Progress",IF(M5606&lt;=J5606,"Met","Breached"))</f>
        <v>Met</v>
      </c>
    </row>
    <row r="5607" ht="19" customHeight="1" spans="1:14" x14ac:dyDescent="0.25">
      <c r="A5607" s="22" t="s">
        <v>5721</v>
      </c>
      <c r="B5607" s="36">
        <v>46101.71875</v>
      </c>
      <c r="D5607" s="22" t="s">
        <v>39</v>
      </c>
      <c r="E5607" s="22" t="s">
        <v>65</v>
      </c>
      <c r="F5607" s="22" t="s">
        <v>45</v>
      </c>
      <c r="G5607" s="22" t="s">
        <v>63</v>
      </c>
      <c r="H5607" s="22" t="s">
        <v>59</v>
      </c>
      <c r="I5607" s="22" t="s">
        <v>108</v>
      </c>
      <c r="J5607" s="23">
        <v>48</v>
      </c>
      <c r="K5607" s="37">
        <v>0</v>
      </c>
      <c r="M5607" s="22" t="str">
        <f>IF(OR(ISBLANK(C5607),C5607=""),"",ROUND((C5607-B5607)*24,2))</f>
        <v/>
      </c>
      <c r="N5607" s="22" t="str">
        <f>IF(OR(ISBLANK(C5607),C5607="",M5607=""),"In Progress",IF(M5607&lt;=J5607,"Met","Breached"))</f>
        <v>In Progress</v>
      </c>
    </row>
    <row r="5608" ht="19" customHeight="1" spans="1:14" x14ac:dyDescent="0.25">
      <c r="A5608" s="19" t="s">
        <v>5722</v>
      </c>
      <c r="B5608" s="33">
        <v>45673.304861111115</v>
      </c>
      <c r="C5608" s="33">
        <v>45673.549305555556</v>
      </c>
      <c r="D5608" s="19" t="s">
        <v>33</v>
      </c>
      <c r="E5608" s="19" t="s">
        <v>61</v>
      </c>
      <c r="F5608" s="19" t="s">
        <v>34</v>
      </c>
      <c r="G5608" s="19" t="s">
        <v>63</v>
      </c>
      <c r="H5608" s="19" t="s">
        <v>59</v>
      </c>
      <c r="I5608" s="19" t="s">
        <v>123</v>
      </c>
      <c r="J5608" s="20">
        <v>12</v>
      </c>
      <c r="K5608" s="34">
        <v>0</v>
      </c>
      <c r="L5608" s="34">
        <v>3</v>
      </c>
      <c r="M5608" s="19">
        <f>IF(OR(ISBLANK(C5608),C5608=""),"",ROUND((C5608-B5608)*24,2))</f>
        <v>5.87</v>
      </c>
      <c r="N5608" s="35" t="str">
        <f>IF(OR(ISBLANK(C5608),C5608="",M5608=""),"In Progress",IF(M5608&lt;=J5608,"Met","Breached"))</f>
        <v>Met</v>
      </c>
    </row>
    <row r="5609" ht="19" customHeight="1" spans="1:14" x14ac:dyDescent="0.25">
      <c r="A5609" s="22" t="s">
        <v>5723</v>
      </c>
      <c r="B5609" s="36">
        <v>45859.22083333333</v>
      </c>
      <c r="C5609" s="36">
        <v>45860.18958333333</v>
      </c>
      <c r="D5609" s="22" t="s">
        <v>36</v>
      </c>
      <c r="E5609" s="22" t="s">
        <v>65</v>
      </c>
      <c r="F5609" s="22" t="s">
        <v>37</v>
      </c>
      <c r="G5609" s="22" t="s">
        <v>113</v>
      </c>
      <c r="H5609" s="22" t="s">
        <v>67</v>
      </c>
      <c r="I5609" s="22" t="s">
        <v>114</v>
      </c>
      <c r="J5609" s="23">
        <v>48</v>
      </c>
      <c r="K5609" s="37">
        <v>0</v>
      </c>
      <c r="L5609" s="37">
        <v>5</v>
      </c>
      <c r="M5609" s="22">
        <f>IF(OR(ISBLANK(C5609),C5609=""),"",ROUND((C5609-B5609)*24,2))</f>
        <v>23.25</v>
      </c>
      <c r="N5609" s="40" t="str">
        <f>IF(OR(ISBLANK(C5609),C5609="",M5609=""),"In Progress",IF(M5609&lt;=J5609,"Met","Breached"))</f>
        <v>Met</v>
      </c>
    </row>
    <row r="5610" ht="19" customHeight="1" spans="1:14" x14ac:dyDescent="0.25">
      <c r="A5610" s="19" t="s">
        <v>5724</v>
      </c>
      <c r="B5610" s="33">
        <v>45926.83472222222</v>
      </c>
      <c r="C5610" s="33">
        <v>45927.04305555555</v>
      </c>
      <c r="D5610" s="19" t="s">
        <v>33</v>
      </c>
      <c r="E5610" s="19" t="s">
        <v>57</v>
      </c>
      <c r="F5610" s="19" t="s">
        <v>43</v>
      </c>
      <c r="G5610" s="19" t="s">
        <v>121</v>
      </c>
      <c r="H5610" s="19" t="s">
        <v>63</v>
      </c>
      <c r="I5610" s="19" t="s">
        <v>147</v>
      </c>
      <c r="J5610" s="20">
        <v>4</v>
      </c>
      <c r="K5610" s="34">
        <v>1</v>
      </c>
      <c r="L5610" s="34">
        <v>1</v>
      </c>
      <c r="M5610" s="19">
        <f>IF(OR(ISBLANK(C5610),C5610=""),"",ROUND((C5610-B5610)*24,2))</f>
        <v>5</v>
      </c>
      <c r="N5610" s="39" t="str">
        <f>IF(OR(ISBLANK(C5610),C5610="",M5610=""),"In Progress",IF(M5610&lt;=J5610,"Met","Breached"))</f>
        <v>Breached</v>
      </c>
    </row>
    <row r="5611" ht="19" customHeight="1" spans="1:14" x14ac:dyDescent="0.25">
      <c r="A5611" s="22" t="s">
        <v>5725</v>
      </c>
      <c r="B5611" s="36">
        <v>46255.37361111111</v>
      </c>
      <c r="C5611" s="36">
        <v>46258.925</v>
      </c>
      <c r="D5611" s="22" t="s">
        <v>33</v>
      </c>
      <c r="E5611" s="22" t="s">
        <v>65</v>
      </c>
      <c r="F5611" s="22" t="s">
        <v>40</v>
      </c>
      <c r="G5611" s="22" t="s">
        <v>110</v>
      </c>
      <c r="H5611" s="22" t="s">
        <v>67</v>
      </c>
      <c r="I5611" s="22" t="s">
        <v>147</v>
      </c>
      <c r="J5611" s="23">
        <v>48</v>
      </c>
      <c r="K5611" s="37">
        <v>0</v>
      </c>
      <c r="L5611" s="37">
        <v>1</v>
      </c>
      <c r="M5611" s="22">
        <f>IF(OR(ISBLANK(C5611),C5611=""),"",ROUND((C5611-B5611)*24,2))</f>
        <v>85.23</v>
      </c>
      <c r="N5611" s="38" t="str">
        <f>IF(OR(ISBLANK(C5611),C5611="",M5611=""),"In Progress",IF(M5611&lt;=J5611,"Met","Breached"))</f>
        <v>Breached</v>
      </c>
    </row>
    <row r="5612" ht="19" customHeight="1" spans="1:14" x14ac:dyDescent="0.25">
      <c r="A5612" s="19" t="s">
        <v>5726</v>
      </c>
      <c r="B5612" s="33">
        <v>45774.03611111111</v>
      </c>
      <c r="D5612" s="19" t="s">
        <v>42</v>
      </c>
      <c r="E5612" s="19" t="s">
        <v>61</v>
      </c>
      <c r="F5612" s="19" t="s">
        <v>43</v>
      </c>
      <c r="G5612" s="19" t="s">
        <v>121</v>
      </c>
      <c r="H5612" s="19" t="s">
        <v>71</v>
      </c>
      <c r="I5612" s="19" t="s">
        <v>114</v>
      </c>
      <c r="J5612" s="20">
        <v>12</v>
      </c>
      <c r="K5612" s="34">
        <v>0</v>
      </c>
      <c r="M5612" s="19" t="str">
        <f>IF(OR(ISBLANK(C5612),C5612=""),"",ROUND((C5612-B5612)*24,2))</f>
        <v/>
      </c>
      <c r="N5612" s="19" t="str">
        <f>IF(OR(ISBLANK(C5612),C5612="",M5612=""),"In Progress",IF(M5612&lt;=J5612,"Met","Breached"))</f>
        <v>In Progress</v>
      </c>
    </row>
    <row r="5613" ht="19" customHeight="1" spans="1:14" x14ac:dyDescent="0.25">
      <c r="A5613" s="22" t="s">
        <v>5727</v>
      </c>
      <c r="B5613" s="36">
        <v>46219.10625</v>
      </c>
      <c r="C5613" s="36">
        <v>46221.54583333334</v>
      </c>
      <c r="D5613" s="22" t="s">
        <v>33</v>
      </c>
      <c r="E5613" s="22" t="s">
        <v>65</v>
      </c>
      <c r="F5613" s="22" t="s">
        <v>40</v>
      </c>
      <c r="G5613" s="22" t="s">
        <v>63</v>
      </c>
      <c r="H5613" s="22" t="s">
        <v>59</v>
      </c>
      <c r="I5613" s="22" t="s">
        <v>123</v>
      </c>
      <c r="J5613" s="23">
        <v>48</v>
      </c>
      <c r="K5613" s="37">
        <v>0</v>
      </c>
      <c r="L5613" s="37">
        <v>1</v>
      </c>
      <c r="M5613" s="22">
        <f>IF(OR(ISBLANK(C5613),C5613=""),"",ROUND((C5613-B5613)*24,2))</f>
        <v>58.55</v>
      </c>
      <c r="N5613" s="38" t="str">
        <f>IF(OR(ISBLANK(C5613),C5613="",M5613=""),"In Progress",IF(M5613&lt;=J5613,"Met","Breached"))</f>
        <v>Breached</v>
      </c>
    </row>
    <row r="5614" ht="19" customHeight="1" spans="1:14" x14ac:dyDescent="0.25">
      <c r="A5614" s="19" t="s">
        <v>5728</v>
      </c>
      <c r="B5614" s="33">
        <v>46021.33819444444</v>
      </c>
      <c r="C5614" s="33">
        <v>46029.506944444445</v>
      </c>
      <c r="D5614" s="19" t="s">
        <v>33</v>
      </c>
      <c r="E5614" s="19" t="s">
        <v>69</v>
      </c>
      <c r="F5614" s="19" t="s">
        <v>40</v>
      </c>
      <c r="G5614" s="19" t="s">
        <v>63</v>
      </c>
      <c r="H5614" s="19" t="s">
        <v>71</v>
      </c>
      <c r="I5614" s="19" t="s">
        <v>108</v>
      </c>
      <c r="J5614" s="20">
        <v>120</v>
      </c>
      <c r="K5614" s="34">
        <v>1</v>
      </c>
      <c r="L5614" s="34">
        <v>1</v>
      </c>
      <c r="M5614" s="19">
        <f>IF(OR(ISBLANK(C5614),C5614=""),"",ROUND((C5614-B5614)*24,2))</f>
        <v>196.05</v>
      </c>
      <c r="N5614" s="39" t="str">
        <f>IF(OR(ISBLANK(C5614),C5614="",M5614=""),"In Progress",IF(M5614&lt;=J5614,"Met","Breached"))</f>
        <v>Breached</v>
      </c>
    </row>
    <row r="5615" ht="19" customHeight="1" spans="1:14" x14ac:dyDescent="0.25">
      <c r="A5615" s="22" t="s">
        <v>5729</v>
      </c>
      <c r="B5615" s="36">
        <v>46281.56736111111</v>
      </c>
      <c r="D5615" s="22" t="s">
        <v>39</v>
      </c>
      <c r="E5615" s="22" t="s">
        <v>69</v>
      </c>
      <c r="F5615" s="22" t="s">
        <v>45</v>
      </c>
      <c r="G5615" s="22" t="s">
        <v>110</v>
      </c>
      <c r="H5615" s="22" t="s">
        <v>67</v>
      </c>
      <c r="I5615" s="22" t="s">
        <v>117</v>
      </c>
      <c r="J5615" s="23">
        <v>120</v>
      </c>
      <c r="K5615" s="37">
        <v>0</v>
      </c>
      <c r="M5615" s="22" t="str">
        <f>IF(OR(ISBLANK(C5615),C5615=""),"",ROUND((C5615-B5615)*24,2))</f>
        <v/>
      </c>
      <c r="N5615" s="22" t="str">
        <f>IF(OR(ISBLANK(C5615),C5615="",M5615=""),"In Progress",IF(M5615&lt;=J5615,"Met","Breached"))</f>
        <v>In Progress</v>
      </c>
    </row>
    <row r="5616" ht="19" customHeight="1" spans="1:14" x14ac:dyDescent="0.25">
      <c r="A5616" s="19" t="s">
        <v>5730</v>
      </c>
      <c r="B5616" s="33">
        <v>45949.98125</v>
      </c>
      <c r="C5616" s="33">
        <v>45953.179861111115</v>
      </c>
      <c r="D5616" s="19" t="s">
        <v>33</v>
      </c>
      <c r="E5616" s="19" t="s">
        <v>65</v>
      </c>
      <c r="F5616" s="19" t="s">
        <v>37</v>
      </c>
      <c r="G5616" s="19" t="s">
        <v>116</v>
      </c>
      <c r="H5616" s="19" t="s">
        <v>67</v>
      </c>
      <c r="I5616" s="19" t="s">
        <v>117</v>
      </c>
      <c r="J5616" s="20">
        <v>48</v>
      </c>
      <c r="K5616" s="34">
        <v>0</v>
      </c>
      <c r="L5616" s="34">
        <v>5</v>
      </c>
      <c r="M5616" s="19">
        <f>IF(OR(ISBLANK(C5616),C5616=""),"",ROUND((C5616-B5616)*24,2))</f>
        <v>76.77</v>
      </c>
      <c r="N5616" s="39" t="str">
        <f>IF(OR(ISBLANK(C5616),C5616="",M5616=""),"In Progress",IF(M5616&lt;=J5616,"Met","Breached"))</f>
        <v>Breached</v>
      </c>
    </row>
    <row r="5617" ht="19" customHeight="1" spans="1:14" x14ac:dyDescent="0.25">
      <c r="A5617" s="22" t="s">
        <v>5731</v>
      </c>
      <c r="B5617" s="36">
        <v>46231.680555555555</v>
      </c>
      <c r="C5617" s="36">
        <v>46232.47083333333</v>
      </c>
      <c r="D5617" s="22" t="s">
        <v>33</v>
      </c>
      <c r="E5617" s="22" t="s">
        <v>61</v>
      </c>
      <c r="F5617" s="22" t="s">
        <v>40</v>
      </c>
      <c r="G5617" s="22" t="s">
        <v>63</v>
      </c>
      <c r="H5617" s="22" t="s">
        <v>59</v>
      </c>
      <c r="I5617" s="22" t="s">
        <v>147</v>
      </c>
      <c r="J5617" s="23">
        <v>12</v>
      </c>
      <c r="K5617" s="37">
        <v>0</v>
      </c>
      <c r="L5617" s="37">
        <v>2</v>
      </c>
      <c r="M5617" s="22">
        <f>IF(OR(ISBLANK(C5617),C5617=""),"",ROUND((C5617-B5617)*24,2))</f>
        <v>18.97</v>
      </c>
      <c r="N5617" s="38" t="str">
        <f>IF(OR(ISBLANK(C5617),C5617="",M5617=""),"In Progress",IF(M5617&lt;=J5617,"Met","Breached"))</f>
        <v>Breached</v>
      </c>
    </row>
    <row r="5618" ht="19" customHeight="1" spans="1:14" x14ac:dyDescent="0.25">
      <c r="A5618" s="19" t="s">
        <v>5732</v>
      </c>
      <c r="B5618" s="33">
        <v>45806.05625</v>
      </c>
      <c r="C5618" s="33">
        <v>45809.455555555556</v>
      </c>
      <c r="D5618" s="19" t="s">
        <v>36</v>
      </c>
      <c r="E5618" s="19" t="s">
        <v>65</v>
      </c>
      <c r="F5618" s="19" t="s">
        <v>40</v>
      </c>
      <c r="G5618" s="19" t="s">
        <v>126</v>
      </c>
      <c r="H5618" s="19" t="s">
        <v>67</v>
      </c>
      <c r="I5618" s="19" t="s">
        <v>123</v>
      </c>
      <c r="J5618" s="20">
        <v>48</v>
      </c>
      <c r="K5618" s="34">
        <v>0</v>
      </c>
      <c r="L5618" s="34">
        <v>5</v>
      </c>
      <c r="M5618" s="19">
        <f>IF(OR(ISBLANK(C5618),C5618=""),"",ROUND((C5618-B5618)*24,2))</f>
        <v>81.58</v>
      </c>
      <c r="N5618" s="39" t="str">
        <f>IF(OR(ISBLANK(C5618),C5618="",M5618=""),"In Progress",IF(M5618&lt;=J5618,"Met","Breached"))</f>
        <v>Breached</v>
      </c>
    </row>
    <row r="5619" ht="19" customHeight="1" spans="1:14" x14ac:dyDescent="0.25">
      <c r="A5619" s="22" t="s">
        <v>5733</v>
      </c>
      <c r="B5619" s="36">
        <v>45913.60416666667</v>
      </c>
      <c r="C5619" s="36">
        <v>45913.700694444444</v>
      </c>
      <c r="D5619" s="22" t="s">
        <v>33</v>
      </c>
      <c r="E5619" s="22" t="s">
        <v>57</v>
      </c>
      <c r="F5619" s="22" t="s">
        <v>37</v>
      </c>
      <c r="G5619" s="22" t="s">
        <v>63</v>
      </c>
      <c r="H5619" s="22" t="s">
        <v>63</v>
      </c>
      <c r="I5619" s="22" t="s">
        <v>147</v>
      </c>
      <c r="J5619" s="23">
        <v>4</v>
      </c>
      <c r="K5619" s="37">
        <v>0</v>
      </c>
      <c r="L5619" s="37">
        <v>3</v>
      </c>
      <c r="M5619" s="22">
        <f>IF(OR(ISBLANK(C5619),C5619=""),"",ROUND((C5619-B5619)*24,2))</f>
        <v>2.32</v>
      </c>
      <c r="N5619" s="40" t="str">
        <f>IF(OR(ISBLANK(C5619),C5619="",M5619=""),"In Progress",IF(M5619&lt;=J5619,"Met","Breached"))</f>
        <v>Met</v>
      </c>
    </row>
    <row r="5620" ht="19" customHeight="1" spans="1:14" x14ac:dyDescent="0.25">
      <c r="A5620" s="19" t="s">
        <v>5734</v>
      </c>
      <c r="B5620" s="33">
        <v>46200.08819444444</v>
      </c>
      <c r="D5620" s="19" t="s">
        <v>42</v>
      </c>
      <c r="E5620" s="19" t="s">
        <v>61</v>
      </c>
      <c r="F5620" s="19" t="s">
        <v>45</v>
      </c>
      <c r="G5620" s="19" t="s">
        <v>121</v>
      </c>
      <c r="H5620" s="19" t="s">
        <v>63</v>
      </c>
      <c r="I5620" s="19" t="s">
        <v>108</v>
      </c>
      <c r="J5620" s="20">
        <v>12</v>
      </c>
      <c r="K5620" s="34">
        <v>0</v>
      </c>
      <c r="M5620" s="19" t="str">
        <f>IF(OR(ISBLANK(C5620),C5620=""),"",ROUND((C5620-B5620)*24,2))</f>
        <v/>
      </c>
      <c r="N5620" s="19" t="str">
        <f>IF(OR(ISBLANK(C5620),C5620="",M5620=""),"In Progress",IF(M5620&lt;=J5620,"Met","Breached"))</f>
        <v>In Progress</v>
      </c>
    </row>
    <row r="5621" ht="19" customHeight="1" spans="1:14" x14ac:dyDescent="0.25">
      <c r="A5621" s="22" t="s">
        <v>5735</v>
      </c>
      <c r="B5621" s="36">
        <v>45881.62291666667</v>
      </c>
      <c r="C5621" s="36">
        <v>45890.28263888889</v>
      </c>
      <c r="D5621" s="22" t="s">
        <v>33</v>
      </c>
      <c r="E5621" s="22" t="s">
        <v>69</v>
      </c>
      <c r="F5621" s="22" t="s">
        <v>40</v>
      </c>
      <c r="G5621" s="22" t="s">
        <v>126</v>
      </c>
      <c r="H5621" s="22" t="s">
        <v>63</v>
      </c>
      <c r="I5621" s="22" t="s">
        <v>114</v>
      </c>
      <c r="J5621" s="23">
        <v>120</v>
      </c>
      <c r="K5621" s="37">
        <v>0</v>
      </c>
      <c r="L5621" s="37">
        <v>2</v>
      </c>
      <c r="M5621" s="22">
        <f>IF(OR(ISBLANK(C5621),C5621=""),"",ROUND((C5621-B5621)*24,2))</f>
        <v>207.83</v>
      </c>
      <c r="N5621" s="38" t="str">
        <f>IF(OR(ISBLANK(C5621),C5621="",M5621=""),"In Progress",IF(M5621&lt;=J5621,"Met","Breached"))</f>
        <v>Breached</v>
      </c>
    </row>
    <row r="5622" ht="19" customHeight="1" spans="1:14" x14ac:dyDescent="0.25">
      <c r="A5622" s="19" t="s">
        <v>5736</v>
      </c>
      <c r="B5622" s="33">
        <v>46077.24722222222</v>
      </c>
      <c r="C5622" s="33">
        <v>46082.290972222225</v>
      </c>
      <c r="D5622" s="19" t="s">
        <v>36</v>
      </c>
      <c r="E5622" s="19" t="s">
        <v>69</v>
      </c>
      <c r="F5622" s="19" t="s">
        <v>34</v>
      </c>
      <c r="G5622" s="19" t="s">
        <v>113</v>
      </c>
      <c r="H5622" s="19" t="s">
        <v>63</v>
      </c>
      <c r="I5622" s="19" t="s">
        <v>147</v>
      </c>
      <c r="J5622" s="20">
        <v>120</v>
      </c>
      <c r="K5622" s="34">
        <v>0</v>
      </c>
      <c r="M5622" s="19">
        <f>IF(OR(ISBLANK(C5622),C5622=""),"",ROUND((C5622-B5622)*24,2))</f>
        <v>121.05</v>
      </c>
      <c r="N5622" s="39" t="str">
        <f>IF(OR(ISBLANK(C5622),C5622="",M5622=""),"In Progress",IF(M5622&lt;=J5622,"Met","Breached"))</f>
        <v>Breached</v>
      </c>
    </row>
    <row r="5623" ht="19" customHeight="1" spans="1:14" x14ac:dyDescent="0.25">
      <c r="A5623" s="22" t="s">
        <v>5737</v>
      </c>
      <c r="B5623" s="36">
        <v>46277.45</v>
      </c>
      <c r="D5623" s="22" t="s">
        <v>39</v>
      </c>
      <c r="E5623" s="22" t="s">
        <v>69</v>
      </c>
      <c r="F5623" s="22" t="s">
        <v>37</v>
      </c>
      <c r="G5623" s="22" t="s">
        <v>113</v>
      </c>
      <c r="H5623" s="22" t="s">
        <v>59</v>
      </c>
      <c r="I5623" s="22" t="s">
        <v>108</v>
      </c>
      <c r="J5623" s="23">
        <v>120</v>
      </c>
      <c r="K5623" s="37">
        <v>0</v>
      </c>
      <c r="M5623" s="22" t="str">
        <f>IF(OR(ISBLANK(C5623),C5623=""),"",ROUND((C5623-B5623)*24,2))</f>
        <v/>
      </c>
      <c r="N5623" s="22" t="str">
        <f>IF(OR(ISBLANK(C5623),C5623="",M5623=""),"In Progress",IF(M5623&lt;=J5623,"Met","Breached"))</f>
        <v>In Progress</v>
      </c>
    </row>
    <row r="5624" ht="19" customHeight="1" spans="1:14" x14ac:dyDescent="0.25">
      <c r="A5624" s="19" t="s">
        <v>5738</v>
      </c>
      <c r="B5624" s="33">
        <v>45915.816666666666</v>
      </c>
      <c r="C5624" s="33">
        <v>45919.22708333333</v>
      </c>
      <c r="D5624" s="19" t="s">
        <v>33</v>
      </c>
      <c r="E5624" s="19" t="s">
        <v>65</v>
      </c>
      <c r="F5624" s="19" t="s">
        <v>40</v>
      </c>
      <c r="G5624" s="19" t="s">
        <v>110</v>
      </c>
      <c r="H5624" s="19" t="s">
        <v>67</v>
      </c>
      <c r="I5624" s="19" t="s">
        <v>108</v>
      </c>
      <c r="J5624" s="20">
        <v>48</v>
      </c>
      <c r="K5624" s="34">
        <v>0</v>
      </c>
      <c r="L5624" s="34">
        <v>2</v>
      </c>
      <c r="M5624" s="19">
        <f>IF(OR(ISBLANK(C5624),C5624=""),"",ROUND((C5624-B5624)*24,2))</f>
        <v>81.85</v>
      </c>
      <c r="N5624" s="39" t="str">
        <f>IF(OR(ISBLANK(C5624),C5624="",M5624=""),"In Progress",IF(M5624&lt;=J5624,"Met","Breached"))</f>
        <v>Breached</v>
      </c>
    </row>
    <row r="5625" ht="19" customHeight="1" spans="1:14" x14ac:dyDescent="0.25">
      <c r="A5625" s="22" t="s">
        <v>5739</v>
      </c>
      <c r="B5625" s="36">
        <v>45948.986805555556</v>
      </c>
      <c r="C5625" s="36">
        <v>45950.93472222222</v>
      </c>
      <c r="D5625" s="22" t="s">
        <v>33</v>
      </c>
      <c r="E5625" s="22" t="s">
        <v>65</v>
      </c>
      <c r="F5625" s="22" t="s">
        <v>45</v>
      </c>
      <c r="G5625" s="22" t="s">
        <v>63</v>
      </c>
      <c r="H5625" s="22" t="s">
        <v>63</v>
      </c>
      <c r="I5625" s="22" t="s">
        <v>147</v>
      </c>
      <c r="J5625" s="23">
        <v>48</v>
      </c>
      <c r="K5625" s="37">
        <v>0</v>
      </c>
      <c r="L5625" s="37">
        <v>5</v>
      </c>
      <c r="M5625" s="22">
        <f>IF(OR(ISBLANK(C5625),C5625=""),"",ROUND((C5625-B5625)*24,2))</f>
        <v>46.75</v>
      </c>
      <c r="N5625" s="40" t="str">
        <f>IF(OR(ISBLANK(C5625),C5625="",M5625=""),"In Progress",IF(M5625&lt;=J5625,"Met","Breached"))</f>
        <v>Met</v>
      </c>
    </row>
    <row r="5626" ht="19" customHeight="1" spans="1:14" x14ac:dyDescent="0.25">
      <c r="A5626" s="19" t="s">
        <v>5740</v>
      </c>
      <c r="B5626" s="33">
        <v>46266.84652777778</v>
      </c>
      <c r="C5626" s="33">
        <v>46271.16111111111</v>
      </c>
      <c r="D5626" s="19" t="s">
        <v>33</v>
      </c>
      <c r="E5626" s="19" t="s">
        <v>69</v>
      </c>
      <c r="F5626" s="19" t="s">
        <v>34</v>
      </c>
      <c r="G5626" s="19" t="s">
        <v>121</v>
      </c>
      <c r="H5626" s="19" t="s">
        <v>59</v>
      </c>
      <c r="I5626" s="19" t="s">
        <v>108</v>
      </c>
      <c r="J5626" s="20">
        <v>120</v>
      </c>
      <c r="K5626" s="34">
        <v>0</v>
      </c>
      <c r="L5626" s="34">
        <v>1</v>
      </c>
      <c r="M5626" s="19">
        <f>IF(OR(ISBLANK(C5626),C5626=""),"",ROUND((C5626-B5626)*24,2))</f>
        <v>103.55</v>
      </c>
      <c r="N5626" s="35" t="str">
        <f>IF(OR(ISBLANK(C5626),C5626="",M5626=""),"In Progress",IF(M5626&lt;=J5626,"Met","Breached"))</f>
        <v>Met</v>
      </c>
    </row>
    <row r="5627" ht="19" customHeight="1" spans="1:14" x14ac:dyDescent="0.25">
      <c r="A5627" s="22" t="s">
        <v>5741</v>
      </c>
      <c r="B5627" s="36">
        <v>46038.59166666667</v>
      </c>
      <c r="C5627" s="36">
        <v>46044.20486111111</v>
      </c>
      <c r="D5627" s="22" t="s">
        <v>33</v>
      </c>
      <c r="E5627" s="22" t="s">
        <v>69</v>
      </c>
      <c r="F5627" s="22" t="s">
        <v>40</v>
      </c>
      <c r="G5627" s="22" t="s">
        <v>113</v>
      </c>
      <c r="H5627" s="22" t="s">
        <v>59</v>
      </c>
      <c r="I5627" s="22" t="s">
        <v>117</v>
      </c>
      <c r="J5627" s="23">
        <v>120</v>
      </c>
      <c r="K5627" s="37">
        <v>0</v>
      </c>
      <c r="L5627" s="37">
        <v>4</v>
      </c>
      <c r="M5627" s="22">
        <f>IF(OR(ISBLANK(C5627),C5627=""),"",ROUND((C5627-B5627)*24,2))</f>
        <v>134.72</v>
      </c>
      <c r="N5627" s="38" t="str">
        <f>IF(OR(ISBLANK(C5627),C5627="",M5627=""),"In Progress",IF(M5627&lt;=J5627,"Met","Breached"))</f>
        <v>Breached</v>
      </c>
    </row>
    <row r="5628" ht="19" customHeight="1" spans="1:14" x14ac:dyDescent="0.25">
      <c r="A5628" s="19" t="s">
        <v>5742</v>
      </c>
      <c r="B5628" s="33">
        <v>46155.7625</v>
      </c>
      <c r="C5628" s="33">
        <v>46156.35486111111</v>
      </c>
      <c r="D5628" s="19" t="s">
        <v>36</v>
      </c>
      <c r="E5628" s="19" t="s">
        <v>61</v>
      </c>
      <c r="F5628" s="19" t="s">
        <v>34</v>
      </c>
      <c r="G5628" s="19" t="s">
        <v>116</v>
      </c>
      <c r="H5628" s="19" t="s">
        <v>71</v>
      </c>
      <c r="I5628" s="19" t="s">
        <v>108</v>
      </c>
      <c r="J5628" s="20">
        <v>12</v>
      </c>
      <c r="K5628" s="34">
        <v>0</v>
      </c>
      <c r="L5628" s="34">
        <v>3</v>
      </c>
      <c r="M5628" s="19">
        <f>IF(OR(ISBLANK(C5628),C5628=""),"",ROUND((C5628-B5628)*24,2))</f>
        <v>14.22</v>
      </c>
      <c r="N5628" s="39" t="str">
        <f>IF(OR(ISBLANK(C5628),C5628="",M5628=""),"In Progress",IF(M5628&lt;=J5628,"Met","Breached"))</f>
        <v>Breached</v>
      </c>
    </row>
    <row r="5629" ht="19" customHeight="1" spans="1:14" x14ac:dyDescent="0.25">
      <c r="A5629" s="22" t="s">
        <v>5743</v>
      </c>
      <c r="B5629" s="36">
        <v>46040.70277777778</v>
      </c>
      <c r="D5629" s="22" t="s">
        <v>39</v>
      </c>
      <c r="E5629" s="22" t="s">
        <v>65</v>
      </c>
      <c r="F5629" s="22" t="s">
        <v>34</v>
      </c>
      <c r="G5629" s="22" t="s">
        <v>126</v>
      </c>
      <c r="H5629" s="22" t="s">
        <v>59</v>
      </c>
      <c r="I5629" s="22" t="s">
        <v>147</v>
      </c>
      <c r="J5629" s="23">
        <v>48</v>
      </c>
      <c r="K5629" s="37">
        <v>0</v>
      </c>
      <c r="M5629" s="22" t="str">
        <f>IF(OR(ISBLANK(C5629),C5629=""),"",ROUND((C5629-B5629)*24,2))</f>
        <v/>
      </c>
      <c r="N5629" s="22" t="str">
        <f>IF(OR(ISBLANK(C5629),C5629="",M5629=""),"In Progress",IF(M5629&lt;=J5629,"Met","Breached"))</f>
        <v>In Progress</v>
      </c>
    </row>
    <row r="5630" ht="19" customHeight="1" spans="1:14" x14ac:dyDescent="0.25">
      <c r="A5630" s="19" t="s">
        <v>5744</v>
      </c>
      <c r="B5630" s="33">
        <v>46118.325</v>
      </c>
      <c r="C5630" s="33">
        <v>46120.09097222222</v>
      </c>
      <c r="D5630" s="19" t="s">
        <v>33</v>
      </c>
      <c r="E5630" s="19" t="s">
        <v>65</v>
      </c>
      <c r="F5630" s="19" t="s">
        <v>43</v>
      </c>
      <c r="G5630" s="19" t="s">
        <v>116</v>
      </c>
      <c r="H5630" s="19" t="s">
        <v>63</v>
      </c>
      <c r="I5630" s="19" t="s">
        <v>108</v>
      </c>
      <c r="J5630" s="20">
        <v>48</v>
      </c>
      <c r="K5630" s="34">
        <v>0</v>
      </c>
      <c r="L5630" s="34">
        <v>3</v>
      </c>
      <c r="M5630" s="19">
        <f>IF(OR(ISBLANK(C5630),C5630=""),"",ROUND((C5630-B5630)*24,2))</f>
        <v>42.38</v>
      </c>
      <c r="N5630" s="35" t="str">
        <f>IF(OR(ISBLANK(C5630),C5630="",M5630=""),"In Progress",IF(M5630&lt;=J5630,"Met","Breached"))</f>
        <v>Met</v>
      </c>
    </row>
    <row r="5631" ht="19" customHeight="1" spans="1:14" x14ac:dyDescent="0.25">
      <c r="A5631" s="22" t="s">
        <v>5745</v>
      </c>
      <c r="B5631" s="36">
        <v>45759.91458333333</v>
      </c>
      <c r="C5631" s="36">
        <v>45761.97013888889</v>
      </c>
      <c r="D5631" s="22" t="s">
        <v>33</v>
      </c>
      <c r="E5631" s="22" t="s">
        <v>65</v>
      </c>
      <c r="F5631" s="22" t="s">
        <v>43</v>
      </c>
      <c r="G5631" s="22" t="s">
        <v>113</v>
      </c>
      <c r="H5631" s="22" t="s">
        <v>67</v>
      </c>
      <c r="I5631" s="22" t="s">
        <v>114</v>
      </c>
      <c r="J5631" s="23">
        <v>48</v>
      </c>
      <c r="K5631" s="37">
        <v>0</v>
      </c>
      <c r="L5631" s="37">
        <v>2</v>
      </c>
      <c r="M5631" s="22">
        <f>IF(OR(ISBLANK(C5631),C5631=""),"",ROUND((C5631-B5631)*24,2))</f>
        <v>49.33</v>
      </c>
      <c r="N5631" s="38" t="str">
        <f>IF(OR(ISBLANK(C5631),C5631="",M5631=""),"In Progress",IF(M5631&lt;=J5631,"Met","Breached"))</f>
        <v>Breached</v>
      </c>
    </row>
    <row r="5632" ht="19" customHeight="1" spans="1:14" x14ac:dyDescent="0.25">
      <c r="A5632" s="19" t="s">
        <v>5746</v>
      </c>
      <c r="B5632" s="33">
        <v>46149.54583333334</v>
      </c>
      <c r="C5632" s="33">
        <v>46158.381944444445</v>
      </c>
      <c r="D5632" s="19" t="s">
        <v>33</v>
      </c>
      <c r="E5632" s="19" t="s">
        <v>69</v>
      </c>
      <c r="F5632" s="19" t="s">
        <v>37</v>
      </c>
      <c r="G5632" s="19" t="s">
        <v>121</v>
      </c>
      <c r="H5632" s="19" t="s">
        <v>59</v>
      </c>
      <c r="I5632" s="19" t="s">
        <v>111</v>
      </c>
      <c r="J5632" s="20">
        <v>120</v>
      </c>
      <c r="K5632" s="34">
        <v>0</v>
      </c>
      <c r="L5632" s="34">
        <v>2</v>
      </c>
      <c r="M5632" s="19">
        <f>IF(OR(ISBLANK(C5632),C5632=""),"",ROUND((C5632-B5632)*24,2))</f>
        <v>212.07</v>
      </c>
      <c r="N5632" s="39" t="str">
        <f>IF(OR(ISBLANK(C5632),C5632="",M5632=""),"In Progress",IF(M5632&lt;=J5632,"Met","Breached"))</f>
        <v>Breached</v>
      </c>
    </row>
    <row r="5633" ht="19" customHeight="1" spans="1:14" x14ac:dyDescent="0.25">
      <c r="A5633" s="22" t="s">
        <v>5747</v>
      </c>
      <c r="B5633" s="36">
        <v>45779.820138888885</v>
      </c>
      <c r="C5633" s="36">
        <v>45780.77847222222</v>
      </c>
      <c r="D5633" s="22" t="s">
        <v>33</v>
      </c>
      <c r="E5633" s="22" t="s">
        <v>65</v>
      </c>
      <c r="F5633" s="22" t="s">
        <v>45</v>
      </c>
      <c r="G5633" s="22" t="s">
        <v>126</v>
      </c>
      <c r="H5633" s="22" t="s">
        <v>63</v>
      </c>
      <c r="I5633" s="22" t="s">
        <v>123</v>
      </c>
      <c r="J5633" s="23">
        <v>48</v>
      </c>
      <c r="K5633" s="37">
        <v>0</v>
      </c>
      <c r="L5633" s="37">
        <v>3</v>
      </c>
      <c r="M5633" s="22">
        <f>IF(OR(ISBLANK(C5633),C5633=""),"",ROUND((C5633-B5633)*24,2))</f>
        <v>23</v>
      </c>
      <c r="N5633" s="40" t="str">
        <f>IF(OR(ISBLANK(C5633),C5633="",M5633=""),"In Progress",IF(M5633&lt;=J5633,"Met","Breached"))</f>
        <v>Met</v>
      </c>
    </row>
    <row r="5634" ht="19" customHeight="1" spans="1:14" x14ac:dyDescent="0.25">
      <c r="A5634" s="19" t="s">
        <v>5748</v>
      </c>
      <c r="B5634" s="33">
        <v>45661.163194444445</v>
      </c>
      <c r="C5634" s="33">
        <v>45663.32361111111</v>
      </c>
      <c r="D5634" s="19" t="s">
        <v>33</v>
      </c>
      <c r="E5634" s="19" t="s">
        <v>65</v>
      </c>
      <c r="F5634" s="19" t="s">
        <v>37</v>
      </c>
      <c r="G5634" s="19" t="s">
        <v>121</v>
      </c>
      <c r="H5634" s="19" t="s">
        <v>59</v>
      </c>
      <c r="I5634" s="19" t="s">
        <v>117</v>
      </c>
      <c r="J5634" s="20">
        <v>48</v>
      </c>
      <c r="K5634" s="34">
        <v>0</v>
      </c>
      <c r="M5634" s="19">
        <f>IF(OR(ISBLANK(C5634),C5634=""),"",ROUND((C5634-B5634)*24,2))</f>
        <v>51.85</v>
      </c>
      <c r="N5634" s="39" t="str">
        <f>IF(OR(ISBLANK(C5634),C5634="",M5634=""),"In Progress",IF(M5634&lt;=J5634,"Met","Breached"))</f>
        <v>Breached</v>
      </c>
    </row>
    <row r="5635" ht="19" customHeight="1" spans="1:14" x14ac:dyDescent="0.25">
      <c r="A5635" s="22" t="s">
        <v>5749</v>
      </c>
      <c r="B5635" s="36">
        <v>46198.31736111111</v>
      </c>
      <c r="C5635" s="36">
        <v>46198.96944444445</v>
      </c>
      <c r="D5635" s="22" t="s">
        <v>36</v>
      </c>
      <c r="E5635" s="22" t="s">
        <v>65</v>
      </c>
      <c r="F5635" s="22" t="s">
        <v>34</v>
      </c>
      <c r="G5635" s="22" t="s">
        <v>113</v>
      </c>
      <c r="H5635" s="22" t="s">
        <v>63</v>
      </c>
      <c r="I5635" s="22" t="s">
        <v>114</v>
      </c>
      <c r="J5635" s="23">
        <v>48</v>
      </c>
      <c r="K5635" s="37">
        <v>0</v>
      </c>
      <c r="L5635" s="37">
        <v>5</v>
      </c>
      <c r="M5635" s="22">
        <f>IF(OR(ISBLANK(C5635),C5635=""),"",ROUND((C5635-B5635)*24,2))</f>
        <v>15.65</v>
      </c>
      <c r="N5635" s="40" t="str">
        <f>IF(OR(ISBLANK(C5635),C5635="",M5635=""),"In Progress",IF(M5635&lt;=J5635,"Met","Breached"))</f>
        <v>Met</v>
      </c>
    </row>
    <row r="5636" ht="19" customHeight="1" spans="1:14" x14ac:dyDescent="0.25">
      <c r="A5636" s="19" t="s">
        <v>5750</v>
      </c>
      <c r="B5636" s="33">
        <v>46211.174305555556</v>
      </c>
      <c r="C5636" s="33">
        <v>46213.913888888885</v>
      </c>
      <c r="D5636" s="19" t="s">
        <v>36</v>
      </c>
      <c r="E5636" s="19" t="s">
        <v>65</v>
      </c>
      <c r="F5636" s="19" t="s">
        <v>45</v>
      </c>
      <c r="G5636" s="19" t="s">
        <v>110</v>
      </c>
      <c r="H5636" s="19" t="s">
        <v>71</v>
      </c>
      <c r="I5636" s="19" t="s">
        <v>123</v>
      </c>
      <c r="J5636" s="20">
        <v>48</v>
      </c>
      <c r="K5636" s="34">
        <v>0</v>
      </c>
      <c r="L5636" s="34">
        <v>5</v>
      </c>
      <c r="M5636" s="19">
        <f>IF(OR(ISBLANK(C5636),C5636=""),"",ROUND((C5636-B5636)*24,2))</f>
        <v>65.75</v>
      </c>
      <c r="N5636" s="39" t="str">
        <f>IF(OR(ISBLANK(C5636),C5636="",M5636=""),"In Progress",IF(M5636&lt;=J5636,"Met","Breached"))</f>
        <v>Breached</v>
      </c>
    </row>
    <row r="5637" ht="19" customHeight="1" spans="1:14" x14ac:dyDescent="0.25">
      <c r="A5637" s="22" t="s">
        <v>5751</v>
      </c>
      <c r="B5637" s="36">
        <v>45936.79513888889</v>
      </c>
      <c r="C5637" s="36">
        <v>45938.68819444445</v>
      </c>
      <c r="D5637" s="22" t="s">
        <v>33</v>
      </c>
      <c r="E5637" s="22" t="s">
        <v>69</v>
      </c>
      <c r="F5637" s="22" t="s">
        <v>45</v>
      </c>
      <c r="G5637" s="22" t="s">
        <v>110</v>
      </c>
      <c r="H5637" s="22" t="s">
        <v>71</v>
      </c>
      <c r="I5637" s="22" t="s">
        <v>108</v>
      </c>
      <c r="J5637" s="23">
        <v>120</v>
      </c>
      <c r="K5637" s="37">
        <v>0</v>
      </c>
      <c r="L5637" s="37">
        <v>3</v>
      </c>
      <c r="M5637" s="22">
        <f>IF(OR(ISBLANK(C5637),C5637=""),"",ROUND((C5637-B5637)*24,2))</f>
        <v>45.43</v>
      </c>
      <c r="N5637" s="40" t="str">
        <f>IF(OR(ISBLANK(C5637),C5637="",M5637=""),"In Progress",IF(M5637&lt;=J5637,"Met","Breached"))</f>
        <v>Met</v>
      </c>
    </row>
    <row r="5638" ht="19" customHeight="1" spans="1:14" x14ac:dyDescent="0.25">
      <c r="A5638" s="19" t="s">
        <v>5752</v>
      </c>
      <c r="B5638" s="33">
        <v>45694.10277777778</v>
      </c>
      <c r="C5638" s="33">
        <v>45695.87222222222</v>
      </c>
      <c r="D5638" s="19" t="s">
        <v>33</v>
      </c>
      <c r="E5638" s="19" t="s">
        <v>65</v>
      </c>
      <c r="F5638" s="19" t="s">
        <v>37</v>
      </c>
      <c r="G5638" s="19" t="s">
        <v>121</v>
      </c>
      <c r="H5638" s="19" t="s">
        <v>59</v>
      </c>
      <c r="I5638" s="19" t="s">
        <v>108</v>
      </c>
      <c r="J5638" s="20">
        <v>48</v>
      </c>
      <c r="K5638" s="34">
        <v>0</v>
      </c>
      <c r="L5638" s="34">
        <v>5</v>
      </c>
      <c r="M5638" s="19">
        <f>IF(OR(ISBLANK(C5638),C5638=""),"",ROUND((C5638-B5638)*24,2))</f>
        <v>42.47</v>
      </c>
      <c r="N5638" s="35" t="str">
        <f>IF(OR(ISBLANK(C5638),C5638="",M5638=""),"In Progress",IF(M5638&lt;=J5638,"Met","Breached"))</f>
        <v>Met</v>
      </c>
    </row>
    <row r="5639" ht="19" customHeight="1" spans="1:14" x14ac:dyDescent="0.25">
      <c r="A5639" s="22" t="s">
        <v>5753</v>
      </c>
      <c r="B5639" s="36">
        <v>45754.43541666667</v>
      </c>
      <c r="C5639" s="36">
        <v>45754.53194444445</v>
      </c>
      <c r="D5639" s="22" t="s">
        <v>36</v>
      </c>
      <c r="E5639" s="22" t="s">
        <v>57</v>
      </c>
      <c r="F5639" s="22" t="s">
        <v>40</v>
      </c>
      <c r="G5639" s="22" t="s">
        <v>63</v>
      </c>
      <c r="H5639" s="22" t="s">
        <v>59</v>
      </c>
      <c r="I5639" s="22" t="s">
        <v>108</v>
      </c>
      <c r="J5639" s="23">
        <v>4</v>
      </c>
      <c r="K5639" s="37">
        <v>0</v>
      </c>
      <c r="M5639" s="22">
        <f>IF(OR(ISBLANK(C5639),C5639=""),"",ROUND((C5639-B5639)*24,2))</f>
        <v>2.32</v>
      </c>
      <c r="N5639" s="40" t="str">
        <f>IF(OR(ISBLANK(C5639),C5639="",M5639=""),"In Progress",IF(M5639&lt;=J5639,"Met","Breached"))</f>
        <v>Met</v>
      </c>
    </row>
    <row r="5640" ht="19" customHeight="1" spans="1:14" x14ac:dyDescent="0.25">
      <c r="A5640" s="19" t="s">
        <v>5754</v>
      </c>
      <c r="B5640" s="33">
        <v>46087.527083333334</v>
      </c>
      <c r="C5640" s="33">
        <v>46089.763194444444</v>
      </c>
      <c r="D5640" s="19" t="s">
        <v>36</v>
      </c>
      <c r="E5640" s="19" t="s">
        <v>65</v>
      </c>
      <c r="F5640" s="19" t="s">
        <v>40</v>
      </c>
      <c r="G5640" s="19" t="s">
        <v>113</v>
      </c>
      <c r="H5640" s="19" t="s">
        <v>59</v>
      </c>
      <c r="I5640" s="19" t="s">
        <v>114</v>
      </c>
      <c r="J5640" s="20">
        <v>48</v>
      </c>
      <c r="K5640" s="34">
        <v>0</v>
      </c>
      <c r="L5640" s="34">
        <v>2</v>
      </c>
      <c r="M5640" s="19">
        <f>IF(OR(ISBLANK(C5640),C5640=""),"",ROUND((C5640-B5640)*24,2))</f>
        <v>53.67</v>
      </c>
      <c r="N5640" s="39" t="str">
        <f>IF(OR(ISBLANK(C5640),C5640="",M5640=""),"In Progress",IF(M5640&lt;=J5640,"Met","Breached"))</f>
        <v>Breached</v>
      </c>
    </row>
    <row r="5641" ht="19" customHeight="1" spans="1:14" x14ac:dyDescent="0.25">
      <c r="A5641" s="22" t="s">
        <v>5755</v>
      </c>
      <c r="B5641" s="36">
        <v>46067.39166666666</v>
      </c>
      <c r="C5641" s="36">
        <v>46067.49444444444</v>
      </c>
      <c r="D5641" s="22" t="s">
        <v>36</v>
      </c>
      <c r="E5641" s="22" t="s">
        <v>57</v>
      </c>
      <c r="F5641" s="22" t="s">
        <v>37</v>
      </c>
      <c r="G5641" s="22" t="s">
        <v>126</v>
      </c>
      <c r="H5641" s="22" t="s">
        <v>59</v>
      </c>
      <c r="I5641" s="22" t="s">
        <v>123</v>
      </c>
      <c r="J5641" s="23">
        <v>4</v>
      </c>
      <c r="K5641" s="37">
        <v>0</v>
      </c>
      <c r="M5641" s="22">
        <f>IF(OR(ISBLANK(C5641),C5641=""),"",ROUND((C5641-B5641)*24,2))</f>
        <v>2.47</v>
      </c>
      <c r="N5641" s="40" t="str">
        <f>IF(OR(ISBLANK(C5641),C5641="",M5641=""),"In Progress",IF(M5641&lt;=J5641,"Met","Breached"))</f>
        <v>Met</v>
      </c>
    </row>
    <row r="5642" ht="19" customHeight="1" spans="1:14" x14ac:dyDescent="0.25">
      <c r="A5642" s="19" t="s">
        <v>5756</v>
      </c>
      <c r="B5642" s="33">
        <v>45743.70972222222</v>
      </c>
      <c r="D5642" s="19" t="s">
        <v>39</v>
      </c>
      <c r="E5642" s="19" t="s">
        <v>69</v>
      </c>
      <c r="F5642" s="19" t="s">
        <v>37</v>
      </c>
      <c r="G5642" s="19" t="s">
        <v>116</v>
      </c>
      <c r="H5642" s="19" t="s">
        <v>59</v>
      </c>
      <c r="I5642" s="19" t="s">
        <v>147</v>
      </c>
      <c r="J5642" s="20">
        <v>120</v>
      </c>
      <c r="K5642" s="34">
        <v>0</v>
      </c>
      <c r="M5642" s="19" t="str">
        <f>IF(OR(ISBLANK(C5642),C5642=""),"",ROUND((C5642-B5642)*24,2))</f>
        <v/>
      </c>
      <c r="N5642" s="19" t="str">
        <f>IF(OR(ISBLANK(C5642),C5642="",M5642=""),"In Progress",IF(M5642&lt;=J5642,"Met","Breached"))</f>
        <v>In Progress</v>
      </c>
    </row>
    <row r="5643" ht="19" customHeight="1" spans="1:14" x14ac:dyDescent="0.25">
      <c r="A5643" s="22" t="s">
        <v>5757</v>
      </c>
      <c r="B5643" s="36">
        <v>45843.76388888889</v>
      </c>
      <c r="C5643" s="36">
        <v>45845.72152777778</v>
      </c>
      <c r="D5643" s="22" t="s">
        <v>33</v>
      </c>
      <c r="E5643" s="22" t="s">
        <v>65</v>
      </c>
      <c r="F5643" s="22" t="s">
        <v>37</v>
      </c>
      <c r="G5643" s="22" t="s">
        <v>113</v>
      </c>
      <c r="H5643" s="22" t="s">
        <v>59</v>
      </c>
      <c r="I5643" s="22" t="s">
        <v>108</v>
      </c>
      <c r="J5643" s="23">
        <v>48</v>
      </c>
      <c r="K5643" s="37">
        <v>0</v>
      </c>
      <c r="L5643" s="37">
        <v>4</v>
      </c>
      <c r="M5643" s="22">
        <f>IF(OR(ISBLANK(C5643),C5643=""),"",ROUND((C5643-B5643)*24,2))</f>
        <v>46.98</v>
      </c>
      <c r="N5643" s="40" t="str">
        <f>IF(OR(ISBLANK(C5643),C5643="",M5643=""),"In Progress",IF(M5643&lt;=J5643,"Met","Breached"))</f>
        <v>Met</v>
      </c>
    </row>
    <row r="5644" ht="19" customHeight="1" spans="1:14" x14ac:dyDescent="0.25">
      <c r="A5644" s="19" t="s">
        <v>5758</v>
      </c>
      <c r="B5644" s="33">
        <v>45895.73125</v>
      </c>
      <c r="C5644" s="33">
        <v>45899.101388888885</v>
      </c>
      <c r="D5644" s="19" t="s">
        <v>36</v>
      </c>
      <c r="E5644" s="19" t="s">
        <v>65</v>
      </c>
      <c r="F5644" s="19" t="s">
        <v>34</v>
      </c>
      <c r="G5644" s="19" t="s">
        <v>121</v>
      </c>
      <c r="H5644" s="19" t="s">
        <v>63</v>
      </c>
      <c r="I5644" s="19" t="s">
        <v>111</v>
      </c>
      <c r="J5644" s="20">
        <v>48</v>
      </c>
      <c r="K5644" s="34">
        <v>0</v>
      </c>
      <c r="L5644" s="34">
        <v>3</v>
      </c>
      <c r="M5644" s="19">
        <f>IF(OR(ISBLANK(C5644),C5644=""),"",ROUND((C5644-B5644)*24,2))</f>
        <v>80.88</v>
      </c>
      <c r="N5644" s="39" t="str">
        <f>IF(OR(ISBLANK(C5644),C5644="",M5644=""),"In Progress",IF(M5644&lt;=J5644,"Met","Breached"))</f>
        <v>Breached</v>
      </c>
    </row>
    <row r="5645" ht="19" customHeight="1" spans="1:14" x14ac:dyDescent="0.25">
      <c r="A5645" s="22" t="s">
        <v>5759</v>
      </c>
      <c r="B5645" s="36">
        <v>45879.51458333334</v>
      </c>
      <c r="C5645" s="36">
        <v>45880.88611111111</v>
      </c>
      <c r="D5645" s="22" t="s">
        <v>33</v>
      </c>
      <c r="E5645" s="22" t="s">
        <v>65</v>
      </c>
      <c r="F5645" s="22" t="s">
        <v>43</v>
      </c>
      <c r="G5645" s="22" t="s">
        <v>116</v>
      </c>
      <c r="H5645" s="22" t="s">
        <v>59</v>
      </c>
      <c r="I5645" s="22" t="s">
        <v>117</v>
      </c>
      <c r="J5645" s="23">
        <v>48</v>
      </c>
      <c r="K5645" s="37">
        <v>0</v>
      </c>
      <c r="L5645" s="37">
        <v>4</v>
      </c>
      <c r="M5645" s="22">
        <f>IF(OR(ISBLANK(C5645),C5645=""),"",ROUND((C5645-B5645)*24,2))</f>
        <v>32.92</v>
      </c>
      <c r="N5645" s="40" t="str">
        <f>IF(OR(ISBLANK(C5645),C5645="",M5645=""),"In Progress",IF(M5645&lt;=J5645,"Met","Breached"))</f>
        <v>Met</v>
      </c>
    </row>
    <row r="5646" ht="19" customHeight="1" spans="1:14" x14ac:dyDescent="0.25">
      <c r="A5646" s="19" t="s">
        <v>5760</v>
      </c>
      <c r="B5646" s="33">
        <v>46285.46805555555</v>
      </c>
      <c r="D5646" s="19" t="s">
        <v>39</v>
      </c>
      <c r="E5646" s="19" t="s">
        <v>61</v>
      </c>
      <c r="F5646" s="19" t="s">
        <v>45</v>
      </c>
      <c r="G5646" s="19" t="s">
        <v>116</v>
      </c>
      <c r="H5646" s="19" t="s">
        <v>59</v>
      </c>
      <c r="I5646" s="19" t="s">
        <v>123</v>
      </c>
      <c r="J5646" s="20">
        <v>12</v>
      </c>
      <c r="K5646" s="34">
        <v>0</v>
      </c>
      <c r="M5646" s="19" t="str">
        <f>IF(OR(ISBLANK(C5646),C5646=""),"",ROUND((C5646-B5646)*24,2))</f>
        <v/>
      </c>
      <c r="N5646" s="19" t="str">
        <f>IF(OR(ISBLANK(C5646),C5646="",M5646=""),"In Progress",IF(M5646&lt;=J5646,"Met","Breached"))</f>
        <v>In Progress</v>
      </c>
    </row>
    <row r="5647" ht="19" customHeight="1" spans="1:14" x14ac:dyDescent="0.25">
      <c r="A5647" s="22" t="s">
        <v>5761</v>
      </c>
      <c r="B5647" s="36">
        <v>45969.17916666667</v>
      </c>
      <c r="D5647" s="22" t="s">
        <v>39</v>
      </c>
      <c r="E5647" s="22" t="s">
        <v>69</v>
      </c>
      <c r="F5647" s="22" t="s">
        <v>37</v>
      </c>
      <c r="G5647" s="22" t="s">
        <v>63</v>
      </c>
      <c r="H5647" s="22" t="s">
        <v>71</v>
      </c>
      <c r="I5647" s="22" t="s">
        <v>108</v>
      </c>
      <c r="J5647" s="23">
        <v>120</v>
      </c>
      <c r="K5647" s="37">
        <v>0</v>
      </c>
      <c r="M5647" s="22" t="str">
        <f>IF(OR(ISBLANK(C5647),C5647=""),"",ROUND((C5647-B5647)*24,2))</f>
        <v/>
      </c>
      <c r="N5647" s="22" t="str">
        <f>IF(OR(ISBLANK(C5647),C5647="",M5647=""),"In Progress",IF(M5647&lt;=J5647,"Met","Breached"))</f>
        <v>In Progress</v>
      </c>
    </row>
    <row r="5648" ht="19" customHeight="1" spans="1:14" x14ac:dyDescent="0.25">
      <c r="A5648" s="19" t="s">
        <v>5762</v>
      </c>
      <c r="B5648" s="33">
        <v>46002.01111111111</v>
      </c>
      <c r="C5648" s="33">
        <v>46002.745833333334</v>
      </c>
      <c r="D5648" s="19" t="s">
        <v>33</v>
      </c>
      <c r="E5648" s="19" t="s">
        <v>65</v>
      </c>
      <c r="F5648" s="19" t="s">
        <v>37</v>
      </c>
      <c r="G5648" s="19" t="s">
        <v>121</v>
      </c>
      <c r="H5648" s="19" t="s">
        <v>63</v>
      </c>
      <c r="I5648" s="19" t="s">
        <v>123</v>
      </c>
      <c r="J5648" s="20">
        <v>48</v>
      </c>
      <c r="K5648" s="34">
        <v>0</v>
      </c>
      <c r="L5648" s="34">
        <v>3</v>
      </c>
      <c r="M5648" s="19">
        <f>IF(OR(ISBLANK(C5648),C5648=""),"",ROUND((C5648-B5648)*24,2))</f>
        <v>17.63</v>
      </c>
      <c r="N5648" s="35" t="str">
        <f>IF(OR(ISBLANK(C5648),C5648="",M5648=""),"In Progress",IF(M5648&lt;=J5648,"Met","Breached"))</f>
        <v>Met</v>
      </c>
    </row>
    <row r="5649" ht="19" customHeight="1" spans="1:14" x14ac:dyDescent="0.25">
      <c r="A5649" s="22" t="s">
        <v>5763</v>
      </c>
      <c r="B5649" s="36">
        <v>46239.67083333334</v>
      </c>
      <c r="D5649" s="22" t="s">
        <v>39</v>
      </c>
      <c r="E5649" s="22" t="s">
        <v>65</v>
      </c>
      <c r="F5649" s="22" t="s">
        <v>40</v>
      </c>
      <c r="G5649" s="22" t="s">
        <v>121</v>
      </c>
      <c r="H5649" s="22" t="s">
        <v>63</v>
      </c>
      <c r="I5649" s="22" t="s">
        <v>111</v>
      </c>
      <c r="J5649" s="23">
        <v>48</v>
      </c>
      <c r="K5649" s="37">
        <v>0</v>
      </c>
      <c r="M5649" s="22" t="str">
        <f>IF(OR(ISBLANK(C5649),C5649=""),"",ROUND((C5649-B5649)*24,2))</f>
        <v/>
      </c>
      <c r="N5649" s="22" t="str">
        <f>IF(OR(ISBLANK(C5649),C5649="",M5649=""),"In Progress",IF(M5649&lt;=J5649,"Met","Breached"))</f>
        <v>In Progress</v>
      </c>
    </row>
    <row r="5650" ht="19" customHeight="1" spans="1:14" x14ac:dyDescent="0.25">
      <c r="A5650" s="19" t="s">
        <v>5764</v>
      </c>
      <c r="B5650" s="33">
        <v>46018.34375</v>
      </c>
      <c r="C5650" s="33">
        <v>46020.45972222222</v>
      </c>
      <c r="D5650" s="19" t="s">
        <v>33</v>
      </c>
      <c r="E5650" s="19" t="s">
        <v>65</v>
      </c>
      <c r="F5650" s="19" t="s">
        <v>40</v>
      </c>
      <c r="G5650" s="19" t="s">
        <v>63</v>
      </c>
      <c r="H5650" s="19" t="s">
        <v>59</v>
      </c>
      <c r="I5650" s="19" t="s">
        <v>147</v>
      </c>
      <c r="J5650" s="20">
        <v>48</v>
      </c>
      <c r="K5650" s="34">
        <v>0</v>
      </c>
      <c r="L5650" s="34">
        <v>4</v>
      </c>
      <c r="M5650" s="19">
        <f>IF(OR(ISBLANK(C5650),C5650=""),"",ROUND((C5650-B5650)*24,2))</f>
        <v>50.78</v>
      </c>
      <c r="N5650" s="39" t="str">
        <f>IF(OR(ISBLANK(C5650),C5650="",M5650=""),"In Progress",IF(M5650&lt;=J5650,"Met","Breached"))</f>
        <v>Breached</v>
      </c>
    </row>
    <row r="5651" ht="19" customHeight="1" spans="1:14" x14ac:dyDescent="0.25">
      <c r="A5651" s="22" t="s">
        <v>5765</v>
      </c>
      <c r="B5651" s="36">
        <v>45860.93125</v>
      </c>
      <c r="C5651" s="36">
        <v>45861.54166666667</v>
      </c>
      <c r="D5651" s="22" t="s">
        <v>33</v>
      </c>
      <c r="E5651" s="22" t="s">
        <v>61</v>
      </c>
      <c r="F5651" s="22" t="s">
        <v>45</v>
      </c>
      <c r="G5651" s="22" t="s">
        <v>121</v>
      </c>
      <c r="H5651" s="22" t="s">
        <v>59</v>
      </c>
      <c r="I5651" s="22" t="s">
        <v>114</v>
      </c>
      <c r="J5651" s="23">
        <v>12</v>
      </c>
      <c r="K5651" s="37">
        <v>0</v>
      </c>
      <c r="L5651" s="37">
        <v>3</v>
      </c>
      <c r="M5651" s="22">
        <f>IF(OR(ISBLANK(C5651),C5651=""),"",ROUND((C5651-B5651)*24,2))</f>
        <v>14.65</v>
      </c>
      <c r="N5651" s="38" t="str">
        <f>IF(OR(ISBLANK(C5651),C5651="",M5651=""),"In Progress",IF(M5651&lt;=J5651,"Met","Breached"))</f>
        <v>Breached</v>
      </c>
    </row>
    <row r="5652" ht="19" customHeight="1" spans="1:14" x14ac:dyDescent="0.25">
      <c r="A5652" s="19" t="s">
        <v>5766</v>
      </c>
      <c r="B5652" s="33">
        <v>46287.82847222222</v>
      </c>
      <c r="D5652" s="19" t="s">
        <v>42</v>
      </c>
      <c r="E5652" s="19" t="s">
        <v>65</v>
      </c>
      <c r="F5652" s="19" t="s">
        <v>43</v>
      </c>
      <c r="G5652" s="19" t="s">
        <v>126</v>
      </c>
      <c r="H5652" s="19" t="s">
        <v>63</v>
      </c>
      <c r="I5652" s="19" t="s">
        <v>117</v>
      </c>
      <c r="J5652" s="20">
        <v>48</v>
      </c>
      <c r="K5652" s="34">
        <v>0</v>
      </c>
      <c r="M5652" s="19" t="str">
        <f>IF(OR(ISBLANK(C5652),C5652=""),"",ROUND((C5652-B5652)*24,2))</f>
        <v/>
      </c>
      <c r="N5652" s="19" t="str">
        <f>IF(OR(ISBLANK(C5652),C5652="",M5652=""),"In Progress",IF(M5652&lt;=J5652,"Met","Breached"))</f>
        <v>In Progress</v>
      </c>
    </row>
    <row r="5653" ht="19" customHeight="1" spans="1:14" x14ac:dyDescent="0.25">
      <c r="A5653" s="22" t="s">
        <v>5767</v>
      </c>
      <c r="B5653" s="36">
        <v>46024.808333333334</v>
      </c>
      <c r="D5653" s="22" t="s">
        <v>39</v>
      </c>
      <c r="E5653" s="22" t="s">
        <v>65</v>
      </c>
      <c r="F5653" s="22" t="s">
        <v>40</v>
      </c>
      <c r="G5653" s="22" t="s">
        <v>116</v>
      </c>
      <c r="H5653" s="22" t="s">
        <v>63</v>
      </c>
      <c r="I5653" s="22" t="s">
        <v>108</v>
      </c>
      <c r="J5653" s="23">
        <v>48</v>
      </c>
      <c r="K5653" s="37">
        <v>0</v>
      </c>
      <c r="M5653" s="22" t="str">
        <f>IF(OR(ISBLANK(C5653),C5653=""),"",ROUND((C5653-B5653)*24,2))</f>
        <v/>
      </c>
      <c r="N5653" s="22" t="str">
        <f>IF(OR(ISBLANK(C5653),C5653="",M5653=""),"In Progress",IF(M5653&lt;=J5653,"Met","Breached"))</f>
        <v>In Progress</v>
      </c>
    </row>
    <row r="5654" ht="19" customHeight="1" spans="1:14" x14ac:dyDescent="0.25">
      <c r="A5654" s="19" t="s">
        <v>5768</v>
      </c>
      <c r="B5654" s="33">
        <v>45695.177777777775</v>
      </c>
      <c r="D5654" s="19" t="s">
        <v>39</v>
      </c>
      <c r="E5654" s="19" t="s">
        <v>61</v>
      </c>
      <c r="F5654" s="19" t="s">
        <v>37</v>
      </c>
      <c r="G5654" s="19" t="s">
        <v>113</v>
      </c>
      <c r="H5654" s="19" t="s">
        <v>63</v>
      </c>
      <c r="I5654" s="19" t="s">
        <v>114</v>
      </c>
      <c r="J5654" s="20">
        <v>12</v>
      </c>
      <c r="K5654" s="34">
        <v>0</v>
      </c>
      <c r="M5654" s="19" t="str">
        <f>IF(OR(ISBLANK(C5654),C5654=""),"",ROUND((C5654-B5654)*24,2))</f>
        <v/>
      </c>
      <c r="N5654" s="19" t="str">
        <f>IF(OR(ISBLANK(C5654),C5654="",M5654=""),"In Progress",IF(M5654&lt;=J5654,"Met","Breached"))</f>
        <v>In Progress</v>
      </c>
    </row>
    <row r="5655" ht="19" customHeight="1" spans="1:14" x14ac:dyDescent="0.25">
      <c r="A5655" s="22" t="s">
        <v>5769</v>
      </c>
      <c r="B5655" s="36">
        <v>46261.01388888889</v>
      </c>
      <c r="C5655" s="36">
        <v>46264.18541666667</v>
      </c>
      <c r="D5655" s="22" t="s">
        <v>33</v>
      </c>
      <c r="E5655" s="22" t="s">
        <v>65</v>
      </c>
      <c r="F5655" s="22" t="s">
        <v>43</v>
      </c>
      <c r="G5655" s="22" t="s">
        <v>116</v>
      </c>
      <c r="H5655" s="22" t="s">
        <v>71</v>
      </c>
      <c r="I5655" s="22" t="s">
        <v>111</v>
      </c>
      <c r="J5655" s="23">
        <v>48</v>
      </c>
      <c r="K5655" s="37">
        <v>0</v>
      </c>
      <c r="L5655" s="37">
        <v>3</v>
      </c>
      <c r="M5655" s="22">
        <f>IF(OR(ISBLANK(C5655),C5655=""),"",ROUND((C5655-B5655)*24,2))</f>
        <v>76.12</v>
      </c>
      <c r="N5655" s="38" t="str">
        <f>IF(OR(ISBLANK(C5655),C5655="",M5655=""),"In Progress",IF(M5655&lt;=J5655,"Met","Breached"))</f>
        <v>Breached</v>
      </c>
    </row>
    <row r="5656" ht="19" customHeight="1" spans="1:14" x14ac:dyDescent="0.25">
      <c r="A5656" s="19" t="s">
        <v>5770</v>
      </c>
      <c r="B5656" s="33">
        <v>46075.77986111111</v>
      </c>
      <c r="D5656" s="19" t="s">
        <v>39</v>
      </c>
      <c r="E5656" s="19" t="s">
        <v>61</v>
      </c>
      <c r="F5656" s="19" t="s">
        <v>45</v>
      </c>
      <c r="G5656" s="19" t="s">
        <v>63</v>
      </c>
      <c r="H5656" s="19" t="s">
        <v>67</v>
      </c>
      <c r="I5656" s="19" t="s">
        <v>114</v>
      </c>
      <c r="J5656" s="20">
        <v>12</v>
      </c>
      <c r="K5656" s="34">
        <v>0</v>
      </c>
      <c r="M5656" s="19" t="str">
        <f>IF(OR(ISBLANK(C5656),C5656=""),"",ROUND((C5656-B5656)*24,2))</f>
        <v/>
      </c>
      <c r="N5656" s="19" t="str">
        <f>IF(OR(ISBLANK(C5656),C5656="",M5656=""),"In Progress",IF(M5656&lt;=J5656,"Met","Breached"))</f>
        <v>In Progress</v>
      </c>
    </row>
    <row r="5657" ht="19" customHeight="1" spans="1:14" x14ac:dyDescent="0.25">
      <c r="A5657" s="22" t="s">
        <v>5771</v>
      </c>
      <c r="B5657" s="36">
        <v>45854.07986111111</v>
      </c>
      <c r="C5657" s="36">
        <v>45854.16805555555</v>
      </c>
      <c r="D5657" s="22" t="s">
        <v>36</v>
      </c>
      <c r="E5657" s="22" t="s">
        <v>57</v>
      </c>
      <c r="F5657" s="22" t="s">
        <v>45</v>
      </c>
      <c r="G5657" s="22" t="s">
        <v>126</v>
      </c>
      <c r="H5657" s="22" t="s">
        <v>67</v>
      </c>
      <c r="I5657" s="22" t="s">
        <v>117</v>
      </c>
      <c r="J5657" s="23">
        <v>4</v>
      </c>
      <c r="K5657" s="37">
        <v>0</v>
      </c>
      <c r="L5657" s="37">
        <v>2</v>
      </c>
      <c r="M5657" s="22">
        <f>IF(OR(ISBLANK(C5657),C5657=""),"",ROUND((C5657-B5657)*24,2))</f>
        <v>2.12</v>
      </c>
      <c r="N5657" s="40" t="str">
        <f>IF(OR(ISBLANK(C5657),C5657="",M5657=""),"In Progress",IF(M5657&lt;=J5657,"Met","Breached"))</f>
        <v>Met</v>
      </c>
    </row>
    <row r="5658" ht="19" customHeight="1" spans="1:14" x14ac:dyDescent="0.25">
      <c r="A5658" s="19" t="s">
        <v>5772</v>
      </c>
      <c r="B5658" s="33">
        <v>46195.58888888889</v>
      </c>
      <c r="C5658" s="33">
        <v>46202.33263888889</v>
      </c>
      <c r="D5658" s="19" t="s">
        <v>33</v>
      </c>
      <c r="E5658" s="19" t="s">
        <v>69</v>
      </c>
      <c r="F5658" s="19" t="s">
        <v>34</v>
      </c>
      <c r="G5658" s="19" t="s">
        <v>110</v>
      </c>
      <c r="H5658" s="19" t="s">
        <v>63</v>
      </c>
      <c r="I5658" s="19" t="s">
        <v>123</v>
      </c>
      <c r="J5658" s="20">
        <v>120</v>
      </c>
      <c r="K5658" s="34">
        <v>0</v>
      </c>
      <c r="L5658" s="34">
        <v>4</v>
      </c>
      <c r="M5658" s="19">
        <f>IF(OR(ISBLANK(C5658),C5658=""),"",ROUND((C5658-B5658)*24,2))</f>
        <v>161.85</v>
      </c>
      <c r="N5658" s="39" t="str">
        <f>IF(OR(ISBLANK(C5658),C5658="",M5658=""),"In Progress",IF(M5658&lt;=J5658,"Met","Breached"))</f>
        <v>Breached</v>
      </c>
    </row>
    <row r="5659" ht="19" customHeight="1" spans="1:14" x14ac:dyDescent="0.25">
      <c r="A5659" s="22" t="s">
        <v>5773</v>
      </c>
      <c r="B5659" s="36">
        <v>46187.70208333334</v>
      </c>
      <c r="C5659" s="36">
        <v>46188.76597222222</v>
      </c>
      <c r="D5659" s="22" t="s">
        <v>36</v>
      </c>
      <c r="E5659" s="22" t="s">
        <v>65</v>
      </c>
      <c r="F5659" s="22" t="s">
        <v>43</v>
      </c>
      <c r="G5659" s="22" t="s">
        <v>116</v>
      </c>
      <c r="H5659" s="22" t="s">
        <v>59</v>
      </c>
      <c r="I5659" s="22" t="s">
        <v>111</v>
      </c>
      <c r="J5659" s="23">
        <v>48</v>
      </c>
      <c r="K5659" s="37">
        <v>0</v>
      </c>
      <c r="L5659" s="37">
        <v>1</v>
      </c>
      <c r="M5659" s="22">
        <f>IF(OR(ISBLANK(C5659),C5659=""),"",ROUND((C5659-B5659)*24,2))</f>
        <v>25.53</v>
      </c>
      <c r="N5659" s="40" t="str">
        <f>IF(OR(ISBLANK(C5659),C5659="",M5659=""),"In Progress",IF(M5659&lt;=J5659,"Met","Breached"))</f>
        <v>Met</v>
      </c>
    </row>
    <row r="5660" ht="19" customHeight="1" spans="1:14" x14ac:dyDescent="0.25">
      <c r="A5660" s="19" t="s">
        <v>5774</v>
      </c>
      <c r="B5660" s="33">
        <v>46031.004166666666</v>
      </c>
      <c r="C5660" s="33">
        <v>46033.04166666667</v>
      </c>
      <c r="D5660" s="19" t="s">
        <v>36</v>
      </c>
      <c r="E5660" s="19" t="s">
        <v>65</v>
      </c>
      <c r="F5660" s="19" t="s">
        <v>34</v>
      </c>
      <c r="G5660" s="19" t="s">
        <v>121</v>
      </c>
      <c r="H5660" s="19" t="s">
        <v>59</v>
      </c>
      <c r="I5660" s="19" t="s">
        <v>114</v>
      </c>
      <c r="J5660" s="20">
        <v>48</v>
      </c>
      <c r="K5660" s="34">
        <v>0</v>
      </c>
      <c r="L5660" s="34">
        <v>2</v>
      </c>
      <c r="M5660" s="19">
        <f>IF(OR(ISBLANK(C5660),C5660=""),"",ROUND((C5660-B5660)*24,2))</f>
        <v>48.9</v>
      </c>
      <c r="N5660" s="39" t="str">
        <f>IF(OR(ISBLANK(C5660),C5660="",M5660=""),"In Progress",IF(M5660&lt;=J5660,"Met","Breached"))</f>
        <v>Breached</v>
      </c>
    </row>
    <row r="5661" ht="19" customHeight="1" spans="1:14" x14ac:dyDescent="0.25">
      <c r="A5661" s="22" t="s">
        <v>5775</v>
      </c>
      <c r="B5661" s="36">
        <v>46145.00902777778</v>
      </c>
      <c r="D5661" s="22" t="s">
        <v>42</v>
      </c>
      <c r="E5661" s="22" t="s">
        <v>65</v>
      </c>
      <c r="F5661" s="22" t="s">
        <v>45</v>
      </c>
      <c r="G5661" s="22" t="s">
        <v>126</v>
      </c>
      <c r="H5661" s="22" t="s">
        <v>71</v>
      </c>
      <c r="I5661" s="22" t="s">
        <v>108</v>
      </c>
      <c r="J5661" s="23">
        <v>48</v>
      </c>
      <c r="K5661" s="37">
        <v>0</v>
      </c>
      <c r="M5661" s="22" t="str">
        <f>IF(OR(ISBLANK(C5661),C5661=""),"",ROUND((C5661-B5661)*24,2))</f>
        <v/>
      </c>
      <c r="N5661" s="22" t="str">
        <f>IF(OR(ISBLANK(C5661),C5661="",M5661=""),"In Progress",IF(M5661&lt;=J5661,"Met","Breached"))</f>
        <v>In Progress</v>
      </c>
    </row>
    <row r="5662" ht="19" customHeight="1" spans="1:14" x14ac:dyDescent="0.25">
      <c r="A5662" s="19" t="s">
        <v>5776</v>
      </c>
      <c r="B5662" s="33">
        <v>46240.19583333333</v>
      </c>
      <c r="C5662" s="33">
        <v>46242.05902777778</v>
      </c>
      <c r="D5662" s="19" t="s">
        <v>33</v>
      </c>
      <c r="E5662" s="19" t="s">
        <v>69</v>
      </c>
      <c r="F5662" s="19" t="s">
        <v>40</v>
      </c>
      <c r="G5662" s="19" t="s">
        <v>63</v>
      </c>
      <c r="H5662" s="19" t="s">
        <v>67</v>
      </c>
      <c r="I5662" s="19" t="s">
        <v>147</v>
      </c>
      <c r="J5662" s="20">
        <v>120</v>
      </c>
      <c r="K5662" s="34">
        <v>0</v>
      </c>
      <c r="L5662" s="34">
        <v>5</v>
      </c>
      <c r="M5662" s="19">
        <f>IF(OR(ISBLANK(C5662),C5662=""),"",ROUND((C5662-B5662)*24,2))</f>
        <v>44.72</v>
      </c>
      <c r="N5662" s="35" t="str">
        <f>IF(OR(ISBLANK(C5662),C5662="",M5662=""),"In Progress",IF(M5662&lt;=J5662,"Met","Breached"))</f>
        <v>Met</v>
      </c>
    </row>
    <row r="5663" ht="19" customHeight="1" spans="1:14" x14ac:dyDescent="0.25">
      <c r="A5663" s="22" t="s">
        <v>5777</v>
      </c>
      <c r="B5663" s="36">
        <v>46113.78611111111</v>
      </c>
      <c r="C5663" s="36">
        <v>46113.84166666667</v>
      </c>
      <c r="D5663" s="22" t="s">
        <v>33</v>
      </c>
      <c r="E5663" s="22" t="s">
        <v>57</v>
      </c>
      <c r="F5663" s="22" t="s">
        <v>37</v>
      </c>
      <c r="G5663" s="22" t="s">
        <v>121</v>
      </c>
      <c r="H5663" s="22" t="s">
        <v>59</v>
      </c>
      <c r="I5663" s="22" t="s">
        <v>114</v>
      </c>
      <c r="J5663" s="23">
        <v>4</v>
      </c>
      <c r="K5663" s="37">
        <v>0</v>
      </c>
      <c r="L5663" s="37">
        <v>5</v>
      </c>
      <c r="M5663" s="22">
        <f>IF(OR(ISBLANK(C5663),C5663=""),"",ROUND((C5663-B5663)*24,2))</f>
        <v>1.33</v>
      </c>
      <c r="N5663" s="40" t="str">
        <f>IF(OR(ISBLANK(C5663),C5663="",M5663=""),"In Progress",IF(M5663&lt;=J5663,"Met","Breached"))</f>
        <v>Met</v>
      </c>
    </row>
    <row r="5664" ht="19" customHeight="1" spans="1:14" x14ac:dyDescent="0.25">
      <c r="A5664" s="19" t="s">
        <v>5778</v>
      </c>
      <c r="B5664" s="33">
        <v>46250.89444444445</v>
      </c>
      <c r="C5664" s="33">
        <v>46251.23402777778</v>
      </c>
      <c r="D5664" s="19" t="s">
        <v>33</v>
      </c>
      <c r="E5664" s="19" t="s">
        <v>61</v>
      </c>
      <c r="F5664" s="19" t="s">
        <v>34</v>
      </c>
      <c r="G5664" s="19" t="s">
        <v>121</v>
      </c>
      <c r="H5664" s="19" t="s">
        <v>63</v>
      </c>
      <c r="I5664" s="19" t="s">
        <v>111</v>
      </c>
      <c r="J5664" s="20">
        <v>12</v>
      </c>
      <c r="K5664" s="34">
        <v>0</v>
      </c>
      <c r="L5664" s="34">
        <v>1</v>
      </c>
      <c r="M5664" s="19">
        <f>IF(OR(ISBLANK(C5664),C5664=""),"",ROUND((C5664-B5664)*24,2))</f>
        <v>8.15</v>
      </c>
      <c r="N5664" s="35" t="str">
        <f>IF(OR(ISBLANK(C5664),C5664="",M5664=""),"In Progress",IF(M5664&lt;=J5664,"Met","Breached"))</f>
        <v>Met</v>
      </c>
    </row>
    <row r="5665" ht="19" customHeight="1" spans="1:14" x14ac:dyDescent="0.25">
      <c r="A5665" s="22" t="s">
        <v>5779</v>
      </c>
      <c r="B5665" s="36">
        <v>45994.524305555555</v>
      </c>
      <c r="C5665" s="36">
        <v>45994.59513888889</v>
      </c>
      <c r="D5665" s="22" t="s">
        <v>36</v>
      </c>
      <c r="E5665" s="22" t="s">
        <v>57</v>
      </c>
      <c r="F5665" s="22" t="s">
        <v>40</v>
      </c>
      <c r="G5665" s="22" t="s">
        <v>126</v>
      </c>
      <c r="H5665" s="22" t="s">
        <v>63</v>
      </c>
      <c r="I5665" s="22" t="s">
        <v>147</v>
      </c>
      <c r="J5665" s="23">
        <v>4</v>
      </c>
      <c r="K5665" s="37">
        <v>0</v>
      </c>
      <c r="L5665" s="37">
        <v>2</v>
      </c>
      <c r="M5665" s="22">
        <f>IF(OR(ISBLANK(C5665),C5665=""),"",ROUND((C5665-B5665)*24,2))</f>
        <v>1.7</v>
      </c>
      <c r="N5665" s="40" t="str">
        <f>IF(OR(ISBLANK(C5665),C5665="",M5665=""),"In Progress",IF(M5665&lt;=J5665,"Met","Breached"))</f>
        <v>Met</v>
      </c>
    </row>
    <row r="5666" ht="19" customHeight="1" spans="1:14" x14ac:dyDescent="0.25">
      <c r="A5666" s="19" t="s">
        <v>5780</v>
      </c>
      <c r="B5666" s="33">
        <v>46004.617361111115</v>
      </c>
      <c r="C5666" s="33">
        <v>46007.40416666667</v>
      </c>
      <c r="D5666" s="19" t="s">
        <v>33</v>
      </c>
      <c r="E5666" s="19" t="s">
        <v>65</v>
      </c>
      <c r="F5666" s="19" t="s">
        <v>45</v>
      </c>
      <c r="G5666" s="19" t="s">
        <v>113</v>
      </c>
      <c r="H5666" s="19" t="s">
        <v>63</v>
      </c>
      <c r="I5666" s="19" t="s">
        <v>114</v>
      </c>
      <c r="J5666" s="20">
        <v>48</v>
      </c>
      <c r="K5666" s="34">
        <v>0</v>
      </c>
      <c r="L5666" s="34">
        <v>1</v>
      </c>
      <c r="M5666" s="19">
        <f>IF(OR(ISBLANK(C5666),C5666=""),"",ROUND((C5666-B5666)*24,2))</f>
        <v>66.88</v>
      </c>
      <c r="N5666" s="39" t="str">
        <f>IF(OR(ISBLANK(C5666),C5666="",M5666=""),"In Progress",IF(M5666&lt;=J5666,"Met","Breached"))</f>
        <v>Breached</v>
      </c>
    </row>
    <row r="5667" ht="19" customHeight="1" spans="1:14" x14ac:dyDescent="0.25">
      <c r="A5667" s="22" t="s">
        <v>5781</v>
      </c>
      <c r="B5667" s="36">
        <v>46274.01736111111</v>
      </c>
      <c r="C5667" s="36">
        <v>46274.75277777778</v>
      </c>
      <c r="D5667" s="22" t="s">
        <v>36</v>
      </c>
      <c r="E5667" s="22" t="s">
        <v>61</v>
      </c>
      <c r="F5667" s="22" t="s">
        <v>43</v>
      </c>
      <c r="G5667" s="22" t="s">
        <v>121</v>
      </c>
      <c r="H5667" s="22" t="s">
        <v>59</v>
      </c>
      <c r="I5667" s="22" t="s">
        <v>123</v>
      </c>
      <c r="J5667" s="23">
        <v>12</v>
      </c>
      <c r="K5667" s="37">
        <v>0</v>
      </c>
      <c r="L5667" s="37">
        <v>3</v>
      </c>
      <c r="M5667" s="22">
        <f>IF(OR(ISBLANK(C5667),C5667=""),"",ROUND((C5667-B5667)*24,2))</f>
        <v>17.65</v>
      </c>
      <c r="N5667" s="38" t="str">
        <f>IF(OR(ISBLANK(C5667),C5667="",M5667=""),"In Progress",IF(M5667&lt;=J5667,"Met","Breached"))</f>
        <v>Breached</v>
      </c>
    </row>
    <row r="5668" ht="19" customHeight="1" spans="1:14" x14ac:dyDescent="0.25">
      <c r="A5668" s="19" t="s">
        <v>5782</v>
      </c>
      <c r="B5668" s="33">
        <v>46126.101388888885</v>
      </c>
      <c r="D5668" s="19" t="s">
        <v>39</v>
      </c>
      <c r="E5668" s="19" t="s">
        <v>61</v>
      </c>
      <c r="F5668" s="19" t="s">
        <v>43</v>
      </c>
      <c r="G5668" s="19" t="s">
        <v>113</v>
      </c>
      <c r="H5668" s="19" t="s">
        <v>59</v>
      </c>
      <c r="I5668" s="19" t="s">
        <v>147</v>
      </c>
      <c r="J5668" s="20">
        <v>12</v>
      </c>
      <c r="K5668" s="34">
        <v>0</v>
      </c>
      <c r="M5668" s="19" t="str">
        <f>IF(OR(ISBLANK(C5668),C5668=""),"",ROUND((C5668-B5668)*24,2))</f>
        <v/>
      </c>
      <c r="N5668" s="19" t="str">
        <f>IF(OR(ISBLANK(C5668),C5668="",M5668=""),"In Progress",IF(M5668&lt;=J5668,"Met","Breached"))</f>
        <v>In Progress</v>
      </c>
    </row>
    <row r="5669" ht="19" customHeight="1" spans="1:14" x14ac:dyDescent="0.25">
      <c r="A5669" s="22" t="s">
        <v>5783</v>
      </c>
      <c r="B5669" s="36">
        <v>45890.42222222222</v>
      </c>
      <c r="C5669" s="36">
        <v>45893.228472222225</v>
      </c>
      <c r="D5669" s="22" t="s">
        <v>33</v>
      </c>
      <c r="E5669" s="22" t="s">
        <v>65</v>
      </c>
      <c r="F5669" s="22" t="s">
        <v>37</v>
      </c>
      <c r="G5669" s="22" t="s">
        <v>116</v>
      </c>
      <c r="H5669" s="22" t="s">
        <v>67</v>
      </c>
      <c r="I5669" s="22" t="s">
        <v>108</v>
      </c>
      <c r="J5669" s="23">
        <v>48</v>
      </c>
      <c r="K5669" s="37">
        <v>0</v>
      </c>
      <c r="L5669" s="37">
        <v>3</v>
      </c>
      <c r="M5669" s="22">
        <f>IF(OR(ISBLANK(C5669),C5669=""),"",ROUND((C5669-B5669)*24,2))</f>
        <v>67.35</v>
      </c>
      <c r="N5669" s="38" t="str">
        <f>IF(OR(ISBLANK(C5669),C5669="",M5669=""),"In Progress",IF(M5669&lt;=J5669,"Met","Breached"))</f>
        <v>Breached</v>
      </c>
    </row>
    <row r="5670" ht="19" customHeight="1" spans="1:14" x14ac:dyDescent="0.25">
      <c r="A5670" s="19" t="s">
        <v>5784</v>
      </c>
      <c r="B5670" s="33">
        <v>46248.96666666667</v>
      </c>
      <c r="C5670" s="33">
        <v>46251.46944444445</v>
      </c>
      <c r="D5670" s="19" t="s">
        <v>33</v>
      </c>
      <c r="E5670" s="19" t="s">
        <v>69</v>
      </c>
      <c r="F5670" s="19" t="s">
        <v>37</v>
      </c>
      <c r="G5670" s="19" t="s">
        <v>126</v>
      </c>
      <c r="H5670" s="19" t="s">
        <v>71</v>
      </c>
      <c r="I5670" s="19" t="s">
        <v>111</v>
      </c>
      <c r="J5670" s="20">
        <v>120</v>
      </c>
      <c r="K5670" s="34">
        <v>1</v>
      </c>
      <c r="M5670" s="19">
        <f>IF(OR(ISBLANK(C5670),C5670=""),"",ROUND((C5670-B5670)*24,2))</f>
        <v>60.07</v>
      </c>
      <c r="N5670" s="35" t="str">
        <f>IF(OR(ISBLANK(C5670),C5670="",M5670=""),"In Progress",IF(M5670&lt;=J5670,"Met","Breached"))</f>
        <v>Met</v>
      </c>
    </row>
    <row r="5671" ht="19" customHeight="1" spans="1:14" x14ac:dyDescent="0.25">
      <c r="A5671" s="22" t="s">
        <v>5785</v>
      </c>
      <c r="B5671" s="36">
        <v>46165.49513888889</v>
      </c>
      <c r="C5671" s="36">
        <v>46166.915972222225</v>
      </c>
      <c r="D5671" s="22" t="s">
        <v>33</v>
      </c>
      <c r="E5671" s="22" t="s">
        <v>65</v>
      </c>
      <c r="F5671" s="22" t="s">
        <v>40</v>
      </c>
      <c r="G5671" s="22" t="s">
        <v>63</v>
      </c>
      <c r="H5671" s="22" t="s">
        <v>71</v>
      </c>
      <c r="I5671" s="22" t="s">
        <v>108</v>
      </c>
      <c r="J5671" s="23">
        <v>48</v>
      </c>
      <c r="K5671" s="37">
        <v>0</v>
      </c>
      <c r="M5671" s="22">
        <f>IF(OR(ISBLANK(C5671),C5671=""),"",ROUND((C5671-B5671)*24,2))</f>
        <v>34.1</v>
      </c>
      <c r="N5671" s="40" t="str">
        <f>IF(OR(ISBLANK(C5671),C5671="",M5671=""),"In Progress",IF(M5671&lt;=J5671,"Met","Breached"))</f>
        <v>Met</v>
      </c>
    </row>
    <row r="5672" ht="19" customHeight="1" spans="1:14" x14ac:dyDescent="0.25">
      <c r="A5672" s="19" t="s">
        <v>5786</v>
      </c>
      <c r="B5672" s="33">
        <v>46198.61597222222</v>
      </c>
      <c r="D5672" s="19" t="s">
        <v>42</v>
      </c>
      <c r="E5672" s="19" t="s">
        <v>69</v>
      </c>
      <c r="F5672" s="19" t="s">
        <v>34</v>
      </c>
      <c r="G5672" s="19" t="s">
        <v>116</v>
      </c>
      <c r="H5672" s="19" t="s">
        <v>59</v>
      </c>
      <c r="I5672" s="19" t="s">
        <v>111</v>
      </c>
      <c r="J5672" s="20">
        <v>120</v>
      </c>
      <c r="K5672" s="34">
        <v>0</v>
      </c>
      <c r="M5672" s="19" t="str">
        <f>IF(OR(ISBLANK(C5672),C5672=""),"",ROUND((C5672-B5672)*24,2))</f>
        <v/>
      </c>
      <c r="N5672" s="19" t="str">
        <f>IF(OR(ISBLANK(C5672),C5672="",M5672=""),"In Progress",IF(M5672&lt;=J5672,"Met","Breached"))</f>
        <v>In Progress</v>
      </c>
    </row>
    <row r="5673" ht="19" customHeight="1" spans="1:14" x14ac:dyDescent="0.25">
      <c r="A5673" s="22" t="s">
        <v>5787</v>
      </c>
      <c r="B5673" s="36">
        <v>45750.330555555556</v>
      </c>
      <c r="C5673" s="36">
        <v>45753.82291666667</v>
      </c>
      <c r="D5673" s="22" t="s">
        <v>33</v>
      </c>
      <c r="E5673" s="22" t="s">
        <v>65</v>
      </c>
      <c r="F5673" s="22" t="s">
        <v>45</v>
      </c>
      <c r="G5673" s="22" t="s">
        <v>110</v>
      </c>
      <c r="H5673" s="22" t="s">
        <v>67</v>
      </c>
      <c r="I5673" s="22" t="s">
        <v>147</v>
      </c>
      <c r="J5673" s="23">
        <v>48</v>
      </c>
      <c r="K5673" s="37">
        <v>0</v>
      </c>
      <c r="L5673" s="37">
        <v>3</v>
      </c>
      <c r="M5673" s="22">
        <f>IF(OR(ISBLANK(C5673),C5673=""),"",ROUND((C5673-B5673)*24,2))</f>
        <v>83.82</v>
      </c>
      <c r="N5673" s="38" t="str">
        <f>IF(OR(ISBLANK(C5673),C5673="",M5673=""),"In Progress",IF(M5673&lt;=J5673,"Met","Breached"))</f>
        <v>Breached</v>
      </c>
    </row>
    <row r="5674" ht="19" customHeight="1" spans="1:14" x14ac:dyDescent="0.25">
      <c r="A5674" s="19" t="s">
        <v>5788</v>
      </c>
      <c r="B5674" s="33">
        <v>46011.86111111111</v>
      </c>
      <c r="D5674" s="19" t="s">
        <v>39</v>
      </c>
      <c r="E5674" s="19" t="s">
        <v>65</v>
      </c>
      <c r="F5674" s="19" t="s">
        <v>40</v>
      </c>
      <c r="G5674" s="19" t="s">
        <v>110</v>
      </c>
      <c r="H5674" s="19" t="s">
        <v>63</v>
      </c>
      <c r="I5674" s="19" t="s">
        <v>114</v>
      </c>
      <c r="J5674" s="20">
        <v>48</v>
      </c>
      <c r="K5674" s="34">
        <v>0</v>
      </c>
      <c r="M5674" s="19" t="str">
        <f>IF(OR(ISBLANK(C5674),C5674=""),"",ROUND((C5674-B5674)*24,2))</f>
        <v/>
      </c>
      <c r="N5674" s="19" t="str">
        <f>IF(OR(ISBLANK(C5674),C5674="",M5674=""),"In Progress",IF(M5674&lt;=J5674,"Met","Breached"))</f>
        <v>In Progress</v>
      </c>
    </row>
    <row r="5675" ht="19" customHeight="1" spans="1:14" x14ac:dyDescent="0.25">
      <c r="A5675" s="22" t="s">
        <v>5789</v>
      </c>
      <c r="B5675" s="36">
        <v>46275.42083333334</v>
      </c>
      <c r="C5675" s="36">
        <v>46278.97222222222</v>
      </c>
      <c r="D5675" s="22" t="s">
        <v>36</v>
      </c>
      <c r="E5675" s="22" t="s">
        <v>65</v>
      </c>
      <c r="F5675" s="22" t="s">
        <v>34</v>
      </c>
      <c r="G5675" s="22" t="s">
        <v>113</v>
      </c>
      <c r="H5675" s="22" t="s">
        <v>63</v>
      </c>
      <c r="I5675" s="22" t="s">
        <v>123</v>
      </c>
      <c r="J5675" s="23">
        <v>48</v>
      </c>
      <c r="K5675" s="37">
        <v>0</v>
      </c>
      <c r="L5675" s="37">
        <v>5</v>
      </c>
      <c r="M5675" s="22">
        <f>IF(OR(ISBLANK(C5675),C5675=""),"",ROUND((C5675-B5675)*24,2))</f>
        <v>85.23</v>
      </c>
      <c r="N5675" s="38" t="str">
        <f>IF(OR(ISBLANK(C5675),C5675="",M5675=""),"In Progress",IF(M5675&lt;=J5675,"Met","Breached"))</f>
        <v>Breached</v>
      </c>
    </row>
    <row r="5676" ht="19" customHeight="1" spans="1:14" x14ac:dyDescent="0.25">
      <c r="A5676" s="19" t="s">
        <v>5790</v>
      </c>
      <c r="B5676" s="33">
        <v>45897.450694444444</v>
      </c>
      <c r="C5676" s="33">
        <v>45899.06388888889</v>
      </c>
      <c r="D5676" s="19" t="s">
        <v>33</v>
      </c>
      <c r="E5676" s="19" t="s">
        <v>69</v>
      </c>
      <c r="F5676" s="19" t="s">
        <v>40</v>
      </c>
      <c r="G5676" s="19" t="s">
        <v>63</v>
      </c>
      <c r="H5676" s="19" t="s">
        <v>59</v>
      </c>
      <c r="I5676" s="19" t="s">
        <v>111</v>
      </c>
      <c r="J5676" s="20">
        <v>120</v>
      </c>
      <c r="K5676" s="34">
        <v>0</v>
      </c>
      <c r="L5676" s="34">
        <v>2</v>
      </c>
      <c r="M5676" s="19">
        <f>IF(OR(ISBLANK(C5676),C5676=""),"",ROUND((C5676-B5676)*24,2))</f>
        <v>38.72</v>
      </c>
      <c r="N5676" s="35" t="str">
        <f>IF(OR(ISBLANK(C5676),C5676="",M5676=""),"In Progress",IF(M5676&lt;=J5676,"Met","Breached"))</f>
        <v>Met</v>
      </c>
    </row>
    <row r="5677" ht="19" customHeight="1" spans="1:14" x14ac:dyDescent="0.25">
      <c r="A5677" s="22" t="s">
        <v>5791</v>
      </c>
      <c r="B5677" s="36">
        <v>45864.44791666667</v>
      </c>
      <c r="C5677" s="36">
        <v>45867.027083333334</v>
      </c>
      <c r="D5677" s="22" t="s">
        <v>36</v>
      </c>
      <c r="E5677" s="22" t="s">
        <v>65</v>
      </c>
      <c r="F5677" s="22" t="s">
        <v>43</v>
      </c>
      <c r="G5677" s="22" t="s">
        <v>121</v>
      </c>
      <c r="H5677" s="22" t="s">
        <v>63</v>
      </c>
      <c r="I5677" s="22" t="s">
        <v>108</v>
      </c>
      <c r="J5677" s="23">
        <v>48</v>
      </c>
      <c r="K5677" s="37">
        <v>0</v>
      </c>
      <c r="M5677" s="22">
        <f>IF(OR(ISBLANK(C5677),C5677=""),"",ROUND((C5677-B5677)*24,2))</f>
        <v>61.9</v>
      </c>
      <c r="N5677" s="38" t="str">
        <f>IF(OR(ISBLANK(C5677),C5677="",M5677=""),"In Progress",IF(M5677&lt;=J5677,"Met","Breached"))</f>
        <v>Breached</v>
      </c>
    </row>
    <row r="5678" ht="19" customHeight="1" spans="1:14" x14ac:dyDescent="0.25">
      <c r="A5678" s="19" t="s">
        <v>5792</v>
      </c>
      <c r="B5678" s="33">
        <v>46182.59861111111</v>
      </c>
      <c r="C5678" s="33">
        <v>46190.165972222225</v>
      </c>
      <c r="D5678" s="19" t="s">
        <v>33</v>
      </c>
      <c r="E5678" s="19" t="s">
        <v>69</v>
      </c>
      <c r="F5678" s="19" t="s">
        <v>45</v>
      </c>
      <c r="G5678" s="19" t="s">
        <v>63</v>
      </c>
      <c r="H5678" s="19" t="s">
        <v>59</v>
      </c>
      <c r="I5678" s="19" t="s">
        <v>117</v>
      </c>
      <c r="J5678" s="20">
        <v>120</v>
      </c>
      <c r="K5678" s="34">
        <v>0</v>
      </c>
      <c r="M5678" s="19">
        <f>IF(OR(ISBLANK(C5678),C5678=""),"",ROUND((C5678-B5678)*24,2))</f>
        <v>181.62</v>
      </c>
      <c r="N5678" s="39" t="str">
        <f>IF(OR(ISBLANK(C5678),C5678="",M5678=""),"In Progress",IF(M5678&lt;=J5678,"Met","Breached"))</f>
        <v>Breached</v>
      </c>
    </row>
    <row r="5679" ht="19" customHeight="1" spans="1:14" x14ac:dyDescent="0.25">
      <c r="A5679" s="22" t="s">
        <v>5793</v>
      </c>
      <c r="B5679" s="36">
        <v>46259.97152777778</v>
      </c>
      <c r="D5679" s="22" t="s">
        <v>39</v>
      </c>
      <c r="E5679" s="22" t="s">
        <v>61</v>
      </c>
      <c r="F5679" s="22" t="s">
        <v>43</v>
      </c>
      <c r="G5679" s="22" t="s">
        <v>113</v>
      </c>
      <c r="H5679" s="22" t="s">
        <v>67</v>
      </c>
      <c r="I5679" s="22" t="s">
        <v>114</v>
      </c>
      <c r="J5679" s="23">
        <v>12</v>
      </c>
      <c r="K5679" s="37">
        <v>0</v>
      </c>
      <c r="M5679" s="22" t="str">
        <f>IF(OR(ISBLANK(C5679),C5679=""),"",ROUND((C5679-B5679)*24,2))</f>
        <v/>
      </c>
      <c r="N5679" s="22" t="str">
        <f>IF(OR(ISBLANK(C5679),C5679="",M5679=""),"In Progress",IF(M5679&lt;=J5679,"Met","Breached"))</f>
        <v>In Progress</v>
      </c>
    </row>
    <row r="5680" ht="19" customHeight="1" spans="1:14" x14ac:dyDescent="0.25">
      <c r="A5680" s="19" t="s">
        <v>5794</v>
      </c>
      <c r="B5680" s="33">
        <v>45889.54652777778</v>
      </c>
      <c r="C5680" s="33">
        <v>45890.96944444445</v>
      </c>
      <c r="D5680" s="19" t="s">
        <v>33</v>
      </c>
      <c r="E5680" s="19" t="s">
        <v>65</v>
      </c>
      <c r="F5680" s="19" t="s">
        <v>37</v>
      </c>
      <c r="G5680" s="19" t="s">
        <v>126</v>
      </c>
      <c r="H5680" s="19" t="s">
        <v>71</v>
      </c>
      <c r="I5680" s="19" t="s">
        <v>108</v>
      </c>
      <c r="J5680" s="20">
        <v>48</v>
      </c>
      <c r="K5680" s="34">
        <v>0</v>
      </c>
      <c r="L5680" s="34">
        <v>5</v>
      </c>
      <c r="M5680" s="19">
        <f>IF(OR(ISBLANK(C5680),C5680=""),"",ROUND((C5680-B5680)*24,2))</f>
        <v>34.15</v>
      </c>
      <c r="N5680" s="35" t="str">
        <f>IF(OR(ISBLANK(C5680),C5680="",M5680=""),"In Progress",IF(M5680&lt;=J5680,"Met","Breached"))</f>
        <v>Met</v>
      </c>
    </row>
    <row r="5681" ht="19" customHeight="1" spans="1:14" x14ac:dyDescent="0.25">
      <c r="A5681" s="22" t="s">
        <v>5795</v>
      </c>
      <c r="B5681" s="36">
        <v>45985.17083333334</v>
      </c>
      <c r="C5681" s="36">
        <v>45988.09861111111</v>
      </c>
      <c r="D5681" s="22" t="s">
        <v>36</v>
      </c>
      <c r="E5681" s="22" t="s">
        <v>65</v>
      </c>
      <c r="F5681" s="22" t="s">
        <v>43</v>
      </c>
      <c r="G5681" s="22" t="s">
        <v>63</v>
      </c>
      <c r="H5681" s="22" t="s">
        <v>63</v>
      </c>
      <c r="I5681" s="22" t="s">
        <v>123</v>
      </c>
      <c r="J5681" s="23">
        <v>48</v>
      </c>
      <c r="K5681" s="37">
        <v>0</v>
      </c>
      <c r="L5681" s="37">
        <v>4</v>
      </c>
      <c r="M5681" s="22">
        <f>IF(OR(ISBLANK(C5681),C5681=""),"",ROUND((C5681-B5681)*24,2))</f>
        <v>70.27</v>
      </c>
      <c r="N5681" s="38" t="str">
        <f>IF(OR(ISBLANK(C5681),C5681="",M5681=""),"In Progress",IF(M5681&lt;=J5681,"Met","Breached"))</f>
        <v>Breached</v>
      </c>
    </row>
    <row r="5682" ht="19" customHeight="1" spans="1:14" x14ac:dyDescent="0.25">
      <c r="A5682" s="19" t="s">
        <v>5796</v>
      </c>
      <c r="B5682" s="33">
        <v>45773.49861111111</v>
      </c>
      <c r="D5682" s="19" t="s">
        <v>39</v>
      </c>
      <c r="E5682" s="19" t="s">
        <v>65</v>
      </c>
      <c r="F5682" s="19" t="s">
        <v>34</v>
      </c>
      <c r="G5682" s="19" t="s">
        <v>113</v>
      </c>
      <c r="H5682" s="19" t="s">
        <v>71</v>
      </c>
      <c r="I5682" s="19" t="s">
        <v>123</v>
      </c>
      <c r="J5682" s="20">
        <v>48</v>
      </c>
      <c r="K5682" s="34">
        <v>0</v>
      </c>
      <c r="M5682" s="19" t="str">
        <f>IF(OR(ISBLANK(C5682),C5682=""),"",ROUND((C5682-B5682)*24,2))</f>
        <v/>
      </c>
      <c r="N5682" s="19" t="str">
        <f>IF(OR(ISBLANK(C5682),C5682="",M5682=""),"In Progress",IF(M5682&lt;=J5682,"Met","Breached"))</f>
        <v>In Progress</v>
      </c>
    </row>
    <row r="5683" ht="19" customHeight="1" spans="1:14" x14ac:dyDescent="0.25">
      <c r="A5683" s="22" t="s">
        <v>5797</v>
      </c>
      <c r="B5683" s="36">
        <v>46110.18888888889</v>
      </c>
      <c r="D5683" s="22" t="s">
        <v>39</v>
      </c>
      <c r="E5683" s="22" t="s">
        <v>69</v>
      </c>
      <c r="F5683" s="22" t="s">
        <v>45</v>
      </c>
      <c r="G5683" s="22" t="s">
        <v>110</v>
      </c>
      <c r="H5683" s="22" t="s">
        <v>59</v>
      </c>
      <c r="I5683" s="22" t="s">
        <v>117</v>
      </c>
      <c r="J5683" s="23">
        <v>120</v>
      </c>
      <c r="K5683" s="37">
        <v>0</v>
      </c>
      <c r="M5683" s="22" t="str">
        <f>IF(OR(ISBLANK(C5683),C5683=""),"",ROUND((C5683-B5683)*24,2))</f>
        <v/>
      </c>
      <c r="N5683" s="22" t="str">
        <f>IF(OR(ISBLANK(C5683),C5683="",M5683=""),"In Progress",IF(M5683&lt;=J5683,"Met","Breached"))</f>
        <v>In Progress</v>
      </c>
    </row>
    <row r="5684" ht="19" customHeight="1" spans="1:14" x14ac:dyDescent="0.25">
      <c r="A5684" s="19" t="s">
        <v>5798</v>
      </c>
      <c r="B5684" s="33">
        <v>45700.89375</v>
      </c>
      <c r="D5684" s="19" t="s">
        <v>42</v>
      </c>
      <c r="E5684" s="19" t="s">
        <v>69</v>
      </c>
      <c r="F5684" s="19" t="s">
        <v>34</v>
      </c>
      <c r="G5684" s="19" t="s">
        <v>126</v>
      </c>
      <c r="H5684" s="19" t="s">
        <v>59</v>
      </c>
      <c r="I5684" s="19" t="s">
        <v>114</v>
      </c>
      <c r="J5684" s="20">
        <v>120</v>
      </c>
      <c r="K5684" s="34">
        <v>0</v>
      </c>
      <c r="M5684" s="19" t="str">
        <f>IF(OR(ISBLANK(C5684),C5684=""),"",ROUND((C5684-B5684)*24,2))</f>
        <v/>
      </c>
      <c r="N5684" s="19" t="str">
        <f>IF(OR(ISBLANK(C5684),C5684="",M5684=""),"In Progress",IF(M5684&lt;=J5684,"Met","Breached"))</f>
        <v>In Progress</v>
      </c>
    </row>
    <row r="5685" ht="19" customHeight="1" spans="1:14" x14ac:dyDescent="0.25">
      <c r="A5685" s="22" t="s">
        <v>5799</v>
      </c>
      <c r="B5685" s="36">
        <v>46264.28611111111</v>
      </c>
      <c r="C5685" s="36">
        <v>46269.42708333333</v>
      </c>
      <c r="D5685" s="22" t="s">
        <v>33</v>
      </c>
      <c r="E5685" s="22" t="s">
        <v>69</v>
      </c>
      <c r="F5685" s="22" t="s">
        <v>45</v>
      </c>
      <c r="G5685" s="22" t="s">
        <v>121</v>
      </c>
      <c r="H5685" s="22" t="s">
        <v>59</v>
      </c>
      <c r="I5685" s="22" t="s">
        <v>147</v>
      </c>
      <c r="J5685" s="23">
        <v>120</v>
      </c>
      <c r="K5685" s="37">
        <v>0</v>
      </c>
      <c r="L5685" s="37">
        <v>3</v>
      </c>
      <c r="M5685" s="22">
        <f>IF(OR(ISBLANK(C5685),C5685=""),"",ROUND((C5685-B5685)*24,2))</f>
        <v>123.38</v>
      </c>
      <c r="N5685" s="38" t="str">
        <f>IF(OR(ISBLANK(C5685),C5685="",M5685=""),"In Progress",IF(M5685&lt;=J5685,"Met","Breached"))</f>
        <v>Breached</v>
      </c>
    </row>
    <row r="5686" ht="19" customHeight="1" spans="1:14" x14ac:dyDescent="0.25">
      <c r="A5686" s="19" t="s">
        <v>5800</v>
      </c>
      <c r="B5686" s="33">
        <v>46220.30208333333</v>
      </c>
      <c r="C5686" s="33">
        <v>46220.45416666666</v>
      </c>
      <c r="D5686" s="19" t="s">
        <v>36</v>
      </c>
      <c r="E5686" s="19" t="s">
        <v>61</v>
      </c>
      <c r="F5686" s="19" t="s">
        <v>37</v>
      </c>
      <c r="G5686" s="19" t="s">
        <v>63</v>
      </c>
      <c r="H5686" s="19" t="s">
        <v>67</v>
      </c>
      <c r="I5686" s="19" t="s">
        <v>123</v>
      </c>
      <c r="J5686" s="20">
        <v>12</v>
      </c>
      <c r="K5686" s="34">
        <v>0</v>
      </c>
      <c r="L5686" s="34">
        <v>2</v>
      </c>
      <c r="M5686" s="19">
        <f>IF(OR(ISBLANK(C5686),C5686=""),"",ROUND((C5686-B5686)*24,2))</f>
        <v>3.65</v>
      </c>
      <c r="N5686" s="35" t="str">
        <f>IF(OR(ISBLANK(C5686),C5686="",M5686=""),"In Progress",IF(M5686&lt;=J5686,"Met","Breached"))</f>
        <v>Met</v>
      </c>
    </row>
    <row r="5687" ht="19" customHeight="1" spans="1:14" x14ac:dyDescent="0.25">
      <c r="A5687" s="22" t="s">
        <v>5801</v>
      </c>
      <c r="B5687" s="36">
        <v>46069.23472222222</v>
      </c>
      <c r="D5687" s="22" t="s">
        <v>39</v>
      </c>
      <c r="E5687" s="22" t="s">
        <v>65</v>
      </c>
      <c r="F5687" s="22" t="s">
        <v>43</v>
      </c>
      <c r="G5687" s="22" t="s">
        <v>116</v>
      </c>
      <c r="H5687" s="22" t="s">
        <v>59</v>
      </c>
      <c r="I5687" s="22" t="s">
        <v>111</v>
      </c>
      <c r="J5687" s="23">
        <v>48</v>
      </c>
      <c r="K5687" s="37">
        <v>0</v>
      </c>
      <c r="M5687" s="22" t="str">
        <f>IF(OR(ISBLANK(C5687),C5687=""),"",ROUND((C5687-B5687)*24,2))</f>
        <v/>
      </c>
      <c r="N5687" s="22" t="str">
        <f>IF(OR(ISBLANK(C5687),C5687="",M5687=""),"In Progress",IF(M5687&lt;=J5687,"Met","Breached"))</f>
        <v>In Progress</v>
      </c>
    </row>
    <row r="5688" ht="19" customHeight="1" spans="1:14" x14ac:dyDescent="0.25">
      <c r="A5688" s="19" t="s">
        <v>5802</v>
      </c>
      <c r="B5688" s="33">
        <v>46078.01875</v>
      </c>
      <c r="C5688" s="33">
        <v>46078.634722222225</v>
      </c>
      <c r="D5688" s="19" t="s">
        <v>33</v>
      </c>
      <c r="E5688" s="19" t="s">
        <v>61</v>
      </c>
      <c r="F5688" s="19" t="s">
        <v>34</v>
      </c>
      <c r="G5688" s="19" t="s">
        <v>116</v>
      </c>
      <c r="H5688" s="19" t="s">
        <v>67</v>
      </c>
      <c r="I5688" s="19" t="s">
        <v>123</v>
      </c>
      <c r="J5688" s="20">
        <v>12</v>
      </c>
      <c r="K5688" s="34">
        <v>0</v>
      </c>
      <c r="M5688" s="19">
        <f>IF(OR(ISBLANK(C5688),C5688=""),"",ROUND((C5688-B5688)*24,2))</f>
        <v>14.78</v>
      </c>
      <c r="N5688" s="39" t="str">
        <f>IF(OR(ISBLANK(C5688),C5688="",M5688=""),"In Progress",IF(M5688&lt;=J5688,"Met","Breached"))</f>
        <v>Breached</v>
      </c>
    </row>
    <row r="5689" ht="19" customHeight="1" spans="1:14" x14ac:dyDescent="0.25">
      <c r="A5689" s="22" t="s">
        <v>5803</v>
      </c>
      <c r="B5689" s="36">
        <v>46085.021527777775</v>
      </c>
      <c r="C5689" s="36">
        <v>46085.82152777778</v>
      </c>
      <c r="D5689" s="22" t="s">
        <v>33</v>
      </c>
      <c r="E5689" s="22" t="s">
        <v>65</v>
      </c>
      <c r="F5689" s="22" t="s">
        <v>40</v>
      </c>
      <c r="G5689" s="22" t="s">
        <v>113</v>
      </c>
      <c r="H5689" s="22" t="s">
        <v>59</v>
      </c>
      <c r="I5689" s="22" t="s">
        <v>117</v>
      </c>
      <c r="J5689" s="23">
        <v>48</v>
      </c>
      <c r="K5689" s="37">
        <v>0</v>
      </c>
      <c r="L5689" s="37">
        <v>3</v>
      </c>
      <c r="M5689" s="22">
        <f>IF(OR(ISBLANK(C5689),C5689=""),"",ROUND((C5689-B5689)*24,2))</f>
        <v>19.2</v>
      </c>
      <c r="N5689" s="40" t="str">
        <f>IF(OR(ISBLANK(C5689),C5689="",M5689=""),"In Progress",IF(M5689&lt;=J5689,"Met","Breached"))</f>
        <v>Met</v>
      </c>
    </row>
    <row r="5690" ht="19" customHeight="1" spans="1:14" x14ac:dyDescent="0.25">
      <c r="A5690" s="19" t="s">
        <v>5804</v>
      </c>
      <c r="B5690" s="33">
        <v>45708.96388888889</v>
      </c>
      <c r="C5690" s="33">
        <v>45709.15486111111</v>
      </c>
      <c r="D5690" s="19" t="s">
        <v>33</v>
      </c>
      <c r="E5690" s="19" t="s">
        <v>61</v>
      </c>
      <c r="F5690" s="19" t="s">
        <v>43</v>
      </c>
      <c r="G5690" s="19" t="s">
        <v>113</v>
      </c>
      <c r="H5690" s="19" t="s">
        <v>59</v>
      </c>
      <c r="I5690" s="19" t="s">
        <v>147</v>
      </c>
      <c r="J5690" s="20">
        <v>12</v>
      </c>
      <c r="K5690" s="34">
        <v>0</v>
      </c>
      <c r="M5690" s="19">
        <f>IF(OR(ISBLANK(C5690),C5690=""),"",ROUND((C5690-B5690)*24,2))</f>
        <v>4.58</v>
      </c>
      <c r="N5690" s="35" t="str">
        <f>IF(OR(ISBLANK(C5690),C5690="",M5690=""),"In Progress",IF(M5690&lt;=J5690,"Met","Breached"))</f>
        <v>Met</v>
      </c>
    </row>
    <row r="5691" ht="19" customHeight="1" spans="1:14" x14ac:dyDescent="0.25">
      <c r="A5691" s="22" t="s">
        <v>5805</v>
      </c>
      <c r="B5691" s="36">
        <v>46095.05138888889</v>
      </c>
      <c r="C5691" s="36">
        <v>46097.71319444444</v>
      </c>
      <c r="D5691" s="22" t="s">
        <v>36</v>
      </c>
      <c r="E5691" s="22" t="s">
        <v>65</v>
      </c>
      <c r="F5691" s="22" t="s">
        <v>37</v>
      </c>
      <c r="G5691" s="22" t="s">
        <v>113</v>
      </c>
      <c r="H5691" s="22" t="s">
        <v>59</v>
      </c>
      <c r="I5691" s="22" t="s">
        <v>147</v>
      </c>
      <c r="J5691" s="23">
        <v>48</v>
      </c>
      <c r="K5691" s="37">
        <v>0</v>
      </c>
      <c r="L5691" s="37">
        <v>1</v>
      </c>
      <c r="M5691" s="22">
        <f>IF(OR(ISBLANK(C5691),C5691=""),"",ROUND((C5691-B5691)*24,2))</f>
        <v>63.88</v>
      </c>
      <c r="N5691" s="38" t="str">
        <f>IF(OR(ISBLANK(C5691),C5691="",M5691=""),"In Progress",IF(M5691&lt;=J5691,"Met","Breached"))</f>
        <v>Breached</v>
      </c>
    </row>
    <row r="5692" ht="19" customHeight="1" spans="1:14" x14ac:dyDescent="0.25">
      <c r="A5692" s="19" t="s">
        <v>5806</v>
      </c>
      <c r="B5692" s="33">
        <v>46229.55625</v>
      </c>
      <c r="C5692" s="33">
        <v>46230.31111111111</v>
      </c>
      <c r="D5692" s="19" t="s">
        <v>33</v>
      </c>
      <c r="E5692" s="19" t="s">
        <v>61</v>
      </c>
      <c r="F5692" s="19" t="s">
        <v>37</v>
      </c>
      <c r="G5692" s="19" t="s">
        <v>116</v>
      </c>
      <c r="H5692" s="19" t="s">
        <v>59</v>
      </c>
      <c r="I5692" s="19" t="s">
        <v>123</v>
      </c>
      <c r="J5692" s="20">
        <v>12</v>
      </c>
      <c r="K5692" s="34">
        <v>0</v>
      </c>
      <c r="L5692" s="34">
        <v>1</v>
      </c>
      <c r="M5692" s="19">
        <f>IF(OR(ISBLANK(C5692),C5692=""),"",ROUND((C5692-B5692)*24,2))</f>
        <v>18.12</v>
      </c>
      <c r="N5692" s="39" t="str">
        <f>IF(OR(ISBLANK(C5692),C5692="",M5692=""),"In Progress",IF(M5692&lt;=J5692,"Met","Breached"))</f>
        <v>Breached</v>
      </c>
    </row>
    <row r="5693" ht="19" customHeight="1" spans="1:14" x14ac:dyDescent="0.25">
      <c r="A5693" s="22" t="s">
        <v>5807</v>
      </c>
      <c r="B5693" s="36">
        <v>46012.54791666666</v>
      </c>
      <c r="C5693" s="36">
        <v>46015.32083333333</v>
      </c>
      <c r="D5693" s="22" t="s">
        <v>33</v>
      </c>
      <c r="E5693" s="22" t="s">
        <v>65</v>
      </c>
      <c r="F5693" s="22" t="s">
        <v>34</v>
      </c>
      <c r="G5693" s="22" t="s">
        <v>126</v>
      </c>
      <c r="H5693" s="22" t="s">
        <v>59</v>
      </c>
      <c r="I5693" s="22" t="s">
        <v>114</v>
      </c>
      <c r="J5693" s="23">
        <v>48</v>
      </c>
      <c r="K5693" s="37">
        <v>0</v>
      </c>
      <c r="L5693" s="37">
        <v>2</v>
      </c>
      <c r="M5693" s="22">
        <f>IF(OR(ISBLANK(C5693),C5693=""),"",ROUND((C5693-B5693)*24,2))</f>
        <v>66.55</v>
      </c>
      <c r="N5693" s="38" t="str">
        <f>IF(OR(ISBLANK(C5693),C5693="",M5693=""),"In Progress",IF(M5693&lt;=J5693,"Met","Breached"))</f>
        <v>Breached</v>
      </c>
    </row>
    <row r="5694" ht="19" customHeight="1" spans="1:14" x14ac:dyDescent="0.25">
      <c r="A5694" s="19" t="s">
        <v>5808</v>
      </c>
      <c r="B5694" s="33">
        <v>45983.86666666667</v>
      </c>
      <c r="D5694" s="19" t="s">
        <v>39</v>
      </c>
      <c r="E5694" s="19" t="s">
        <v>69</v>
      </c>
      <c r="F5694" s="19" t="s">
        <v>37</v>
      </c>
      <c r="G5694" s="19" t="s">
        <v>110</v>
      </c>
      <c r="H5694" s="19" t="s">
        <v>63</v>
      </c>
      <c r="I5694" s="19" t="s">
        <v>117</v>
      </c>
      <c r="J5694" s="20">
        <v>120</v>
      </c>
      <c r="K5694" s="34">
        <v>0</v>
      </c>
      <c r="M5694" s="19" t="str">
        <f>IF(OR(ISBLANK(C5694),C5694=""),"",ROUND((C5694-B5694)*24,2))</f>
        <v/>
      </c>
      <c r="N5694" s="19" t="str">
        <f>IF(OR(ISBLANK(C5694),C5694="",M5694=""),"In Progress",IF(M5694&lt;=J5694,"Met","Breached"))</f>
        <v>In Progress</v>
      </c>
    </row>
    <row r="5695" ht="19" customHeight="1" spans="1:14" x14ac:dyDescent="0.25">
      <c r="A5695" s="22" t="s">
        <v>5809</v>
      </c>
      <c r="B5695" s="36">
        <v>46134.83541666667</v>
      </c>
      <c r="C5695" s="36">
        <v>46138.33819444444</v>
      </c>
      <c r="D5695" s="22" t="s">
        <v>36</v>
      </c>
      <c r="E5695" s="22" t="s">
        <v>65</v>
      </c>
      <c r="F5695" s="22" t="s">
        <v>37</v>
      </c>
      <c r="G5695" s="22" t="s">
        <v>110</v>
      </c>
      <c r="H5695" s="22" t="s">
        <v>67</v>
      </c>
      <c r="I5695" s="22" t="s">
        <v>111</v>
      </c>
      <c r="J5695" s="23">
        <v>48</v>
      </c>
      <c r="K5695" s="37">
        <v>0</v>
      </c>
      <c r="M5695" s="22">
        <f>IF(OR(ISBLANK(C5695),C5695=""),"",ROUND((C5695-B5695)*24,2))</f>
        <v>84.07</v>
      </c>
      <c r="N5695" s="38" t="str">
        <f>IF(OR(ISBLANK(C5695),C5695="",M5695=""),"In Progress",IF(M5695&lt;=J5695,"Met","Breached"))</f>
        <v>Breached</v>
      </c>
    </row>
    <row r="5696" ht="19" customHeight="1" spans="1:14" x14ac:dyDescent="0.25">
      <c r="A5696" s="19" t="s">
        <v>5810</v>
      </c>
      <c r="B5696" s="33">
        <v>45803.5</v>
      </c>
      <c r="C5696" s="33">
        <v>45807.336111111115</v>
      </c>
      <c r="D5696" s="19" t="s">
        <v>33</v>
      </c>
      <c r="E5696" s="19" t="s">
        <v>69</v>
      </c>
      <c r="F5696" s="19" t="s">
        <v>34</v>
      </c>
      <c r="G5696" s="19" t="s">
        <v>110</v>
      </c>
      <c r="H5696" s="19" t="s">
        <v>59</v>
      </c>
      <c r="I5696" s="19" t="s">
        <v>117</v>
      </c>
      <c r="J5696" s="20">
        <v>120</v>
      </c>
      <c r="K5696" s="34">
        <v>0</v>
      </c>
      <c r="M5696" s="19">
        <f>IF(OR(ISBLANK(C5696),C5696=""),"",ROUND((C5696-B5696)*24,2))</f>
        <v>92.07</v>
      </c>
      <c r="N5696" s="35" t="str">
        <f>IF(OR(ISBLANK(C5696),C5696="",M5696=""),"In Progress",IF(M5696&lt;=J5696,"Met","Breached"))</f>
        <v>Met</v>
      </c>
    </row>
    <row r="5697" ht="19" customHeight="1" spans="1:14" x14ac:dyDescent="0.25">
      <c r="A5697" s="22" t="s">
        <v>5811</v>
      </c>
      <c r="B5697" s="36">
        <v>45857.38125</v>
      </c>
      <c r="C5697" s="36">
        <v>45857.8</v>
      </c>
      <c r="D5697" s="22" t="s">
        <v>33</v>
      </c>
      <c r="E5697" s="22" t="s">
        <v>61</v>
      </c>
      <c r="F5697" s="22" t="s">
        <v>37</v>
      </c>
      <c r="G5697" s="22" t="s">
        <v>126</v>
      </c>
      <c r="H5697" s="22" t="s">
        <v>59</v>
      </c>
      <c r="I5697" s="22" t="s">
        <v>147</v>
      </c>
      <c r="J5697" s="23">
        <v>12</v>
      </c>
      <c r="K5697" s="37">
        <v>1</v>
      </c>
      <c r="L5697" s="37">
        <v>1</v>
      </c>
      <c r="M5697" s="22">
        <f>IF(OR(ISBLANK(C5697),C5697=""),"",ROUND((C5697-B5697)*24,2))</f>
        <v>10.05</v>
      </c>
      <c r="N5697" s="40" t="str">
        <f>IF(OR(ISBLANK(C5697),C5697="",M5697=""),"In Progress",IF(M5697&lt;=J5697,"Met","Breached"))</f>
        <v>Met</v>
      </c>
    </row>
    <row r="5698" ht="19" customHeight="1" spans="1:14" x14ac:dyDescent="0.25">
      <c r="A5698" s="19" t="s">
        <v>5812</v>
      </c>
      <c r="B5698" s="33">
        <v>46062.50555555556</v>
      </c>
      <c r="D5698" s="19" t="s">
        <v>39</v>
      </c>
      <c r="E5698" s="19" t="s">
        <v>61</v>
      </c>
      <c r="F5698" s="19" t="s">
        <v>37</v>
      </c>
      <c r="G5698" s="19" t="s">
        <v>63</v>
      </c>
      <c r="H5698" s="19" t="s">
        <v>59</v>
      </c>
      <c r="I5698" s="19" t="s">
        <v>114</v>
      </c>
      <c r="J5698" s="20">
        <v>12</v>
      </c>
      <c r="K5698" s="34">
        <v>0</v>
      </c>
      <c r="M5698" s="19" t="str">
        <f>IF(OR(ISBLANK(C5698),C5698=""),"",ROUND((C5698-B5698)*24,2))</f>
        <v/>
      </c>
      <c r="N5698" s="19" t="str">
        <f>IF(OR(ISBLANK(C5698),C5698="",M5698=""),"In Progress",IF(M5698&lt;=J5698,"Met","Breached"))</f>
        <v>In Progress</v>
      </c>
    </row>
    <row r="5699" ht="19" customHeight="1" spans="1:14" x14ac:dyDescent="0.25">
      <c r="A5699" s="22" t="s">
        <v>5813</v>
      </c>
      <c r="B5699" s="36">
        <v>46273.16111111111</v>
      </c>
      <c r="C5699" s="36">
        <v>46277.43472222222</v>
      </c>
      <c r="D5699" s="22" t="s">
        <v>33</v>
      </c>
      <c r="E5699" s="22" t="s">
        <v>69</v>
      </c>
      <c r="F5699" s="22" t="s">
        <v>45</v>
      </c>
      <c r="G5699" s="22" t="s">
        <v>121</v>
      </c>
      <c r="H5699" s="22" t="s">
        <v>59</v>
      </c>
      <c r="I5699" s="22" t="s">
        <v>117</v>
      </c>
      <c r="J5699" s="23">
        <v>120</v>
      </c>
      <c r="K5699" s="37">
        <v>0</v>
      </c>
      <c r="L5699" s="37">
        <v>3</v>
      </c>
      <c r="M5699" s="22">
        <f>IF(OR(ISBLANK(C5699),C5699=""),"",ROUND((C5699-B5699)*24,2))</f>
        <v>102.57</v>
      </c>
      <c r="N5699" s="40" t="str">
        <f>IF(OR(ISBLANK(C5699),C5699="",M5699=""),"In Progress",IF(M5699&lt;=J5699,"Met","Breached"))</f>
        <v>Met</v>
      </c>
    </row>
    <row r="5700" ht="19" customHeight="1" spans="1:14" x14ac:dyDescent="0.25">
      <c r="A5700" s="19" t="s">
        <v>5814</v>
      </c>
      <c r="B5700" s="33">
        <v>46208.58194444445</v>
      </c>
      <c r="C5700" s="33">
        <v>46210.28611111111</v>
      </c>
      <c r="D5700" s="19" t="s">
        <v>33</v>
      </c>
      <c r="E5700" s="19" t="s">
        <v>65</v>
      </c>
      <c r="F5700" s="19" t="s">
        <v>34</v>
      </c>
      <c r="G5700" s="19" t="s">
        <v>63</v>
      </c>
      <c r="H5700" s="19" t="s">
        <v>71</v>
      </c>
      <c r="I5700" s="19" t="s">
        <v>117</v>
      </c>
      <c r="J5700" s="20">
        <v>48</v>
      </c>
      <c r="K5700" s="34">
        <v>1</v>
      </c>
      <c r="L5700" s="34">
        <v>1</v>
      </c>
      <c r="M5700" s="19">
        <f>IF(OR(ISBLANK(C5700),C5700=""),"",ROUND((C5700-B5700)*24,2))</f>
        <v>40.9</v>
      </c>
      <c r="N5700" s="35" t="str">
        <f>IF(OR(ISBLANK(C5700),C5700="",M5700=""),"In Progress",IF(M5700&lt;=J5700,"Met","Breached"))</f>
        <v>Met</v>
      </c>
    </row>
    <row r="5701" ht="19" customHeight="1" spans="1:14" x14ac:dyDescent="0.25">
      <c r="A5701" s="22" t="s">
        <v>5815</v>
      </c>
      <c r="B5701" s="36">
        <v>45883.66180555556</v>
      </c>
      <c r="C5701" s="36">
        <v>45885.986805555556</v>
      </c>
      <c r="D5701" s="22" t="s">
        <v>33</v>
      </c>
      <c r="E5701" s="22" t="s">
        <v>65</v>
      </c>
      <c r="F5701" s="22" t="s">
        <v>34</v>
      </c>
      <c r="G5701" s="22" t="s">
        <v>121</v>
      </c>
      <c r="H5701" s="22" t="s">
        <v>59</v>
      </c>
      <c r="I5701" s="22" t="s">
        <v>147</v>
      </c>
      <c r="J5701" s="23">
        <v>48</v>
      </c>
      <c r="K5701" s="37">
        <v>0</v>
      </c>
      <c r="L5701" s="37">
        <v>5</v>
      </c>
      <c r="M5701" s="22">
        <f>IF(OR(ISBLANK(C5701),C5701=""),"",ROUND((C5701-B5701)*24,2))</f>
        <v>55.8</v>
      </c>
      <c r="N5701" s="38" t="str">
        <f>IF(OR(ISBLANK(C5701),C5701="",M5701=""),"In Progress",IF(M5701&lt;=J5701,"Met","Breached"))</f>
        <v>Breached</v>
      </c>
    </row>
    <row r="5702" ht="19" customHeight="1" spans="1:14" x14ac:dyDescent="0.25">
      <c r="A5702" s="19" t="s">
        <v>5816</v>
      </c>
      <c r="B5702" s="33">
        <v>46059.80625</v>
      </c>
      <c r="C5702" s="33">
        <v>46065.569444444445</v>
      </c>
      <c r="D5702" s="19" t="s">
        <v>36</v>
      </c>
      <c r="E5702" s="19" t="s">
        <v>69</v>
      </c>
      <c r="F5702" s="19" t="s">
        <v>34</v>
      </c>
      <c r="G5702" s="19" t="s">
        <v>113</v>
      </c>
      <c r="H5702" s="19" t="s">
        <v>59</v>
      </c>
      <c r="I5702" s="19" t="s">
        <v>147</v>
      </c>
      <c r="J5702" s="20">
        <v>120</v>
      </c>
      <c r="K5702" s="34">
        <v>1</v>
      </c>
      <c r="L5702" s="34">
        <v>1</v>
      </c>
      <c r="M5702" s="19">
        <f>IF(OR(ISBLANK(C5702),C5702=""),"",ROUND((C5702-B5702)*24,2))</f>
        <v>138.32</v>
      </c>
      <c r="N5702" s="39" t="str">
        <f>IF(OR(ISBLANK(C5702),C5702="",M5702=""),"In Progress",IF(M5702&lt;=J5702,"Met","Breached"))</f>
        <v>Breached</v>
      </c>
    </row>
    <row r="5703" ht="19" customHeight="1" spans="1:14" x14ac:dyDescent="0.25">
      <c r="A5703" s="22" t="s">
        <v>5817</v>
      </c>
      <c r="B5703" s="36">
        <v>45791.03472222222</v>
      </c>
      <c r="C5703" s="36">
        <v>45791.308333333334</v>
      </c>
      <c r="D5703" s="22" t="s">
        <v>33</v>
      </c>
      <c r="E5703" s="22" t="s">
        <v>57</v>
      </c>
      <c r="F5703" s="22" t="s">
        <v>37</v>
      </c>
      <c r="G5703" s="22" t="s">
        <v>113</v>
      </c>
      <c r="H5703" s="22" t="s">
        <v>59</v>
      </c>
      <c r="I5703" s="22" t="s">
        <v>114</v>
      </c>
      <c r="J5703" s="23">
        <v>4</v>
      </c>
      <c r="K5703" s="37">
        <v>0</v>
      </c>
      <c r="L5703" s="37">
        <v>4</v>
      </c>
      <c r="M5703" s="22">
        <f>IF(OR(ISBLANK(C5703),C5703=""),"",ROUND((C5703-B5703)*24,2))</f>
        <v>6.57</v>
      </c>
      <c r="N5703" s="38" t="str">
        <f>IF(OR(ISBLANK(C5703),C5703="",M5703=""),"In Progress",IF(M5703&lt;=J5703,"Met","Breached"))</f>
        <v>Breached</v>
      </c>
    </row>
    <row r="5704" ht="19" customHeight="1" spans="1:14" x14ac:dyDescent="0.25">
      <c r="A5704" s="19" t="s">
        <v>5818</v>
      </c>
      <c r="B5704" s="33">
        <v>46112.13125</v>
      </c>
      <c r="C5704" s="33">
        <v>46113.28333333333</v>
      </c>
      <c r="D5704" s="19" t="s">
        <v>33</v>
      </c>
      <c r="E5704" s="19" t="s">
        <v>65</v>
      </c>
      <c r="F5704" s="19" t="s">
        <v>45</v>
      </c>
      <c r="G5704" s="19" t="s">
        <v>126</v>
      </c>
      <c r="H5704" s="19" t="s">
        <v>63</v>
      </c>
      <c r="I5704" s="19" t="s">
        <v>123</v>
      </c>
      <c r="J5704" s="20">
        <v>48</v>
      </c>
      <c r="K5704" s="34">
        <v>0</v>
      </c>
      <c r="L5704" s="34">
        <v>3</v>
      </c>
      <c r="M5704" s="19">
        <f>IF(OR(ISBLANK(C5704),C5704=""),"",ROUND((C5704-B5704)*24,2))</f>
        <v>27.65</v>
      </c>
      <c r="N5704" s="35" t="str">
        <f>IF(OR(ISBLANK(C5704),C5704="",M5704=""),"In Progress",IF(M5704&lt;=J5704,"Met","Breached"))</f>
        <v>Met</v>
      </c>
    </row>
    <row r="5705" ht="19" customHeight="1" spans="1:14" x14ac:dyDescent="0.25">
      <c r="A5705" s="22" t="s">
        <v>5819</v>
      </c>
      <c r="B5705" s="36">
        <v>45895.575694444444</v>
      </c>
      <c r="C5705" s="36">
        <v>45901.02569444444</v>
      </c>
      <c r="D5705" s="22" t="s">
        <v>33</v>
      </c>
      <c r="E5705" s="22" t="s">
        <v>69</v>
      </c>
      <c r="F5705" s="22" t="s">
        <v>43</v>
      </c>
      <c r="G5705" s="22" t="s">
        <v>63</v>
      </c>
      <c r="H5705" s="22" t="s">
        <v>63</v>
      </c>
      <c r="I5705" s="22" t="s">
        <v>123</v>
      </c>
      <c r="J5705" s="23">
        <v>120</v>
      </c>
      <c r="K5705" s="37">
        <v>0</v>
      </c>
      <c r="L5705" s="37">
        <v>2</v>
      </c>
      <c r="M5705" s="22">
        <f>IF(OR(ISBLANK(C5705),C5705=""),"",ROUND((C5705-B5705)*24,2))</f>
        <v>130.8</v>
      </c>
      <c r="N5705" s="38" t="str">
        <f>IF(OR(ISBLANK(C5705),C5705="",M5705=""),"In Progress",IF(M5705&lt;=J5705,"Met","Breached"))</f>
        <v>Breached</v>
      </c>
    </row>
    <row r="5706" ht="19" customHeight="1" spans="1:14" x14ac:dyDescent="0.25">
      <c r="A5706" s="19" t="s">
        <v>5820</v>
      </c>
      <c r="B5706" s="33">
        <v>45835.86597222222</v>
      </c>
      <c r="C5706" s="33">
        <v>45837.17222222222</v>
      </c>
      <c r="D5706" s="19" t="s">
        <v>33</v>
      </c>
      <c r="E5706" s="19" t="s">
        <v>65</v>
      </c>
      <c r="F5706" s="19" t="s">
        <v>43</v>
      </c>
      <c r="G5706" s="19" t="s">
        <v>126</v>
      </c>
      <c r="H5706" s="19" t="s">
        <v>71</v>
      </c>
      <c r="I5706" s="19" t="s">
        <v>111</v>
      </c>
      <c r="J5706" s="20">
        <v>48</v>
      </c>
      <c r="K5706" s="34">
        <v>0</v>
      </c>
      <c r="L5706" s="34">
        <v>1</v>
      </c>
      <c r="M5706" s="19">
        <f>IF(OR(ISBLANK(C5706),C5706=""),"",ROUND((C5706-B5706)*24,2))</f>
        <v>31.35</v>
      </c>
      <c r="N5706" s="35" t="str">
        <f>IF(OR(ISBLANK(C5706),C5706="",M5706=""),"In Progress",IF(M5706&lt;=J5706,"Met","Breached"))</f>
        <v>Met</v>
      </c>
    </row>
    <row r="5707" ht="19" customHeight="1" spans="1:14" x14ac:dyDescent="0.25">
      <c r="A5707" s="22" t="s">
        <v>5821</v>
      </c>
      <c r="B5707" s="36">
        <v>45923.36388888889</v>
      </c>
      <c r="C5707" s="36">
        <v>45925.59375</v>
      </c>
      <c r="D5707" s="22" t="s">
        <v>36</v>
      </c>
      <c r="E5707" s="22" t="s">
        <v>65</v>
      </c>
      <c r="F5707" s="22" t="s">
        <v>45</v>
      </c>
      <c r="G5707" s="22" t="s">
        <v>63</v>
      </c>
      <c r="H5707" s="22" t="s">
        <v>67</v>
      </c>
      <c r="I5707" s="22" t="s">
        <v>111</v>
      </c>
      <c r="J5707" s="23">
        <v>48</v>
      </c>
      <c r="K5707" s="37">
        <v>0</v>
      </c>
      <c r="L5707" s="37">
        <v>5</v>
      </c>
      <c r="M5707" s="22">
        <f>IF(OR(ISBLANK(C5707),C5707=""),"",ROUND((C5707-B5707)*24,2))</f>
        <v>53.52</v>
      </c>
      <c r="N5707" s="38" t="str">
        <f>IF(OR(ISBLANK(C5707),C5707="",M5707=""),"In Progress",IF(M5707&lt;=J5707,"Met","Breached"))</f>
        <v>Breached</v>
      </c>
    </row>
    <row r="5708" ht="19" customHeight="1" spans="1:14" x14ac:dyDescent="0.25">
      <c r="A5708" s="19" t="s">
        <v>5822</v>
      </c>
      <c r="B5708" s="33">
        <v>45940.62708333333</v>
      </c>
      <c r="C5708" s="33">
        <v>45948.9625</v>
      </c>
      <c r="D5708" s="19" t="s">
        <v>33</v>
      </c>
      <c r="E5708" s="19" t="s">
        <v>69</v>
      </c>
      <c r="F5708" s="19" t="s">
        <v>40</v>
      </c>
      <c r="G5708" s="19" t="s">
        <v>110</v>
      </c>
      <c r="H5708" s="19" t="s">
        <v>67</v>
      </c>
      <c r="I5708" s="19" t="s">
        <v>117</v>
      </c>
      <c r="J5708" s="20">
        <v>120</v>
      </c>
      <c r="K5708" s="34">
        <v>0</v>
      </c>
      <c r="L5708" s="34">
        <v>2</v>
      </c>
      <c r="M5708" s="19">
        <f>IF(OR(ISBLANK(C5708),C5708=""),"",ROUND((C5708-B5708)*24,2))</f>
        <v>200.05</v>
      </c>
      <c r="N5708" s="39" t="str">
        <f>IF(OR(ISBLANK(C5708),C5708="",M5708=""),"In Progress",IF(M5708&lt;=J5708,"Met","Breached"))</f>
        <v>Breached</v>
      </c>
    </row>
    <row r="5709" ht="19" customHeight="1" spans="1:14" x14ac:dyDescent="0.25">
      <c r="A5709" s="22" t="s">
        <v>5823</v>
      </c>
      <c r="B5709" s="36">
        <v>45975.57708333334</v>
      </c>
      <c r="C5709" s="36">
        <v>45975.76736111111</v>
      </c>
      <c r="D5709" s="22" t="s">
        <v>33</v>
      </c>
      <c r="E5709" s="22" t="s">
        <v>57</v>
      </c>
      <c r="F5709" s="22" t="s">
        <v>45</v>
      </c>
      <c r="G5709" s="22" t="s">
        <v>126</v>
      </c>
      <c r="H5709" s="22" t="s">
        <v>63</v>
      </c>
      <c r="I5709" s="22" t="s">
        <v>123</v>
      </c>
      <c r="J5709" s="23">
        <v>4</v>
      </c>
      <c r="K5709" s="37">
        <v>0</v>
      </c>
      <c r="L5709" s="37">
        <v>1</v>
      </c>
      <c r="M5709" s="22">
        <f>IF(OR(ISBLANK(C5709),C5709=""),"",ROUND((C5709-B5709)*24,2))</f>
        <v>4.57</v>
      </c>
      <c r="N5709" s="38" t="str">
        <f>IF(OR(ISBLANK(C5709),C5709="",M5709=""),"In Progress",IF(M5709&lt;=J5709,"Met","Breached"))</f>
        <v>Breached</v>
      </c>
    </row>
    <row r="5710" ht="19" customHeight="1" spans="1:14" x14ac:dyDescent="0.25">
      <c r="A5710" s="19" t="s">
        <v>5824</v>
      </c>
      <c r="B5710" s="33">
        <v>46172.44027777778</v>
      </c>
      <c r="D5710" s="19" t="s">
        <v>42</v>
      </c>
      <c r="E5710" s="19" t="s">
        <v>69</v>
      </c>
      <c r="F5710" s="19" t="s">
        <v>45</v>
      </c>
      <c r="G5710" s="19" t="s">
        <v>113</v>
      </c>
      <c r="H5710" s="19" t="s">
        <v>67</v>
      </c>
      <c r="I5710" s="19" t="s">
        <v>114</v>
      </c>
      <c r="J5710" s="20">
        <v>120</v>
      </c>
      <c r="K5710" s="34">
        <v>0</v>
      </c>
      <c r="M5710" s="19" t="str">
        <f>IF(OR(ISBLANK(C5710),C5710=""),"",ROUND((C5710-B5710)*24,2))</f>
        <v/>
      </c>
      <c r="N5710" s="19" t="str">
        <f>IF(OR(ISBLANK(C5710),C5710="",M5710=""),"In Progress",IF(M5710&lt;=J5710,"Met","Breached"))</f>
        <v>In Progress</v>
      </c>
    </row>
    <row r="5711" ht="19" customHeight="1" spans="1:14" x14ac:dyDescent="0.25">
      <c r="A5711" s="22" t="s">
        <v>5825</v>
      </c>
      <c r="B5711" s="36">
        <v>46060.254166666666</v>
      </c>
      <c r="D5711" s="22" t="s">
        <v>39</v>
      </c>
      <c r="E5711" s="22" t="s">
        <v>65</v>
      </c>
      <c r="F5711" s="22" t="s">
        <v>34</v>
      </c>
      <c r="G5711" s="22" t="s">
        <v>116</v>
      </c>
      <c r="H5711" s="22" t="s">
        <v>59</v>
      </c>
      <c r="I5711" s="22" t="s">
        <v>108</v>
      </c>
      <c r="J5711" s="23">
        <v>48</v>
      </c>
      <c r="K5711" s="37">
        <v>0</v>
      </c>
      <c r="M5711" s="22" t="str">
        <f>IF(OR(ISBLANK(C5711),C5711=""),"",ROUND((C5711-B5711)*24,2))</f>
        <v/>
      </c>
      <c r="N5711" s="22" t="str">
        <f>IF(OR(ISBLANK(C5711),C5711="",M5711=""),"In Progress",IF(M5711&lt;=J5711,"Met","Breached"))</f>
        <v>In Progress</v>
      </c>
    </row>
    <row r="5712" ht="19" customHeight="1" spans="1:14" x14ac:dyDescent="0.25">
      <c r="A5712" s="19" t="s">
        <v>5826</v>
      </c>
      <c r="B5712" s="33">
        <v>46219.87847222222</v>
      </c>
      <c r="C5712" s="33">
        <v>46220.066666666666</v>
      </c>
      <c r="D5712" s="19" t="s">
        <v>33</v>
      </c>
      <c r="E5712" s="19" t="s">
        <v>61</v>
      </c>
      <c r="F5712" s="19" t="s">
        <v>40</v>
      </c>
      <c r="G5712" s="19" t="s">
        <v>121</v>
      </c>
      <c r="H5712" s="19" t="s">
        <v>59</v>
      </c>
      <c r="I5712" s="19" t="s">
        <v>114</v>
      </c>
      <c r="J5712" s="20">
        <v>12</v>
      </c>
      <c r="K5712" s="34">
        <v>0</v>
      </c>
      <c r="M5712" s="19">
        <f>IF(OR(ISBLANK(C5712),C5712=""),"",ROUND((C5712-B5712)*24,2))</f>
        <v>4.52</v>
      </c>
      <c r="N5712" s="35" t="str">
        <f>IF(OR(ISBLANK(C5712),C5712="",M5712=""),"In Progress",IF(M5712&lt;=J5712,"Met","Breached"))</f>
        <v>Met</v>
      </c>
    </row>
    <row r="5713" ht="19" customHeight="1" spans="1:14" x14ac:dyDescent="0.25">
      <c r="A5713" s="22" t="s">
        <v>5827</v>
      </c>
      <c r="B5713" s="36">
        <v>45666.41180555556</v>
      </c>
      <c r="C5713" s="36">
        <v>45666.61388888889</v>
      </c>
      <c r="D5713" s="22" t="s">
        <v>33</v>
      </c>
      <c r="E5713" s="22" t="s">
        <v>57</v>
      </c>
      <c r="F5713" s="22" t="s">
        <v>34</v>
      </c>
      <c r="G5713" s="22" t="s">
        <v>126</v>
      </c>
      <c r="H5713" s="22" t="s">
        <v>63</v>
      </c>
      <c r="I5713" s="22" t="s">
        <v>108</v>
      </c>
      <c r="J5713" s="23">
        <v>4</v>
      </c>
      <c r="K5713" s="37">
        <v>0</v>
      </c>
      <c r="L5713" s="37">
        <v>1</v>
      </c>
      <c r="M5713" s="22">
        <f>IF(OR(ISBLANK(C5713),C5713=""),"",ROUND((C5713-B5713)*24,2))</f>
        <v>4.85</v>
      </c>
      <c r="N5713" s="38" t="str">
        <f>IF(OR(ISBLANK(C5713),C5713="",M5713=""),"In Progress",IF(M5713&lt;=J5713,"Met","Breached"))</f>
        <v>Breached</v>
      </c>
    </row>
    <row r="5714" ht="19" customHeight="1" spans="1:14" x14ac:dyDescent="0.25">
      <c r="A5714" s="19" t="s">
        <v>5828</v>
      </c>
      <c r="B5714" s="33">
        <v>46065.32916666666</v>
      </c>
      <c r="C5714" s="33">
        <v>46068.183333333334</v>
      </c>
      <c r="D5714" s="19" t="s">
        <v>36</v>
      </c>
      <c r="E5714" s="19" t="s">
        <v>65</v>
      </c>
      <c r="F5714" s="19" t="s">
        <v>43</v>
      </c>
      <c r="G5714" s="19" t="s">
        <v>116</v>
      </c>
      <c r="H5714" s="19" t="s">
        <v>59</v>
      </c>
      <c r="I5714" s="19" t="s">
        <v>117</v>
      </c>
      <c r="J5714" s="20">
        <v>48</v>
      </c>
      <c r="K5714" s="34">
        <v>0</v>
      </c>
      <c r="M5714" s="19">
        <f>IF(OR(ISBLANK(C5714),C5714=""),"",ROUND((C5714-B5714)*24,2))</f>
        <v>68.5</v>
      </c>
      <c r="N5714" s="39" t="str">
        <f>IF(OR(ISBLANK(C5714),C5714="",M5714=""),"In Progress",IF(M5714&lt;=J5714,"Met","Breached"))</f>
        <v>Breached</v>
      </c>
    </row>
    <row r="5715" ht="19" customHeight="1" spans="1:14" x14ac:dyDescent="0.25">
      <c r="A5715" s="22" t="s">
        <v>5829</v>
      </c>
      <c r="B5715" s="36">
        <v>45899.82291666667</v>
      </c>
      <c r="C5715" s="36">
        <v>45901.93125</v>
      </c>
      <c r="D5715" s="22" t="s">
        <v>33</v>
      </c>
      <c r="E5715" s="22" t="s">
        <v>65</v>
      </c>
      <c r="F5715" s="22" t="s">
        <v>40</v>
      </c>
      <c r="G5715" s="22" t="s">
        <v>121</v>
      </c>
      <c r="H5715" s="22" t="s">
        <v>63</v>
      </c>
      <c r="I5715" s="22" t="s">
        <v>111</v>
      </c>
      <c r="J5715" s="23">
        <v>48</v>
      </c>
      <c r="K5715" s="37">
        <v>0</v>
      </c>
      <c r="L5715" s="37">
        <v>4</v>
      </c>
      <c r="M5715" s="22">
        <f>IF(OR(ISBLANK(C5715),C5715=""),"",ROUND((C5715-B5715)*24,2))</f>
        <v>50.6</v>
      </c>
      <c r="N5715" s="38" t="str">
        <f>IF(OR(ISBLANK(C5715),C5715="",M5715=""),"In Progress",IF(M5715&lt;=J5715,"Met","Breached"))</f>
        <v>Breached</v>
      </c>
    </row>
    <row r="5716" ht="19" customHeight="1" spans="1:14" x14ac:dyDescent="0.25">
      <c r="A5716" s="19" t="s">
        <v>5830</v>
      </c>
      <c r="B5716" s="33">
        <v>46230.961805555555</v>
      </c>
      <c r="C5716" s="33">
        <v>46238.85902777778</v>
      </c>
      <c r="D5716" s="19" t="s">
        <v>33</v>
      </c>
      <c r="E5716" s="19" t="s">
        <v>69</v>
      </c>
      <c r="F5716" s="19" t="s">
        <v>43</v>
      </c>
      <c r="G5716" s="19" t="s">
        <v>110</v>
      </c>
      <c r="H5716" s="19" t="s">
        <v>59</v>
      </c>
      <c r="I5716" s="19" t="s">
        <v>147</v>
      </c>
      <c r="J5716" s="20">
        <v>120</v>
      </c>
      <c r="K5716" s="34">
        <v>0</v>
      </c>
      <c r="L5716" s="34">
        <v>4</v>
      </c>
      <c r="M5716" s="19">
        <f>IF(OR(ISBLANK(C5716),C5716=""),"",ROUND((C5716-B5716)*24,2))</f>
        <v>189.53</v>
      </c>
      <c r="N5716" s="39" t="str">
        <f>IF(OR(ISBLANK(C5716),C5716="",M5716=""),"In Progress",IF(M5716&lt;=J5716,"Met","Breached"))</f>
        <v>Breached</v>
      </c>
    </row>
    <row r="5717" ht="19" customHeight="1" spans="1:14" x14ac:dyDescent="0.25">
      <c r="A5717" s="22" t="s">
        <v>5831</v>
      </c>
      <c r="B5717" s="36">
        <v>45724.597916666666</v>
      </c>
      <c r="D5717" s="22" t="s">
        <v>42</v>
      </c>
      <c r="E5717" s="22" t="s">
        <v>69</v>
      </c>
      <c r="F5717" s="22" t="s">
        <v>37</v>
      </c>
      <c r="G5717" s="22" t="s">
        <v>110</v>
      </c>
      <c r="H5717" s="22" t="s">
        <v>67</v>
      </c>
      <c r="I5717" s="22" t="s">
        <v>147</v>
      </c>
      <c r="J5717" s="23">
        <v>120</v>
      </c>
      <c r="K5717" s="37">
        <v>0</v>
      </c>
      <c r="M5717" s="22" t="str">
        <f>IF(OR(ISBLANK(C5717),C5717=""),"",ROUND((C5717-B5717)*24,2))</f>
        <v/>
      </c>
      <c r="N5717" s="22" t="str">
        <f>IF(OR(ISBLANK(C5717),C5717="",M5717=""),"In Progress",IF(M5717&lt;=J5717,"Met","Breached"))</f>
        <v>In Progress</v>
      </c>
    </row>
    <row r="5718" ht="19" customHeight="1" spans="1:14" x14ac:dyDescent="0.25">
      <c r="A5718" s="19" t="s">
        <v>5832</v>
      </c>
      <c r="B5718" s="33">
        <v>45745.67638888889</v>
      </c>
      <c r="C5718" s="33">
        <v>45745.99861111111</v>
      </c>
      <c r="D5718" s="19" t="s">
        <v>33</v>
      </c>
      <c r="E5718" s="19" t="s">
        <v>61</v>
      </c>
      <c r="F5718" s="19" t="s">
        <v>45</v>
      </c>
      <c r="G5718" s="19" t="s">
        <v>110</v>
      </c>
      <c r="H5718" s="19" t="s">
        <v>63</v>
      </c>
      <c r="I5718" s="19" t="s">
        <v>147</v>
      </c>
      <c r="J5718" s="20">
        <v>12</v>
      </c>
      <c r="K5718" s="34">
        <v>0</v>
      </c>
      <c r="L5718" s="34">
        <v>4</v>
      </c>
      <c r="M5718" s="19">
        <f>IF(OR(ISBLANK(C5718),C5718=""),"",ROUND((C5718-B5718)*24,2))</f>
        <v>7.73</v>
      </c>
      <c r="N5718" s="35" t="str">
        <f>IF(OR(ISBLANK(C5718),C5718="",M5718=""),"In Progress",IF(M5718&lt;=J5718,"Met","Breached"))</f>
        <v>Met</v>
      </c>
    </row>
    <row r="5719" ht="19" customHeight="1" spans="1:14" x14ac:dyDescent="0.25">
      <c r="A5719" s="22" t="s">
        <v>5833</v>
      </c>
      <c r="B5719" s="36">
        <v>45694.64722222222</v>
      </c>
      <c r="C5719" s="36">
        <v>45698.38680555555</v>
      </c>
      <c r="D5719" s="22" t="s">
        <v>33</v>
      </c>
      <c r="E5719" s="22" t="s">
        <v>69</v>
      </c>
      <c r="F5719" s="22" t="s">
        <v>40</v>
      </c>
      <c r="G5719" s="22" t="s">
        <v>63</v>
      </c>
      <c r="H5719" s="22" t="s">
        <v>59</v>
      </c>
      <c r="I5719" s="22" t="s">
        <v>111</v>
      </c>
      <c r="J5719" s="23">
        <v>120</v>
      </c>
      <c r="K5719" s="37">
        <v>0</v>
      </c>
      <c r="L5719" s="37">
        <v>4</v>
      </c>
      <c r="M5719" s="22">
        <f>IF(OR(ISBLANK(C5719),C5719=""),"",ROUND((C5719-B5719)*24,2))</f>
        <v>89.75</v>
      </c>
      <c r="N5719" s="40" t="str">
        <f>IF(OR(ISBLANK(C5719),C5719="",M5719=""),"In Progress",IF(M5719&lt;=J5719,"Met","Breached"))</f>
        <v>Met</v>
      </c>
    </row>
    <row r="5720" ht="19" customHeight="1" spans="1:14" x14ac:dyDescent="0.25">
      <c r="A5720" s="19" t="s">
        <v>5834</v>
      </c>
      <c r="B5720" s="33">
        <v>46222.6625</v>
      </c>
      <c r="D5720" s="19" t="s">
        <v>39</v>
      </c>
      <c r="E5720" s="19" t="s">
        <v>57</v>
      </c>
      <c r="F5720" s="19" t="s">
        <v>40</v>
      </c>
      <c r="G5720" s="19" t="s">
        <v>113</v>
      </c>
      <c r="H5720" s="19" t="s">
        <v>63</v>
      </c>
      <c r="I5720" s="19" t="s">
        <v>117</v>
      </c>
      <c r="J5720" s="20">
        <v>4</v>
      </c>
      <c r="K5720" s="34">
        <v>0</v>
      </c>
      <c r="M5720" s="19" t="str">
        <f>IF(OR(ISBLANK(C5720),C5720=""),"",ROUND((C5720-B5720)*24,2))</f>
        <v/>
      </c>
      <c r="N5720" s="19" t="str">
        <f>IF(OR(ISBLANK(C5720),C5720="",M5720=""),"In Progress",IF(M5720&lt;=J5720,"Met","Breached"))</f>
        <v>In Progress</v>
      </c>
    </row>
    <row r="5721" ht="19" customHeight="1" spans="1:14" x14ac:dyDescent="0.25">
      <c r="A5721" s="22" t="s">
        <v>5835</v>
      </c>
      <c r="B5721" s="36">
        <v>46099.29513888889</v>
      </c>
      <c r="C5721" s="36">
        <v>46101.794444444444</v>
      </c>
      <c r="D5721" s="22" t="s">
        <v>36</v>
      </c>
      <c r="E5721" s="22" t="s">
        <v>69</v>
      </c>
      <c r="F5721" s="22" t="s">
        <v>43</v>
      </c>
      <c r="G5721" s="22" t="s">
        <v>116</v>
      </c>
      <c r="H5721" s="22" t="s">
        <v>71</v>
      </c>
      <c r="I5721" s="22" t="s">
        <v>117</v>
      </c>
      <c r="J5721" s="23">
        <v>120</v>
      </c>
      <c r="K5721" s="37">
        <v>0</v>
      </c>
      <c r="L5721" s="37">
        <v>4</v>
      </c>
      <c r="M5721" s="22">
        <f>IF(OR(ISBLANK(C5721),C5721=""),"",ROUND((C5721-B5721)*24,2))</f>
        <v>59.98</v>
      </c>
      <c r="N5721" s="40" t="str">
        <f>IF(OR(ISBLANK(C5721),C5721="",M5721=""),"In Progress",IF(M5721&lt;=J5721,"Met","Breached"))</f>
        <v>Met</v>
      </c>
    </row>
    <row r="5722" ht="19" customHeight="1" spans="1:14" x14ac:dyDescent="0.25">
      <c r="A5722" s="19" t="s">
        <v>5836</v>
      </c>
      <c r="B5722" s="33">
        <v>45778.351388888885</v>
      </c>
      <c r="C5722" s="33">
        <v>45782.245833333334</v>
      </c>
      <c r="D5722" s="19" t="s">
        <v>33</v>
      </c>
      <c r="E5722" s="19" t="s">
        <v>69</v>
      </c>
      <c r="F5722" s="19" t="s">
        <v>40</v>
      </c>
      <c r="G5722" s="19" t="s">
        <v>110</v>
      </c>
      <c r="H5722" s="19" t="s">
        <v>59</v>
      </c>
      <c r="I5722" s="19" t="s">
        <v>123</v>
      </c>
      <c r="J5722" s="20">
        <v>120</v>
      </c>
      <c r="K5722" s="34">
        <v>0</v>
      </c>
      <c r="L5722" s="34">
        <v>3</v>
      </c>
      <c r="M5722" s="19">
        <f>IF(OR(ISBLANK(C5722),C5722=""),"",ROUND((C5722-B5722)*24,2))</f>
        <v>93.47</v>
      </c>
      <c r="N5722" s="35" t="str">
        <f>IF(OR(ISBLANK(C5722),C5722="",M5722=""),"In Progress",IF(M5722&lt;=J5722,"Met","Breached"))</f>
        <v>Met</v>
      </c>
    </row>
    <row r="5723" ht="19" customHeight="1" spans="1:14" x14ac:dyDescent="0.25">
      <c r="A5723" s="22" t="s">
        <v>5837</v>
      </c>
      <c r="B5723" s="36">
        <v>45734.80625</v>
      </c>
      <c r="C5723" s="36">
        <v>45734.96666666667</v>
      </c>
      <c r="D5723" s="22" t="s">
        <v>36</v>
      </c>
      <c r="E5723" s="22" t="s">
        <v>61</v>
      </c>
      <c r="F5723" s="22" t="s">
        <v>34</v>
      </c>
      <c r="G5723" s="22" t="s">
        <v>126</v>
      </c>
      <c r="H5723" s="22" t="s">
        <v>63</v>
      </c>
      <c r="I5723" s="22" t="s">
        <v>123</v>
      </c>
      <c r="J5723" s="23">
        <v>12</v>
      </c>
      <c r="K5723" s="37">
        <v>0</v>
      </c>
      <c r="L5723" s="37">
        <v>3</v>
      </c>
      <c r="M5723" s="22">
        <f>IF(OR(ISBLANK(C5723),C5723=""),"",ROUND((C5723-B5723)*24,2))</f>
        <v>3.85</v>
      </c>
      <c r="N5723" s="40" t="str">
        <f>IF(OR(ISBLANK(C5723),C5723="",M5723=""),"In Progress",IF(M5723&lt;=J5723,"Met","Breached"))</f>
        <v>Met</v>
      </c>
    </row>
    <row r="5724" ht="19" customHeight="1" spans="1:14" x14ac:dyDescent="0.25">
      <c r="A5724" s="19" t="s">
        <v>5838</v>
      </c>
      <c r="B5724" s="33">
        <v>46184.86597222222</v>
      </c>
      <c r="C5724" s="33">
        <v>46185.28680555556</v>
      </c>
      <c r="D5724" s="19" t="s">
        <v>36</v>
      </c>
      <c r="E5724" s="19" t="s">
        <v>61</v>
      </c>
      <c r="F5724" s="19" t="s">
        <v>43</v>
      </c>
      <c r="G5724" s="19" t="s">
        <v>126</v>
      </c>
      <c r="H5724" s="19" t="s">
        <v>59</v>
      </c>
      <c r="I5724" s="19" t="s">
        <v>147</v>
      </c>
      <c r="J5724" s="20">
        <v>12</v>
      </c>
      <c r="K5724" s="34">
        <v>0</v>
      </c>
      <c r="L5724" s="34">
        <v>5</v>
      </c>
      <c r="M5724" s="19">
        <f>IF(OR(ISBLANK(C5724),C5724=""),"",ROUND((C5724-B5724)*24,2))</f>
        <v>10.1</v>
      </c>
      <c r="N5724" s="35" t="str">
        <f>IF(OR(ISBLANK(C5724),C5724="",M5724=""),"In Progress",IF(M5724&lt;=J5724,"Met","Breached"))</f>
        <v>Met</v>
      </c>
    </row>
    <row r="5725" ht="19" customHeight="1" spans="1:14" x14ac:dyDescent="0.25">
      <c r="A5725" s="22" t="s">
        <v>5839</v>
      </c>
      <c r="B5725" s="36">
        <v>45871.95625</v>
      </c>
      <c r="C5725" s="36">
        <v>45874.56041666667</v>
      </c>
      <c r="D5725" s="22" t="s">
        <v>36</v>
      </c>
      <c r="E5725" s="22" t="s">
        <v>65</v>
      </c>
      <c r="F5725" s="22" t="s">
        <v>40</v>
      </c>
      <c r="G5725" s="22" t="s">
        <v>63</v>
      </c>
      <c r="H5725" s="22" t="s">
        <v>67</v>
      </c>
      <c r="I5725" s="22" t="s">
        <v>117</v>
      </c>
      <c r="J5725" s="23">
        <v>48</v>
      </c>
      <c r="K5725" s="37">
        <v>0</v>
      </c>
      <c r="L5725" s="37">
        <v>4</v>
      </c>
      <c r="M5725" s="22">
        <f>IF(OR(ISBLANK(C5725),C5725=""),"",ROUND((C5725-B5725)*24,2))</f>
        <v>62.5</v>
      </c>
      <c r="N5725" s="38" t="str">
        <f>IF(OR(ISBLANK(C5725),C5725="",M5725=""),"In Progress",IF(M5725&lt;=J5725,"Met","Breached"))</f>
        <v>Breached</v>
      </c>
    </row>
    <row r="5726" ht="19" customHeight="1" spans="1:14" x14ac:dyDescent="0.25">
      <c r="A5726" s="19" t="s">
        <v>5840</v>
      </c>
      <c r="B5726" s="33">
        <v>46254.33819444444</v>
      </c>
      <c r="C5726" s="33">
        <v>46255.535416666666</v>
      </c>
      <c r="D5726" s="19" t="s">
        <v>33</v>
      </c>
      <c r="E5726" s="19" t="s">
        <v>65</v>
      </c>
      <c r="F5726" s="19" t="s">
        <v>40</v>
      </c>
      <c r="G5726" s="19" t="s">
        <v>110</v>
      </c>
      <c r="H5726" s="19" t="s">
        <v>67</v>
      </c>
      <c r="I5726" s="19" t="s">
        <v>123</v>
      </c>
      <c r="J5726" s="20">
        <v>48</v>
      </c>
      <c r="K5726" s="34">
        <v>0</v>
      </c>
      <c r="L5726" s="34">
        <v>4</v>
      </c>
      <c r="M5726" s="19">
        <f>IF(OR(ISBLANK(C5726),C5726=""),"",ROUND((C5726-B5726)*24,2))</f>
        <v>28.73</v>
      </c>
      <c r="N5726" s="35" t="str">
        <f>IF(OR(ISBLANK(C5726),C5726="",M5726=""),"In Progress",IF(M5726&lt;=J5726,"Met","Breached"))</f>
        <v>Met</v>
      </c>
    </row>
    <row r="5727" ht="19" customHeight="1" spans="1:14" x14ac:dyDescent="0.25">
      <c r="A5727" s="22" t="s">
        <v>5841</v>
      </c>
      <c r="B5727" s="36">
        <v>45860.39097222222</v>
      </c>
      <c r="C5727" s="36">
        <v>45863.1875</v>
      </c>
      <c r="D5727" s="22" t="s">
        <v>36</v>
      </c>
      <c r="E5727" s="22" t="s">
        <v>65</v>
      </c>
      <c r="F5727" s="22" t="s">
        <v>43</v>
      </c>
      <c r="G5727" s="22" t="s">
        <v>116</v>
      </c>
      <c r="H5727" s="22" t="s">
        <v>59</v>
      </c>
      <c r="I5727" s="22" t="s">
        <v>117</v>
      </c>
      <c r="J5727" s="23">
        <v>48</v>
      </c>
      <c r="K5727" s="37">
        <v>0</v>
      </c>
      <c r="L5727" s="37">
        <v>4</v>
      </c>
      <c r="M5727" s="22">
        <f>IF(OR(ISBLANK(C5727),C5727=""),"",ROUND((C5727-B5727)*24,2))</f>
        <v>67.12</v>
      </c>
      <c r="N5727" s="38" t="str">
        <f>IF(OR(ISBLANK(C5727),C5727="",M5727=""),"In Progress",IF(M5727&lt;=J5727,"Met","Breached"))</f>
        <v>Breached</v>
      </c>
    </row>
    <row r="5728" ht="19" customHeight="1" spans="1:14" x14ac:dyDescent="0.25">
      <c r="A5728" s="19" t="s">
        <v>5842</v>
      </c>
      <c r="B5728" s="33">
        <v>46032.875</v>
      </c>
      <c r="C5728" s="33">
        <v>46033.13402777778</v>
      </c>
      <c r="D5728" s="19" t="s">
        <v>36</v>
      </c>
      <c r="E5728" s="19" t="s">
        <v>57</v>
      </c>
      <c r="F5728" s="19" t="s">
        <v>37</v>
      </c>
      <c r="G5728" s="19" t="s">
        <v>110</v>
      </c>
      <c r="H5728" s="19" t="s">
        <v>63</v>
      </c>
      <c r="I5728" s="19" t="s">
        <v>108</v>
      </c>
      <c r="J5728" s="20">
        <v>4</v>
      </c>
      <c r="K5728" s="34">
        <v>0</v>
      </c>
      <c r="L5728" s="34">
        <v>3</v>
      </c>
      <c r="M5728" s="19">
        <f>IF(OR(ISBLANK(C5728),C5728=""),"",ROUND((C5728-B5728)*24,2))</f>
        <v>6.22</v>
      </c>
      <c r="N5728" s="39" t="str">
        <f>IF(OR(ISBLANK(C5728),C5728="",M5728=""),"In Progress",IF(M5728&lt;=J5728,"Met","Breached"))</f>
        <v>Breached</v>
      </c>
    </row>
    <row r="5729" ht="19" customHeight="1" spans="1:14" x14ac:dyDescent="0.25">
      <c r="A5729" s="22" t="s">
        <v>5843</v>
      </c>
      <c r="B5729" s="36">
        <v>45712.43125</v>
      </c>
      <c r="D5729" s="22" t="s">
        <v>39</v>
      </c>
      <c r="E5729" s="22" t="s">
        <v>65</v>
      </c>
      <c r="F5729" s="22" t="s">
        <v>45</v>
      </c>
      <c r="G5729" s="22" t="s">
        <v>121</v>
      </c>
      <c r="H5729" s="22" t="s">
        <v>59</v>
      </c>
      <c r="I5729" s="22" t="s">
        <v>147</v>
      </c>
      <c r="J5729" s="23">
        <v>48</v>
      </c>
      <c r="K5729" s="37">
        <v>0</v>
      </c>
      <c r="M5729" s="22" t="str">
        <f>IF(OR(ISBLANK(C5729),C5729=""),"",ROUND((C5729-B5729)*24,2))</f>
        <v/>
      </c>
      <c r="N5729" s="22" t="str">
        <f>IF(OR(ISBLANK(C5729),C5729="",M5729=""),"In Progress",IF(M5729&lt;=J5729,"Met","Breached"))</f>
        <v>In Progress</v>
      </c>
    </row>
    <row r="5730" ht="19" customHeight="1" spans="1:14" x14ac:dyDescent="0.25">
      <c r="A5730" s="19" t="s">
        <v>5844</v>
      </c>
      <c r="B5730" s="33">
        <v>46100.365277777775</v>
      </c>
      <c r="D5730" s="19" t="s">
        <v>42</v>
      </c>
      <c r="E5730" s="19" t="s">
        <v>65</v>
      </c>
      <c r="F5730" s="19" t="s">
        <v>37</v>
      </c>
      <c r="G5730" s="19" t="s">
        <v>121</v>
      </c>
      <c r="H5730" s="19" t="s">
        <v>63</v>
      </c>
      <c r="I5730" s="19" t="s">
        <v>108</v>
      </c>
      <c r="J5730" s="20">
        <v>48</v>
      </c>
      <c r="K5730" s="34">
        <v>0</v>
      </c>
      <c r="M5730" s="19" t="str">
        <f>IF(OR(ISBLANK(C5730),C5730=""),"",ROUND((C5730-B5730)*24,2))</f>
        <v/>
      </c>
      <c r="N5730" s="19" t="str">
        <f>IF(OR(ISBLANK(C5730),C5730="",M5730=""),"In Progress",IF(M5730&lt;=J5730,"Met","Breached"))</f>
        <v>In Progress</v>
      </c>
    </row>
    <row r="5731" ht="19" customHeight="1" spans="1:14" x14ac:dyDescent="0.25">
      <c r="A5731" s="22" t="s">
        <v>5845</v>
      </c>
      <c r="B5731" s="36">
        <v>45862.46041666667</v>
      </c>
      <c r="C5731" s="36">
        <v>45865.46944444445</v>
      </c>
      <c r="D5731" s="22" t="s">
        <v>33</v>
      </c>
      <c r="E5731" s="22" t="s">
        <v>65</v>
      </c>
      <c r="F5731" s="22" t="s">
        <v>45</v>
      </c>
      <c r="G5731" s="22" t="s">
        <v>116</v>
      </c>
      <c r="H5731" s="22" t="s">
        <v>63</v>
      </c>
      <c r="I5731" s="22" t="s">
        <v>108</v>
      </c>
      <c r="J5731" s="23">
        <v>48</v>
      </c>
      <c r="K5731" s="37">
        <v>0</v>
      </c>
      <c r="L5731" s="37">
        <v>4</v>
      </c>
      <c r="M5731" s="22">
        <f>IF(OR(ISBLANK(C5731),C5731=""),"",ROUND((C5731-B5731)*24,2))</f>
        <v>72.22</v>
      </c>
      <c r="N5731" s="38" t="str">
        <f>IF(OR(ISBLANK(C5731),C5731="",M5731=""),"In Progress",IF(M5731&lt;=J5731,"Met","Breached"))</f>
        <v>Breached</v>
      </c>
    </row>
    <row r="5732" ht="19" customHeight="1" spans="1:14" x14ac:dyDescent="0.25">
      <c r="A5732" s="19" t="s">
        <v>5846</v>
      </c>
      <c r="B5732" s="33">
        <v>46159.09305555555</v>
      </c>
      <c r="C5732" s="33">
        <v>46159.75625</v>
      </c>
      <c r="D5732" s="19" t="s">
        <v>36</v>
      </c>
      <c r="E5732" s="19" t="s">
        <v>65</v>
      </c>
      <c r="F5732" s="19" t="s">
        <v>34</v>
      </c>
      <c r="G5732" s="19" t="s">
        <v>63</v>
      </c>
      <c r="H5732" s="19" t="s">
        <v>59</v>
      </c>
      <c r="I5732" s="19" t="s">
        <v>123</v>
      </c>
      <c r="J5732" s="20">
        <v>48</v>
      </c>
      <c r="K5732" s="34">
        <v>0</v>
      </c>
      <c r="L5732" s="34">
        <v>3</v>
      </c>
      <c r="M5732" s="19">
        <f>IF(OR(ISBLANK(C5732),C5732=""),"",ROUND((C5732-B5732)*24,2))</f>
        <v>15.92</v>
      </c>
      <c r="N5732" s="35" t="str">
        <f>IF(OR(ISBLANK(C5732),C5732="",M5732=""),"In Progress",IF(M5732&lt;=J5732,"Met","Breached"))</f>
        <v>Met</v>
      </c>
    </row>
    <row r="5733" ht="19" customHeight="1" spans="1:14" x14ac:dyDescent="0.25">
      <c r="A5733" s="22" t="s">
        <v>5847</v>
      </c>
      <c r="B5733" s="36">
        <v>45960.91875</v>
      </c>
      <c r="C5733" s="36">
        <v>45963.68402777778</v>
      </c>
      <c r="D5733" s="22" t="s">
        <v>33</v>
      </c>
      <c r="E5733" s="22" t="s">
        <v>69</v>
      </c>
      <c r="F5733" s="22" t="s">
        <v>45</v>
      </c>
      <c r="G5733" s="22" t="s">
        <v>113</v>
      </c>
      <c r="H5733" s="22" t="s">
        <v>63</v>
      </c>
      <c r="I5733" s="22" t="s">
        <v>108</v>
      </c>
      <c r="J5733" s="23">
        <v>120</v>
      </c>
      <c r="K5733" s="37">
        <v>0</v>
      </c>
      <c r="L5733" s="37">
        <v>1</v>
      </c>
      <c r="M5733" s="22">
        <f>IF(OR(ISBLANK(C5733),C5733=""),"",ROUND((C5733-B5733)*24,2))</f>
        <v>66.37</v>
      </c>
      <c r="N5733" s="40" t="str">
        <f>IF(OR(ISBLANK(C5733),C5733="",M5733=""),"In Progress",IF(M5733&lt;=J5733,"Met","Breached"))</f>
        <v>Met</v>
      </c>
    </row>
    <row r="5734" ht="19" customHeight="1" spans="1:14" x14ac:dyDescent="0.25">
      <c r="A5734" s="19" t="s">
        <v>5848</v>
      </c>
      <c r="B5734" s="33">
        <v>45712.88888888889</v>
      </c>
      <c r="D5734" s="19" t="s">
        <v>39</v>
      </c>
      <c r="E5734" s="19" t="s">
        <v>57</v>
      </c>
      <c r="F5734" s="19" t="s">
        <v>37</v>
      </c>
      <c r="G5734" s="19" t="s">
        <v>126</v>
      </c>
      <c r="H5734" s="19" t="s">
        <v>71</v>
      </c>
      <c r="I5734" s="19" t="s">
        <v>117</v>
      </c>
      <c r="J5734" s="20">
        <v>4</v>
      </c>
      <c r="K5734" s="34">
        <v>0</v>
      </c>
      <c r="M5734" s="19" t="str">
        <f>IF(OR(ISBLANK(C5734),C5734=""),"",ROUND((C5734-B5734)*24,2))</f>
        <v/>
      </c>
      <c r="N5734" s="19" t="str">
        <f>IF(OR(ISBLANK(C5734),C5734="",M5734=""),"In Progress",IF(M5734&lt;=J5734,"Met","Breached"))</f>
        <v>In Progress</v>
      </c>
    </row>
    <row r="5735" ht="19" customHeight="1" spans="1:14" x14ac:dyDescent="0.25">
      <c r="A5735" s="22" t="s">
        <v>5849</v>
      </c>
      <c r="B5735" s="36">
        <v>45951.006944444445</v>
      </c>
      <c r="C5735" s="36">
        <v>45951.28472222222</v>
      </c>
      <c r="D5735" s="22" t="s">
        <v>36</v>
      </c>
      <c r="E5735" s="22" t="s">
        <v>57</v>
      </c>
      <c r="F5735" s="22" t="s">
        <v>34</v>
      </c>
      <c r="G5735" s="22" t="s">
        <v>116</v>
      </c>
      <c r="H5735" s="22" t="s">
        <v>63</v>
      </c>
      <c r="I5735" s="22" t="s">
        <v>108</v>
      </c>
      <c r="J5735" s="23">
        <v>4</v>
      </c>
      <c r="K5735" s="37">
        <v>0</v>
      </c>
      <c r="L5735" s="37">
        <v>5</v>
      </c>
      <c r="M5735" s="22">
        <f>IF(OR(ISBLANK(C5735),C5735=""),"",ROUND((C5735-B5735)*24,2))</f>
        <v>6.67</v>
      </c>
      <c r="N5735" s="38" t="str">
        <f>IF(OR(ISBLANK(C5735),C5735="",M5735=""),"In Progress",IF(M5735&lt;=J5735,"Met","Breached"))</f>
        <v>Breached</v>
      </c>
    </row>
    <row r="5736" ht="19" customHeight="1" spans="1:14" x14ac:dyDescent="0.25">
      <c r="A5736" s="19" t="s">
        <v>5850</v>
      </c>
      <c r="B5736" s="33">
        <v>45902.924305555556</v>
      </c>
      <c r="D5736" s="19" t="s">
        <v>42</v>
      </c>
      <c r="E5736" s="19" t="s">
        <v>61</v>
      </c>
      <c r="F5736" s="19" t="s">
        <v>37</v>
      </c>
      <c r="G5736" s="19" t="s">
        <v>121</v>
      </c>
      <c r="H5736" s="19" t="s">
        <v>67</v>
      </c>
      <c r="I5736" s="19" t="s">
        <v>114</v>
      </c>
      <c r="J5736" s="20">
        <v>12</v>
      </c>
      <c r="K5736" s="34">
        <v>0</v>
      </c>
      <c r="M5736" s="19" t="str">
        <f>IF(OR(ISBLANK(C5736),C5736=""),"",ROUND((C5736-B5736)*24,2))</f>
        <v/>
      </c>
      <c r="N5736" s="19" t="str">
        <f>IF(OR(ISBLANK(C5736),C5736="",M5736=""),"In Progress",IF(M5736&lt;=J5736,"Met","Breached"))</f>
        <v>In Progress</v>
      </c>
    </row>
    <row r="5737" ht="19" customHeight="1" spans="1:14" x14ac:dyDescent="0.25">
      <c r="A5737" s="22" t="s">
        <v>5851</v>
      </c>
      <c r="B5737" s="36">
        <v>46208.39583333333</v>
      </c>
      <c r="C5737" s="36">
        <v>46210.7125</v>
      </c>
      <c r="D5737" s="22" t="s">
        <v>33</v>
      </c>
      <c r="E5737" s="22" t="s">
        <v>65</v>
      </c>
      <c r="F5737" s="22" t="s">
        <v>45</v>
      </c>
      <c r="G5737" s="22" t="s">
        <v>113</v>
      </c>
      <c r="H5737" s="22" t="s">
        <v>71</v>
      </c>
      <c r="I5737" s="22" t="s">
        <v>123</v>
      </c>
      <c r="J5737" s="23">
        <v>48</v>
      </c>
      <c r="K5737" s="37">
        <v>0</v>
      </c>
      <c r="L5737" s="37">
        <v>5</v>
      </c>
      <c r="M5737" s="22">
        <f>IF(OR(ISBLANK(C5737),C5737=""),"",ROUND((C5737-B5737)*24,2))</f>
        <v>55.6</v>
      </c>
      <c r="N5737" s="38" t="str">
        <f>IF(OR(ISBLANK(C5737),C5737="",M5737=""),"In Progress",IF(M5737&lt;=J5737,"Met","Breached"))</f>
        <v>Breached</v>
      </c>
    </row>
    <row r="5738" ht="19" customHeight="1" spans="1:14" x14ac:dyDescent="0.25">
      <c r="A5738" s="19" t="s">
        <v>5852</v>
      </c>
      <c r="B5738" s="33">
        <v>46005.92569444445</v>
      </c>
      <c r="C5738" s="33">
        <v>46008.66666666667</v>
      </c>
      <c r="D5738" s="19" t="s">
        <v>33</v>
      </c>
      <c r="E5738" s="19" t="s">
        <v>65</v>
      </c>
      <c r="F5738" s="19" t="s">
        <v>34</v>
      </c>
      <c r="G5738" s="19" t="s">
        <v>113</v>
      </c>
      <c r="H5738" s="19" t="s">
        <v>63</v>
      </c>
      <c r="I5738" s="19" t="s">
        <v>108</v>
      </c>
      <c r="J5738" s="20">
        <v>48</v>
      </c>
      <c r="K5738" s="34">
        <v>0</v>
      </c>
      <c r="L5738" s="34">
        <v>2</v>
      </c>
      <c r="M5738" s="19">
        <f>IF(OR(ISBLANK(C5738),C5738=""),"",ROUND((C5738-B5738)*24,2))</f>
        <v>65.78</v>
      </c>
      <c r="N5738" s="39" t="str">
        <f>IF(OR(ISBLANK(C5738),C5738="",M5738=""),"In Progress",IF(M5738&lt;=J5738,"Met","Breached"))</f>
        <v>Breached</v>
      </c>
    </row>
    <row r="5739" ht="19" customHeight="1" spans="1:14" x14ac:dyDescent="0.25">
      <c r="A5739" s="22" t="s">
        <v>5853</v>
      </c>
      <c r="B5739" s="36">
        <v>46035.98472222222</v>
      </c>
      <c r="C5739" s="36">
        <v>46040.03402777778</v>
      </c>
      <c r="D5739" s="22" t="s">
        <v>36</v>
      </c>
      <c r="E5739" s="22" t="s">
        <v>69</v>
      </c>
      <c r="F5739" s="22" t="s">
        <v>37</v>
      </c>
      <c r="G5739" s="22" t="s">
        <v>110</v>
      </c>
      <c r="H5739" s="22" t="s">
        <v>59</v>
      </c>
      <c r="I5739" s="22" t="s">
        <v>123</v>
      </c>
      <c r="J5739" s="23">
        <v>120</v>
      </c>
      <c r="K5739" s="37">
        <v>0</v>
      </c>
      <c r="L5739" s="37">
        <v>1</v>
      </c>
      <c r="M5739" s="22">
        <f>IF(OR(ISBLANK(C5739),C5739=""),"",ROUND((C5739-B5739)*24,2))</f>
        <v>97.18</v>
      </c>
      <c r="N5739" s="40" t="str">
        <f>IF(OR(ISBLANK(C5739),C5739="",M5739=""),"In Progress",IF(M5739&lt;=J5739,"Met","Breached"))</f>
        <v>Met</v>
      </c>
    </row>
    <row r="5740" ht="19" customHeight="1" spans="1:14" x14ac:dyDescent="0.25">
      <c r="A5740" s="19" t="s">
        <v>5854</v>
      </c>
      <c r="B5740" s="33">
        <v>45973.87986111111</v>
      </c>
      <c r="C5740" s="33">
        <v>45976.53680555556</v>
      </c>
      <c r="D5740" s="19" t="s">
        <v>36</v>
      </c>
      <c r="E5740" s="19" t="s">
        <v>65</v>
      </c>
      <c r="F5740" s="19" t="s">
        <v>45</v>
      </c>
      <c r="G5740" s="19" t="s">
        <v>63</v>
      </c>
      <c r="H5740" s="19" t="s">
        <v>59</v>
      </c>
      <c r="I5740" s="19" t="s">
        <v>123</v>
      </c>
      <c r="J5740" s="20">
        <v>48</v>
      </c>
      <c r="K5740" s="34">
        <v>0</v>
      </c>
      <c r="L5740" s="34">
        <v>4</v>
      </c>
      <c r="M5740" s="19">
        <f>IF(OR(ISBLANK(C5740),C5740=""),"",ROUND((C5740-B5740)*24,2))</f>
        <v>63.77</v>
      </c>
      <c r="N5740" s="39" t="str">
        <f>IF(OR(ISBLANK(C5740),C5740="",M5740=""),"In Progress",IF(M5740&lt;=J5740,"Met","Breached"))</f>
        <v>Breached</v>
      </c>
    </row>
    <row r="5741" ht="19" customHeight="1" spans="1:14" x14ac:dyDescent="0.25">
      <c r="A5741" s="22" t="s">
        <v>5855</v>
      </c>
      <c r="B5741" s="36">
        <v>45699.72430555556</v>
      </c>
      <c r="C5741" s="36">
        <v>45701.90138888889</v>
      </c>
      <c r="D5741" s="22" t="s">
        <v>36</v>
      </c>
      <c r="E5741" s="22" t="s">
        <v>65</v>
      </c>
      <c r="F5741" s="22" t="s">
        <v>45</v>
      </c>
      <c r="G5741" s="22" t="s">
        <v>116</v>
      </c>
      <c r="H5741" s="22" t="s">
        <v>63</v>
      </c>
      <c r="I5741" s="22" t="s">
        <v>123</v>
      </c>
      <c r="J5741" s="23">
        <v>48</v>
      </c>
      <c r="K5741" s="37">
        <v>0</v>
      </c>
      <c r="M5741" s="22">
        <f>IF(OR(ISBLANK(C5741),C5741=""),"",ROUND((C5741-B5741)*24,2))</f>
        <v>52.25</v>
      </c>
      <c r="N5741" s="38" t="str">
        <f>IF(OR(ISBLANK(C5741),C5741="",M5741=""),"In Progress",IF(M5741&lt;=J5741,"Met","Breached"))</f>
        <v>Breached</v>
      </c>
    </row>
    <row r="5742" ht="19" customHeight="1" spans="1:14" x14ac:dyDescent="0.25">
      <c r="A5742" s="19" t="s">
        <v>5856</v>
      </c>
      <c r="B5742" s="33">
        <v>46245.54166666667</v>
      </c>
      <c r="C5742" s="33">
        <v>46248.52916666667</v>
      </c>
      <c r="D5742" s="19" t="s">
        <v>33</v>
      </c>
      <c r="E5742" s="19" t="s">
        <v>65</v>
      </c>
      <c r="F5742" s="19" t="s">
        <v>45</v>
      </c>
      <c r="G5742" s="19" t="s">
        <v>63</v>
      </c>
      <c r="H5742" s="19" t="s">
        <v>59</v>
      </c>
      <c r="I5742" s="19" t="s">
        <v>114</v>
      </c>
      <c r="J5742" s="20">
        <v>48</v>
      </c>
      <c r="K5742" s="34">
        <v>0</v>
      </c>
      <c r="L5742" s="34">
        <v>2</v>
      </c>
      <c r="M5742" s="19">
        <f>IF(OR(ISBLANK(C5742),C5742=""),"",ROUND((C5742-B5742)*24,2))</f>
        <v>71.7</v>
      </c>
      <c r="N5742" s="39" t="str">
        <f>IF(OR(ISBLANK(C5742),C5742="",M5742=""),"In Progress",IF(M5742&lt;=J5742,"Met","Breached"))</f>
        <v>Breached</v>
      </c>
    </row>
    <row r="5743" ht="19" customHeight="1" spans="1:14" x14ac:dyDescent="0.25">
      <c r="A5743" s="22" t="s">
        <v>5857</v>
      </c>
      <c r="B5743" s="36">
        <v>46130.86041666666</v>
      </c>
      <c r="C5743" s="36">
        <v>46137.08888888889</v>
      </c>
      <c r="D5743" s="22" t="s">
        <v>33</v>
      </c>
      <c r="E5743" s="22" t="s">
        <v>69</v>
      </c>
      <c r="F5743" s="22" t="s">
        <v>40</v>
      </c>
      <c r="G5743" s="22" t="s">
        <v>113</v>
      </c>
      <c r="H5743" s="22" t="s">
        <v>59</v>
      </c>
      <c r="I5743" s="22" t="s">
        <v>117</v>
      </c>
      <c r="J5743" s="23">
        <v>120</v>
      </c>
      <c r="K5743" s="37">
        <v>0</v>
      </c>
      <c r="M5743" s="22">
        <f>IF(OR(ISBLANK(C5743),C5743=""),"",ROUND((C5743-B5743)*24,2))</f>
        <v>149.48</v>
      </c>
      <c r="N5743" s="38" t="str">
        <f>IF(OR(ISBLANK(C5743),C5743="",M5743=""),"In Progress",IF(M5743&lt;=J5743,"Met","Breached"))</f>
        <v>Breached</v>
      </c>
    </row>
    <row r="5744" ht="19" customHeight="1" spans="1:14" x14ac:dyDescent="0.25">
      <c r="A5744" s="19" t="s">
        <v>5858</v>
      </c>
      <c r="B5744" s="33">
        <v>45721.01458333334</v>
      </c>
      <c r="C5744" s="33">
        <v>45724.08125</v>
      </c>
      <c r="D5744" s="19" t="s">
        <v>33</v>
      </c>
      <c r="E5744" s="19" t="s">
        <v>69</v>
      </c>
      <c r="F5744" s="19" t="s">
        <v>45</v>
      </c>
      <c r="G5744" s="19" t="s">
        <v>121</v>
      </c>
      <c r="H5744" s="19" t="s">
        <v>71</v>
      </c>
      <c r="I5744" s="19" t="s">
        <v>123</v>
      </c>
      <c r="J5744" s="20">
        <v>120</v>
      </c>
      <c r="K5744" s="34">
        <v>0</v>
      </c>
      <c r="L5744" s="34">
        <v>1</v>
      </c>
      <c r="M5744" s="19">
        <f>IF(OR(ISBLANK(C5744),C5744=""),"",ROUND((C5744-B5744)*24,2))</f>
        <v>73.6</v>
      </c>
      <c r="N5744" s="35" t="str">
        <f>IF(OR(ISBLANK(C5744),C5744="",M5744=""),"In Progress",IF(M5744&lt;=J5744,"Met","Breached"))</f>
        <v>Met</v>
      </c>
    </row>
    <row r="5745" ht="19" customHeight="1" spans="1:14" x14ac:dyDescent="0.25">
      <c r="A5745" s="22" t="s">
        <v>5859</v>
      </c>
      <c r="B5745" s="36">
        <v>45972.62152777778</v>
      </c>
      <c r="C5745" s="36">
        <v>45972.68611111111</v>
      </c>
      <c r="D5745" s="22" t="s">
        <v>33</v>
      </c>
      <c r="E5745" s="22" t="s">
        <v>57</v>
      </c>
      <c r="F5745" s="22" t="s">
        <v>40</v>
      </c>
      <c r="G5745" s="22" t="s">
        <v>63</v>
      </c>
      <c r="H5745" s="22" t="s">
        <v>67</v>
      </c>
      <c r="I5745" s="22" t="s">
        <v>108</v>
      </c>
      <c r="J5745" s="23">
        <v>4</v>
      </c>
      <c r="K5745" s="37">
        <v>0</v>
      </c>
      <c r="L5745" s="37">
        <v>1</v>
      </c>
      <c r="M5745" s="22">
        <f>IF(OR(ISBLANK(C5745),C5745=""),"",ROUND((C5745-B5745)*24,2))</f>
        <v>1.55</v>
      </c>
      <c r="N5745" s="40" t="str">
        <f>IF(OR(ISBLANK(C5745),C5745="",M5745=""),"In Progress",IF(M5745&lt;=J5745,"Met","Breached"))</f>
        <v>Met</v>
      </c>
    </row>
    <row r="5746" ht="19" customHeight="1" spans="1:14" x14ac:dyDescent="0.25">
      <c r="A5746" s="19" t="s">
        <v>5860</v>
      </c>
      <c r="B5746" s="33">
        <v>46087.459027777775</v>
      </c>
      <c r="C5746" s="33">
        <v>46095.49652777778</v>
      </c>
      <c r="D5746" s="19" t="s">
        <v>33</v>
      </c>
      <c r="E5746" s="19" t="s">
        <v>69</v>
      </c>
      <c r="F5746" s="19" t="s">
        <v>37</v>
      </c>
      <c r="G5746" s="19" t="s">
        <v>113</v>
      </c>
      <c r="H5746" s="19" t="s">
        <v>63</v>
      </c>
      <c r="I5746" s="19" t="s">
        <v>114</v>
      </c>
      <c r="J5746" s="20">
        <v>120</v>
      </c>
      <c r="K5746" s="34">
        <v>0</v>
      </c>
      <c r="M5746" s="19">
        <f>IF(OR(ISBLANK(C5746),C5746=""),"",ROUND((C5746-B5746)*24,2))</f>
        <v>192.9</v>
      </c>
      <c r="N5746" s="39" t="str">
        <f>IF(OR(ISBLANK(C5746),C5746="",M5746=""),"In Progress",IF(M5746&lt;=J5746,"Met","Breached"))</f>
        <v>Breached</v>
      </c>
    </row>
    <row r="5747" ht="19" customHeight="1" spans="1:14" x14ac:dyDescent="0.25">
      <c r="A5747" s="22" t="s">
        <v>5861</v>
      </c>
      <c r="B5747" s="36">
        <v>46104.290972222225</v>
      </c>
      <c r="D5747" s="22" t="s">
        <v>39</v>
      </c>
      <c r="E5747" s="22" t="s">
        <v>65</v>
      </c>
      <c r="F5747" s="22" t="s">
        <v>45</v>
      </c>
      <c r="G5747" s="22" t="s">
        <v>116</v>
      </c>
      <c r="H5747" s="22" t="s">
        <v>63</v>
      </c>
      <c r="I5747" s="22" t="s">
        <v>123</v>
      </c>
      <c r="J5747" s="23">
        <v>48</v>
      </c>
      <c r="K5747" s="37">
        <v>0</v>
      </c>
      <c r="M5747" s="22" t="str">
        <f>IF(OR(ISBLANK(C5747),C5747=""),"",ROUND((C5747-B5747)*24,2))</f>
        <v/>
      </c>
      <c r="N5747" s="22" t="str">
        <f>IF(OR(ISBLANK(C5747),C5747="",M5747=""),"In Progress",IF(M5747&lt;=J5747,"Met","Breached"))</f>
        <v>In Progress</v>
      </c>
    </row>
    <row r="5748" ht="19" customHeight="1" spans="1:14" x14ac:dyDescent="0.25">
      <c r="A5748" s="19" t="s">
        <v>5862</v>
      </c>
      <c r="B5748" s="33">
        <v>45775.46527777778</v>
      </c>
      <c r="C5748" s="33">
        <v>45779.13958333334</v>
      </c>
      <c r="D5748" s="19" t="s">
        <v>33</v>
      </c>
      <c r="E5748" s="19" t="s">
        <v>69</v>
      </c>
      <c r="F5748" s="19" t="s">
        <v>37</v>
      </c>
      <c r="G5748" s="19" t="s">
        <v>110</v>
      </c>
      <c r="H5748" s="19" t="s">
        <v>59</v>
      </c>
      <c r="I5748" s="19" t="s">
        <v>147</v>
      </c>
      <c r="J5748" s="20">
        <v>120</v>
      </c>
      <c r="K5748" s="34">
        <v>0</v>
      </c>
      <c r="M5748" s="19">
        <f>IF(OR(ISBLANK(C5748),C5748=""),"",ROUND((C5748-B5748)*24,2))</f>
        <v>88.18</v>
      </c>
      <c r="N5748" s="35" t="str">
        <f>IF(OR(ISBLANK(C5748),C5748="",M5748=""),"In Progress",IF(M5748&lt;=J5748,"Met","Breached"))</f>
        <v>Met</v>
      </c>
    </row>
    <row r="5749" ht="19" customHeight="1" spans="1:14" x14ac:dyDescent="0.25">
      <c r="A5749" s="22" t="s">
        <v>5863</v>
      </c>
      <c r="B5749" s="36">
        <v>45659.788888888885</v>
      </c>
      <c r="D5749" s="22" t="s">
        <v>42</v>
      </c>
      <c r="E5749" s="22" t="s">
        <v>69</v>
      </c>
      <c r="F5749" s="22" t="s">
        <v>40</v>
      </c>
      <c r="G5749" s="22" t="s">
        <v>121</v>
      </c>
      <c r="H5749" s="22" t="s">
        <v>63</v>
      </c>
      <c r="I5749" s="22" t="s">
        <v>123</v>
      </c>
      <c r="J5749" s="23">
        <v>120</v>
      </c>
      <c r="K5749" s="37">
        <v>0</v>
      </c>
      <c r="M5749" s="22" t="str">
        <f>IF(OR(ISBLANK(C5749),C5749=""),"",ROUND((C5749-B5749)*24,2))</f>
        <v/>
      </c>
      <c r="N5749" s="22" t="str">
        <f>IF(OR(ISBLANK(C5749),C5749="",M5749=""),"In Progress",IF(M5749&lt;=J5749,"Met","Breached"))</f>
        <v>In Progress</v>
      </c>
    </row>
    <row r="5750" ht="19" customHeight="1" spans="1:14" x14ac:dyDescent="0.25">
      <c r="A5750" s="19" t="s">
        <v>5864</v>
      </c>
      <c r="B5750" s="33">
        <v>46089.27916666667</v>
      </c>
      <c r="C5750" s="33">
        <v>46089.944444444445</v>
      </c>
      <c r="D5750" s="19" t="s">
        <v>33</v>
      </c>
      <c r="E5750" s="19" t="s">
        <v>65</v>
      </c>
      <c r="F5750" s="19" t="s">
        <v>37</v>
      </c>
      <c r="G5750" s="19" t="s">
        <v>121</v>
      </c>
      <c r="H5750" s="19" t="s">
        <v>59</v>
      </c>
      <c r="I5750" s="19" t="s">
        <v>123</v>
      </c>
      <c r="J5750" s="20">
        <v>48</v>
      </c>
      <c r="K5750" s="34">
        <v>0</v>
      </c>
      <c r="L5750" s="34">
        <v>5</v>
      </c>
      <c r="M5750" s="19">
        <f>IF(OR(ISBLANK(C5750),C5750=""),"",ROUND((C5750-B5750)*24,2))</f>
        <v>15.97</v>
      </c>
      <c r="N5750" s="35" t="str">
        <f>IF(OR(ISBLANK(C5750),C5750="",M5750=""),"In Progress",IF(M5750&lt;=J5750,"Met","Breached"))</f>
        <v>Met</v>
      </c>
    </row>
    <row r="5751" ht="19" customHeight="1" spans="1:14" x14ac:dyDescent="0.25">
      <c r="A5751" s="22" t="s">
        <v>5865</v>
      </c>
      <c r="B5751" s="36">
        <v>46245.08125</v>
      </c>
      <c r="D5751" s="22" t="s">
        <v>42</v>
      </c>
      <c r="E5751" s="22" t="s">
        <v>65</v>
      </c>
      <c r="F5751" s="22" t="s">
        <v>43</v>
      </c>
      <c r="G5751" s="22" t="s">
        <v>110</v>
      </c>
      <c r="H5751" s="22" t="s">
        <v>67</v>
      </c>
      <c r="I5751" s="22" t="s">
        <v>108</v>
      </c>
      <c r="J5751" s="23">
        <v>48</v>
      </c>
      <c r="K5751" s="37">
        <v>0</v>
      </c>
      <c r="M5751" s="22" t="str">
        <f>IF(OR(ISBLANK(C5751),C5751=""),"",ROUND((C5751-B5751)*24,2))</f>
        <v/>
      </c>
      <c r="N5751" s="22" t="str">
        <f>IF(OR(ISBLANK(C5751),C5751="",M5751=""),"In Progress",IF(M5751&lt;=J5751,"Met","Breached"))</f>
        <v>In Progress</v>
      </c>
    </row>
    <row r="5752" ht="19" customHeight="1" spans="1:14" x14ac:dyDescent="0.25">
      <c r="A5752" s="19" t="s">
        <v>5866</v>
      </c>
      <c r="B5752" s="33">
        <v>46037.11875</v>
      </c>
      <c r="C5752" s="33">
        <v>46038.46736111111</v>
      </c>
      <c r="D5752" s="19" t="s">
        <v>33</v>
      </c>
      <c r="E5752" s="19" t="s">
        <v>65</v>
      </c>
      <c r="F5752" s="19" t="s">
        <v>34</v>
      </c>
      <c r="G5752" s="19" t="s">
        <v>113</v>
      </c>
      <c r="H5752" s="19" t="s">
        <v>59</v>
      </c>
      <c r="I5752" s="19" t="s">
        <v>147</v>
      </c>
      <c r="J5752" s="20">
        <v>48</v>
      </c>
      <c r="K5752" s="34">
        <v>0</v>
      </c>
      <c r="L5752" s="34">
        <v>4</v>
      </c>
      <c r="M5752" s="19">
        <f>IF(OR(ISBLANK(C5752),C5752=""),"",ROUND((C5752-B5752)*24,2))</f>
        <v>32.37</v>
      </c>
      <c r="N5752" s="35" t="str">
        <f>IF(OR(ISBLANK(C5752),C5752="",M5752=""),"In Progress",IF(M5752&lt;=J5752,"Met","Breached"))</f>
        <v>Met</v>
      </c>
    </row>
    <row r="5753" ht="19" customHeight="1" spans="1:14" x14ac:dyDescent="0.25">
      <c r="A5753" s="22" t="s">
        <v>5867</v>
      </c>
      <c r="B5753" s="36">
        <v>45715.34236111111</v>
      </c>
      <c r="D5753" s="22" t="s">
        <v>42</v>
      </c>
      <c r="E5753" s="22" t="s">
        <v>69</v>
      </c>
      <c r="F5753" s="22" t="s">
        <v>43</v>
      </c>
      <c r="G5753" s="22" t="s">
        <v>116</v>
      </c>
      <c r="H5753" s="22" t="s">
        <v>59</v>
      </c>
      <c r="I5753" s="22" t="s">
        <v>111</v>
      </c>
      <c r="J5753" s="23">
        <v>120</v>
      </c>
      <c r="K5753" s="37">
        <v>0</v>
      </c>
      <c r="M5753" s="22" t="str">
        <f>IF(OR(ISBLANK(C5753),C5753=""),"",ROUND((C5753-B5753)*24,2))</f>
        <v/>
      </c>
      <c r="N5753" s="22" t="str">
        <f>IF(OR(ISBLANK(C5753),C5753="",M5753=""),"In Progress",IF(M5753&lt;=J5753,"Met","Breached"))</f>
        <v>In Progress</v>
      </c>
    </row>
    <row r="5754" ht="19" customHeight="1" spans="1:14" x14ac:dyDescent="0.25">
      <c r="A5754" s="19" t="s">
        <v>5868</v>
      </c>
      <c r="B5754" s="33">
        <v>45962.30625</v>
      </c>
      <c r="C5754" s="33">
        <v>45965.231944444444</v>
      </c>
      <c r="D5754" s="19" t="s">
        <v>33</v>
      </c>
      <c r="E5754" s="19" t="s">
        <v>65</v>
      </c>
      <c r="F5754" s="19" t="s">
        <v>37</v>
      </c>
      <c r="G5754" s="19" t="s">
        <v>116</v>
      </c>
      <c r="H5754" s="19" t="s">
        <v>59</v>
      </c>
      <c r="I5754" s="19" t="s">
        <v>123</v>
      </c>
      <c r="J5754" s="20">
        <v>48</v>
      </c>
      <c r="K5754" s="34">
        <v>1</v>
      </c>
      <c r="L5754" s="34">
        <v>5</v>
      </c>
      <c r="M5754" s="19">
        <f>IF(OR(ISBLANK(C5754),C5754=""),"",ROUND((C5754-B5754)*24,2))</f>
        <v>70.22</v>
      </c>
      <c r="N5754" s="39" t="str">
        <f>IF(OR(ISBLANK(C5754),C5754="",M5754=""),"In Progress",IF(M5754&lt;=J5754,"Met","Breached"))</f>
        <v>Breached</v>
      </c>
    </row>
    <row r="5755" ht="19" customHeight="1" spans="1:14" x14ac:dyDescent="0.25">
      <c r="A5755" s="22" t="s">
        <v>5869</v>
      </c>
      <c r="B5755" s="36">
        <v>46198.74722222222</v>
      </c>
      <c r="C5755" s="36">
        <v>46199.90416666667</v>
      </c>
      <c r="D5755" s="22" t="s">
        <v>33</v>
      </c>
      <c r="E5755" s="22" t="s">
        <v>65</v>
      </c>
      <c r="F5755" s="22" t="s">
        <v>45</v>
      </c>
      <c r="G5755" s="22" t="s">
        <v>116</v>
      </c>
      <c r="H5755" s="22" t="s">
        <v>59</v>
      </c>
      <c r="I5755" s="22" t="s">
        <v>123</v>
      </c>
      <c r="J5755" s="23">
        <v>48</v>
      </c>
      <c r="K5755" s="37">
        <v>0</v>
      </c>
      <c r="L5755" s="37">
        <v>4</v>
      </c>
      <c r="M5755" s="22">
        <f>IF(OR(ISBLANK(C5755),C5755=""),"",ROUND((C5755-B5755)*24,2))</f>
        <v>27.77</v>
      </c>
      <c r="N5755" s="40" t="str">
        <f>IF(OR(ISBLANK(C5755),C5755="",M5755=""),"In Progress",IF(M5755&lt;=J5755,"Met","Breached"))</f>
        <v>Met</v>
      </c>
    </row>
    <row r="5756" ht="19" customHeight="1" spans="1:14" x14ac:dyDescent="0.25">
      <c r="A5756" s="19" t="s">
        <v>5870</v>
      </c>
      <c r="B5756" s="33">
        <v>45934.04236111111</v>
      </c>
      <c r="C5756" s="33">
        <v>45935.509722222225</v>
      </c>
      <c r="D5756" s="19" t="s">
        <v>33</v>
      </c>
      <c r="E5756" s="19" t="s">
        <v>65</v>
      </c>
      <c r="F5756" s="19" t="s">
        <v>43</v>
      </c>
      <c r="G5756" s="19" t="s">
        <v>126</v>
      </c>
      <c r="H5756" s="19" t="s">
        <v>63</v>
      </c>
      <c r="I5756" s="19" t="s">
        <v>114</v>
      </c>
      <c r="J5756" s="20">
        <v>48</v>
      </c>
      <c r="K5756" s="34">
        <v>0</v>
      </c>
      <c r="M5756" s="19">
        <f>IF(OR(ISBLANK(C5756),C5756=""),"",ROUND((C5756-B5756)*24,2))</f>
        <v>35.22</v>
      </c>
      <c r="N5756" s="35" t="str">
        <f>IF(OR(ISBLANK(C5756),C5756="",M5756=""),"In Progress",IF(M5756&lt;=J5756,"Met","Breached"))</f>
        <v>Met</v>
      </c>
    </row>
    <row r="5757" ht="19" customHeight="1" spans="1:14" x14ac:dyDescent="0.25">
      <c r="A5757" s="22" t="s">
        <v>5871</v>
      </c>
      <c r="B5757" s="36">
        <v>45910.02291666667</v>
      </c>
      <c r="C5757" s="36">
        <v>45917.55694444444</v>
      </c>
      <c r="D5757" s="22" t="s">
        <v>33</v>
      </c>
      <c r="E5757" s="22" t="s">
        <v>69</v>
      </c>
      <c r="F5757" s="22" t="s">
        <v>40</v>
      </c>
      <c r="G5757" s="22" t="s">
        <v>63</v>
      </c>
      <c r="H5757" s="22" t="s">
        <v>63</v>
      </c>
      <c r="I5757" s="22" t="s">
        <v>111</v>
      </c>
      <c r="J5757" s="23">
        <v>120</v>
      </c>
      <c r="K5757" s="37">
        <v>0</v>
      </c>
      <c r="L5757" s="37">
        <v>3</v>
      </c>
      <c r="M5757" s="22">
        <f>IF(OR(ISBLANK(C5757),C5757=""),"",ROUND((C5757-B5757)*24,2))</f>
        <v>180.82</v>
      </c>
      <c r="N5757" s="38" t="str">
        <f>IF(OR(ISBLANK(C5757),C5757="",M5757=""),"In Progress",IF(M5757&lt;=J5757,"Met","Breached"))</f>
        <v>Breached</v>
      </c>
    </row>
    <row r="5758" ht="19" customHeight="1" spans="1:14" x14ac:dyDescent="0.25">
      <c r="A5758" s="19" t="s">
        <v>5872</v>
      </c>
      <c r="B5758" s="33">
        <v>46003.899305555555</v>
      </c>
      <c r="C5758" s="33">
        <v>46006.65138888889</v>
      </c>
      <c r="D5758" s="19" t="s">
        <v>36</v>
      </c>
      <c r="E5758" s="19" t="s">
        <v>65</v>
      </c>
      <c r="F5758" s="19" t="s">
        <v>43</v>
      </c>
      <c r="G5758" s="19" t="s">
        <v>116</v>
      </c>
      <c r="H5758" s="19" t="s">
        <v>59</v>
      </c>
      <c r="I5758" s="19" t="s">
        <v>108</v>
      </c>
      <c r="J5758" s="20">
        <v>48</v>
      </c>
      <c r="K5758" s="34">
        <v>0</v>
      </c>
      <c r="M5758" s="19">
        <f>IF(OR(ISBLANK(C5758),C5758=""),"",ROUND((C5758-B5758)*24,2))</f>
        <v>66.05</v>
      </c>
      <c r="N5758" s="39" t="str">
        <f>IF(OR(ISBLANK(C5758),C5758="",M5758=""),"In Progress",IF(M5758&lt;=J5758,"Met","Breached"))</f>
        <v>Breached</v>
      </c>
    </row>
    <row r="5759" ht="19" customHeight="1" spans="1:14" x14ac:dyDescent="0.25">
      <c r="A5759" s="22" t="s">
        <v>5873</v>
      </c>
      <c r="B5759" s="36">
        <v>45763.65138888889</v>
      </c>
      <c r="C5759" s="36">
        <v>45770.29027777778</v>
      </c>
      <c r="D5759" s="22" t="s">
        <v>36</v>
      </c>
      <c r="E5759" s="22" t="s">
        <v>69</v>
      </c>
      <c r="F5759" s="22" t="s">
        <v>34</v>
      </c>
      <c r="G5759" s="22" t="s">
        <v>110</v>
      </c>
      <c r="H5759" s="22" t="s">
        <v>59</v>
      </c>
      <c r="I5759" s="22" t="s">
        <v>117</v>
      </c>
      <c r="J5759" s="23">
        <v>120</v>
      </c>
      <c r="K5759" s="37">
        <v>0</v>
      </c>
      <c r="L5759" s="37">
        <v>4</v>
      </c>
      <c r="M5759" s="22">
        <f>IF(OR(ISBLANK(C5759),C5759=""),"",ROUND((C5759-B5759)*24,2))</f>
        <v>159.33</v>
      </c>
      <c r="N5759" s="38" t="str">
        <f>IF(OR(ISBLANK(C5759),C5759="",M5759=""),"In Progress",IF(M5759&lt;=J5759,"Met","Breached"))</f>
        <v>Breached</v>
      </c>
    </row>
    <row r="5760" ht="19" customHeight="1" spans="1:14" x14ac:dyDescent="0.25">
      <c r="A5760" s="19" t="s">
        <v>5874</v>
      </c>
      <c r="B5760" s="33">
        <v>45885.0375</v>
      </c>
      <c r="D5760" s="19" t="s">
        <v>39</v>
      </c>
      <c r="E5760" s="19" t="s">
        <v>57</v>
      </c>
      <c r="F5760" s="19" t="s">
        <v>43</v>
      </c>
      <c r="G5760" s="19" t="s">
        <v>113</v>
      </c>
      <c r="H5760" s="19" t="s">
        <v>59</v>
      </c>
      <c r="I5760" s="19" t="s">
        <v>108</v>
      </c>
      <c r="J5760" s="20">
        <v>4</v>
      </c>
      <c r="K5760" s="34">
        <v>0</v>
      </c>
      <c r="M5760" s="19" t="str">
        <f>IF(OR(ISBLANK(C5760),C5760=""),"",ROUND((C5760-B5760)*24,2))</f>
        <v/>
      </c>
      <c r="N5760" s="19" t="str">
        <f>IF(OR(ISBLANK(C5760),C5760="",M5760=""),"In Progress",IF(M5760&lt;=J5760,"Met","Breached"))</f>
        <v>In Progress</v>
      </c>
    </row>
    <row r="5761" ht="19" customHeight="1" spans="1:14" x14ac:dyDescent="0.25">
      <c r="A5761" s="22" t="s">
        <v>5875</v>
      </c>
      <c r="B5761" s="36">
        <v>45988.19305555556</v>
      </c>
      <c r="C5761" s="36">
        <v>45988.96597222222</v>
      </c>
      <c r="D5761" s="22" t="s">
        <v>33</v>
      </c>
      <c r="E5761" s="22" t="s">
        <v>61</v>
      </c>
      <c r="F5761" s="22" t="s">
        <v>45</v>
      </c>
      <c r="G5761" s="22" t="s">
        <v>121</v>
      </c>
      <c r="H5761" s="22" t="s">
        <v>59</v>
      </c>
      <c r="I5761" s="22" t="s">
        <v>111</v>
      </c>
      <c r="J5761" s="23">
        <v>12</v>
      </c>
      <c r="K5761" s="37">
        <v>0</v>
      </c>
      <c r="M5761" s="22">
        <f>IF(OR(ISBLANK(C5761),C5761=""),"",ROUND((C5761-B5761)*24,2))</f>
        <v>18.55</v>
      </c>
      <c r="N5761" s="38" t="str">
        <f>IF(OR(ISBLANK(C5761),C5761="",M5761=""),"In Progress",IF(M5761&lt;=J5761,"Met","Breached"))</f>
        <v>Breached</v>
      </c>
    </row>
    <row r="5762" ht="19" customHeight="1" spans="1:14" x14ac:dyDescent="0.25">
      <c r="A5762" s="19" t="s">
        <v>5876</v>
      </c>
      <c r="B5762" s="33">
        <v>46166.205555555556</v>
      </c>
      <c r="C5762" s="33">
        <v>46166.44652777778</v>
      </c>
      <c r="D5762" s="19" t="s">
        <v>33</v>
      </c>
      <c r="E5762" s="19" t="s">
        <v>61</v>
      </c>
      <c r="F5762" s="19" t="s">
        <v>40</v>
      </c>
      <c r="G5762" s="19" t="s">
        <v>126</v>
      </c>
      <c r="H5762" s="19" t="s">
        <v>71</v>
      </c>
      <c r="I5762" s="19" t="s">
        <v>147</v>
      </c>
      <c r="J5762" s="20">
        <v>12</v>
      </c>
      <c r="K5762" s="34">
        <v>0</v>
      </c>
      <c r="L5762" s="34">
        <v>1</v>
      </c>
      <c r="M5762" s="19">
        <f>IF(OR(ISBLANK(C5762),C5762=""),"",ROUND((C5762-B5762)*24,2))</f>
        <v>5.78</v>
      </c>
      <c r="N5762" s="35" t="str">
        <f>IF(OR(ISBLANK(C5762),C5762="",M5762=""),"In Progress",IF(M5762&lt;=J5762,"Met","Breached"))</f>
        <v>Met</v>
      </c>
    </row>
    <row r="5763" ht="19" customHeight="1" spans="1:14" x14ac:dyDescent="0.25">
      <c r="A5763" s="22" t="s">
        <v>5877</v>
      </c>
      <c r="B5763" s="36">
        <v>46283.955555555556</v>
      </c>
      <c r="C5763" s="36">
        <v>46287.40763888889</v>
      </c>
      <c r="D5763" s="22" t="s">
        <v>33</v>
      </c>
      <c r="E5763" s="22" t="s">
        <v>65</v>
      </c>
      <c r="F5763" s="22" t="s">
        <v>34</v>
      </c>
      <c r="G5763" s="22" t="s">
        <v>63</v>
      </c>
      <c r="H5763" s="22" t="s">
        <v>59</v>
      </c>
      <c r="I5763" s="22" t="s">
        <v>147</v>
      </c>
      <c r="J5763" s="23">
        <v>48</v>
      </c>
      <c r="K5763" s="37">
        <v>0</v>
      </c>
      <c r="L5763" s="37">
        <v>1</v>
      </c>
      <c r="M5763" s="22">
        <f>IF(OR(ISBLANK(C5763),C5763=""),"",ROUND((C5763-B5763)*24,2))</f>
        <v>82.85</v>
      </c>
      <c r="N5763" s="38" t="str">
        <f>IF(OR(ISBLANK(C5763),C5763="",M5763=""),"In Progress",IF(M5763&lt;=J5763,"Met","Breached"))</f>
        <v>Breached</v>
      </c>
    </row>
    <row r="5764" ht="19" customHeight="1" spans="1:14" x14ac:dyDescent="0.25">
      <c r="A5764" s="19" t="s">
        <v>5878</v>
      </c>
      <c r="B5764" s="33">
        <v>46207.36111111111</v>
      </c>
      <c r="C5764" s="33">
        <v>46207.61041666666</v>
      </c>
      <c r="D5764" s="19" t="s">
        <v>33</v>
      </c>
      <c r="E5764" s="19" t="s">
        <v>57</v>
      </c>
      <c r="F5764" s="19" t="s">
        <v>37</v>
      </c>
      <c r="G5764" s="19" t="s">
        <v>121</v>
      </c>
      <c r="H5764" s="19" t="s">
        <v>59</v>
      </c>
      <c r="I5764" s="19" t="s">
        <v>147</v>
      </c>
      <c r="J5764" s="20">
        <v>4</v>
      </c>
      <c r="K5764" s="34">
        <v>0</v>
      </c>
      <c r="L5764" s="34">
        <v>1</v>
      </c>
      <c r="M5764" s="19">
        <f>IF(OR(ISBLANK(C5764),C5764=""),"",ROUND((C5764-B5764)*24,2))</f>
        <v>5.98</v>
      </c>
      <c r="N5764" s="39" t="str">
        <f>IF(OR(ISBLANK(C5764),C5764="",M5764=""),"In Progress",IF(M5764&lt;=J5764,"Met","Breached"))</f>
        <v>Breached</v>
      </c>
    </row>
    <row r="5765" ht="19" customHeight="1" spans="1:14" x14ac:dyDescent="0.25">
      <c r="A5765" s="22" t="s">
        <v>5879</v>
      </c>
      <c r="B5765" s="36">
        <v>45802.805555555555</v>
      </c>
      <c r="C5765" s="36">
        <v>45803.57916666666</v>
      </c>
      <c r="D5765" s="22" t="s">
        <v>33</v>
      </c>
      <c r="E5765" s="22" t="s">
        <v>61</v>
      </c>
      <c r="F5765" s="22" t="s">
        <v>34</v>
      </c>
      <c r="G5765" s="22" t="s">
        <v>110</v>
      </c>
      <c r="H5765" s="22" t="s">
        <v>59</v>
      </c>
      <c r="I5765" s="22" t="s">
        <v>111</v>
      </c>
      <c r="J5765" s="23">
        <v>12</v>
      </c>
      <c r="K5765" s="37">
        <v>0</v>
      </c>
      <c r="L5765" s="37">
        <v>2</v>
      </c>
      <c r="M5765" s="22">
        <f>IF(OR(ISBLANK(C5765),C5765=""),"",ROUND((C5765-B5765)*24,2))</f>
        <v>18.57</v>
      </c>
      <c r="N5765" s="38" t="str">
        <f>IF(OR(ISBLANK(C5765),C5765="",M5765=""),"In Progress",IF(M5765&lt;=J5765,"Met","Breached"))</f>
        <v>Breached</v>
      </c>
    </row>
    <row r="5766" ht="19" customHeight="1" spans="1:14" x14ac:dyDescent="0.25">
      <c r="A5766" s="19" t="s">
        <v>5880</v>
      </c>
      <c r="B5766" s="33">
        <v>46247.20416666666</v>
      </c>
      <c r="C5766" s="33">
        <v>46251.22777777778</v>
      </c>
      <c r="D5766" s="19" t="s">
        <v>36</v>
      </c>
      <c r="E5766" s="19" t="s">
        <v>69</v>
      </c>
      <c r="F5766" s="19" t="s">
        <v>34</v>
      </c>
      <c r="G5766" s="19" t="s">
        <v>116</v>
      </c>
      <c r="H5766" s="19" t="s">
        <v>71</v>
      </c>
      <c r="I5766" s="19" t="s">
        <v>117</v>
      </c>
      <c r="J5766" s="20">
        <v>120</v>
      </c>
      <c r="K5766" s="34">
        <v>0</v>
      </c>
      <c r="M5766" s="19">
        <f>IF(OR(ISBLANK(C5766),C5766=""),"",ROUND((C5766-B5766)*24,2))</f>
        <v>96.57</v>
      </c>
      <c r="N5766" s="35" t="str">
        <f>IF(OR(ISBLANK(C5766),C5766="",M5766=""),"In Progress",IF(M5766&lt;=J5766,"Met","Breached"))</f>
        <v>Met</v>
      </c>
    </row>
    <row r="5767" ht="19" customHeight="1" spans="1:14" x14ac:dyDescent="0.25">
      <c r="A5767" s="22" t="s">
        <v>5881</v>
      </c>
      <c r="B5767" s="36">
        <v>46281.82916666666</v>
      </c>
      <c r="C5767" s="36">
        <v>46282.111805555556</v>
      </c>
      <c r="D5767" s="22" t="s">
        <v>33</v>
      </c>
      <c r="E5767" s="22" t="s">
        <v>57</v>
      </c>
      <c r="F5767" s="22" t="s">
        <v>43</v>
      </c>
      <c r="G5767" s="22" t="s">
        <v>121</v>
      </c>
      <c r="H5767" s="22" t="s">
        <v>71</v>
      </c>
      <c r="I5767" s="22" t="s">
        <v>147</v>
      </c>
      <c r="J5767" s="23">
        <v>4</v>
      </c>
      <c r="K5767" s="37">
        <v>0</v>
      </c>
      <c r="L5767" s="37">
        <v>2</v>
      </c>
      <c r="M5767" s="22">
        <f>IF(OR(ISBLANK(C5767),C5767=""),"",ROUND((C5767-B5767)*24,2))</f>
        <v>6.78</v>
      </c>
      <c r="N5767" s="38" t="str">
        <f>IF(OR(ISBLANK(C5767),C5767="",M5767=""),"In Progress",IF(M5767&lt;=J5767,"Met","Breached"))</f>
        <v>Breached</v>
      </c>
    </row>
    <row r="5768" ht="19" customHeight="1" spans="1:14" x14ac:dyDescent="0.25">
      <c r="A5768" s="19" t="s">
        <v>5882</v>
      </c>
      <c r="B5768" s="33">
        <v>46127.57361111111</v>
      </c>
      <c r="C5768" s="33">
        <v>46127.77916666667</v>
      </c>
      <c r="D5768" s="19" t="s">
        <v>36</v>
      </c>
      <c r="E5768" s="19" t="s">
        <v>61</v>
      </c>
      <c r="F5768" s="19" t="s">
        <v>37</v>
      </c>
      <c r="G5768" s="19" t="s">
        <v>126</v>
      </c>
      <c r="H5768" s="19" t="s">
        <v>63</v>
      </c>
      <c r="I5768" s="19" t="s">
        <v>117</v>
      </c>
      <c r="J5768" s="20">
        <v>12</v>
      </c>
      <c r="K5768" s="34">
        <v>0</v>
      </c>
      <c r="L5768" s="34">
        <v>3</v>
      </c>
      <c r="M5768" s="19">
        <f>IF(OR(ISBLANK(C5768),C5768=""),"",ROUND((C5768-B5768)*24,2))</f>
        <v>4.93</v>
      </c>
      <c r="N5768" s="35" t="str">
        <f>IF(OR(ISBLANK(C5768),C5768="",M5768=""),"In Progress",IF(M5768&lt;=J5768,"Met","Breached"))</f>
        <v>Met</v>
      </c>
    </row>
    <row r="5769" ht="19" customHeight="1" spans="1:14" x14ac:dyDescent="0.25">
      <c r="A5769" s="22" t="s">
        <v>5883</v>
      </c>
      <c r="B5769" s="36">
        <v>45852.245833333334</v>
      </c>
      <c r="C5769" s="36">
        <v>45854.96736111111</v>
      </c>
      <c r="D5769" s="22" t="s">
        <v>36</v>
      </c>
      <c r="E5769" s="22" t="s">
        <v>69</v>
      </c>
      <c r="F5769" s="22" t="s">
        <v>34</v>
      </c>
      <c r="G5769" s="22" t="s">
        <v>126</v>
      </c>
      <c r="H5769" s="22" t="s">
        <v>59</v>
      </c>
      <c r="I5769" s="22" t="s">
        <v>123</v>
      </c>
      <c r="J5769" s="23">
        <v>120</v>
      </c>
      <c r="K5769" s="37">
        <v>0</v>
      </c>
      <c r="L5769" s="37">
        <v>1</v>
      </c>
      <c r="M5769" s="22">
        <f>IF(OR(ISBLANK(C5769),C5769=""),"",ROUND((C5769-B5769)*24,2))</f>
        <v>65.32</v>
      </c>
      <c r="N5769" s="40" t="str">
        <f>IF(OR(ISBLANK(C5769),C5769="",M5769=""),"In Progress",IF(M5769&lt;=J5769,"Met","Breached"))</f>
        <v>Met</v>
      </c>
    </row>
    <row r="5770" ht="19" customHeight="1" spans="1:14" x14ac:dyDescent="0.25">
      <c r="A5770" s="19" t="s">
        <v>5884</v>
      </c>
      <c r="B5770" s="33">
        <v>46099.82638888889</v>
      </c>
      <c r="C5770" s="33">
        <v>46103.351388888885</v>
      </c>
      <c r="D5770" s="19" t="s">
        <v>36</v>
      </c>
      <c r="E5770" s="19" t="s">
        <v>65</v>
      </c>
      <c r="F5770" s="19" t="s">
        <v>34</v>
      </c>
      <c r="G5770" s="19" t="s">
        <v>110</v>
      </c>
      <c r="H5770" s="19" t="s">
        <v>67</v>
      </c>
      <c r="I5770" s="19" t="s">
        <v>123</v>
      </c>
      <c r="J5770" s="20">
        <v>48</v>
      </c>
      <c r="K5770" s="34">
        <v>0</v>
      </c>
      <c r="L5770" s="34">
        <v>3</v>
      </c>
      <c r="M5770" s="19">
        <f>IF(OR(ISBLANK(C5770),C5770=""),"",ROUND((C5770-B5770)*24,2))</f>
        <v>84.6</v>
      </c>
      <c r="N5770" s="39" t="str">
        <f>IF(OR(ISBLANK(C5770),C5770="",M5770=""),"In Progress",IF(M5770&lt;=J5770,"Met","Breached"))</f>
        <v>Breached</v>
      </c>
    </row>
    <row r="5771" ht="19" customHeight="1" spans="1:14" x14ac:dyDescent="0.25">
      <c r="A5771" s="22" t="s">
        <v>5885</v>
      </c>
      <c r="B5771" s="36">
        <v>45986.035416666666</v>
      </c>
      <c r="C5771" s="36">
        <v>45986.67361111111</v>
      </c>
      <c r="D5771" s="22" t="s">
        <v>36</v>
      </c>
      <c r="E5771" s="22" t="s">
        <v>61</v>
      </c>
      <c r="F5771" s="22" t="s">
        <v>37</v>
      </c>
      <c r="G5771" s="22" t="s">
        <v>116</v>
      </c>
      <c r="H5771" s="22" t="s">
        <v>71</v>
      </c>
      <c r="I5771" s="22" t="s">
        <v>114</v>
      </c>
      <c r="J5771" s="23">
        <v>12</v>
      </c>
      <c r="K5771" s="37">
        <v>0</v>
      </c>
      <c r="M5771" s="22">
        <f>IF(OR(ISBLANK(C5771),C5771=""),"",ROUND((C5771-B5771)*24,2))</f>
        <v>15.32</v>
      </c>
      <c r="N5771" s="38" t="str">
        <f>IF(OR(ISBLANK(C5771),C5771="",M5771=""),"In Progress",IF(M5771&lt;=J5771,"Met","Breached"))</f>
        <v>Breached</v>
      </c>
    </row>
    <row r="5772" ht="19" customHeight="1" spans="1:14" x14ac:dyDescent="0.25">
      <c r="A5772" s="19" t="s">
        <v>5886</v>
      </c>
      <c r="B5772" s="33">
        <v>45915.44027777778</v>
      </c>
      <c r="C5772" s="33">
        <v>45915.90694444445</v>
      </c>
      <c r="D5772" s="19" t="s">
        <v>33</v>
      </c>
      <c r="E5772" s="19" t="s">
        <v>61</v>
      </c>
      <c r="F5772" s="19" t="s">
        <v>34</v>
      </c>
      <c r="G5772" s="19" t="s">
        <v>116</v>
      </c>
      <c r="H5772" s="19" t="s">
        <v>63</v>
      </c>
      <c r="I5772" s="19" t="s">
        <v>114</v>
      </c>
      <c r="J5772" s="20">
        <v>12</v>
      </c>
      <c r="K5772" s="34">
        <v>0</v>
      </c>
      <c r="L5772" s="34">
        <v>4</v>
      </c>
      <c r="M5772" s="19">
        <f>IF(OR(ISBLANK(C5772),C5772=""),"",ROUND((C5772-B5772)*24,2))</f>
        <v>11.2</v>
      </c>
      <c r="N5772" s="35" t="str">
        <f>IF(OR(ISBLANK(C5772),C5772="",M5772=""),"In Progress",IF(M5772&lt;=J5772,"Met","Breached"))</f>
        <v>Met</v>
      </c>
    </row>
    <row r="5773" ht="19" customHeight="1" spans="1:14" x14ac:dyDescent="0.25">
      <c r="A5773" s="22" t="s">
        <v>5887</v>
      </c>
      <c r="B5773" s="36">
        <v>45932.11944444444</v>
      </c>
      <c r="C5773" s="36">
        <v>45935.10902777778</v>
      </c>
      <c r="D5773" s="22" t="s">
        <v>33</v>
      </c>
      <c r="E5773" s="22" t="s">
        <v>65</v>
      </c>
      <c r="F5773" s="22" t="s">
        <v>40</v>
      </c>
      <c r="G5773" s="22" t="s">
        <v>113</v>
      </c>
      <c r="H5773" s="22" t="s">
        <v>71</v>
      </c>
      <c r="I5773" s="22" t="s">
        <v>117</v>
      </c>
      <c r="J5773" s="23">
        <v>48</v>
      </c>
      <c r="K5773" s="37">
        <v>0</v>
      </c>
      <c r="L5773" s="37">
        <v>1</v>
      </c>
      <c r="M5773" s="22">
        <f>IF(OR(ISBLANK(C5773),C5773=""),"",ROUND((C5773-B5773)*24,2))</f>
        <v>71.75</v>
      </c>
      <c r="N5773" s="38" t="str">
        <f>IF(OR(ISBLANK(C5773),C5773="",M5773=""),"In Progress",IF(M5773&lt;=J5773,"Met","Breached"))</f>
        <v>Breached</v>
      </c>
    </row>
    <row r="5774" ht="19" customHeight="1" spans="1:14" x14ac:dyDescent="0.25">
      <c r="A5774" s="19" t="s">
        <v>5888</v>
      </c>
      <c r="B5774" s="33">
        <v>45971.96875</v>
      </c>
      <c r="C5774" s="33">
        <v>45972.75833333333</v>
      </c>
      <c r="D5774" s="19" t="s">
        <v>33</v>
      </c>
      <c r="E5774" s="19" t="s">
        <v>65</v>
      </c>
      <c r="F5774" s="19" t="s">
        <v>34</v>
      </c>
      <c r="G5774" s="19" t="s">
        <v>110</v>
      </c>
      <c r="H5774" s="19" t="s">
        <v>59</v>
      </c>
      <c r="I5774" s="19" t="s">
        <v>123</v>
      </c>
      <c r="J5774" s="20">
        <v>48</v>
      </c>
      <c r="K5774" s="34">
        <v>1</v>
      </c>
      <c r="L5774" s="34">
        <v>5</v>
      </c>
      <c r="M5774" s="19">
        <f>IF(OR(ISBLANK(C5774),C5774=""),"",ROUND((C5774-B5774)*24,2))</f>
        <v>18.95</v>
      </c>
      <c r="N5774" s="35" t="str">
        <f>IF(OR(ISBLANK(C5774),C5774="",M5774=""),"In Progress",IF(M5774&lt;=J5774,"Met","Breached"))</f>
        <v>Met</v>
      </c>
    </row>
    <row r="5775" ht="19" customHeight="1" spans="1:14" x14ac:dyDescent="0.25">
      <c r="A5775" s="22" t="s">
        <v>5889</v>
      </c>
      <c r="B5775" s="36">
        <v>46204.82847222222</v>
      </c>
      <c r="C5775" s="36">
        <v>46210.09861111111</v>
      </c>
      <c r="D5775" s="22" t="s">
        <v>33</v>
      </c>
      <c r="E5775" s="22" t="s">
        <v>69</v>
      </c>
      <c r="F5775" s="22" t="s">
        <v>40</v>
      </c>
      <c r="G5775" s="22" t="s">
        <v>121</v>
      </c>
      <c r="H5775" s="22" t="s">
        <v>71</v>
      </c>
      <c r="I5775" s="22" t="s">
        <v>123</v>
      </c>
      <c r="J5775" s="23">
        <v>120</v>
      </c>
      <c r="K5775" s="37">
        <v>0</v>
      </c>
      <c r="M5775" s="22">
        <f>IF(OR(ISBLANK(C5775),C5775=""),"",ROUND((C5775-B5775)*24,2))</f>
        <v>126.48</v>
      </c>
      <c r="N5775" s="38" t="str">
        <f>IF(OR(ISBLANK(C5775),C5775="",M5775=""),"In Progress",IF(M5775&lt;=J5775,"Met","Breached"))</f>
        <v>Breached</v>
      </c>
    </row>
    <row r="5776" ht="19" customHeight="1" spans="1:14" x14ac:dyDescent="0.25">
      <c r="A5776" s="19" t="s">
        <v>5890</v>
      </c>
      <c r="B5776" s="33">
        <v>45693.34583333333</v>
      </c>
      <c r="C5776" s="33">
        <v>45693.992361111115</v>
      </c>
      <c r="D5776" s="19" t="s">
        <v>36</v>
      </c>
      <c r="E5776" s="19" t="s">
        <v>61</v>
      </c>
      <c r="F5776" s="19" t="s">
        <v>34</v>
      </c>
      <c r="G5776" s="19" t="s">
        <v>113</v>
      </c>
      <c r="H5776" s="19" t="s">
        <v>63</v>
      </c>
      <c r="I5776" s="19" t="s">
        <v>147</v>
      </c>
      <c r="J5776" s="20">
        <v>12</v>
      </c>
      <c r="K5776" s="34">
        <v>0</v>
      </c>
      <c r="L5776" s="34">
        <v>2</v>
      </c>
      <c r="M5776" s="19">
        <f>IF(OR(ISBLANK(C5776),C5776=""),"",ROUND((C5776-B5776)*24,2))</f>
        <v>15.52</v>
      </c>
      <c r="N5776" s="39" t="str">
        <f>IF(OR(ISBLANK(C5776),C5776="",M5776=""),"In Progress",IF(M5776&lt;=J5776,"Met","Breached"))</f>
        <v>Breached</v>
      </c>
    </row>
    <row r="5777" ht="19" customHeight="1" spans="1:14" x14ac:dyDescent="0.25">
      <c r="A5777" s="22" t="s">
        <v>5891</v>
      </c>
      <c r="B5777" s="36">
        <v>45694.929861111115</v>
      </c>
      <c r="C5777" s="36">
        <v>45695.81111111111</v>
      </c>
      <c r="D5777" s="22" t="s">
        <v>33</v>
      </c>
      <c r="E5777" s="22" t="s">
        <v>61</v>
      </c>
      <c r="F5777" s="22" t="s">
        <v>40</v>
      </c>
      <c r="G5777" s="22" t="s">
        <v>126</v>
      </c>
      <c r="H5777" s="22" t="s">
        <v>71</v>
      </c>
      <c r="I5777" s="22" t="s">
        <v>111</v>
      </c>
      <c r="J5777" s="23">
        <v>12</v>
      </c>
      <c r="K5777" s="37">
        <v>0</v>
      </c>
      <c r="M5777" s="22">
        <f>IF(OR(ISBLANK(C5777),C5777=""),"",ROUND((C5777-B5777)*24,2))</f>
        <v>21.15</v>
      </c>
      <c r="N5777" s="38" t="str">
        <f>IF(OR(ISBLANK(C5777),C5777="",M5777=""),"In Progress",IF(M5777&lt;=J5777,"Met","Breached"))</f>
        <v>Breached</v>
      </c>
    </row>
    <row r="5778" ht="19" customHeight="1" spans="1:14" x14ac:dyDescent="0.25">
      <c r="A5778" s="19" t="s">
        <v>5892</v>
      </c>
      <c r="B5778" s="33">
        <v>46109.05138888889</v>
      </c>
      <c r="C5778" s="33">
        <v>46113.18125</v>
      </c>
      <c r="D5778" s="19" t="s">
        <v>33</v>
      </c>
      <c r="E5778" s="19" t="s">
        <v>69</v>
      </c>
      <c r="F5778" s="19" t="s">
        <v>45</v>
      </c>
      <c r="G5778" s="19" t="s">
        <v>110</v>
      </c>
      <c r="H5778" s="19" t="s">
        <v>63</v>
      </c>
      <c r="I5778" s="19" t="s">
        <v>117</v>
      </c>
      <c r="J5778" s="20">
        <v>120</v>
      </c>
      <c r="K5778" s="34">
        <v>0</v>
      </c>
      <c r="L5778" s="34">
        <v>2</v>
      </c>
      <c r="M5778" s="19">
        <f>IF(OR(ISBLANK(C5778),C5778=""),"",ROUND((C5778-B5778)*24,2))</f>
        <v>99.12</v>
      </c>
      <c r="N5778" s="35" t="str">
        <f>IF(OR(ISBLANK(C5778),C5778="",M5778=""),"In Progress",IF(M5778&lt;=J5778,"Met","Breached"))</f>
        <v>Met</v>
      </c>
    </row>
    <row r="5779" ht="19" customHeight="1" spans="1:14" x14ac:dyDescent="0.25">
      <c r="A5779" s="22" t="s">
        <v>5893</v>
      </c>
      <c r="B5779" s="36">
        <v>46064.08263888889</v>
      </c>
      <c r="C5779" s="36">
        <v>46064.47916666667</v>
      </c>
      <c r="D5779" s="22" t="s">
        <v>36</v>
      </c>
      <c r="E5779" s="22" t="s">
        <v>61</v>
      </c>
      <c r="F5779" s="22" t="s">
        <v>43</v>
      </c>
      <c r="G5779" s="22" t="s">
        <v>63</v>
      </c>
      <c r="H5779" s="22" t="s">
        <v>59</v>
      </c>
      <c r="I5779" s="22" t="s">
        <v>108</v>
      </c>
      <c r="J5779" s="23">
        <v>12</v>
      </c>
      <c r="K5779" s="37">
        <v>0</v>
      </c>
      <c r="M5779" s="22">
        <f>IF(OR(ISBLANK(C5779),C5779=""),"",ROUND((C5779-B5779)*24,2))</f>
        <v>9.52</v>
      </c>
      <c r="N5779" s="40" t="str">
        <f>IF(OR(ISBLANK(C5779),C5779="",M5779=""),"In Progress",IF(M5779&lt;=J5779,"Met","Breached"))</f>
        <v>Met</v>
      </c>
    </row>
    <row r="5780" ht="19" customHeight="1" spans="1:14" x14ac:dyDescent="0.25">
      <c r="A5780" s="19" t="s">
        <v>5894</v>
      </c>
      <c r="B5780" s="33">
        <v>45935.117361111115</v>
      </c>
      <c r="C5780" s="33">
        <v>45938.69305555556</v>
      </c>
      <c r="D5780" s="19" t="s">
        <v>36</v>
      </c>
      <c r="E5780" s="19" t="s">
        <v>65</v>
      </c>
      <c r="F5780" s="19" t="s">
        <v>37</v>
      </c>
      <c r="G5780" s="19" t="s">
        <v>126</v>
      </c>
      <c r="H5780" s="19" t="s">
        <v>63</v>
      </c>
      <c r="I5780" s="19" t="s">
        <v>111</v>
      </c>
      <c r="J5780" s="20">
        <v>48</v>
      </c>
      <c r="K5780" s="34">
        <v>0</v>
      </c>
      <c r="L5780" s="34">
        <v>2</v>
      </c>
      <c r="M5780" s="19">
        <f>IF(OR(ISBLANK(C5780),C5780=""),"",ROUND((C5780-B5780)*24,2))</f>
        <v>85.82</v>
      </c>
      <c r="N5780" s="39" t="str">
        <f>IF(OR(ISBLANK(C5780),C5780="",M5780=""),"In Progress",IF(M5780&lt;=J5780,"Met","Breached"))</f>
        <v>Breached</v>
      </c>
    </row>
    <row r="5781" ht="19" customHeight="1" spans="1:14" x14ac:dyDescent="0.25">
      <c r="A5781" s="22" t="s">
        <v>5895</v>
      </c>
      <c r="B5781" s="36">
        <v>46091.16527777778</v>
      </c>
      <c r="C5781" s="36">
        <v>46093.986805555556</v>
      </c>
      <c r="D5781" s="22" t="s">
        <v>33</v>
      </c>
      <c r="E5781" s="22" t="s">
        <v>69</v>
      </c>
      <c r="F5781" s="22" t="s">
        <v>43</v>
      </c>
      <c r="G5781" s="22" t="s">
        <v>121</v>
      </c>
      <c r="H5781" s="22" t="s">
        <v>67</v>
      </c>
      <c r="I5781" s="22" t="s">
        <v>123</v>
      </c>
      <c r="J5781" s="23">
        <v>120</v>
      </c>
      <c r="K5781" s="37">
        <v>0</v>
      </c>
      <c r="L5781" s="37">
        <v>1</v>
      </c>
      <c r="M5781" s="22">
        <f>IF(OR(ISBLANK(C5781),C5781=""),"",ROUND((C5781-B5781)*24,2))</f>
        <v>67.72</v>
      </c>
      <c r="N5781" s="40" t="str">
        <f>IF(OR(ISBLANK(C5781),C5781="",M5781=""),"In Progress",IF(M5781&lt;=J5781,"Met","Breached"))</f>
        <v>Met</v>
      </c>
    </row>
    <row r="5782" ht="19" customHeight="1" spans="1:14" x14ac:dyDescent="0.25">
      <c r="A5782" s="19" t="s">
        <v>5896</v>
      </c>
      <c r="B5782" s="33">
        <v>46139.05416666667</v>
      </c>
      <c r="C5782" s="33">
        <v>46145.31111111111</v>
      </c>
      <c r="D5782" s="19" t="s">
        <v>33</v>
      </c>
      <c r="E5782" s="19" t="s">
        <v>69</v>
      </c>
      <c r="F5782" s="19" t="s">
        <v>43</v>
      </c>
      <c r="G5782" s="19" t="s">
        <v>113</v>
      </c>
      <c r="H5782" s="19" t="s">
        <v>63</v>
      </c>
      <c r="I5782" s="19" t="s">
        <v>108</v>
      </c>
      <c r="J5782" s="20">
        <v>120</v>
      </c>
      <c r="K5782" s="34">
        <v>0</v>
      </c>
      <c r="L5782" s="34">
        <v>4</v>
      </c>
      <c r="M5782" s="19">
        <f>IF(OR(ISBLANK(C5782),C5782=""),"",ROUND((C5782-B5782)*24,2))</f>
        <v>150.17</v>
      </c>
      <c r="N5782" s="39" t="str">
        <f>IF(OR(ISBLANK(C5782),C5782="",M5782=""),"In Progress",IF(M5782&lt;=J5782,"Met","Breached"))</f>
        <v>Breached</v>
      </c>
    </row>
    <row r="5783" ht="19" customHeight="1" spans="1:14" x14ac:dyDescent="0.25">
      <c r="A5783" s="22" t="s">
        <v>5897</v>
      </c>
      <c r="B5783" s="36">
        <v>45853.01666666666</v>
      </c>
      <c r="C5783" s="36">
        <v>45854.4125</v>
      </c>
      <c r="D5783" s="22" t="s">
        <v>33</v>
      </c>
      <c r="E5783" s="22" t="s">
        <v>65</v>
      </c>
      <c r="F5783" s="22" t="s">
        <v>34</v>
      </c>
      <c r="G5783" s="22" t="s">
        <v>110</v>
      </c>
      <c r="H5783" s="22" t="s">
        <v>71</v>
      </c>
      <c r="I5783" s="22" t="s">
        <v>117</v>
      </c>
      <c r="J5783" s="23">
        <v>48</v>
      </c>
      <c r="K5783" s="37">
        <v>0</v>
      </c>
      <c r="L5783" s="37">
        <v>3</v>
      </c>
      <c r="M5783" s="22">
        <f>IF(OR(ISBLANK(C5783),C5783=""),"",ROUND((C5783-B5783)*24,2))</f>
        <v>33.5</v>
      </c>
      <c r="N5783" s="40" t="str">
        <f>IF(OR(ISBLANK(C5783),C5783="",M5783=""),"In Progress",IF(M5783&lt;=J5783,"Met","Breached"))</f>
        <v>Met</v>
      </c>
    </row>
    <row r="5784" ht="19" customHeight="1" spans="1:14" x14ac:dyDescent="0.25">
      <c r="A5784" s="19" t="s">
        <v>5898</v>
      </c>
      <c r="B5784" s="33">
        <v>46229.6375</v>
      </c>
      <c r="C5784" s="33">
        <v>46232.59375</v>
      </c>
      <c r="D5784" s="19" t="s">
        <v>33</v>
      </c>
      <c r="E5784" s="19" t="s">
        <v>65</v>
      </c>
      <c r="F5784" s="19" t="s">
        <v>40</v>
      </c>
      <c r="G5784" s="19" t="s">
        <v>121</v>
      </c>
      <c r="H5784" s="19" t="s">
        <v>59</v>
      </c>
      <c r="I5784" s="19" t="s">
        <v>114</v>
      </c>
      <c r="J5784" s="20">
        <v>48</v>
      </c>
      <c r="K5784" s="34">
        <v>0</v>
      </c>
      <c r="L5784" s="34">
        <v>4</v>
      </c>
      <c r="M5784" s="19">
        <f>IF(OR(ISBLANK(C5784),C5784=""),"",ROUND((C5784-B5784)*24,2))</f>
        <v>70.95</v>
      </c>
      <c r="N5784" s="39" t="str">
        <f>IF(OR(ISBLANK(C5784),C5784="",M5784=""),"In Progress",IF(M5784&lt;=J5784,"Met","Breached"))</f>
        <v>Breached</v>
      </c>
    </row>
    <row r="5785" ht="19" customHeight="1" spans="1:14" x14ac:dyDescent="0.25">
      <c r="A5785" s="22" t="s">
        <v>5899</v>
      </c>
      <c r="B5785" s="36">
        <v>45960.65486111111</v>
      </c>
      <c r="D5785" s="22" t="s">
        <v>39</v>
      </c>
      <c r="E5785" s="22" t="s">
        <v>65</v>
      </c>
      <c r="F5785" s="22" t="s">
        <v>40</v>
      </c>
      <c r="G5785" s="22" t="s">
        <v>113</v>
      </c>
      <c r="H5785" s="22" t="s">
        <v>63</v>
      </c>
      <c r="I5785" s="22" t="s">
        <v>147</v>
      </c>
      <c r="J5785" s="23">
        <v>48</v>
      </c>
      <c r="K5785" s="37">
        <v>0</v>
      </c>
      <c r="M5785" s="22" t="str">
        <f>IF(OR(ISBLANK(C5785),C5785=""),"",ROUND((C5785-B5785)*24,2))</f>
        <v/>
      </c>
      <c r="N5785" s="22" t="str">
        <f>IF(OR(ISBLANK(C5785),C5785="",M5785=""),"In Progress",IF(M5785&lt;=J5785,"Met","Breached"))</f>
        <v>In Progress</v>
      </c>
    </row>
    <row r="5786" ht="19" customHeight="1" spans="1:14" x14ac:dyDescent="0.25">
      <c r="A5786" s="19" t="s">
        <v>5900</v>
      </c>
      <c r="B5786" s="33">
        <v>46079.47152777778</v>
      </c>
      <c r="C5786" s="33">
        <v>46084.790972222225</v>
      </c>
      <c r="D5786" s="19" t="s">
        <v>33</v>
      </c>
      <c r="E5786" s="19" t="s">
        <v>69</v>
      </c>
      <c r="F5786" s="19" t="s">
        <v>37</v>
      </c>
      <c r="G5786" s="19" t="s">
        <v>110</v>
      </c>
      <c r="H5786" s="19" t="s">
        <v>67</v>
      </c>
      <c r="I5786" s="19" t="s">
        <v>114</v>
      </c>
      <c r="J5786" s="20">
        <v>120</v>
      </c>
      <c r="K5786" s="34">
        <v>0</v>
      </c>
      <c r="L5786" s="34">
        <v>5</v>
      </c>
      <c r="M5786" s="19">
        <f>IF(OR(ISBLANK(C5786),C5786=""),"",ROUND((C5786-B5786)*24,2))</f>
        <v>127.67</v>
      </c>
      <c r="N5786" s="39" t="str">
        <f>IF(OR(ISBLANK(C5786),C5786="",M5786=""),"In Progress",IF(M5786&lt;=J5786,"Met","Breached"))</f>
        <v>Breached</v>
      </c>
    </row>
    <row r="5787" ht="19" customHeight="1" spans="1:14" x14ac:dyDescent="0.25">
      <c r="A5787" s="22" t="s">
        <v>5901</v>
      </c>
      <c r="B5787" s="36">
        <v>45976.464583333334</v>
      </c>
      <c r="C5787" s="36">
        <v>45979.273611111115</v>
      </c>
      <c r="D5787" s="22" t="s">
        <v>33</v>
      </c>
      <c r="E5787" s="22" t="s">
        <v>69</v>
      </c>
      <c r="F5787" s="22" t="s">
        <v>40</v>
      </c>
      <c r="G5787" s="22" t="s">
        <v>113</v>
      </c>
      <c r="H5787" s="22" t="s">
        <v>59</v>
      </c>
      <c r="I5787" s="22" t="s">
        <v>117</v>
      </c>
      <c r="J5787" s="23">
        <v>120</v>
      </c>
      <c r="K5787" s="37">
        <v>0</v>
      </c>
      <c r="L5787" s="37">
        <v>4</v>
      </c>
      <c r="M5787" s="22">
        <f>IF(OR(ISBLANK(C5787),C5787=""),"",ROUND((C5787-B5787)*24,2))</f>
        <v>67.42</v>
      </c>
      <c r="N5787" s="40" t="str">
        <f>IF(OR(ISBLANK(C5787),C5787="",M5787=""),"In Progress",IF(M5787&lt;=J5787,"Met","Breached"))</f>
        <v>Met</v>
      </c>
    </row>
    <row r="5788" ht="19" customHeight="1" spans="1:14" x14ac:dyDescent="0.25">
      <c r="A5788" s="19" t="s">
        <v>5902</v>
      </c>
      <c r="B5788" s="33">
        <v>45835.231944444444</v>
      </c>
      <c r="C5788" s="33">
        <v>45838.13958333334</v>
      </c>
      <c r="D5788" s="19" t="s">
        <v>33</v>
      </c>
      <c r="E5788" s="19" t="s">
        <v>65</v>
      </c>
      <c r="F5788" s="19" t="s">
        <v>40</v>
      </c>
      <c r="G5788" s="19" t="s">
        <v>116</v>
      </c>
      <c r="H5788" s="19" t="s">
        <v>59</v>
      </c>
      <c r="I5788" s="19" t="s">
        <v>123</v>
      </c>
      <c r="J5788" s="20">
        <v>48</v>
      </c>
      <c r="K5788" s="34">
        <v>0</v>
      </c>
      <c r="L5788" s="34">
        <v>2</v>
      </c>
      <c r="M5788" s="19">
        <f>IF(OR(ISBLANK(C5788),C5788=""),"",ROUND((C5788-B5788)*24,2))</f>
        <v>69.78</v>
      </c>
      <c r="N5788" s="39" t="str">
        <f>IF(OR(ISBLANK(C5788),C5788="",M5788=""),"In Progress",IF(M5788&lt;=J5788,"Met","Breached"))</f>
        <v>Breached</v>
      </c>
    </row>
    <row r="5789" ht="19" customHeight="1" spans="1:14" x14ac:dyDescent="0.25">
      <c r="A5789" s="22" t="s">
        <v>5903</v>
      </c>
      <c r="B5789" s="36">
        <v>46035.92569444445</v>
      </c>
      <c r="D5789" s="22" t="s">
        <v>42</v>
      </c>
      <c r="E5789" s="22" t="s">
        <v>65</v>
      </c>
      <c r="F5789" s="22" t="s">
        <v>45</v>
      </c>
      <c r="G5789" s="22" t="s">
        <v>110</v>
      </c>
      <c r="H5789" s="22" t="s">
        <v>59</v>
      </c>
      <c r="I5789" s="22" t="s">
        <v>111</v>
      </c>
      <c r="J5789" s="23">
        <v>48</v>
      </c>
      <c r="K5789" s="37">
        <v>0</v>
      </c>
      <c r="M5789" s="22" t="str">
        <f>IF(OR(ISBLANK(C5789),C5789=""),"",ROUND((C5789-B5789)*24,2))</f>
        <v/>
      </c>
      <c r="N5789" s="22" t="str">
        <f>IF(OR(ISBLANK(C5789),C5789="",M5789=""),"In Progress",IF(M5789&lt;=J5789,"Met","Breached"))</f>
        <v>In Progress</v>
      </c>
    </row>
    <row r="5790" ht="19" customHeight="1" spans="1:14" x14ac:dyDescent="0.25">
      <c r="A5790" s="19" t="s">
        <v>5904</v>
      </c>
      <c r="B5790" s="33">
        <v>46216.25625</v>
      </c>
      <c r="C5790" s="33">
        <v>46218.53472222222</v>
      </c>
      <c r="D5790" s="19" t="s">
        <v>33</v>
      </c>
      <c r="E5790" s="19" t="s">
        <v>65</v>
      </c>
      <c r="F5790" s="19" t="s">
        <v>34</v>
      </c>
      <c r="G5790" s="19" t="s">
        <v>110</v>
      </c>
      <c r="H5790" s="19" t="s">
        <v>67</v>
      </c>
      <c r="I5790" s="19" t="s">
        <v>117</v>
      </c>
      <c r="J5790" s="20">
        <v>48</v>
      </c>
      <c r="K5790" s="34">
        <v>0</v>
      </c>
      <c r="M5790" s="19">
        <f>IF(OR(ISBLANK(C5790),C5790=""),"",ROUND((C5790-B5790)*24,2))</f>
        <v>54.68</v>
      </c>
      <c r="N5790" s="39" t="str">
        <f>IF(OR(ISBLANK(C5790),C5790="",M5790=""),"In Progress",IF(M5790&lt;=J5790,"Met","Breached"))</f>
        <v>Breached</v>
      </c>
    </row>
    <row r="5791" ht="19" customHeight="1" spans="1:14" x14ac:dyDescent="0.25">
      <c r="A5791" s="22" t="s">
        <v>5905</v>
      </c>
      <c r="B5791" s="36">
        <v>45713.37152777778</v>
      </c>
      <c r="D5791" s="22" t="s">
        <v>39</v>
      </c>
      <c r="E5791" s="22" t="s">
        <v>65</v>
      </c>
      <c r="F5791" s="22" t="s">
        <v>45</v>
      </c>
      <c r="G5791" s="22" t="s">
        <v>116</v>
      </c>
      <c r="H5791" s="22" t="s">
        <v>59</v>
      </c>
      <c r="I5791" s="22" t="s">
        <v>117</v>
      </c>
      <c r="J5791" s="23">
        <v>48</v>
      </c>
      <c r="K5791" s="37">
        <v>0</v>
      </c>
      <c r="M5791" s="22" t="str">
        <f>IF(OR(ISBLANK(C5791),C5791=""),"",ROUND((C5791-B5791)*24,2))</f>
        <v/>
      </c>
      <c r="N5791" s="22" t="str">
        <f>IF(OR(ISBLANK(C5791),C5791="",M5791=""),"In Progress",IF(M5791&lt;=J5791,"Met","Breached"))</f>
        <v>In Progress</v>
      </c>
    </row>
    <row r="5792" ht="19" customHeight="1" spans="1:14" x14ac:dyDescent="0.25">
      <c r="A5792" s="19" t="s">
        <v>5906</v>
      </c>
      <c r="B5792" s="33">
        <v>45976.31875</v>
      </c>
      <c r="D5792" s="19" t="s">
        <v>42</v>
      </c>
      <c r="E5792" s="19" t="s">
        <v>65</v>
      </c>
      <c r="F5792" s="19" t="s">
        <v>34</v>
      </c>
      <c r="G5792" s="19" t="s">
        <v>126</v>
      </c>
      <c r="H5792" s="19" t="s">
        <v>71</v>
      </c>
      <c r="I5792" s="19" t="s">
        <v>147</v>
      </c>
      <c r="J5792" s="20">
        <v>48</v>
      </c>
      <c r="K5792" s="34">
        <v>0</v>
      </c>
      <c r="M5792" s="19" t="str">
        <f>IF(OR(ISBLANK(C5792),C5792=""),"",ROUND((C5792-B5792)*24,2))</f>
        <v/>
      </c>
      <c r="N5792" s="19" t="str">
        <f>IF(OR(ISBLANK(C5792),C5792="",M5792=""),"In Progress",IF(M5792&lt;=J5792,"Met","Breached"))</f>
        <v>In Progress</v>
      </c>
    </row>
    <row r="5793" ht="19" customHeight="1" spans="1:14" x14ac:dyDescent="0.25">
      <c r="A5793" s="22" t="s">
        <v>5907</v>
      </c>
      <c r="B5793" s="36">
        <v>45752.65069444444</v>
      </c>
      <c r="C5793" s="36">
        <v>45754.09236111111</v>
      </c>
      <c r="D5793" s="22" t="s">
        <v>33</v>
      </c>
      <c r="E5793" s="22" t="s">
        <v>65</v>
      </c>
      <c r="F5793" s="22" t="s">
        <v>40</v>
      </c>
      <c r="G5793" s="22" t="s">
        <v>110</v>
      </c>
      <c r="H5793" s="22" t="s">
        <v>59</v>
      </c>
      <c r="I5793" s="22" t="s">
        <v>147</v>
      </c>
      <c r="J5793" s="23">
        <v>48</v>
      </c>
      <c r="K5793" s="37">
        <v>0</v>
      </c>
      <c r="L5793" s="37">
        <v>1</v>
      </c>
      <c r="M5793" s="22">
        <f>IF(OR(ISBLANK(C5793),C5793=""),"",ROUND((C5793-B5793)*24,2))</f>
        <v>34.6</v>
      </c>
      <c r="N5793" s="40" t="str">
        <f>IF(OR(ISBLANK(C5793),C5793="",M5793=""),"In Progress",IF(M5793&lt;=J5793,"Met","Breached"))</f>
        <v>Met</v>
      </c>
    </row>
    <row r="5794" ht="19" customHeight="1" spans="1:14" x14ac:dyDescent="0.25">
      <c r="A5794" s="19" t="s">
        <v>5908</v>
      </c>
      <c r="B5794" s="33">
        <v>46244.14375</v>
      </c>
      <c r="C5794" s="33">
        <v>46246.85972222222</v>
      </c>
      <c r="D5794" s="19" t="s">
        <v>36</v>
      </c>
      <c r="E5794" s="19" t="s">
        <v>69</v>
      </c>
      <c r="F5794" s="19" t="s">
        <v>40</v>
      </c>
      <c r="G5794" s="19" t="s">
        <v>126</v>
      </c>
      <c r="H5794" s="19" t="s">
        <v>63</v>
      </c>
      <c r="I5794" s="19" t="s">
        <v>117</v>
      </c>
      <c r="J5794" s="20">
        <v>120</v>
      </c>
      <c r="K5794" s="34">
        <v>0</v>
      </c>
      <c r="M5794" s="19">
        <f>IF(OR(ISBLANK(C5794),C5794=""),"",ROUND((C5794-B5794)*24,2))</f>
        <v>65.18</v>
      </c>
      <c r="N5794" s="35" t="str">
        <f>IF(OR(ISBLANK(C5794),C5794="",M5794=""),"In Progress",IF(M5794&lt;=J5794,"Met","Breached"))</f>
        <v>Met</v>
      </c>
    </row>
    <row r="5795" ht="19" customHeight="1" spans="1:14" x14ac:dyDescent="0.25">
      <c r="A5795" s="22" t="s">
        <v>5909</v>
      </c>
      <c r="B5795" s="36">
        <v>45821.88680555555</v>
      </c>
      <c r="C5795" s="36">
        <v>45828.695138888885</v>
      </c>
      <c r="D5795" s="22" t="s">
        <v>33</v>
      </c>
      <c r="E5795" s="22" t="s">
        <v>69</v>
      </c>
      <c r="F5795" s="22" t="s">
        <v>40</v>
      </c>
      <c r="G5795" s="22" t="s">
        <v>126</v>
      </c>
      <c r="H5795" s="22" t="s">
        <v>71</v>
      </c>
      <c r="I5795" s="22" t="s">
        <v>111</v>
      </c>
      <c r="J5795" s="23">
        <v>120</v>
      </c>
      <c r="K5795" s="37">
        <v>0</v>
      </c>
      <c r="L5795" s="37">
        <v>1</v>
      </c>
      <c r="M5795" s="22">
        <f>IF(OR(ISBLANK(C5795),C5795=""),"",ROUND((C5795-B5795)*24,2))</f>
        <v>163.4</v>
      </c>
      <c r="N5795" s="38" t="str">
        <f>IF(OR(ISBLANK(C5795),C5795="",M5795=""),"In Progress",IF(M5795&lt;=J5795,"Met","Breached"))</f>
        <v>Breached</v>
      </c>
    </row>
    <row r="5796" ht="19" customHeight="1" spans="1:14" x14ac:dyDescent="0.25">
      <c r="A5796" s="19" t="s">
        <v>5910</v>
      </c>
      <c r="B5796" s="33">
        <v>46185.222916666666</v>
      </c>
      <c r="C5796" s="33">
        <v>46185.410416666666</v>
      </c>
      <c r="D5796" s="19" t="s">
        <v>33</v>
      </c>
      <c r="E5796" s="19" t="s">
        <v>61</v>
      </c>
      <c r="F5796" s="19" t="s">
        <v>34</v>
      </c>
      <c r="G5796" s="19" t="s">
        <v>63</v>
      </c>
      <c r="H5796" s="19" t="s">
        <v>67</v>
      </c>
      <c r="I5796" s="19" t="s">
        <v>108</v>
      </c>
      <c r="J5796" s="20">
        <v>12</v>
      </c>
      <c r="K5796" s="34">
        <v>0</v>
      </c>
      <c r="M5796" s="19">
        <f>IF(OR(ISBLANK(C5796),C5796=""),"",ROUND((C5796-B5796)*24,2))</f>
        <v>4.5</v>
      </c>
      <c r="N5796" s="35" t="str">
        <f>IF(OR(ISBLANK(C5796),C5796="",M5796=""),"In Progress",IF(M5796&lt;=J5796,"Met","Breached"))</f>
        <v>Met</v>
      </c>
    </row>
    <row r="5797" ht="19" customHeight="1" spans="1:14" x14ac:dyDescent="0.25">
      <c r="A5797" s="22" t="s">
        <v>5911</v>
      </c>
      <c r="B5797" s="36">
        <v>46037.700694444444</v>
      </c>
      <c r="C5797" s="36">
        <v>46037.87569444445</v>
      </c>
      <c r="D5797" s="22" t="s">
        <v>33</v>
      </c>
      <c r="E5797" s="22" t="s">
        <v>57</v>
      </c>
      <c r="F5797" s="22" t="s">
        <v>37</v>
      </c>
      <c r="G5797" s="22" t="s">
        <v>121</v>
      </c>
      <c r="H5797" s="22" t="s">
        <v>71</v>
      </c>
      <c r="I5797" s="22" t="s">
        <v>123</v>
      </c>
      <c r="J5797" s="23">
        <v>4</v>
      </c>
      <c r="K5797" s="37">
        <v>0</v>
      </c>
      <c r="L5797" s="37">
        <v>1</v>
      </c>
      <c r="M5797" s="22">
        <f>IF(OR(ISBLANK(C5797),C5797=""),"",ROUND((C5797-B5797)*24,2))</f>
        <v>4.2</v>
      </c>
      <c r="N5797" s="38" t="str">
        <f>IF(OR(ISBLANK(C5797),C5797="",M5797=""),"In Progress",IF(M5797&lt;=J5797,"Met","Breached"))</f>
        <v>Breached</v>
      </c>
    </row>
    <row r="5798" ht="19" customHeight="1" spans="1:14" x14ac:dyDescent="0.25">
      <c r="A5798" s="19" t="s">
        <v>5912</v>
      </c>
      <c r="B5798" s="33">
        <v>46012.79513888889</v>
      </c>
      <c r="C5798" s="33">
        <v>46014.444444444445</v>
      </c>
      <c r="D5798" s="19" t="s">
        <v>33</v>
      </c>
      <c r="E5798" s="19" t="s">
        <v>65</v>
      </c>
      <c r="F5798" s="19" t="s">
        <v>37</v>
      </c>
      <c r="G5798" s="19" t="s">
        <v>113</v>
      </c>
      <c r="H5798" s="19" t="s">
        <v>59</v>
      </c>
      <c r="I5798" s="19" t="s">
        <v>123</v>
      </c>
      <c r="J5798" s="20">
        <v>48</v>
      </c>
      <c r="K5798" s="34">
        <v>0</v>
      </c>
      <c r="L5798" s="34">
        <v>2</v>
      </c>
      <c r="M5798" s="19">
        <f>IF(OR(ISBLANK(C5798),C5798=""),"",ROUND((C5798-B5798)*24,2))</f>
        <v>39.58</v>
      </c>
      <c r="N5798" s="35" t="str">
        <f>IF(OR(ISBLANK(C5798),C5798="",M5798=""),"In Progress",IF(M5798&lt;=J5798,"Met","Breached"))</f>
        <v>Met</v>
      </c>
    </row>
    <row r="5799" ht="19" customHeight="1" spans="1:14" x14ac:dyDescent="0.25">
      <c r="A5799" s="22" t="s">
        <v>5913</v>
      </c>
      <c r="B5799" s="36">
        <v>45684.02986111111</v>
      </c>
      <c r="C5799" s="36">
        <v>45686.334027777775</v>
      </c>
      <c r="D5799" s="22" t="s">
        <v>33</v>
      </c>
      <c r="E5799" s="22" t="s">
        <v>65</v>
      </c>
      <c r="F5799" s="22" t="s">
        <v>45</v>
      </c>
      <c r="G5799" s="22" t="s">
        <v>126</v>
      </c>
      <c r="H5799" s="22" t="s">
        <v>71</v>
      </c>
      <c r="I5799" s="22" t="s">
        <v>114</v>
      </c>
      <c r="J5799" s="23">
        <v>48</v>
      </c>
      <c r="K5799" s="37">
        <v>0</v>
      </c>
      <c r="L5799" s="37">
        <v>1</v>
      </c>
      <c r="M5799" s="22">
        <f>IF(OR(ISBLANK(C5799),C5799=""),"",ROUND((C5799-B5799)*24,2))</f>
        <v>55.3</v>
      </c>
      <c r="N5799" s="38" t="str">
        <f>IF(OR(ISBLANK(C5799),C5799="",M5799=""),"In Progress",IF(M5799&lt;=J5799,"Met","Breached"))</f>
        <v>Breached</v>
      </c>
    </row>
    <row r="5800" ht="19" customHeight="1" spans="1:14" x14ac:dyDescent="0.25">
      <c r="A5800" s="19" t="s">
        <v>5914</v>
      </c>
      <c r="B5800" s="33">
        <v>46229.74722222222</v>
      </c>
      <c r="C5800" s="33">
        <v>46230.04652777778</v>
      </c>
      <c r="D5800" s="19" t="s">
        <v>33</v>
      </c>
      <c r="E5800" s="19" t="s">
        <v>61</v>
      </c>
      <c r="F5800" s="19" t="s">
        <v>37</v>
      </c>
      <c r="G5800" s="19" t="s">
        <v>63</v>
      </c>
      <c r="H5800" s="19" t="s">
        <v>71</v>
      </c>
      <c r="I5800" s="19" t="s">
        <v>147</v>
      </c>
      <c r="J5800" s="20">
        <v>12</v>
      </c>
      <c r="K5800" s="34">
        <v>0</v>
      </c>
      <c r="M5800" s="19">
        <f>IF(OR(ISBLANK(C5800),C5800=""),"",ROUND((C5800-B5800)*24,2))</f>
        <v>7.18</v>
      </c>
      <c r="N5800" s="35" t="str">
        <f>IF(OR(ISBLANK(C5800),C5800="",M5800=""),"In Progress",IF(M5800&lt;=J5800,"Met","Breached"))</f>
        <v>Met</v>
      </c>
    </row>
    <row r="5801" ht="19" customHeight="1" spans="1:14" x14ac:dyDescent="0.25">
      <c r="A5801" s="22" t="s">
        <v>5915</v>
      </c>
      <c r="B5801" s="36">
        <v>45992.09583333333</v>
      </c>
      <c r="C5801" s="36">
        <v>45995.14375</v>
      </c>
      <c r="D5801" s="22" t="s">
        <v>33</v>
      </c>
      <c r="E5801" s="22" t="s">
        <v>65</v>
      </c>
      <c r="F5801" s="22" t="s">
        <v>43</v>
      </c>
      <c r="G5801" s="22" t="s">
        <v>121</v>
      </c>
      <c r="H5801" s="22" t="s">
        <v>59</v>
      </c>
      <c r="I5801" s="22" t="s">
        <v>147</v>
      </c>
      <c r="J5801" s="23">
        <v>48</v>
      </c>
      <c r="K5801" s="37">
        <v>0</v>
      </c>
      <c r="L5801" s="37">
        <v>4</v>
      </c>
      <c r="M5801" s="22">
        <f>IF(OR(ISBLANK(C5801),C5801=""),"",ROUND((C5801-B5801)*24,2))</f>
        <v>73.15</v>
      </c>
      <c r="N5801" s="38" t="str">
        <f>IF(OR(ISBLANK(C5801),C5801="",M5801=""),"In Progress",IF(M5801&lt;=J5801,"Met","Breached"))</f>
        <v>Breached</v>
      </c>
    </row>
    <row r="5802" ht="19" customHeight="1" spans="1:14" x14ac:dyDescent="0.25">
      <c r="A5802" s="19" t="s">
        <v>5916</v>
      </c>
      <c r="B5802" s="33">
        <v>46016.038888888885</v>
      </c>
      <c r="C5802" s="33">
        <v>46016.475</v>
      </c>
      <c r="D5802" s="19" t="s">
        <v>33</v>
      </c>
      <c r="E5802" s="19" t="s">
        <v>61</v>
      </c>
      <c r="F5802" s="19" t="s">
        <v>43</v>
      </c>
      <c r="G5802" s="19" t="s">
        <v>121</v>
      </c>
      <c r="H5802" s="19" t="s">
        <v>59</v>
      </c>
      <c r="I5802" s="19" t="s">
        <v>108</v>
      </c>
      <c r="J5802" s="20">
        <v>12</v>
      </c>
      <c r="K5802" s="34">
        <v>0</v>
      </c>
      <c r="L5802" s="34">
        <v>1</v>
      </c>
      <c r="M5802" s="19">
        <f>IF(OR(ISBLANK(C5802),C5802=""),"",ROUND((C5802-B5802)*24,2))</f>
        <v>10.47</v>
      </c>
      <c r="N5802" s="35" t="str">
        <f>IF(OR(ISBLANK(C5802),C5802="",M5802=""),"In Progress",IF(M5802&lt;=J5802,"Met","Breached"))</f>
        <v>Met</v>
      </c>
    </row>
    <row r="5803" ht="19" customHeight="1" spans="1:14" x14ac:dyDescent="0.25">
      <c r="A5803" s="22" t="s">
        <v>5917</v>
      </c>
      <c r="B5803" s="36">
        <v>45739.334027777775</v>
      </c>
      <c r="C5803" s="36">
        <v>45740.17847222222</v>
      </c>
      <c r="D5803" s="22" t="s">
        <v>36</v>
      </c>
      <c r="E5803" s="22" t="s">
        <v>61</v>
      </c>
      <c r="F5803" s="22" t="s">
        <v>43</v>
      </c>
      <c r="G5803" s="22" t="s">
        <v>121</v>
      </c>
      <c r="H5803" s="22" t="s">
        <v>59</v>
      </c>
      <c r="I5803" s="22" t="s">
        <v>147</v>
      </c>
      <c r="J5803" s="23">
        <v>12</v>
      </c>
      <c r="K5803" s="37">
        <v>0</v>
      </c>
      <c r="M5803" s="22">
        <f>IF(OR(ISBLANK(C5803),C5803=""),"",ROUND((C5803-B5803)*24,2))</f>
        <v>20.27</v>
      </c>
      <c r="N5803" s="38" t="str">
        <f>IF(OR(ISBLANK(C5803),C5803="",M5803=""),"In Progress",IF(M5803&lt;=J5803,"Met","Breached"))</f>
        <v>Breached</v>
      </c>
    </row>
    <row r="5804" ht="19" customHeight="1" spans="1:14" x14ac:dyDescent="0.25">
      <c r="A5804" s="19" t="s">
        <v>5918</v>
      </c>
      <c r="B5804" s="33">
        <v>46193.288194444445</v>
      </c>
      <c r="C5804" s="33">
        <v>46193.37638888889</v>
      </c>
      <c r="D5804" s="19" t="s">
        <v>33</v>
      </c>
      <c r="E5804" s="19" t="s">
        <v>57</v>
      </c>
      <c r="F5804" s="19" t="s">
        <v>43</v>
      </c>
      <c r="G5804" s="19" t="s">
        <v>116</v>
      </c>
      <c r="H5804" s="19" t="s">
        <v>59</v>
      </c>
      <c r="I5804" s="19" t="s">
        <v>147</v>
      </c>
      <c r="J5804" s="20">
        <v>4</v>
      </c>
      <c r="K5804" s="34">
        <v>0</v>
      </c>
      <c r="L5804" s="34">
        <v>4</v>
      </c>
      <c r="M5804" s="19">
        <f>IF(OR(ISBLANK(C5804),C5804=""),"",ROUND((C5804-B5804)*24,2))</f>
        <v>2.12</v>
      </c>
      <c r="N5804" s="35" t="str">
        <f>IF(OR(ISBLANK(C5804),C5804="",M5804=""),"In Progress",IF(M5804&lt;=J5804,"Met","Breached"))</f>
        <v>Met</v>
      </c>
    </row>
    <row r="5805" ht="19" customHeight="1" spans="1:14" x14ac:dyDescent="0.25">
      <c r="A5805" s="22" t="s">
        <v>5919</v>
      </c>
      <c r="B5805" s="36">
        <v>46203.236805555556</v>
      </c>
      <c r="D5805" s="22" t="s">
        <v>39</v>
      </c>
      <c r="E5805" s="22" t="s">
        <v>61</v>
      </c>
      <c r="F5805" s="22" t="s">
        <v>34</v>
      </c>
      <c r="G5805" s="22" t="s">
        <v>116</v>
      </c>
      <c r="H5805" s="22" t="s">
        <v>71</v>
      </c>
      <c r="I5805" s="22" t="s">
        <v>114</v>
      </c>
      <c r="J5805" s="23">
        <v>12</v>
      </c>
      <c r="K5805" s="37">
        <v>0</v>
      </c>
      <c r="M5805" s="22" t="str">
        <f>IF(OR(ISBLANK(C5805),C5805=""),"",ROUND((C5805-B5805)*24,2))</f>
        <v/>
      </c>
      <c r="N5805" s="22" t="str">
        <f>IF(OR(ISBLANK(C5805),C5805="",M5805=""),"In Progress",IF(M5805&lt;=J5805,"Met","Breached"))</f>
        <v>In Progress</v>
      </c>
    </row>
    <row r="5806" ht="19" customHeight="1" spans="1:14" x14ac:dyDescent="0.25">
      <c r="A5806" s="19" t="s">
        <v>5920</v>
      </c>
      <c r="B5806" s="33">
        <v>46130.29513888889</v>
      </c>
      <c r="C5806" s="33">
        <v>46137.70416666666</v>
      </c>
      <c r="D5806" s="19" t="s">
        <v>33</v>
      </c>
      <c r="E5806" s="19" t="s">
        <v>69</v>
      </c>
      <c r="F5806" s="19" t="s">
        <v>34</v>
      </c>
      <c r="G5806" s="19" t="s">
        <v>126</v>
      </c>
      <c r="H5806" s="19" t="s">
        <v>59</v>
      </c>
      <c r="I5806" s="19" t="s">
        <v>111</v>
      </c>
      <c r="J5806" s="20">
        <v>120</v>
      </c>
      <c r="K5806" s="34">
        <v>0</v>
      </c>
      <c r="M5806" s="19">
        <f>IF(OR(ISBLANK(C5806),C5806=""),"",ROUND((C5806-B5806)*24,2))</f>
        <v>177.82</v>
      </c>
      <c r="N5806" s="39" t="str">
        <f>IF(OR(ISBLANK(C5806),C5806="",M5806=""),"In Progress",IF(M5806&lt;=J5806,"Met","Breached"))</f>
        <v>Breached</v>
      </c>
    </row>
    <row r="5807" ht="19" customHeight="1" spans="1:14" x14ac:dyDescent="0.25">
      <c r="A5807" s="22" t="s">
        <v>5921</v>
      </c>
      <c r="B5807" s="36">
        <v>46022.73958333333</v>
      </c>
      <c r="C5807" s="36">
        <v>46028.129166666666</v>
      </c>
      <c r="D5807" s="22" t="s">
        <v>33</v>
      </c>
      <c r="E5807" s="22" t="s">
        <v>69</v>
      </c>
      <c r="F5807" s="22" t="s">
        <v>45</v>
      </c>
      <c r="G5807" s="22" t="s">
        <v>121</v>
      </c>
      <c r="H5807" s="22" t="s">
        <v>59</v>
      </c>
      <c r="I5807" s="22" t="s">
        <v>123</v>
      </c>
      <c r="J5807" s="23">
        <v>120</v>
      </c>
      <c r="K5807" s="37">
        <v>0</v>
      </c>
      <c r="L5807" s="37">
        <v>1</v>
      </c>
      <c r="M5807" s="22">
        <f>IF(OR(ISBLANK(C5807),C5807=""),"",ROUND((C5807-B5807)*24,2))</f>
        <v>129.35</v>
      </c>
      <c r="N5807" s="38" t="str">
        <f>IF(OR(ISBLANK(C5807),C5807="",M5807=""),"In Progress",IF(M5807&lt;=J5807,"Met","Breached"))</f>
        <v>Breached</v>
      </c>
    </row>
    <row r="5808" ht="19" customHeight="1" spans="1:14" x14ac:dyDescent="0.25">
      <c r="A5808" s="19" t="s">
        <v>5922</v>
      </c>
      <c r="B5808" s="33">
        <v>46083.37222222222</v>
      </c>
      <c r="D5808" s="19" t="s">
        <v>39</v>
      </c>
      <c r="E5808" s="19" t="s">
        <v>61</v>
      </c>
      <c r="F5808" s="19" t="s">
        <v>40</v>
      </c>
      <c r="G5808" s="19" t="s">
        <v>116</v>
      </c>
      <c r="H5808" s="19" t="s">
        <v>59</v>
      </c>
      <c r="I5808" s="19" t="s">
        <v>114</v>
      </c>
      <c r="J5808" s="20">
        <v>12</v>
      </c>
      <c r="K5808" s="34">
        <v>0</v>
      </c>
      <c r="M5808" s="19" t="str">
        <f>IF(OR(ISBLANK(C5808),C5808=""),"",ROUND((C5808-B5808)*24,2))</f>
        <v/>
      </c>
      <c r="N5808" s="19" t="str">
        <f>IF(OR(ISBLANK(C5808),C5808="",M5808=""),"In Progress",IF(M5808&lt;=J5808,"Met","Breached"))</f>
        <v>In Progress</v>
      </c>
    </row>
    <row r="5809" ht="19" customHeight="1" spans="1:14" x14ac:dyDescent="0.25">
      <c r="A5809" s="22" t="s">
        <v>5923</v>
      </c>
      <c r="B5809" s="36">
        <v>46128.39722222222</v>
      </c>
      <c r="C5809" s="36">
        <v>46136.84513888889</v>
      </c>
      <c r="D5809" s="22" t="s">
        <v>36</v>
      </c>
      <c r="E5809" s="22" t="s">
        <v>69</v>
      </c>
      <c r="F5809" s="22" t="s">
        <v>37</v>
      </c>
      <c r="G5809" s="22" t="s">
        <v>126</v>
      </c>
      <c r="H5809" s="22" t="s">
        <v>59</v>
      </c>
      <c r="I5809" s="22" t="s">
        <v>117</v>
      </c>
      <c r="J5809" s="23">
        <v>120</v>
      </c>
      <c r="K5809" s="37">
        <v>0</v>
      </c>
      <c r="L5809" s="37">
        <v>1</v>
      </c>
      <c r="M5809" s="22">
        <f>IF(OR(ISBLANK(C5809),C5809=""),"",ROUND((C5809-B5809)*24,2))</f>
        <v>202.75</v>
      </c>
      <c r="N5809" s="38" t="str">
        <f>IF(OR(ISBLANK(C5809),C5809="",M5809=""),"In Progress",IF(M5809&lt;=J5809,"Met","Breached"))</f>
        <v>Breached</v>
      </c>
    </row>
    <row r="5810" ht="19" customHeight="1" spans="1:14" x14ac:dyDescent="0.25">
      <c r="A5810" s="19" t="s">
        <v>5924</v>
      </c>
      <c r="B5810" s="33">
        <v>46158.05416666667</v>
      </c>
      <c r="C5810" s="33">
        <v>46159.709027777775</v>
      </c>
      <c r="D5810" s="19" t="s">
        <v>33</v>
      </c>
      <c r="E5810" s="19" t="s">
        <v>65</v>
      </c>
      <c r="F5810" s="19" t="s">
        <v>40</v>
      </c>
      <c r="G5810" s="19" t="s">
        <v>126</v>
      </c>
      <c r="H5810" s="19" t="s">
        <v>67</v>
      </c>
      <c r="I5810" s="19" t="s">
        <v>108</v>
      </c>
      <c r="J5810" s="20">
        <v>48</v>
      </c>
      <c r="K5810" s="34">
        <v>0</v>
      </c>
      <c r="L5810" s="34">
        <v>1</v>
      </c>
      <c r="M5810" s="19">
        <f>IF(OR(ISBLANK(C5810),C5810=""),"",ROUND((C5810-B5810)*24,2))</f>
        <v>39.72</v>
      </c>
      <c r="N5810" s="35" t="str">
        <f>IF(OR(ISBLANK(C5810),C5810="",M5810=""),"In Progress",IF(M5810&lt;=J5810,"Met","Breached"))</f>
        <v>Met</v>
      </c>
    </row>
    <row r="5811" ht="19" customHeight="1" spans="1:14" x14ac:dyDescent="0.25">
      <c r="A5811" s="22" t="s">
        <v>5925</v>
      </c>
      <c r="B5811" s="36">
        <v>45861.23819444445</v>
      </c>
      <c r="D5811" s="22" t="s">
        <v>39</v>
      </c>
      <c r="E5811" s="22" t="s">
        <v>61</v>
      </c>
      <c r="F5811" s="22" t="s">
        <v>34</v>
      </c>
      <c r="G5811" s="22" t="s">
        <v>110</v>
      </c>
      <c r="H5811" s="22" t="s">
        <v>71</v>
      </c>
      <c r="I5811" s="22" t="s">
        <v>123</v>
      </c>
      <c r="J5811" s="23">
        <v>12</v>
      </c>
      <c r="K5811" s="37">
        <v>0</v>
      </c>
      <c r="M5811" s="22" t="str">
        <f>IF(OR(ISBLANK(C5811),C5811=""),"",ROUND((C5811-B5811)*24,2))</f>
        <v/>
      </c>
      <c r="N5811" s="22" t="str">
        <f>IF(OR(ISBLANK(C5811),C5811="",M5811=""),"In Progress",IF(M5811&lt;=J5811,"Met","Breached"))</f>
        <v>In Progress</v>
      </c>
    </row>
    <row r="5812" ht="19" customHeight="1" spans="1:14" x14ac:dyDescent="0.25">
      <c r="A5812" s="19" t="s">
        <v>5926</v>
      </c>
      <c r="B5812" s="33">
        <v>45747.02916666667</v>
      </c>
      <c r="C5812" s="33">
        <v>45747.24166666667</v>
      </c>
      <c r="D5812" s="19" t="s">
        <v>33</v>
      </c>
      <c r="E5812" s="19" t="s">
        <v>61</v>
      </c>
      <c r="F5812" s="19" t="s">
        <v>40</v>
      </c>
      <c r="G5812" s="19" t="s">
        <v>121</v>
      </c>
      <c r="H5812" s="19" t="s">
        <v>59</v>
      </c>
      <c r="I5812" s="19" t="s">
        <v>123</v>
      </c>
      <c r="J5812" s="20">
        <v>12</v>
      </c>
      <c r="K5812" s="34">
        <v>0</v>
      </c>
      <c r="M5812" s="19">
        <f>IF(OR(ISBLANK(C5812),C5812=""),"",ROUND((C5812-B5812)*24,2))</f>
        <v>5.1</v>
      </c>
      <c r="N5812" s="35" t="str">
        <f>IF(OR(ISBLANK(C5812),C5812="",M5812=""),"In Progress",IF(M5812&lt;=J5812,"Met","Breached"))</f>
        <v>Met</v>
      </c>
    </row>
    <row r="5813" ht="19" customHeight="1" spans="1:14" x14ac:dyDescent="0.25">
      <c r="A5813" s="22" t="s">
        <v>5927</v>
      </c>
      <c r="B5813" s="36">
        <v>45808.72013888889</v>
      </c>
      <c r="C5813" s="36">
        <v>45810.01041666667</v>
      </c>
      <c r="D5813" s="22" t="s">
        <v>33</v>
      </c>
      <c r="E5813" s="22" t="s">
        <v>65</v>
      </c>
      <c r="F5813" s="22" t="s">
        <v>40</v>
      </c>
      <c r="G5813" s="22" t="s">
        <v>121</v>
      </c>
      <c r="H5813" s="22" t="s">
        <v>59</v>
      </c>
      <c r="I5813" s="22" t="s">
        <v>111</v>
      </c>
      <c r="J5813" s="23">
        <v>48</v>
      </c>
      <c r="K5813" s="37">
        <v>0</v>
      </c>
      <c r="L5813" s="37">
        <v>3</v>
      </c>
      <c r="M5813" s="22">
        <f>IF(OR(ISBLANK(C5813),C5813=""),"",ROUND((C5813-B5813)*24,2))</f>
        <v>30.97</v>
      </c>
      <c r="N5813" s="40" t="str">
        <f>IF(OR(ISBLANK(C5813),C5813="",M5813=""),"In Progress",IF(M5813&lt;=J5813,"Met","Breached"))</f>
        <v>Met</v>
      </c>
    </row>
    <row r="5814" ht="19" customHeight="1" spans="1:14" x14ac:dyDescent="0.25">
      <c r="A5814" s="19" t="s">
        <v>5928</v>
      </c>
      <c r="B5814" s="33">
        <v>46057.58541666667</v>
      </c>
      <c r="C5814" s="33">
        <v>46058.28611111111</v>
      </c>
      <c r="D5814" s="19" t="s">
        <v>33</v>
      </c>
      <c r="E5814" s="19" t="s">
        <v>61</v>
      </c>
      <c r="F5814" s="19" t="s">
        <v>37</v>
      </c>
      <c r="G5814" s="19" t="s">
        <v>110</v>
      </c>
      <c r="H5814" s="19" t="s">
        <v>59</v>
      </c>
      <c r="I5814" s="19" t="s">
        <v>123</v>
      </c>
      <c r="J5814" s="20">
        <v>12</v>
      </c>
      <c r="K5814" s="34">
        <v>0</v>
      </c>
      <c r="L5814" s="34">
        <v>2</v>
      </c>
      <c r="M5814" s="19">
        <f>IF(OR(ISBLANK(C5814),C5814=""),"",ROUND((C5814-B5814)*24,2))</f>
        <v>16.82</v>
      </c>
      <c r="N5814" s="39" t="str">
        <f>IF(OR(ISBLANK(C5814),C5814="",M5814=""),"In Progress",IF(M5814&lt;=J5814,"Met","Breached"))</f>
        <v>Breached</v>
      </c>
    </row>
    <row r="5815" ht="19" customHeight="1" spans="1:14" x14ac:dyDescent="0.25">
      <c r="A5815" s="22" t="s">
        <v>5929</v>
      </c>
      <c r="B5815" s="36">
        <v>46140.299305555556</v>
      </c>
      <c r="C5815" s="36">
        <v>46141.94027777778</v>
      </c>
      <c r="D5815" s="22" t="s">
        <v>36</v>
      </c>
      <c r="E5815" s="22" t="s">
        <v>65</v>
      </c>
      <c r="F5815" s="22" t="s">
        <v>40</v>
      </c>
      <c r="G5815" s="22" t="s">
        <v>116</v>
      </c>
      <c r="H5815" s="22" t="s">
        <v>59</v>
      </c>
      <c r="I5815" s="22" t="s">
        <v>117</v>
      </c>
      <c r="J5815" s="23">
        <v>48</v>
      </c>
      <c r="K5815" s="37">
        <v>0</v>
      </c>
      <c r="L5815" s="37">
        <v>1</v>
      </c>
      <c r="M5815" s="22">
        <f>IF(OR(ISBLANK(C5815),C5815=""),"",ROUND((C5815-B5815)*24,2))</f>
        <v>39.38</v>
      </c>
      <c r="N5815" s="40" t="str">
        <f>IF(OR(ISBLANK(C5815),C5815="",M5815=""),"In Progress",IF(M5815&lt;=J5815,"Met","Breached"))</f>
        <v>Met</v>
      </c>
    </row>
    <row r="5816" ht="19" customHeight="1" spans="1:14" x14ac:dyDescent="0.25">
      <c r="A5816" s="19" t="s">
        <v>5930</v>
      </c>
      <c r="B5816" s="33">
        <v>46121.368055555555</v>
      </c>
      <c r="D5816" s="19" t="s">
        <v>39</v>
      </c>
      <c r="E5816" s="19" t="s">
        <v>69</v>
      </c>
      <c r="F5816" s="19" t="s">
        <v>43</v>
      </c>
      <c r="G5816" s="19" t="s">
        <v>126</v>
      </c>
      <c r="H5816" s="19" t="s">
        <v>63</v>
      </c>
      <c r="I5816" s="19" t="s">
        <v>111</v>
      </c>
      <c r="J5816" s="20">
        <v>120</v>
      </c>
      <c r="K5816" s="34">
        <v>0</v>
      </c>
      <c r="M5816" s="19" t="str">
        <f>IF(OR(ISBLANK(C5816),C5816=""),"",ROUND((C5816-B5816)*24,2))</f>
        <v/>
      </c>
      <c r="N5816" s="19" t="str">
        <f>IF(OR(ISBLANK(C5816),C5816="",M5816=""),"In Progress",IF(M5816&lt;=J5816,"Met","Breached"))</f>
        <v>In Progress</v>
      </c>
    </row>
    <row r="5817" ht="19" customHeight="1" spans="1:14" x14ac:dyDescent="0.25">
      <c r="A5817" s="22" t="s">
        <v>5931</v>
      </c>
      <c r="B5817" s="36">
        <v>45785.00486111111</v>
      </c>
      <c r="C5817" s="36">
        <v>45787.49097222222</v>
      </c>
      <c r="D5817" s="22" t="s">
        <v>33</v>
      </c>
      <c r="E5817" s="22" t="s">
        <v>65</v>
      </c>
      <c r="F5817" s="22" t="s">
        <v>45</v>
      </c>
      <c r="G5817" s="22" t="s">
        <v>63</v>
      </c>
      <c r="H5817" s="22" t="s">
        <v>59</v>
      </c>
      <c r="I5817" s="22" t="s">
        <v>147</v>
      </c>
      <c r="J5817" s="23">
        <v>48</v>
      </c>
      <c r="K5817" s="37">
        <v>0</v>
      </c>
      <c r="L5817" s="37">
        <v>1</v>
      </c>
      <c r="M5817" s="22">
        <f>IF(OR(ISBLANK(C5817),C5817=""),"",ROUND((C5817-B5817)*24,2))</f>
        <v>59.67</v>
      </c>
      <c r="N5817" s="38" t="str">
        <f>IF(OR(ISBLANK(C5817),C5817="",M5817=""),"In Progress",IF(M5817&lt;=J5817,"Met","Breached"))</f>
        <v>Breached</v>
      </c>
    </row>
    <row r="5818" ht="19" customHeight="1" spans="1:14" x14ac:dyDescent="0.25">
      <c r="A5818" s="19" t="s">
        <v>5932</v>
      </c>
      <c r="B5818" s="33">
        <v>46224.728472222225</v>
      </c>
      <c r="C5818" s="33">
        <v>46226.461111111115</v>
      </c>
      <c r="D5818" s="19" t="s">
        <v>33</v>
      </c>
      <c r="E5818" s="19" t="s">
        <v>65</v>
      </c>
      <c r="F5818" s="19" t="s">
        <v>43</v>
      </c>
      <c r="G5818" s="19" t="s">
        <v>63</v>
      </c>
      <c r="H5818" s="19" t="s">
        <v>71</v>
      </c>
      <c r="I5818" s="19" t="s">
        <v>111</v>
      </c>
      <c r="J5818" s="20">
        <v>48</v>
      </c>
      <c r="K5818" s="34">
        <v>1</v>
      </c>
      <c r="L5818" s="34">
        <v>5</v>
      </c>
      <c r="M5818" s="19">
        <f>IF(OR(ISBLANK(C5818),C5818=""),"",ROUND((C5818-B5818)*24,2))</f>
        <v>41.58</v>
      </c>
      <c r="N5818" s="35" t="str">
        <f>IF(OR(ISBLANK(C5818),C5818="",M5818=""),"In Progress",IF(M5818&lt;=J5818,"Met","Breached"))</f>
        <v>Met</v>
      </c>
    </row>
    <row r="5819" ht="19" customHeight="1" spans="1:14" x14ac:dyDescent="0.25">
      <c r="A5819" s="22" t="s">
        <v>5933</v>
      </c>
      <c r="B5819" s="36">
        <v>45895.41666666667</v>
      </c>
      <c r="C5819" s="36">
        <v>45895.95833333333</v>
      </c>
      <c r="D5819" s="22" t="s">
        <v>33</v>
      </c>
      <c r="E5819" s="22" t="s">
        <v>61</v>
      </c>
      <c r="F5819" s="22" t="s">
        <v>37</v>
      </c>
      <c r="G5819" s="22" t="s">
        <v>63</v>
      </c>
      <c r="H5819" s="22" t="s">
        <v>67</v>
      </c>
      <c r="I5819" s="22" t="s">
        <v>108</v>
      </c>
      <c r="J5819" s="23">
        <v>12</v>
      </c>
      <c r="K5819" s="37">
        <v>0</v>
      </c>
      <c r="M5819" s="22">
        <f>IF(OR(ISBLANK(C5819),C5819=""),"",ROUND((C5819-B5819)*24,2))</f>
        <v>13</v>
      </c>
      <c r="N5819" s="38" t="str">
        <f>IF(OR(ISBLANK(C5819),C5819="",M5819=""),"In Progress",IF(M5819&lt;=J5819,"Met","Breached"))</f>
        <v>Breached</v>
      </c>
    </row>
    <row r="5820" ht="19" customHeight="1" spans="1:14" x14ac:dyDescent="0.25">
      <c r="A5820" s="19" t="s">
        <v>5934</v>
      </c>
      <c r="B5820" s="33">
        <v>45868.70208333334</v>
      </c>
      <c r="D5820" s="19" t="s">
        <v>42</v>
      </c>
      <c r="E5820" s="19" t="s">
        <v>69</v>
      </c>
      <c r="F5820" s="19" t="s">
        <v>34</v>
      </c>
      <c r="G5820" s="19" t="s">
        <v>63</v>
      </c>
      <c r="H5820" s="19" t="s">
        <v>59</v>
      </c>
      <c r="I5820" s="19" t="s">
        <v>147</v>
      </c>
      <c r="J5820" s="20">
        <v>120</v>
      </c>
      <c r="K5820" s="34">
        <v>0</v>
      </c>
      <c r="M5820" s="19" t="str">
        <f>IF(OR(ISBLANK(C5820),C5820=""),"",ROUND((C5820-B5820)*24,2))</f>
        <v/>
      </c>
      <c r="N5820" s="19" t="str">
        <f>IF(OR(ISBLANK(C5820),C5820="",M5820=""),"In Progress",IF(M5820&lt;=J5820,"Met","Breached"))</f>
        <v>In Progress</v>
      </c>
    </row>
    <row r="5821" ht="19" customHeight="1" spans="1:14" x14ac:dyDescent="0.25">
      <c r="A5821" s="22" t="s">
        <v>5935</v>
      </c>
      <c r="B5821" s="36">
        <v>45896.91111111111</v>
      </c>
      <c r="C5821" s="36">
        <v>45900.290972222225</v>
      </c>
      <c r="D5821" s="22" t="s">
        <v>33</v>
      </c>
      <c r="E5821" s="22" t="s">
        <v>65</v>
      </c>
      <c r="F5821" s="22" t="s">
        <v>43</v>
      </c>
      <c r="G5821" s="22" t="s">
        <v>113</v>
      </c>
      <c r="H5821" s="22" t="s">
        <v>71</v>
      </c>
      <c r="I5821" s="22" t="s">
        <v>114</v>
      </c>
      <c r="J5821" s="23">
        <v>48</v>
      </c>
      <c r="K5821" s="37">
        <v>0</v>
      </c>
      <c r="L5821" s="37">
        <v>2</v>
      </c>
      <c r="M5821" s="22">
        <f>IF(OR(ISBLANK(C5821),C5821=""),"",ROUND((C5821-B5821)*24,2))</f>
        <v>81.12</v>
      </c>
      <c r="N5821" s="38" t="str">
        <f>IF(OR(ISBLANK(C5821),C5821="",M5821=""),"In Progress",IF(M5821&lt;=J5821,"Met","Breached"))</f>
        <v>Breached</v>
      </c>
    </row>
    <row r="5822" ht="19" customHeight="1" spans="1:14" x14ac:dyDescent="0.25">
      <c r="A5822" s="19" t="s">
        <v>5936</v>
      </c>
      <c r="B5822" s="33">
        <v>45945.37430555555</v>
      </c>
      <c r="C5822" s="33">
        <v>45945.53472222222</v>
      </c>
      <c r="D5822" s="19" t="s">
        <v>33</v>
      </c>
      <c r="E5822" s="19" t="s">
        <v>61</v>
      </c>
      <c r="F5822" s="19" t="s">
        <v>40</v>
      </c>
      <c r="G5822" s="19" t="s">
        <v>113</v>
      </c>
      <c r="H5822" s="19" t="s">
        <v>63</v>
      </c>
      <c r="I5822" s="19" t="s">
        <v>111</v>
      </c>
      <c r="J5822" s="20">
        <v>12</v>
      </c>
      <c r="K5822" s="34">
        <v>1</v>
      </c>
      <c r="L5822" s="34">
        <v>4</v>
      </c>
      <c r="M5822" s="19">
        <f>IF(OR(ISBLANK(C5822),C5822=""),"",ROUND((C5822-B5822)*24,2))</f>
        <v>3.85</v>
      </c>
      <c r="N5822" s="35" t="str">
        <f>IF(OR(ISBLANK(C5822),C5822="",M5822=""),"In Progress",IF(M5822&lt;=J5822,"Met","Breached"))</f>
        <v>Met</v>
      </c>
    </row>
    <row r="5823" ht="19" customHeight="1" spans="1:14" x14ac:dyDescent="0.25">
      <c r="A5823" s="22" t="s">
        <v>5937</v>
      </c>
      <c r="B5823" s="36">
        <v>46088.677777777775</v>
      </c>
      <c r="D5823" s="22" t="s">
        <v>39</v>
      </c>
      <c r="E5823" s="22" t="s">
        <v>57</v>
      </c>
      <c r="F5823" s="22" t="s">
        <v>45</v>
      </c>
      <c r="G5823" s="22" t="s">
        <v>63</v>
      </c>
      <c r="H5823" s="22" t="s">
        <v>63</v>
      </c>
      <c r="I5823" s="22" t="s">
        <v>111</v>
      </c>
      <c r="J5823" s="23">
        <v>4</v>
      </c>
      <c r="K5823" s="37">
        <v>0</v>
      </c>
      <c r="M5823" s="22" t="str">
        <f>IF(OR(ISBLANK(C5823),C5823=""),"",ROUND((C5823-B5823)*24,2))</f>
        <v/>
      </c>
      <c r="N5823" s="22" t="str">
        <f>IF(OR(ISBLANK(C5823),C5823="",M5823=""),"In Progress",IF(M5823&lt;=J5823,"Met","Breached"))</f>
        <v>In Progress</v>
      </c>
    </row>
    <row r="5824" ht="19" customHeight="1" spans="1:14" x14ac:dyDescent="0.25">
      <c r="A5824" s="19" t="s">
        <v>5938</v>
      </c>
      <c r="B5824" s="33">
        <v>46091.42569444445</v>
      </c>
      <c r="C5824" s="33">
        <v>46092.68611111111</v>
      </c>
      <c r="D5824" s="19" t="s">
        <v>33</v>
      </c>
      <c r="E5824" s="19" t="s">
        <v>65</v>
      </c>
      <c r="F5824" s="19" t="s">
        <v>34</v>
      </c>
      <c r="G5824" s="19" t="s">
        <v>113</v>
      </c>
      <c r="H5824" s="19" t="s">
        <v>63</v>
      </c>
      <c r="I5824" s="19" t="s">
        <v>111</v>
      </c>
      <c r="J5824" s="20">
        <v>48</v>
      </c>
      <c r="K5824" s="34">
        <v>0</v>
      </c>
      <c r="M5824" s="19">
        <f>IF(OR(ISBLANK(C5824),C5824=""),"",ROUND((C5824-B5824)*24,2))</f>
        <v>30.25</v>
      </c>
      <c r="N5824" s="35" t="str">
        <f>IF(OR(ISBLANK(C5824),C5824="",M5824=""),"In Progress",IF(M5824&lt;=J5824,"Met","Breached"))</f>
        <v>Met</v>
      </c>
    </row>
    <row r="5825" ht="19" customHeight="1" spans="1:14" x14ac:dyDescent="0.25">
      <c r="A5825" s="22" t="s">
        <v>5939</v>
      </c>
      <c r="B5825" s="36">
        <v>46091.15138888889</v>
      </c>
      <c r="C5825" s="36">
        <v>46091.99652777778</v>
      </c>
      <c r="D5825" s="22" t="s">
        <v>36</v>
      </c>
      <c r="E5825" s="22" t="s">
        <v>61</v>
      </c>
      <c r="F5825" s="22" t="s">
        <v>43</v>
      </c>
      <c r="G5825" s="22" t="s">
        <v>116</v>
      </c>
      <c r="H5825" s="22" t="s">
        <v>63</v>
      </c>
      <c r="I5825" s="22" t="s">
        <v>114</v>
      </c>
      <c r="J5825" s="23">
        <v>12</v>
      </c>
      <c r="K5825" s="37">
        <v>0</v>
      </c>
      <c r="L5825" s="37">
        <v>2</v>
      </c>
      <c r="M5825" s="22">
        <f>IF(OR(ISBLANK(C5825),C5825=""),"",ROUND((C5825-B5825)*24,2))</f>
        <v>20.28</v>
      </c>
      <c r="N5825" s="38" t="str">
        <f>IF(OR(ISBLANK(C5825),C5825="",M5825=""),"In Progress",IF(M5825&lt;=J5825,"Met","Breached"))</f>
        <v>Breached</v>
      </c>
    </row>
    <row r="5826" ht="19" customHeight="1" spans="1:14" x14ac:dyDescent="0.25">
      <c r="A5826" s="19" t="s">
        <v>5940</v>
      </c>
      <c r="B5826" s="33">
        <v>45697.459027777775</v>
      </c>
      <c r="D5826" s="19" t="s">
        <v>42</v>
      </c>
      <c r="E5826" s="19" t="s">
        <v>65</v>
      </c>
      <c r="F5826" s="19" t="s">
        <v>34</v>
      </c>
      <c r="G5826" s="19" t="s">
        <v>126</v>
      </c>
      <c r="H5826" s="19" t="s">
        <v>59</v>
      </c>
      <c r="I5826" s="19" t="s">
        <v>147</v>
      </c>
      <c r="J5826" s="20">
        <v>48</v>
      </c>
      <c r="K5826" s="34">
        <v>0</v>
      </c>
      <c r="M5826" s="19" t="str">
        <f>IF(OR(ISBLANK(C5826),C5826=""),"",ROUND((C5826-B5826)*24,2))</f>
        <v/>
      </c>
      <c r="N5826" s="19" t="str">
        <f>IF(OR(ISBLANK(C5826),C5826="",M5826=""),"In Progress",IF(M5826&lt;=J5826,"Met","Breached"))</f>
        <v>In Progress</v>
      </c>
    </row>
    <row r="5827" ht="19" customHeight="1" spans="1:14" x14ac:dyDescent="0.25">
      <c r="A5827" s="22" t="s">
        <v>5941</v>
      </c>
      <c r="B5827" s="36">
        <v>46014.38680555555</v>
      </c>
      <c r="C5827" s="36">
        <v>46016.080555555556</v>
      </c>
      <c r="D5827" s="22" t="s">
        <v>33</v>
      </c>
      <c r="E5827" s="22" t="s">
        <v>69</v>
      </c>
      <c r="F5827" s="22" t="s">
        <v>43</v>
      </c>
      <c r="G5827" s="22" t="s">
        <v>126</v>
      </c>
      <c r="H5827" s="22" t="s">
        <v>71</v>
      </c>
      <c r="I5827" s="22" t="s">
        <v>108</v>
      </c>
      <c r="J5827" s="23">
        <v>120</v>
      </c>
      <c r="K5827" s="37">
        <v>0</v>
      </c>
      <c r="L5827" s="37">
        <v>4</v>
      </c>
      <c r="M5827" s="22">
        <f>IF(OR(ISBLANK(C5827),C5827=""),"",ROUND((C5827-B5827)*24,2))</f>
        <v>40.65</v>
      </c>
      <c r="N5827" s="40" t="str">
        <f>IF(OR(ISBLANK(C5827),C5827="",M5827=""),"In Progress",IF(M5827&lt;=J5827,"Met","Breached"))</f>
        <v>Met</v>
      </c>
    </row>
    <row r="5828" ht="19" customHeight="1" spans="1:14" x14ac:dyDescent="0.25">
      <c r="A5828" s="19" t="s">
        <v>5942</v>
      </c>
      <c r="B5828" s="33">
        <v>45671.99166666667</v>
      </c>
      <c r="C5828" s="33">
        <v>45673.15486111111</v>
      </c>
      <c r="D5828" s="19" t="s">
        <v>36</v>
      </c>
      <c r="E5828" s="19" t="s">
        <v>65</v>
      </c>
      <c r="F5828" s="19" t="s">
        <v>34</v>
      </c>
      <c r="G5828" s="19" t="s">
        <v>110</v>
      </c>
      <c r="H5828" s="19" t="s">
        <v>59</v>
      </c>
      <c r="I5828" s="19" t="s">
        <v>117</v>
      </c>
      <c r="J5828" s="20">
        <v>48</v>
      </c>
      <c r="K5828" s="34">
        <v>0</v>
      </c>
      <c r="M5828" s="19">
        <f>IF(OR(ISBLANK(C5828),C5828=""),"",ROUND((C5828-B5828)*24,2))</f>
        <v>27.92</v>
      </c>
      <c r="N5828" s="35" t="str">
        <f>IF(OR(ISBLANK(C5828),C5828="",M5828=""),"In Progress",IF(M5828&lt;=J5828,"Met","Breached"))</f>
        <v>Met</v>
      </c>
    </row>
    <row r="5829" ht="19" customHeight="1" spans="1:14" x14ac:dyDescent="0.25">
      <c r="A5829" s="22" t="s">
        <v>5943</v>
      </c>
      <c r="B5829" s="36">
        <v>45762.15</v>
      </c>
      <c r="C5829" s="36">
        <v>45764.597916666666</v>
      </c>
      <c r="D5829" s="22" t="s">
        <v>36</v>
      </c>
      <c r="E5829" s="22" t="s">
        <v>69</v>
      </c>
      <c r="F5829" s="22" t="s">
        <v>43</v>
      </c>
      <c r="G5829" s="22" t="s">
        <v>63</v>
      </c>
      <c r="H5829" s="22" t="s">
        <v>71</v>
      </c>
      <c r="I5829" s="22" t="s">
        <v>117</v>
      </c>
      <c r="J5829" s="23">
        <v>120</v>
      </c>
      <c r="K5829" s="37">
        <v>0</v>
      </c>
      <c r="L5829" s="37">
        <v>5</v>
      </c>
      <c r="M5829" s="22">
        <f>IF(OR(ISBLANK(C5829),C5829=""),"",ROUND((C5829-B5829)*24,2))</f>
        <v>58.75</v>
      </c>
      <c r="N5829" s="40" t="str">
        <f>IF(OR(ISBLANK(C5829),C5829="",M5829=""),"In Progress",IF(M5829&lt;=J5829,"Met","Breached"))</f>
        <v>Met</v>
      </c>
    </row>
    <row r="5830" ht="19" customHeight="1" spans="1:14" x14ac:dyDescent="0.25">
      <c r="A5830" s="19" t="s">
        <v>5944</v>
      </c>
      <c r="B5830" s="33">
        <v>45927.54027777778</v>
      </c>
      <c r="C5830" s="33">
        <v>45930.81180555555</v>
      </c>
      <c r="D5830" s="19" t="s">
        <v>36</v>
      </c>
      <c r="E5830" s="19" t="s">
        <v>65</v>
      </c>
      <c r="F5830" s="19" t="s">
        <v>34</v>
      </c>
      <c r="G5830" s="19" t="s">
        <v>113</v>
      </c>
      <c r="H5830" s="19" t="s">
        <v>59</v>
      </c>
      <c r="I5830" s="19" t="s">
        <v>147</v>
      </c>
      <c r="J5830" s="20">
        <v>48</v>
      </c>
      <c r="K5830" s="34">
        <v>0</v>
      </c>
      <c r="M5830" s="19">
        <f>IF(OR(ISBLANK(C5830),C5830=""),"",ROUND((C5830-B5830)*24,2))</f>
        <v>78.52</v>
      </c>
      <c r="N5830" s="39" t="str">
        <f>IF(OR(ISBLANK(C5830),C5830="",M5830=""),"In Progress",IF(M5830&lt;=J5830,"Met","Breached"))</f>
        <v>Breached</v>
      </c>
    </row>
    <row r="5831" ht="19" customHeight="1" spans="1:14" x14ac:dyDescent="0.25">
      <c r="A5831" s="22" t="s">
        <v>5945</v>
      </c>
      <c r="B5831" s="36">
        <v>45865.05416666667</v>
      </c>
      <c r="C5831" s="36">
        <v>45868.433333333334</v>
      </c>
      <c r="D5831" s="22" t="s">
        <v>33</v>
      </c>
      <c r="E5831" s="22" t="s">
        <v>65</v>
      </c>
      <c r="F5831" s="22" t="s">
        <v>40</v>
      </c>
      <c r="G5831" s="22" t="s">
        <v>126</v>
      </c>
      <c r="H5831" s="22" t="s">
        <v>67</v>
      </c>
      <c r="I5831" s="22" t="s">
        <v>108</v>
      </c>
      <c r="J5831" s="23">
        <v>48</v>
      </c>
      <c r="K5831" s="37">
        <v>0</v>
      </c>
      <c r="M5831" s="22">
        <f>IF(OR(ISBLANK(C5831),C5831=""),"",ROUND((C5831-B5831)*24,2))</f>
        <v>81.1</v>
      </c>
      <c r="N5831" s="38" t="str">
        <f>IF(OR(ISBLANK(C5831),C5831="",M5831=""),"In Progress",IF(M5831&lt;=J5831,"Met","Breached"))</f>
        <v>Breached</v>
      </c>
    </row>
    <row r="5832" ht="19" customHeight="1" spans="1:14" x14ac:dyDescent="0.25">
      <c r="A5832" s="19" t="s">
        <v>5946</v>
      </c>
      <c r="B5832" s="33">
        <v>45965.94027777778</v>
      </c>
      <c r="C5832" s="33">
        <v>45967.8875</v>
      </c>
      <c r="D5832" s="19" t="s">
        <v>33</v>
      </c>
      <c r="E5832" s="19" t="s">
        <v>69</v>
      </c>
      <c r="F5832" s="19" t="s">
        <v>37</v>
      </c>
      <c r="G5832" s="19" t="s">
        <v>126</v>
      </c>
      <c r="H5832" s="19" t="s">
        <v>67</v>
      </c>
      <c r="I5832" s="19" t="s">
        <v>111</v>
      </c>
      <c r="J5832" s="20">
        <v>120</v>
      </c>
      <c r="K5832" s="34">
        <v>0</v>
      </c>
      <c r="L5832" s="34">
        <v>3</v>
      </c>
      <c r="M5832" s="19">
        <f>IF(OR(ISBLANK(C5832),C5832=""),"",ROUND((C5832-B5832)*24,2))</f>
        <v>46.73</v>
      </c>
      <c r="N5832" s="35" t="str">
        <f>IF(OR(ISBLANK(C5832),C5832="",M5832=""),"In Progress",IF(M5832&lt;=J5832,"Met","Breached"))</f>
        <v>Met</v>
      </c>
    </row>
    <row r="5833" ht="19" customHeight="1" spans="1:14" x14ac:dyDescent="0.25">
      <c r="A5833" s="22" t="s">
        <v>5947</v>
      </c>
      <c r="B5833" s="36">
        <v>46015.78194444445</v>
      </c>
      <c r="C5833" s="36">
        <v>46016.675</v>
      </c>
      <c r="D5833" s="22" t="s">
        <v>33</v>
      </c>
      <c r="E5833" s="22" t="s">
        <v>65</v>
      </c>
      <c r="F5833" s="22" t="s">
        <v>37</v>
      </c>
      <c r="G5833" s="22" t="s">
        <v>113</v>
      </c>
      <c r="H5833" s="22" t="s">
        <v>67</v>
      </c>
      <c r="I5833" s="22" t="s">
        <v>117</v>
      </c>
      <c r="J5833" s="23">
        <v>48</v>
      </c>
      <c r="K5833" s="37">
        <v>0</v>
      </c>
      <c r="M5833" s="22">
        <f>IF(OR(ISBLANK(C5833),C5833=""),"",ROUND((C5833-B5833)*24,2))</f>
        <v>21.43</v>
      </c>
      <c r="N5833" s="40" t="str">
        <f>IF(OR(ISBLANK(C5833),C5833="",M5833=""),"In Progress",IF(M5833&lt;=J5833,"Met","Breached"))</f>
        <v>Met</v>
      </c>
    </row>
    <row r="5834" ht="19" customHeight="1" spans="1:14" x14ac:dyDescent="0.25">
      <c r="A5834" s="19" t="s">
        <v>5948</v>
      </c>
      <c r="B5834" s="33">
        <v>46040.191666666666</v>
      </c>
      <c r="C5834" s="33">
        <v>46043.169444444444</v>
      </c>
      <c r="D5834" s="19" t="s">
        <v>36</v>
      </c>
      <c r="E5834" s="19" t="s">
        <v>65</v>
      </c>
      <c r="F5834" s="19" t="s">
        <v>37</v>
      </c>
      <c r="G5834" s="19" t="s">
        <v>121</v>
      </c>
      <c r="H5834" s="19" t="s">
        <v>59</v>
      </c>
      <c r="I5834" s="19" t="s">
        <v>123</v>
      </c>
      <c r="J5834" s="20">
        <v>48</v>
      </c>
      <c r="K5834" s="34">
        <v>0</v>
      </c>
      <c r="L5834" s="34">
        <v>3</v>
      </c>
      <c r="M5834" s="19">
        <f>IF(OR(ISBLANK(C5834),C5834=""),"",ROUND((C5834-B5834)*24,2))</f>
        <v>71.47</v>
      </c>
      <c r="N5834" s="39" t="str">
        <f>IF(OR(ISBLANK(C5834),C5834="",M5834=""),"In Progress",IF(M5834&lt;=J5834,"Met","Breached"))</f>
        <v>Breached</v>
      </c>
    </row>
    <row r="5835" ht="19" customHeight="1" spans="1:14" x14ac:dyDescent="0.25">
      <c r="A5835" s="22" t="s">
        <v>5949</v>
      </c>
      <c r="B5835" s="36">
        <v>46192.339583333334</v>
      </c>
      <c r="C5835" s="36">
        <v>46193.21041666667</v>
      </c>
      <c r="D5835" s="22" t="s">
        <v>36</v>
      </c>
      <c r="E5835" s="22" t="s">
        <v>65</v>
      </c>
      <c r="F5835" s="22" t="s">
        <v>37</v>
      </c>
      <c r="G5835" s="22" t="s">
        <v>121</v>
      </c>
      <c r="H5835" s="22" t="s">
        <v>67</v>
      </c>
      <c r="I5835" s="22" t="s">
        <v>147</v>
      </c>
      <c r="J5835" s="23">
        <v>48</v>
      </c>
      <c r="K5835" s="37">
        <v>0</v>
      </c>
      <c r="L5835" s="37">
        <v>3</v>
      </c>
      <c r="M5835" s="22">
        <f>IF(OR(ISBLANK(C5835),C5835=""),"",ROUND((C5835-B5835)*24,2))</f>
        <v>20.9</v>
      </c>
      <c r="N5835" s="40" t="str">
        <f>IF(OR(ISBLANK(C5835),C5835="",M5835=""),"In Progress",IF(M5835&lt;=J5835,"Met","Breached"))</f>
        <v>Met</v>
      </c>
    </row>
    <row r="5836" ht="19" customHeight="1" spans="1:14" x14ac:dyDescent="0.25">
      <c r="A5836" s="19" t="s">
        <v>5950</v>
      </c>
      <c r="B5836" s="33">
        <v>46265.36111111111</v>
      </c>
      <c r="C5836" s="33">
        <v>46266.209027777775</v>
      </c>
      <c r="D5836" s="19" t="s">
        <v>36</v>
      </c>
      <c r="E5836" s="19" t="s">
        <v>61</v>
      </c>
      <c r="F5836" s="19" t="s">
        <v>40</v>
      </c>
      <c r="G5836" s="19" t="s">
        <v>113</v>
      </c>
      <c r="H5836" s="19" t="s">
        <v>59</v>
      </c>
      <c r="I5836" s="19" t="s">
        <v>114</v>
      </c>
      <c r="J5836" s="20">
        <v>12</v>
      </c>
      <c r="K5836" s="34">
        <v>0</v>
      </c>
      <c r="L5836" s="34">
        <v>1</v>
      </c>
      <c r="M5836" s="19">
        <f>IF(OR(ISBLANK(C5836),C5836=""),"",ROUND((C5836-B5836)*24,2))</f>
        <v>20.35</v>
      </c>
      <c r="N5836" s="39" t="str">
        <f>IF(OR(ISBLANK(C5836),C5836="",M5836=""),"In Progress",IF(M5836&lt;=J5836,"Met","Breached"))</f>
        <v>Breached</v>
      </c>
    </row>
    <row r="5837" ht="19" customHeight="1" spans="1:14" x14ac:dyDescent="0.25">
      <c r="A5837" s="22" t="s">
        <v>5951</v>
      </c>
      <c r="B5837" s="36">
        <v>45883.722916666666</v>
      </c>
      <c r="C5837" s="36">
        <v>45891.35555555555</v>
      </c>
      <c r="D5837" s="22" t="s">
        <v>36</v>
      </c>
      <c r="E5837" s="22" t="s">
        <v>69</v>
      </c>
      <c r="F5837" s="22" t="s">
        <v>37</v>
      </c>
      <c r="G5837" s="22" t="s">
        <v>121</v>
      </c>
      <c r="H5837" s="22" t="s">
        <v>63</v>
      </c>
      <c r="I5837" s="22" t="s">
        <v>123</v>
      </c>
      <c r="J5837" s="23">
        <v>120</v>
      </c>
      <c r="K5837" s="37">
        <v>0</v>
      </c>
      <c r="M5837" s="22">
        <f>IF(OR(ISBLANK(C5837),C5837=""),"",ROUND((C5837-B5837)*24,2))</f>
        <v>183.18</v>
      </c>
      <c r="N5837" s="38" t="str">
        <f>IF(OR(ISBLANK(C5837),C5837="",M5837=""),"In Progress",IF(M5837&lt;=J5837,"Met","Breached"))</f>
        <v>Breached</v>
      </c>
    </row>
    <row r="5838" ht="19" customHeight="1" spans="1:14" x14ac:dyDescent="0.25">
      <c r="A5838" s="19" t="s">
        <v>5952</v>
      </c>
      <c r="B5838" s="33">
        <v>45963.15763888889</v>
      </c>
      <c r="D5838" s="19" t="s">
        <v>39</v>
      </c>
      <c r="E5838" s="19" t="s">
        <v>57</v>
      </c>
      <c r="F5838" s="19" t="s">
        <v>43</v>
      </c>
      <c r="G5838" s="19" t="s">
        <v>113</v>
      </c>
      <c r="H5838" s="19" t="s">
        <v>71</v>
      </c>
      <c r="I5838" s="19" t="s">
        <v>147</v>
      </c>
      <c r="J5838" s="20">
        <v>4</v>
      </c>
      <c r="K5838" s="34">
        <v>0</v>
      </c>
      <c r="M5838" s="19" t="str">
        <f>IF(OR(ISBLANK(C5838),C5838=""),"",ROUND((C5838-B5838)*24,2))</f>
        <v/>
      </c>
      <c r="N5838" s="19" t="str">
        <f>IF(OR(ISBLANK(C5838),C5838="",M5838=""),"In Progress",IF(M5838&lt;=J5838,"Met","Breached"))</f>
        <v>In Progress</v>
      </c>
    </row>
    <row r="5839" ht="19" customHeight="1" spans="1:14" x14ac:dyDescent="0.25">
      <c r="A5839" s="22" t="s">
        <v>5953</v>
      </c>
      <c r="B5839" s="36">
        <v>45729.929861111115</v>
      </c>
      <c r="C5839" s="36">
        <v>45732.81388888889</v>
      </c>
      <c r="D5839" s="22" t="s">
        <v>33</v>
      </c>
      <c r="E5839" s="22" t="s">
        <v>65</v>
      </c>
      <c r="F5839" s="22" t="s">
        <v>43</v>
      </c>
      <c r="G5839" s="22" t="s">
        <v>63</v>
      </c>
      <c r="H5839" s="22" t="s">
        <v>67</v>
      </c>
      <c r="I5839" s="22" t="s">
        <v>117</v>
      </c>
      <c r="J5839" s="23">
        <v>48</v>
      </c>
      <c r="K5839" s="37">
        <v>0</v>
      </c>
      <c r="M5839" s="22">
        <f>IF(OR(ISBLANK(C5839),C5839=""),"",ROUND((C5839-B5839)*24,2))</f>
        <v>69.22</v>
      </c>
      <c r="N5839" s="38" t="str">
        <f>IF(OR(ISBLANK(C5839),C5839="",M5839=""),"In Progress",IF(M5839&lt;=J5839,"Met","Breached"))</f>
        <v>Breached</v>
      </c>
    </row>
    <row r="5840" ht="19" customHeight="1" spans="1:14" x14ac:dyDescent="0.25">
      <c r="A5840" s="19" t="s">
        <v>5954</v>
      </c>
      <c r="B5840" s="33">
        <v>45785.521527777775</v>
      </c>
      <c r="C5840" s="33">
        <v>45788.61944444444</v>
      </c>
      <c r="D5840" s="19" t="s">
        <v>33</v>
      </c>
      <c r="E5840" s="19" t="s">
        <v>65</v>
      </c>
      <c r="F5840" s="19" t="s">
        <v>45</v>
      </c>
      <c r="G5840" s="19" t="s">
        <v>126</v>
      </c>
      <c r="H5840" s="19" t="s">
        <v>71</v>
      </c>
      <c r="I5840" s="19" t="s">
        <v>147</v>
      </c>
      <c r="J5840" s="20">
        <v>48</v>
      </c>
      <c r="K5840" s="34">
        <v>0</v>
      </c>
      <c r="L5840" s="34">
        <v>5</v>
      </c>
      <c r="M5840" s="19">
        <f>IF(OR(ISBLANK(C5840),C5840=""),"",ROUND((C5840-B5840)*24,2))</f>
        <v>74.35</v>
      </c>
      <c r="N5840" s="39" t="str">
        <f>IF(OR(ISBLANK(C5840),C5840="",M5840=""),"In Progress",IF(M5840&lt;=J5840,"Met","Breached"))</f>
        <v>Breached</v>
      </c>
    </row>
    <row r="5841" ht="19" customHeight="1" spans="1:14" x14ac:dyDescent="0.25">
      <c r="A5841" s="22" t="s">
        <v>5955</v>
      </c>
      <c r="B5841" s="36">
        <v>46216.3125</v>
      </c>
      <c r="C5841" s="36">
        <v>46218.09027777778</v>
      </c>
      <c r="D5841" s="22" t="s">
        <v>33</v>
      </c>
      <c r="E5841" s="22" t="s">
        <v>65</v>
      </c>
      <c r="F5841" s="22" t="s">
        <v>34</v>
      </c>
      <c r="G5841" s="22" t="s">
        <v>110</v>
      </c>
      <c r="H5841" s="22" t="s">
        <v>63</v>
      </c>
      <c r="I5841" s="22" t="s">
        <v>123</v>
      </c>
      <c r="J5841" s="23">
        <v>48</v>
      </c>
      <c r="K5841" s="37">
        <v>0</v>
      </c>
      <c r="L5841" s="37">
        <v>1</v>
      </c>
      <c r="M5841" s="22">
        <f>IF(OR(ISBLANK(C5841),C5841=""),"",ROUND((C5841-B5841)*24,2))</f>
        <v>42.67</v>
      </c>
      <c r="N5841" s="40" t="str">
        <f>IF(OR(ISBLANK(C5841),C5841="",M5841=""),"In Progress",IF(M5841&lt;=J5841,"Met","Breached"))</f>
        <v>Met</v>
      </c>
    </row>
    <row r="5842" ht="19" customHeight="1" spans="1:14" x14ac:dyDescent="0.25">
      <c r="A5842" s="19" t="s">
        <v>5956</v>
      </c>
      <c r="B5842" s="33">
        <v>45893.325694444444</v>
      </c>
      <c r="D5842" s="19" t="s">
        <v>42</v>
      </c>
      <c r="E5842" s="19" t="s">
        <v>65</v>
      </c>
      <c r="F5842" s="19" t="s">
        <v>43</v>
      </c>
      <c r="G5842" s="19" t="s">
        <v>121</v>
      </c>
      <c r="H5842" s="19" t="s">
        <v>59</v>
      </c>
      <c r="I5842" s="19" t="s">
        <v>123</v>
      </c>
      <c r="J5842" s="20">
        <v>48</v>
      </c>
      <c r="K5842" s="34">
        <v>0</v>
      </c>
      <c r="M5842" s="19" t="str">
        <f>IF(OR(ISBLANK(C5842),C5842=""),"",ROUND((C5842-B5842)*24,2))</f>
        <v/>
      </c>
      <c r="N5842" s="19" t="str">
        <f>IF(OR(ISBLANK(C5842),C5842="",M5842=""),"In Progress",IF(M5842&lt;=J5842,"Met","Breached"))</f>
        <v>In Progress</v>
      </c>
    </row>
    <row r="5843" ht="19" customHeight="1" spans="1:14" x14ac:dyDescent="0.25">
      <c r="A5843" s="22" t="s">
        <v>5957</v>
      </c>
      <c r="B5843" s="36">
        <v>46068.72222222222</v>
      </c>
      <c r="D5843" s="22" t="s">
        <v>39</v>
      </c>
      <c r="E5843" s="22" t="s">
        <v>65</v>
      </c>
      <c r="F5843" s="22" t="s">
        <v>37</v>
      </c>
      <c r="G5843" s="22" t="s">
        <v>121</v>
      </c>
      <c r="H5843" s="22" t="s">
        <v>59</v>
      </c>
      <c r="I5843" s="22" t="s">
        <v>108</v>
      </c>
      <c r="J5843" s="23">
        <v>48</v>
      </c>
      <c r="K5843" s="37">
        <v>0</v>
      </c>
      <c r="M5843" s="22" t="str">
        <f>IF(OR(ISBLANK(C5843),C5843=""),"",ROUND((C5843-B5843)*24,2))</f>
        <v/>
      </c>
      <c r="N5843" s="22" t="str">
        <f>IF(OR(ISBLANK(C5843),C5843="",M5843=""),"In Progress",IF(M5843&lt;=J5843,"Met","Breached"))</f>
        <v>In Progress</v>
      </c>
    </row>
    <row r="5844" ht="19" customHeight="1" spans="1:14" x14ac:dyDescent="0.25">
      <c r="A5844" s="19" t="s">
        <v>5958</v>
      </c>
      <c r="B5844" s="33">
        <v>45757.35277777778</v>
      </c>
      <c r="C5844" s="33">
        <v>45761.322222222225</v>
      </c>
      <c r="D5844" s="19" t="s">
        <v>36</v>
      </c>
      <c r="E5844" s="19" t="s">
        <v>69</v>
      </c>
      <c r="F5844" s="19" t="s">
        <v>37</v>
      </c>
      <c r="G5844" s="19" t="s">
        <v>121</v>
      </c>
      <c r="H5844" s="19" t="s">
        <v>59</v>
      </c>
      <c r="I5844" s="19" t="s">
        <v>114</v>
      </c>
      <c r="J5844" s="20">
        <v>120</v>
      </c>
      <c r="K5844" s="34">
        <v>0</v>
      </c>
      <c r="L5844" s="34">
        <v>4</v>
      </c>
      <c r="M5844" s="19">
        <f>IF(OR(ISBLANK(C5844),C5844=""),"",ROUND((C5844-B5844)*24,2))</f>
        <v>95.27</v>
      </c>
      <c r="N5844" s="35" t="str">
        <f>IF(OR(ISBLANK(C5844),C5844="",M5844=""),"In Progress",IF(M5844&lt;=J5844,"Met","Breached"))</f>
        <v>Met</v>
      </c>
    </row>
    <row r="5845" ht="19" customHeight="1" spans="1:14" x14ac:dyDescent="0.25">
      <c r="A5845" s="22" t="s">
        <v>5959</v>
      </c>
      <c r="B5845" s="36">
        <v>45888.97083333333</v>
      </c>
      <c r="D5845" s="22" t="s">
        <v>39</v>
      </c>
      <c r="E5845" s="22" t="s">
        <v>65</v>
      </c>
      <c r="F5845" s="22" t="s">
        <v>45</v>
      </c>
      <c r="G5845" s="22" t="s">
        <v>110</v>
      </c>
      <c r="H5845" s="22" t="s">
        <v>59</v>
      </c>
      <c r="I5845" s="22" t="s">
        <v>117</v>
      </c>
      <c r="J5845" s="23">
        <v>48</v>
      </c>
      <c r="K5845" s="37">
        <v>0</v>
      </c>
      <c r="M5845" s="22" t="str">
        <f>IF(OR(ISBLANK(C5845),C5845=""),"",ROUND((C5845-B5845)*24,2))</f>
        <v/>
      </c>
      <c r="N5845" s="22" t="str">
        <f>IF(OR(ISBLANK(C5845),C5845="",M5845=""),"In Progress",IF(M5845&lt;=J5845,"Met","Breached"))</f>
        <v>In Progress</v>
      </c>
    </row>
    <row r="5846" ht="19" customHeight="1" spans="1:14" x14ac:dyDescent="0.25">
      <c r="A5846" s="19" t="s">
        <v>5960</v>
      </c>
      <c r="B5846" s="33">
        <v>45801.62013888889</v>
      </c>
      <c r="C5846" s="33">
        <v>45802.955555555556</v>
      </c>
      <c r="D5846" s="19" t="s">
        <v>36</v>
      </c>
      <c r="E5846" s="19" t="s">
        <v>65</v>
      </c>
      <c r="F5846" s="19" t="s">
        <v>43</v>
      </c>
      <c r="G5846" s="19" t="s">
        <v>116</v>
      </c>
      <c r="H5846" s="19" t="s">
        <v>59</v>
      </c>
      <c r="I5846" s="19" t="s">
        <v>111</v>
      </c>
      <c r="J5846" s="20">
        <v>48</v>
      </c>
      <c r="K5846" s="34">
        <v>0</v>
      </c>
      <c r="M5846" s="19">
        <f>IF(OR(ISBLANK(C5846),C5846=""),"",ROUND((C5846-B5846)*24,2))</f>
        <v>32.05</v>
      </c>
      <c r="N5846" s="35" t="str">
        <f>IF(OR(ISBLANK(C5846),C5846="",M5846=""),"In Progress",IF(M5846&lt;=J5846,"Met","Breached"))</f>
        <v>Met</v>
      </c>
    </row>
    <row r="5847" ht="19" customHeight="1" spans="1:14" x14ac:dyDescent="0.25">
      <c r="A5847" s="22" t="s">
        <v>5961</v>
      </c>
      <c r="B5847" s="36">
        <v>46184.53402777778</v>
      </c>
      <c r="C5847" s="36">
        <v>46189.92847222222</v>
      </c>
      <c r="D5847" s="22" t="s">
        <v>33</v>
      </c>
      <c r="E5847" s="22" t="s">
        <v>69</v>
      </c>
      <c r="F5847" s="22" t="s">
        <v>45</v>
      </c>
      <c r="G5847" s="22" t="s">
        <v>126</v>
      </c>
      <c r="H5847" s="22" t="s">
        <v>59</v>
      </c>
      <c r="I5847" s="22" t="s">
        <v>147</v>
      </c>
      <c r="J5847" s="23">
        <v>120</v>
      </c>
      <c r="K5847" s="37">
        <v>0</v>
      </c>
      <c r="M5847" s="22">
        <f>IF(OR(ISBLANK(C5847),C5847=""),"",ROUND((C5847-B5847)*24,2))</f>
        <v>129.47</v>
      </c>
      <c r="N5847" s="38" t="str">
        <f>IF(OR(ISBLANK(C5847),C5847="",M5847=""),"In Progress",IF(M5847&lt;=J5847,"Met","Breached"))</f>
        <v>Breached</v>
      </c>
    </row>
    <row r="5848" ht="19" customHeight="1" spans="1:14" x14ac:dyDescent="0.25">
      <c r="A5848" s="19" t="s">
        <v>5962</v>
      </c>
      <c r="B5848" s="33">
        <v>46216.85416666667</v>
      </c>
      <c r="C5848" s="33">
        <v>46216.97361111111</v>
      </c>
      <c r="D5848" s="19" t="s">
        <v>36</v>
      </c>
      <c r="E5848" s="19" t="s">
        <v>57</v>
      </c>
      <c r="F5848" s="19" t="s">
        <v>43</v>
      </c>
      <c r="G5848" s="19" t="s">
        <v>63</v>
      </c>
      <c r="H5848" s="19" t="s">
        <v>59</v>
      </c>
      <c r="I5848" s="19" t="s">
        <v>147</v>
      </c>
      <c r="J5848" s="20">
        <v>4</v>
      </c>
      <c r="K5848" s="34">
        <v>0</v>
      </c>
      <c r="L5848" s="34">
        <v>3</v>
      </c>
      <c r="M5848" s="19">
        <f>IF(OR(ISBLANK(C5848),C5848=""),"",ROUND((C5848-B5848)*24,2))</f>
        <v>2.87</v>
      </c>
      <c r="N5848" s="35" t="str">
        <f>IF(OR(ISBLANK(C5848),C5848="",M5848=""),"In Progress",IF(M5848&lt;=J5848,"Met","Breached"))</f>
        <v>Met</v>
      </c>
    </row>
    <row r="5849" ht="19" customHeight="1" spans="1:14" x14ac:dyDescent="0.25">
      <c r="A5849" s="22" t="s">
        <v>5963</v>
      </c>
      <c r="B5849" s="36">
        <v>45726.603472222225</v>
      </c>
      <c r="C5849" s="36">
        <v>45726.92916666667</v>
      </c>
      <c r="D5849" s="22" t="s">
        <v>36</v>
      </c>
      <c r="E5849" s="22" t="s">
        <v>61</v>
      </c>
      <c r="F5849" s="22" t="s">
        <v>34</v>
      </c>
      <c r="G5849" s="22" t="s">
        <v>121</v>
      </c>
      <c r="H5849" s="22" t="s">
        <v>63</v>
      </c>
      <c r="I5849" s="22" t="s">
        <v>147</v>
      </c>
      <c r="J5849" s="23">
        <v>12</v>
      </c>
      <c r="K5849" s="37">
        <v>0</v>
      </c>
      <c r="L5849" s="37">
        <v>3</v>
      </c>
      <c r="M5849" s="22">
        <f>IF(OR(ISBLANK(C5849),C5849=""),"",ROUND((C5849-B5849)*24,2))</f>
        <v>7.82</v>
      </c>
      <c r="N5849" s="40" t="str">
        <f>IF(OR(ISBLANK(C5849),C5849="",M5849=""),"In Progress",IF(M5849&lt;=J5849,"Met","Breached"))</f>
        <v>Met</v>
      </c>
    </row>
    <row r="5850" ht="19" customHeight="1" spans="1:14" x14ac:dyDescent="0.25">
      <c r="A5850" s="19" t="s">
        <v>5964</v>
      </c>
      <c r="B5850" s="33">
        <v>45795.7125</v>
      </c>
      <c r="C5850" s="33">
        <v>45795.93888888889</v>
      </c>
      <c r="D5850" s="19" t="s">
        <v>36</v>
      </c>
      <c r="E5850" s="19" t="s">
        <v>61</v>
      </c>
      <c r="F5850" s="19" t="s">
        <v>40</v>
      </c>
      <c r="G5850" s="19" t="s">
        <v>113</v>
      </c>
      <c r="H5850" s="19" t="s">
        <v>67</v>
      </c>
      <c r="I5850" s="19" t="s">
        <v>108</v>
      </c>
      <c r="J5850" s="20">
        <v>12</v>
      </c>
      <c r="K5850" s="34">
        <v>0</v>
      </c>
      <c r="L5850" s="34">
        <v>3</v>
      </c>
      <c r="M5850" s="19">
        <f>IF(OR(ISBLANK(C5850),C5850=""),"",ROUND((C5850-B5850)*24,2))</f>
        <v>5.43</v>
      </c>
      <c r="N5850" s="35" t="str">
        <f>IF(OR(ISBLANK(C5850),C5850="",M5850=""),"In Progress",IF(M5850&lt;=J5850,"Met","Breached"))</f>
        <v>Met</v>
      </c>
    </row>
    <row r="5851" ht="19" customHeight="1" spans="1:14" x14ac:dyDescent="0.25">
      <c r="A5851" s="22" t="s">
        <v>5965</v>
      </c>
      <c r="B5851" s="36">
        <v>45804.535416666666</v>
      </c>
      <c r="C5851" s="36">
        <v>45813.33541666667</v>
      </c>
      <c r="D5851" s="22" t="s">
        <v>36</v>
      </c>
      <c r="E5851" s="22" t="s">
        <v>69</v>
      </c>
      <c r="F5851" s="22" t="s">
        <v>40</v>
      </c>
      <c r="G5851" s="22" t="s">
        <v>126</v>
      </c>
      <c r="H5851" s="22" t="s">
        <v>63</v>
      </c>
      <c r="I5851" s="22" t="s">
        <v>108</v>
      </c>
      <c r="J5851" s="23">
        <v>120</v>
      </c>
      <c r="K5851" s="37">
        <v>0</v>
      </c>
      <c r="L5851" s="37">
        <v>4</v>
      </c>
      <c r="M5851" s="22">
        <f>IF(OR(ISBLANK(C5851),C5851=""),"",ROUND((C5851-B5851)*24,2))</f>
        <v>211.2</v>
      </c>
      <c r="N5851" s="38" t="str">
        <f>IF(OR(ISBLANK(C5851),C5851="",M5851=""),"In Progress",IF(M5851&lt;=J5851,"Met","Breached"))</f>
        <v>Breached</v>
      </c>
    </row>
    <row r="5852" ht="19" customHeight="1" spans="1:14" x14ac:dyDescent="0.25">
      <c r="A5852" s="19" t="s">
        <v>5966</v>
      </c>
      <c r="B5852" s="33">
        <v>45945.62222222222</v>
      </c>
      <c r="C5852" s="33">
        <v>45948.413888888885</v>
      </c>
      <c r="D5852" s="19" t="s">
        <v>33</v>
      </c>
      <c r="E5852" s="19" t="s">
        <v>65</v>
      </c>
      <c r="F5852" s="19" t="s">
        <v>37</v>
      </c>
      <c r="G5852" s="19" t="s">
        <v>113</v>
      </c>
      <c r="H5852" s="19" t="s">
        <v>63</v>
      </c>
      <c r="I5852" s="19" t="s">
        <v>147</v>
      </c>
      <c r="J5852" s="20">
        <v>48</v>
      </c>
      <c r="K5852" s="34">
        <v>0</v>
      </c>
      <c r="L5852" s="34">
        <v>5</v>
      </c>
      <c r="M5852" s="19">
        <f>IF(OR(ISBLANK(C5852),C5852=""),"",ROUND((C5852-B5852)*24,2))</f>
        <v>67</v>
      </c>
      <c r="N5852" s="39" t="str">
        <f>IF(OR(ISBLANK(C5852),C5852="",M5852=""),"In Progress",IF(M5852&lt;=J5852,"Met","Breached"))</f>
        <v>Breached</v>
      </c>
    </row>
    <row r="5853" ht="19" customHeight="1" spans="1:14" x14ac:dyDescent="0.25">
      <c r="A5853" s="22" t="s">
        <v>5967</v>
      </c>
      <c r="B5853" s="36">
        <v>46268.40486111111</v>
      </c>
      <c r="C5853" s="36">
        <v>46271.225</v>
      </c>
      <c r="D5853" s="22" t="s">
        <v>36</v>
      </c>
      <c r="E5853" s="22" t="s">
        <v>65</v>
      </c>
      <c r="F5853" s="22" t="s">
        <v>45</v>
      </c>
      <c r="G5853" s="22" t="s">
        <v>63</v>
      </c>
      <c r="H5853" s="22" t="s">
        <v>63</v>
      </c>
      <c r="I5853" s="22" t="s">
        <v>108</v>
      </c>
      <c r="J5853" s="23">
        <v>48</v>
      </c>
      <c r="K5853" s="37">
        <v>0</v>
      </c>
      <c r="L5853" s="37">
        <v>1</v>
      </c>
      <c r="M5853" s="22">
        <f>IF(OR(ISBLANK(C5853),C5853=""),"",ROUND((C5853-B5853)*24,2))</f>
        <v>67.68</v>
      </c>
      <c r="N5853" s="38" t="str">
        <f>IF(OR(ISBLANK(C5853),C5853="",M5853=""),"In Progress",IF(M5853&lt;=J5853,"Met","Breached"))</f>
        <v>Breached</v>
      </c>
    </row>
    <row r="5854" ht="19" customHeight="1" spans="1:14" x14ac:dyDescent="0.25">
      <c r="A5854" s="19" t="s">
        <v>5968</v>
      </c>
      <c r="B5854" s="33">
        <v>45875.55416666667</v>
      </c>
      <c r="C5854" s="33">
        <v>45875.771527777775</v>
      </c>
      <c r="D5854" s="19" t="s">
        <v>33</v>
      </c>
      <c r="E5854" s="19" t="s">
        <v>61</v>
      </c>
      <c r="F5854" s="19" t="s">
        <v>43</v>
      </c>
      <c r="G5854" s="19" t="s">
        <v>110</v>
      </c>
      <c r="H5854" s="19" t="s">
        <v>59</v>
      </c>
      <c r="I5854" s="19" t="s">
        <v>111</v>
      </c>
      <c r="J5854" s="20">
        <v>12</v>
      </c>
      <c r="K5854" s="34">
        <v>0</v>
      </c>
      <c r="L5854" s="34">
        <v>4</v>
      </c>
      <c r="M5854" s="19">
        <f>IF(OR(ISBLANK(C5854),C5854=""),"",ROUND((C5854-B5854)*24,2))</f>
        <v>5.22</v>
      </c>
      <c r="N5854" s="35" t="str">
        <f>IF(OR(ISBLANK(C5854),C5854="",M5854=""),"In Progress",IF(M5854&lt;=J5854,"Met","Breached"))</f>
        <v>Met</v>
      </c>
    </row>
    <row r="5855" ht="19" customHeight="1" spans="1:14" x14ac:dyDescent="0.25">
      <c r="A5855" s="22" t="s">
        <v>5969</v>
      </c>
      <c r="B5855" s="36">
        <v>45953.808333333334</v>
      </c>
      <c r="C5855" s="36">
        <v>45954.669444444444</v>
      </c>
      <c r="D5855" s="22" t="s">
        <v>36</v>
      </c>
      <c r="E5855" s="22" t="s">
        <v>61</v>
      </c>
      <c r="F5855" s="22" t="s">
        <v>40</v>
      </c>
      <c r="G5855" s="22" t="s">
        <v>113</v>
      </c>
      <c r="H5855" s="22" t="s">
        <v>71</v>
      </c>
      <c r="I5855" s="22" t="s">
        <v>147</v>
      </c>
      <c r="J5855" s="23">
        <v>12</v>
      </c>
      <c r="K5855" s="37">
        <v>0</v>
      </c>
      <c r="L5855" s="37">
        <v>2</v>
      </c>
      <c r="M5855" s="22">
        <f>IF(OR(ISBLANK(C5855),C5855=""),"",ROUND((C5855-B5855)*24,2))</f>
        <v>20.67</v>
      </c>
      <c r="N5855" s="38" t="str">
        <f>IF(OR(ISBLANK(C5855),C5855="",M5855=""),"In Progress",IF(M5855&lt;=J5855,"Met","Breached"))</f>
        <v>Breached</v>
      </c>
    </row>
    <row r="5856" ht="19" customHeight="1" spans="1:14" x14ac:dyDescent="0.25">
      <c r="A5856" s="19" t="s">
        <v>5970</v>
      </c>
      <c r="B5856" s="33">
        <v>46237.18541666667</v>
      </c>
      <c r="C5856" s="33">
        <v>46239.15833333333</v>
      </c>
      <c r="D5856" s="19" t="s">
        <v>33</v>
      </c>
      <c r="E5856" s="19" t="s">
        <v>69</v>
      </c>
      <c r="F5856" s="19" t="s">
        <v>43</v>
      </c>
      <c r="G5856" s="19" t="s">
        <v>121</v>
      </c>
      <c r="H5856" s="19" t="s">
        <v>59</v>
      </c>
      <c r="I5856" s="19" t="s">
        <v>117</v>
      </c>
      <c r="J5856" s="20">
        <v>120</v>
      </c>
      <c r="K5856" s="34">
        <v>0</v>
      </c>
      <c r="L5856" s="34">
        <v>5</v>
      </c>
      <c r="M5856" s="19">
        <f>IF(OR(ISBLANK(C5856),C5856=""),"",ROUND((C5856-B5856)*24,2))</f>
        <v>47.35</v>
      </c>
      <c r="N5856" s="35" t="str">
        <f>IF(OR(ISBLANK(C5856),C5856="",M5856=""),"In Progress",IF(M5856&lt;=J5856,"Met","Breached"))</f>
        <v>Met</v>
      </c>
    </row>
    <row r="5857" ht="19" customHeight="1" spans="1:14" x14ac:dyDescent="0.25">
      <c r="A5857" s="22" t="s">
        <v>5971</v>
      </c>
      <c r="B5857" s="36">
        <v>46169.01944444445</v>
      </c>
      <c r="C5857" s="36">
        <v>46170.669444444444</v>
      </c>
      <c r="D5857" s="22" t="s">
        <v>33</v>
      </c>
      <c r="E5857" s="22" t="s">
        <v>65</v>
      </c>
      <c r="F5857" s="22" t="s">
        <v>45</v>
      </c>
      <c r="G5857" s="22" t="s">
        <v>126</v>
      </c>
      <c r="H5857" s="22" t="s">
        <v>67</v>
      </c>
      <c r="I5857" s="22" t="s">
        <v>114</v>
      </c>
      <c r="J5857" s="23">
        <v>48</v>
      </c>
      <c r="K5857" s="37">
        <v>0</v>
      </c>
      <c r="M5857" s="22">
        <f>IF(OR(ISBLANK(C5857),C5857=""),"",ROUND((C5857-B5857)*24,2))</f>
        <v>39.6</v>
      </c>
      <c r="N5857" s="40" t="str">
        <f>IF(OR(ISBLANK(C5857),C5857="",M5857=""),"In Progress",IF(M5857&lt;=J5857,"Met","Breached"))</f>
        <v>Met</v>
      </c>
    </row>
    <row r="5858" ht="19" customHeight="1" spans="1:14" x14ac:dyDescent="0.25">
      <c r="A5858" s="19" t="s">
        <v>5972</v>
      </c>
      <c r="B5858" s="33">
        <v>45788.731944444444</v>
      </c>
      <c r="C5858" s="33">
        <v>45789.580555555556</v>
      </c>
      <c r="D5858" s="19" t="s">
        <v>36</v>
      </c>
      <c r="E5858" s="19" t="s">
        <v>61</v>
      </c>
      <c r="F5858" s="19" t="s">
        <v>43</v>
      </c>
      <c r="G5858" s="19" t="s">
        <v>110</v>
      </c>
      <c r="H5858" s="19" t="s">
        <v>63</v>
      </c>
      <c r="I5858" s="19" t="s">
        <v>108</v>
      </c>
      <c r="J5858" s="20">
        <v>12</v>
      </c>
      <c r="K5858" s="34">
        <v>0</v>
      </c>
      <c r="M5858" s="19">
        <f>IF(OR(ISBLANK(C5858),C5858=""),"",ROUND((C5858-B5858)*24,2))</f>
        <v>20.37</v>
      </c>
      <c r="N5858" s="39" t="str">
        <f>IF(OR(ISBLANK(C5858),C5858="",M5858=""),"In Progress",IF(M5858&lt;=J5858,"Met","Breached"))</f>
        <v>Breached</v>
      </c>
    </row>
    <row r="5859" ht="19" customHeight="1" spans="1:14" x14ac:dyDescent="0.25">
      <c r="A5859" s="22" t="s">
        <v>5973</v>
      </c>
      <c r="B5859" s="36">
        <v>46017.23333333334</v>
      </c>
      <c r="C5859" s="36">
        <v>46018.31458333333</v>
      </c>
      <c r="D5859" s="22" t="s">
        <v>33</v>
      </c>
      <c r="E5859" s="22" t="s">
        <v>65</v>
      </c>
      <c r="F5859" s="22" t="s">
        <v>45</v>
      </c>
      <c r="G5859" s="22" t="s">
        <v>113</v>
      </c>
      <c r="H5859" s="22" t="s">
        <v>59</v>
      </c>
      <c r="I5859" s="22" t="s">
        <v>111</v>
      </c>
      <c r="J5859" s="23">
        <v>48</v>
      </c>
      <c r="K5859" s="37">
        <v>0</v>
      </c>
      <c r="M5859" s="22">
        <f>IF(OR(ISBLANK(C5859),C5859=""),"",ROUND((C5859-B5859)*24,2))</f>
        <v>25.95</v>
      </c>
      <c r="N5859" s="40" t="str">
        <f>IF(OR(ISBLANK(C5859),C5859="",M5859=""),"In Progress",IF(M5859&lt;=J5859,"Met","Breached"))</f>
        <v>Met</v>
      </c>
    </row>
    <row r="5860" ht="19" customHeight="1" spans="1:14" x14ac:dyDescent="0.25">
      <c r="A5860" s="19" t="s">
        <v>5974</v>
      </c>
      <c r="B5860" s="33">
        <v>46023.34652777778</v>
      </c>
      <c r="D5860" s="19" t="s">
        <v>39</v>
      </c>
      <c r="E5860" s="19" t="s">
        <v>65</v>
      </c>
      <c r="F5860" s="19" t="s">
        <v>43</v>
      </c>
      <c r="G5860" s="19" t="s">
        <v>126</v>
      </c>
      <c r="H5860" s="19" t="s">
        <v>67</v>
      </c>
      <c r="I5860" s="19" t="s">
        <v>114</v>
      </c>
      <c r="J5860" s="20">
        <v>48</v>
      </c>
      <c r="K5860" s="34">
        <v>0</v>
      </c>
      <c r="M5860" s="19" t="str">
        <f>IF(OR(ISBLANK(C5860),C5860=""),"",ROUND((C5860-B5860)*24,2))</f>
        <v/>
      </c>
      <c r="N5860" s="19" t="str">
        <f>IF(OR(ISBLANK(C5860),C5860="",M5860=""),"In Progress",IF(M5860&lt;=J5860,"Met","Breached"))</f>
        <v>In Progress</v>
      </c>
    </row>
    <row r="5861" ht="19" customHeight="1" spans="1:14" x14ac:dyDescent="0.25">
      <c r="A5861" s="22" t="s">
        <v>5975</v>
      </c>
      <c r="B5861" s="36">
        <v>45775.71736111111</v>
      </c>
      <c r="C5861" s="36">
        <v>45780.02847222222</v>
      </c>
      <c r="D5861" s="22" t="s">
        <v>33</v>
      </c>
      <c r="E5861" s="22" t="s">
        <v>69</v>
      </c>
      <c r="F5861" s="22" t="s">
        <v>45</v>
      </c>
      <c r="G5861" s="22" t="s">
        <v>116</v>
      </c>
      <c r="H5861" s="22" t="s">
        <v>59</v>
      </c>
      <c r="I5861" s="22" t="s">
        <v>147</v>
      </c>
      <c r="J5861" s="23">
        <v>120</v>
      </c>
      <c r="K5861" s="37">
        <v>0</v>
      </c>
      <c r="M5861" s="22">
        <f>IF(OR(ISBLANK(C5861),C5861=""),"",ROUND((C5861-B5861)*24,2))</f>
        <v>103.47</v>
      </c>
      <c r="N5861" s="40" t="str">
        <f>IF(OR(ISBLANK(C5861),C5861="",M5861=""),"In Progress",IF(M5861&lt;=J5861,"Met","Breached"))</f>
        <v>Met</v>
      </c>
    </row>
    <row r="5862" ht="19" customHeight="1" spans="1:14" x14ac:dyDescent="0.25">
      <c r="A5862" s="19" t="s">
        <v>5976</v>
      </c>
      <c r="B5862" s="33">
        <v>46170.992361111115</v>
      </c>
      <c r="C5862" s="33">
        <v>46174.10972222222</v>
      </c>
      <c r="D5862" s="19" t="s">
        <v>36</v>
      </c>
      <c r="E5862" s="19" t="s">
        <v>65</v>
      </c>
      <c r="F5862" s="19" t="s">
        <v>43</v>
      </c>
      <c r="G5862" s="19" t="s">
        <v>121</v>
      </c>
      <c r="H5862" s="19" t="s">
        <v>59</v>
      </c>
      <c r="I5862" s="19" t="s">
        <v>111</v>
      </c>
      <c r="J5862" s="20">
        <v>48</v>
      </c>
      <c r="K5862" s="34">
        <v>0</v>
      </c>
      <c r="L5862" s="34">
        <v>1</v>
      </c>
      <c r="M5862" s="19">
        <f>IF(OR(ISBLANK(C5862),C5862=""),"",ROUND((C5862-B5862)*24,2))</f>
        <v>74.82</v>
      </c>
      <c r="N5862" s="39" t="str">
        <f>IF(OR(ISBLANK(C5862),C5862="",M5862=""),"In Progress",IF(M5862&lt;=J5862,"Met","Breached"))</f>
        <v>Breached</v>
      </c>
    </row>
    <row r="5863" ht="19" customHeight="1" spans="1:14" x14ac:dyDescent="0.25">
      <c r="A5863" s="22" t="s">
        <v>5977</v>
      </c>
      <c r="B5863" s="36">
        <v>45734.62986111111</v>
      </c>
      <c r="C5863" s="36">
        <v>45734.896527777775</v>
      </c>
      <c r="D5863" s="22" t="s">
        <v>36</v>
      </c>
      <c r="E5863" s="22" t="s">
        <v>61</v>
      </c>
      <c r="F5863" s="22" t="s">
        <v>40</v>
      </c>
      <c r="G5863" s="22" t="s">
        <v>113</v>
      </c>
      <c r="H5863" s="22" t="s">
        <v>59</v>
      </c>
      <c r="I5863" s="22" t="s">
        <v>108</v>
      </c>
      <c r="J5863" s="23">
        <v>12</v>
      </c>
      <c r="K5863" s="37">
        <v>0</v>
      </c>
      <c r="L5863" s="37">
        <v>3</v>
      </c>
      <c r="M5863" s="22">
        <f>IF(OR(ISBLANK(C5863),C5863=""),"",ROUND((C5863-B5863)*24,2))</f>
        <v>6.4</v>
      </c>
      <c r="N5863" s="40" t="str">
        <f>IF(OR(ISBLANK(C5863),C5863="",M5863=""),"In Progress",IF(M5863&lt;=J5863,"Met","Breached"))</f>
        <v>Met</v>
      </c>
    </row>
    <row r="5864" ht="19" customHeight="1" spans="1:14" x14ac:dyDescent="0.25">
      <c r="A5864" s="19" t="s">
        <v>5978</v>
      </c>
      <c r="B5864" s="33">
        <v>46063.38680555555</v>
      </c>
      <c r="C5864" s="33">
        <v>46064.98263888889</v>
      </c>
      <c r="D5864" s="19" t="s">
        <v>36</v>
      </c>
      <c r="E5864" s="19" t="s">
        <v>65</v>
      </c>
      <c r="F5864" s="19" t="s">
        <v>43</v>
      </c>
      <c r="G5864" s="19" t="s">
        <v>116</v>
      </c>
      <c r="H5864" s="19" t="s">
        <v>59</v>
      </c>
      <c r="I5864" s="19" t="s">
        <v>108</v>
      </c>
      <c r="J5864" s="20">
        <v>48</v>
      </c>
      <c r="K5864" s="34">
        <v>1</v>
      </c>
      <c r="L5864" s="34">
        <v>5</v>
      </c>
      <c r="M5864" s="19">
        <f>IF(OR(ISBLANK(C5864),C5864=""),"",ROUND((C5864-B5864)*24,2))</f>
        <v>38.3</v>
      </c>
      <c r="N5864" s="35" t="str">
        <f>IF(OR(ISBLANK(C5864),C5864="",M5864=""),"In Progress",IF(M5864&lt;=J5864,"Met","Breached"))</f>
        <v>Met</v>
      </c>
    </row>
    <row r="5865" ht="19" customHeight="1" spans="1:14" x14ac:dyDescent="0.25">
      <c r="A5865" s="22" t="s">
        <v>5979</v>
      </c>
      <c r="B5865" s="36">
        <v>45929.464583333334</v>
      </c>
      <c r="D5865" s="22" t="s">
        <v>42</v>
      </c>
      <c r="E5865" s="22" t="s">
        <v>65</v>
      </c>
      <c r="F5865" s="22" t="s">
        <v>43</v>
      </c>
      <c r="G5865" s="22" t="s">
        <v>110</v>
      </c>
      <c r="H5865" s="22" t="s">
        <v>59</v>
      </c>
      <c r="I5865" s="22" t="s">
        <v>114</v>
      </c>
      <c r="J5865" s="23">
        <v>48</v>
      </c>
      <c r="K5865" s="37">
        <v>0</v>
      </c>
      <c r="M5865" s="22" t="str">
        <f>IF(OR(ISBLANK(C5865),C5865=""),"",ROUND((C5865-B5865)*24,2))</f>
        <v/>
      </c>
      <c r="N5865" s="22" t="str">
        <f>IF(OR(ISBLANK(C5865),C5865="",M5865=""),"In Progress",IF(M5865&lt;=J5865,"Met","Breached"))</f>
        <v>In Progress</v>
      </c>
    </row>
    <row r="5866" ht="19" customHeight="1" spans="1:14" x14ac:dyDescent="0.25">
      <c r="A5866" s="19" t="s">
        <v>5980</v>
      </c>
      <c r="B5866" s="33">
        <v>45784.66805555555</v>
      </c>
      <c r="C5866" s="33">
        <v>45793.40138888889</v>
      </c>
      <c r="D5866" s="19" t="s">
        <v>36</v>
      </c>
      <c r="E5866" s="19" t="s">
        <v>69</v>
      </c>
      <c r="F5866" s="19" t="s">
        <v>34</v>
      </c>
      <c r="G5866" s="19" t="s">
        <v>126</v>
      </c>
      <c r="H5866" s="19" t="s">
        <v>71</v>
      </c>
      <c r="I5866" s="19" t="s">
        <v>108</v>
      </c>
      <c r="J5866" s="20">
        <v>120</v>
      </c>
      <c r="K5866" s="34">
        <v>0</v>
      </c>
      <c r="M5866" s="19">
        <f>IF(OR(ISBLANK(C5866),C5866=""),"",ROUND((C5866-B5866)*24,2))</f>
        <v>209.6</v>
      </c>
      <c r="N5866" s="39" t="str">
        <f>IF(OR(ISBLANK(C5866),C5866="",M5866=""),"In Progress",IF(M5866&lt;=J5866,"Met","Breached"))</f>
        <v>Breached</v>
      </c>
    </row>
    <row r="5867" ht="19" customHeight="1" spans="1:14" x14ac:dyDescent="0.25">
      <c r="A5867" s="22" t="s">
        <v>5981</v>
      </c>
      <c r="B5867" s="36">
        <v>45988.23819444445</v>
      </c>
      <c r="C5867" s="36">
        <v>45988.43819444445</v>
      </c>
      <c r="D5867" s="22" t="s">
        <v>36</v>
      </c>
      <c r="E5867" s="22" t="s">
        <v>57</v>
      </c>
      <c r="F5867" s="22" t="s">
        <v>43</v>
      </c>
      <c r="G5867" s="22" t="s">
        <v>126</v>
      </c>
      <c r="H5867" s="22" t="s">
        <v>59</v>
      </c>
      <c r="I5867" s="22" t="s">
        <v>108</v>
      </c>
      <c r="J5867" s="23">
        <v>4</v>
      </c>
      <c r="K5867" s="37">
        <v>0</v>
      </c>
      <c r="L5867" s="37">
        <v>3</v>
      </c>
      <c r="M5867" s="22">
        <f>IF(OR(ISBLANK(C5867),C5867=""),"",ROUND((C5867-B5867)*24,2))</f>
        <v>4.8</v>
      </c>
      <c r="N5867" s="38" t="str">
        <f>IF(OR(ISBLANK(C5867),C5867="",M5867=""),"In Progress",IF(M5867&lt;=J5867,"Met","Breached"))</f>
        <v>Breached</v>
      </c>
    </row>
    <row r="5868" ht="19" customHeight="1" spans="1:14" x14ac:dyDescent="0.25">
      <c r="A5868" s="19" t="s">
        <v>5982</v>
      </c>
      <c r="B5868" s="33">
        <v>45794.62222222222</v>
      </c>
      <c r="C5868" s="33">
        <v>45794.95208333334</v>
      </c>
      <c r="D5868" s="19" t="s">
        <v>33</v>
      </c>
      <c r="E5868" s="19" t="s">
        <v>61</v>
      </c>
      <c r="F5868" s="19" t="s">
        <v>40</v>
      </c>
      <c r="G5868" s="19" t="s">
        <v>116</v>
      </c>
      <c r="H5868" s="19" t="s">
        <v>63</v>
      </c>
      <c r="I5868" s="19" t="s">
        <v>114</v>
      </c>
      <c r="J5868" s="20">
        <v>12</v>
      </c>
      <c r="K5868" s="34">
        <v>0</v>
      </c>
      <c r="M5868" s="19">
        <f>IF(OR(ISBLANK(C5868),C5868=""),"",ROUND((C5868-B5868)*24,2))</f>
        <v>7.92</v>
      </c>
      <c r="N5868" s="35" t="str">
        <f>IF(OR(ISBLANK(C5868),C5868="",M5868=""),"In Progress",IF(M5868&lt;=J5868,"Met","Breached"))</f>
        <v>Met</v>
      </c>
    </row>
    <row r="5869" ht="19" customHeight="1" spans="1:14" x14ac:dyDescent="0.25">
      <c r="A5869" s="22" t="s">
        <v>5983</v>
      </c>
      <c r="B5869" s="36">
        <v>46230.47986111111</v>
      </c>
      <c r="C5869" s="36">
        <v>46233.07361111111</v>
      </c>
      <c r="D5869" s="22" t="s">
        <v>33</v>
      </c>
      <c r="E5869" s="22" t="s">
        <v>65</v>
      </c>
      <c r="F5869" s="22" t="s">
        <v>40</v>
      </c>
      <c r="G5869" s="22" t="s">
        <v>121</v>
      </c>
      <c r="H5869" s="22" t="s">
        <v>59</v>
      </c>
      <c r="I5869" s="22" t="s">
        <v>147</v>
      </c>
      <c r="J5869" s="23">
        <v>48</v>
      </c>
      <c r="K5869" s="37">
        <v>0</v>
      </c>
      <c r="L5869" s="37">
        <v>1</v>
      </c>
      <c r="M5869" s="22">
        <f>IF(OR(ISBLANK(C5869),C5869=""),"",ROUND((C5869-B5869)*24,2))</f>
        <v>62.25</v>
      </c>
      <c r="N5869" s="38" t="str">
        <f>IF(OR(ISBLANK(C5869),C5869="",M5869=""),"In Progress",IF(M5869&lt;=J5869,"Met","Breached"))</f>
        <v>Breached</v>
      </c>
    </row>
    <row r="5870" ht="19" customHeight="1" spans="1:14" x14ac:dyDescent="0.25">
      <c r="A5870" s="19" t="s">
        <v>5984</v>
      </c>
      <c r="B5870" s="33">
        <v>45760.39583333333</v>
      </c>
      <c r="C5870" s="33">
        <v>45762.33333333333</v>
      </c>
      <c r="D5870" s="19" t="s">
        <v>33</v>
      </c>
      <c r="E5870" s="19" t="s">
        <v>65</v>
      </c>
      <c r="F5870" s="19" t="s">
        <v>37</v>
      </c>
      <c r="G5870" s="19" t="s">
        <v>110</v>
      </c>
      <c r="H5870" s="19" t="s">
        <v>59</v>
      </c>
      <c r="I5870" s="19" t="s">
        <v>123</v>
      </c>
      <c r="J5870" s="20">
        <v>48</v>
      </c>
      <c r="K5870" s="34">
        <v>0</v>
      </c>
      <c r="M5870" s="19">
        <f>IF(OR(ISBLANK(C5870),C5870=""),"",ROUND((C5870-B5870)*24,2))</f>
        <v>46.5</v>
      </c>
      <c r="N5870" s="35" t="str">
        <f>IF(OR(ISBLANK(C5870),C5870="",M5870=""),"In Progress",IF(M5870&lt;=J5870,"Met","Breached"))</f>
        <v>Met</v>
      </c>
    </row>
    <row r="5871" ht="19" customHeight="1" spans="1:14" x14ac:dyDescent="0.25">
      <c r="A5871" s="22" t="s">
        <v>5985</v>
      </c>
      <c r="B5871" s="36">
        <v>46104.96319444444</v>
      </c>
      <c r="C5871" s="36">
        <v>46107.21805555555</v>
      </c>
      <c r="D5871" s="22" t="s">
        <v>33</v>
      </c>
      <c r="E5871" s="22" t="s">
        <v>65</v>
      </c>
      <c r="F5871" s="22" t="s">
        <v>34</v>
      </c>
      <c r="G5871" s="22" t="s">
        <v>63</v>
      </c>
      <c r="H5871" s="22" t="s">
        <v>71</v>
      </c>
      <c r="I5871" s="22" t="s">
        <v>123</v>
      </c>
      <c r="J5871" s="23">
        <v>48</v>
      </c>
      <c r="K5871" s="37">
        <v>0</v>
      </c>
      <c r="L5871" s="37">
        <v>4</v>
      </c>
      <c r="M5871" s="22">
        <f>IF(OR(ISBLANK(C5871),C5871=""),"",ROUND((C5871-B5871)*24,2))</f>
        <v>54.12</v>
      </c>
      <c r="N5871" s="38" t="str">
        <f>IF(OR(ISBLANK(C5871),C5871="",M5871=""),"In Progress",IF(M5871&lt;=J5871,"Met","Breached"))</f>
        <v>Breached</v>
      </c>
    </row>
    <row r="5872" ht="19" customHeight="1" spans="1:14" x14ac:dyDescent="0.25">
      <c r="A5872" s="19" t="s">
        <v>5986</v>
      </c>
      <c r="B5872" s="33">
        <v>46277.75208333333</v>
      </c>
      <c r="C5872" s="33">
        <v>46278.30694444444</v>
      </c>
      <c r="D5872" s="19" t="s">
        <v>33</v>
      </c>
      <c r="E5872" s="19" t="s">
        <v>61</v>
      </c>
      <c r="F5872" s="19" t="s">
        <v>37</v>
      </c>
      <c r="G5872" s="19" t="s">
        <v>126</v>
      </c>
      <c r="H5872" s="19" t="s">
        <v>67</v>
      </c>
      <c r="I5872" s="19" t="s">
        <v>123</v>
      </c>
      <c r="J5872" s="20">
        <v>12</v>
      </c>
      <c r="K5872" s="34">
        <v>0</v>
      </c>
      <c r="M5872" s="19">
        <f>IF(OR(ISBLANK(C5872),C5872=""),"",ROUND((C5872-B5872)*24,2))</f>
        <v>13.32</v>
      </c>
      <c r="N5872" s="39" t="str">
        <f>IF(OR(ISBLANK(C5872),C5872="",M5872=""),"In Progress",IF(M5872&lt;=J5872,"Met","Breached"))</f>
        <v>Breached</v>
      </c>
    </row>
    <row r="5873" ht="19" customHeight="1" spans="1:14" x14ac:dyDescent="0.25">
      <c r="A5873" s="22" t="s">
        <v>5987</v>
      </c>
      <c r="B5873" s="36">
        <v>45984.231944444444</v>
      </c>
      <c r="C5873" s="36">
        <v>45986.825</v>
      </c>
      <c r="D5873" s="22" t="s">
        <v>33</v>
      </c>
      <c r="E5873" s="22" t="s">
        <v>65</v>
      </c>
      <c r="F5873" s="22" t="s">
        <v>43</v>
      </c>
      <c r="G5873" s="22" t="s">
        <v>110</v>
      </c>
      <c r="H5873" s="22" t="s">
        <v>59</v>
      </c>
      <c r="I5873" s="22" t="s">
        <v>117</v>
      </c>
      <c r="J5873" s="23">
        <v>48</v>
      </c>
      <c r="K5873" s="37">
        <v>0</v>
      </c>
      <c r="M5873" s="22">
        <f>IF(OR(ISBLANK(C5873),C5873=""),"",ROUND((C5873-B5873)*24,2))</f>
        <v>62.23</v>
      </c>
      <c r="N5873" s="38" t="str">
        <f>IF(OR(ISBLANK(C5873),C5873="",M5873=""),"In Progress",IF(M5873&lt;=J5873,"Met","Breached"))</f>
        <v>Breached</v>
      </c>
    </row>
    <row r="5874" ht="19" customHeight="1" spans="1:14" x14ac:dyDescent="0.25">
      <c r="A5874" s="19" t="s">
        <v>5988</v>
      </c>
      <c r="B5874" s="33">
        <v>45904.39513888889</v>
      </c>
      <c r="C5874" s="33">
        <v>45911.08333333333</v>
      </c>
      <c r="D5874" s="19" t="s">
        <v>36</v>
      </c>
      <c r="E5874" s="19" t="s">
        <v>69</v>
      </c>
      <c r="F5874" s="19" t="s">
        <v>34</v>
      </c>
      <c r="G5874" s="19" t="s">
        <v>110</v>
      </c>
      <c r="H5874" s="19" t="s">
        <v>59</v>
      </c>
      <c r="I5874" s="19" t="s">
        <v>111</v>
      </c>
      <c r="J5874" s="20">
        <v>120</v>
      </c>
      <c r="K5874" s="34">
        <v>0</v>
      </c>
      <c r="M5874" s="19">
        <f>IF(OR(ISBLANK(C5874),C5874=""),"",ROUND((C5874-B5874)*24,2))</f>
        <v>160.52</v>
      </c>
      <c r="N5874" s="39" t="str">
        <f>IF(OR(ISBLANK(C5874),C5874="",M5874=""),"In Progress",IF(M5874&lt;=J5874,"Met","Breached"))</f>
        <v>Breached</v>
      </c>
    </row>
    <row r="5875" ht="19" customHeight="1" spans="1:14" x14ac:dyDescent="0.25">
      <c r="A5875" s="22" t="s">
        <v>5989</v>
      </c>
      <c r="B5875" s="36">
        <v>45798.43402777778</v>
      </c>
      <c r="C5875" s="36">
        <v>45798.62152777778</v>
      </c>
      <c r="D5875" s="22" t="s">
        <v>36</v>
      </c>
      <c r="E5875" s="22" t="s">
        <v>61</v>
      </c>
      <c r="F5875" s="22" t="s">
        <v>37</v>
      </c>
      <c r="G5875" s="22" t="s">
        <v>116</v>
      </c>
      <c r="H5875" s="22" t="s">
        <v>67</v>
      </c>
      <c r="I5875" s="22" t="s">
        <v>111</v>
      </c>
      <c r="J5875" s="23">
        <v>12</v>
      </c>
      <c r="K5875" s="37">
        <v>0</v>
      </c>
      <c r="L5875" s="37">
        <v>5</v>
      </c>
      <c r="M5875" s="22">
        <f>IF(OR(ISBLANK(C5875),C5875=""),"",ROUND((C5875-B5875)*24,2))</f>
        <v>4.5</v>
      </c>
      <c r="N5875" s="40" t="str">
        <f>IF(OR(ISBLANK(C5875),C5875="",M5875=""),"In Progress",IF(M5875&lt;=J5875,"Met","Breached"))</f>
        <v>Met</v>
      </c>
    </row>
    <row r="5876" ht="19" customHeight="1" spans="1:14" x14ac:dyDescent="0.25">
      <c r="A5876" s="19" t="s">
        <v>5990</v>
      </c>
      <c r="B5876" s="33">
        <v>46132.478472222225</v>
      </c>
      <c r="C5876" s="33">
        <v>46134.36458333333</v>
      </c>
      <c r="D5876" s="19" t="s">
        <v>33</v>
      </c>
      <c r="E5876" s="19" t="s">
        <v>69</v>
      </c>
      <c r="F5876" s="19" t="s">
        <v>43</v>
      </c>
      <c r="G5876" s="19" t="s">
        <v>116</v>
      </c>
      <c r="H5876" s="19" t="s">
        <v>59</v>
      </c>
      <c r="I5876" s="19" t="s">
        <v>111</v>
      </c>
      <c r="J5876" s="20">
        <v>120</v>
      </c>
      <c r="K5876" s="34">
        <v>1</v>
      </c>
      <c r="L5876" s="34">
        <v>5</v>
      </c>
      <c r="M5876" s="19">
        <f>IF(OR(ISBLANK(C5876),C5876=""),"",ROUND((C5876-B5876)*24,2))</f>
        <v>45.27</v>
      </c>
      <c r="N5876" s="35" t="str">
        <f>IF(OR(ISBLANK(C5876),C5876="",M5876=""),"In Progress",IF(M5876&lt;=J5876,"Met","Breached"))</f>
        <v>Met</v>
      </c>
    </row>
    <row r="5877" ht="19" customHeight="1" spans="1:14" x14ac:dyDescent="0.25">
      <c r="A5877" s="22" t="s">
        <v>5991</v>
      </c>
      <c r="B5877" s="36">
        <v>45672.83125</v>
      </c>
      <c r="C5877" s="36">
        <v>45674.17013888889</v>
      </c>
      <c r="D5877" s="22" t="s">
        <v>36</v>
      </c>
      <c r="E5877" s="22" t="s">
        <v>65</v>
      </c>
      <c r="F5877" s="22" t="s">
        <v>37</v>
      </c>
      <c r="G5877" s="22" t="s">
        <v>116</v>
      </c>
      <c r="H5877" s="22" t="s">
        <v>59</v>
      </c>
      <c r="I5877" s="22" t="s">
        <v>108</v>
      </c>
      <c r="J5877" s="23">
        <v>48</v>
      </c>
      <c r="K5877" s="37">
        <v>0</v>
      </c>
      <c r="L5877" s="37">
        <v>1</v>
      </c>
      <c r="M5877" s="22">
        <f>IF(OR(ISBLANK(C5877),C5877=""),"",ROUND((C5877-B5877)*24,2))</f>
        <v>32.13</v>
      </c>
      <c r="N5877" s="40" t="str">
        <f>IF(OR(ISBLANK(C5877),C5877="",M5877=""),"In Progress",IF(M5877&lt;=J5877,"Met","Breached"))</f>
        <v>Met</v>
      </c>
    </row>
    <row r="5878" ht="19" customHeight="1" spans="1:14" x14ac:dyDescent="0.25">
      <c r="A5878" s="19" t="s">
        <v>5992</v>
      </c>
      <c r="B5878" s="33">
        <v>45754.05416666667</v>
      </c>
      <c r="C5878" s="33">
        <v>45755.38611111111</v>
      </c>
      <c r="D5878" s="19" t="s">
        <v>33</v>
      </c>
      <c r="E5878" s="19" t="s">
        <v>65</v>
      </c>
      <c r="F5878" s="19" t="s">
        <v>34</v>
      </c>
      <c r="G5878" s="19" t="s">
        <v>110</v>
      </c>
      <c r="H5878" s="19" t="s">
        <v>71</v>
      </c>
      <c r="I5878" s="19" t="s">
        <v>111</v>
      </c>
      <c r="J5878" s="20">
        <v>48</v>
      </c>
      <c r="K5878" s="34">
        <v>0</v>
      </c>
      <c r="L5878" s="34">
        <v>5</v>
      </c>
      <c r="M5878" s="19">
        <f>IF(OR(ISBLANK(C5878),C5878=""),"",ROUND((C5878-B5878)*24,2))</f>
        <v>31.97</v>
      </c>
      <c r="N5878" s="35" t="str">
        <f>IF(OR(ISBLANK(C5878),C5878="",M5878=""),"In Progress",IF(M5878&lt;=J5878,"Met","Breached"))</f>
        <v>Met</v>
      </c>
    </row>
    <row r="5879" ht="19" customHeight="1" spans="1:14" x14ac:dyDescent="0.25">
      <c r="A5879" s="22" t="s">
        <v>5993</v>
      </c>
      <c r="B5879" s="36">
        <v>46181.60416666667</v>
      </c>
      <c r="D5879" s="22" t="s">
        <v>39</v>
      </c>
      <c r="E5879" s="22" t="s">
        <v>61</v>
      </c>
      <c r="F5879" s="22" t="s">
        <v>43</v>
      </c>
      <c r="G5879" s="22" t="s">
        <v>121</v>
      </c>
      <c r="H5879" s="22" t="s">
        <v>63</v>
      </c>
      <c r="I5879" s="22" t="s">
        <v>117</v>
      </c>
      <c r="J5879" s="23">
        <v>12</v>
      </c>
      <c r="K5879" s="37">
        <v>0</v>
      </c>
      <c r="M5879" s="22" t="str">
        <f>IF(OR(ISBLANK(C5879),C5879=""),"",ROUND((C5879-B5879)*24,2))</f>
        <v/>
      </c>
      <c r="N5879" s="22" t="str">
        <f>IF(OR(ISBLANK(C5879),C5879="",M5879=""),"In Progress",IF(M5879&lt;=J5879,"Met","Breached"))</f>
        <v>In Progress</v>
      </c>
    </row>
    <row r="5880" ht="19" customHeight="1" spans="1:14" x14ac:dyDescent="0.25">
      <c r="A5880" s="19" t="s">
        <v>5994</v>
      </c>
      <c r="B5880" s="33">
        <v>45993.861805555556</v>
      </c>
      <c r="D5880" s="19" t="s">
        <v>39</v>
      </c>
      <c r="E5880" s="19" t="s">
        <v>61</v>
      </c>
      <c r="F5880" s="19" t="s">
        <v>34</v>
      </c>
      <c r="G5880" s="19" t="s">
        <v>113</v>
      </c>
      <c r="H5880" s="19" t="s">
        <v>63</v>
      </c>
      <c r="I5880" s="19" t="s">
        <v>114</v>
      </c>
      <c r="J5880" s="20">
        <v>12</v>
      </c>
      <c r="K5880" s="34">
        <v>0</v>
      </c>
      <c r="M5880" s="19" t="str">
        <f>IF(OR(ISBLANK(C5880),C5880=""),"",ROUND((C5880-B5880)*24,2))</f>
        <v/>
      </c>
      <c r="N5880" s="19" t="str">
        <f>IF(OR(ISBLANK(C5880),C5880="",M5880=""),"In Progress",IF(M5880&lt;=J5880,"Met","Breached"))</f>
        <v>In Progress</v>
      </c>
    </row>
    <row r="5881" ht="19" customHeight="1" spans="1:14" x14ac:dyDescent="0.25">
      <c r="A5881" s="22" t="s">
        <v>5995</v>
      </c>
      <c r="B5881" s="36">
        <v>46042.004166666666</v>
      </c>
      <c r="C5881" s="36">
        <v>46043.96944444445</v>
      </c>
      <c r="D5881" s="22" t="s">
        <v>36</v>
      </c>
      <c r="E5881" s="22" t="s">
        <v>65</v>
      </c>
      <c r="F5881" s="22" t="s">
        <v>45</v>
      </c>
      <c r="G5881" s="22" t="s">
        <v>110</v>
      </c>
      <c r="H5881" s="22" t="s">
        <v>59</v>
      </c>
      <c r="I5881" s="22" t="s">
        <v>123</v>
      </c>
      <c r="J5881" s="23">
        <v>48</v>
      </c>
      <c r="K5881" s="37">
        <v>0</v>
      </c>
      <c r="L5881" s="37">
        <v>1</v>
      </c>
      <c r="M5881" s="22">
        <f>IF(OR(ISBLANK(C5881),C5881=""),"",ROUND((C5881-B5881)*24,2))</f>
        <v>47.17</v>
      </c>
      <c r="N5881" s="40" t="str">
        <f>IF(OR(ISBLANK(C5881),C5881="",M5881=""),"In Progress",IF(M5881&lt;=J5881,"Met","Breached"))</f>
        <v>Met</v>
      </c>
    </row>
    <row r="5882" ht="19" customHeight="1" spans="1:14" x14ac:dyDescent="0.25">
      <c r="A5882" s="19" t="s">
        <v>5996</v>
      </c>
      <c r="B5882" s="33">
        <v>45731.34236111111</v>
      </c>
      <c r="C5882" s="33">
        <v>45732.94652777778</v>
      </c>
      <c r="D5882" s="19" t="s">
        <v>33</v>
      </c>
      <c r="E5882" s="19" t="s">
        <v>65</v>
      </c>
      <c r="F5882" s="19" t="s">
        <v>37</v>
      </c>
      <c r="G5882" s="19" t="s">
        <v>116</v>
      </c>
      <c r="H5882" s="19" t="s">
        <v>63</v>
      </c>
      <c r="I5882" s="19" t="s">
        <v>117</v>
      </c>
      <c r="J5882" s="20">
        <v>48</v>
      </c>
      <c r="K5882" s="34">
        <v>0</v>
      </c>
      <c r="M5882" s="19">
        <f>IF(OR(ISBLANK(C5882),C5882=""),"",ROUND((C5882-B5882)*24,2))</f>
        <v>38.5</v>
      </c>
      <c r="N5882" s="35" t="str">
        <f>IF(OR(ISBLANK(C5882),C5882="",M5882=""),"In Progress",IF(M5882&lt;=J5882,"Met","Breached"))</f>
        <v>Met</v>
      </c>
    </row>
    <row r="5883" ht="19" customHeight="1" spans="1:14" x14ac:dyDescent="0.25">
      <c r="A5883" s="22" t="s">
        <v>5997</v>
      </c>
      <c r="B5883" s="36">
        <v>45743.42361111111</v>
      </c>
      <c r="D5883" s="22" t="s">
        <v>42</v>
      </c>
      <c r="E5883" s="22" t="s">
        <v>65</v>
      </c>
      <c r="F5883" s="22" t="s">
        <v>45</v>
      </c>
      <c r="G5883" s="22" t="s">
        <v>63</v>
      </c>
      <c r="H5883" s="22" t="s">
        <v>63</v>
      </c>
      <c r="I5883" s="22" t="s">
        <v>117</v>
      </c>
      <c r="J5883" s="23">
        <v>48</v>
      </c>
      <c r="K5883" s="37">
        <v>0</v>
      </c>
      <c r="M5883" s="22" t="str">
        <f>IF(OR(ISBLANK(C5883),C5883=""),"",ROUND((C5883-B5883)*24,2))</f>
        <v/>
      </c>
      <c r="N5883" s="22" t="str">
        <f>IF(OR(ISBLANK(C5883),C5883="",M5883=""),"In Progress",IF(M5883&lt;=J5883,"Met","Breached"))</f>
        <v>In Progress</v>
      </c>
    </row>
    <row r="5884" ht="19" customHeight="1" spans="1:14" x14ac:dyDescent="0.25">
      <c r="A5884" s="19" t="s">
        <v>5998</v>
      </c>
      <c r="B5884" s="33">
        <v>45918.84444444445</v>
      </c>
      <c r="C5884" s="33">
        <v>45922.48333333334</v>
      </c>
      <c r="D5884" s="19" t="s">
        <v>36</v>
      </c>
      <c r="E5884" s="19" t="s">
        <v>69</v>
      </c>
      <c r="F5884" s="19" t="s">
        <v>45</v>
      </c>
      <c r="G5884" s="19" t="s">
        <v>63</v>
      </c>
      <c r="H5884" s="19" t="s">
        <v>59</v>
      </c>
      <c r="I5884" s="19" t="s">
        <v>147</v>
      </c>
      <c r="J5884" s="20">
        <v>120</v>
      </c>
      <c r="K5884" s="34">
        <v>0</v>
      </c>
      <c r="M5884" s="19">
        <f>IF(OR(ISBLANK(C5884),C5884=""),"",ROUND((C5884-B5884)*24,2))</f>
        <v>87.33</v>
      </c>
      <c r="N5884" s="35" t="str">
        <f>IF(OR(ISBLANK(C5884),C5884="",M5884=""),"In Progress",IF(M5884&lt;=J5884,"Met","Breached"))</f>
        <v>Met</v>
      </c>
    </row>
    <row r="5885" ht="19" customHeight="1" spans="1:14" x14ac:dyDescent="0.25">
      <c r="A5885" s="22" t="s">
        <v>5999</v>
      </c>
      <c r="B5885" s="36">
        <v>46136.740277777775</v>
      </c>
      <c r="C5885" s="36">
        <v>46137.29375</v>
      </c>
      <c r="D5885" s="22" t="s">
        <v>36</v>
      </c>
      <c r="E5885" s="22" t="s">
        <v>61</v>
      </c>
      <c r="F5885" s="22" t="s">
        <v>37</v>
      </c>
      <c r="G5885" s="22" t="s">
        <v>126</v>
      </c>
      <c r="H5885" s="22" t="s">
        <v>67</v>
      </c>
      <c r="I5885" s="22" t="s">
        <v>147</v>
      </c>
      <c r="J5885" s="23">
        <v>12</v>
      </c>
      <c r="K5885" s="37">
        <v>0</v>
      </c>
      <c r="L5885" s="37">
        <v>5</v>
      </c>
      <c r="M5885" s="22">
        <f>IF(OR(ISBLANK(C5885),C5885=""),"",ROUND((C5885-B5885)*24,2))</f>
        <v>13.28</v>
      </c>
      <c r="N5885" s="38" t="str">
        <f>IF(OR(ISBLANK(C5885),C5885="",M5885=""),"In Progress",IF(M5885&lt;=J5885,"Met","Breached"))</f>
        <v>Breached</v>
      </c>
    </row>
    <row r="5886" ht="19" customHeight="1" spans="1:14" x14ac:dyDescent="0.25">
      <c r="A5886" s="19" t="s">
        <v>6000</v>
      </c>
      <c r="B5886" s="33">
        <v>46016.24791666667</v>
      </c>
      <c r="C5886" s="33">
        <v>46016.492361111115</v>
      </c>
      <c r="D5886" s="19" t="s">
        <v>33</v>
      </c>
      <c r="E5886" s="19" t="s">
        <v>57</v>
      </c>
      <c r="F5886" s="19" t="s">
        <v>40</v>
      </c>
      <c r="G5886" s="19" t="s">
        <v>121</v>
      </c>
      <c r="H5886" s="19" t="s">
        <v>67</v>
      </c>
      <c r="I5886" s="19" t="s">
        <v>123</v>
      </c>
      <c r="J5886" s="20">
        <v>4</v>
      </c>
      <c r="K5886" s="34">
        <v>0</v>
      </c>
      <c r="L5886" s="34">
        <v>5</v>
      </c>
      <c r="M5886" s="19">
        <f>IF(OR(ISBLANK(C5886),C5886=""),"",ROUND((C5886-B5886)*24,2))</f>
        <v>5.87</v>
      </c>
      <c r="N5886" s="39" t="str">
        <f>IF(OR(ISBLANK(C5886),C5886="",M5886=""),"In Progress",IF(M5886&lt;=J5886,"Met","Breached"))</f>
        <v>Breached</v>
      </c>
    </row>
    <row r="5887" ht="19" customHeight="1" spans="1:14" x14ac:dyDescent="0.25">
      <c r="A5887" s="22" t="s">
        <v>6001</v>
      </c>
      <c r="B5887" s="36">
        <v>45693.87847222222</v>
      </c>
      <c r="C5887" s="36">
        <v>45695.90694444445</v>
      </c>
      <c r="D5887" s="22" t="s">
        <v>33</v>
      </c>
      <c r="E5887" s="22" t="s">
        <v>65</v>
      </c>
      <c r="F5887" s="22" t="s">
        <v>40</v>
      </c>
      <c r="G5887" s="22" t="s">
        <v>63</v>
      </c>
      <c r="H5887" s="22" t="s">
        <v>71</v>
      </c>
      <c r="I5887" s="22" t="s">
        <v>114</v>
      </c>
      <c r="J5887" s="23">
        <v>48</v>
      </c>
      <c r="K5887" s="37">
        <v>0</v>
      </c>
      <c r="L5887" s="37">
        <v>1</v>
      </c>
      <c r="M5887" s="22">
        <f>IF(OR(ISBLANK(C5887),C5887=""),"",ROUND((C5887-B5887)*24,2))</f>
        <v>48.68</v>
      </c>
      <c r="N5887" s="38" t="str">
        <f>IF(OR(ISBLANK(C5887),C5887="",M5887=""),"In Progress",IF(M5887&lt;=J5887,"Met","Breached"))</f>
        <v>Breached</v>
      </c>
    </row>
    <row r="5888" ht="19" customHeight="1" spans="1:14" x14ac:dyDescent="0.25">
      <c r="A5888" s="19" t="s">
        <v>6002</v>
      </c>
      <c r="B5888" s="33">
        <v>45757.41111111111</v>
      </c>
      <c r="C5888" s="33">
        <v>45758.05763888889</v>
      </c>
      <c r="D5888" s="19" t="s">
        <v>33</v>
      </c>
      <c r="E5888" s="19" t="s">
        <v>65</v>
      </c>
      <c r="F5888" s="19" t="s">
        <v>45</v>
      </c>
      <c r="G5888" s="19" t="s">
        <v>121</v>
      </c>
      <c r="H5888" s="19" t="s">
        <v>59</v>
      </c>
      <c r="I5888" s="19" t="s">
        <v>108</v>
      </c>
      <c r="J5888" s="20">
        <v>48</v>
      </c>
      <c r="K5888" s="34">
        <v>0</v>
      </c>
      <c r="M5888" s="19">
        <f>IF(OR(ISBLANK(C5888),C5888=""),"",ROUND((C5888-B5888)*24,2))</f>
        <v>15.52</v>
      </c>
      <c r="N5888" s="35" t="str">
        <f>IF(OR(ISBLANK(C5888),C5888="",M5888=""),"In Progress",IF(M5888&lt;=J5888,"Met","Breached"))</f>
        <v>Met</v>
      </c>
    </row>
    <row r="5889" ht="19" customHeight="1" spans="1:14" x14ac:dyDescent="0.25">
      <c r="A5889" s="22" t="s">
        <v>6003</v>
      </c>
      <c r="B5889" s="36">
        <v>45910.74722222222</v>
      </c>
      <c r="C5889" s="36">
        <v>45911.271527777775</v>
      </c>
      <c r="D5889" s="22" t="s">
        <v>33</v>
      </c>
      <c r="E5889" s="22" t="s">
        <v>61</v>
      </c>
      <c r="F5889" s="22" t="s">
        <v>40</v>
      </c>
      <c r="G5889" s="22" t="s">
        <v>116</v>
      </c>
      <c r="H5889" s="22" t="s">
        <v>63</v>
      </c>
      <c r="I5889" s="22" t="s">
        <v>123</v>
      </c>
      <c r="J5889" s="23">
        <v>12</v>
      </c>
      <c r="K5889" s="37">
        <v>0</v>
      </c>
      <c r="L5889" s="37">
        <v>2</v>
      </c>
      <c r="M5889" s="22">
        <f>IF(OR(ISBLANK(C5889),C5889=""),"",ROUND((C5889-B5889)*24,2))</f>
        <v>12.58</v>
      </c>
      <c r="N5889" s="38" t="str">
        <f>IF(OR(ISBLANK(C5889),C5889="",M5889=""),"In Progress",IF(M5889&lt;=J5889,"Met","Breached"))</f>
        <v>Breached</v>
      </c>
    </row>
    <row r="5890" ht="19" customHeight="1" spans="1:14" x14ac:dyDescent="0.25">
      <c r="A5890" s="19" t="s">
        <v>6004</v>
      </c>
      <c r="B5890" s="33">
        <v>45729.26875</v>
      </c>
      <c r="C5890" s="33">
        <v>45729.60277777778</v>
      </c>
      <c r="D5890" s="19" t="s">
        <v>33</v>
      </c>
      <c r="E5890" s="19" t="s">
        <v>61</v>
      </c>
      <c r="F5890" s="19" t="s">
        <v>45</v>
      </c>
      <c r="G5890" s="19" t="s">
        <v>116</v>
      </c>
      <c r="H5890" s="19" t="s">
        <v>63</v>
      </c>
      <c r="I5890" s="19" t="s">
        <v>123</v>
      </c>
      <c r="J5890" s="20">
        <v>12</v>
      </c>
      <c r="K5890" s="34">
        <v>1</v>
      </c>
      <c r="M5890" s="19">
        <f>IF(OR(ISBLANK(C5890),C5890=""),"",ROUND((C5890-B5890)*24,2))</f>
        <v>8.02</v>
      </c>
      <c r="N5890" s="35" t="str">
        <f>IF(OR(ISBLANK(C5890),C5890="",M5890=""),"In Progress",IF(M5890&lt;=J5890,"Met","Breached"))</f>
        <v>Met</v>
      </c>
    </row>
    <row r="5891" ht="19" customHeight="1" spans="1:14" x14ac:dyDescent="0.25">
      <c r="A5891" s="22" t="s">
        <v>6005</v>
      </c>
      <c r="B5891" s="36">
        <v>46062.160416666666</v>
      </c>
      <c r="C5891" s="36">
        <v>46064.65138888889</v>
      </c>
      <c r="D5891" s="22" t="s">
        <v>33</v>
      </c>
      <c r="E5891" s="22" t="s">
        <v>65</v>
      </c>
      <c r="F5891" s="22" t="s">
        <v>37</v>
      </c>
      <c r="G5891" s="22" t="s">
        <v>116</v>
      </c>
      <c r="H5891" s="22" t="s">
        <v>63</v>
      </c>
      <c r="I5891" s="22" t="s">
        <v>117</v>
      </c>
      <c r="J5891" s="23">
        <v>48</v>
      </c>
      <c r="K5891" s="37">
        <v>0</v>
      </c>
      <c r="L5891" s="37">
        <v>2</v>
      </c>
      <c r="M5891" s="22">
        <f>IF(OR(ISBLANK(C5891),C5891=""),"",ROUND((C5891-B5891)*24,2))</f>
        <v>59.78</v>
      </c>
      <c r="N5891" s="38" t="str">
        <f>IF(OR(ISBLANK(C5891),C5891="",M5891=""),"In Progress",IF(M5891&lt;=J5891,"Met","Breached"))</f>
        <v>Breached</v>
      </c>
    </row>
    <row r="5892" ht="19" customHeight="1" spans="1:14" x14ac:dyDescent="0.25">
      <c r="A5892" s="19" t="s">
        <v>6006</v>
      </c>
      <c r="B5892" s="33">
        <v>45794.30902777778</v>
      </c>
      <c r="C5892" s="33">
        <v>45794.981944444444</v>
      </c>
      <c r="D5892" s="19" t="s">
        <v>36</v>
      </c>
      <c r="E5892" s="19" t="s">
        <v>61</v>
      </c>
      <c r="F5892" s="19" t="s">
        <v>43</v>
      </c>
      <c r="G5892" s="19" t="s">
        <v>121</v>
      </c>
      <c r="H5892" s="19" t="s">
        <v>63</v>
      </c>
      <c r="I5892" s="19" t="s">
        <v>108</v>
      </c>
      <c r="J5892" s="20">
        <v>12</v>
      </c>
      <c r="K5892" s="34">
        <v>0</v>
      </c>
      <c r="M5892" s="19">
        <f>IF(OR(ISBLANK(C5892),C5892=""),"",ROUND((C5892-B5892)*24,2))</f>
        <v>16.15</v>
      </c>
      <c r="N5892" s="39" t="str">
        <f>IF(OR(ISBLANK(C5892),C5892="",M5892=""),"In Progress",IF(M5892&lt;=J5892,"Met","Breached"))</f>
        <v>Breached</v>
      </c>
    </row>
    <row r="5893" ht="19" customHeight="1" spans="1:14" x14ac:dyDescent="0.25">
      <c r="A5893" s="22" t="s">
        <v>6007</v>
      </c>
      <c r="B5893" s="36">
        <v>46010.83125</v>
      </c>
      <c r="D5893" s="22" t="s">
        <v>39</v>
      </c>
      <c r="E5893" s="22" t="s">
        <v>65</v>
      </c>
      <c r="F5893" s="22" t="s">
        <v>37</v>
      </c>
      <c r="G5893" s="22" t="s">
        <v>63</v>
      </c>
      <c r="H5893" s="22" t="s">
        <v>59</v>
      </c>
      <c r="I5893" s="22" t="s">
        <v>108</v>
      </c>
      <c r="J5893" s="23">
        <v>48</v>
      </c>
      <c r="K5893" s="37">
        <v>0</v>
      </c>
      <c r="M5893" s="22" t="str">
        <f>IF(OR(ISBLANK(C5893),C5893=""),"",ROUND((C5893-B5893)*24,2))</f>
        <v/>
      </c>
      <c r="N5893" s="22" t="str">
        <f>IF(OR(ISBLANK(C5893),C5893="",M5893=""),"In Progress",IF(M5893&lt;=J5893,"Met","Breached"))</f>
        <v>In Progress</v>
      </c>
    </row>
    <row r="5894" ht="19" customHeight="1" spans="1:14" x14ac:dyDescent="0.25">
      <c r="A5894" s="19" t="s">
        <v>6008</v>
      </c>
      <c r="B5894" s="33">
        <v>46266.211805555555</v>
      </c>
      <c r="C5894" s="33">
        <v>46267.775</v>
      </c>
      <c r="D5894" s="19" t="s">
        <v>33</v>
      </c>
      <c r="E5894" s="19" t="s">
        <v>65</v>
      </c>
      <c r="F5894" s="19" t="s">
        <v>40</v>
      </c>
      <c r="G5894" s="19" t="s">
        <v>63</v>
      </c>
      <c r="H5894" s="19" t="s">
        <v>59</v>
      </c>
      <c r="I5894" s="19" t="s">
        <v>111</v>
      </c>
      <c r="J5894" s="20">
        <v>48</v>
      </c>
      <c r="K5894" s="34">
        <v>0</v>
      </c>
      <c r="L5894" s="34">
        <v>5</v>
      </c>
      <c r="M5894" s="19">
        <f>IF(OR(ISBLANK(C5894),C5894=""),"",ROUND((C5894-B5894)*24,2))</f>
        <v>37.52</v>
      </c>
      <c r="N5894" s="35" t="str">
        <f>IF(OR(ISBLANK(C5894),C5894="",M5894=""),"In Progress",IF(M5894&lt;=J5894,"Met","Breached"))</f>
        <v>Met</v>
      </c>
    </row>
    <row r="5895" ht="19" customHeight="1" spans="1:14" x14ac:dyDescent="0.25">
      <c r="A5895" s="22" t="s">
        <v>6009</v>
      </c>
      <c r="B5895" s="36">
        <v>45693.72430555556</v>
      </c>
      <c r="C5895" s="36">
        <v>45696.94930555555</v>
      </c>
      <c r="D5895" s="22" t="s">
        <v>36</v>
      </c>
      <c r="E5895" s="22" t="s">
        <v>69</v>
      </c>
      <c r="F5895" s="22" t="s">
        <v>43</v>
      </c>
      <c r="G5895" s="22" t="s">
        <v>126</v>
      </c>
      <c r="H5895" s="22" t="s">
        <v>63</v>
      </c>
      <c r="I5895" s="22" t="s">
        <v>147</v>
      </c>
      <c r="J5895" s="23">
        <v>120</v>
      </c>
      <c r="K5895" s="37">
        <v>0</v>
      </c>
      <c r="L5895" s="37">
        <v>1</v>
      </c>
      <c r="M5895" s="22">
        <f>IF(OR(ISBLANK(C5895),C5895=""),"",ROUND((C5895-B5895)*24,2))</f>
        <v>77.4</v>
      </c>
      <c r="N5895" s="40" t="str">
        <f>IF(OR(ISBLANK(C5895),C5895="",M5895=""),"In Progress",IF(M5895&lt;=J5895,"Met","Breached"))</f>
        <v>Met</v>
      </c>
    </row>
    <row r="5896" ht="19" customHeight="1" spans="1:14" x14ac:dyDescent="0.25">
      <c r="A5896" s="19" t="s">
        <v>6010</v>
      </c>
      <c r="B5896" s="33">
        <v>45750.48611111111</v>
      </c>
      <c r="D5896" s="19" t="s">
        <v>39</v>
      </c>
      <c r="E5896" s="19" t="s">
        <v>69</v>
      </c>
      <c r="F5896" s="19" t="s">
        <v>34</v>
      </c>
      <c r="G5896" s="19" t="s">
        <v>126</v>
      </c>
      <c r="H5896" s="19" t="s">
        <v>67</v>
      </c>
      <c r="I5896" s="19" t="s">
        <v>117</v>
      </c>
      <c r="J5896" s="20">
        <v>120</v>
      </c>
      <c r="K5896" s="34">
        <v>0</v>
      </c>
      <c r="M5896" s="19" t="str">
        <f>IF(OR(ISBLANK(C5896),C5896=""),"",ROUND((C5896-B5896)*24,2))</f>
        <v/>
      </c>
      <c r="N5896" s="19" t="str">
        <f>IF(OR(ISBLANK(C5896),C5896="",M5896=""),"In Progress",IF(M5896&lt;=J5896,"Met","Breached"))</f>
        <v>In Progress</v>
      </c>
    </row>
    <row r="5897" ht="19" customHeight="1" spans="1:14" x14ac:dyDescent="0.25">
      <c r="A5897" s="22" t="s">
        <v>6011</v>
      </c>
      <c r="B5897" s="36">
        <v>46214.15902777778</v>
      </c>
      <c r="D5897" s="22" t="s">
        <v>42</v>
      </c>
      <c r="E5897" s="22" t="s">
        <v>65</v>
      </c>
      <c r="F5897" s="22" t="s">
        <v>43</v>
      </c>
      <c r="G5897" s="22" t="s">
        <v>126</v>
      </c>
      <c r="H5897" s="22" t="s">
        <v>67</v>
      </c>
      <c r="I5897" s="22" t="s">
        <v>108</v>
      </c>
      <c r="J5897" s="23">
        <v>48</v>
      </c>
      <c r="K5897" s="37">
        <v>0</v>
      </c>
      <c r="M5897" s="22" t="str">
        <f>IF(OR(ISBLANK(C5897),C5897=""),"",ROUND((C5897-B5897)*24,2))</f>
        <v/>
      </c>
      <c r="N5897" s="22" t="str">
        <f>IF(OR(ISBLANK(C5897),C5897="",M5897=""),"In Progress",IF(M5897&lt;=J5897,"Met","Breached"))</f>
        <v>In Progress</v>
      </c>
    </row>
    <row r="5898" ht="19" customHeight="1" spans="1:14" x14ac:dyDescent="0.25">
      <c r="A5898" s="19" t="s">
        <v>6012</v>
      </c>
      <c r="B5898" s="33">
        <v>45761.56388888889</v>
      </c>
      <c r="C5898" s="33">
        <v>45768.62013888889</v>
      </c>
      <c r="D5898" s="19" t="s">
        <v>33</v>
      </c>
      <c r="E5898" s="19" t="s">
        <v>69</v>
      </c>
      <c r="F5898" s="19" t="s">
        <v>40</v>
      </c>
      <c r="G5898" s="19" t="s">
        <v>121</v>
      </c>
      <c r="H5898" s="19" t="s">
        <v>63</v>
      </c>
      <c r="I5898" s="19" t="s">
        <v>114</v>
      </c>
      <c r="J5898" s="20">
        <v>120</v>
      </c>
      <c r="K5898" s="34">
        <v>0</v>
      </c>
      <c r="L5898" s="34">
        <v>2</v>
      </c>
      <c r="M5898" s="19">
        <f>IF(OR(ISBLANK(C5898),C5898=""),"",ROUND((C5898-B5898)*24,2))</f>
        <v>169.35</v>
      </c>
      <c r="N5898" s="39" t="str">
        <f>IF(OR(ISBLANK(C5898),C5898="",M5898=""),"In Progress",IF(M5898&lt;=J5898,"Met","Breached"))</f>
        <v>Breached</v>
      </c>
    </row>
    <row r="5899" ht="19" customHeight="1" spans="1:14" x14ac:dyDescent="0.25">
      <c r="A5899" s="22" t="s">
        <v>6013</v>
      </c>
      <c r="B5899" s="36">
        <v>45875.93888888889</v>
      </c>
      <c r="C5899" s="36">
        <v>45879.42847222222</v>
      </c>
      <c r="D5899" s="22" t="s">
        <v>33</v>
      </c>
      <c r="E5899" s="22" t="s">
        <v>65</v>
      </c>
      <c r="F5899" s="22" t="s">
        <v>34</v>
      </c>
      <c r="G5899" s="22" t="s">
        <v>126</v>
      </c>
      <c r="H5899" s="22" t="s">
        <v>59</v>
      </c>
      <c r="I5899" s="22" t="s">
        <v>123</v>
      </c>
      <c r="J5899" s="23">
        <v>48</v>
      </c>
      <c r="K5899" s="37">
        <v>0</v>
      </c>
      <c r="L5899" s="37">
        <v>2</v>
      </c>
      <c r="M5899" s="22">
        <f>IF(OR(ISBLANK(C5899),C5899=""),"",ROUND((C5899-B5899)*24,2))</f>
        <v>83.75</v>
      </c>
      <c r="N5899" s="38" t="str">
        <f>IF(OR(ISBLANK(C5899),C5899="",M5899=""),"In Progress",IF(M5899&lt;=J5899,"Met","Breached"))</f>
        <v>Breached</v>
      </c>
    </row>
    <row r="5900" ht="19" customHeight="1" spans="1:14" x14ac:dyDescent="0.25">
      <c r="A5900" s="19" t="s">
        <v>6014</v>
      </c>
      <c r="B5900" s="33">
        <v>46137.29722222222</v>
      </c>
      <c r="C5900" s="33">
        <v>46139.725</v>
      </c>
      <c r="D5900" s="19" t="s">
        <v>33</v>
      </c>
      <c r="E5900" s="19" t="s">
        <v>65</v>
      </c>
      <c r="F5900" s="19" t="s">
        <v>34</v>
      </c>
      <c r="G5900" s="19" t="s">
        <v>113</v>
      </c>
      <c r="H5900" s="19" t="s">
        <v>71</v>
      </c>
      <c r="I5900" s="19" t="s">
        <v>123</v>
      </c>
      <c r="J5900" s="20">
        <v>48</v>
      </c>
      <c r="K5900" s="34">
        <v>0</v>
      </c>
      <c r="L5900" s="34">
        <v>5</v>
      </c>
      <c r="M5900" s="19">
        <f>IF(OR(ISBLANK(C5900),C5900=""),"",ROUND((C5900-B5900)*24,2))</f>
        <v>58.27</v>
      </c>
      <c r="N5900" s="39" t="str">
        <f>IF(OR(ISBLANK(C5900),C5900="",M5900=""),"In Progress",IF(M5900&lt;=J5900,"Met","Breached"))</f>
        <v>Breached</v>
      </c>
    </row>
    <row r="5901" ht="19" customHeight="1" spans="1:14" x14ac:dyDescent="0.25">
      <c r="A5901" s="22" t="s">
        <v>6015</v>
      </c>
      <c r="B5901" s="36">
        <v>45796.95625</v>
      </c>
      <c r="C5901" s="36">
        <v>45805.6625</v>
      </c>
      <c r="D5901" s="22" t="s">
        <v>36</v>
      </c>
      <c r="E5901" s="22" t="s">
        <v>69</v>
      </c>
      <c r="F5901" s="22" t="s">
        <v>37</v>
      </c>
      <c r="G5901" s="22" t="s">
        <v>116</v>
      </c>
      <c r="H5901" s="22" t="s">
        <v>67</v>
      </c>
      <c r="I5901" s="22" t="s">
        <v>111</v>
      </c>
      <c r="J5901" s="23">
        <v>120</v>
      </c>
      <c r="K5901" s="37">
        <v>0</v>
      </c>
      <c r="L5901" s="37">
        <v>2</v>
      </c>
      <c r="M5901" s="22">
        <f>IF(OR(ISBLANK(C5901),C5901=""),"",ROUND((C5901-B5901)*24,2))</f>
        <v>208.95</v>
      </c>
      <c r="N5901" s="38" t="str">
        <f>IF(OR(ISBLANK(C5901),C5901="",M5901=""),"In Progress",IF(M5901&lt;=J5901,"Met","Breached"))</f>
        <v>Breached</v>
      </c>
    </row>
    <row r="5902" ht="19" customHeight="1" spans="1:14" x14ac:dyDescent="0.25">
      <c r="A5902" s="19" t="s">
        <v>6016</v>
      </c>
      <c r="B5902" s="33">
        <v>46169.925</v>
      </c>
      <c r="C5902" s="33">
        <v>46172.63055555556</v>
      </c>
      <c r="D5902" s="19" t="s">
        <v>33</v>
      </c>
      <c r="E5902" s="19" t="s">
        <v>65</v>
      </c>
      <c r="F5902" s="19" t="s">
        <v>45</v>
      </c>
      <c r="G5902" s="19" t="s">
        <v>121</v>
      </c>
      <c r="H5902" s="19" t="s">
        <v>63</v>
      </c>
      <c r="I5902" s="19" t="s">
        <v>117</v>
      </c>
      <c r="J5902" s="20">
        <v>48</v>
      </c>
      <c r="K5902" s="34">
        <v>0</v>
      </c>
      <c r="L5902" s="34">
        <v>2</v>
      </c>
      <c r="M5902" s="19">
        <f>IF(OR(ISBLANK(C5902),C5902=""),"",ROUND((C5902-B5902)*24,2))</f>
        <v>64.93</v>
      </c>
      <c r="N5902" s="39" t="str">
        <f>IF(OR(ISBLANK(C5902),C5902="",M5902=""),"In Progress",IF(M5902&lt;=J5902,"Met","Breached"))</f>
        <v>Breached</v>
      </c>
    </row>
    <row r="5903" ht="19" customHeight="1" spans="1:14" x14ac:dyDescent="0.25">
      <c r="A5903" s="22" t="s">
        <v>6017</v>
      </c>
      <c r="B5903" s="36">
        <v>45951.19861111111</v>
      </c>
      <c r="D5903" s="22" t="s">
        <v>42</v>
      </c>
      <c r="E5903" s="22" t="s">
        <v>65</v>
      </c>
      <c r="F5903" s="22" t="s">
        <v>37</v>
      </c>
      <c r="G5903" s="22" t="s">
        <v>121</v>
      </c>
      <c r="H5903" s="22" t="s">
        <v>63</v>
      </c>
      <c r="I5903" s="22" t="s">
        <v>114</v>
      </c>
      <c r="J5903" s="23">
        <v>48</v>
      </c>
      <c r="K5903" s="37">
        <v>0</v>
      </c>
      <c r="M5903" s="22" t="str">
        <f>IF(OR(ISBLANK(C5903),C5903=""),"",ROUND((C5903-B5903)*24,2))</f>
        <v/>
      </c>
      <c r="N5903" s="22" t="str">
        <f>IF(OR(ISBLANK(C5903),C5903="",M5903=""),"In Progress",IF(M5903&lt;=J5903,"Met","Breached"))</f>
        <v>In Progress</v>
      </c>
    </row>
    <row r="5904" ht="19" customHeight="1" spans="1:14" x14ac:dyDescent="0.25">
      <c r="A5904" s="19" t="s">
        <v>6018</v>
      </c>
      <c r="B5904" s="33">
        <v>46066.929861111115</v>
      </c>
      <c r="C5904" s="33">
        <v>46072.177777777775</v>
      </c>
      <c r="D5904" s="19" t="s">
        <v>33</v>
      </c>
      <c r="E5904" s="19" t="s">
        <v>69</v>
      </c>
      <c r="F5904" s="19" t="s">
        <v>40</v>
      </c>
      <c r="G5904" s="19" t="s">
        <v>110</v>
      </c>
      <c r="H5904" s="19" t="s">
        <v>67</v>
      </c>
      <c r="I5904" s="19" t="s">
        <v>147</v>
      </c>
      <c r="J5904" s="20">
        <v>120</v>
      </c>
      <c r="K5904" s="34">
        <v>0</v>
      </c>
      <c r="M5904" s="19">
        <f>IF(OR(ISBLANK(C5904),C5904=""),"",ROUND((C5904-B5904)*24,2))</f>
        <v>125.95</v>
      </c>
      <c r="N5904" s="39" t="str">
        <f>IF(OR(ISBLANK(C5904),C5904="",M5904=""),"In Progress",IF(M5904&lt;=J5904,"Met","Breached"))</f>
        <v>Breached</v>
      </c>
    </row>
    <row r="5905" ht="19" customHeight="1" spans="1:14" x14ac:dyDescent="0.25">
      <c r="A5905" s="22" t="s">
        <v>6019</v>
      </c>
      <c r="B5905" s="36">
        <v>45957.018055555556</v>
      </c>
      <c r="C5905" s="36">
        <v>45960.82847222222</v>
      </c>
      <c r="D5905" s="22" t="s">
        <v>33</v>
      </c>
      <c r="E5905" s="22" t="s">
        <v>69</v>
      </c>
      <c r="F5905" s="22" t="s">
        <v>34</v>
      </c>
      <c r="G5905" s="22" t="s">
        <v>110</v>
      </c>
      <c r="H5905" s="22" t="s">
        <v>67</v>
      </c>
      <c r="I5905" s="22" t="s">
        <v>117</v>
      </c>
      <c r="J5905" s="23">
        <v>120</v>
      </c>
      <c r="K5905" s="37">
        <v>1</v>
      </c>
      <c r="L5905" s="37">
        <v>4</v>
      </c>
      <c r="M5905" s="22">
        <f>IF(OR(ISBLANK(C5905),C5905=""),"",ROUND((C5905-B5905)*24,2))</f>
        <v>91.45</v>
      </c>
      <c r="N5905" s="40" t="str">
        <f>IF(OR(ISBLANK(C5905),C5905="",M5905=""),"In Progress",IF(M5905&lt;=J5905,"Met","Breached"))</f>
        <v>Met</v>
      </c>
    </row>
    <row r="5906" ht="19" customHeight="1" spans="1:14" x14ac:dyDescent="0.25">
      <c r="A5906" s="19" t="s">
        <v>6020</v>
      </c>
      <c r="B5906" s="33">
        <v>45759.28125</v>
      </c>
      <c r="C5906" s="33">
        <v>45763.07361111111</v>
      </c>
      <c r="D5906" s="19" t="s">
        <v>33</v>
      </c>
      <c r="E5906" s="19" t="s">
        <v>69</v>
      </c>
      <c r="F5906" s="19" t="s">
        <v>45</v>
      </c>
      <c r="G5906" s="19" t="s">
        <v>63</v>
      </c>
      <c r="H5906" s="19" t="s">
        <v>67</v>
      </c>
      <c r="I5906" s="19" t="s">
        <v>111</v>
      </c>
      <c r="J5906" s="20">
        <v>120</v>
      </c>
      <c r="K5906" s="34">
        <v>0</v>
      </c>
      <c r="M5906" s="19">
        <f>IF(OR(ISBLANK(C5906),C5906=""),"",ROUND((C5906-B5906)*24,2))</f>
        <v>91.02</v>
      </c>
      <c r="N5906" s="35" t="str">
        <f>IF(OR(ISBLANK(C5906),C5906="",M5906=""),"In Progress",IF(M5906&lt;=J5906,"Met","Breached"))</f>
        <v>Met</v>
      </c>
    </row>
    <row r="5907" ht="19" customHeight="1" spans="1:14" x14ac:dyDescent="0.25">
      <c r="A5907" s="22" t="s">
        <v>6021</v>
      </c>
      <c r="B5907" s="36">
        <v>46254.35902777778</v>
      </c>
      <c r="C5907" s="36">
        <v>46255.768055555556</v>
      </c>
      <c r="D5907" s="22" t="s">
        <v>33</v>
      </c>
      <c r="E5907" s="22" t="s">
        <v>65</v>
      </c>
      <c r="F5907" s="22" t="s">
        <v>45</v>
      </c>
      <c r="G5907" s="22" t="s">
        <v>63</v>
      </c>
      <c r="H5907" s="22" t="s">
        <v>59</v>
      </c>
      <c r="I5907" s="22" t="s">
        <v>117</v>
      </c>
      <c r="J5907" s="23">
        <v>48</v>
      </c>
      <c r="K5907" s="37">
        <v>1</v>
      </c>
      <c r="L5907" s="37">
        <v>2</v>
      </c>
      <c r="M5907" s="22">
        <f>IF(OR(ISBLANK(C5907),C5907=""),"",ROUND((C5907-B5907)*24,2))</f>
        <v>33.82</v>
      </c>
      <c r="N5907" s="40" t="str">
        <f>IF(OR(ISBLANK(C5907),C5907="",M5907=""),"In Progress",IF(M5907&lt;=J5907,"Met","Breached"))</f>
        <v>Met</v>
      </c>
    </row>
    <row r="5908" ht="19" customHeight="1" spans="1:14" x14ac:dyDescent="0.25">
      <c r="A5908" s="19" t="s">
        <v>6022</v>
      </c>
      <c r="B5908" s="33">
        <v>45838.26180555555</v>
      </c>
      <c r="C5908" s="33">
        <v>45839.16111111111</v>
      </c>
      <c r="D5908" s="19" t="s">
        <v>33</v>
      </c>
      <c r="E5908" s="19" t="s">
        <v>61</v>
      </c>
      <c r="F5908" s="19" t="s">
        <v>40</v>
      </c>
      <c r="G5908" s="19" t="s">
        <v>110</v>
      </c>
      <c r="H5908" s="19" t="s">
        <v>59</v>
      </c>
      <c r="I5908" s="19" t="s">
        <v>114</v>
      </c>
      <c r="J5908" s="20">
        <v>12</v>
      </c>
      <c r="K5908" s="34">
        <v>0</v>
      </c>
      <c r="L5908" s="34">
        <v>5</v>
      </c>
      <c r="M5908" s="19">
        <f>IF(OR(ISBLANK(C5908),C5908=""),"",ROUND((C5908-B5908)*24,2))</f>
        <v>21.58</v>
      </c>
      <c r="N5908" s="39" t="str">
        <f>IF(OR(ISBLANK(C5908),C5908="",M5908=""),"In Progress",IF(M5908&lt;=J5908,"Met","Breached"))</f>
        <v>Breached</v>
      </c>
    </row>
    <row r="5909" ht="19" customHeight="1" spans="1:14" x14ac:dyDescent="0.25">
      <c r="A5909" s="22" t="s">
        <v>6023</v>
      </c>
      <c r="B5909" s="36">
        <v>46164.34861111111</v>
      </c>
      <c r="C5909" s="36">
        <v>46165.93472222222</v>
      </c>
      <c r="D5909" s="22" t="s">
        <v>33</v>
      </c>
      <c r="E5909" s="22" t="s">
        <v>65</v>
      </c>
      <c r="F5909" s="22" t="s">
        <v>34</v>
      </c>
      <c r="G5909" s="22" t="s">
        <v>126</v>
      </c>
      <c r="H5909" s="22" t="s">
        <v>59</v>
      </c>
      <c r="I5909" s="22" t="s">
        <v>147</v>
      </c>
      <c r="J5909" s="23">
        <v>48</v>
      </c>
      <c r="K5909" s="37">
        <v>0</v>
      </c>
      <c r="M5909" s="22">
        <f>IF(OR(ISBLANK(C5909),C5909=""),"",ROUND((C5909-B5909)*24,2))</f>
        <v>38.07</v>
      </c>
      <c r="N5909" s="40" t="str">
        <f>IF(OR(ISBLANK(C5909),C5909="",M5909=""),"In Progress",IF(M5909&lt;=J5909,"Met","Breached"))</f>
        <v>Met</v>
      </c>
    </row>
    <row r="5910" ht="19" customHeight="1" spans="1:14" x14ac:dyDescent="0.25">
      <c r="A5910" s="19" t="s">
        <v>6024</v>
      </c>
      <c r="B5910" s="33">
        <v>45871.03958333333</v>
      </c>
      <c r="D5910" s="19" t="s">
        <v>39</v>
      </c>
      <c r="E5910" s="19" t="s">
        <v>65</v>
      </c>
      <c r="F5910" s="19" t="s">
        <v>43</v>
      </c>
      <c r="G5910" s="19" t="s">
        <v>126</v>
      </c>
      <c r="H5910" s="19" t="s">
        <v>59</v>
      </c>
      <c r="I5910" s="19" t="s">
        <v>111</v>
      </c>
      <c r="J5910" s="20">
        <v>48</v>
      </c>
      <c r="K5910" s="34">
        <v>0</v>
      </c>
      <c r="M5910" s="19" t="str">
        <f>IF(OR(ISBLANK(C5910),C5910=""),"",ROUND((C5910-B5910)*24,2))</f>
        <v/>
      </c>
      <c r="N5910" s="19" t="str">
        <f>IF(OR(ISBLANK(C5910),C5910="",M5910=""),"In Progress",IF(M5910&lt;=J5910,"Met","Breached"))</f>
        <v>In Progress</v>
      </c>
    </row>
    <row r="5911" ht="19" customHeight="1" spans="1:14" x14ac:dyDescent="0.25">
      <c r="A5911" s="22" t="s">
        <v>6025</v>
      </c>
      <c r="B5911" s="36">
        <v>45771.697222222225</v>
      </c>
      <c r="C5911" s="36">
        <v>45775.26597222222</v>
      </c>
      <c r="D5911" s="22" t="s">
        <v>36</v>
      </c>
      <c r="E5911" s="22" t="s">
        <v>65</v>
      </c>
      <c r="F5911" s="22" t="s">
        <v>40</v>
      </c>
      <c r="G5911" s="22" t="s">
        <v>110</v>
      </c>
      <c r="H5911" s="22" t="s">
        <v>71</v>
      </c>
      <c r="I5911" s="22" t="s">
        <v>123</v>
      </c>
      <c r="J5911" s="23">
        <v>48</v>
      </c>
      <c r="K5911" s="37">
        <v>0</v>
      </c>
      <c r="L5911" s="37">
        <v>5</v>
      </c>
      <c r="M5911" s="22">
        <f>IF(OR(ISBLANK(C5911),C5911=""),"",ROUND((C5911-B5911)*24,2))</f>
        <v>85.65</v>
      </c>
      <c r="N5911" s="38" t="str">
        <f>IF(OR(ISBLANK(C5911),C5911="",M5911=""),"In Progress",IF(M5911&lt;=J5911,"Met","Breached"))</f>
        <v>Breached</v>
      </c>
    </row>
    <row r="5912" ht="19" customHeight="1" spans="1:14" x14ac:dyDescent="0.25">
      <c r="A5912" s="19" t="s">
        <v>6026</v>
      </c>
      <c r="B5912" s="33">
        <v>45727.143055555556</v>
      </c>
      <c r="C5912" s="33">
        <v>45727.425</v>
      </c>
      <c r="D5912" s="19" t="s">
        <v>33</v>
      </c>
      <c r="E5912" s="19" t="s">
        <v>57</v>
      </c>
      <c r="F5912" s="19" t="s">
        <v>40</v>
      </c>
      <c r="G5912" s="19" t="s">
        <v>113</v>
      </c>
      <c r="H5912" s="19" t="s">
        <v>71</v>
      </c>
      <c r="I5912" s="19" t="s">
        <v>123</v>
      </c>
      <c r="J5912" s="20">
        <v>4</v>
      </c>
      <c r="K5912" s="34">
        <v>0</v>
      </c>
      <c r="L5912" s="34">
        <v>5</v>
      </c>
      <c r="M5912" s="19">
        <f>IF(OR(ISBLANK(C5912),C5912=""),"",ROUND((C5912-B5912)*24,2))</f>
        <v>6.77</v>
      </c>
      <c r="N5912" s="39" t="str">
        <f>IF(OR(ISBLANK(C5912),C5912="",M5912=""),"In Progress",IF(M5912&lt;=J5912,"Met","Breached"))</f>
        <v>Breached</v>
      </c>
    </row>
    <row r="5913" ht="19" customHeight="1" spans="1:14" x14ac:dyDescent="0.25">
      <c r="A5913" s="22" t="s">
        <v>6027</v>
      </c>
      <c r="B5913" s="36">
        <v>46247.944444444445</v>
      </c>
      <c r="C5913" s="36">
        <v>46249.65902777778</v>
      </c>
      <c r="D5913" s="22" t="s">
        <v>36</v>
      </c>
      <c r="E5913" s="22" t="s">
        <v>65</v>
      </c>
      <c r="F5913" s="22" t="s">
        <v>45</v>
      </c>
      <c r="G5913" s="22" t="s">
        <v>126</v>
      </c>
      <c r="H5913" s="22" t="s">
        <v>63</v>
      </c>
      <c r="I5913" s="22" t="s">
        <v>147</v>
      </c>
      <c r="J5913" s="23">
        <v>48</v>
      </c>
      <c r="K5913" s="37">
        <v>1</v>
      </c>
      <c r="L5913" s="37">
        <v>5</v>
      </c>
      <c r="M5913" s="22">
        <f>IF(OR(ISBLANK(C5913),C5913=""),"",ROUND((C5913-B5913)*24,2))</f>
        <v>41.15</v>
      </c>
      <c r="N5913" s="40" t="str">
        <f>IF(OR(ISBLANK(C5913),C5913="",M5913=""),"In Progress",IF(M5913&lt;=J5913,"Met","Breached"))</f>
        <v>Met</v>
      </c>
    </row>
    <row r="5914" ht="19" customHeight="1" spans="1:14" x14ac:dyDescent="0.25">
      <c r="A5914" s="19" t="s">
        <v>6028</v>
      </c>
      <c r="B5914" s="33">
        <v>45811.54236111111</v>
      </c>
      <c r="C5914" s="33">
        <v>45812.88541666667</v>
      </c>
      <c r="D5914" s="19" t="s">
        <v>36</v>
      </c>
      <c r="E5914" s="19" t="s">
        <v>65</v>
      </c>
      <c r="F5914" s="19" t="s">
        <v>37</v>
      </c>
      <c r="G5914" s="19" t="s">
        <v>121</v>
      </c>
      <c r="H5914" s="19" t="s">
        <v>59</v>
      </c>
      <c r="I5914" s="19" t="s">
        <v>117</v>
      </c>
      <c r="J5914" s="20">
        <v>48</v>
      </c>
      <c r="K5914" s="34">
        <v>0</v>
      </c>
      <c r="L5914" s="34">
        <v>3</v>
      </c>
      <c r="M5914" s="19">
        <f>IF(OR(ISBLANK(C5914),C5914=""),"",ROUND((C5914-B5914)*24,2))</f>
        <v>32.23</v>
      </c>
      <c r="N5914" s="35" t="str">
        <f>IF(OR(ISBLANK(C5914),C5914="",M5914=""),"In Progress",IF(M5914&lt;=J5914,"Met","Breached"))</f>
        <v>Met</v>
      </c>
    </row>
    <row r="5915" ht="19" customHeight="1" spans="1:14" x14ac:dyDescent="0.25">
      <c r="A5915" s="22" t="s">
        <v>6029</v>
      </c>
      <c r="B5915" s="36">
        <v>46020.70833333333</v>
      </c>
      <c r="C5915" s="36">
        <v>46020.82986111111</v>
      </c>
      <c r="D5915" s="22" t="s">
        <v>33</v>
      </c>
      <c r="E5915" s="22" t="s">
        <v>57</v>
      </c>
      <c r="F5915" s="22" t="s">
        <v>37</v>
      </c>
      <c r="G5915" s="22" t="s">
        <v>113</v>
      </c>
      <c r="H5915" s="22" t="s">
        <v>59</v>
      </c>
      <c r="I5915" s="22" t="s">
        <v>123</v>
      </c>
      <c r="J5915" s="23">
        <v>4</v>
      </c>
      <c r="K5915" s="37">
        <v>0</v>
      </c>
      <c r="L5915" s="37">
        <v>1</v>
      </c>
      <c r="M5915" s="22">
        <f>IF(OR(ISBLANK(C5915),C5915=""),"",ROUND((C5915-B5915)*24,2))</f>
        <v>2.92</v>
      </c>
      <c r="N5915" s="40" t="str">
        <f>IF(OR(ISBLANK(C5915),C5915="",M5915=""),"In Progress",IF(M5915&lt;=J5915,"Met","Breached"))</f>
        <v>Met</v>
      </c>
    </row>
    <row r="5916" ht="19" customHeight="1" spans="1:14" x14ac:dyDescent="0.25">
      <c r="A5916" s="19" t="s">
        <v>6030</v>
      </c>
      <c r="B5916" s="33">
        <v>45876.25555555556</v>
      </c>
      <c r="C5916" s="33">
        <v>45877.41666666667</v>
      </c>
      <c r="D5916" s="19" t="s">
        <v>33</v>
      </c>
      <c r="E5916" s="19" t="s">
        <v>65</v>
      </c>
      <c r="F5916" s="19" t="s">
        <v>45</v>
      </c>
      <c r="G5916" s="19" t="s">
        <v>121</v>
      </c>
      <c r="H5916" s="19" t="s">
        <v>63</v>
      </c>
      <c r="I5916" s="19" t="s">
        <v>147</v>
      </c>
      <c r="J5916" s="20">
        <v>48</v>
      </c>
      <c r="K5916" s="34">
        <v>0</v>
      </c>
      <c r="L5916" s="34">
        <v>4</v>
      </c>
      <c r="M5916" s="19">
        <f>IF(OR(ISBLANK(C5916),C5916=""),"",ROUND((C5916-B5916)*24,2))</f>
        <v>27.87</v>
      </c>
      <c r="N5916" s="35" t="str">
        <f>IF(OR(ISBLANK(C5916),C5916="",M5916=""),"In Progress",IF(M5916&lt;=J5916,"Met","Breached"))</f>
        <v>Met</v>
      </c>
    </row>
    <row r="5917" ht="19" customHeight="1" spans="1:14" x14ac:dyDescent="0.25">
      <c r="A5917" s="22" t="s">
        <v>6031</v>
      </c>
      <c r="B5917" s="36">
        <v>45809.96527777778</v>
      </c>
      <c r="C5917" s="36">
        <v>45812.24791666667</v>
      </c>
      <c r="D5917" s="22" t="s">
        <v>33</v>
      </c>
      <c r="E5917" s="22" t="s">
        <v>69</v>
      </c>
      <c r="F5917" s="22" t="s">
        <v>40</v>
      </c>
      <c r="G5917" s="22" t="s">
        <v>63</v>
      </c>
      <c r="H5917" s="22" t="s">
        <v>59</v>
      </c>
      <c r="I5917" s="22" t="s">
        <v>117</v>
      </c>
      <c r="J5917" s="23">
        <v>120</v>
      </c>
      <c r="K5917" s="37">
        <v>1</v>
      </c>
      <c r="L5917" s="37">
        <v>3</v>
      </c>
      <c r="M5917" s="22">
        <f>IF(OR(ISBLANK(C5917),C5917=""),"",ROUND((C5917-B5917)*24,2))</f>
        <v>54.78</v>
      </c>
      <c r="N5917" s="40" t="str">
        <f>IF(OR(ISBLANK(C5917),C5917="",M5917=""),"In Progress",IF(M5917&lt;=J5917,"Met","Breached"))</f>
        <v>Met</v>
      </c>
    </row>
    <row r="5918" ht="19" customHeight="1" spans="1:14" x14ac:dyDescent="0.25">
      <c r="A5918" s="19" t="s">
        <v>6032</v>
      </c>
      <c r="B5918" s="33">
        <v>45854.18680555555</v>
      </c>
      <c r="D5918" s="19" t="s">
        <v>39</v>
      </c>
      <c r="E5918" s="19" t="s">
        <v>65</v>
      </c>
      <c r="F5918" s="19" t="s">
        <v>34</v>
      </c>
      <c r="G5918" s="19" t="s">
        <v>63</v>
      </c>
      <c r="H5918" s="19" t="s">
        <v>67</v>
      </c>
      <c r="I5918" s="19" t="s">
        <v>117</v>
      </c>
      <c r="J5918" s="20">
        <v>48</v>
      </c>
      <c r="K5918" s="34">
        <v>0</v>
      </c>
      <c r="M5918" s="19" t="str">
        <f>IF(OR(ISBLANK(C5918),C5918=""),"",ROUND((C5918-B5918)*24,2))</f>
        <v/>
      </c>
      <c r="N5918" s="19" t="str">
        <f>IF(OR(ISBLANK(C5918),C5918="",M5918=""),"In Progress",IF(M5918&lt;=J5918,"Met","Breached"))</f>
        <v>In Progress</v>
      </c>
    </row>
    <row r="5919" ht="19" customHeight="1" spans="1:14" x14ac:dyDescent="0.25">
      <c r="A5919" s="22" t="s">
        <v>6033</v>
      </c>
      <c r="B5919" s="36">
        <v>46073.72777777778</v>
      </c>
      <c r="C5919" s="36">
        <v>46074.17638888889</v>
      </c>
      <c r="D5919" s="22" t="s">
        <v>33</v>
      </c>
      <c r="E5919" s="22" t="s">
        <v>61</v>
      </c>
      <c r="F5919" s="22" t="s">
        <v>45</v>
      </c>
      <c r="G5919" s="22" t="s">
        <v>110</v>
      </c>
      <c r="H5919" s="22" t="s">
        <v>59</v>
      </c>
      <c r="I5919" s="22" t="s">
        <v>108</v>
      </c>
      <c r="J5919" s="23">
        <v>12</v>
      </c>
      <c r="K5919" s="37">
        <v>0</v>
      </c>
      <c r="M5919" s="22">
        <f>IF(OR(ISBLANK(C5919),C5919=""),"",ROUND((C5919-B5919)*24,2))</f>
        <v>10.77</v>
      </c>
      <c r="N5919" s="40" t="str">
        <f>IF(OR(ISBLANK(C5919),C5919="",M5919=""),"In Progress",IF(M5919&lt;=J5919,"Met","Breached"))</f>
        <v>Met</v>
      </c>
    </row>
    <row r="5920" ht="19" customHeight="1" spans="1:14" x14ac:dyDescent="0.25">
      <c r="A5920" s="19" t="s">
        <v>6034</v>
      </c>
      <c r="B5920" s="33">
        <v>46246.89444444445</v>
      </c>
      <c r="C5920" s="33">
        <v>46248.763194444444</v>
      </c>
      <c r="D5920" s="19" t="s">
        <v>36</v>
      </c>
      <c r="E5920" s="19" t="s">
        <v>69</v>
      </c>
      <c r="F5920" s="19" t="s">
        <v>34</v>
      </c>
      <c r="G5920" s="19" t="s">
        <v>63</v>
      </c>
      <c r="H5920" s="19" t="s">
        <v>59</v>
      </c>
      <c r="I5920" s="19" t="s">
        <v>108</v>
      </c>
      <c r="J5920" s="20">
        <v>120</v>
      </c>
      <c r="K5920" s="34">
        <v>0</v>
      </c>
      <c r="L5920" s="34">
        <v>2</v>
      </c>
      <c r="M5920" s="19">
        <f>IF(OR(ISBLANK(C5920),C5920=""),"",ROUND((C5920-B5920)*24,2))</f>
        <v>44.85</v>
      </c>
      <c r="N5920" s="35" t="str">
        <f>IF(OR(ISBLANK(C5920),C5920="",M5920=""),"In Progress",IF(M5920&lt;=J5920,"Met","Breached"))</f>
        <v>Met</v>
      </c>
    </row>
    <row r="5921" ht="19" customHeight="1" spans="1:14" x14ac:dyDescent="0.25">
      <c r="A5921" s="22" t="s">
        <v>6035</v>
      </c>
      <c r="B5921" s="36">
        <v>46181.7</v>
      </c>
      <c r="C5921" s="36">
        <v>46182.55138888889</v>
      </c>
      <c r="D5921" s="22" t="s">
        <v>36</v>
      </c>
      <c r="E5921" s="22" t="s">
        <v>65</v>
      </c>
      <c r="F5921" s="22" t="s">
        <v>34</v>
      </c>
      <c r="G5921" s="22" t="s">
        <v>113</v>
      </c>
      <c r="H5921" s="22" t="s">
        <v>59</v>
      </c>
      <c r="I5921" s="22" t="s">
        <v>114</v>
      </c>
      <c r="J5921" s="23">
        <v>48</v>
      </c>
      <c r="K5921" s="37">
        <v>0</v>
      </c>
      <c r="L5921" s="37">
        <v>4</v>
      </c>
      <c r="M5921" s="22">
        <f>IF(OR(ISBLANK(C5921),C5921=""),"",ROUND((C5921-B5921)*24,2))</f>
        <v>20.43</v>
      </c>
      <c r="N5921" s="40" t="str">
        <f>IF(OR(ISBLANK(C5921),C5921="",M5921=""),"In Progress",IF(M5921&lt;=J5921,"Met","Breached"))</f>
        <v>Met</v>
      </c>
    </row>
    <row r="5922" ht="19" customHeight="1" spans="1:14" x14ac:dyDescent="0.25">
      <c r="A5922" s="19" t="s">
        <v>6036</v>
      </c>
      <c r="B5922" s="33">
        <v>46145.53333333333</v>
      </c>
      <c r="C5922" s="33">
        <v>46145.67569444445</v>
      </c>
      <c r="D5922" s="19" t="s">
        <v>33</v>
      </c>
      <c r="E5922" s="19" t="s">
        <v>57</v>
      </c>
      <c r="F5922" s="19" t="s">
        <v>43</v>
      </c>
      <c r="G5922" s="19" t="s">
        <v>121</v>
      </c>
      <c r="H5922" s="19" t="s">
        <v>63</v>
      </c>
      <c r="I5922" s="19" t="s">
        <v>114</v>
      </c>
      <c r="J5922" s="20">
        <v>4</v>
      </c>
      <c r="K5922" s="34">
        <v>0</v>
      </c>
      <c r="L5922" s="34">
        <v>5</v>
      </c>
      <c r="M5922" s="19">
        <f>IF(OR(ISBLANK(C5922),C5922=""),"",ROUND((C5922-B5922)*24,2))</f>
        <v>3.42</v>
      </c>
      <c r="N5922" s="35" t="str">
        <f>IF(OR(ISBLANK(C5922),C5922="",M5922=""),"In Progress",IF(M5922&lt;=J5922,"Met","Breached"))</f>
        <v>Met</v>
      </c>
    </row>
    <row r="5923" ht="19" customHeight="1" spans="1:14" x14ac:dyDescent="0.25">
      <c r="A5923" s="22" t="s">
        <v>6037</v>
      </c>
      <c r="B5923" s="36">
        <v>45659.09861111111</v>
      </c>
      <c r="C5923" s="36">
        <v>45667.236805555556</v>
      </c>
      <c r="D5923" s="22" t="s">
        <v>33</v>
      </c>
      <c r="E5923" s="22" t="s">
        <v>69</v>
      </c>
      <c r="F5923" s="22" t="s">
        <v>34</v>
      </c>
      <c r="G5923" s="22" t="s">
        <v>113</v>
      </c>
      <c r="H5923" s="22" t="s">
        <v>63</v>
      </c>
      <c r="I5923" s="22" t="s">
        <v>123</v>
      </c>
      <c r="J5923" s="23">
        <v>120</v>
      </c>
      <c r="K5923" s="37">
        <v>0</v>
      </c>
      <c r="L5923" s="37">
        <v>5</v>
      </c>
      <c r="M5923" s="22">
        <f>IF(OR(ISBLANK(C5923),C5923=""),"",ROUND((C5923-B5923)*24,2))</f>
        <v>195.32</v>
      </c>
      <c r="N5923" s="38" t="str">
        <f>IF(OR(ISBLANK(C5923),C5923="",M5923=""),"In Progress",IF(M5923&lt;=J5923,"Met","Breached"))</f>
        <v>Breached</v>
      </c>
    </row>
    <row r="5924" ht="19" customHeight="1" spans="1:14" x14ac:dyDescent="0.25">
      <c r="A5924" s="19" t="s">
        <v>6038</v>
      </c>
      <c r="B5924" s="33">
        <v>45934.525</v>
      </c>
      <c r="D5924" s="19" t="s">
        <v>39</v>
      </c>
      <c r="E5924" s="19" t="s">
        <v>57</v>
      </c>
      <c r="F5924" s="19" t="s">
        <v>34</v>
      </c>
      <c r="G5924" s="19" t="s">
        <v>63</v>
      </c>
      <c r="H5924" s="19" t="s">
        <v>71</v>
      </c>
      <c r="I5924" s="19" t="s">
        <v>114</v>
      </c>
      <c r="J5924" s="20">
        <v>4</v>
      </c>
      <c r="K5924" s="34">
        <v>0</v>
      </c>
      <c r="M5924" s="19" t="str">
        <f>IF(OR(ISBLANK(C5924),C5924=""),"",ROUND((C5924-B5924)*24,2))</f>
        <v/>
      </c>
      <c r="N5924" s="19" t="str">
        <f>IF(OR(ISBLANK(C5924),C5924="",M5924=""),"In Progress",IF(M5924&lt;=J5924,"Met","Breached"))</f>
        <v>In Progress</v>
      </c>
    </row>
    <row r="5925" ht="19" customHeight="1" spans="1:14" x14ac:dyDescent="0.25">
      <c r="A5925" s="22" t="s">
        <v>6039</v>
      </c>
      <c r="B5925" s="36">
        <v>46186.743055555555</v>
      </c>
      <c r="C5925" s="36">
        <v>46190.7375</v>
      </c>
      <c r="D5925" s="22" t="s">
        <v>33</v>
      </c>
      <c r="E5925" s="22" t="s">
        <v>69</v>
      </c>
      <c r="F5925" s="22" t="s">
        <v>37</v>
      </c>
      <c r="G5925" s="22" t="s">
        <v>116</v>
      </c>
      <c r="H5925" s="22" t="s">
        <v>59</v>
      </c>
      <c r="I5925" s="22" t="s">
        <v>111</v>
      </c>
      <c r="J5925" s="23">
        <v>120</v>
      </c>
      <c r="K5925" s="37">
        <v>0</v>
      </c>
      <c r="L5925" s="37">
        <v>3</v>
      </c>
      <c r="M5925" s="22">
        <f>IF(OR(ISBLANK(C5925),C5925=""),"",ROUND((C5925-B5925)*24,2))</f>
        <v>95.87</v>
      </c>
      <c r="N5925" s="40" t="str">
        <f>IF(OR(ISBLANK(C5925),C5925="",M5925=""),"In Progress",IF(M5925&lt;=J5925,"Met","Breached"))</f>
        <v>Met</v>
      </c>
    </row>
    <row r="5926" ht="19" customHeight="1" spans="1:14" x14ac:dyDescent="0.25">
      <c r="A5926" s="19" t="s">
        <v>6040</v>
      </c>
      <c r="B5926" s="33">
        <v>46018.18472222222</v>
      </c>
      <c r="C5926" s="33">
        <v>46025.558333333334</v>
      </c>
      <c r="D5926" s="19" t="s">
        <v>33</v>
      </c>
      <c r="E5926" s="19" t="s">
        <v>69</v>
      </c>
      <c r="F5926" s="19" t="s">
        <v>45</v>
      </c>
      <c r="G5926" s="19" t="s">
        <v>116</v>
      </c>
      <c r="H5926" s="19" t="s">
        <v>63</v>
      </c>
      <c r="I5926" s="19" t="s">
        <v>108</v>
      </c>
      <c r="J5926" s="20">
        <v>120</v>
      </c>
      <c r="K5926" s="34">
        <v>0</v>
      </c>
      <c r="L5926" s="34">
        <v>3</v>
      </c>
      <c r="M5926" s="19">
        <f>IF(OR(ISBLANK(C5926),C5926=""),"",ROUND((C5926-B5926)*24,2))</f>
        <v>176.97</v>
      </c>
      <c r="N5926" s="39" t="str">
        <f>IF(OR(ISBLANK(C5926),C5926="",M5926=""),"In Progress",IF(M5926&lt;=J5926,"Met","Breached"))</f>
        <v>Breached</v>
      </c>
    </row>
    <row r="5927" ht="19" customHeight="1" spans="1:14" x14ac:dyDescent="0.25">
      <c r="A5927" s="22" t="s">
        <v>6041</v>
      </c>
      <c r="B5927" s="36">
        <v>45703.50555555556</v>
      </c>
      <c r="C5927" s="36">
        <v>45703.80208333333</v>
      </c>
      <c r="D5927" s="22" t="s">
        <v>33</v>
      </c>
      <c r="E5927" s="22" t="s">
        <v>61</v>
      </c>
      <c r="F5927" s="22" t="s">
        <v>40</v>
      </c>
      <c r="G5927" s="22" t="s">
        <v>121</v>
      </c>
      <c r="H5927" s="22" t="s">
        <v>63</v>
      </c>
      <c r="I5927" s="22" t="s">
        <v>114</v>
      </c>
      <c r="J5927" s="23">
        <v>12</v>
      </c>
      <c r="K5927" s="37">
        <v>0</v>
      </c>
      <c r="M5927" s="22">
        <f>IF(OR(ISBLANK(C5927),C5927=""),"",ROUND((C5927-B5927)*24,2))</f>
        <v>7.12</v>
      </c>
      <c r="N5927" s="40" t="str">
        <f>IF(OR(ISBLANK(C5927),C5927="",M5927=""),"In Progress",IF(M5927&lt;=J5927,"Met","Breached"))</f>
        <v>Met</v>
      </c>
    </row>
    <row r="5928" ht="19" customHeight="1" spans="1:14" x14ac:dyDescent="0.25">
      <c r="A5928" s="19" t="s">
        <v>6042</v>
      </c>
      <c r="B5928" s="33">
        <v>46268.785416666666</v>
      </c>
      <c r="C5928" s="33">
        <v>46268.9</v>
      </c>
      <c r="D5928" s="19" t="s">
        <v>36</v>
      </c>
      <c r="E5928" s="19" t="s">
        <v>57</v>
      </c>
      <c r="F5928" s="19" t="s">
        <v>37</v>
      </c>
      <c r="G5928" s="19" t="s">
        <v>126</v>
      </c>
      <c r="H5928" s="19" t="s">
        <v>71</v>
      </c>
      <c r="I5928" s="19" t="s">
        <v>108</v>
      </c>
      <c r="J5928" s="20">
        <v>4</v>
      </c>
      <c r="K5928" s="34">
        <v>0</v>
      </c>
      <c r="M5928" s="19">
        <f>IF(OR(ISBLANK(C5928),C5928=""),"",ROUND((C5928-B5928)*24,2))</f>
        <v>2.75</v>
      </c>
      <c r="N5928" s="35" t="str">
        <f>IF(OR(ISBLANK(C5928),C5928="",M5928=""),"In Progress",IF(M5928&lt;=J5928,"Met","Breached"))</f>
        <v>Met</v>
      </c>
    </row>
    <row r="5929" ht="19" customHeight="1" spans="1:14" x14ac:dyDescent="0.25">
      <c r="A5929" s="22" t="s">
        <v>6043</v>
      </c>
      <c r="B5929" s="36">
        <v>46180.14722222222</v>
      </c>
      <c r="C5929" s="36">
        <v>46181.40277777778</v>
      </c>
      <c r="D5929" s="22" t="s">
        <v>33</v>
      </c>
      <c r="E5929" s="22" t="s">
        <v>65</v>
      </c>
      <c r="F5929" s="22" t="s">
        <v>34</v>
      </c>
      <c r="G5929" s="22" t="s">
        <v>121</v>
      </c>
      <c r="H5929" s="22" t="s">
        <v>59</v>
      </c>
      <c r="I5929" s="22" t="s">
        <v>108</v>
      </c>
      <c r="J5929" s="23">
        <v>48</v>
      </c>
      <c r="K5929" s="37">
        <v>0</v>
      </c>
      <c r="L5929" s="37">
        <v>1</v>
      </c>
      <c r="M5929" s="22">
        <f>IF(OR(ISBLANK(C5929),C5929=""),"",ROUND((C5929-B5929)*24,2))</f>
        <v>30.13</v>
      </c>
      <c r="N5929" s="40" t="str">
        <f>IF(OR(ISBLANK(C5929),C5929="",M5929=""),"In Progress",IF(M5929&lt;=J5929,"Met","Breached"))</f>
        <v>Met</v>
      </c>
    </row>
    <row r="5930" ht="19" customHeight="1" spans="1:14" x14ac:dyDescent="0.25">
      <c r="A5930" s="19" t="s">
        <v>6044</v>
      </c>
      <c r="B5930" s="33">
        <v>45907.96944444445</v>
      </c>
      <c r="D5930" s="19" t="s">
        <v>39</v>
      </c>
      <c r="E5930" s="19" t="s">
        <v>65</v>
      </c>
      <c r="F5930" s="19" t="s">
        <v>34</v>
      </c>
      <c r="G5930" s="19" t="s">
        <v>113</v>
      </c>
      <c r="H5930" s="19" t="s">
        <v>67</v>
      </c>
      <c r="I5930" s="19" t="s">
        <v>123</v>
      </c>
      <c r="J5930" s="20">
        <v>48</v>
      </c>
      <c r="K5930" s="34">
        <v>0</v>
      </c>
      <c r="M5930" s="19" t="str">
        <f>IF(OR(ISBLANK(C5930),C5930=""),"",ROUND((C5930-B5930)*24,2))</f>
        <v/>
      </c>
      <c r="N5930" s="19" t="str">
        <f>IF(OR(ISBLANK(C5930),C5930="",M5930=""),"In Progress",IF(M5930&lt;=J5930,"Met","Breached"))</f>
        <v>In Progress</v>
      </c>
    </row>
    <row r="5931" ht="19" customHeight="1" spans="1:14" x14ac:dyDescent="0.25">
      <c r="A5931" s="22" t="s">
        <v>6045</v>
      </c>
      <c r="B5931" s="36">
        <v>46146.07916666666</v>
      </c>
      <c r="C5931" s="36">
        <v>46146.506944444445</v>
      </c>
      <c r="D5931" s="22" t="s">
        <v>36</v>
      </c>
      <c r="E5931" s="22" t="s">
        <v>61</v>
      </c>
      <c r="F5931" s="22" t="s">
        <v>37</v>
      </c>
      <c r="G5931" s="22" t="s">
        <v>116</v>
      </c>
      <c r="H5931" s="22" t="s">
        <v>59</v>
      </c>
      <c r="I5931" s="22" t="s">
        <v>117</v>
      </c>
      <c r="J5931" s="23">
        <v>12</v>
      </c>
      <c r="K5931" s="37">
        <v>0</v>
      </c>
      <c r="L5931" s="37">
        <v>1</v>
      </c>
      <c r="M5931" s="22">
        <f>IF(OR(ISBLANK(C5931),C5931=""),"",ROUND((C5931-B5931)*24,2))</f>
        <v>10.27</v>
      </c>
      <c r="N5931" s="40" t="str">
        <f>IF(OR(ISBLANK(C5931),C5931="",M5931=""),"In Progress",IF(M5931&lt;=J5931,"Met","Breached"))</f>
        <v>Met</v>
      </c>
    </row>
    <row r="5932" ht="19" customHeight="1" spans="1:14" x14ac:dyDescent="0.25">
      <c r="A5932" s="19" t="s">
        <v>6046</v>
      </c>
      <c r="B5932" s="33">
        <v>45932.242361111115</v>
      </c>
      <c r="C5932" s="33">
        <v>45934.299305555556</v>
      </c>
      <c r="D5932" s="19" t="s">
        <v>33</v>
      </c>
      <c r="E5932" s="19" t="s">
        <v>65</v>
      </c>
      <c r="F5932" s="19" t="s">
        <v>37</v>
      </c>
      <c r="G5932" s="19" t="s">
        <v>121</v>
      </c>
      <c r="H5932" s="19" t="s">
        <v>63</v>
      </c>
      <c r="I5932" s="19" t="s">
        <v>147</v>
      </c>
      <c r="J5932" s="20">
        <v>48</v>
      </c>
      <c r="K5932" s="34">
        <v>0</v>
      </c>
      <c r="L5932" s="34">
        <v>4</v>
      </c>
      <c r="M5932" s="19">
        <f>IF(OR(ISBLANK(C5932),C5932=""),"",ROUND((C5932-B5932)*24,2))</f>
        <v>49.37</v>
      </c>
      <c r="N5932" s="39" t="str">
        <f>IF(OR(ISBLANK(C5932),C5932="",M5932=""),"In Progress",IF(M5932&lt;=J5932,"Met","Breached"))</f>
        <v>Breached</v>
      </c>
    </row>
    <row r="5933" ht="19" customHeight="1" spans="1:14" x14ac:dyDescent="0.25">
      <c r="A5933" s="22" t="s">
        <v>6047</v>
      </c>
      <c r="B5933" s="36">
        <v>46265.316666666666</v>
      </c>
      <c r="C5933" s="36">
        <v>46267.44652777778</v>
      </c>
      <c r="D5933" s="22" t="s">
        <v>33</v>
      </c>
      <c r="E5933" s="22" t="s">
        <v>65</v>
      </c>
      <c r="F5933" s="22" t="s">
        <v>34</v>
      </c>
      <c r="G5933" s="22" t="s">
        <v>113</v>
      </c>
      <c r="H5933" s="22" t="s">
        <v>63</v>
      </c>
      <c r="I5933" s="22" t="s">
        <v>117</v>
      </c>
      <c r="J5933" s="23">
        <v>48</v>
      </c>
      <c r="K5933" s="37">
        <v>0</v>
      </c>
      <c r="M5933" s="22">
        <f>IF(OR(ISBLANK(C5933),C5933=""),"",ROUND((C5933-B5933)*24,2))</f>
        <v>51.12</v>
      </c>
      <c r="N5933" s="38" t="str">
        <f>IF(OR(ISBLANK(C5933),C5933="",M5933=""),"In Progress",IF(M5933&lt;=J5933,"Met","Breached"))</f>
        <v>Breached</v>
      </c>
    </row>
    <row r="5934" ht="19" customHeight="1" spans="1:14" x14ac:dyDescent="0.25">
      <c r="A5934" s="19" t="s">
        <v>6048</v>
      </c>
      <c r="B5934" s="33">
        <v>46201.82777777778</v>
      </c>
      <c r="C5934" s="33">
        <v>46202.663888888885</v>
      </c>
      <c r="D5934" s="19" t="s">
        <v>36</v>
      </c>
      <c r="E5934" s="19" t="s">
        <v>61</v>
      </c>
      <c r="F5934" s="19" t="s">
        <v>43</v>
      </c>
      <c r="G5934" s="19" t="s">
        <v>121</v>
      </c>
      <c r="H5934" s="19" t="s">
        <v>59</v>
      </c>
      <c r="I5934" s="19" t="s">
        <v>114</v>
      </c>
      <c r="J5934" s="20">
        <v>12</v>
      </c>
      <c r="K5934" s="34">
        <v>0</v>
      </c>
      <c r="L5934" s="34">
        <v>3</v>
      </c>
      <c r="M5934" s="19">
        <f>IF(OR(ISBLANK(C5934),C5934=""),"",ROUND((C5934-B5934)*24,2))</f>
        <v>20.07</v>
      </c>
      <c r="N5934" s="39" t="str">
        <f>IF(OR(ISBLANK(C5934),C5934="",M5934=""),"In Progress",IF(M5934&lt;=J5934,"Met","Breached"))</f>
        <v>Breached</v>
      </c>
    </row>
    <row r="5935" ht="19" customHeight="1" spans="1:14" x14ac:dyDescent="0.25">
      <c r="A5935" s="22" t="s">
        <v>6049</v>
      </c>
      <c r="B5935" s="36">
        <v>46031.02291666667</v>
      </c>
      <c r="C5935" s="36">
        <v>46033.22361111111</v>
      </c>
      <c r="D5935" s="22" t="s">
        <v>33</v>
      </c>
      <c r="E5935" s="22" t="s">
        <v>69</v>
      </c>
      <c r="F5935" s="22" t="s">
        <v>40</v>
      </c>
      <c r="G5935" s="22" t="s">
        <v>126</v>
      </c>
      <c r="H5935" s="22" t="s">
        <v>63</v>
      </c>
      <c r="I5935" s="22" t="s">
        <v>111</v>
      </c>
      <c r="J5935" s="23">
        <v>120</v>
      </c>
      <c r="K5935" s="37">
        <v>1</v>
      </c>
      <c r="L5935" s="37">
        <v>5</v>
      </c>
      <c r="M5935" s="22">
        <f>IF(OR(ISBLANK(C5935),C5935=""),"",ROUND((C5935-B5935)*24,2))</f>
        <v>52.82</v>
      </c>
      <c r="N5935" s="40" t="str">
        <f>IF(OR(ISBLANK(C5935),C5935="",M5935=""),"In Progress",IF(M5935&lt;=J5935,"Met","Breached"))</f>
        <v>Met</v>
      </c>
    </row>
    <row r="5936" ht="19" customHeight="1" spans="1:14" x14ac:dyDescent="0.25">
      <c r="A5936" s="19" t="s">
        <v>6050</v>
      </c>
      <c r="B5936" s="33">
        <v>45953.95</v>
      </c>
      <c r="C5936" s="33">
        <v>45956.30416666667</v>
      </c>
      <c r="D5936" s="19" t="s">
        <v>33</v>
      </c>
      <c r="E5936" s="19" t="s">
        <v>69</v>
      </c>
      <c r="F5936" s="19" t="s">
        <v>34</v>
      </c>
      <c r="G5936" s="19" t="s">
        <v>110</v>
      </c>
      <c r="H5936" s="19" t="s">
        <v>63</v>
      </c>
      <c r="I5936" s="19" t="s">
        <v>114</v>
      </c>
      <c r="J5936" s="20">
        <v>120</v>
      </c>
      <c r="K5936" s="34">
        <v>0</v>
      </c>
      <c r="L5936" s="34">
        <v>2</v>
      </c>
      <c r="M5936" s="19">
        <f>IF(OR(ISBLANK(C5936),C5936=""),"",ROUND((C5936-B5936)*24,2))</f>
        <v>56.5</v>
      </c>
      <c r="N5936" s="35" t="str">
        <f>IF(OR(ISBLANK(C5936),C5936="",M5936=""),"In Progress",IF(M5936&lt;=J5936,"Met","Breached"))</f>
        <v>Met</v>
      </c>
    </row>
    <row r="5937" ht="19" customHeight="1" spans="1:14" x14ac:dyDescent="0.25">
      <c r="A5937" s="22" t="s">
        <v>6051</v>
      </c>
      <c r="B5937" s="36">
        <v>45797.40833333333</v>
      </c>
      <c r="C5937" s="36">
        <v>45799.61388888889</v>
      </c>
      <c r="D5937" s="22" t="s">
        <v>33</v>
      </c>
      <c r="E5937" s="22" t="s">
        <v>65</v>
      </c>
      <c r="F5937" s="22" t="s">
        <v>45</v>
      </c>
      <c r="G5937" s="22" t="s">
        <v>63</v>
      </c>
      <c r="H5937" s="22" t="s">
        <v>59</v>
      </c>
      <c r="I5937" s="22" t="s">
        <v>111</v>
      </c>
      <c r="J5937" s="23">
        <v>48</v>
      </c>
      <c r="K5937" s="37">
        <v>0</v>
      </c>
      <c r="L5937" s="37">
        <v>3</v>
      </c>
      <c r="M5937" s="22">
        <f>IF(OR(ISBLANK(C5937),C5937=""),"",ROUND((C5937-B5937)*24,2))</f>
        <v>52.93</v>
      </c>
      <c r="N5937" s="38" t="str">
        <f>IF(OR(ISBLANK(C5937),C5937="",M5937=""),"In Progress",IF(M5937&lt;=J5937,"Met","Breached"))</f>
        <v>Breached</v>
      </c>
    </row>
    <row r="5938" ht="19" customHeight="1" spans="1:14" x14ac:dyDescent="0.25">
      <c r="A5938" s="19" t="s">
        <v>6052</v>
      </c>
      <c r="B5938" s="33">
        <v>46030.961111111115</v>
      </c>
      <c r="C5938" s="33">
        <v>46032.054861111115</v>
      </c>
      <c r="D5938" s="19" t="s">
        <v>33</v>
      </c>
      <c r="E5938" s="19" t="s">
        <v>65</v>
      </c>
      <c r="F5938" s="19" t="s">
        <v>37</v>
      </c>
      <c r="G5938" s="19" t="s">
        <v>113</v>
      </c>
      <c r="H5938" s="19" t="s">
        <v>59</v>
      </c>
      <c r="I5938" s="19" t="s">
        <v>111</v>
      </c>
      <c r="J5938" s="20">
        <v>48</v>
      </c>
      <c r="K5938" s="34">
        <v>0</v>
      </c>
      <c r="L5938" s="34">
        <v>1</v>
      </c>
      <c r="M5938" s="19">
        <f>IF(OR(ISBLANK(C5938),C5938=""),"",ROUND((C5938-B5938)*24,2))</f>
        <v>26.25</v>
      </c>
      <c r="N5938" s="35" t="str">
        <f>IF(OR(ISBLANK(C5938),C5938="",M5938=""),"In Progress",IF(M5938&lt;=J5938,"Met","Breached"))</f>
        <v>Met</v>
      </c>
    </row>
    <row r="5939" ht="19" customHeight="1" spans="1:14" x14ac:dyDescent="0.25">
      <c r="A5939" s="22" t="s">
        <v>6053</v>
      </c>
      <c r="B5939" s="36">
        <v>46140.70277777778</v>
      </c>
      <c r="C5939" s="36">
        <v>46142.91666666667</v>
      </c>
      <c r="D5939" s="22" t="s">
        <v>33</v>
      </c>
      <c r="E5939" s="22" t="s">
        <v>65</v>
      </c>
      <c r="F5939" s="22" t="s">
        <v>45</v>
      </c>
      <c r="G5939" s="22" t="s">
        <v>63</v>
      </c>
      <c r="H5939" s="22" t="s">
        <v>59</v>
      </c>
      <c r="I5939" s="22" t="s">
        <v>123</v>
      </c>
      <c r="J5939" s="23">
        <v>48</v>
      </c>
      <c r="K5939" s="37">
        <v>0</v>
      </c>
      <c r="L5939" s="37">
        <v>1</v>
      </c>
      <c r="M5939" s="22">
        <f>IF(OR(ISBLANK(C5939),C5939=""),"",ROUND((C5939-B5939)*24,2))</f>
        <v>53.13</v>
      </c>
      <c r="N5939" s="38" t="str">
        <f>IF(OR(ISBLANK(C5939),C5939="",M5939=""),"In Progress",IF(M5939&lt;=J5939,"Met","Breached"))</f>
        <v>Breached</v>
      </c>
    </row>
    <row r="5940" ht="19" customHeight="1" spans="1:14" x14ac:dyDescent="0.25">
      <c r="A5940" s="19" t="s">
        <v>6054</v>
      </c>
      <c r="B5940" s="33">
        <v>45808.069444444445</v>
      </c>
      <c r="C5940" s="33">
        <v>45811.35763888889</v>
      </c>
      <c r="D5940" s="19" t="s">
        <v>33</v>
      </c>
      <c r="E5940" s="19" t="s">
        <v>65</v>
      </c>
      <c r="F5940" s="19" t="s">
        <v>34</v>
      </c>
      <c r="G5940" s="19" t="s">
        <v>121</v>
      </c>
      <c r="H5940" s="19" t="s">
        <v>59</v>
      </c>
      <c r="I5940" s="19" t="s">
        <v>117</v>
      </c>
      <c r="J5940" s="20">
        <v>48</v>
      </c>
      <c r="K5940" s="34">
        <v>0</v>
      </c>
      <c r="L5940" s="34">
        <v>3</v>
      </c>
      <c r="M5940" s="19">
        <f>IF(OR(ISBLANK(C5940),C5940=""),"",ROUND((C5940-B5940)*24,2))</f>
        <v>78.92</v>
      </c>
      <c r="N5940" s="39" t="str">
        <f>IF(OR(ISBLANK(C5940),C5940="",M5940=""),"In Progress",IF(M5940&lt;=J5940,"Met","Breached"))</f>
        <v>Breached</v>
      </c>
    </row>
    <row r="5941" ht="19" customHeight="1" spans="1:14" x14ac:dyDescent="0.25">
      <c r="A5941" s="22" t="s">
        <v>6055</v>
      </c>
      <c r="B5941" s="36">
        <v>46132.9625</v>
      </c>
      <c r="C5941" s="36">
        <v>46135.32708333334</v>
      </c>
      <c r="D5941" s="22" t="s">
        <v>33</v>
      </c>
      <c r="E5941" s="22" t="s">
        <v>65</v>
      </c>
      <c r="F5941" s="22" t="s">
        <v>34</v>
      </c>
      <c r="G5941" s="22" t="s">
        <v>113</v>
      </c>
      <c r="H5941" s="22" t="s">
        <v>59</v>
      </c>
      <c r="I5941" s="22" t="s">
        <v>123</v>
      </c>
      <c r="J5941" s="23">
        <v>48</v>
      </c>
      <c r="K5941" s="37">
        <v>0</v>
      </c>
      <c r="L5941" s="37">
        <v>3</v>
      </c>
      <c r="M5941" s="22">
        <f>IF(OR(ISBLANK(C5941),C5941=""),"",ROUND((C5941-B5941)*24,2))</f>
        <v>56.75</v>
      </c>
      <c r="N5941" s="38" t="str">
        <f>IF(OR(ISBLANK(C5941),C5941="",M5941=""),"In Progress",IF(M5941&lt;=J5941,"Met","Breached"))</f>
        <v>Breached</v>
      </c>
    </row>
    <row r="5942" ht="19" customHeight="1" spans="1:14" x14ac:dyDescent="0.25">
      <c r="A5942" s="19" t="s">
        <v>6056</v>
      </c>
      <c r="B5942" s="33">
        <v>46232.680555555555</v>
      </c>
      <c r="C5942" s="33">
        <v>46238.24722222222</v>
      </c>
      <c r="D5942" s="19" t="s">
        <v>33</v>
      </c>
      <c r="E5942" s="19" t="s">
        <v>69</v>
      </c>
      <c r="F5942" s="19" t="s">
        <v>37</v>
      </c>
      <c r="G5942" s="19" t="s">
        <v>113</v>
      </c>
      <c r="H5942" s="19" t="s">
        <v>71</v>
      </c>
      <c r="I5942" s="19" t="s">
        <v>147</v>
      </c>
      <c r="J5942" s="20">
        <v>120</v>
      </c>
      <c r="K5942" s="34">
        <v>0</v>
      </c>
      <c r="L5942" s="34">
        <v>3</v>
      </c>
      <c r="M5942" s="19">
        <f>IF(OR(ISBLANK(C5942),C5942=""),"",ROUND((C5942-B5942)*24,2))</f>
        <v>133.6</v>
      </c>
      <c r="N5942" s="39" t="str">
        <f>IF(OR(ISBLANK(C5942),C5942="",M5942=""),"In Progress",IF(M5942&lt;=J5942,"Met","Breached"))</f>
        <v>Breached</v>
      </c>
    </row>
    <row r="5943" ht="19" customHeight="1" spans="1:14" x14ac:dyDescent="0.25">
      <c r="A5943" s="22" t="s">
        <v>6057</v>
      </c>
      <c r="B5943" s="36">
        <v>45857.81597222222</v>
      </c>
      <c r="C5943" s="36">
        <v>45860.12291666667</v>
      </c>
      <c r="D5943" s="22" t="s">
        <v>33</v>
      </c>
      <c r="E5943" s="22" t="s">
        <v>69</v>
      </c>
      <c r="F5943" s="22" t="s">
        <v>43</v>
      </c>
      <c r="G5943" s="22" t="s">
        <v>116</v>
      </c>
      <c r="H5943" s="22" t="s">
        <v>67</v>
      </c>
      <c r="I5943" s="22" t="s">
        <v>114</v>
      </c>
      <c r="J5943" s="23">
        <v>120</v>
      </c>
      <c r="K5943" s="37">
        <v>0</v>
      </c>
      <c r="L5943" s="37">
        <v>4</v>
      </c>
      <c r="M5943" s="22">
        <f>IF(OR(ISBLANK(C5943),C5943=""),"",ROUND((C5943-B5943)*24,2))</f>
        <v>55.37</v>
      </c>
      <c r="N5943" s="40" t="str">
        <f>IF(OR(ISBLANK(C5943),C5943="",M5943=""),"In Progress",IF(M5943&lt;=J5943,"Met","Breached"))</f>
        <v>Met</v>
      </c>
    </row>
    <row r="5944" ht="19" customHeight="1" spans="1:14" x14ac:dyDescent="0.25">
      <c r="A5944" s="19" t="s">
        <v>6058</v>
      </c>
      <c r="B5944" s="33">
        <v>45928.20208333334</v>
      </c>
      <c r="C5944" s="33">
        <v>45930.12777777778</v>
      </c>
      <c r="D5944" s="19" t="s">
        <v>36</v>
      </c>
      <c r="E5944" s="19" t="s">
        <v>65</v>
      </c>
      <c r="F5944" s="19" t="s">
        <v>37</v>
      </c>
      <c r="G5944" s="19" t="s">
        <v>113</v>
      </c>
      <c r="H5944" s="19" t="s">
        <v>59</v>
      </c>
      <c r="I5944" s="19" t="s">
        <v>111</v>
      </c>
      <c r="J5944" s="20">
        <v>48</v>
      </c>
      <c r="K5944" s="34">
        <v>0</v>
      </c>
      <c r="M5944" s="19">
        <f>IF(OR(ISBLANK(C5944),C5944=""),"",ROUND((C5944-B5944)*24,2))</f>
        <v>46.22</v>
      </c>
      <c r="N5944" s="35" t="str">
        <f>IF(OR(ISBLANK(C5944),C5944="",M5944=""),"In Progress",IF(M5944&lt;=J5944,"Met","Breached"))</f>
        <v>Met</v>
      </c>
    </row>
    <row r="5945" ht="19" customHeight="1" spans="1:14" x14ac:dyDescent="0.25">
      <c r="A5945" s="22" t="s">
        <v>6059</v>
      </c>
      <c r="B5945" s="36">
        <v>45823.65416666667</v>
      </c>
      <c r="C5945" s="36">
        <v>45825.945138888885</v>
      </c>
      <c r="D5945" s="22" t="s">
        <v>33</v>
      </c>
      <c r="E5945" s="22" t="s">
        <v>65</v>
      </c>
      <c r="F5945" s="22" t="s">
        <v>45</v>
      </c>
      <c r="G5945" s="22" t="s">
        <v>116</v>
      </c>
      <c r="H5945" s="22" t="s">
        <v>71</v>
      </c>
      <c r="I5945" s="22" t="s">
        <v>114</v>
      </c>
      <c r="J5945" s="23">
        <v>48</v>
      </c>
      <c r="K5945" s="37">
        <v>0</v>
      </c>
      <c r="L5945" s="37">
        <v>3</v>
      </c>
      <c r="M5945" s="22">
        <f>IF(OR(ISBLANK(C5945),C5945=""),"",ROUND((C5945-B5945)*24,2))</f>
        <v>54.98</v>
      </c>
      <c r="N5945" s="38" t="str">
        <f>IF(OR(ISBLANK(C5945),C5945="",M5945=""),"In Progress",IF(M5945&lt;=J5945,"Met","Breached"))</f>
        <v>Breached</v>
      </c>
    </row>
    <row r="5946" ht="19" customHeight="1" spans="1:14" x14ac:dyDescent="0.25">
      <c r="A5946" s="19" t="s">
        <v>6060</v>
      </c>
      <c r="B5946" s="33">
        <v>45905.50069444445</v>
      </c>
      <c r="C5946" s="33">
        <v>45909.711111111115</v>
      </c>
      <c r="D5946" s="19" t="s">
        <v>33</v>
      </c>
      <c r="E5946" s="19" t="s">
        <v>69</v>
      </c>
      <c r="F5946" s="19" t="s">
        <v>40</v>
      </c>
      <c r="G5946" s="19" t="s">
        <v>126</v>
      </c>
      <c r="H5946" s="19" t="s">
        <v>59</v>
      </c>
      <c r="I5946" s="19" t="s">
        <v>108</v>
      </c>
      <c r="J5946" s="20">
        <v>120</v>
      </c>
      <c r="K5946" s="34">
        <v>0</v>
      </c>
      <c r="L5946" s="34">
        <v>4</v>
      </c>
      <c r="M5946" s="19">
        <f>IF(OR(ISBLANK(C5946),C5946=""),"",ROUND((C5946-B5946)*24,2))</f>
        <v>101.05</v>
      </c>
      <c r="N5946" s="35" t="str">
        <f>IF(OR(ISBLANK(C5946),C5946="",M5946=""),"In Progress",IF(M5946&lt;=J5946,"Met","Breached"))</f>
        <v>Met</v>
      </c>
    </row>
    <row r="5947" ht="19" customHeight="1" spans="1:14" x14ac:dyDescent="0.25">
      <c r="A5947" s="22" t="s">
        <v>6061</v>
      </c>
      <c r="B5947" s="36">
        <v>45994.45763888889</v>
      </c>
      <c r="C5947" s="36">
        <v>45994.58888888889</v>
      </c>
      <c r="D5947" s="22" t="s">
        <v>33</v>
      </c>
      <c r="E5947" s="22" t="s">
        <v>57</v>
      </c>
      <c r="F5947" s="22" t="s">
        <v>45</v>
      </c>
      <c r="G5947" s="22" t="s">
        <v>121</v>
      </c>
      <c r="H5947" s="22" t="s">
        <v>59</v>
      </c>
      <c r="I5947" s="22" t="s">
        <v>111</v>
      </c>
      <c r="J5947" s="23">
        <v>4</v>
      </c>
      <c r="K5947" s="37">
        <v>0</v>
      </c>
      <c r="L5947" s="37">
        <v>4</v>
      </c>
      <c r="M5947" s="22">
        <f>IF(OR(ISBLANK(C5947),C5947=""),"",ROUND((C5947-B5947)*24,2))</f>
        <v>3.15</v>
      </c>
      <c r="N5947" s="40" t="str">
        <f>IF(OR(ISBLANK(C5947),C5947="",M5947=""),"In Progress",IF(M5947&lt;=J5947,"Met","Breached"))</f>
        <v>Met</v>
      </c>
    </row>
    <row r="5948" ht="19" customHeight="1" spans="1:14" x14ac:dyDescent="0.25">
      <c r="A5948" s="19" t="s">
        <v>6062</v>
      </c>
      <c r="B5948" s="33">
        <v>45804.76527777778</v>
      </c>
      <c r="D5948" s="19" t="s">
        <v>39</v>
      </c>
      <c r="E5948" s="19" t="s">
        <v>69</v>
      </c>
      <c r="F5948" s="19" t="s">
        <v>43</v>
      </c>
      <c r="G5948" s="19" t="s">
        <v>110</v>
      </c>
      <c r="H5948" s="19" t="s">
        <v>59</v>
      </c>
      <c r="I5948" s="19" t="s">
        <v>111</v>
      </c>
      <c r="J5948" s="20">
        <v>120</v>
      </c>
      <c r="K5948" s="34">
        <v>0</v>
      </c>
      <c r="M5948" s="19" t="str">
        <f>IF(OR(ISBLANK(C5948),C5948=""),"",ROUND((C5948-B5948)*24,2))</f>
        <v/>
      </c>
      <c r="N5948" s="19" t="str">
        <f>IF(OR(ISBLANK(C5948),C5948="",M5948=""),"In Progress",IF(M5948&lt;=J5948,"Met","Breached"))</f>
        <v>In Progress</v>
      </c>
    </row>
    <row r="5949" ht="19" customHeight="1" spans="1:14" x14ac:dyDescent="0.25">
      <c r="A5949" s="22" t="s">
        <v>6063</v>
      </c>
      <c r="B5949" s="36">
        <v>45778.99166666667</v>
      </c>
      <c r="C5949" s="36">
        <v>45779.15069444444</v>
      </c>
      <c r="D5949" s="22" t="s">
        <v>33</v>
      </c>
      <c r="E5949" s="22" t="s">
        <v>61</v>
      </c>
      <c r="F5949" s="22" t="s">
        <v>40</v>
      </c>
      <c r="G5949" s="22" t="s">
        <v>63</v>
      </c>
      <c r="H5949" s="22" t="s">
        <v>71</v>
      </c>
      <c r="I5949" s="22" t="s">
        <v>114</v>
      </c>
      <c r="J5949" s="23">
        <v>12</v>
      </c>
      <c r="K5949" s="37">
        <v>0</v>
      </c>
      <c r="L5949" s="37">
        <v>3</v>
      </c>
      <c r="M5949" s="22">
        <f>IF(OR(ISBLANK(C5949),C5949=""),"",ROUND((C5949-B5949)*24,2))</f>
        <v>3.82</v>
      </c>
      <c r="N5949" s="40" t="str">
        <f>IF(OR(ISBLANK(C5949),C5949="",M5949=""),"In Progress",IF(M5949&lt;=J5949,"Met","Breached"))</f>
        <v>Met</v>
      </c>
    </row>
    <row r="5950" ht="19" customHeight="1" spans="1:14" x14ac:dyDescent="0.25">
      <c r="A5950" s="19" t="s">
        <v>6064</v>
      </c>
      <c r="B5950" s="33">
        <v>45953.40763888889</v>
      </c>
      <c r="C5950" s="33">
        <v>45955.46041666667</v>
      </c>
      <c r="D5950" s="19" t="s">
        <v>33</v>
      </c>
      <c r="E5950" s="19" t="s">
        <v>69</v>
      </c>
      <c r="F5950" s="19" t="s">
        <v>40</v>
      </c>
      <c r="G5950" s="19" t="s">
        <v>63</v>
      </c>
      <c r="H5950" s="19" t="s">
        <v>59</v>
      </c>
      <c r="I5950" s="19" t="s">
        <v>108</v>
      </c>
      <c r="J5950" s="20">
        <v>120</v>
      </c>
      <c r="K5950" s="34">
        <v>0</v>
      </c>
      <c r="L5950" s="34">
        <v>5</v>
      </c>
      <c r="M5950" s="19">
        <f>IF(OR(ISBLANK(C5950),C5950=""),"",ROUND((C5950-B5950)*24,2))</f>
        <v>49.27</v>
      </c>
      <c r="N5950" s="35" t="str">
        <f>IF(OR(ISBLANK(C5950),C5950="",M5950=""),"In Progress",IF(M5950&lt;=J5950,"Met","Breached"))</f>
        <v>Met</v>
      </c>
    </row>
    <row r="5951" ht="19" customHeight="1" spans="1:14" x14ac:dyDescent="0.25">
      <c r="A5951" s="22" t="s">
        <v>6065</v>
      </c>
      <c r="B5951" s="36">
        <v>45741.13611111111</v>
      </c>
      <c r="D5951" s="22" t="s">
        <v>39</v>
      </c>
      <c r="E5951" s="22" t="s">
        <v>69</v>
      </c>
      <c r="F5951" s="22" t="s">
        <v>43</v>
      </c>
      <c r="G5951" s="22" t="s">
        <v>110</v>
      </c>
      <c r="H5951" s="22" t="s">
        <v>59</v>
      </c>
      <c r="I5951" s="22" t="s">
        <v>123</v>
      </c>
      <c r="J5951" s="23">
        <v>120</v>
      </c>
      <c r="K5951" s="37">
        <v>0</v>
      </c>
      <c r="M5951" s="22" t="str">
        <f>IF(OR(ISBLANK(C5951),C5951=""),"",ROUND((C5951-B5951)*24,2))</f>
        <v/>
      </c>
      <c r="N5951" s="22" t="str">
        <f>IF(OR(ISBLANK(C5951),C5951="",M5951=""),"In Progress",IF(M5951&lt;=J5951,"Met","Breached"))</f>
        <v>In Progress</v>
      </c>
    </row>
    <row r="5952" ht="19" customHeight="1" spans="1:14" x14ac:dyDescent="0.25">
      <c r="A5952" s="19" t="s">
        <v>6066</v>
      </c>
      <c r="B5952" s="33">
        <v>46047.415972222225</v>
      </c>
      <c r="C5952" s="33">
        <v>46054.56111111111</v>
      </c>
      <c r="D5952" s="19" t="s">
        <v>33</v>
      </c>
      <c r="E5952" s="19" t="s">
        <v>69</v>
      </c>
      <c r="F5952" s="19" t="s">
        <v>34</v>
      </c>
      <c r="G5952" s="19" t="s">
        <v>63</v>
      </c>
      <c r="H5952" s="19" t="s">
        <v>71</v>
      </c>
      <c r="I5952" s="19" t="s">
        <v>123</v>
      </c>
      <c r="J5952" s="20">
        <v>120</v>
      </c>
      <c r="K5952" s="34">
        <v>0</v>
      </c>
      <c r="M5952" s="19">
        <f>IF(OR(ISBLANK(C5952),C5952=""),"",ROUND((C5952-B5952)*24,2))</f>
        <v>171.48</v>
      </c>
      <c r="N5952" s="39" t="str">
        <f>IF(OR(ISBLANK(C5952),C5952="",M5952=""),"In Progress",IF(M5952&lt;=J5952,"Met","Breached"))</f>
        <v>Breached</v>
      </c>
    </row>
    <row r="5953" ht="19" customHeight="1" spans="1:14" x14ac:dyDescent="0.25">
      <c r="A5953" s="22" t="s">
        <v>6067</v>
      </c>
      <c r="B5953" s="36">
        <v>46030.65416666667</v>
      </c>
      <c r="C5953" s="36">
        <v>46031.805555555555</v>
      </c>
      <c r="D5953" s="22" t="s">
        <v>33</v>
      </c>
      <c r="E5953" s="22" t="s">
        <v>65</v>
      </c>
      <c r="F5953" s="22" t="s">
        <v>43</v>
      </c>
      <c r="G5953" s="22" t="s">
        <v>126</v>
      </c>
      <c r="H5953" s="22" t="s">
        <v>67</v>
      </c>
      <c r="I5953" s="22" t="s">
        <v>117</v>
      </c>
      <c r="J5953" s="23">
        <v>48</v>
      </c>
      <c r="K5953" s="37">
        <v>0</v>
      </c>
      <c r="L5953" s="37">
        <v>2</v>
      </c>
      <c r="M5953" s="22">
        <f>IF(OR(ISBLANK(C5953),C5953=""),"",ROUND((C5953-B5953)*24,2))</f>
        <v>27.63</v>
      </c>
      <c r="N5953" s="40" t="str">
        <f>IF(OR(ISBLANK(C5953),C5953="",M5953=""),"In Progress",IF(M5953&lt;=J5953,"Met","Breached"))</f>
        <v>Met</v>
      </c>
    </row>
    <row r="5954" ht="19" customHeight="1" spans="1:14" x14ac:dyDescent="0.25">
      <c r="A5954" s="19" t="s">
        <v>6068</v>
      </c>
      <c r="B5954" s="33">
        <v>45658.84513888889</v>
      </c>
      <c r="D5954" s="19" t="s">
        <v>39</v>
      </c>
      <c r="E5954" s="19" t="s">
        <v>69</v>
      </c>
      <c r="F5954" s="19" t="s">
        <v>34</v>
      </c>
      <c r="G5954" s="19" t="s">
        <v>63</v>
      </c>
      <c r="H5954" s="19" t="s">
        <v>71</v>
      </c>
      <c r="I5954" s="19" t="s">
        <v>117</v>
      </c>
      <c r="J5954" s="20">
        <v>120</v>
      </c>
      <c r="K5954" s="34">
        <v>0</v>
      </c>
      <c r="M5954" s="19" t="str">
        <f>IF(OR(ISBLANK(C5954),C5954=""),"",ROUND((C5954-B5954)*24,2))</f>
        <v/>
      </c>
      <c r="N5954" s="19" t="str">
        <f>IF(OR(ISBLANK(C5954),C5954="",M5954=""),"In Progress",IF(M5954&lt;=J5954,"Met","Breached"))</f>
        <v>In Progress</v>
      </c>
    </row>
    <row r="5955" ht="19" customHeight="1" spans="1:14" x14ac:dyDescent="0.25">
      <c r="A5955" s="22" t="s">
        <v>6069</v>
      </c>
      <c r="B5955" s="36">
        <v>46107.76111111111</v>
      </c>
      <c r="C5955" s="36">
        <v>46108.12777777778</v>
      </c>
      <c r="D5955" s="22" t="s">
        <v>33</v>
      </c>
      <c r="E5955" s="22" t="s">
        <v>61</v>
      </c>
      <c r="F5955" s="22" t="s">
        <v>43</v>
      </c>
      <c r="G5955" s="22" t="s">
        <v>110</v>
      </c>
      <c r="H5955" s="22" t="s">
        <v>59</v>
      </c>
      <c r="I5955" s="22" t="s">
        <v>147</v>
      </c>
      <c r="J5955" s="23">
        <v>12</v>
      </c>
      <c r="K5955" s="37">
        <v>0</v>
      </c>
      <c r="L5955" s="37">
        <v>5</v>
      </c>
      <c r="M5955" s="22">
        <f>IF(OR(ISBLANK(C5955),C5955=""),"",ROUND((C5955-B5955)*24,2))</f>
        <v>8.8</v>
      </c>
      <c r="N5955" s="40" t="str">
        <f>IF(OR(ISBLANK(C5955),C5955="",M5955=""),"In Progress",IF(M5955&lt;=J5955,"Met","Breached"))</f>
        <v>Met</v>
      </c>
    </row>
    <row r="5956" ht="19" customHeight="1" spans="1:14" x14ac:dyDescent="0.25">
      <c r="A5956" s="19" t="s">
        <v>6070</v>
      </c>
      <c r="B5956" s="33">
        <v>45713.98055555555</v>
      </c>
      <c r="C5956" s="33">
        <v>45714.18125</v>
      </c>
      <c r="D5956" s="19" t="s">
        <v>36</v>
      </c>
      <c r="E5956" s="19" t="s">
        <v>61</v>
      </c>
      <c r="F5956" s="19" t="s">
        <v>43</v>
      </c>
      <c r="G5956" s="19" t="s">
        <v>113</v>
      </c>
      <c r="H5956" s="19" t="s">
        <v>63</v>
      </c>
      <c r="I5956" s="19" t="s">
        <v>114</v>
      </c>
      <c r="J5956" s="20">
        <v>12</v>
      </c>
      <c r="K5956" s="34">
        <v>0</v>
      </c>
      <c r="L5956" s="34">
        <v>3</v>
      </c>
      <c r="M5956" s="19">
        <f>IF(OR(ISBLANK(C5956),C5956=""),"",ROUND((C5956-B5956)*24,2))</f>
        <v>4.82</v>
      </c>
      <c r="N5956" s="35" t="str">
        <f>IF(OR(ISBLANK(C5956),C5956="",M5956=""),"In Progress",IF(M5956&lt;=J5956,"Met","Breached"))</f>
        <v>Met</v>
      </c>
    </row>
    <row r="5957" ht="19" customHeight="1" spans="1:14" x14ac:dyDescent="0.25">
      <c r="A5957" s="22" t="s">
        <v>6071</v>
      </c>
      <c r="B5957" s="36">
        <v>45994.06736111111</v>
      </c>
      <c r="D5957" s="22" t="s">
        <v>42</v>
      </c>
      <c r="E5957" s="22" t="s">
        <v>65</v>
      </c>
      <c r="F5957" s="22" t="s">
        <v>34</v>
      </c>
      <c r="G5957" s="22" t="s">
        <v>116</v>
      </c>
      <c r="H5957" s="22" t="s">
        <v>59</v>
      </c>
      <c r="I5957" s="22" t="s">
        <v>117</v>
      </c>
      <c r="J5957" s="23">
        <v>48</v>
      </c>
      <c r="K5957" s="37">
        <v>0</v>
      </c>
      <c r="M5957" s="22" t="str">
        <f>IF(OR(ISBLANK(C5957),C5957=""),"",ROUND((C5957-B5957)*24,2))</f>
        <v/>
      </c>
      <c r="N5957" s="22" t="str">
        <f>IF(OR(ISBLANK(C5957),C5957="",M5957=""),"In Progress",IF(M5957&lt;=J5957,"Met","Breached"))</f>
        <v>In Progress</v>
      </c>
    </row>
    <row r="5958" ht="19" customHeight="1" spans="1:14" x14ac:dyDescent="0.25">
      <c r="A5958" s="19" t="s">
        <v>6072</v>
      </c>
      <c r="B5958" s="33">
        <v>46159.74791666667</v>
      </c>
      <c r="C5958" s="33">
        <v>46162.98888888889</v>
      </c>
      <c r="D5958" s="19" t="s">
        <v>33</v>
      </c>
      <c r="E5958" s="19" t="s">
        <v>69</v>
      </c>
      <c r="F5958" s="19" t="s">
        <v>45</v>
      </c>
      <c r="G5958" s="19" t="s">
        <v>63</v>
      </c>
      <c r="H5958" s="19" t="s">
        <v>63</v>
      </c>
      <c r="I5958" s="19" t="s">
        <v>108</v>
      </c>
      <c r="J5958" s="20">
        <v>120</v>
      </c>
      <c r="K5958" s="34">
        <v>0</v>
      </c>
      <c r="M5958" s="19">
        <f>IF(OR(ISBLANK(C5958),C5958=""),"",ROUND((C5958-B5958)*24,2))</f>
        <v>77.78</v>
      </c>
      <c r="N5958" s="35" t="str">
        <f>IF(OR(ISBLANK(C5958),C5958="",M5958=""),"In Progress",IF(M5958&lt;=J5958,"Met","Breached"))</f>
        <v>Met</v>
      </c>
    </row>
    <row r="5959" ht="19" customHeight="1" spans="1:14" x14ac:dyDescent="0.25">
      <c r="A5959" s="22" t="s">
        <v>6073</v>
      </c>
      <c r="B5959" s="36">
        <v>45952.67083333334</v>
      </c>
      <c r="C5959" s="36">
        <v>45953.39375</v>
      </c>
      <c r="D5959" s="22" t="s">
        <v>33</v>
      </c>
      <c r="E5959" s="22" t="s">
        <v>61</v>
      </c>
      <c r="F5959" s="22" t="s">
        <v>45</v>
      </c>
      <c r="G5959" s="22" t="s">
        <v>110</v>
      </c>
      <c r="H5959" s="22" t="s">
        <v>63</v>
      </c>
      <c r="I5959" s="22" t="s">
        <v>108</v>
      </c>
      <c r="J5959" s="23">
        <v>12</v>
      </c>
      <c r="K5959" s="37">
        <v>0</v>
      </c>
      <c r="M5959" s="22">
        <f>IF(OR(ISBLANK(C5959),C5959=""),"",ROUND((C5959-B5959)*24,2))</f>
        <v>17.35</v>
      </c>
      <c r="N5959" s="38" t="str">
        <f>IF(OR(ISBLANK(C5959),C5959="",M5959=""),"In Progress",IF(M5959&lt;=J5959,"Met","Breached"))</f>
        <v>Breached</v>
      </c>
    </row>
    <row r="5960" ht="19" customHeight="1" spans="1:14" x14ac:dyDescent="0.25">
      <c r="A5960" s="19" t="s">
        <v>6074</v>
      </c>
      <c r="B5960" s="33">
        <v>46083.96319444444</v>
      </c>
      <c r="C5960" s="33">
        <v>46086.86597222222</v>
      </c>
      <c r="D5960" s="19" t="s">
        <v>33</v>
      </c>
      <c r="E5960" s="19" t="s">
        <v>65</v>
      </c>
      <c r="F5960" s="19" t="s">
        <v>43</v>
      </c>
      <c r="G5960" s="19" t="s">
        <v>121</v>
      </c>
      <c r="H5960" s="19" t="s">
        <v>63</v>
      </c>
      <c r="I5960" s="19" t="s">
        <v>114</v>
      </c>
      <c r="J5960" s="20">
        <v>48</v>
      </c>
      <c r="K5960" s="34">
        <v>0</v>
      </c>
      <c r="L5960" s="34">
        <v>2</v>
      </c>
      <c r="M5960" s="19">
        <f>IF(OR(ISBLANK(C5960),C5960=""),"",ROUND((C5960-B5960)*24,2))</f>
        <v>69.67</v>
      </c>
      <c r="N5960" s="39" t="str">
        <f>IF(OR(ISBLANK(C5960),C5960="",M5960=""),"In Progress",IF(M5960&lt;=J5960,"Met","Breached"))</f>
        <v>Breached</v>
      </c>
    </row>
    <row r="5961" ht="19" customHeight="1" spans="1:14" x14ac:dyDescent="0.25">
      <c r="A5961" s="22" t="s">
        <v>6075</v>
      </c>
      <c r="B5961" s="36">
        <v>45844.32291666667</v>
      </c>
      <c r="D5961" s="22" t="s">
        <v>39</v>
      </c>
      <c r="E5961" s="22" t="s">
        <v>65</v>
      </c>
      <c r="F5961" s="22" t="s">
        <v>40</v>
      </c>
      <c r="G5961" s="22" t="s">
        <v>126</v>
      </c>
      <c r="H5961" s="22" t="s">
        <v>59</v>
      </c>
      <c r="I5961" s="22" t="s">
        <v>123</v>
      </c>
      <c r="J5961" s="23">
        <v>48</v>
      </c>
      <c r="K5961" s="37">
        <v>0</v>
      </c>
      <c r="M5961" s="22" t="str">
        <f>IF(OR(ISBLANK(C5961),C5961=""),"",ROUND((C5961-B5961)*24,2))</f>
        <v/>
      </c>
      <c r="N5961" s="22" t="str">
        <f>IF(OR(ISBLANK(C5961),C5961="",M5961=""),"In Progress",IF(M5961&lt;=J5961,"Met","Breached"))</f>
        <v>In Progress</v>
      </c>
    </row>
    <row r="5962" ht="19" customHeight="1" spans="1:14" x14ac:dyDescent="0.25">
      <c r="A5962" s="19" t="s">
        <v>6076</v>
      </c>
      <c r="B5962" s="33">
        <v>45865.90486111111</v>
      </c>
      <c r="C5962" s="33">
        <v>45868.15763888889</v>
      </c>
      <c r="D5962" s="19" t="s">
        <v>33</v>
      </c>
      <c r="E5962" s="19" t="s">
        <v>65</v>
      </c>
      <c r="F5962" s="19" t="s">
        <v>43</v>
      </c>
      <c r="G5962" s="19" t="s">
        <v>63</v>
      </c>
      <c r="H5962" s="19" t="s">
        <v>67</v>
      </c>
      <c r="I5962" s="19" t="s">
        <v>147</v>
      </c>
      <c r="J5962" s="20">
        <v>48</v>
      </c>
      <c r="K5962" s="34">
        <v>0</v>
      </c>
      <c r="L5962" s="34">
        <v>2</v>
      </c>
      <c r="M5962" s="19">
        <f>IF(OR(ISBLANK(C5962),C5962=""),"",ROUND((C5962-B5962)*24,2))</f>
        <v>54.07</v>
      </c>
      <c r="N5962" s="39" t="str">
        <f>IF(OR(ISBLANK(C5962),C5962="",M5962=""),"In Progress",IF(M5962&lt;=J5962,"Met","Breached"))</f>
        <v>Breached</v>
      </c>
    </row>
    <row r="5963" ht="19" customHeight="1" spans="1:14" x14ac:dyDescent="0.25">
      <c r="A5963" s="22" t="s">
        <v>6077</v>
      </c>
      <c r="B5963" s="36">
        <v>46100.70347222222</v>
      </c>
      <c r="C5963" s="36">
        <v>46102.356944444444</v>
      </c>
      <c r="D5963" s="22" t="s">
        <v>33</v>
      </c>
      <c r="E5963" s="22" t="s">
        <v>69</v>
      </c>
      <c r="F5963" s="22" t="s">
        <v>40</v>
      </c>
      <c r="G5963" s="22" t="s">
        <v>113</v>
      </c>
      <c r="H5963" s="22" t="s">
        <v>71</v>
      </c>
      <c r="I5963" s="22" t="s">
        <v>123</v>
      </c>
      <c r="J5963" s="23">
        <v>120</v>
      </c>
      <c r="K5963" s="37">
        <v>0</v>
      </c>
      <c r="L5963" s="37">
        <v>3</v>
      </c>
      <c r="M5963" s="22">
        <f>IF(OR(ISBLANK(C5963),C5963=""),"",ROUND((C5963-B5963)*24,2))</f>
        <v>39.68</v>
      </c>
      <c r="N5963" s="40" t="str">
        <f>IF(OR(ISBLANK(C5963),C5963="",M5963=""),"In Progress",IF(M5963&lt;=J5963,"Met","Breached"))</f>
        <v>Met</v>
      </c>
    </row>
    <row r="5964" ht="19" customHeight="1" spans="1:14" x14ac:dyDescent="0.25">
      <c r="A5964" s="19" t="s">
        <v>6078</v>
      </c>
      <c r="B5964" s="33">
        <v>45982.799305555556</v>
      </c>
      <c r="C5964" s="33">
        <v>45990.24444444444</v>
      </c>
      <c r="D5964" s="19" t="s">
        <v>36</v>
      </c>
      <c r="E5964" s="19" t="s">
        <v>69</v>
      </c>
      <c r="F5964" s="19" t="s">
        <v>40</v>
      </c>
      <c r="G5964" s="19" t="s">
        <v>63</v>
      </c>
      <c r="H5964" s="19" t="s">
        <v>59</v>
      </c>
      <c r="I5964" s="19" t="s">
        <v>147</v>
      </c>
      <c r="J5964" s="20">
        <v>120</v>
      </c>
      <c r="K5964" s="34">
        <v>1</v>
      </c>
      <c r="L5964" s="34">
        <v>1</v>
      </c>
      <c r="M5964" s="19">
        <f>IF(OR(ISBLANK(C5964),C5964=""),"",ROUND((C5964-B5964)*24,2))</f>
        <v>178.68</v>
      </c>
      <c r="N5964" s="39" t="str">
        <f>IF(OR(ISBLANK(C5964),C5964="",M5964=""),"In Progress",IF(M5964&lt;=J5964,"Met","Breached"))</f>
        <v>Breached</v>
      </c>
    </row>
    <row r="5965" ht="19" customHeight="1" spans="1:14" x14ac:dyDescent="0.25">
      <c r="A5965" s="22" t="s">
        <v>6079</v>
      </c>
      <c r="B5965" s="36">
        <v>46151.85</v>
      </c>
      <c r="C5965" s="36">
        <v>46153.22361111111</v>
      </c>
      <c r="D5965" s="22" t="s">
        <v>36</v>
      </c>
      <c r="E5965" s="22" t="s">
        <v>65</v>
      </c>
      <c r="F5965" s="22" t="s">
        <v>34</v>
      </c>
      <c r="G5965" s="22" t="s">
        <v>126</v>
      </c>
      <c r="H5965" s="22" t="s">
        <v>59</v>
      </c>
      <c r="I5965" s="22" t="s">
        <v>147</v>
      </c>
      <c r="J5965" s="23">
        <v>48</v>
      </c>
      <c r="K5965" s="37">
        <v>0</v>
      </c>
      <c r="M5965" s="22">
        <f>IF(OR(ISBLANK(C5965),C5965=""),"",ROUND((C5965-B5965)*24,2))</f>
        <v>32.97</v>
      </c>
      <c r="N5965" s="40" t="str">
        <f>IF(OR(ISBLANK(C5965),C5965="",M5965=""),"In Progress",IF(M5965&lt;=J5965,"Met","Breached"))</f>
        <v>Met</v>
      </c>
    </row>
    <row r="5966" ht="19" customHeight="1" spans="1:14" x14ac:dyDescent="0.25">
      <c r="A5966" s="19" t="s">
        <v>6080</v>
      </c>
      <c r="B5966" s="33">
        <v>46245.34305555555</v>
      </c>
      <c r="C5966" s="33">
        <v>46248.277083333334</v>
      </c>
      <c r="D5966" s="19" t="s">
        <v>33</v>
      </c>
      <c r="E5966" s="19" t="s">
        <v>65</v>
      </c>
      <c r="F5966" s="19" t="s">
        <v>34</v>
      </c>
      <c r="G5966" s="19" t="s">
        <v>116</v>
      </c>
      <c r="H5966" s="19" t="s">
        <v>71</v>
      </c>
      <c r="I5966" s="19" t="s">
        <v>111</v>
      </c>
      <c r="J5966" s="20">
        <v>48</v>
      </c>
      <c r="K5966" s="34">
        <v>0</v>
      </c>
      <c r="L5966" s="34">
        <v>4</v>
      </c>
      <c r="M5966" s="19">
        <f>IF(OR(ISBLANK(C5966),C5966=""),"",ROUND((C5966-B5966)*24,2))</f>
        <v>70.42</v>
      </c>
      <c r="N5966" s="39" t="str">
        <f>IF(OR(ISBLANK(C5966),C5966="",M5966=""),"In Progress",IF(M5966&lt;=J5966,"Met","Breached"))</f>
        <v>Breached</v>
      </c>
    </row>
    <row r="5967" ht="19" customHeight="1" spans="1:14" x14ac:dyDescent="0.25">
      <c r="A5967" s="22" t="s">
        <v>6081</v>
      </c>
      <c r="B5967" s="36">
        <v>45680.25</v>
      </c>
      <c r="C5967" s="36">
        <v>45688.45</v>
      </c>
      <c r="D5967" s="22" t="s">
        <v>33</v>
      </c>
      <c r="E5967" s="22" t="s">
        <v>69</v>
      </c>
      <c r="F5967" s="22" t="s">
        <v>34</v>
      </c>
      <c r="G5967" s="22" t="s">
        <v>63</v>
      </c>
      <c r="H5967" s="22" t="s">
        <v>67</v>
      </c>
      <c r="I5967" s="22" t="s">
        <v>111</v>
      </c>
      <c r="J5967" s="23">
        <v>120</v>
      </c>
      <c r="K5967" s="37">
        <v>0</v>
      </c>
      <c r="L5967" s="37">
        <v>4</v>
      </c>
      <c r="M5967" s="22">
        <f>IF(OR(ISBLANK(C5967),C5967=""),"",ROUND((C5967-B5967)*24,2))</f>
        <v>196.8</v>
      </c>
      <c r="N5967" s="38" t="str">
        <f>IF(OR(ISBLANK(C5967),C5967="",M5967=""),"In Progress",IF(M5967&lt;=J5967,"Met","Breached"))</f>
        <v>Breached</v>
      </c>
    </row>
    <row r="5968" ht="19" customHeight="1" spans="1:14" x14ac:dyDescent="0.25">
      <c r="A5968" s="19" t="s">
        <v>6082</v>
      </c>
      <c r="B5968" s="33">
        <v>45865.54236111111</v>
      </c>
      <c r="C5968" s="33">
        <v>45867.714583333334</v>
      </c>
      <c r="D5968" s="19" t="s">
        <v>33</v>
      </c>
      <c r="E5968" s="19" t="s">
        <v>69</v>
      </c>
      <c r="F5968" s="19" t="s">
        <v>40</v>
      </c>
      <c r="G5968" s="19" t="s">
        <v>126</v>
      </c>
      <c r="H5968" s="19" t="s">
        <v>67</v>
      </c>
      <c r="I5968" s="19" t="s">
        <v>123</v>
      </c>
      <c r="J5968" s="20">
        <v>120</v>
      </c>
      <c r="K5968" s="34">
        <v>0</v>
      </c>
      <c r="M5968" s="19">
        <f>IF(OR(ISBLANK(C5968),C5968=""),"",ROUND((C5968-B5968)*24,2))</f>
        <v>52.13</v>
      </c>
      <c r="N5968" s="35" t="str">
        <f>IF(OR(ISBLANK(C5968),C5968="",M5968=""),"In Progress",IF(M5968&lt;=J5968,"Met","Breached"))</f>
        <v>Met</v>
      </c>
    </row>
    <row r="5969" ht="19" customHeight="1" spans="1:14" x14ac:dyDescent="0.25">
      <c r="A5969" s="22" t="s">
        <v>6083</v>
      </c>
      <c r="B5969" s="36">
        <v>45883.76875</v>
      </c>
      <c r="C5969" s="36">
        <v>45884.95416666666</v>
      </c>
      <c r="D5969" s="22" t="s">
        <v>33</v>
      </c>
      <c r="E5969" s="22" t="s">
        <v>65</v>
      </c>
      <c r="F5969" s="22" t="s">
        <v>45</v>
      </c>
      <c r="G5969" s="22" t="s">
        <v>113</v>
      </c>
      <c r="H5969" s="22" t="s">
        <v>59</v>
      </c>
      <c r="I5969" s="22" t="s">
        <v>111</v>
      </c>
      <c r="J5969" s="23">
        <v>48</v>
      </c>
      <c r="K5969" s="37">
        <v>0</v>
      </c>
      <c r="L5969" s="37">
        <v>2</v>
      </c>
      <c r="M5969" s="22">
        <f>IF(OR(ISBLANK(C5969),C5969=""),"",ROUND((C5969-B5969)*24,2))</f>
        <v>28.45</v>
      </c>
      <c r="N5969" s="40" t="str">
        <f>IF(OR(ISBLANK(C5969),C5969="",M5969=""),"In Progress",IF(M5969&lt;=J5969,"Met","Breached"))</f>
        <v>Met</v>
      </c>
    </row>
    <row r="5970" ht="19" customHeight="1" spans="1:14" x14ac:dyDescent="0.25">
      <c r="A5970" s="19" t="s">
        <v>6084</v>
      </c>
      <c r="B5970" s="33">
        <v>46194.48611111111</v>
      </c>
      <c r="C5970" s="33">
        <v>46195.22361111111</v>
      </c>
      <c r="D5970" s="19" t="s">
        <v>33</v>
      </c>
      <c r="E5970" s="19" t="s">
        <v>61</v>
      </c>
      <c r="F5970" s="19" t="s">
        <v>43</v>
      </c>
      <c r="G5970" s="19" t="s">
        <v>121</v>
      </c>
      <c r="H5970" s="19" t="s">
        <v>63</v>
      </c>
      <c r="I5970" s="19" t="s">
        <v>108</v>
      </c>
      <c r="J5970" s="20">
        <v>12</v>
      </c>
      <c r="K5970" s="34">
        <v>0</v>
      </c>
      <c r="M5970" s="19">
        <f>IF(OR(ISBLANK(C5970),C5970=""),"",ROUND((C5970-B5970)*24,2))</f>
        <v>17.7</v>
      </c>
      <c r="N5970" s="39" t="str">
        <f>IF(OR(ISBLANK(C5970),C5970="",M5970=""),"In Progress",IF(M5970&lt;=J5970,"Met","Breached"))</f>
        <v>Breached</v>
      </c>
    </row>
    <row r="5971" ht="19" customHeight="1" spans="1:14" x14ac:dyDescent="0.25">
      <c r="A5971" s="22" t="s">
        <v>6085</v>
      </c>
      <c r="B5971" s="36">
        <v>46087.58541666667</v>
      </c>
      <c r="C5971" s="36">
        <v>46087.84236111111</v>
      </c>
      <c r="D5971" s="22" t="s">
        <v>33</v>
      </c>
      <c r="E5971" s="22" t="s">
        <v>61</v>
      </c>
      <c r="F5971" s="22" t="s">
        <v>45</v>
      </c>
      <c r="G5971" s="22" t="s">
        <v>116</v>
      </c>
      <c r="H5971" s="22" t="s">
        <v>63</v>
      </c>
      <c r="I5971" s="22" t="s">
        <v>114</v>
      </c>
      <c r="J5971" s="23">
        <v>12</v>
      </c>
      <c r="K5971" s="37">
        <v>0</v>
      </c>
      <c r="L5971" s="37">
        <v>1</v>
      </c>
      <c r="M5971" s="22">
        <f>IF(OR(ISBLANK(C5971),C5971=""),"",ROUND((C5971-B5971)*24,2))</f>
        <v>6.17</v>
      </c>
      <c r="N5971" s="40" t="str">
        <f>IF(OR(ISBLANK(C5971),C5971="",M5971=""),"In Progress",IF(M5971&lt;=J5971,"Met","Breached"))</f>
        <v>Met</v>
      </c>
    </row>
    <row r="5972" ht="19" customHeight="1" spans="1:14" x14ac:dyDescent="0.25">
      <c r="A5972" s="19" t="s">
        <v>6086</v>
      </c>
      <c r="B5972" s="33">
        <v>45727.447222222225</v>
      </c>
      <c r="D5972" s="19" t="s">
        <v>39</v>
      </c>
      <c r="E5972" s="19" t="s">
        <v>57</v>
      </c>
      <c r="F5972" s="19" t="s">
        <v>40</v>
      </c>
      <c r="G5972" s="19" t="s">
        <v>63</v>
      </c>
      <c r="H5972" s="19" t="s">
        <v>63</v>
      </c>
      <c r="I5972" s="19" t="s">
        <v>147</v>
      </c>
      <c r="J5972" s="20">
        <v>4</v>
      </c>
      <c r="K5972" s="34">
        <v>0</v>
      </c>
      <c r="M5972" s="19" t="str">
        <f>IF(OR(ISBLANK(C5972),C5972=""),"",ROUND((C5972-B5972)*24,2))</f>
        <v/>
      </c>
      <c r="N5972" s="19" t="str">
        <f>IF(OR(ISBLANK(C5972),C5972="",M5972=""),"In Progress",IF(M5972&lt;=J5972,"Met","Breached"))</f>
        <v>In Progress</v>
      </c>
    </row>
    <row r="5973" ht="19" customHeight="1" spans="1:14" x14ac:dyDescent="0.25">
      <c r="A5973" s="22" t="s">
        <v>6087</v>
      </c>
      <c r="B5973" s="36">
        <v>46100.763194444444</v>
      </c>
      <c r="C5973" s="36">
        <v>46103.888194444444</v>
      </c>
      <c r="D5973" s="22" t="s">
        <v>33</v>
      </c>
      <c r="E5973" s="22" t="s">
        <v>65</v>
      </c>
      <c r="F5973" s="22" t="s">
        <v>45</v>
      </c>
      <c r="G5973" s="22" t="s">
        <v>113</v>
      </c>
      <c r="H5973" s="22" t="s">
        <v>59</v>
      </c>
      <c r="I5973" s="22" t="s">
        <v>147</v>
      </c>
      <c r="J5973" s="23">
        <v>48</v>
      </c>
      <c r="K5973" s="37">
        <v>0</v>
      </c>
      <c r="M5973" s="22">
        <f>IF(OR(ISBLANK(C5973),C5973=""),"",ROUND((C5973-B5973)*24,2))</f>
        <v>75</v>
      </c>
      <c r="N5973" s="38" t="str">
        <f>IF(OR(ISBLANK(C5973),C5973="",M5973=""),"In Progress",IF(M5973&lt;=J5973,"Met","Breached"))</f>
        <v>Breached</v>
      </c>
    </row>
    <row r="5974" ht="19" customHeight="1" spans="1:14" x14ac:dyDescent="0.25">
      <c r="A5974" s="19" t="s">
        <v>6088</v>
      </c>
      <c r="B5974" s="33">
        <v>46246.01180555555</v>
      </c>
      <c r="C5974" s="33">
        <v>46246.325</v>
      </c>
      <c r="D5974" s="19" t="s">
        <v>33</v>
      </c>
      <c r="E5974" s="19" t="s">
        <v>61</v>
      </c>
      <c r="F5974" s="19" t="s">
        <v>45</v>
      </c>
      <c r="G5974" s="19" t="s">
        <v>110</v>
      </c>
      <c r="H5974" s="19" t="s">
        <v>59</v>
      </c>
      <c r="I5974" s="19" t="s">
        <v>108</v>
      </c>
      <c r="J5974" s="20">
        <v>12</v>
      </c>
      <c r="K5974" s="34">
        <v>1</v>
      </c>
      <c r="L5974" s="34">
        <v>1</v>
      </c>
      <c r="M5974" s="19">
        <f>IF(OR(ISBLANK(C5974),C5974=""),"",ROUND((C5974-B5974)*24,2))</f>
        <v>7.52</v>
      </c>
      <c r="N5974" s="35" t="str">
        <f>IF(OR(ISBLANK(C5974),C5974="",M5974=""),"In Progress",IF(M5974&lt;=J5974,"Met","Breached"))</f>
        <v>Met</v>
      </c>
    </row>
    <row r="5975" ht="19" customHeight="1" spans="1:14" x14ac:dyDescent="0.25">
      <c r="A5975" s="22" t="s">
        <v>6089</v>
      </c>
      <c r="B5975" s="36">
        <v>45778.947222222225</v>
      </c>
      <c r="C5975" s="36">
        <v>45779.129166666666</v>
      </c>
      <c r="D5975" s="22" t="s">
        <v>33</v>
      </c>
      <c r="E5975" s="22" t="s">
        <v>57</v>
      </c>
      <c r="F5975" s="22" t="s">
        <v>45</v>
      </c>
      <c r="G5975" s="22" t="s">
        <v>116</v>
      </c>
      <c r="H5975" s="22" t="s">
        <v>59</v>
      </c>
      <c r="I5975" s="22" t="s">
        <v>114</v>
      </c>
      <c r="J5975" s="23">
        <v>4</v>
      </c>
      <c r="K5975" s="37">
        <v>0</v>
      </c>
      <c r="L5975" s="37">
        <v>4</v>
      </c>
      <c r="M5975" s="22">
        <f>IF(OR(ISBLANK(C5975),C5975=""),"",ROUND((C5975-B5975)*24,2))</f>
        <v>4.37</v>
      </c>
      <c r="N5975" s="38" t="str">
        <f>IF(OR(ISBLANK(C5975),C5975="",M5975=""),"In Progress",IF(M5975&lt;=J5975,"Met","Breached"))</f>
        <v>Breached</v>
      </c>
    </row>
    <row r="5976" ht="19" customHeight="1" spans="1:14" x14ac:dyDescent="0.25">
      <c r="A5976" s="19" t="s">
        <v>6090</v>
      </c>
      <c r="B5976" s="33">
        <v>46201.30972222222</v>
      </c>
      <c r="C5976" s="33">
        <v>46203.28680555556</v>
      </c>
      <c r="D5976" s="19" t="s">
        <v>33</v>
      </c>
      <c r="E5976" s="19" t="s">
        <v>69</v>
      </c>
      <c r="F5976" s="19" t="s">
        <v>43</v>
      </c>
      <c r="G5976" s="19" t="s">
        <v>116</v>
      </c>
      <c r="H5976" s="19" t="s">
        <v>59</v>
      </c>
      <c r="I5976" s="19" t="s">
        <v>123</v>
      </c>
      <c r="J5976" s="20">
        <v>120</v>
      </c>
      <c r="K5976" s="34">
        <v>0</v>
      </c>
      <c r="L5976" s="34">
        <v>5</v>
      </c>
      <c r="M5976" s="19">
        <f>IF(OR(ISBLANK(C5976),C5976=""),"",ROUND((C5976-B5976)*24,2))</f>
        <v>47.45</v>
      </c>
      <c r="N5976" s="35" t="str">
        <f>IF(OR(ISBLANK(C5976),C5976="",M5976=""),"In Progress",IF(M5976&lt;=J5976,"Met","Breached"))</f>
        <v>Met</v>
      </c>
    </row>
    <row r="5977" ht="19" customHeight="1" spans="1:14" x14ac:dyDescent="0.25">
      <c r="A5977" s="22" t="s">
        <v>6091</v>
      </c>
      <c r="B5977" s="36">
        <v>46131.38125</v>
      </c>
      <c r="C5977" s="36">
        <v>46138.91111111111</v>
      </c>
      <c r="D5977" s="22" t="s">
        <v>33</v>
      </c>
      <c r="E5977" s="22" t="s">
        <v>69</v>
      </c>
      <c r="F5977" s="22" t="s">
        <v>40</v>
      </c>
      <c r="G5977" s="22" t="s">
        <v>126</v>
      </c>
      <c r="H5977" s="22" t="s">
        <v>63</v>
      </c>
      <c r="I5977" s="22" t="s">
        <v>147</v>
      </c>
      <c r="J5977" s="23">
        <v>120</v>
      </c>
      <c r="K5977" s="37">
        <v>0</v>
      </c>
      <c r="L5977" s="37">
        <v>3</v>
      </c>
      <c r="M5977" s="22">
        <f>IF(OR(ISBLANK(C5977),C5977=""),"",ROUND((C5977-B5977)*24,2))</f>
        <v>180.72</v>
      </c>
      <c r="N5977" s="38" t="str">
        <f>IF(OR(ISBLANK(C5977),C5977="",M5977=""),"In Progress",IF(M5977&lt;=J5977,"Met","Breached"))</f>
        <v>Breached</v>
      </c>
    </row>
    <row r="5978" ht="19" customHeight="1" spans="1:14" x14ac:dyDescent="0.25">
      <c r="A5978" s="19" t="s">
        <v>6092</v>
      </c>
      <c r="B5978" s="33">
        <v>45696.96041666667</v>
      </c>
      <c r="C5978" s="33">
        <v>45700.53055555555</v>
      </c>
      <c r="D5978" s="19" t="s">
        <v>33</v>
      </c>
      <c r="E5978" s="19" t="s">
        <v>65</v>
      </c>
      <c r="F5978" s="19" t="s">
        <v>43</v>
      </c>
      <c r="G5978" s="19" t="s">
        <v>110</v>
      </c>
      <c r="H5978" s="19" t="s">
        <v>63</v>
      </c>
      <c r="I5978" s="19" t="s">
        <v>147</v>
      </c>
      <c r="J5978" s="20">
        <v>48</v>
      </c>
      <c r="K5978" s="34">
        <v>0</v>
      </c>
      <c r="L5978" s="34">
        <v>5</v>
      </c>
      <c r="M5978" s="19">
        <f>IF(OR(ISBLANK(C5978),C5978=""),"",ROUND((C5978-B5978)*24,2))</f>
        <v>85.68</v>
      </c>
      <c r="N5978" s="39" t="str">
        <f>IF(OR(ISBLANK(C5978),C5978="",M5978=""),"In Progress",IF(M5978&lt;=J5978,"Met","Breached"))</f>
        <v>Breached</v>
      </c>
    </row>
    <row r="5979" ht="19" customHeight="1" spans="1:14" x14ac:dyDescent="0.25">
      <c r="A5979" s="22" t="s">
        <v>6093</v>
      </c>
      <c r="B5979" s="36">
        <v>45906.5875</v>
      </c>
      <c r="C5979" s="36">
        <v>45908.54513888889</v>
      </c>
      <c r="D5979" s="22" t="s">
        <v>36</v>
      </c>
      <c r="E5979" s="22" t="s">
        <v>65</v>
      </c>
      <c r="F5979" s="22" t="s">
        <v>45</v>
      </c>
      <c r="G5979" s="22" t="s">
        <v>121</v>
      </c>
      <c r="H5979" s="22" t="s">
        <v>71</v>
      </c>
      <c r="I5979" s="22" t="s">
        <v>147</v>
      </c>
      <c r="J5979" s="23">
        <v>48</v>
      </c>
      <c r="K5979" s="37">
        <v>0</v>
      </c>
      <c r="M5979" s="22">
        <f>IF(OR(ISBLANK(C5979),C5979=""),"",ROUND((C5979-B5979)*24,2))</f>
        <v>46.98</v>
      </c>
      <c r="N5979" s="40" t="str">
        <f>IF(OR(ISBLANK(C5979),C5979="",M5979=""),"In Progress",IF(M5979&lt;=J5979,"Met","Breached"))</f>
        <v>Met</v>
      </c>
    </row>
    <row r="5980" ht="19" customHeight="1" spans="1:14" x14ac:dyDescent="0.25">
      <c r="A5980" s="19" t="s">
        <v>6094</v>
      </c>
      <c r="B5980" s="33">
        <v>46061.21041666667</v>
      </c>
      <c r="C5980" s="33">
        <v>46064.679861111115</v>
      </c>
      <c r="D5980" s="19" t="s">
        <v>33</v>
      </c>
      <c r="E5980" s="19" t="s">
        <v>65</v>
      </c>
      <c r="F5980" s="19" t="s">
        <v>45</v>
      </c>
      <c r="G5980" s="19" t="s">
        <v>110</v>
      </c>
      <c r="H5980" s="19" t="s">
        <v>59</v>
      </c>
      <c r="I5980" s="19" t="s">
        <v>108</v>
      </c>
      <c r="J5980" s="20">
        <v>48</v>
      </c>
      <c r="K5980" s="34">
        <v>0</v>
      </c>
      <c r="L5980" s="34">
        <v>5</v>
      </c>
      <c r="M5980" s="19">
        <f>IF(OR(ISBLANK(C5980),C5980=""),"",ROUND((C5980-B5980)*24,2))</f>
        <v>83.27</v>
      </c>
      <c r="N5980" s="39" t="str">
        <f>IF(OR(ISBLANK(C5980),C5980="",M5980=""),"In Progress",IF(M5980&lt;=J5980,"Met","Breached"))</f>
        <v>Breached</v>
      </c>
    </row>
    <row r="5981" ht="19" customHeight="1" spans="1:14" x14ac:dyDescent="0.25">
      <c r="A5981" s="22" t="s">
        <v>6095</v>
      </c>
      <c r="B5981" s="36">
        <v>45905.97152777778</v>
      </c>
      <c r="C5981" s="36">
        <v>45907.33541666667</v>
      </c>
      <c r="D5981" s="22" t="s">
        <v>33</v>
      </c>
      <c r="E5981" s="22" t="s">
        <v>65</v>
      </c>
      <c r="F5981" s="22" t="s">
        <v>40</v>
      </c>
      <c r="G5981" s="22" t="s">
        <v>126</v>
      </c>
      <c r="H5981" s="22" t="s">
        <v>63</v>
      </c>
      <c r="I5981" s="22" t="s">
        <v>147</v>
      </c>
      <c r="J5981" s="23">
        <v>48</v>
      </c>
      <c r="K5981" s="37">
        <v>0</v>
      </c>
      <c r="M5981" s="22">
        <f>IF(OR(ISBLANK(C5981),C5981=""),"",ROUND((C5981-B5981)*24,2))</f>
        <v>32.73</v>
      </c>
      <c r="N5981" s="40" t="str">
        <f>IF(OR(ISBLANK(C5981),C5981="",M5981=""),"In Progress",IF(M5981&lt;=J5981,"Met","Breached"))</f>
        <v>Met</v>
      </c>
    </row>
    <row r="5982" ht="19" customHeight="1" spans="1:14" x14ac:dyDescent="0.25">
      <c r="A5982" s="19" t="s">
        <v>6096</v>
      </c>
      <c r="B5982" s="33">
        <v>46248.76388888889</v>
      </c>
      <c r="C5982" s="33">
        <v>46251.11666666667</v>
      </c>
      <c r="D5982" s="19" t="s">
        <v>36</v>
      </c>
      <c r="E5982" s="19" t="s">
        <v>65</v>
      </c>
      <c r="F5982" s="19" t="s">
        <v>34</v>
      </c>
      <c r="G5982" s="19" t="s">
        <v>126</v>
      </c>
      <c r="H5982" s="19" t="s">
        <v>59</v>
      </c>
      <c r="I5982" s="19" t="s">
        <v>123</v>
      </c>
      <c r="J5982" s="20">
        <v>48</v>
      </c>
      <c r="K5982" s="34">
        <v>0</v>
      </c>
      <c r="M5982" s="19">
        <f>IF(OR(ISBLANK(C5982),C5982=""),"",ROUND((C5982-B5982)*24,2))</f>
        <v>56.47</v>
      </c>
      <c r="N5982" s="39" t="str">
        <f>IF(OR(ISBLANK(C5982),C5982="",M5982=""),"In Progress",IF(M5982&lt;=J5982,"Met","Breached"))</f>
        <v>Breached</v>
      </c>
    </row>
    <row r="5983" ht="19" customHeight="1" spans="1:14" x14ac:dyDescent="0.25">
      <c r="A5983" s="22" t="s">
        <v>6097</v>
      </c>
      <c r="B5983" s="36">
        <v>46049.351388888885</v>
      </c>
      <c r="D5983" s="22" t="s">
        <v>42</v>
      </c>
      <c r="E5983" s="22" t="s">
        <v>57</v>
      </c>
      <c r="F5983" s="22" t="s">
        <v>45</v>
      </c>
      <c r="G5983" s="22" t="s">
        <v>121</v>
      </c>
      <c r="H5983" s="22" t="s">
        <v>71</v>
      </c>
      <c r="I5983" s="22" t="s">
        <v>123</v>
      </c>
      <c r="J5983" s="23">
        <v>4</v>
      </c>
      <c r="K5983" s="37">
        <v>0</v>
      </c>
      <c r="M5983" s="22" t="str">
        <f>IF(OR(ISBLANK(C5983),C5983=""),"",ROUND((C5983-B5983)*24,2))</f>
        <v/>
      </c>
      <c r="N5983" s="22" t="str">
        <f>IF(OR(ISBLANK(C5983),C5983="",M5983=""),"In Progress",IF(M5983&lt;=J5983,"Met","Breached"))</f>
        <v>In Progress</v>
      </c>
    </row>
    <row r="5984" ht="19" customHeight="1" spans="1:14" x14ac:dyDescent="0.25">
      <c r="A5984" s="19" t="s">
        <v>6098</v>
      </c>
      <c r="B5984" s="33">
        <v>46020.820138888885</v>
      </c>
      <c r="C5984" s="33">
        <v>46023.61458333333</v>
      </c>
      <c r="D5984" s="19" t="s">
        <v>36</v>
      </c>
      <c r="E5984" s="19" t="s">
        <v>65</v>
      </c>
      <c r="F5984" s="19" t="s">
        <v>37</v>
      </c>
      <c r="G5984" s="19" t="s">
        <v>126</v>
      </c>
      <c r="H5984" s="19" t="s">
        <v>59</v>
      </c>
      <c r="I5984" s="19" t="s">
        <v>123</v>
      </c>
      <c r="J5984" s="20">
        <v>48</v>
      </c>
      <c r="K5984" s="34">
        <v>0</v>
      </c>
      <c r="L5984" s="34">
        <v>1</v>
      </c>
      <c r="M5984" s="19">
        <f>IF(OR(ISBLANK(C5984),C5984=""),"",ROUND((C5984-B5984)*24,2))</f>
        <v>67.07</v>
      </c>
      <c r="N5984" s="39" t="str">
        <f>IF(OR(ISBLANK(C5984),C5984="",M5984=""),"In Progress",IF(M5984&lt;=J5984,"Met","Breached"))</f>
        <v>Breached</v>
      </c>
    </row>
    <row r="5985" ht="19" customHeight="1" spans="1:14" x14ac:dyDescent="0.25">
      <c r="A5985" s="22" t="s">
        <v>6099</v>
      </c>
      <c r="B5985" s="36">
        <v>46183.44236111111</v>
      </c>
      <c r="C5985" s="36">
        <v>46183.73472222222</v>
      </c>
      <c r="D5985" s="22" t="s">
        <v>33</v>
      </c>
      <c r="E5985" s="22" t="s">
        <v>57</v>
      </c>
      <c r="F5985" s="22" t="s">
        <v>43</v>
      </c>
      <c r="G5985" s="22" t="s">
        <v>113</v>
      </c>
      <c r="H5985" s="22" t="s">
        <v>63</v>
      </c>
      <c r="I5985" s="22" t="s">
        <v>111</v>
      </c>
      <c r="J5985" s="23">
        <v>4</v>
      </c>
      <c r="K5985" s="37">
        <v>0</v>
      </c>
      <c r="M5985" s="22">
        <f>IF(OR(ISBLANK(C5985),C5985=""),"",ROUND((C5985-B5985)*24,2))</f>
        <v>7.02</v>
      </c>
      <c r="N5985" s="38" t="str">
        <f>IF(OR(ISBLANK(C5985),C5985="",M5985=""),"In Progress",IF(M5985&lt;=J5985,"Met","Breached"))</f>
        <v>Breached</v>
      </c>
    </row>
    <row r="5986" ht="19" customHeight="1" spans="1:14" x14ac:dyDescent="0.25">
      <c r="A5986" s="19" t="s">
        <v>6100</v>
      </c>
      <c r="B5986" s="33">
        <v>45988.43819444445</v>
      </c>
      <c r="C5986" s="33">
        <v>45989.924305555556</v>
      </c>
      <c r="D5986" s="19" t="s">
        <v>36</v>
      </c>
      <c r="E5986" s="19" t="s">
        <v>65</v>
      </c>
      <c r="F5986" s="19" t="s">
        <v>34</v>
      </c>
      <c r="G5986" s="19" t="s">
        <v>110</v>
      </c>
      <c r="H5986" s="19" t="s">
        <v>59</v>
      </c>
      <c r="I5986" s="19" t="s">
        <v>147</v>
      </c>
      <c r="J5986" s="20">
        <v>48</v>
      </c>
      <c r="K5986" s="34">
        <v>0</v>
      </c>
      <c r="M5986" s="19">
        <f>IF(OR(ISBLANK(C5986),C5986=""),"",ROUND((C5986-B5986)*24,2))</f>
        <v>35.67</v>
      </c>
      <c r="N5986" s="35" t="str">
        <f>IF(OR(ISBLANK(C5986),C5986="",M5986=""),"In Progress",IF(M5986&lt;=J5986,"Met","Breached"))</f>
        <v>Met</v>
      </c>
    </row>
    <row r="5987" ht="19" customHeight="1" spans="1:14" x14ac:dyDescent="0.25">
      <c r="A5987" s="22" t="s">
        <v>6101</v>
      </c>
      <c r="B5987" s="36">
        <v>46028.163888888885</v>
      </c>
      <c r="C5987" s="36">
        <v>46030.92361111111</v>
      </c>
      <c r="D5987" s="22" t="s">
        <v>33</v>
      </c>
      <c r="E5987" s="22" t="s">
        <v>65</v>
      </c>
      <c r="F5987" s="22" t="s">
        <v>37</v>
      </c>
      <c r="G5987" s="22" t="s">
        <v>110</v>
      </c>
      <c r="H5987" s="22" t="s">
        <v>63</v>
      </c>
      <c r="I5987" s="22" t="s">
        <v>117</v>
      </c>
      <c r="J5987" s="23">
        <v>48</v>
      </c>
      <c r="K5987" s="37">
        <v>0</v>
      </c>
      <c r="L5987" s="37">
        <v>2</v>
      </c>
      <c r="M5987" s="22">
        <f>IF(OR(ISBLANK(C5987),C5987=""),"",ROUND((C5987-B5987)*24,2))</f>
        <v>66.23</v>
      </c>
      <c r="N5987" s="38" t="str">
        <f>IF(OR(ISBLANK(C5987),C5987="",M5987=""),"In Progress",IF(M5987&lt;=J5987,"Met","Breached"))</f>
        <v>Breached</v>
      </c>
    </row>
    <row r="5988" ht="19" customHeight="1" spans="1:14" x14ac:dyDescent="0.25">
      <c r="A5988" s="19" t="s">
        <v>6102</v>
      </c>
      <c r="B5988" s="33">
        <v>45781.91805555555</v>
      </c>
      <c r="C5988" s="33">
        <v>45786.57638888889</v>
      </c>
      <c r="D5988" s="19" t="s">
        <v>33</v>
      </c>
      <c r="E5988" s="19" t="s">
        <v>69</v>
      </c>
      <c r="F5988" s="19" t="s">
        <v>34</v>
      </c>
      <c r="G5988" s="19" t="s">
        <v>110</v>
      </c>
      <c r="H5988" s="19" t="s">
        <v>63</v>
      </c>
      <c r="I5988" s="19" t="s">
        <v>117</v>
      </c>
      <c r="J5988" s="20">
        <v>120</v>
      </c>
      <c r="K5988" s="34">
        <v>0</v>
      </c>
      <c r="L5988" s="34">
        <v>2</v>
      </c>
      <c r="M5988" s="19">
        <f>IF(OR(ISBLANK(C5988),C5988=""),"",ROUND((C5988-B5988)*24,2))</f>
        <v>111.8</v>
      </c>
      <c r="N5988" s="35" t="str">
        <f>IF(OR(ISBLANK(C5988),C5988="",M5988=""),"In Progress",IF(M5988&lt;=J5988,"Met","Breached"))</f>
        <v>Met</v>
      </c>
    </row>
    <row r="5989" ht="19" customHeight="1" spans="1:14" x14ac:dyDescent="0.25">
      <c r="A5989" s="22" t="s">
        <v>6103</v>
      </c>
      <c r="B5989" s="36">
        <v>46155.60625</v>
      </c>
      <c r="D5989" s="22" t="s">
        <v>42</v>
      </c>
      <c r="E5989" s="22" t="s">
        <v>61</v>
      </c>
      <c r="F5989" s="22" t="s">
        <v>43</v>
      </c>
      <c r="G5989" s="22" t="s">
        <v>63</v>
      </c>
      <c r="H5989" s="22" t="s">
        <v>59</v>
      </c>
      <c r="I5989" s="22" t="s">
        <v>123</v>
      </c>
      <c r="J5989" s="23">
        <v>12</v>
      </c>
      <c r="K5989" s="37">
        <v>0</v>
      </c>
      <c r="M5989" s="22" t="str">
        <f>IF(OR(ISBLANK(C5989),C5989=""),"",ROUND((C5989-B5989)*24,2))</f>
        <v/>
      </c>
      <c r="N5989" s="22" t="str">
        <f>IF(OR(ISBLANK(C5989),C5989="",M5989=""),"In Progress",IF(M5989&lt;=J5989,"Met","Breached"))</f>
        <v>In Progress</v>
      </c>
    </row>
    <row r="5990" ht="19" customHeight="1" spans="1:14" x14ac:dyDescent="0.25">
      <c r="A5990" s="19" t="s">
        <v>6104</v>
      </c>
      <c r="B5990" s="33">
        <v>46190.66736111111</v>
      </c>
      <c r="C5990" s="33">
        <v>46191.228472222225</v>
      </c>
      <c r="D5990" s="19" t="s">
        <v>33</v>
      </c>
      <c r="E5990" s="19" t="s">
        <v>61</v>
      </c>
      <c r="F5990" s="19" t="s">
        <v>43</v>
      </c>
      <c r="G5990" s="19" t="s">
        <v>63</v>
      </c>
      <c r="H5990" s="19" t="s">
        <v>67</v>
      </c>
      <c r="I5990" s="19" t="s">
        <v>111</v>
      </c>
      <c r="J5990" s="20">
        <v>12</v>
      </c>
      <c r="K5990" s="34">
        <v>0</v>
      </c>
      <c r="M5990" s="19">
        <f>IF(OR(ISBLANK(C5990),C5990=""),"",ROUND((C5990-B5990)*24,2))</f>
        <v>13.47</v>
      </c>
      <c r="N5990" s="39" t="str">
        <f>IF(OR(ISBLANK(C5990),C5990="",M5990=""),"In Progress",IF(M5990&lt;=J5990,"Met","Breached"))</f>
        <v>Breached</v>
      </c>
    </row>
    <row r="5991" ht="19" customHeight="1" spans="1:14" x14ac:dyDescent="0.25">
      <c r="A5991" s="22" t="s">
        <v>6105</v>
      </c>
      <c r="B5991" s="36">
        <v>46184.375</v>
      </c>
      <c r="C5991" s="36">
        <v>46186.97986111111</v>
      </c>
      <c r="D5991" s="22" t="s">
        <v>33</v>
      </c>
      <c r="E5991" s="22" t="s">
        <v>65</v>
      </c>
      <c r="F5991" s="22" t="s">
        <v>40</v>
      </c>
      <c r="G5991" s="22" t="s">
        <v>110</v>
      </c>
      <c r="H5991" s="22" t="s">
        <v>63</v>
      </c>
      <c r="I5991" s="22" t="s">
        <v>108</v>
      </c>
      <c r="J5991" s="23">
        <v>48</v>
      </c>
      <c r="K5991" s="37">
        <v>0</v>
      </c>
      <c r="L5991" s="37">
        <v>4</v>
      </c>
      <c r="M5991" s="22">
        <f>IF(OR(ISBLANK(C5991),C5991=""),"",ROUND((C5991-B5991)*24,2))</f>
        <v>62.52</v>
      </c>
      <c r="N5991" s="38" t="str">
        <f>IF(OR(ISBLANK(C5991),C5991="",M5991=""),"In Progress",IF(M5991&lt;=J5991,"Met","Breached"))</f>
        <v>Breached</v>
      </c>
    </row>
    <row r="5992" ht="19" customHeight="1" spans="1:14" x14ac:dyDescent="0.25">
      <c r="A5992" s="19" t="s">
        <v>6106</v>
      </c>
      <c r="B5992" s="33">
        <v>45951.21388888889</v>
      </c>
      <c r="C5992" s="33">
        <v>45954.76875</v>
      </c>
      <c r="D5992" s="19" t="s">
        <v>33</v>
      </c>
      <c r="E5992" s="19" t="s">
        <v>65</v>
      </c>
      <c r="F5992" s="19" t="s">
        <v>43</v>
      </c>
      <c r="G5992" s="19" t="s">
        <v>63</v>
      </c>
      <c r="H5992" s="19" t="s">
        <v>67</v>
      </c>
      <c r="I5992" s="19" t="s">
        <v>114</v>
      </c>
      <c r="J5992" s="20">
        <v>48</v>
      </c>
      <c r="K5992" s="34">
        <v>0</v>
      </c>
      <c r="L5992" s="34">
        <v>3</v>
      </c>
      <c r="M5992" s="19">
        <f>IF(OR(ISBLANK(C5992),C5992=""),"",ROUND((C5992-B5992)*24,2))</f>
        <v>85.32</v>
      </c>
      <c r="N5992" s="39" t="str">
        <f>IF(OR(ISBLANK(C5992),C5992="",M5992=""),"In Progress",IF(M5992&lt;=J5992,"Met","Breached"))</f>
        <v>Breached</v>
      </c>
    </row>
    <row r="5993" ht="19" customHeight="1" spans="1:14" x14ac:dyDescent="0.25">
      <c r="A5993" s="22" t="s">
        <v>6107</v>
      </c>
      <c r="B5993" s="36">
        <v>45826.13680555555</v>
      </c>
      <c r="C5993" s="36">
        <v>45834.013194444444</v>
      </c>
      <c r="D5993" s="22" t="s">
        <v>36</v>
      </c>
      <c r="E5993" s="22" t="s">
        <v>69</v>
      </c>
      <c r="F5993" s="22" t="s">
        <v>40</v>
      </c>
      <c r="G5993" s="22" t="s">
        <v>116</v>
      </c>
      <c r="H5993" s="22" t="s">
        <v>63</v>
      </c>
      <c r="I5993" s="22" t="s">
        <v>114</v>
      </c>
      <c r="J5993" s="23">
        <v>120</v>
      </c>
      <c r="K5993" s="37">
        <v>0</v>
      </c>
      <c r="L5993" s="37">
        <v>2</v>
      </c>
      <c r="M5993" s="22">
        <f>IF(OR(ISBLANK(C5993),C5993=""),"",ROUND((C5993-B5993)*24,2))</f>
        <v>189.03</v>
      </c>
      <c r="N5993" s="38" t="str">
        <f>IF(OR(ISBLANK(C5993),C5993="",M5993=""),"In Progress",IF(M5993&lt;=J5993,"Met","Breached"))</f>
        <v>Breached</v>
      </c>
    </row>
    <row r="5994" ht="19" customHeight="1" spans="1:14" x14ac:dyDescent="0.25">
      <c r="A5994" s="19" t="s">
        <v>6108</v>
      </c>
      <c r="B5994" s="33">
        <v>45709.32638888889</v>
      </c>
      <c r="C5994" s="33">
        <v>45711.18194444444</v>
      </c>
      <c r="D5994" s="19" t="s">
        <v>33</v>
      </c>
      <c r="E5994" s="19" t="s">
        <v>65</v>
      </c>
      <c r="F5994" s="19" t="s">
        <v>40</v>
      </c>
      <c r="G5994" s="19" t="s">
        <v>126</v>
      </c>
      <c r="H5994" s="19" t="s">
        <v>63</v>
      </c>
      <c r="I5994" s="19" t="s">
        <v>114</v>
      </c>
      <c r="J5994" s="20">
        <v>48</v>
      </c>
      <c r="K5994" s="34">
        <v>0</v>
      </c>
      <c r="L5994" s="34">
        <v>2</v>
      </c>
      <c r="M5994" s="19">
        <f>IF(OR(ISBLANK(C5994),C5994=""),"",ROUND((C5994-B5994)*24,2))</f>
        <v>44.53</v>
      </c>
      <c r="N5994" s="35" t="str">
        <f>IF(OR(ISBLANK(C5994),C5994="",M5994=""),"In Progress",IF(M5994&lt;=J5994,"Met","Breached"))</f>
        <v>Met</v>
      </c>
    </row>
    <row r="5995" ht="19" customHeight="1" spans="1:14" x14ac:dyDescent="0.25">
      <c r="A5995" s="22" t="s">
        <v>6109</v>
      </c>
      <c r="B5995" s="36">
        <v>45831.31875</v>
      </c>
      <c r="D5995" s="22" t="s">
        <v>42</v>
      </c>
      <c r="E5995" s="22" t="s">
        <v>57</v>
      </c>
      <c r="F5995" s="22" t="s">
        <v>40</v>
      </c>
      <c r="G5995" s="22" t="s">
        <v>113</v>
      </c>
      <c r="H5995" s="22" t="s">
        <v>59</v>
      </c>
      <c r="I5995" s="22" t="s">
        <v>123</v>
      </c>
      <c r="J5995" s="23">
        <v>4</v>
      </c>
      <c r="K5995" s="37">
        <v>0</v>
      </c>
      <c r="M5995" s="22" t="str">
        <f>IF(OR(ISBLANK(C5995),C5995=""),"",ROUND((C5995-B5995)*24,2))</f>
        <v/>
      </c>
      <c r="N5995" s="22" t="str">
        <f>IF(OR(ISBLANK(C5995),C5995="",M5995=""),"In Progress",IF(M5995&lt;=J5995,"Met","Breached"))</f>
        <v>In Progress</v>
      </c>
    </row>
    <row r="5996" ht="19" customHeight="1" spans="1:14" x14ac:dyDescent="0.25">
      <c r="A5996" s="19" t="s">
        <v>6110</v>
      </c>
      <c r="B5996" s="33">
        <v>46154.41666666667</v>
      </c>
      <c r="D5996" s="19" t="s">
        <v>39</v>
      </c>
      <c r="E5996" s="19" t="s">
        <v>65</v>
      </c>
      <c r="F5996" s="19" t="s">
        <v>43</v>
      </c>
      <c r="G5996" s="19" t="s">
        <v>113</v>
      </c>
      <c r="H5996" s="19" t="s">
        <v>67</v>
      </c>
      <c r="I5996" s="19" t="s">
        <v>117</v>
      </c>
      <c r="J5996" s="20">
        <v>48</v>
      </c>
      <c r="K5996" s="34">
        <v>0</v>
      </c>
      <c r="M5996" s="19" t="str">
        <f>IF(OR(ISBLANK(C5996),C5996=""),"",ROUND((C5996-B5996)*24,2))</f>
        <v/>
      </c>
      <c r="N5996" s="19" t="str">
        <f>IF(OR(ISBLANK(C5996),C5996="",M5996=""),"In Progress",IF(M5996&lt;=J5996,"Met","Breached"))</f>
        <v>In Progress</v>
      </c>
    </row>
    <row r="5997" ht="19" customHeight="1" spans="1:14" x14ac:dyDescent="0.25">
      <c r="A5997" s="22" t="s">
        <v>6111</v>
      </c>
      <c r="B5997" s="36">
        <v>46088.82708333334</v>
      </c>
      <c r="C5997" s="36">
        <v>46089.618055555555</v>
      </c>
      <c r="D5997" s="22" t="s">
        <v>33</v>
      </c>
      <c r="E5997" s="22" t="s">
        <v>61</v>
      </c>
      <c r="F5997" s="22" t="s">
        <v>37</v>
      </c>
      <c r="G5997" s="22" t="s">
        <v>121</v>
      </c>
      <c r="H5997" s="22" t="s">
        <v>59</v>
      </c>
      <c r="I5997" s="22" t="s">
        <v>111</v>
      </c>
      <c r="J5997" s="23">
        <v>12</v>
      </c>
      <c r="K5997" s="37">
        <v>0</v>
      </c>
      <c r="M5997" s="22">
        <f>IF(OR(ISBLANK(C5997),C5997=""),"",ROUND((C5997-B5997)*24,2))</f>
        <v>18.98</v>
      </c>
      <c r="N5997" s="38" t="str">
        <f>IF(OR(ISBLANK(C5997),C5997="",M5997=""),"In Progress",IF(M5997&lt;=J5997,"Met","Breached"))</f>
        <v>Breached</v>
      </c>
    </row>
    <row r="5998" ht="19" customHeight="1" spans="1:14" x14ac:dyDescent="0.25">
      <c r="A5998" s="19" t="s">
        <v>6112</v>
      </c>
      <c r="B5998" s="33">
        <v>45814.39791666667</v>
      </c>
      <c r="C5998" s="33">
        <v>45814.61666666667</v>
      </c>
      <c r="D5998" s="19" t="s">
        <v>36</v>
      </c>
      <c r="E5998" s="19" t="s">
        <v>57</v>
      </c>
      <c r="F5998" s="19" t="s">
        <v>43</v>
      </c>
      <c r="G5998" s="19" t="s">
        <v>63</v>
      </c>
      <c r="H5998" s="19" t="s">
        <v>63</v>
      </c>
      <c r="I5998" s="19" t="s">
        <v>111</v>
      </c>
      <c r="J5998" s="20">
        <v>4</v>
      </c>
      <c r="K5998" s="34">
        <v>0</v>
      </c>
      <c r="L5998" s="34">
        <v>4</v>
      </c>
      <c r="M5998" s="19">
        <f>IF(OR(ISBLANK(C5998),C5998=""),"",ROUND((C5998-B5998)*24,2))</f>
        <v>5.25</v>
      </c>
      <c r="N5998" s="39" t="str">
        <f>IF(OR(ISBLANK(C5998),C5998="",M5998=""),"In Progress",IF(M5998&lt;=J5998,"Met","Breached"))</f>
        <v>Breached</v>
      </c>
    </row>
    <row r="5999" ht="19" customHeight="1" spans="1:14" x14ac:dyDescent="0.25">
      <c r="A5999" s="22" t="s">
        <v>6113</v>
      </c>
      <c r="B5999" s="36">
        <v>45871.48055555555</v>
      </c>
      <c r="C5999" s="36">
        <v>45872.3375</v>
      </c>
      <c r="D5999" s="22" t="s">
        <v>36</v>
      </c>
      <c r="E5999" s="22" t="s">
        <v>61</v>
      </c>
      <c r="F5999" s="22" t="s">
        <v>45</v>
      </c>
      <c r="G5999" s="22" t="s">
        <v>116</v>
      </c>
      <c r="H5999" s="22" t="s">
        <v>59</v>
      </c>
      <c r="I5999" s="22" t="s">
        <v>147</v>
      </c>
      <c r="J5999" s="23">
        <v>12</v>
      </c>
      <c r="K5999" s="37">
        <v>0</v>
      </c>
      <c r="L5999" s="37">
        <v>1</v>
      </c>
      <c r="M5999" s="22">
        <f>IF(OR(ISBLANK(C5999),C5999=""),"",ROUND((C5999-B5999)*24,2))</f>
        <v>20.57</v>
      </c>
      <c r="N5999" s="38" t="str">
        <f>IF(OR(ISBLANK(C5999),C5999="",M5999=""),"In Progress",IF(M5999&lt;=J5999,"Met","Breached"))</f>
        <v>Breached</v>
      </c>
    </row>
    <row r="6000" ht="19" customHeight="1" spans="1:14" x14ac:dyDescent="0.25">
      <c r="A6000" s="19" t="s">
        <v>6114</v>
      </c>
      <c r="B6000" s="33">
        <v>45841.76458333334</v>
      </c>
      <c r="C6000" s="33">
        <v>45843.35416666667</v>
      </c>
      <c r="D6000" s="19" t="s">
        <v>33</v>
      </c>
      <c r="E6000" s="19" t="s">
        <v>65</v>
      </c>
      <c r="F6000" s="19" t="s">
        <v>40</v>
      </c>
      <c r="G6000" s="19" t="s">
        <v>121</v>
      </c>
      <c r="H6000" s="19" t="s">
        <v>63</v>
      </c>
      <c r="I6000" s="19" t="s">
        <v>114</v>
      </c>
      <c r="J6000" s="20">
        <v>48</v>
      </c>
      <c r="K6000" s="34">
        <v>0</v>
      </c>
      <c r="M6000" s="19">
        <f>IF(OR(ISBLANK(C6000),C6000=""),"",ROUND((C6000-B6000)*24,2))</f>
        <v>38.15</v>
      </c>
      <c r="N6000" s="35" t="str">
        <f>IF(OR(ISBLANK(C6000),C6000="",M6000=""),"In Progress",IF(M6000&lt;=J6000,"Met","Breached"))</f>
        <v>Met</v>
      </c>
    </row>
    <row r="6001" ht="19" customHeight="1" spans="1:14" x14ac:dyDescent="0.25">
      <c r="A6001" s="22" t="s">
        <v>6115</v>
      </c>
      <c r="B6001" s="36">
        <v>45964.99513888889</v>
      </c>
      <c r="C6001" s="36">
        <v>45965.78125</v>
      </c>
      <c r="D6001" s="22" t="s">
        <v>36</v>
      </c>
      <c r="E6001" s="22" t="s">
        <v>65</v>
      </c>
      <c r="F6001" s="22" t="s">
        <v>37</v>
      </c>
      <c r="G6001" s="22" t="s">
        <v>63</v>
      </c>
      <c r="H6001" s="22" t="s">
        <v>67</v>
      </c>
      <c r="I6001" s="22" t="s">
        <v>108</v>
      </c>
      <c r="J6001" s="23">
        <v>48</v>
      </c>
      <c r="K6001" s="37">
        <v>0</v>
      </c>
      <c r="L6001" s="37">
        <v>3</v>
      </c>
      <c r="M6001" s="22">
        <f>IF(OR(ISBLANK(C6001),C6001=""),"",ROUND((C6001-B6001)*24,2))</f>
        <v>18.87</v>
      </c>
      <c r="N6001" s="40" t="str">
        <f>IF(OR(ISBLANK(C6001),C6001="",M6001=""),"In Progress",IF(M6001&lt;=J6001,"Met","Breached"))</f>
        <v>Met</v>
      </c>
    </row>
    <row r="6002" ht="19" customHeight="1" spans="1:14" x14ac:dyDescent="0.25">
      <c r="A6002" s="19" t="s">
        <v>6116</v>
      </c>
      <c r="B6002" s="33">
        <v>46063.195138888885</v>
      </c>
      <c r="C6002" s="33">
        <v>46067.60625</v>
      </c>
      <c r="D6002" s="19" t="s">
        <v>36</v>
      </c>
      <c r="E6002" s="19" t="s">
        <v>69</v>
      </c>
      <c r="F6002" s="19" t="s">
        <v>43</v>
      </c>
      <c r="G6002" s="19" t="s">
        <v>63</v>
      </c>
      <c r="H6002" s="19" t="s">
        <v>59</v>
      </c>
      <c r="I6002" s="19" t="s">
        <v>108</v>
      </c>
      <c r="J6002" s="20">
        <v>120</v>
      </c>
      <c r="K6002" s="34">
        <v>0</v>
      </c>
      <c r="L6002" s="34">
        <v>5</v>
      </c>
      <c r="M6002" s="19">
        <f>IF(OR(ISBLANK(C6002),C6002=""),"",ROUND((C6002-B6002)*24,2))</f>
        <v>105.87</v>
      </c>
      <c r="N6002" s="35" t="str">
        <f>IF(OR(ISBLANK(C6002),C6002="",M6002=""),"In Progress",IF(M6002&lt;=J6002,"Met","Breached"))</f>
        <v>Met</v>
      </c>
    </row>
    <row r="6003" ht="19" customHeight="1" spans="1:14" x14ac:dyDescent="0.25">
      <c r="A6003" s="22" t="s">
        <v>6117</v>
      </c>
      <c r="B6003" s="36">
        <v>46128.32638888889</v>
      </c>
      <c r="C6003" s="36">
        <v>46129.33333333333</v>
      </c>
      <c r="D6003" s="22" t="s">
        <v>36</v>
      </c>
      <c r="E6003" s="22" t="s">
        <v>65</v>
      </c>
      <c r="F6003" s="22" t="s">
        <v>43</v>
      </c>
      <c r="G6003" s="22" t="s">
        <v>63</v>
      </c>
      <c r="H6003" s="22" t="s">
        <v>63</v>
      </c>
      <c r="I6003" s="22" t="s">
        <v>147</v>
      </c>
      <c r="J6003" s="23">
        <v>48</v>
      </c>
      <c r="K6003" s="37">
        <v>0</v>
      </c>
      <c r="M6003" s="22">
        <f>IF(OR(ISBLANK(C6003),C6003=""),"",ROUND((C6003-B6003)*24,2))</f>
        <v>24.17</v>
      </c>
      <c r="N6003" s="40" t="str">
        <f>IF(OR(ISBLANK(C6003),C6003="",M6003=""),"In Progress",IF(M6003&lt;=J6003,"Met","Breached"))</f>
        <v>Met</v>
      </c>
    </row>
    <row r="6004" ht="19" customHeight="1" spans="1:14" x14ac:dyDescent="0.25">
      <c r="A6004" s="19" t="s">
        <v>6118</v>
      </c>
      <c r="B6004" s="33">
        <v>46075.57430555555</v>
      </c>
      <c r="C6004" s="33">
        <v>46076.240277777775</v>
      </c>
      <c r="D6004" s="19" t="s">
        <v>36</v>
      </c>
      <c r="E6004" s="19" t="s">
        <v>65</v>
      </c>
      <c r="F6004" s="19" t="s">
        <v>45</v>
      </c>
      <c r="G6004" s="19" t="s">
        <v>113</v>
      </c>
      <c r="H6004" s="19" t="s">
        <v>59</v>
      </c>
      <c r="I6004" s="19" t="s">
        <v>117</v>
      </c>
      <c r="J6004" s="20">
        <v>48</v>
      </c>
      <c r="K6004" s="34">
        <v>0</v>
      </c>
      <c r="L6004" s="34">
        <v>2</v>
      </c>
      <c r="M6004" s="19">
        <f>IF(OR(ISBLANK(C6004),C6004=""),"",ROUND((C6004-B6004)*24,2))</f>
        <v>15.98</v>
      </c>
      <c r="N6004" s="35" t="str">
        <f>IF(OR(ISBLANK(C6004),C6004="",M6004=""),"In Progress",IF(M6004&lt;=J6004,"Met","Breached"))</f>
        <v>Met</v>
      </c>
    </row>
    <row r="6005" ht="19" customHeight="1" spans="1:14" x14ac:dyDescent="0.25">
      <c r="A6005" s="22" t="s">
        <v>6119</v>
      </c>
      <c r="B6005" s="36">
        <v>45877.58333333333</v>
      </c>
      <c r="D6005" s="22" t="s">
        <v>42</v>
      </c>
      <c r="E6005" s="22" t="s">
        <v>61</v>
      </c>
      <c r="F6005" s="22" t="s">
        <v>37</v>
      </c>
      <c r="G6005" s="22" t="s">
        <v>126</v>
      </c>
      <c r="H6005" s="22" t="s">
        <v>59</v>
      </c>
      <c r="I6005" s="22" t="s">
        <v>117</v>
      </c>
      <c r="J6005" s="23">
        <v>12</v>
      </c>
      <c r="K6005" s="37">
        <v>0</v>
      </c>
      <c r="M6005" s="22" t="str">
        <f>IF(OR(ISBLANK(C6005),C6005=""),"",ROUND((C6005-B6005)*24,2))</f>
        <v/>
      </c>
      <c r="N6005" s="22" t="str">
        <f>IF(OR(ISBLANK(C6005),C6005="",M6005=""),"In Progress",IF(M6005&lt;=J6005,"Met","Breached"))</f>
        <v>In Progress</v>
      </c>
    </row>
    <row r="6006" ht="19" customHeight="1" spans="1:14" x14ac:dyDescent="0.25">
      <c r="A6006" s="19" t="s">
        <v>6120</v>
      </c>
      <c r="B6006" s="33">
        <v>45669.23055555555</v>
      </c>
      <c r="C6006" s="33">
        <v>45670.00555555556</v>
      </c>
      <c r="D6006" s="19" t="s">
        <v>33</v>
      </c>
      <c r="E6006" s="19" t="s">
        <v>65</v>
      </c>
      <c r="F6006" s="19" t="s">
        <v>34</v>
      </c>
      <c r="G6006" s="19" t="s">
        <v>110</v>
      </c>
      <c r="H6006" s="19" t="s">
        <v>59</v>
      </c>
      <c r="I6006" s="19" t="s">
        <v>114</v>
      </c>
      <c r="J6006" s="20">
        <v>48</v>
      </c>
      <c r="K6006" s="34">
        <v>0</v>
      </c>
      <c r="L6006" s="34">
        <v>2</v>
      </c>
      <c r="M6006" s="19">
        <f>IF(OR(ISBLANK(C6006),C6006=""),"",ROUND((C6006-B6006)*24,2))</f>
        <v>18.6</v>
      </c>
      <c r="N6006" s="35" t="str">
        <f>IF(OR(ISBLANK(C6006),C6006="",M6006=""),"In Progress",IF(M6006&lt;=J6006,"Met","Breached"))</f>
        <v>Met</v>
      </c>
    </row>
    <row r="6007" ht="19" customHeight="1" spans="1:14" x14ac:dyDescent="0.25">
      <c r="A6007" s="22" t="s">
        <v>6121</v>
      </c>
      <c r="B6007" s="36">
        <v>45883.76736111111</v>
      </c>
      <c r="C6007" s="36">
        <v>45884.57152777778</v>
      </c>
      <c r="D6007" s="22" t="s">
        <v>36</v>
      </c>
      <c r="E6007" s="22" t="s">
        <v>61</v>
      </c>
      <c r="F6007" s="22" t="s">
        <v>37</v>
      </c>
      <c r="G6007" s="22" t="s">
        <v>110</v>
      </c>
      <c r="H6007" s="22" t="s">
        <v>59</v>
      </c>
      <c r="I6007" s="22" t="s">
        <v>108</v>
      </c>
      <c r="J6007" s="23">
        <v>12</v>
      </c>
      <c r="K6007" s="37">
        <v>0</v>
      </c>
      <c r="L6007" s="37">
        <v>5</v>
      </c>
      <c r="M6007" s="22">
        <f>IF(OR(ISBLANK(C6007),C6007=""),"",ROUND((C6007-B6007)*24,2))</f>
        <v>19.3</v>
      </c>
      <c r="N6007" s="38" t="str">
        <f>IF(OR(ISBLANK(C6007),C6007="",M6007=""),"In Progress",IF(M6007&lt;=J6007,"Met","Breached"))</f>
        <v>Breached</v>
      </c>
    </row>
    <row r="6008" ht="19" customHeight="1" spans="1:14" x14ac:dyDescent="0.25">
      <c r="A6008" s="19" t="s">
        <v>6122</v>
      </c>
      <c r="B6008" s="33">
        <v>46099.79375</v>
      </c>
      <c r="C6008" s="33">
        <v>46100.513194444444</v>
      </c>
      <c r="D6008" s="19" t="s">
        <v>33</v>
      </c>
      <c r="E6008" s="19" t="s">
        <v>65</v>
      </c>
      <c r="F6008" s="19" t="s">
        <v>45</v>
      </c>
      <c r="G6008" s="19" t="s">
        <v>113</v>
      </c>
      <c r="H6008" s="19" t="s">
        <v>59</v>
      </c>
      <c r="I6008" s="19" t="s">
        <v>147</v>
      </c>
      <c r="J6008" s="20">
        <v>48</v>
      </c>
      <c r="K6008" s="34">
        <v>0</v>
      </c>
      <c r="L6008" s="34">
        <v>4</v>
      </c>
      <c r="M6008" s="19">
        <f>IF(OR(ISBLANK(C6008),C6008=""),"",ROUND((C6008-B6008)*24,2))</f>
        <v>17.27</v>
      </c>
      <c r="N6008" s="35" t="str">
        <f>IF(OR(ISBLANK(C6008),C6008="",M6008=""),"In Progress",IF(M6008&lt;=J6008,"Met","Breached"))</f>
        <v>Met</v>
      </c>
    </row>
    <row r="6009" ht="19" customHeight="1" spans="1:14" x14ac:dyDescent="0.25">
      <c r="A6009" s="22" t="s">
        <v>6123</v>
      </c>
      <c r="B6009" s="36">
        <v>46189.399305555555</v>
      </c>
      <c r="C6009" s="36">
        <v>46191.89097222222</v>
      </c>
      <c r="D6009" s="22" t="s">
        <v>33</v>
      </c>
      <c r="E6009" s="22" t="s">
        <v>69</v>
      </c>
      <c r="F6009" s="22" t="s">
        <v>37</v>
      </c>
      <c r="G6009" s="22" t="s">
        <v>110</v>
      </c>
      <c r="H6009" s="22" t="s">
        <v>59</v>
      </c>
      <c r="I6009" s="22" t="s">
        <v>111</v>
      </c>
      <c r="J6009" s="23">
        <v>120</v>
      </c>
      <c r="K6009" s="37">
        <v>0</v>
      </c>
      <c r="L6009" s="37">
        <v>4</v>
      </c>
      <c r="M6009" s="22">
        <f>IF(OR(ISBLANK(C6009),C6009=""),"",ROUND((C6009-B6009)*24,2))</f>
        <v>59.8</v>
      </c>
      <c r="N6009" s="40" t="str">
        <f>IF(OR(ISBLANK(C6009),C6009="",M6009=""),"In Progress",IF(M6009&lt;=J6009,"Met","Breached"))</f>
        <v>Met</v>
      </c>
    </row>
    <row r="6010" ht="19" customHeight="1" spans="1:14" x14ac:dyDescent="0.25">
      <c r="A6010" s="19" t="s">
        <v>6124</v>
      </c>
      <c r="B6010" s="33">
        <v>45921.57708333334</v>
      </c>
      <c r="C6010" s="33">
        <v>45923.1875</v>
      </c>
      <c r="D6010" s="19" t="s">
        <v>36</v>
      </c>
      <c r="E6010" s="19" t="s">
        <v>69</v>
      </c>
      <c r="F6010" s="19" t="s">
        <v>43</v>
      </c>
      <c r="G6010" s="19" t="s">
        <v>116</v>
      </c>
      <c r="H6010" s="19" t="s">
        <v>59</v>
      </c>
      <c r="I6010" s="19" t="s">
        <v>117</v>
      </c>
      <c r="J6010" s="20">
        <v>120</v>
      </c>
      <c r="K6010" s="34">
        <v>0</v>
      </c>
      <c r="M6010" s="19">
        <f>IF(OR(ISBLANK(C6010),C6010=""),"",ROUND((C6010-B6010)*24,2))</f>
        <v>38.65</v>
      </c>
      <c r="N6010" s="35" t="str">
        <f>IF(OR(ISBLANK(C6010),C6010="",M6010=""),"In Progress",IF(M6010&lt;=J6010,"Met","Breached"))</f>
        <v>Met</v>
      </c>
    </row>
    <row r="6011" ht="19" customHeight="1" spans="1:14" x14ac:dyDescent="0.25">
      <c r="A6011" s="22" t="s">
        <v>6125</v>
      </c>
      <c r="B6011" s="36">
        <v>45898.972916666666</v>
      </c>
      <c r="C6011" s="36">
        <v>45907.56805555556</v>
      </c>
      <c r="D6011" s="22" t="s">
        <v>36</v>
      </c>
      <c r="E6011" s="22" t="s">
        <v>69</v>
      </c>
      <c r="F6011" s="22" t="s">
        <v>43</v>
      </c>
      <c r="G6011" s="22" t="s">
        <v>116</v>
      </c>
      <c r="H6011" s="22" t="s">
        <v>67</v>
      </c>
      <c r="I6011" s="22" t="s">
        <v>114</v>
      </c>
      <c r="J6011" s="23">
        <v>120</v>
      </c>
      <c r="K6011" s="37">
        <v>0</v>
      </c>
      <c r="L6011" s="37">
        <v>3</v>
      </c>
      <c r="M6011" s="22">
        <f>IF(OR(ISBLANK(C6011),C6011=""),"",ROUND((C6011-B6011)*24,2))</f>
        <v>206.28</v>
      </c>
      <c r="N6011" s="38" t="str">
        <f>IF(OR(ISBLANK(C6011),C6011="",M6011=""),"In Progress",IF(M6011&lt;=J6011,"Met","Breached"))</f>
        <v>Breached</v>
      </c>
    </row>
    <row r="6012" ht="19" customHeight="1" spans="1:14" x14ac:dyDescent="0.25">
      <c r="A6012" s="19" t="s">
        <v>6126</v>
      </c>
      <c r="B6012" s="33">
        <v>45664.98888888889</v>
      </c>
      <c r="D6012" s="19" t="s">
        <v>42</v>
      </c>
      <c r="E6012" s="19" t="s">
        <v>65</v>
      </c>
      <c r="F6012" s="19" t="s">
        <v>37</v>
      </c>
      <c r="G6012" s="19" t="s">
        <v>126</v>
      </c>
      <c r="H6012" s="19" t="s">
        <v>67</v>
      </c>
      <c r="I6012" s="19" t="s">
        <v>147</v>
      </c>
      <c r="J6012" s="20">
        <v>48</v>
      </c>
      <c r="K6012" s="34">
        <v>0</v>
      </c>
      <c r="M6012" s="19" t="str">
        <f>IF(OR(ISBLANK(C6012),C6012=""),"",ROUND((C6012-B6012)*24,2))</f>
        <v/>
      </c>
      <c r="N6012" s="19" t="str">
        <f>IF(OR(ISBLANK(C6012),C6012="",M6012=""),"In Progress",IF(M6012&lt;=J6012,"Met","Breached"))</f>
        <v>In Progress</v>
      </c>
    </row>
    <row r="6013" ht="19" customHeight="1" spans="1:14" x14ac:dyDescent="0.25">
      <c r="A6013" s="22" t="s">
        <v>6127</v>
      </c>
      <c r="B6013" s="36">
        <v>45722.35763888889</v>
      </c>
      <c r="D6013" s="22" t="s">
        <v>39</v>
      </c>
      <c r="E6013" s="22" t="s">
        <v>65</v>
      </c>
      <c r="F6013" s="22" t="s">
        <v>34</v>
      </c>
      <c r="G6013" s="22" t="s">
        <v>121</v>
      </c>
      <c r="H6013" s="22" t="s">
        <v>63</v>
      </c>
      <c r="I6013" s="22" t="s">
        <v>111</v>
      </c>
      <c r="J6013" s="23">
        <v>48</v>
      </c>
      <c r="K6013" s="37">
        <v>0</v>
      </c>
      <c r="M6013" s="22" t="str">
        <f>IF(OR(ISBLANK(C6013),C6013=""),"",ROUND((C6013-B6013)*24,2))</f>
        <v/>
      </c>
      <c r="N6013" s="22" t="str">
        <f>IF(OR(ISBLANK(C6013),C6013="",M6013=""),"In Progress",IF(M6013&lt;=J6013,"Met","Breached"))</f>
        <v>In Progress</v>
      </c>
    </row>
    <row r="6014" ht="19" customHeight="1" spans="1:14" x14ac:dyDescent="0.25">
      <c r="A6014" s="19" t="s">
        <v>6128</v>
      </c>
      <c r="B6014" s="33">
        <v>45813.12708333333</v>
      </c>
      <c r="C6014" s="33">
        <v>45813.91736111111</v>
      </c>
      <c r="D6014" s="19" t="s">
        <v>33</v>
      </c>
      <c r="E6014" s="19" t="s">
        <v>61</v>
      </c>
      <c r="F6014" s="19" t="s">
        <v>45</v>
      </c>
      <c r="G6014" s="19" t="s">
        <v>116</v>
      </c>
      <c r="H6014" s="19" t="s">
        <v>59</v>
      </c>
      <c r="I6014" s="19" t="s">
        <v>111</v>
      </c>
      <c r="J6014" s="20">
        <v>12</v>
      </c>
      <c r="K6014" s="34">
        <v>0</v>
      </c>
      <c r="L6014" s="34">
        <v>3</v>
      </c>
      <c r="M6014" s="19">
        <f>IF(OR(ISBLANK(C6014),C6014=""),"",ROUND((C6014-B6014)*24,2))</f>
        <v>18.97</v>
      </c>
      <c r="N6014" s="39" t="str">
        <f>IF(OR(ISBLANK(C6014),C6014="",M6014=""),"In Progress",IF(M6014&lt;=J6014,"Met","Breached"))</f>
        <v>Breached</v>
      </c>
    </row>
    <row r="6015" ht="19" customHeight="1" spans="1:14" x14ac:dyDescent="0.25">
      <c r="A6015" s="22" t="s">
        <v>6129</v>
      </c>
      <c r="B6015" s="36">
        <v>46143.56180555555</v>
      </c>
      <c r="C6015" s="36">
        <v>46144.80138888889</v>
      </c>
      <c r="D6015" s="22" t="s">
        <v>36</v>
      </c>
      <c r="E6015" s="22" t="s">
        <v>65</v>
      </c>
      <c r="F6015" s="22" t="s">
        <v>43</v>
      </c>
      <c r="G6015" s="22" t="s">
        <v>121</v>
      </c>
      <c r="H6015" s="22" t="s">
        <v>71</v>
      </c>
      <c r="I6015" s="22" t="s">
        <v>147</v>
      </c>
      <c r="J6015" s="23">
        <v>48</v>
      </c>
      <c r="K6015" s="37">
        <v>0</v>
      </c>
      <c r="L6015" s="37">
        <v>3</v>
      </c>
      <c r="M6015" s="22">
        <f>IF(OR(ISBLANK(C6015),C6015=""),"",ROUND((C6015-B6015)*24,2))</f>
        <v>29.75</v>
      </c>
      <c r="N6015" s="40" t="str">
        <f>IF(OR(ISBLANK(C6015),C6015="",M6015=""),"In Progress",IF(M6015&lt;=J6015,"Met","Breached"))</f>
        <v>Met</v>
      </c>
    </row>
    <row r="6016" ht="19" customHeight="1" spans="1:14" x14ac:dyDescent="0.25">
      <c r="A6016" s="19" t="s">
        <v>6130</v>
      </c>
      <c r="B6016" s="33">
        <v>45745.29027777778</v>
      </c>
      <c r="C6016" s="33">
        <v>45747.902083333334</v>
      </c>
      <c r="D6016" s="19" t="s">
        <v>33</v>
      </c>
      <c r="E6016" s="19" t="s">
        <v>65</v>
      </c>
      <c r="F6016" s="19" t="s">
        <v>43</v>
      </c>
      <c r="G6016" s="19" t="s">
        <v>63</v>
      </c>
      <c r="H6016" s="19" t="s">
        <v>71</v>
      </c>
      <c r="I6016" s="19" t="s">
        <v>147</v>
      </c>
      <c r="J6016" s="20">
        <v>48</v>
      </c>
      <c r="K6016" s="34">
        <v>0</v>
      </c>
      <c r="L6016" s="34">
        <v>4</v>
      </c>
      <c r="M6016" s="19">
        <f>IF(OR(ISBLANK(C6016),C6016=""),"",ROUND((C6016-B6016)*24,2))</f>
        <v>62.68</v>
      </c>
      <c r="N6016" s="39" t="str">
        <f>IF(OR(ISBLANK(C6016),C6016="",M6016=""),"In Progress",IF(M6016&lt;=J6016,"Met","Breached"))</f>
        <v>Breached</v>
      </c>
    </row>
    <row r="6017" ht="19" customHeight="1" spans="1:14" x14ac:dyDescent="0.25">
      <c r="A6017" s="22" t="s">
        <v>6131</v>
      </c>
      <c r="B6017" s="36">
        <v>45727.41458333333</v>
      </c>
      <c r="C6017" s="36">
        <v>45730.78194444445</v>
      </c>
      <c r="D6017" s="22" t="s">
        <v>33</v>
      </c>
      <c r="E6017" s="22" t="s">
        <v>69</v>
      </c>
      <c r="F6017" s="22" t="s">
        <v>45</v>
      </c>
      <c r="G6017" s="22" t="s">
        <v>116</v>
      </c>
      <c r="H6017" s="22" t="s">
        <v>59</v>
      </c>
      <c r="I6017" s="22" t="s">
        <v>147</v>
      </c>
      <c r="J6017" s="23">
        <v>120</v>
      </c>
      <c r="K6017" s="37">
        <v>0</v>
      </c>
      <c r="L6017" s="37">
        <v>2</v>
      </c>
      <c r="M6017" s="22">
        <f>IF(OR(ISBLANK(C6017),C6017=""),"",ROUND((C6017-B6017)*24,2))</f>
        <v>80.82</v>
      </c>
      <c r="N6017" s="40" t="str">
        <f>IF(OR(ISBLANK(C6017),C6017="",M6017=""),"In Progress",IF(M6017&lt;=J6017,"Met","Breached"))</f>
        <v>Met</v>
      </c>
    </row>
    <row r="6018" ht="19" customHeight="1" spans="1:14" x14ac:dyDescent="0.25">
      <c r="A6018" s="19" t="s">
        <v>6132</v>
      </c>
      <c r="B6018" s="33">
        <v>45817.33263888889</v>
      </c>
      <c r="C6018" s="33">
        <v>45818.106944444444</v>
      </c>
      <c r="D6018" s="19" t="s">
        <v>33</v>
      </c>
      <c r="E6018" s="19" t="s">
        <v>61</v>
      </c>
      <c r="F6018" s="19" t="s">
        <v>40</v>
      </c>
      <c r="G6018" s="19" t="s">
        <v>110</v>
      </c>
      <c r="H6018" s="19" t="s">
        <v>67</v>
      </c>
      <c r="I6018" s="19" t="s">
        <v>108</v>
      </c>
      <c r="J6018" s="20">
        <v>12</v>
      </c>
      <c r="K6018" s="34">
        <v>0</v>
      </c>
      <c r="L6018" s="34">
        <v>1</v>
      </c>
      <c r="M6018" s="19">
        <f>IF(OR(ISBLANK(C6018),C6018=""),"",ROUND((C6018-B6018)*24,2))</f>
        <v>18.58</v>
      </c>
      <c r="N6018" s="39" t="str">
        <f>IF(OR(ISBLANK(C6018),C6018="",M6018=""),"In Progress",IF(M6018&lt;=J6018,"Met","Breached"))</f>
        <v>Breached</v>
      </c>
    </row>
    <row r="6019" ht="19" customHeight="1" spans="1:14" x14ac:dyDescent="0.25">
      <c r="A6019" s="22" t="s">
        <v>6133</v>
      </c>
      <c r="B6019" s="36">
        <v>46038.5125</v>
      </c>
      <c r="C6019" s="36">
        <v>46039.33888888889</v>
      </c>
      <c r="D6019" s="22" t="s">
        <v>33</v>
      </c>
      <c r="E6019" s="22" t="s">
        <v>61</v>
      </c>
      <c r="F6019" s="22" t="s">
        <v>37</v>
      </c>
      <c r="G6019" s="22" t="s">
        <v>110</v>
      </c>
      <c r="H6019" s="22" t="s">
        <v>59</v>
      </c>
      <c r="I6019" s="22" t="s">
        <v>111</v>
      </c>
      <c r="J6019" s="23">
        <v>12</v>
      </c>
      <c r="K6019" s="37">
        <v>0</v>
      </c>
      <c r="M6019" s="22">
        <f>IF(OR(ISBLANK(C6019),C6019=""),"",ROUND((C6019-B6019)*24,2))</f>
        <v>19.83</v>
      </c>
      <c r="N6019" s="38" t="str">
        <f>IF(OR(ISBLANK(C6019),C6019="",M6019=""),"In Progress",IF(M6019&lt;=J6019,"Met","Breached"))</f>
        <v>Breached</v>
      </c>
    </row>
    <row r="6020" ht="19" customHeight="1" spans="1:14" x14ac:dyDescent="0.25">
      <c r="A6020" s="19" t="s">
        <v>6134</v>
      </c>
      <c r="B6020" s="33">
        <v>46047.68263888889</v>
      </c>
      <c r="C6020" s="33">
        <v>46054.31805555556</v>
      </c>
      <c r="D6020" s="19" t="s">
        <v>33</v>
      </c>
      <c r="E6020" s="19" t="s">
        <v>69</v>
      </c>
      <c r="F6020" s="19" t="s">
        <v>34</v>
      </c>
      <c r="G6020" s="19" t="s">
        <v>110</v>
      </c>
      <c r="H6020" s="19" t="s">
        <v>71</v>
      </c>
      <c r="I6020" s="19" t="s">
        <v>123</v>
      </c>
      <c r="J6020" s="20">
        <v>120</v>
      </c>
      <c r="K6020" s="34">
        <v>0</v>
      </c>
      <c r="L6020" s="34">
        <v>5</v>
      </c>
      <c r="M6020" s="19">
        <f>IF(OR(ISBLANK(C6020),C6020=""),"",ROUND((C6020-B6020)*24,2))</f>
        <v>159.25</v>
      </c>
      <c r="N6020" s="39" t="str">
        <f>IF(OR(ISBLANK(C6020),C6020="",M6020=""),"In Progress",IF(M6020&lt;=J6020,"Met","Breached"))</f>
        <v>Breached</v>
      </c>
    </row>
    <row r="6021" ht="19" customHeight="1" spans="1:14" x14ac:dyDescent="0.25">
      <c r="A6021" s="22" t="s">
        <v>6135</v>
      </c>
      <c r="B6021" s="36">
        <v>46260.927777777775</v>
      </c>
      <c r="D6021" s="22" t="s">
        <v>39</v>
      </c>
      <c r="E6021" s="22" t="s">
        <v>65</v>
      </c>
      <c r="F6021" s="22" t="s">
        <v>45</v>
      </c>
      <c r="G6021" s="22" t="s">
        <v>113</v>
      </c>
      <c r="H6021" s="22" t="s">
        <v>63</v>
      </c>
      <c r="I6021" s="22" t="s">
        <v>147</v>
      </c>
      <c r="J6021" s="23">
        <v>48</v>
      </c>
      <c r="K6021" s="37">
        <v>0</v>
      </c>
      <c r="M6021" s="22" t="str">
        <f>IF(OR(ISBLANK(C6021),C6021=""),"",ROUND((C6021-B6021)*24,2))</f>
        <v/>
      </c>
      <c r="N6021" s="22" t="str">
        <f>IF(OR(ISBLANK(C6021),C6021="",M6021=""),"In Progress",IF(M6021&lt;=J6021,"Met","Breached"))</f>
        <v>In Progress</v>
      </c>
    </row>
    <row r="6022" ht="19" customHeight="1" spans="1:14" x14ac:dyDescent="0.25">
      <c r="A6022" s="19" t="s">
        <v>6136</v>
      </c>
      <c r="B6022" s="33">
        <v>46168.43402777778</v>
      </c>
      <c r="C6022" s="33">
        <v>46170.26875</v>
      </c>
      <c r="D6022" s="19" t="s">
        <v>33</v>
      </c>
      <c r="E6022" s="19" t="s">
        <v>65</v>
      </c>
      <c r="F6022" s="19" t="s">
        <v>43</v>
      </c>
      <c r="G6022" s="19" t="s">
        <v>116</v>
      </c>
      <c r="H6022" s="19" t="s">
        <v>67</v>
      </c>
      <c r="I6022" s="19" t="s">
        <v>111</v>
      </c>
      <c r="J6022" s="20">
        <v>48</v>
      </c>
      <c r="K6022" s="34">
        <v>0</v>
      </c>
      <c r="L6022" s="34">
        <v>1</v>
      </c>
      <c r="M6022" s="19">
        <f>IF(OR(ISBLANK(C6022),C6022=""),"",ROUND((C6022-B6022)*24,2))</f>
        <v>44.03</v>
      </c>
      <c r="N6022" s="35" t="str">
        <f>IF(OR(ISBLANK(C6022),C6022="",M6022=""),"In Progress",IF(M6022&lt;=J6022,"Met","Breached"))</f>
        <v>Met</v>
      </c>
    </row>
    <row r="6023" ht="19" customHeight="1" spans="1:14" x14ac:dyDescent="0.25">
      <c r="A6023" s="22" t="s">
        <v>6137</v>
      </c>
      <c r="B6023" s="36">
        <v>45861.66736111111</v>
      </c>
      <c r="C6023" s="36">
        <v>45861.92013888889</v>
      </c>
      <c r="D6023" s="22" t="s">
        <v>36</v>
      </c>
      <c r="E6023" s="22" t="s">
        <v>61</v>
      </c>
      <c r="F6023" s="22" t="s">
        <v>43</v>
      </c>
      <c r="G6023" s="22" t="s">
        <v>121</v>
      </c>
      <c r="H6023" s="22" t="s">
        <v>59</v>
      </c>
      <c r="I6023" s="22" t="s">
        <v>123</v>
      </c>
      <c r="J6023" s="23">
        <v>12</v>
      </c>
      <c r="K6023" s="37">
        <v>0</v>
      </c>
      <c r="L6023" s="37">
        <v>1</v>
      </c>
      <c r="M6023" s="22">
        <f>IF(OR(ISBLANK(C6023),C6023=""),"",ROUND((C6023-B6023)*24,2))</f>
        <v>6.07</v>
      </c>
      <c r="N6023" s="40" t="str">
        <f>IF(OR(ISBLANK(C6023),C6023="",M6023=""),"In Progress",IF(M6023&lt;=J6023,"Met","Breached"))</f>
        <v>Met</v>
      </c>
    </row>
    <row r="6024" ht="19" customHeight="1" spans="1:14" x14ac:dyDescent="0.25">
      <c r="A6024" s="19" t="s">
        <v>6138</v>
      </c>
      <c r="B6024" s="33">
        <v>45745.975694444445</v>
      </c>
      <c r="C6024" s="33">
        <v>45746.62777777778</v>
      </c>
      <c r="D6024" s="19" t="s">
        <v>36</v>
      </c>
      <c r="E6024" s="19" t="s">
        <v>61</v>
      </c>
      <c r="F6024" s="19" t="s">
        <v>34</v>
      </c>
      <c r="G6024" s="19" t="s">
        <v>126</v>
      </c>
      <c r="H6024" s="19" t="s">
        <v>59</v>
      </c>
      <c r="I6024" s="19" t="s">
        <v>111</v>
      </c>
      <c r="J6024" s="20">
        <v>12</v>
      </c>
      <c r="K6024" s="34">
        <v>0</v>
      </c>
      <c r="L6024" s="34">
        <v>5</v>
      </c>
      <c r="M6024" s="19">
        <f>IF(OR(ISBLANK(C6024),C6024=""),"",ROUND((C6024-B6024)*24,2))</f>
        <v>15.65</v>
      </c>
      <c r="N6024" s="39" t="str">
        <f>IF(OR(ISBLANK(C6024),C6024="",M6024=""),"In Progress",IF(M6024&lt;=J6024,"Met","Breached"))</f>
        <v>Breached</v>
      </c>
    </row>
    <row r="6025" ht="19" customHeight="1" spans="1:14" x14ac:dyDescent="0.25">
      <c r="A6025" s="22" t="s">
        <v>6139</v>
      </c>
      <c r="B6025" s="36">
        <v>46187.88541666667</v>
      </c>
      <c r="C6025" s="36">
        <v>46189.96666666667</v>
      </c>
      <c r="D6025" s="22" t="s">
        <v>36</v>
      </c>
      <c r="E6025" s="22" t="s">
        <v>65</v>
      </c>
      <c r="F6025" s="22" t="s">
        <v>43</v>
      </c>
      <c r="G6025" s="22" t="s">
        <v>126</v>
      </c>
      <c r="H6025" s="22" t="s">
        <v>67</v>
      </c>
      <c r="I6025" s="22" t="s">
        <v>114</v>
      </c>
      <c r="J6025" s="23">
        <v>48</v>
      </c>
      <c r="K6025" s="37">
        <v>0</v>
      </c>
      <c r="L6025" s="37">
        <v>2</v>
      </c>
      <c r="M6025" s="22">
        <f>IF(OR(ISBLANK(C6025),C6025=""),"",ROUND((C6025-B6025)*24,2))</f>
        <v>49.95</v>
      </c>
      <c r="N6025" s="38" t="str">
        <f>IF(OR(ISBLANK(C6025),C6025="",M6025=""),"In Progress",IF(M6025&lt;=J6025,"Met","Breached"))</f>
        <v>Breached</v>
      </c>
    </row>
    <row r="6026" ht="19" customHeight="1" spans="1:14" x14ac:dyDescent="0.25">
      <c r="A6026" s="19" t="s">
        <v>6140</v>
      </c>
      <c r="B6026" s="33">
        <v>46135.5375</v>
      </c>
      <c r="D6026" s="19" t="s">
        <v>39</v>
      </c>
      <c r="E6026" s="19" t="s">
        <v>65</v>
      </c>
      <c r="F6026" s="19" t="s">
        <v>45</v>
      </c>
      <c r="G6026" s="19" t="s">
        <v>116</v>
      </c>
      <c r="H6026" s="19" t="s">
        <v>59</v>
      </c>
      <c r="I6026" s="19" t="s">
        <v>111</v>
      </c>
      <c r="J6026" s="20">
        <v>48</v>
      </c>
      <c r="K6026" s="34">
        <v>0</v>
      </c>
      <c r="M6026" s="19" t="str">
        <f>IF(OR(ISBLANK(C6026),C6026=""),"",ROUND((C6026-B6026)*24,2))</f>
        <v/>
      </c>
      <c r="N6026" s="19" t="str">
        <f>IF(OR(ISBLANK(C6026),C6026="",M6026=""),"In Progress",IF(M6026&lt;=J6026,"Met","Breached"))</f>
        <v>In Progress</v>
      </c>
    </row>
    <row r="6027" ht="19" customHeight="1" spans="1:14" x14ac:dyDescent="0.25">
      <c r="A6027" s="22" t="s">
        <v>6141</v>
      </c>
      <c r="B6027" s="36">
        <v>46024.56319444445</v>
      </c>
      <c r="C6027" s="36">
        <v>46025.93194444444</v>
      </c>
      <c r="D6027" s="22" t="s">
        <v>33</v>
      </c>
      <c r="E6027" s="22" t="s">
        <v>65</v>
      </c>
      <c r="F6027" s="22" t="s">
        <v>40</v>
      </c>
      <c r="G6027" s="22" t="s">
        <v>126</v>
      </c>
      <c r="H6027" s="22" t="s">
        <v>63</v>
      </c>
      <c r="I6027" s="22" t="s">
        <v>114</v>
      </c>
      <c r="J6027" s="23">
        <v>48</v>
      </c>
      <c r="K6027" s="37">
        <v>0</v>
      </c>
      <c r="L6027" s="37">
        <v>1</v>
      </c>
      <c r="M6027" s="22">
        <f>IF(OR(ISBLANK(C6027),C6027=""),"",ROUND((C6027-B6027)*24,2))</f>
        <v>32.85</v>
      </c>
      <c r="N6027" s="40" t="str">
        <f>IF(OR(ISBLANK(C6027),C6027="",M6027=""),"In Progress",IF(M6027&lt;=J6027,"Met","Breached"))</f>
        <v>Met</v>
      </c>
    </row>
    <row r="6028" ht="19" customHeight="1" spans="1:14" x14ac:dyDescent="0.25">
      <c r="A6028" s="19" t="s">
        <v>6142</v>
      </c>
      <c r="B6028" s="33">
        <v>45703.02291666667</v>
      </c>
      <c r="D6028" s="19" t="s">
        <v>39</v>
      </c>
      <c r="E6028" s="19" t="s">
        <v>65</v>
      </c>
      <c r="F6028" s="19" t="s">
        <v>43</v>
      </c>
      <c r="G6028" s="19" t="s">
        <v>126</v>
      </c>
      <c r="H6028" s="19" t="s">
        <v>63</v>
      </c>
      <c r="I6028" s="19" t="s">
        <v>114</v>
      </c>
      <c r="J6028" s="20">
        <v>48</v>
      </c>
      <c r="K6028" s="34">
        <v>0</v>
      </c>
      <c r="M6028" s="19" t="str">
        <f>IF(OR(ISBLANK(C6028),C6028=""),"",ROUND((C6028-B6028)*24,2))</f>
        <v/>
      </c>
      <c r="N6028" s="19" t="str">
        <f>IF(OR(ISBLANK(C6028),C6028="",M6028=""),"In Progress",IF(M6028&lt;=J6028,"Met","Breached"))</f>
        <v>In Progress</v>
      </c>
    </row>
    <row r="6029" ht="19" customHeight="1" spans="1:14" x14ac:dyDescent="0.25">
      <c r="A6029" s="22" t="s">
        <v>6143</v>
      </c>
      <c r="B6029" s="36">
        <v>46188.95416666666</v>
      </c>
      <c r="C6029" s="36">
        <v>46191.30416666667</v>
      </c>
      <c r="D6029" s="22" t="s">
        <v>33</v>
      </c>
      <c r="E6029" s="22" t="s">
        <v>65</v>
      </c>
      <c r="F6029" s="22" t="s">
        <v>45</v>
      </c>
      <c r="G6029" s="22" t="s">
        <v>126</v>
      </c>
      <c r="H6029" s="22" t="s">
        <v>67</v>
      </c>
      <c r="I6029" s="22" t="s">
        <v>114</v>
      </c>
      <c r="J6029" s="23">
        <v>48</v>
      </c>
      <c r="K6029" s="37">
        <v>0</v>
      </c>
      <c r="M6029" s="22">
        <f>IF(OR(ISBLANK(C6029),C6029=""),"",ROUND((C6029-B6029)*24,2))</f>
        <v>56.4</v>
      </c>
      <c r="N6029" s="38" t="str">
        <f>IF(OR(ISBLANK(C6029),C6029="",M6029=""),"In Progress",IF(M6029&lt;=J6029,"Met","Breached"))</f>
        <v>Breached</v>
      </c>
    </row>
    <row r="6030" ht="19" customHeight="1" spans="1:14" x14ac:dyDescent="0.25">
      <c r="A6030" s="19" t="s">
        <v>6144</v>
      </c>
      <c r="B6030" s="33">
        <v>45696.93472222222</v>
      </c>
      <c r="C6030" s="33">
        <v>45704.74375</v>
      </c>
      <c r="D6030" s="19" t="s">
        <v>33</v>
      </c>
      <c r="E6030" s="19" t="s">
        <v>69</v>
      </c>
      <c r="F6030" s="19" t="s">
        <v>45</v>
      </c>
      <c r="G6030" s="19" t="s">
        <v>113</v>
      </c>
      <c r="H6030" s="19" t="s">
        <v>63</v>
      </c>
      <c r="I6030" s="19" t="s">
        <v>123</v>
      </c>
      <c r="J6030" s="20">
        <v>120</v>
      </c>
      <c r="K6030" s="34">
        <v>1</v>
      </c>
      <c r="L6030" s="34">
        <v>2</v>
      </c>
      <c r="M6030" s="19">
        <f>IF(OR(ISBLANK(C6030),C6030=""),"",ROUND((C6030-B6030)*24,2))</f>
        <v>187.42</v>
      </c>
      <c r="N6030" s="39" t="str">
        <f>IF(OR(ISBLANK(C6030),C6030="",M6030=""),"In Progress",IF(M6030&lt;=J6030,"Met","Breached"))</f>
        <v>Breached</v>
      </c>
    </row>
    <row r="6031" ht="19" customHeight="1" spans="1:14" x14ac:dyDescent="0.25">
      <c r="A6031" s="22" t="s">
        <v>6145</v>
      </c>
      <c r="B6031" s="36">
        <v>46123.726388888885</v>
      </c>
      <c r="C6031" s="36">
        <v>46124.93888888889</v>
      </c>
      <c r="D6031" s="22" t="s">
        <v>36</v>
      </c>
      <c r="E6031" s="22" t="s">
        <v>65</v>
      </c>
      <c r="F6031" s="22" t="s">
        <v>43</v>
      </c>
      <c r="G6031" s="22" t="s">
        <v>63</v>
      </c>
      <c r="H6031" s="22" t="s">
        <v>59</v>
      </c>
      <c r="I6031" s="22" t="s">
        <v>111</v>
      </c>
      <c r="J6031" s="23">
        <v>48</v>
      </c>
      <c r="K6031" s="37">
        <v>0</v>
      </c>
      <c r="M6031" s="22">
        <f>IF(OR(ISBLANK(C6031),C6031=""),"",ROUND((C6031-B6031)*24,2))</f>
        <v>29.1</v>
      </c>
      <c r="N6031" s="40" t="str">
        <f>IF(OR(ISBLANK(C6031),C6031="",M6031=""),"In Progress",IF(M6031&lt;=J6031,"Met","Breached"))</f>
        <v>Met</v>
      </c>
    </row>
    <row r="6032" ht="19" customHeight="1" spans="1:14" x14ac:dyDescent="0.25">
      <c r="A6032" s="19" t="s">
        <v>6146</v>
      </c>
      <c r="B6032" s="33">
        <v>46138.40763888889</v>
      </c>
      <c r="D6032" s="19" t="s">
        <v>39</v>
      </c>
      <c r="E6032" s="19" t="s">
        <v>69</v>
      </c>
      <c r="F6032" s="19" t="s">
        <v>34</v>
      </c>
      <c r="G6032" s="19" t="s">
        <v>113</v>
      </c>
      <c r="H6032" s="19" t="s">
        <v>59</v>
      </c>
      <c r="I6032" s="19" t="s">
        <v>117</v>
      </c>
      <c r="J6032" s="20">
        <v>120</v>
      </c>
      <c r="K6032" s="34">
        <v>0</v>
      </c>
      <c r="M6032" s="19" t="str">
        <f>IF(OR(ISBLANK(C6032),C6032=""),"",ROUND((C6032-B6032)*24,2))</f>
        <v/>
      </c>
      <c r="N6032" s="19" t="str">
        <f>IF(OR(ISBLANK(C6032),C6032="",M6032=""),"In Progress",IF(M6032&lt;=J6032,"Met","Breached"))</f>
        <v>In Progress</v>
      </c>
    </row>
    <row r="6033" ht="19" customHeight="1" spans="1:14" x14ac:dyDescent="0.25">
      <c r="A6033" s="22" t="s">
        <v>6147</v>
      </c>
      <c r="B6033" s="36">
        <v>46095.06388888889</v>
      </c>
      <c r="C6033" s="36">
        <v>46096.02847222222</v>
      </c>
      <c r="D6033" s="22" t="s">
        <v>33</v>
      </c>
      <c r="E6033" s="22" t="s">
        <v>65</v>
      </c>
      <c r="F6033" s="22" t="s">
        <v>45</v>
      </c>
      <c r="G6033" s="22" t="s">
        <v>121</v>
      </c>
      <c r="H6033" s="22" t="s">
        <v>59</v>
      </c>
      <c r="I6033" s="22" t="s">
        <v>108</v>
      </c>
      <c r="J6033" s="23">
        <v>48</v>
      </c>
      <c r="K6033" s="37">
        <v>0</v>
      </c>
      <c r="L6033" s="37">
        <v>2</v>
      </c>
      <c r="M6033" s="22">
        <f>IF(OR(ISBLANK(C6033),C6033=""),"",ROUND((C6033-B6033)*24,2))</f>
        <v>23.15</v>
      </c>
      <c r="N6033" s="40" t="str">
        <f>IF(OR(ISBLANK(C6033),C6033="",M6033=""),"In Progress",IF(M6033&lt;=J6033,"Met","Breached"))</f>
        <v>Met</v>
      </c>
    </row>
    <row r="6034" ht="19" customHeight="1" spans="1:14" x14ac:dyDescent="0.25">
      <c r="A6034" s="19" t="s">
        <v>6148</v>
      </c>
      <c r="B6034" s="33">
        <v>46162.20138888889</v>
      </c>
      <c r="C6034" s="33">
        <v>46164.756944444445</v>
      </c>
      <c r="D6034" s="19" t="s">
        <v>33</v>
      </c>
      <c r="E6034" s="19" t="s">
        <v>69</v>
      </c>
      <c r="F6034" s="19" t="s">
        <v>45</v>
      </c>
      <c r="G6034" s="19" t="s">
        <v>113</v>
      </c>
      <c r="H6034" s="19" t="s">
        <v>63</v>
      </c>
      <c r="I6034" s="19" t="s">
        <v>117</v>
      </c>
      <c r="J6034" s="20">
        <v>120</v>
      </c>
      <c r="K6034" s="34">
        <v>0</v>
      </c>
      <c r="L6034" s="34">
        <v>2</v>
      </c>
      <c r="M6034" s="19">
        <f>IF(OR(ISBLANK(C6034),C6034=""),"",ROUND((C6034-B6034)*24,2))</f>
        <v>61.33</v>
      </c>
      <c r="N6034" s="35" t="str">
        <f>IF(OR(ISBLANK(C6034),C6034="",M6034=""),"In Progress",IF(M6034&lt;=J6034,"Met","Breached"))</f>
        <v>Met</v>
      </c>
    </row>
    <row r="6035" ht="19" customHeight="1" spans="1:14" x14ac:dyDescent="0.25">
      <c r="A6035" s="22" t="s">
        <v>6149</v>
      </c>
      <c r="B6035" s="36">
        <v>45698.76180555555</v>
      </c>
      <c r="C6035" s="36">
        <v>45699.52638888889</v>
      </c>
      <c r="D6035" s="22" t="s">
        <v>36</v>
      </c>
      <c r="E6035" s="22" t="s">
        <v>61</v>
      </c>
      <c r="F6035" s="22" t="s">
        <v>37</v>
      </c>
      <c r="G6035" s="22" t="s">
        <v>63</v>
      </c>
      <c r="H6035" s="22" t="s">
        <v>59</v>
      </c>
      <c r="I6035" s="22" t="s">
        <v>114</v>
      </c>
      <c r="J6035" s="23">
        <v>12</v>
      </c>
      <c r="K6035" s="37">
        <v>0</v>
      </c>
      <c r="L6035" s="37">
        <v>2</v>
      </c>
      <c r="M6035" s="22">
        <f>IF(OR(ISBLANK(C6035),C6035=""),"",ROUND((C6035-B6035)*24,2))</f>
        <v>18.35</v>
      </c>
      <c r="N6035" s="38" t="str">
        <f>IF(OR(ISBLANK(C6035),C6035="",M6035=""),"In Progress",IF(M6035&lt;=J6035,"Met","Breached"))</f>
        <v>Breached</v>
      </c>
    </row>
    <row r="6036" ht="19" customHeight="1" spans="1:14" x14ac:dyDescent="0.25">
      <c r="A6036" s="19" t="s">
        <v>6150</v>
      </c>
      <c r="B6036" s="33">
        <v>45784.097916666666</v>
      </c>
      <c r="C6036" s="33">
        <v>45785.55902777778</v>
      </c>
      <c r="D6036" s="19" t="s">
        <v>33</v>
      </c>
      <c r="E6036" s="19" t="s">
        <v>65</v>
      </c>
      <c r="F6036" s="19" t="s">
        <v>34</v>
      </c>
      <c r="G6036" s="19" t="s">
        <v>121</v>
      </c>
      <c r="H6036" s="19" t="s">
        <v>71</v>
      </c>
      <c r="I6036" s="19" t="s">
        <v>117</v>
      </c>
      <c r="J6036" s="20">
        <v>48</v>
      </c>
      <c r="K6036" s="34">
        <v>0</v>
      </c>
      <c r="M6036" s="19">
        <f>IF(OR(ISBLANK(C6036),C6036=""),"",ROUND((C6036-B6036)*24,2))</f>
        <v>35.07</v>
      </c>
      <c r="N6036" s="35" t="str">
        <f>IF(OR(ISBLANK(C6036),C6036="",M6036=""),"In Progress",IF(M6036&lt;=J6036,"Met","Breached"))</f>
        <v>Met</v>
      </c>
    </row>
    <row r="6037" ht="19" customHeight="1" spans="1:14" x14ac:dyDescent="0.25">
      <c r="A6037" s="22" t="s">
        <v>6151</v>
      </c>
      <c r="B6037" s="36">
        <v>45855.256944444445</v>
      </c>
      <c r="C6037" s="36">
        <v>45858.77569444444</v>
      </c>
      <c r="D6037" s="22" t="s">
        <v>33</v>
      </c>
      <c r="E6037" s="22" t="s">
        <v>69</v>
      </c>
      <c r="F6037" s="22" t="s">
        <v>34</v>
      </c>
      <c r="G6037" s="22" t="s">
        <v>121</v>
      </c>
      <c r="H6037" s="22" t="s">
        <v>63</v>
      </c>
      <c r="I6037" s="22" t="s">
        <v>123</v>
      </c>
      <c r="J6037" s="23">
        <v>120</v>
      </c>
      <c r="K6037" s="37">
        <v>0</v>
      </c>
      <c r="L6037" s="37">
        <v>1</v>
      </c>
      <c r="M6037" s="22">
        <f>IF(OR(ISBLANK(C6037),C6037=""),"",ROUND((C6037-B6037)*24,2))</f>
        <v>84.45</v>
      </c>
      <c r="N6037" s="40" t="str">
        <f>IF(OR(ISBLANK(C6037),C6037="",M6037=""),"In Progress",IF(M6037&lt;=J6037,"Met","Breached"))</f>
        <v>Met</v>
      </c>
    </row>
    <row r="6038" ht="19" customHeight="1" spans="1:14" x14ac:dyDescent="0.25">
      <c r="A6038" s="19" t="s">
        <v>6152</v>
      </c>
      <c r="B6038" s="33">
        <v>45947.15</v>
      </c>
      <c r="C6038" s="33">
        <v>45947.43958333333</v>
      </c>
      <c r="D6038" s="19" t="s">
        <v>36</v>
      </c>
      <c r="E6038" s="19" t="s">
        <v>61</v>
      </c>
      <c r="F6038" s="19" t="s">
        <v>45</v>
      </c>
      <c r="G6038" s="19" t="s">
        <v>126</v>
      </c>
      <c r="H6038" s="19" t="s">
        <v>59</v>
      </c>
      <c r="I6038" s="19" t="s">
        <v>123</v>
      </c>
      <c r="J6038" s="20">
        <v>12</v>
      </c>
      <c r="K6038" s="34">
        <v>0</v>
      </c>
      <c r="L6038" s="34">
        <v>3</v>
      </c>
      <c r="M6038" s="19">
        <f>IF(OR(ISBLANK(C6038),C6038=""),"",ROUND((C6038-B6038)*24,2))</f>
        <v>6.95</v>
      </c>
      <c r="N6038" s="35" t="str">
        <f>IF(OR(ISBLANK(C6038),C6038="",M6038=""),"In Progress",IF(M6038&lt;=J6038,"Met","Breached"))</f>
        <v>Met</v>
      </c>
    </row>
    <row r="6039" ht="19" customHeight="1" spans="1:14" x14ac:dyDescent="0.25">
      <c r="A6039" s="22" t="s">
        <v>6153</v>
      </c>
      <c r="B6039" s="36">
        <v>46284.25833333333</v>
      </c>
      <c r="C6039" s="36">
        <v>46285.31875</v>
      </c>
      <c r="D6039" s="22" t="s">
        <v>36</v>
      </c>
      <c r="E6039" s="22" t="s">
        <v>65</v>
      </c>
      <c r="F6039" s="22" t="s">
        <v>37</v>
      </c>
      <c r="G6039" s="22" t="s">
        <v>126</v>
      </c>
      <c r="H6039" s="22" t="s">
        <v>59</v>
      </c>
      <c r="I6039" s="22" t="s">
        <v>108</v>
      </c>
      <c r="J6039" s="23">
        <v>48</v>
      </c>
      <c r="K6039" s="37">
        <v>1</v>
      </c>
      <c r="L6039" s="37">
        <v>3</v>
      </c>
      <c r="M6039" s="22">
        <f>IF(OR(ISBLANK(C6039),C6039=""),"",ROUND((C6039-B6039)*24,2))</f>
        <v>25.45</v>
      </c>
      <c r="N6039" s="40" t="str">
        <f>IF(OR(ISBLANK(C6039),C6039="",M6039=""),"In Progress",IF(M6039&lt;=J6039,"Met","Breached"))</f>
        <v>Met</v>
      </c>
    </row>
    <row r="6040" ht="19" customHeight="1" spans="1:14" x14ac:dyDescent="0.25">
      <c r="A6040" s="19" t="s">
        <v>6154</v>
      </c>
      <c r="B6040" s="33">
        <v>45993.648611111115</v>
      </c>
      <c r="C6040" s="33">
        <v>45995.25486111111</v>
      </c>
      <c r="D6040" s="19" t="s">
        <v>36</v>
      </c>
      <c r="E6040" s="19" t="s">
        <v>69</v>
      </c>
      <c r="F6040" s="19" t="s">
        <v>43</v>
      </c>
      <c r="G6040" s="19" t="s">
        <v>126</v>
      </c>
      <c r="H6040" s="19" t="s">
        <v>71</v>
      </c>
      <c r="I6040" s="19" t="s">
        <v>111</v>
      </c>
      <c r="J6040" s="20">
        <v>120</v>
      </c>
      <c r="K6040" s="34">
        <v>0</v>
      </c>
      <c r="L6040" s="34">
        <v>1</v>
      </c>
      <c r="M6040" s="19">
        <f>IF(OR(ISBLANK(C6040),C6040=""),"",ROUND((C6040-B6040)*24,2))</f>
        <v>38.55</v>
      </c>
      <c r="N6040" s="35" t="str">
        <f>IF(OR(ISBLANK(C6040),C6040="",M6040=""),"In Progress",IF(M6040&lt;=J6040,"Met","Breached"))</f>
        <v>Met</v>
      </c>
    </row>
    <row r="6041" ht="19" customHeight="1" spans="1:14" x14ac:dyDescent="0.25">
      <c r="A6041" s="22" t="s">
        <v>6155</v>
      </c>
      <c r="B6041" s="36">
        <v>45754.37708333333</v>
      </c>
      <c r="C6041" s="36">
        <v>45756.08819444444</v>
      </c>
      <c r="D6041" s="22" t="s">
        <v>33</v>
      </c>
      <c r="E6041" s="22" t="s">
        <v>65</v>
      </c>
      <c r="F6041" s="22" t="s">
        <v>43</v>
      </c>
      <c r="G6041" s="22" t="s">
        <v>110</v>
      </c>
      <c r="H6041" s="22" t="s">
        <v>63</v>
      </c>
      <c r="I6041" s="22" t="s">
        <v>117</v>
      </c>
      <c r="J6041" s="23">
        <v>48</v>
      </c>
      <c r="K6041" s="37">
        <v>0</v>
      </c>
      <c r="M6041" s="22">
        <f>IF(OR(ISBLANK(C6041),C6041=""),"",ROUND((C6041-B6041)*24,2))</f>
        <v>41.07</v>
      </c>
      <c r="N6041" s="40" t="str">
        <f>IF(OR(ISBLANK(C6041),C6041="",M6041=""),"In Progress",IF(M6041&lt;=J6041,"Met","Breached"))</f>
        <v>Met</v>
      </c>
    </row>
    <row r="6042" ht="19" customHeight="1" spans="1:14" x14ac:dyDescent="0.25">
      <c r="A6042" s="19" t="s">
        <v>6156</v>
      </c>
      <c r="B6042" s="33">
        <v>46129.117361111115</v>
      </c>
      <c r="C6042" s="33">
        <v>46130.78958333333</v>
      </c>
      <c r="D6042" s="19" t="s">
        <v>36</v>
      </c>
      <c r="E6042" s="19" t="s">
        <v>65</v>
      </c>
      <c r="F6042" s="19" t="s">
        <v>45</v>
      </c>
      <c r="G6042" s="19" t="s">
        <v>116</v>
      </c>
      <c r="H6042" s="19" t="s">
        <v>63</v>
      </c>
      <c r="I6042" s="19" t="s">
        <v>123</v>
      </c>
      <c r="J6042" s="20">
        <v>48</v>
      </c>
      <c r="K6042" s="34">
        <v>0</v>
      </c>
      <c r="L6042" s="34">
        <v>1</v>
      </c>
      <c r="M6042" s="19">
        <f>IF(OR(ISBLANK(C6042),C6042=""),"",ROUND((C6042-B6042)*24,2))</f>
        <v>40.13</v>
      </c>
      <c r="N6042" s="35" t="str">
        <f>IF(OR(ISBLANK(C6042),C6042="",M6042=""),"In Progress",IF(M6042&lt;=J6042,"Met","Breached"))</f>
        <v>Met</v>
      </c>
    </row>
    <row r="6043" ht="19" customHeight="1" spans="1:14" x14ac:dyDescent="0.25">
      <c r="A6043" s="22" t="s">
        <v>6157</v>
      </c>
      <c r="B6043" s="36">
        <v>45965.74097222222</v>
      </c>
      <c r="C6043" s="36">
        <v>45965.94375</v>
      </c>
      <c r="D6043" s="22" t="s">
        <v>36</v>
      </c>
      <c r="E6043" s="22" t="s">
        <v>57</v>
      </c>
      <c r="F6043" s="22" t="s">
        <v>45</v>
      </c>
      <c r="G6043" s="22" t="s">
        <v>121</v>
      </c>
      <c r="H6043" s="22" t="s">
        <v>63</v>
      </c>
      <c r="I6043" s="22" t="s">
        <v>147</v>
      </c>
      <c r="J6043" s="23">
        <v>4</v>
      </c>
      <c r="K6043" s="37">
        <v>1</v>
      </c>
      <c r="L6043" s="37">
        <v>4</v>
      </c>
      <c r="M6043" s="22">
        <f>IF(OR(ISBLANK(C6043),C6043=""),"",ROUND((C6043-B6043)*24,2))</f>
        <v>4.87</v>
      </c>
      <c r="N6043" s="38" t="str">
        <f>IF(OR(ISBLANK(C6043),C6043="",M6043=""),"In Progress",IF(M6043&lt;=J6043,"Met","Breached"))</f>
        <v>Breached</v>
      </c>
    </row>
    <row r="6044" ht="19" customHeight="1" spans="1:14" x14ac:dyDescent="0.25">
      <c r="A6044" s="19" t="s">
        <v>6158</v>
      </c>
      <c r="B6044" s="33">
        <v>46225.79027777778</v>
      </c>
      <c r="D6044" s="19" t="s">
        <v>42</v>
      </c>
      <c r="E6044" s="19" t="s">
        <v>69</v>
      </c>
      <c r="F6044" s="19" t="s">
        <v>43</v>
      </c>
      <c r="G6044" s="19" t="s">
        <v>116</v>
      </c>
      <c r="H6044" s="19" t="s">
        <v>59</v>
      </c>
      <c r="I6044" s="19" t="s">
        <v>147</v>
      </c>
      <c r="J6044" s="20">
        <v>120</v>
      </c>
      <c r="K6044" s="34">
        <v>0</v>
      </c>
      <c r="M6044" s="19" t="str">
        <f>IF(OR(ISBLANK(C6044),C6044=""),"",ROUND((C6044-B6044)*24,2))</f>
        <v/>
      </c>
      <c r="N6044" s="19" t="str">
        <f>IF(OR(ISBLANK(C6044),C6044="",M6044=""),"In Progress",IF(M6044&lt;=J6044,"Met","Breached"))</f>
        <v>In Progress</v>
      </c>
    </row>
    <row r="6045" ht="19" customHeight="1" spans="1:14" x14ac:dyDescent="0.25">
      <c r="A6045" s="22" t="s">
        <v>6159</v>
      </c>
      <c r="B6045" s="36">
        <v>46247.98611111111</v>
      </c>
      <c r="C6045" s="36">
        <v>46250.42638888889</v>
      </c>
      <c r="D6045" s="22" t="s">
        <v>33</v>
      </c>
      <c r="E6045" s="22" t="s">
        <v>65</v>
      </c>
      <c r="F6045" s="22" t="s">
        <v>43</v>
      </c>
      <c r="G6045" s="22" t="s">
        <v>126</v>
      </c>
      <c r="H6045" s="22" t="s">
        <v>71</v>
      </c>
      <c r="I6045" s="22" t="s">
        <v>117</v>
      </c>
      <c r="J6045" s="23">
        <v>48</v>
      </c>
      <c r="K6045" s="37">
        <v>0</v>
      </c>
      <c r="L6045" s="37">
        <v>1</v>
      </c>
      <c r="M6045" s="22">
        <f>IF(OR(ISBLANK(C6045),C6045=""),"",ROUND((C6045-B6045)*24,2))</f>
        <v>58.57</v>
      </c>
      <c r="N6045" s="38" t="str">
        <f>IF(OR(ISBLANK(C6045),C6045="",M6045=""),"In Progress",IF(M6045&lt;=J6045,"Met","Breached"))</f>
        <v>Breached</v>
      </c>
    </row>
    <row r="6046" ht="19" customHeight="1" spans="1:14" x14ac:dyDescent="0.25">
      <c r="A6046" s="19" t="s">
        <v>6160</v>
      </c>
      <c r="B6046" s="33">
        <v>45754.73125</v>
      </c>
      <c r="D6046" s="19" t="s">
        <v>39</v>
      </c>
      <c r="E6046" s="19" t="s">
        <v>69</v>
      </c>
      <c r="F6046" s="19" t="s">
        <v>43</v>
      </c>
      <c r="G6046" s="19" t="s">
        <v>113</v>
      </c>
      <c r="H6046" s="19" t="s">
        <v>59</v>
      </c>
      <c r="I6046" s="19" t="s">
        <v>111</v>
      </c>
      <c r="J6046" s="20">
        <v>120</v>
      </c>
      <c r="K6046" s="34">
        <v>0</v>
      </c>
      <c r="M6046" s="19" t="str">
        <f>IF(OR(ISBLANK(C6046),C6046=""),"",ROUND((C6046-B6046)*24,2))</f>
        <v/>
      </c>
      <c r="N6046" s="19" t="str">
        <f>IF(OR(ISBLANK(C6046),C6046="",M6046=""),"In Progress",IF(M6046&lt;=J6046,"Met","Breached"))</f>
        <v>In Progress</v>
      </c>
    </row>
    <row r="6047" ht="19" customHeight="1" spans="1:14" x14ac:dyDescent="0.25">
      <c r="A6047" s="22" t="s">
        <v>6161</v>
      </c>
      <c r="B6047" s="36">
        <v>46154.086111111115</v>
      </c>
      <c r="D6047" s="22" t="s">
        <v>39</v>
      </c>
      <c r="E6047" s="22" t="s">
        <v>65</v>
      </c>
      <c r="F6047" s="22" t="s">
        <v>43</v>
      </c>
      <c r="G6047" s="22" t="s">
        <v>116</v>
      </c>
      <c r="H6047" s="22" t="s">
        <v>63</v>
      </c>
      <c r="I6047" s="22" t="s">
        <v>147</v>
      </c>
      <c r="J6047" s="23">
        <v>48</v>
      </c>
      <c r="K6047" s="37">
        <v>0</v>
      </c>
      <c r="M6047" s="22" t="str">
        <f>IF(OR(ISBLANK(C6047),C6047=""),"",ROUND((C6047-B6047)*24,2))</f>
        <v/>
      </c>
      <c r="N6047" s="22" t="str">
        <f>IF(OR(ISBLANK(C6047),C6047="",M6047=""),"In Progress",IF(M6047&lt;=J6047,"Met","Breached"))</f>
        <v>In Progress</v>
      </c>
    </row>
    <row r="6048" ht="19" customHeight="1" spans="1:14" x14ac:dyDescent="0.25">
      <c r="A6048" s="19" t="s">
        <v>6162</v>
      </c>
      <c r="B6048" s="33">
        <v>45912.225694444445</v>
      </c>
      <c r="D6048" s="19" t="s">
        <v>39</v>
      </c>
      <c r="E6048" s="19" t="s">
        <v>65</v>
      </c>
      <c r="F6048" s="19" t="s">
        <v>34</v>
      </c>
      <c r="G6048" s="19" t="s">
        <v>110</v>
      </c>
      <c r="H6048" s="19" t="s">
        <v>63</v>
      </c>
      <c r="I6048" s="19" t="s">
        <v>111</v>
      </c>
      <c r="J6048" s="20">
        <v>48</v>
      </c>
      <c r="K6048" s="34">
        <v>0</v>
      </c>
      <c r="M6048" s="19" t="str">
        <f>IF(OR(ISBLANK(C6048),C6048=""),"",ROUND((C6048-B6048)*24,2))</f>
        <v/>
      </c>
      <c r="N6048" s="19" t="str">
        <f>IF(OR(ISBLANK(C6048),C6048="",M6048=""),"In Progress",IF(M6048&lt;=J6048,"Met","Breached"))</f>
        <v>In Progress</v>
      </c>
    </row>
    <row r="6049" ht="19" customHeight="1" spans="1:14" x14ac:dyDescent="0.25">
      <c r="A6049" s="22" t="s">
        <v>6163</v>
      </c>
      <c r="B6049" s="36">
        <v>45771.56597222222</v>
      </c>
      <c r="C6049" s="36">
        <v>45775.04583333334</v>
      </c>
      <c r="D6049" s="22" t="s">
        <v>36</v>
      </c>
      <c r="E6049" s="22" t="s">
        <v>65</v>
      </c>
      <c r="F6049" s="22" t="s">
        <v>34</v>
      </c>
      <c r="G6049" s="22" t="s">
        <v>126</v>
      </c>
      <c r="H6049" s="22" t="s">
        <v>59</v>
      </c>
      <c r="I6049" s="22" t="s">
        <v>123</v>
      </c>
      <c r="J6049" s="23">
        <v>48</v>
      </c>
      <c r="K6049" s="37">
        <v>0</v>
      </c>
      <c r="L6049" s="37">
        <v>4</v>
      </c>
      <c r="M6049" s="22">
        <f>IF(OR(ISBLANK(C6049),C6049=""),"",ROUND((C6049-B6049)*24,2))</f>
        <v>83.52</v>
      </c>
      <c r="N6049" s="38" t="str">
        <f>IF(OR(ISBLANK(C6049),C6049="",M6049=""),"In Progress",IF(M6049&lt;=J6049,"Met","Breached"))</f>
        <v>Breached</v>
      </c>
    </row>
    <row r="6050" ht="19" customHeight="1" spans="1:14" x14ac:dyDescent="0.25">
      <c r="A6050" s="19" t="s">
        <v>6164</v>
      </c>
      <c r="B6050" s="33">
        <v>46145.950694444444</v>
      </c>
      <c r="C6050" s="33">
        <v>46154.231944444444</v>
      </c>
      <c r="D6050" s="19" t="s">
        <v>36</v>
      </c>
      <c r="E6050" s="19" t="s">
        <v>69</v>
      </c>
      <c r="F6050" s="19" t="s">
        <v>43</v>
      </c>
      <c r="G6050" s="19" t="s">
        <v>110</v>
      </c>
      <c r="H6050" s="19" t="s">
        <v>67</v>
      </c>
      <c r="I6050" s="19" t="s">
        <v>114</v>
      </c>
      <c r="J6050" s="20">
        <v>120</v>
      </c>
      <c r="K6050" s="34">
        <v>0</v>
      </c>
      <c r="L6050" s="34">
        <v>4</v>
      </c>
      <c r="M6050" s="19">
        <f>IF(OR(ISBLANK(C6050),C6050=""),"",ROUND((C6050-B6050)*24,2))</f>
        <v>198.75</v>
      </c>
      <c r="N6050" s="39" t="str">
        <f>IF(OR(ISBLANK(C6050),C6050="",M6050=""),"In Progress",IF(M6050&lt;=J6050,"Met","Breached"))</f>
        <v>Breached</v>
      </c>
    </row>
    <row r="6051" ht="19" customHeight="1" spans="1:14" x14ac:dyDescent="0.25">
      <c r="A6051" s="22" t="s">
        <v>6165</v>
      </c>
      <c r="B6051" s="36">
        <v>45752.209027777775</v>
      </c>
      <c r="D6051" s="22" t="s">
        <v>39</v>
      </c>
      <c r="E6051" s="22" t="s">
        <v>61</v>
      </c>
      <c r="F6051" s="22" t="s">
        <v>34</v>
      </c>
      <c r="G6051" s="22" t="s">
        <v>116</v>
      </c>
      <c r="H6051" s="22" t="s">
        <v>59</v>
      </c>
      <c r="I6051" s="22" t="s">
        <v>117</v>
      </c>
      <c r="J6051" s="23">
        <v>12</v>
      </c>
      <c r="K6051" s="37">
        <v>0</v>
      </c>
      <c r="M6051" s="22" t="str">
        <f>IF(OR(ISBLANK(C6051),C6051=""),"",ROUND((C6051-B6051)*24,2))</f>
        <v/>
      </c>
      <c r="N6051" s="22" t="str">
        <f>IF(OR(ISBLANK(C6051),C6051="",M6051=""),"In Progress",IF(M6051&lt;=J6051,"Met","Breached"))</f>
        <v>In Progress</v>
      </c>
    </row>
    <row r="6052" ht="19" customHeight="1" spans="1:14" x14ac:dyDescent="0.25">
      <c r="A6052" s="19" t="s">
        <v>6166</v>
      </c>
      <c r="B6052" s="33">
        <v>45930.240277777775</v>
      </c>
      <c r="C6052" s="33">
        <v>45930.43194444444</v>
      </c>
      <c r="D6052" s="19" t="s">
        <v>33</v>
      </c>
      <c r="E6052" s="19" t="s">
        <v>57</v>
      </c>
      <c r="F6052" s="19" t="s">
        <v>40</v>
      </c>
      <c r="G6052" s="19" t="s">
        <v>121</v>
      </c>
      <c r="H6052" s="19" t="s">
        <v>71</v>
      </c>
      <c r="I6052" s="19" t="s">
        <v>114</v>
      </c>
      <c r="J6052" s="20">
        <v>4</v>
      </c>
      <c r="K6052" s="34">
        <v>0</v>
      </c>
      <c r="L6052" s="34">
        <v>4</v>
      </c>
      <c r="M6052" s="19">
        <f>IF(OR(ISBLANK(C6052),C6052=""),"",ROUND((C6052-B6052)*24,2))</f>
        <v>4.6</v>
      </c>
      <c r="N6052" s="39" t="str">
        <f>IF(OR(ISBLANK(C6052),C6052="",M6052=""),"In Progress",IF(M6052&lt;=J6052,"Met","Breached"))</f>
        <v>Breached</v>
      </c>
    </row>
    <row r="6053" ht="19" customHeight="1" spans="1:14" x14ac:dyDescent="0.25">
      <c r="A6053" s="22" t="s">
        <v>6167</v>
      </c>
      <c r="B6053" s="36">
        <v>45959.71666666667</v>
      </c>
      <c r="D6053" s="22" t="s">
        <v>39</v>
      </c>
      <c r="E6053" s="22" t="s">
        <v>69</v>
      </c>
      <c r="F6053" s="22" t="s">
        <v>34</v>
      </c>
      <c r="G6053" s="22" t="s">
        <v>126</v>
      </c>
      <c r="H6053" s="22" t="s">
        <v>59</v>
      </c>
      <c r="I6053" s="22" t="s">
        <v>147</v>
      </c>
      <c r="J6053" s="23">
        <v>120</v>
      </c>
      <c r="K6053" s="37">
        <v>0</v>
      </c>
      <c r="M6053" s="22" t="str">
        <f>IF(OR(ISBLANK(C6053),C6053=""),"",ROUND((C6053-B6053)*24,2))</f>
        <v/>
      </c>
      <c r="N6053" s="22" t="str">
        <f>IF(OR(ISBLANK(C6053),C6053="",M6053=""),"In Progress",IF(M6053&lt;=J6053,"Met","Breached"))</f>
        <v>In Progress</v>
      </c>
    </row>
    <row r="6054" ht="19" customHeight="1" spans="1:14" x14ac:dyDescent="0.25">
      <c r="A6054" s="19" t="s">
        <v>6168</v>
      </c>
      <c r="B6054" s="33">
        <v>45960.87152777778</v>
      </c>
      <c r="D6054" s="19" t="s">
        <v>39</v>
      </c>
      <c r="E6054" s="19" t="s">
        <v>65</v>
      </c>
      <c r="F6054" s="19" t="s">
        <v>40</v>
      </c>
      <c r="G6054" s="19" t="s">
        <v>110</v>
      </c>
      <c r="H6054" s="19" t="s">
        <v>63</v>
      </c>
      <c r="I6054" s="19" t="s">
        <v>123</v>
      </c>
      <c r="J6054" s="20">
        <v>48</v>
      </c>
      <c r="K6054" s="34">
        <v>0</v>
      </c>
      <c r="M6054" s="19" t="str">
        <f>IF(OR(ISBLANK(C6054),C6054=""),"",ROUND((C6054-B6054)*24,2))</f>
        <v/>
      </c>
      <c r="N6054" s="19" t="str">
        <f>IF(OR(ISBLANK(C6054),C6054="",M6054=""),"In Progress",IF(M6054&lt;=J6054,"Met","Breached"))</f>
        <v>In Progress</v>
      </c>
    </row>
    <row r="6055" ht="19" customHeight="1" spans="1:14" x14ac:dyDescent="0.25">
      <c r="A6055" s="22" t="s">
        <v>6169</v>
      </c>
      <c r="B6055" s="36">
        <v>45958.93958333333</v>
      </c>
      <c r="C6055" s="36">
        <v>45961.9875</v>
      </c>
      <c r="D6055" s="22" t="s">
        <v>33</v>
      </c>
      <c r="E6055" s="22" t="s">
        <v>69</v>
      </c>
      <c r="F6055" s="22" t="s">
        <v>37</v>
      </c>
      <c r="G6055" s="22" t="s">
        <v>126</v>
      </c>
      <c r="H6055" s="22" t="s">
        <v>71</v>
      </c>
      <c r="I6055" s="22" t="s">
        <v>147</v>
      </c>
      <c r="J6055" s="23">
        <v>120</v>
      </c>
      <c r="K6055" s="37">
        <v>0</v>
      </c>
      <c r="M6055" s="22">
        <f>IF(OR(ISBLANK(C6055),C6055=""),"",ROUND((C6055-B6055)*24,2))</f>
        <v>73.15</v>
      </c>
      <c r="N6055" s="40" t="str">
        <f>IF(OR(ISBLANK(C6055),C6055="",M6055=""),"In Progress",IF(M6055&lt;=J6055,"Met","Breached"))</f>
        <v>Met</v>
      </c>
    </row>
    <row r="6056" ht="19" customHeight="1" spans="1:14" x14ac:dyDescent="0.25">
      <c r="A6056" s="19" t="s">
        <v>6170</v>
      </c>
      <c r="B6056" s="33">
        <v>45976.74444444444</v>
      </c>
      <c r="C6056" s="33">
        <v>45979.70277777778</v>
      </c>
      <c r="D6056" s="19" t="s">
        <v>33</v>
      </c>
      <c r="E6056" s="19" t="s">
        <v>65</v>
      </c>
      <c r="F6056" s="19" t="s">
        <v>34</v>
      </c>
      <c r="G6056" s="19" t="s">
        <v>121</v>
      </c>
      <c r="H6056" s="19" t="s">
        <v>71</v>
      </c>
      <c r="I6056" s="19" t="s">
        <v>147</v>
      </c>
      <c r="J6056" s="20">
        <v>48</v>
      </c>
      <c r="K6056" s="34">
        <v>0</v>
      </c>
      <c r="L6056" s="34">
        <v>4</v>
      </c>
      <c r="M6056" s="19">
        <f>IF(OR(ISBLANK(C6056),C6056=""),"",ROUND((C6056-B6056)*24,2))</f>
        <v>71</v>
      </c>
      <c r="N6056" s="39" t="str">
        <f>IF(OR(ISBLANK(C6056),C6056="",M6056=""),"In Progress",IF(M6056&lt;=J6056,"Met","Breached"))</f>
        <v>Breached</v>
      </c>
    </row>
    <row r="6057" ht="19" customHeight="1" spans="1:14" x14ac:dyDescent="0.25">
      <c r="A6057" s="22" t="s">
        <v>6171</v>
      </c>
      <c r="B6057" s="36">
        <v>45852.34027777778</v>
      </c>
      <c r="D6057" s="22" t="s">
        <v>42</v>
      </c>
      <c r="E6057" s="22" t="s">
        <v>61</v>
      </c>
      <c r="F6057" s="22" t="s">
        <v>37</v>
      </c>
      <c r="G6057" s="22" t="s">
        <v>126</v>
      </c>
      <c r="H6057" s="22" t="s">
        <v>59</v>
      </c>
      <c r="I6057" s="22" t="s">
        <v>123</v>
      </c>
      <c r="J6057" s="23">
        <v>12</v>
      </c>
      <c r="K6057" s="37">
        <v>0</v>
      </c>
      <c r="M6057" s="22" t="str">
        <f>IF(OR(ISBLANK(C6057),C6057=""),"",ROUND((C6057-B6057)*24,2))</f>
        <v/>
      </c>
      <c r="N6057" s="22" t="str">
        <f>IF(OR(ISBLANK(C6057),C6057="",M6057=""),"In Progress",IF(M6057&lt;=J6057,"Met","Breached"))</f>
        <v>In Progress</v>
      </c>
    </row>
    <row r="6058" ht="19" customHeight="1" spans="1:14" x14ac:dyDescent="0.25">
      <c r="A6058" s="19" t="s">
        <v>6172</v>
      </c>
      <c r="B6058" s="33">
        <v>45886.78680555556</v>
      </c>
      <c r="C6058" s="33">
        <v>45886.96319444444</v>
      </c>
      <c r="D6058" s="19" t="s">
        <v>33</v>
      </c>
      <c r="E6058" s="19" t="s">
        <v>57</v>
      </c>
      <c r="F6058" s="19" t="s">
        <v>45</v>
      </c>
      <c r="G6058" s="19" t="s">
        <v>110</v>
      </c>
      <c r="H6058" s="19" t="s">
        <v>59</v>
      </c>
      <c r="I6058" s="19" t="s">
        <v>123</v>
      </c>
      <c r="J6058" s="20">
        <v>4</v>
      </c>
      <c r="K6058" s="34">
        <v>0</v>
      </c>
      <c r="M6058" s="19">
        <f>IF(OR(ISBLANK(C6058),C6058=""),"",ROUND((C6058-B6058)*24,2))</f>
        <v>4.23</v>
      </c>
      <c r="N6058" s="39" t="str">
        <f>IF(OR(ISBLANK(C6058),C6058="",M6058=""),"In Progress",IF(M6058&lt;=J6058,"Met","Breached"))</f>
        <v>Breached</v>
      </c>
    </row>
    <row r="6059" ht="19" customHeight="1" spans="1:14" x14ac:dyDescent="0.25">
      <c r="A6059" s="22" t="s">
        <v>6173</v>
      </c>
      <c r="B6059" s="36">
        <v>45667.44652777778</v>
      </c>
      <c r="C6059" s="36">
        <v>45667.59861111111</v>
      </c>
      <c r="D6059" s="22" t="s">
        <v>33</v>
      </c>
      <c r="E6059" s="22" t="s">
        <v>61</v>
      </c>
      <c r="F6059" s="22" t="s">
        <v>45</v>
      </c>
      <c r="G6059" s="22" t="s">
        <v>63</v>
      </c>
      <c r="H6059" s="22" t="s">
        <v>71</v>
      </c>
      <c r="I6059" s="22" t="s">
        <v>147</v>
      </c>
      <c r="J6059" s="23">
        <v>12</v>
      </c>
      <c r="K6059" s="37">
        <v>1</v>
      </c>
      <c r="M6059" s="22">
        <f>IF(OR(ISBLANK(C6059),C6059=""),"",ROUND((C6059-B6059)*24,2))</f>
        <v>3.65</v>
      </c>
      <c r="N6059" s="40" t="str">
        <f>IF(OR(ISBLANK(C6059),C6059="",M6059=""),"In Progress",IF(M6059&lt;=J6059,"Met","Breached"))</f>
        <v>Met</v>
      </c>
    </row>
    <row r="6060" ht="19" customHeight="1" spans="1:14" x14ac:dyDescent="0.25">
      <c r="A6060" s="19" t="s">
        <v>6174</v>
      </c>
      <c r="B6060" s="33">
        <v>45786.379166666666</v>
      </c>
      <c r="C6060" s="33">
        <v>45789.08333333333</v>
      </c>
      <c r="D6060" s="19" t="s">
        <v>33</v>
      </c>
      <c r="E6060" s="19" t="s">
        <v>65</v>
      </c>
      <c r="F6060" s="19" t="s">
        <v>37</v>
      </c>
      <c r="G6060" s="19" t="s">
        <v>63</v>
      </c>
      <c r="H6060" s="19" t="s">
        <v>67</v>
      </c>
      <c r="I6060" s="19" t="s">
        <v>117</v>
      </c>
      <c r="J6060" s="20">
        <v>48</v>
      </c>
      <c r="K6060" s="34">
        <v>0</v>
      </c>
      <c r="M6060" s="19">
        <f>IF(OR(ISBLANK(C6060),C6060=""),"",ROUND((C6060-B6060)*24,2))</f>
        <v>64.9</v>
      </c>
      <c r="N6060" s="39" t="str">
        <f>IF(OR(ISBLANK(C6060),C6060="",M6060=""),"In Progress",IF(M6060&lt;=J6060,"Met","Breached"))</f>
        <v>Breached</v>
      </c>
    </row>
    <row r="6061" ht="19" customHeight="1" spans="1:14" x14ac:dyDescent="0.25">
      <c r="A6061" s="22" t="s">
        <v>6175</v>
      </c>
      <c r="B6061" s="36">
        <v>46080.49513888889</v>
      </c>
      <c r="D6061" s="22" t="s">
        <v>39</v>
      </c>
      <c r="E6061" s="22" t="s">
        <v>69</v>
      </c>
      <c r="F6061" s="22" t="s">
        <v>37</v>
      </c>
      <c r="G6061" s="22" t="s">
        <v>116</v>
      </c>
      <c r="H6061" s="22" t="s">
        <v>59</v>
      </c>
      <c r="I6061" s="22" t="s">
        <v>108</v>
      </c>
      <c r="J6061" s="23">
        <v>120</v>
      </c>
      <c r="K6061" s="37">
        <v>0</v>
      </c>
      <c r="M6061" s="22" t="str">
        <f>IF(OR(ISBLANK(C6061),C6061=""),"",ROUND((C6061-B6061)*24,2))</f>
        <v/>
      </c>
      <c r="N6061" s="22" t="str">
        <f>IF(OR(ISBLANK(C6061),C6061="",M6061=""),"In Progress",IF(M6061&lt;=J6061,"Met","Breached"))</f>
        <v>In Progress</v>
      </c>
    </row>
    <row r="6062" ht="19" customHeight="1" spans="1:14" x14ac:dyDescent="0.25">
      <c r="A6062" s="19" t="s">
        <v>6176</v>
      </c>
      <c r="B6062" s="33">
        <v>45904.29375</v>
      </c>
      <c r="C6062" s="33">
        <v>45904.98888888889</v>
      </c>
      <c r="D6062" s="19" t="s">
        <v>33</v>
      </c>
      <c r="E6062" s="19" t="s">
        <v>61</v>
      </c>
      <c r="F6062" s="19" t="s">
        <v>40</v>
      </c>
      <c r="G6062" s="19" t="s">
        <v>126</v>
      </c>
      <c r="H6062" s="19" t="s">
        <v>71</v>
      </c>
      <c r="I6062" s="19" t="s">
        <v>114</v>
      </c>
      <c r="J6062" s="20">
        <v>12</v>
      </c>
      <c r="K6062" s="34">
        <v>0</v>
      </c>
      <c r="L6062" s="34">
        <v>4</v>
      </c>
      <c r="M6062" s="19">
        <f>IF(OR(ISBLANK(C6062),C6062=""),"",ROUND((C6062-B6062)*24,2))</f>
        <v>16.68</v>
      </c>
      <c r="N6062" s="39" t="str">
        <f>IF(OR(ISBLANK(C6062),C6062="",M6062=""),"In Progress",IF(M6062&lt;=J6062,"Met","Breached"))</f>
        <v>Breached</v>
      </c>
    </row>
    <row r="6063" ht="19" customHeight="1" spans="1:14" x14ac:dyDescent="0.25">
      <c r="A6063" s="22" t="s">
        <v>6177</v>
      </c>
      <c r="B6063" s="36">
        <v>46007.47361111111</v>
      </c>
      <c r="C6063" s="36">
        <v>46010.950694444444</v>
      </c>
      <c r="D6063" s="22" t="s">
        <v>33</v>
      </c>
      <c r="E6063" s="22" t="s">
        <v>65</v>
      </c>
      <c r="F6063" s="22" t="s">
        <v>40</v>
      </c>
      <c r="G6063" s="22" t="s">
        <v>121</v>
      </c>
      <c r="H6063" s="22" t="s">
        <v>59</v>
      </c>
      <c r="I6063" s="22" t="s">
        <v>123</v>
      </c>
      <c r="J6063" s="23">
        <v>48</v>
      </c>
      <c r="K6063" s="37">
        <v>0</v>
      </c>
      <c r="L6063" s="37">
        <v>3</v>
      </c>
      <c r="M6063" s="22">
        <f>IF(OR(ISBLANK(C6063),C6063=""),"",ROUND((C6063-B6063)*24,2))</f>
        <v>83.45</v>
      </c>
      <c r="N6063" s="38" t="str">
        <f>IF(OR(ISBLANK(C6063),C6063="",M6063=""),"In Progress",IF(M6063&lt;=J6063,"Met","Breached"))</f>
        <v>Breached</v>
      </c>
    </row>
    <row r="6064" ht="19" customHeight="1" spans="1:14" x14ac:dyDescent="0.25">
      <c r="A6064" s="19" t="s">
        <v>6178</v>
      </c>
      <c r="B6064" s="33">
        <v>46176.17361111111</v>
      </c>
      <c r="C6064" s="33">
        <v>46177.540972222225</v>
      </c>
      <c r="D6064" s="19" t="s">
        <v>36</v>
      </c>
      <c r="E6064" s="19" t="s">
        <v>65</v>
      </c>
      <c r="F6064" s="19" t="s">
        <v>43</v>
      </c>
      <c r="G6064" s="19" t="s">
        <v>63</v>
      </c>
      <c r="H6064" s="19" t="s">
        <v>59</v>
      </c>
      <c r="I6064" s="19" t="s">
        <v>147</v>
      </c>
      <c r="J6064" s="20">
        <v>48</v>
      </c>
      <c r="K6064" s="34">
        <v>0</v>
      </c>
      <c r="L6064" s="34">
        <v>1</v>
      </c>
      <c r="M6064" s="19">
        <f>IF(OR(ISBLANK(C6064),C6064=""),"",ROUND((C6064-B6064)*24,2))</f>
        <v>32.82</v>
      </c>
      <c r="N6064" s="35" t="str">
        <f>IF(OR(ISBLANK(C6064),C6064="",M6064=""),"In Progress",IF(M6064&lt;=J6064,"Met","Breached"))</f>
        <v>Met</v>
      </c>
    </row>
    <row r="6065" ht="19" customHeight="1" spans="1:14" x14ac:dyDescent="0.25">
      <c r="A6065" s="22" t="s">
        <v>6179</v>
      </c>
      <c r="B6065" s="36">
        <v>45872.39375</v>
      </c>
      <c r="C6065" s="36">
        <v>45874.620833333334</v>
      </c>
      <c r="D6065" s="22" t="s">
        <v>33</v>
      </c>
      <c r="E6065" s="22" t="s">
        <v>65</v>
      </c>
      <c r="F6065" s="22" t="s">
        <v>45</v>
      </c>
      <c r="G6065" s="22" t="s">
        <v>126</v>
      </c>
      <c r="H6065" s="22" t="s">
        <v>63</v>
      </c>
      <c r="I6065" s="22" t="s">
        <v>108</v>
      </c>
      <c r="J6065" s="23">
        <v>48</v>
      </c>
      <c r="K6065" s="37">
        <v>0</v>
      </c>
      <c r="M6065" s="22">
        <f>IF(OR(ISBLANK(C6065),C6065=""),"",ROUND((C6065-B6065)*24,2))</f>
        <v>53.45</v>
      </c>
      <c r="N6065" s="38" t="str">
        <f>IF(OR(ISBLANK(C6065),C6065="",M6065=""),"In Progress",IF(M6065&lt;=J6065,"Met","Breached"))</f>
        <v>Breached</v>
      </c>
    </row>
    <row r="6066" ht="19" customHeight="1" spans="1:14" x14ac:dyDescent="0.25">
      <c r="A6066" s="19" t="s">
        <v>6180</v>
      </c>
      <c r="B6066" s="33">
        <v>46223.788194444445</v>
      </c>
      <c r="C6066" s="33">
        <v>46224.430555555555</v>
      </c>
      <c r="D6066" s="19" t="s">
        <v>33</v>
      </c>
      <c r="E6066" s="19" t="s">
        <v>61</v>
      </c>
      <c r="F6066" s="19" t="s">
        <v>37</v>
      </c>
      <c r="G6066" s="19" t="s">
        <v>63</v>
      </c>
      <c r="H6066" s="19" t="s">
        <v>59</v>
      </c>
      <c r="I6066" s="19" t="s">
        <v>117</v>
      </c>
      <c r="J6066" s="20">
        <v>12</v>
      </c>
      <c r="K6066" s="34">
        <v>0</v>
      </c>
      <c r="L6066" s="34">
        <v>5</v>
      </c>
      <c r="M6066" s="19">
        <f>IF(OR(ISBLANK(C6066),C6066=""),"",ROUND((C6066-B6066)*24,2))</f>
        <v>15.42</v>
      </c>
      <c r="N6066" s="39" t="str">
        <f>IF(OR(ISBLANK(C6066),C6066="",M6066=""),"In Progress",IF(M6066&lt;=J6066,"Met","Breached"))</f>
        <v>Breached</v>
      </c>
    </row>
    <row r="6067" ht="19" customHeight="1" spans="1:14" x14ac:dyDescent="0.25">
      <c r="A6067" s="22" t="s">
        <v>6181</v>
      </c>
      <c r="B6067" s="36">
        <v>46271.01527777778</v>
      </c>
      <c r="C6067" s="36">
        <v>46273.69097222222</v>
      </c>
      <c r="D6067" s="22" t="s">
        <v>33</v>
      </c>
      <c r="E6067" s="22" t="s">
        <v>65</v>
      </c>
      <c r="F6067" s="22" t="s">
        <v>34</v>
      </c>
      <c r="G6067" s="22" t="s">
        <v>116</v>
      </c>
      <c r="H6067" s="22" t="s">
        <v>59</v>
      </c>
      <c r="I6067" s="22" t="s">
        <v>117</v>
      </c>
      <c r="J6067" s="23">
        <v>48</v>
      </c>
      <c r="K6067" s="37">
        <v>0</v>
      </c>
      <c r="M6067" s="22">
        <f>IF(OR(ISBLANK(C6067),C6067=""),"",ROUND((C6067-B6067)*24,2))</f>
        <v>64.22</v>
      </c>
      <c r="N6067" s="38" t="str">
        <f>IF(OR(ISBLANK(C6067),C6067="",M6067=""),"In Progress",IF(M6067&lt;=J6067,"Met","Breached"))</f>
        <v>Breached</v>
      </c>
    </row>
    <row r="6068" ht="19" customHeight="1" spans="1:14" x14ac:dyDescent="0.25">
      <c r="A6068" s="19" t="s">
        <v>6182</v>
      </c>
      <c r="B6068" s="33">
        <v>45758.83819444444</v>
      </c>
      <c r="C6068" s="33">
        <v>45761.48472222222</v>
      </c>
      <c r="D6068" s="19" t="s">
        <v>36</v>
      </c>
      <c r="E6068" s="19" t="s">
        <v>65</v>
      </c>
      <c r="F6068" s="19" t="s">
        <v>34</v>
      </c>
      <c r="G6068" s="19" t="s">
        <v>110</v>
      </c>
      <c r="H6068" s="19" t="s">
        <v>67</v>
      </c>
      <c r="I6068" s="19" t="s">
        <v>108</v>
      </c>
      <c r="J6068" s="20">
        <v>48</v>
      </c>
      <c r="K6068" s="34">
        <v>0</v>
      </c>
      <c r="L6068" s="34">
        <v>3</v>
      </c>
      <c r="M6068" s="19">
        <f>IF(OR(ISBLANK(C6068),C6068=""),"",ROUND((C6068-B6068)*24,2))</f>
        <v>63.52</v>
      </c>
      <c r="N6068" s="39" t="str">
        <f>IF(OR(ISBLANK(C6068),C6068="",M6068=""),"In Progress",IF(M6068&lt;=J6068,"Met","Breached"))</f>
        <v>Breached</v>
      </c>
    </row>
    <row r="6069" ht="19" customHeight="1" spans="1:14" x14ac:dyDescent="0.25">
      <c r="A6069" s="22" t="s">
        <v>6183</v>
      </c>
      <c r="B6069" s="36">
        <v>45715.55763888889</v>
      </c>
      <c r="C6069" s="36">
        <v>45715.81875</v>
      </c>
      <c r="D6069" s="22" t="s">
        <v>33</v>
      </c>
      <c r="E6069" s="22" t="s">
        <v>57</v>
      </c>
      <c r="F6069" s="22" t="s">
        <v>45</v>
      </c>
      <c r="G6069" s="22" t="s">
        <v>110</v>
      </c>
      <c r="H6069" s="22" t="s">
        <v>59</v>
      </c>
      <c r="I6069" s="22" t="s">
        <v>114</v>
      </c>
      <c r="J6069" s="23">
        <v>4</v>
      </c>
      <c r="K6069" s="37">
        <v>0</v>
      </c>
      <c r="L6069" s="37">
        <v>5</v>
      </c>
      <c r="M6069" s="22">
        <f>IF(OR(ISBLANK(C6069),C6069=""),"",ROUND((C6069-B6069)*24,2))</f>
        <v>6.27</v>
      </c>
      <c r="N6069" s="38" t="str">
        <f>IF(OR(ISBLANK(C6069),C6069="",M6069=""),"In Progress",IF(M6069&lt;=J6069,"Met","Breached"))</f>
        <v>Breached</v>
      </c>
    </row>
    <row r="6070" ht="19" customHeight="1" spans="1:14" x14ac:dyDescent="0.25">
      <c r="A6070" s="19" t="s">
        <v>6184</v>
      </c>
      <c r="B6070" s="33">
        <v>46260.20486111111</v>
      </c>
      <c r="D6070" s="19" t="s">
        <v>42</v>
      </c>
      <c r="E6070" s="19" t="s">
        <v>61</v>
      </c>
      <c r="F6070" s="19" t="s">
        <v>34</v>
      </c>
      <c r="G6070" s="19" t="s">
        <v>113</v>
      </c>
      <c r="H6070" s="19" t="s">
        <v>71</v>
      </c>
      <c r="I6070" s="19" t="s">
        <v>108</v>
      </c>
      <c r="J6070" s="20">
        <v>12</v>
      </c>
      <c r="K6070" s="34">
        <v>0</v>
      </c>
      <c r="M6070" s="19" t="str">
        <f>IF(OR(ISBLANK(C6070),C6070=""),"",ROUND((C6070-B6070)*24,2))</f>
        <v/>
      </c>
      <c r="N6070" s="19" t="str">
        <f>IF(OR(ISBLANK(C6070),C6070="",M6070=""),"In Progress",IF(M6070&lt;=J6070,"Met","Breached"))</f>
        <v>In Progress</v>
      </c>
    </row>
    <row r="6071" ht="19" customHeight="1" spans="1:14" x14ac:dyDescent="0.25">
      <c r="A6071" s="22" t="s">
        <v>6185</v>
      </c>
      <c r="B6071" s="36">
        <v>45852.85208333333</v>
      </c>
      <c r="C6071" s="36">
        <v>45855.433333333334</v>
      </c>
      <c r="D6071" s="22" t="s">
        <v>33</v>
      </c>
      <c r="E6071" s="22" t="s">
        <v>65</v>
      </c>
      <c r="F6071" s="22" t="s">
        <v>43</v>
      </c>
      <c r="G6071" s="22" t="s">
        <v>110</v>
      </c>
      <c r="H6071" s="22" t="s">
        <v>59</v>
      </c>
      <c r="I6071" s="22" t="s">
        <v>111</v>
      </c>
      <c r="J6071" s="23">
        <v>48</v>
      </c>
      <c r="K6071" s="37">
        <v>0</v>
      </c>
      <c r="L6071" s="37">
        <v>3</v>
      </c>
      <c r="M6071" s="22">
        <f>IF(OR(ISBLANK(C6071),C6071=""),"",ROUND((C6071-B6071)*24,2))</f>
        <v>61.95</v>
      </c>
      <c r="N6071" s="38" t="str">
        <f>IF(OR(ISBLANK(C6071),C6071="",M6071=""),"In Progress",IF(M6071&lt;=J6071,"Met","Breached"))</f>
        <v>Breached</v>
      </c>
    </row>
    <row r="6072" ht="19" customHeight="1" spans="1:14" x14ac:dyDescent="0.25">
      <c r="A6072" s="19" t="s">
        <v>6186</v>
      </c>
      <c r="B6072" s="33">
        <v>46275.43263888889</v>
      </c>
      <c r="C6072" s="33">
        <v>46275.63333333333</v>
      </c>
      <c r="D6072" s="19" t="s">
        <v>33</v>
      </c>
      <c r="E6072" s="19" t="s">
        <v>57</v>
      </c>
      <c r="F6072" s="19" t="s">
        <v>37</v>
      </c>
      <c r="G6072" s="19" t="s">
        <v>113</v>
      </c>
      <c r="H6072" s="19" t="s">
        <v>63</v>
      </c>
      <c r="I6072" s="19" t="s">
        <v>108</v>
      </c>
      <c r="J6072" s="20">
        <v>4</v>
      </c>
      <c r="K6072" s="34">
        <v>0</v>
      </c>
      <c r="M6072" s="19">
        <f>IF(OR(ISBLANK(C6072),C6072=""),"",ROUND((C6072-B6072)*24,2))</f>
        <v>4.82</v>
      </c>
      <c r="N6072" s="39" t="str">
        <f>IF(OR(ISBLANK(C6072),C6072="",M6072=""),"In Progress",IF(M6072&lt;=J6072,"Met","Breached"))</f>
        <v>Breached</v>
      </c>
    </row>
    <row r="6073" ht="19" customHeight="1" spans="1:14" x14ac:dyDescent="0.25">
      <c r="A6073" s="22" t="s">
        <v>6187</v>
      </c>
      <c r="B6073" s="36">
        <v>45792.834027777775</v>
      </c>
      <c r="C6073" s="36">
        <v>45796.070138888885</v>
      </c>
      <c r="D6073" s="22" t="s">
        <v>36</v>
      </c>
      <c r="E6073" s="22" t="s">
        <v>65</v>
      </c>
      <c r="F6073" s="22" t="s">
        <v>43</v>
      </c>
      <c r="G6073" s="22" t="s">
        <v>126</v>
      </c>
      <c r="H6073" s="22" t="s">
        <v>59</v>
      </c>
      <c r="I6073" s="22" t="s">
        <v>147</v>
      </c>
      <c r="J6073" s="23">
        <v>48</v>
      </c>
      <c r="K6073" s="37">
        <v>0</v>
      </c>
      <c r="L6073" s="37">
        <v>4</v>
      </c>
      <c r="M6073" s="22">
        <f>IF(OR(ISBLANK(C6073),C6073=""),"",ROUND((C6073-B6073)*24,2))</f>
        <v>77.67</v>
      </c>
      <c r="N6073" s="38" t="str">
        <f>IF(OR(ISBLANK(C6073),C6073="",M6073=""),"In Progress",IF(M6073&lt;=J6073,"Met","Breached"))</f>
        <v>Breached</v>
      </c>
    </row>
    <row r="6074" ht="19" customHeight="1" spans="1:14" x14ac:dyDescent="0.25">
      <c r="A6074" s="19" t="s">
        <v>6188</v>
      </c>
      <c r="B6074" s="33">
        <v>45687.40277777778</v>
      </c>
      <c r="C6074" s="33">
        <v>45690.93194444444</v>
      </c>
      <c r="D6074" s="19" t="s">
        <v>36</v>
      </c>
      <c r="E6074" s="19" t="s">
        <v>65</v>
      </c>
      <c r="F6074" s="19" t="s">
        <v>37</v>
      </c>
      <c r="G6074" s="19" t="s">
        <v>126</v>
      </c>
      <c r="H6074" s="19" t="s">
        <v>59</v>
      </c>
      <c r="I6074" s="19" t="s">
        <v>147</v>
      </c>
      <c r="J6074" s="20">
        <v>48</v>
      </c>
      <c r="K6074" s="34">
        <v>0</v>
      </c>
      <c r="L6074" s="34">
        <v>3</v>
      </c>
      <c r="M6074" s="19">
        <f>IF(OR(ISBLANK(C6074),C6074=""),"",ROUND((C6074-B6074)*24,2))</f>
        <v>84.7</v>
      </c>
      <c r="N6074" s="39" t="str">
        <f>IF(OR(ISBLANK(C6074),C6074="",M6074=""),"In Progress",IF(M6074&lt;=J6074,"Met","Breached"))</f>
        <v>Breached</v>
      </c>
    </row>
    <row r="6075" ht="19" customHeight="1" spans="1:14" x14ac:dyDescent="0.25">
      <c r="A6075" s="22" t="s">
        <v>6189</v>
      </c>
      <c r="B6075" s="36">
        <v>45879.5</v>
      </c>
      <c r="C6075" s="36">
        <v>45880.20208333334</v>
      </c>
      <c r="D6075" s="22" t="s">
        <v>33</v>
      </c>
      <c r="E6075" s="22" t="s">
        <v>61</v>
      </c>
      <c r="F6075" s="22" t="s">
        <v>43</v>
      </c>
      <c r="G6075" s="22" t="s">
        <v>63</v>
      </c>
      <c r="H6075" s="22" t="s">
        <v>71</v>
      </c>
      <c r="I6075" s="22" t="s">
        <v>123</v>
      </c>
      <c r="J6075" s="23">
        <v>12</v>
      </c>
      <c r="K6075" s="37">
        <v>0</v>
      </c>
      <c r="L6075" s="37">
        <v>5</v>
      </c>
      <c r="M6075" s="22">
        <f>IF(OR(ISBLANK(C6075),C6075=""),"",ROUND((C6075-B6075)*24,2))</f>
        <v>16.85</v>
      </c>
      <c r="N6075" s="38" t="str">
        <f>IF(OR(ISBLANK(C6075),C6075="",M6075=""),"In Progress",IF(M6075&lt;=J6075,"Met","Breached"))</f>
        <v>Breached</v>
      </c>
    </row>
    <row r="6076" ht="19" customHeight="1" spans="1:14" x14ac:dyDescent="0.25">
      <c r="A6076" s="19" t="s">
        <v>6190</v>
      </c>
      <c r="B6076" s="33">
        <v>45669.41458333333</v>
      </c>
      <c r="C6076" s="33">
        <v>45671.15416666667</v>
      </c>
      <c r="D6076" s="19" t="s">
        <v>33</v>
      </c>
      <c r="E6076" s="19" t="s">
        <v>65</v>
      </c>
      <c r="F6076" s="19" t="s">
        <v>43</v>
      </c>
      <c r="G6076" s="19" t="s">
        <v>63</v>
      </c>
      <c r="H6076" s="19" t="s">
        <v>59</v>
      </c>
      <c r="I6076" s="19" t="s">
        <v>108</v>
      </c>
      <c r="J6076" s="20">
        <v>48</v>
      </c>
      <c r="K6076" s="34">
        <v>0</v>
      </c>
      <c r="L6076" s="34">
        <v>2</v>
      </c>
      <c r="M6076" s="19">
        <f>IF(OR(ISBLANK(C6076),C6076=""),"",ROUND((C6076-B6076)*24,2))</f>
        <v>41.75</v>
      </c>
      <c r="N6076" s="35" t="str">
        <f>IF(OR(ISBLANK(C6076),C6076="",M6076=""),"In Progress",IF(M6076&lt;=J6076,"Met","Breached"))</f>
        <v>Met</v>
      </c>
    </row>
    <row r="6077" ht="19" customHeight="1" spans="1:14" x14ac:dyDescent="0.25">
      <c r="A6077" s="22" t="s">
        <v>6191</v>
      </c>
      <c r="B6077" s="36">
        <v>45905.697222222225</v>
      </c>
      <c r="C6077" s="36">
        <v>45913.6125</v>
      </c>
      <c r="D6077" s="22" t="s">
        <v>36</v>
      </c>
      <c r="E6077" s="22" t="s">
        <v>69</v>
      </c>
      <c r="F6077" s="22" t="s">
        <v>40</v>
      </c>
      <c r="G6077" s="22" t="s">
        <v>121</v>
      </c>
      <c r="H6077" s="22" t="s">
        <v>63</v>
      </c>
      <c r="I6077" s="22" t="s">
        <v>147</v>
      </c>
      <c r="J6077" s="23">
        <v>120</v>
      </c>
      <c r="K6077" s="37">
        <v>0</v>
      </c>
      <c r="L6077" s="37">
        <v>1</v>
      </c>
      <c r="M6077" s="22">
        <f>IF(OR(ISBLANK(C6077),C6077=""),"",ROUND((C6077-B6077)*24,2))</f>
        <v>189.97</v>
      </c>
      <c r="N6077" s="38" t="str">
        <f>IF(OR(ISBLANK(C6077),C6077="",M6077=""),"In Progress",IF(M6077&lt;=J6077,"Met","Breached"))</f>
        <v>Breached</v>
      </c>
    </row>
    <row r="6078" ht="19" customHeight="1" spans="1:14" x14ac:dyDescent="0.25">
      <c r="A6078" s="19" t="s">
        <v>6192</v>
      </c>
      <c r="B6078" s="33">
        <v>46238.17013888889</v>
      </c>
      <c r="C6078" s="33">
        <v>46241.356944444444</v>
      </c>
      <c r="D6078" s="19" t="s">
        <v>33</v>
      </c>
      <c r="E6078" s="19" t="s">
        <v>69</v>
      </c>
      <c r="F6078" s="19" t="s">
        <v>34</v>
      </c>
      <c r="G6078" s="19" t="s">
        <v>110</v>
      </c>
      <c r="H6078" s="19" t="s">
        <v>59</v>
      </c>
      <c r="I6078" s="19" t="s">
        <v>123</v>
      </c>
      <c r="J6078" s="20">
        <v>120</v>
      </c>
      <c r="K6078" s="34">
        <v>0</v>
      </c>
      <c r="M6078" s="19">
        <f>IF(OR(ISBLANK(C6078),C6078=""),"",ROUND((C6078-B6078)*24,2))</f>
        <v>76.48</v>
      </c>
      <c r="N6078" s="35" t="str">
        <f>IF(OR(ISBLANK(C6078),C6078="",M6078=""),"In Progress",IF(M6078&lt;=J6078,"Met","Breached"))</f>
        <v>Met</v>
      </c>
    </row>
    <row r="6079" ht="19" customHeight="1" spans="1:14" x14ac:dyDescent="0.25">
      <c r="A6079" s="22" t="s">
        <v>6193</v>
      </c>
      <c r="B6079" s="36">
        <v>46168.319444444445</v>
      </c>
      <c r="D6079" s="22" t="s">
        <v>39</v>
      </c>
      <c r="E6079" s="22" t="s">
        <v>65</v>
      </c>
      <c r="F6079" s="22" t="s">
        <v>43</v>
      </c>
      <c r="G6079" s="22" t="s">
        <v>126</v>
      </c>
      <c r="H6079" s="22" t="s">
        <v>59</v>
      </c>
      <c r="I6079" s="22" t="s">
        <v>117</v>
      </c>
      <c r="J6079" s="23">
        <v>48</v>
      </c>
      <c r="K6079" s="37">
        <v>0</v>
      </c>
      <c r="M6079" s="22" t="str">
        <f>IF(OR(ISBLANK(C6079),C6079=""),"",ROUND((C6079-B6079)*24,2))</f>
        <v/>
      </c>
      <c r="N6079" s="22" t="str">
        <f>IF(OR(ISBLANK(C6079),C6079="",M6079=""),"In Progress",IF(M6079&lt;=J6079,"Met","Breached"))</f>
        <v>In Progress</v>
      </c>
    </row>
    <row r="6080" ht="19" customHeight="1" spans="1:14" x14ac:dyDescent="0.25">
      <c r="A6080" s="19" t="s">
        <v>6194</v>
      </c>
      <c r="B6080" s="33">
        <v>45827.34375</v>
      </c>
      <c r="C6080" s="33">
        <v>45835.23263888889</v>
      </c>
      <c r="D6080" s="19" t="s">
        <v>33</v>
      </c>
      <c r="E6080" s="19" t="s">
        <v>69</v>
      </c>
      <c r="F6080" s="19" t="s">
        <v>45</v>
      </c>
      <c r="G6080" s="19" t="s">
        <v>126</v>
      </c>
      <c r="H6080" s="19" t="s">
        <v>59</v>
      </c>
      <c r="I6080" s="19" t="s">
        <v>147</v>
      </c>
      <c r="J6080" s="20">
        <v>120</v>
      </c>
      <c r="K6080" s="34">
        <v>0</v>
      </c>
      <c r="L6080" s="34">
        <v>2</v>
      </c>
      <c r="M6080" s="19">
        <f>IF(OR(ISBLANK(C6080),C6080=""),"",ROUND((C6080-B6080)*24,2))</f>
        <v>189.33</v>
      </c>
      <c r="N6080" s="39" t="str">
        <f>IF(OR(ISBLANK(C6080),C6080="",M6080=""),"In Progress",IF(M6080&lt;=J6080,"Met","Breached"))</f>
        <v>Breached</v>
      </c>
    </row>
    <row r="6081" ht="19" customHeight="1" spans="1:14" x14ac:dyDescent="0.25">
      <c r="A6081" s="22" t="s">
        <v>6195</v>
      </c>
      <c r="B6081" s="36">
        <v>45729.804861111115</v>
      </c>
      <c r="C6081" s="36">
        <v>45730.58541666667</v>
      </c>
      <c r="D6081" s="22" t="s">
        <v>36</v>
      </c>
      <c r="E6081" s="22" t="s">
        <v>61</v>
      </c>
      <c r="F6081" s="22" t="s">
        <v>43</v>
      </c>
      <c r="G6081" s="22" t="s">
        <v>113</v>
      </c>
      <c r="H6081" s="22" t="s">
        <v>63</v>
      </c>
      <c r="I6081" s="22" t="s">
        <v>114</v>
      </c>
      <c r="J6081" s="23">
        <v>12</v>
      </c>
      <c r="K6081" s="37">
        <v>0</v>
      </c>
      <c r="L6081" s="37">
        <v>2</v>
      </c>
      <c r="M6081" s="22">
        <f>IF(OR(ISBLANK(C6081),C6081=""),"",ROUND((C6081-B6081)*24,2))</f>
        <v>18.73</v>
      </c>
      <c r="N6081" s="38" t="str">
        <f>IF(OR(ISBLANK(C6081),C6081="",M6081=""),"In Progress",IF(M6081&lt;=J6081,"Met","Breached"))</f>
        <v>Breached</v>
      </c>
    </row>
    <row r="6082" ht="19" customHeight="1" spans="1:14" x14ac:dyDescent="0.25">
      <c r="A6082" s="19" t="s">
        <v>6196</v>
      </c>
      <c r="B6082" s="33">
        <v>45880.81111111111</v>
      </c>
      <c r="D6082" s="19" t="s">
        <v>39</v>
      </c>
      <c r="E6082" s="19" t="s">
        <v>69</v>
      </c>
      <c r="F6082" s="19" t="s">
        <v>43</v>
      </c>
      <c r="G6082" s="19" t="s">
        <v>63</v>
      </c>
      <c r="H6082" s="19" t="s">
        <v>59</v>
      </c>
      <c r="I6082" s="19" t="s">
        <v>123</v>
      </c>
      <c r="J6082" s="20">
        <v>120</v>
      </c>
      <c r="K6082" s="34">
        <v>0</v>
      </c>
      <c r="M6082" s="19" t="str">
        <f>IF(OR(ISBLANK(C6082),C6082=""),"",ROUND((C6082-B6082)*24,2))</f>
        <v/>
      </c>
      <c r="N6082" s="19" t="str">
        <f>IF(OR(ISBLANK(C6082),C6082="",M6082=""),"In Progress",IF(M6082&lt;=J6082,"Met","Breached"))</f>
        <v>In Progress</v>
      </c>
    </row>
    <row r="6083" ht="19" customHeight="1" spans="1:14" x14ac:dyDescent="0.25">
      <c r="A6083" s="22" t="s">
        <v>6197</v>
      </c>
      <c r="B6083" s="36">
        <v>45717.36111111111</v>
      </c>
      <c r="C6083" s="36">
        <v>45720.285416666666</v>
      </c>
      <c r="D6083" s="22" t="s">
        <v>33</v>
      </c>
      <c r="E6083" s="22" t="s">
        <v>65</v>
      </c>
      <c r="F6083" s="22" t="s">
        <v>43</v>
      </c>
      <c r="G6083" s="22" t="s">
        <v>126</v>
      </c>
      <c r="H6083" s="22" t="s">
        <v>59</v>
      </c>
      <c r="I6083" s="22" t="s">
        <v>123</v>
      </c>
      <c r="J6083" s="23">
        <v>48</v>
      </c>
      <c r="K6083" s="37">
        <v>0</v>
      </c>
      <c r="L6083" s="37">
        <v>4</v>
      </c>
      <c r="M6083" s="22">
        <f>IF(OR(ISBLANK(C6083),C6083=""),"",ROUND((C6083-B6083)*24,2))</f>
        <v>70.18</v>
      </c>
      <c r="N6083" s="38" t="str">
        <f>IF(OR(ISBLANK(C6083),C6083="",M6083=""),"In Progress",IF(M6083&lt;=J6083,"Met","Breached"))</f>
        <v>Breached</v>
      </c>
    </row>
    <row r="6084" ht="19" customHeight="1" spans="1:14" x14ac:dyDescent="0.25">
      <c r="A6084" s="19" t="s">
        <v>6198</v>
      </c>
      <c r="B6084" s="33">
        <v>45720.69236111111</v>
      </c>
      <c r="C6084" s="33">
        <v>45721.33125</v>
      </c>
      <c r="D6084" s="19" t="s">
        <v>33</v>
      </c>
      <c r="E6084" s="19" t="s">
        <v>61</v>
      </c>
      <c r="F6084" s="19" t="s">
        <v>43</v>
      </c>
      <c r="G6084" s="19" t="s">
        <v>126</v>
      </c>
      <c r="H6084" s="19" t="s">
        <v>59</v>
      </c>
      <c r="I6084" s="19" t="s">
        <v>147</v>
      </c>
      <c r="J6084" s="20">
        <v>12</v>
      </c>
      <c r="K6084" s="34">
        <v>0</v>
      </c>
      <c r="M6084" s="19">
        <f>IF(OR(ISBLANK(C6084),C6084=""),"",ROUND((C6084-B6084)*24,2))</f>
        <v>15.33</v>
      </c>
      <c r="N6084" s="39" t="str">
        <f>IF(OR(ISBLANK(C6084),C6084="",M6084=""),"In Progress",IF(M6084&lt;=J6084,"Met","Breached"))</f>
        <v>Breached</v>
      </c>
    </row>
    <row r="6085" ht="19" customHeight="1" spans="1:14" x14ac:dyDescent="0.25">
      <c r="A6085" s="22" t="s">
        <v>6199</v>
      </c>
      <c r="B6085" s="36">
        <v>45905.70416666666</v>
      </c>
      <c r="C6085" s="36">
        <v>45913.879166666666</v>
      </c>
      <c r="D6085" s="22" t="s">
        <v>33</v>
      </c>
      <c r="E6085" s="22" t="s">
        <v>69</v>
      </c>
      <c r="F6085" s="22" t="s">
        <v>43</v>
      </c>
      <c r="G6085" s="22" t="s">
        <v>116</v>
      </c>
      <c r="H6085" s="22" t="s">
        <v>63</v>
      </c>
      <c r="I6085" s="22" t="s">
        <v>111</v>
      </c>
      <c r="J6085" s="23">
        <v>120</v>
      </c>
      <c r="K6085" s="37">
        <v>0</v>
      </c>
      <c r="L6085" s="37">
        <v>2</v>
      </c>
      <c r="M6085" s="22">
        <f>IF(OR(ISBLANK(C6085),C6085=""),"",ROUND((C6085-B6085)*24,2))</f>
        <v>196.2</v>
      </c>
      <c r="N6085" s="38" t="str">
        <f>IF(OR(ISBLANK(C6085),C6085="",M6085=""),"In Progress",IF(M6085&lt;=J6085,"Met","Breached"))</f>
        <v>Breached</v>
      </c>
    </row>
    <row r="6086" ht="19" customHeight="1" spans="1:14" x14ac:dyDescent="0.25">
      <c r="A6086" s="19" t="s">
        <v>6200</v>
      </c>
      <c r="B6086" s="33">
        <v>46219.70833333333</v>
      </c>
      <c r="C6086" s="33">
        <v>46222.94027777778</v>
      </c>
      <c r="D6086" s="19" t="s">
        <v>33</v>
      </c>
      <c r="E6086" s="19" t="s">
        <v>65</v>
      </c>
      <c r="F6086" s="19" t="s">
        <v>43</v>
      </c>
      <c r="G6086" s="19" t="s">
        <v>113</v>
      </c>
      <c r="H6086" s="19" t="s">
        <v>59</v>
      </c>
      <c r="I6086" s="19" t="s">
        <v>117</v>
      </c>
      <c r="J6086" s="20">
        <v>48</v>
      </c>
      <c r="K6086" s="34">
        <v>0</v>
      </c>
      <c r="L6086" s="34">
        <v>5</v>
      </c>
      <c r="M6086" s="19">
        <f>IF(OR(ISBLANK(C6086),C6086=""),"",ROUND((C6086-B6086)*24,2))</f>
        <v>77.57</v>
      </c>
      <c r="N6086" s="39" t="str">
        <f>IF(OR(ISBLANK(C6086),C6086="",M6086=""),"In Progress",IF(M6086&lt;=J6086,"Met","Breached"))</f>
        <v>Breached</v>
      </c>
    </row>
    <row r="6087" ht="19" customHeight="1" spans="1:14" x14ac:dyDescent="0.25">
      <c r="A6087" s="22" t="s">
        <v>6201</v>
      </c>
      <c r="B6087" s="36">
        <v>46047.725694444445</v>
      </c>
      <c r="C6087" s="36">
        <v>46048.15069444444</v>
      </c>
      <c r="D6087" s="22" t="s">
        <v>33</v>
      </c>
      <c r="E6087" s="22" t="s">
        <v>61</v>
      </c>
      <c r="F6087" s="22" t="s">
        <v>37</v>
      </c>
      <c r="G6087" s="22" t="s">
        <v>116</v>
      </c>
      <c r="H6087" s="22" t="s">
        <v>63</v>
      </c>
      <c r="I6087" s="22" t="s">
        <v>108</v>
      </c>
      <c r="J6087" s="23">
        <v>12</v>
      </c>
      <c r="K6087" s="37">
        <v>0</v>
      </c>
      <c r="M6087" s="22">
        <f>IF(OR(ISBLANK(C6087),C6087=""),"",ROUND((C6087-B6087)*24,2))</f>
        <v>10.2</v>
      </c>
      <c r="N6087" s="40" t="str">
        <f>IF(OR(ISBLANK(C6087),C6087="",M6087=""),"In Progress",IF(M6087&lt;=J6087,"Met","Breached"))</f>
        <v>Met</v>
      </c>
    </row>
    <row r="6088" ht="19" customHeight="1" spans="1:14" x14ac:dyDescent="0.25">
      <c r="A6088" s="19" t="s">
        <v>6202</v>
      </c>
      <c r="B6088" s="33">
        <v>46285.56597222222</v>
      </c>
      <c r="C6088" s="33">
        <v>46291.96805555555</v>
      </c>
      <c r="D6088" s="19" t="s">
        <v>36</v>
      </c>
      <c r="E6088" s="19" t="s">
        <v>69</v>
      </c>
      <c r="F6088" s="19" t="s">
        <v>34</v>
      </c>
      <c r="G6088" s="19" t="s">
        <v>113</v>
      </c>
      <c r="H6088" s="19" t="s">
        <v>59</v>
      </c>
      <c r="I6088" s="19" t="s">
        <v>108</v>
      </c>
      <c r="J6088" s="20">
        <v>120</v>
      </c>
      <c r="K6088" s="34">
        <v>1</v>
      </c>
      <c r="L6088" s="34">
        <v>1</v>
      </c>
      <c r="M6088" s="19">
        <f>IF(OR(ISBLANK(C6088),C6088=""),"",ROUND((C6088-B6088)*24,2))</f>
        <v>153.65</v>
      </c>
      <c r="N6088" s="39" t="str">
        <f>IF(OR(ISBLANK(C6088),C6088="",M6088=""),"In Progress",IF(M6088&lt;=J6088,"Met","Breached"))</f>
        <v>Breached</v>
      </c>
    </row>
    <row r="6089" ht="19" customHeight="1" spans="1:14" x14ac:dyDescent="0.25">
      <c r="A6089" s="22" t="s">
        <v>6203</v>
      </c>
      <c r="B6089" s="36">
        <v>45915.64375</v>
      </c>
      <c r="C6089" s="36">
        <v>45915.736805555556</v>
      </c>
      <c r="D6089" s="22" t="s">
        <v>36</v>
      </c>
      <c r="E6089" s="22" t="s">
        <v>57</v>
      </c>
      <c r="F6089" s="22" t="s">
        <v>34</v>
      </c>
      <c r="G6089" s="22" t="s">
        <v>116</v>
      </c>
      <c r="H6089" s="22" t="s">
        <v>59</v>
      </c>
      <c r="I6089" s="22" t="s">
        <v>117</v>
      </c>
      <c r="J6089" s="23">
        <v>4</v>
      </c>
      <c r="K6089" s="37">
        <v>0</v>
      </c>
      <c r="L6089" s="37">
        <v>1</v>
      </c>
      <c r="M6089" s="22">
        <f>IF(OR(ISBLANK(C6089),C6089=""),"",ROUND((C6089-B6089)*24,2))</f>
        <v>2.23</v>
      </c>
      <c r="N6089" s="40" t="str">
        <f>IF(OR(ISBLANK(C6089),C6089="",M6089=""),"In Progress",IF(M6089&lt;=J6089,"Met","Breached"))</f>
        <v>Met</v>
      </c>
    </row>
    <row r="6090" ht="19" customHeight="1" spans="1:14" x14ac:dyDescent="0.25">
      <c r="A6090" s="19" t="s">
        <v>6204</v>
      </c>
      <c r="B6090" s="33">
        <v>45855.513194444444</v>
      </c>
      <c r="C6090" s="33">
        <v>45856.86319444445</v>
      </c>
      <c r="D6090" s="19" t="s">
        <v>36</v>
      </c>
      <c r="E6090" s="19" t="s">
        <v>65</v>
      </c>
      <c r="F6090" s="19" t="s">
        <v>34</v>
      </c>
      <c r="G6090" s="19" t="s">
        <v>126</v>
      </c>
      <c r="H6090" s="19" t="s">
        <v>59</v>
      </c>
      <c r="I6090" s="19" t="s">
        <v>147</v>
      </c>
      <c r="J6090" s="20">
        <v>48</v>
      </c>
      <c r="K6090" s="34">
        <v>0</v>
      </c>
      <c r="M6090" s="19">
        <f>IF(OR(ISBLANK(C6090),C6090=""),"",ROUND((C6090-B6090)*24,2))</f>
        <v>32.4</v>
      </c>
      <c r="N6090" s="35" t="str">
        <f>IF(OR(ISBLANK(C6090),C6090="",M6090=""),"In Progress",IF(M6090&lt;=J6090,"Met","Breached"))</f>
        <v>Met</v>
      </c>
    </row>
    <row r="6091" ht="19" customHeight="1" spans="1:14" x14ac:dyDescent="0.25">
      <c r="A6091" s="22" t="s">
        <v>6205</v>
      </c>
      <c r="B6091" s="36">
        <v>46049.63888888889</v>
      </c>
      <c r="D6091" s="22" t="s">
        <v>42</v>
      </c>
      <c r="E6091" s="22" t="s">
        <v>61</v>
      </c>
      <c r="F6091" s="22" t="s">
        <v>43</v>
      </c>
      <c r="G6091" s="22" t="s">
        <v>116</v>
      </c>
      <c r="H6091" s="22" t="s">
        <v>59</v>
      </c>
      <c r="I6091" s="22" t="s">
        <v>108</v>
      </c>
      <c r="J6091" s="23">
        <v>12</v>
      </c>
      <c r="K6091" s="37">
        <v>0</v>
      </c>
      <c r="M6091" s="22" t="str">
        <f>IF(OR(ISBLANK(C6091),C6091=""),"",ROUND((C6091-B6091)*24,2))</f>
        <v/>
      </c>
      <c r="N6091" s="22" t="str">
        <f>IF(OR(ISBLANK(C6091),C6091="",M6091=""),"In Progress",IF(M6091&lt;=J6091,"Met","Breached"))</f>
        <v>In Progress</v>
      </c>
    </row>
    <row r="6092" ht="19" customHeight="1" spans="1:14" x14ac:dyDescent="0.25">
      <c r="A6092" s="19" t="s">
        <v>6206</v>
      </c>
      <c r="B6092" s="33">
        <v>46153.49861111111</v>
      </c>
      <c r="D6092" s="19" t="s">
        <v>42</v>
      </c>
      <c r="E6092" s="19" t="s">
        <v>65</v>
      </c>
      <c r="F6092" s="19" t="s">
        <v>34</v>
      </c>
      <c r="G6092" s="19" t="s">
        <v>116</v>
      </c>
      <c r="H6092" s="19" t="s">
        <v>63</v>
      </c>
      <c r="I6092" s="19" t="s">
        <v>123</v>
      </c>
      <c r="J6092" s="20">
        <v>48</v>
      </c>
      <c r="K6092" s="34">
        <v>0</v>
      </c>
      <c r="M6092" s="19" t="str">
        <f>IF(OR(ISBLANK(C6092),C6092=""),"",ROUND((C6092-B6092)*24,2))</f>
        <v/>
      </c>
      <c r="N6092" s="19" t="str">
        <f>IF(OR(ISBLANK(C6092),C6092="",M6092=""),"In Progress",IF(M6092&lt;=J6092,"Met","Breached"))</f>
        <v>In Progress</v>
      </c>
    </row>
    <row r="6093" ht="19" customHeight="1" spans="1:14" x14ac:dyDescent="0.25">
      <c r="A6093" s="22" t="s">
        <v>6207</v>
      </c>
      <c r="B6093" s="36">
        <v>46124.67638888889</v>
      </c>
      <c r="C6093" s="36">
        <v>46125.194444444445</v>
      </c>
      <c r="D6093" s="22" t="s">
        <v>33</v>
      </c>
      <c r="E6093" s="22" t="s">
        <v>61</v>
      </c>
      <c r="F6093" s="22" t="s">
        <v>40</v>
      </c>
      <c r="G6093" s="22" t="s">
        <v>113</v>
      </c>
      <c r="H6093" s="22" t="s">
        <v>63</v>
      </c>
      <c r="I6093" s="22" t="s">
        <v>123</v>
      </c>
      <c r="J6093" s="23">
        <v>12</v>
      </c>
      <c r="K6093" s="37">
        <v>0</v>
      </c>
      <c r="L6093" s="37">
        <v>1</v>
      </c>
      <c r="M6093" s="22">
        <f>IF(OR(ISBLANK(C6093),C6093=""),"",ROUND((C6093-B6093)*24,2))</f>
        <v>12.43</v>
      </c>
      <c r="N6093" s="38" t="str">
        <f>IF(OR(ISBLANK(C6093),C6093="",M6093=""),"In Progress",IF(M6093&lt;=J6093,"Met","Breached"))</f>
        <v>Breached</v>
      </c>
    </row>
    <row r="6094" ht="19" customHeight="1" spans="1:14" x14ac:dyDescent="0.25">
      <c r="A6094" s="19" t="s">
        <v>6208</v>
      </c>
      <c r="B6094" s="33">
        <v>46140.902083333334</v>
      </c>
      <c r="C6094" s="33">
        <v>46143.36319444445</v>
      </c>
      <c r="D6094" s="19" t="s">
        <v>36</v>
      </c>
      <c r="E6094" s="19" t="s">
        <v>69</v>
      </c>
      <c r="F6094" s="19" t="s">
        <v>34</v>
      </c>
      <c r="G6094" s="19" t="s">
        <v>63</v>
      </c>
      <c r="H6094" s="19" t="s">
        <v>59</v>
      </c>
      <c r="I6094" s="19" t="s">
        <v>123</v>
      </c>
      <c r="J6094" s="20">
        <v>120</v>
      </c>
      <c r="K6094" s="34">
        <v>0</v>
      </c>
      <c r="M6094" s="19">
        <f>IF(OR(ISBLANK(C6094),C6094=""),"",ROUND((C6094-B6094)*24,2))</f>
        <v>59.07</v>
      </c>
      <c r="N6094" s="35" t="str">
        <f>IF(OR(ISBLANK(C6094),C6094="",M6094=""),"In Progress",IF(M6094&lt;=J6094,"Met","Breached"))</f>
        <v>Met</v>
      </c>
    </row>
    <row r="6095" ht="19" customHeight="1" spans="1:14" x14ac:dyDescent="0.25">
      <c r="A6095" s="22" t="s">
        <v>6209</v>
      </c>
      <c r="B6095" s="36">
        <v>45971.597916666666</v>
      </c>
      <c r="C6095" s="36">
        <v>45971.75138888889</v>
      </c>
      <c r="D6095" s="22" t="s">
        <v>33</v>
      </c>
      <c r="E6095" s="22" t="s">
        <v>57</v>
      </c>
      <c r="F6095" s="22" t="s">
        <v>40</v>
      </c>
      <c r="G6095" s="22" t="s">
        <v>116</v>
      </c>
      <c r="H6095" s="22" t="s">
        <v>71</v>
      </c>
      <c r="I6095" s="22" t="s">
        <v>114</v>
      </c>
      <c r="J6095" s="23">
        <v>4</v>
      </c>
      <c r="K6095" s="37">
        <v>0</v>
      </c>
      <c r="L6095" s="37">
        <v>2</v>
      </c>
      <c r="M6095" s="22">
        <f>IF(OR(ISBLANK(C6095),C6095=""),"",ROUND((C6095-B6095)*24,2))</f>
        <v>3.68</v>
      </c>
      <c r="N6095" s="40" t="str">
        <f>IF(OR(ISBLANK(C6095),C6095="",M6095=""),"In Progress",IF(M6095&lt;=J6095,"Met","Breached"))</f>
        <v>Met</v>
      </c>
    </row>
    <row r="6096" ht="19" customHeight="1" spans="1:14" x14ac:dyDescent="0.25">
      <c r="A6096" s="19" t="s">
        <v>6210</v>
      </c>
      <c r="B6096" s="33">
        <v>45890.504166666666</v>
      </c>
      <c r="D6096" s="19" t="s">
        <v>39</v>
      </c>
      <c r="E6096" s="19" t="s">
        <v>65</v>
      </c>
      <c r="F6096" s="19" t="s">
        <v>45</v>
      </c>
      <c r="G6096" s="19" t="s">
        <v>121</v>
      </c>
      <c r="H6096" s="19" t="s">
        <v>59</v>
      </c>
      <c r="I6096" s="19" t="s">
        <v>108</v>
      </c>
      <c r="J6096" s="20">
        <v>48</v>
      </c>
      <c r="K6096" s="34">
        <v>0</v>
      </c>
      <c r="M6096" s="19" t="str">
        <f>IF(OR(ISBLANK(C6096),C6096=""),"",ROUND((C6096-B6096)*24,2))</f>
        <v/>
      </c>
      <c r="N6096" s="19" t="str">
        <f>IF(OR(ISBLANK(C6096),C6096="",M6096=""),"In Progress",IF(M6096&lt;=J6096,"Met","Breached"))</f>
        <v>In Progress</v>
      </c>
    </row>
    <row r="6097" ht="19" customHeight="1" spans="1:14" x14ac:dyDescent="0.25">
      <c r="A6097" s="22" t="s">
        <v>6211</v>
      </c>
      <c r="B6097" s="36">
        <v>45774.236805555556</v>
      </c>
      <c r="C6097" s="36">
        <v>45774.89236111111</v>
      </c>
      <c r="D6097" s="22" t="s">
        <v>36</v>
      </c>
      <c r="E6097" s="22" t="s">
        <v>61</v>
      </c>
      <c r="F6097" s="22" t="s">
        <v>37</v>
      </c>
      <c r="G6097" s="22" t="s">
        <v>110</v>
      </c>
      <c r="H6097" s="22" t="s">
        <v>63</v>
      </c>
      <c r="I6097" s="22" t="s">
        <v>123</v>
      </c>
      <c r="J6097" s="23">
        <v>12</v>
      </c>
      <c r="K6097" s="37">
        <v>0</v>
      </c>
      <c r="M6097" s="22">
        <f>IF(OR(ISBLANK(C6097),C6097=""),"",ROUND((C6097-B6097)*24,2))</f>
        <v>15.73</v>
      </c>
      <c r="N6097" s="38" t="str">
        <f>IF(OR(ISBLANK(C6097),C6097="",M6097=""),"In Progress",IF(M6097&lt;=J6097,"Met","Breached"))</f>
        <v>Breached</v>
      </c>
    </row>
    <row r="6098" ht="19" customHeight="1" spans="1:14" x14ac:dyDescent="0.25">
      <c r="A6098" s="19" t="s">
        <v>6212</v>
      </c>
      <c r="B6098" s="33">
        <v>46260.49097222222</v>
      </c>
      <c r="D6098" s="19" t="s">
        <v>39</v>
      </c>
      <c r="E6098" s="19" t="s">
        <v>65</v>
      </c>
      <c r="F6098" s="19" t="s">
        <v>43</v>
      </c>
      <c r="G6098" s="19" t="s">
        <v>116</v>
      </c>
      <c r="H6098" s="19" t="s">
        <v>59</v>
      </c>
      <c r="I6098" s="19" t="s">
        <v>114</v>
      </c>
      <c r="J6098" s="20">
        <v>48</v>
      </c>
      <c r="K6098" s="34">
        <v>0</v>
      </c>
      <c r="M6098" s="19" t="str">
        <f>IF(OR(ISBLANK(C6098),C6098=""),"",ROUND((C6098-B6098)*24,2))</f>
        <v/>
      </c>
      <c r="N6098" s="19" t="str">
        <f>IF(OR(ISBLANK(C6098),C6098="",M6098=""),"In Progress",IF(M6098&lt;=J6098,"Met","Breached"))</f>
        <v>In Progress</v>
      </c>
    </row>
    <row r="6099" ht="19" customHeight="1" spans="1:14" x14ac:dyDescent="0.25">
      <c r="A6099" s="22" t="s">
        <v>6213</v>
      </c>
      <c r="B6099" s="36">
        <v>45667.075</v>
      </c>
      <c r="C6099" s="36">
        <v>45669.49166666667</v>
      </c>
      <c r="D6099" s="22" t="s">
        <v>33</v>
      </c>
      <c r="E6099" s="22" t="s">
        <v>65</v>
      </c>
      <c r="F6099" s="22" t="s">
        <v>34</v>
      </c>
      <c r="G6099" s="22" t="s">
        <v>126</v>
      </c>
      <c r="H6099" s="22" t="s">
        <v>59</v>
      </c>
      <c r="I6099" s="22" t="s">
        <v>114</v>
      </c>
      <c r="J6099" s="23">
        <v>48</v>
      </c>
      <c r="K6099" s="37">
        <v>0</v>
      </c>
      <c r="L6099" s="37">
        <v>1</v>
      </c>
      <c r="M6099" s="22">
        <f>IF(OR(ISBLANK(C6099),C6099=""),"",ROUND((C6099-B6099)*24,2))</f>
        <v>58</v>
      </c>
      <c r="N6099" s="38" t="str">
        <f>IF(OR(ISBLANK(C6099),C6099="",M6099=""),"In Progress",IF(M6099&lt;=J6099,"Met","Breached"))</f>
        <v>Breached</v>
      </c>
    </row>
    <row r="6100" ht="19" customHeight="1" spans="1:14" x14ac:dyDescent="0.25">
      <c r="A6100" s="19" t="s">
        <v>6214</v>
      </c>
      <c r="B6100" s="33">
        <v>46247.32291666667</v>
      </c>
      <c r="C6100" s="33">
        <v>46255.09583333333</v>
      </c>
      <c r="D6100" s="19" t="s">
        <v>33</v>
      </c>
      <c r="E6100" s="19" t="s">
        <v>69</v>
      </c>
      <c r="F6100" s="19" t="s">
        <v>37</v>
      </c>
      <c r="G6100" s="19" t="s">
        <v>113</v>
      </c>
      <c r="H6100" s="19" t="s">
        <v>59</v>
      </c>
      <c r="I6100" s="19" t="s">
        <v>147</v>
      </c>
      <c r="J6100" s="20">
        <v>120</v>
      </c>
      <c r="K6100" s="34">
        <v>0</v>
      </c>
      <c r="M6100" s="19">
        <f>IF(OR(ISBLANK(C6100),C6100=""),"",ROUND((C6100-B6100)*24,2))</f>
        <v>186.55</v>
      </c>
      <c r="N6100" s="39" t="str">
        <f>IF(OR(ISBLANK(C6100),C6100="",M6100=""),"In Progress",IF(M6100&lt;=J6100,"Met","Breached"))</f>
        <v>Breached</v>
      </c>
    </row>
    <row r="6101" ht="19" customHeight="1" spans="1:14" x14ac:dyDescent="0.25">
      <c r="A6101" s="22" t="s">
        <v>6215</v>
      </c>
      <c r="B6101" s="36">
        <v>45799.8375</v>
      </c>
      <c r="C6101" s="36">
        <v>45802.45833333333</v>
      </c>
      <c r="D6101" s="22" t="s">
        <v>33</v>
      </c>
      <c r="E6101" s="22" t="s">
        <v>65</v>
      </c>
      <c r="F6101" s="22" t="s">
        <v>34</v>
      </c>
      <c r="G6101" s="22" t="s">
        <v>113</v>
      </c>
      <c r="H6101" s="22" t="s">
        <v>63</v>
      </c>
      <c r="I6101" s="22" t="s">
        <v>108</v>
      </c>
      <c r="J6101" s="23">
        <v>48</v>
      </c>
      <c r="K6101" s="37">
        <v>0</v>
      </c>
      <c r="M6101" s="22">
        <f>IF(OR(ISBLANK(C6101),C6101=""),"",ROUND((C6101-B6101)*24,2))</f>
        <v>62.9</v>
      </c>
      <c r="N6101" s="38" t="str">
        <f>IF(OR(ISBLANK(C6101),C6101="",M6101=""),"In Progress",IF(M6101&lt;=J6101,"Met","Breached"))</f>
        <v>Breached</v>
      </c>
    </row>
    <row r="6102" ht="19" customHeight="1" spans="1:14" x14ac:dyDescent="0.25">
      <c r="A6102" s="19" t="s">
        <v>6216</v>
      </c>
      <c r="B6102" s="33">
        <v>45937.336111111115</v>
      </c>
      <c r="D6102" s="19" t="s">
        <v>39</v>
      </c>
      <c r="E6102" s="19" t="s">
        <v>65</v>
      </c>
      <c r="F6102" s="19" t="s">
        <v>34</v>
      </c>
      <c r="G6102" s="19" t="s">
        <v>126</v>
      </c>
      <c r="H6102" s="19" t="s">
        <v>67</v>
      </c>
      <c r="I6102" s="19" t="s">
        <v>108</v>
      </c>
      <c r="J6102" s="20">
        <v>48</v>
      </c>
      <c r="K6102" s="34">
        <v>0</v>
      </c>
      <c r="M6102" s="19" t="str">
        <f>IF(OR(ISBLANK(C6102),C6102=""),"",ROUND((C6102-B6102)*24,2))</f>
        <v/>
      </c>
      <c r="N6102" s="19" t="str">
        <f>IF(OR(ISBLANK(C6102),C6102="",M6102=""),"In Progress",IF(M6102&lt;=J6102,"Met","Breached"))</f>
        <v>In Progress</v>
      </c>
    </row>
    <row r="6103" ht="19" customHeight="1" spans="1:14" x14ac:dyDescent="0.25">
      <c r="A6103" s="22" t="s">
        <v>6217</v>
      </c>
      <c r="B6103" s="36">
        <v>45845.94861111111</v>
      </c>
      <c r="C6103" s="36">
        <v>45846.43263888889</v>
      </c>
      <c r="D6103" s="22" t="s">
        <v>33</v>
      </c>
      <c r="E6103" s="22" t="s">
        <v>61</v>
      </c>
      <c r="F6103" s="22" t="s">
        <v>40</v>
      </c>
      <c r="G6103" s="22" t="s">
        <v>113</v>
      </c>
      <c r="H6103" s="22" t="s">
        <v>59</v>
      </c>
      <c r="I6103" s="22" t="s">
        <v>147</v>
      </c>
      <c r="J6103" s="23">
        <v>12</v>
      </c>
      <c r="K6103" s="37">
        <v>0</v>
      </c>
      <c r="L6103" s="37">
        <v>5</v>
      </c>
      <c r="M6103" s="22">
        <f>IF(OR(ISBLANK(C6103),C6103=""),"",ROUND((C6103-B6103)*24,2))</f>
        <v>11.62</v>
      </c>
      <c r="N6103" s="40" t="str">
        <f>IF(OR(ISBLANK(C6103),C6103="",M6103=""),"In Progress",IF(M6103&lt;=J6103,"Met","Breached"))</f>
        <v>Met</v>
      </c>
    </row>
    <row r="6104" ht="19" customHeight="1" spans="1:14" x14ac:dyDescent="0.25">
      <c r="A6104" s="19" t="s">
        <v>6218</v>
      </c>
      <c r="B6104" s="33">
        <v>45734.37152777778</v>
      </c>
      <c r="C6104" s="33">
        <v>45737.61944444444</v>
      </c>
      <c r="D6104" s="19" t="s">
        <v>33</v>
      </c>
      <c r="E6104" s="19" t="s">
        <v>65</v>
      </c>
      <c r="F6104" s="19" t="s">
        <v>45</v>
      </c>
      <c r="G6104" s="19" t="s">
        <v>121</v>
      </c>
      <c r="H6104" s="19" t="s">
        <v>59</v>
      </c>
      <c r="I6104" s="19" t="s">
        <v>108</v>
      </c>
      <c r="J6104" s="20">
        <v>48</v>
      </c>
      <c r="K6104" s="34">
        <v>0</v>
      </c>
      <c r="L6104" s="34">
        <v>2</v>
      </c>
      <c r="M6104" s="19">
        <f>IF(OR(ISBLANK(C6104),C6104=""),"",ROUND((C6104-B6104)*24,2))</f>
        <v>77.95</v>
      </c>
      <c r="N6104" s="39" t="str">
        <f>IF(OR(ISBLANK(C6104),C6104="",M6104=""),"In Progress",IF(M6104&lt;=J6104,"Met","Breached"))</f>
        <v>Breached</v>
      </c>
    </row>
    <row r="6105" ht="19" customHeight="1" spans="1:14" x14ac:dyDescent="0.25">
      <c r="A6105" s="22" t="s">
        <v>6219</v>
      </c>
      <c r="B6105" s="36">
        <v>46144.09513888889</v>
      </c>
      <c r="C6105" s="36">
        <v>46145.933333333334</v>
      </c>
      <c r="D6105" s="22" t="s">
        <v>33</v>
      </c>
      <c r="E6105" s="22" t="s">
        <v>65</v>
      </c>
      <c r="F6105" s="22" t="s">
        <v>37</v>
      </c>
      <c r="G6105" s="22" t="s">
        <v>63</v>
      </c>
      <c r="H6105" s="22" t="s">
        <v>59</v>
      </c>
      <c r="I6105" s="22" t="s">
        <v>114</v>
      </c>
      <c r="J6105" s="23">
        <v>48</v>
      </c>
      <c r="K6105" s="37">
        <v>0</v>
      </c>
      <c r="M6105" s="22">
        <f>IF(OR(ISBLANK(C6105),C6105=""),"",ROUND((C6105-B6105)*24,2))</f>
        <v>44.12</v>
      </c>
      <c r="N6105" s="40" t="str">
        <f>IF(OR(ISBLANK(C6105),C6105="",M6105=""),"In Progress",IF(M6105&lt;=J6105,"Met","Breached"))</f>
        <v>Met</v>
      </c>
    </row>
    <row r="6106" ht="19" customHeight="1" spans="1:14" x14ac:dyDescent="0.25">
      <c r="A6106" s="19" t="s">
        <v>6220</v>
      </c>
      <c r="B6106" s="33">
        <v>46267.0375</v>
      </c>
      <c r="C6106" s="33">
        <v>46267.65833333333</v>
      </c>
      <c r="D6106" s="19" t="s">
        <v>33</v>
      </c>
      <c r="E6106" s="19" t="s">
        <v>65</v>
      </c>
      <c r="F6106" s="19" t="s">
        <v>43</v>
      </c>
      <c r="G6106" s="19" t="s">
        <v>121</v>
      </c>
      <c r="H6106" s="19" t="s">
        <v>59</v>
      </c>
      <c r="I6106" s="19" t="s">
        <v>114</v>
      </c>
      <c r="J6106" s="20">
        <v>48</v>
      </c>
      <c r="K6106" s="34">
        <v>0</v>
      </c>
      <c r="M6106" s="19">
        <f>IF(OR(ISBLANK(C6106),C6106=""),"",ROUND((C6106-B6106)*24,2))</f>
        <v>14.9</v>
      </c>
      <c r="N6106" s="35" t="str">
        <f>IF(OR(ISBLANK(C6106),C6106="",M6106=""),"In Progress",IF(M6106&lt;=J6106,"Met","Breached"))</f>
        <v>Met</v>
      </c>
    </row>
    <row r="6107" ht="19" customHeight="1" spans="1:14" x14ac:dyDescent="0.25">
      <c r="A6107" s="22" t="s">
        <v>6221</v>
      </c>
      <c r="B6107" s="36">
        <v>45987.37569444445</v>
      </c>
      <c r="D6107" s="22" t="s">
        <v>42</v>
      </c>
      <c r="E6107" s="22" t="s">
        <v>65</v>
      </c>
      <c r="F6107" s="22" t="s">
        <v>37</v>
      </c>
      <c r="G6107" s="22" t="s">
        <v>121</v>
      </c>
      <c r="H6107" s="22" t="s">
        <v>63</v>
      </c>
      <c r="I6107" s="22" t="s">
        <v>108</v>
      </c>
      <c r="J6107" s="23">
        <v>48</v>
      </c>
      <c r="K6107" s="37">
        <v>0</v>
      </c>
      <c r="M6107" s="22" t="str">
        <f>IF(OR(ISBLANK(C6107),C6107=""),"",ROUND((C6107-B6107)*24,2))</f>
        <v/>
      </c>
      <c r="N6107" s="22" t="str">
        <f>IF(OR(ISBLANK(C6107),C6107="",M6107=""),"In Progress",IF(M6107&lt;=J6107,"Met","Breached"))</f>
        <v>In Progress</v>
      </c>
    </row>
    <row r="6108" ht="19" customHeight="1" spans="1:14" x14ac:dyDescent="0.25">
      <c r="A6108" s="19" t="s">
        <v>6222</v>
      </c>
      <c r="B6108" s="33">
        <v>45744.87222222222</v>
      </c>
      <c r="C6108" s="33">
        <v>45750.54166666667</v>
      </c>
      <c r="D6108" s="19" t="s">
        <v>36</v>
      </c>
      <c r="E6108" s="19" t="s">
        <v>69</v>
      </c>
      <c r="F6108" s="19" t="s">
        <v>43</v>
      </c>
      <c r="G6108" s="19" t="s">
        <v>116</v>
      </c>
      <c r="H6108" s="19" t="s">
        <v>59</v>
      </c>
      <c r="I6108" s="19" t="s">
        <v>123</v>
      </c>
      <c r="J6108" s="20">
        <v>120</v>
      </c>
      <c r="K6108" s="34">
        <v>0</v>
      </c>
      <c r="M6108" s="19">
        <f>IF(OR(ISBLANK(C6108),C6108=""),"",ROUND((C6108-B6108)*24,2))</f>
        <v>136.07</v>
      </c>
      <c r="N6108" s="39" t="str">
        <f>IF(OR(ISBLANK(C6108),C6108="",M6108=""),"In Progress",IF(M6108&lt;=J6108,"Met","Breached"))</f>
        <v>Breached</v>
      </c>
    </row>
    <row r="6109" ht="19" customHeight="1" spans="1:14" x14ac:dyDescent="0.25">
      <c r="A6109" s="22" t="s">
        <v>6223</v>
      </c>
      <c r="B6109" s="36">
        <v>46198.961111111115</v>
      </c>
      <c r="C6109" s="36">
        <v>46199.731944444444</v>
      </c>
      <c r="D6109" s="22" t="s">
        <v>33</v>
      </c>
      <c r="E6109" s="22" t="s">
        <v>61</v>
      </c>
      <c r="F6109" s="22" t="s">
        <v>34</v>
      </c>
      <c r="G6109" s="22" t="s">
        <v>110</v>
      </c>
      <c r="H6109" s="22" t="s">
        <v>63</v>
      </c>
      <c r="I6109" s="22" t="s">
        <v>111</v>
      </c>
      <c r="J6109" s="23">
        <v>12</v>
      </c>
      <c r="K6109" s="37">
        <v>0</v>
      </c>
      <c r="L6109" s="37">
        <v>2</v>
      </c>
      <c r="M6109" s="22">
        <f>IF(OR(ISBLANK(C6109),C6109=""),"",ROUND((C6109-B6109)*24,2))</f>
        <v>18.5</v>
      </c>
      <c r="N6109" s="38" t="str">
        <f>IF(OR(ISBLANK(C6109),C6109="",M6109=""),"In Progress",IF(M6109&lt;=J6109,"Met","Breached"))</f>
        <v>Breached</v>
      </c>
    </row>
    <row r="6110" ht="19" customHeight="1" spans="1:14" x14ac:dyDescent="0.25">
      <c r="A6110" s="19" t="s">
        <v>6224</v>
      </c>
      <c r="B6110" s="33">
        <v>46174.40833333333</v>
      </c>
      <c r="C6110" s="33">
        <v>46174.57638888889</v>
      </c>
      <c r="D6110" s="19" t="s">
        <v>33</v>
      </c>
      <c r="E6110" s="19" t="s">
        <v>57</v>
      </c>
      <c r="F6110" s="19" t="s">
        <v>45</v>
      </c>
      <c r="G6110" s="19" t="s">
        <v>63</v>
      </c>
      <c r="H6110" s="19" t="s">
        <v>59</v>
      </c>
      <c r="I6110" s="19" t="s">
        <v>147</v>
      </c>
      <c r="J6110" s="20">
        <v>4</v>
      </c>
      <c r="K6110" s="34">
        <v>0</v>
      </c>
      <c r="L6110" s="34">
        <v>5</v>
      </c>
      <c r="M6110" s="19">
        <f>IF(OR(ISBLANK(C6110),C6110=""),"",ROUND((C6110-B6110)*24,2))</f>
        <v>4.03</v>
      </c>
      <c r="N6110" s="39" t="str">
        <f>IF(OR(ISBLANK(C6110),C6110="",M6110=""),"In Progress",IF(M6110&lt;=J6110,"Met","Breached"))</f>
        <v>Breached</v>
      </c>
    </row>
    <row r="6111" ht="19" customHeight="1" spans="1:14" x14ac:dyDescent="0.25">
      <c r="A6111" s="22" t="s">
        <v>6225</v>
      </c>
      <c r="B6111" s="36">
        <v>46157.59027777778</v>
      </c>
      <c r="C6111" s="36">
        <v>46158.21597222222</v>
      </c>
      <c r="D6111" s="22" t="s">
        <v>33</v>
      </c>
      <c r="E6111" s="22" t="s">
        <v>65</v>
      </c>
      <c r="F6111" s="22" t="s">
        <v>40</v>
      </c>
      <c r="G6111" s="22" t="s">
        <v>110</v>
      </c>
      <c r="H6111" s="22" t="s">
        <v>67</v>
      </c>
      <c r="I6111" s="22" t="s">
        <v>117</v>
      </c>
      <c r="J6111" s="23">
        <v>48</v>
      </c>
      <c r="K6111" s="37">
        <v>0</v>
      </c>
      <c r="L6111" s="37">
        <v>5</v>
      </c>
      <c r="M6111" s="22">
        <f>IF(OR(ISBLANK(C6111),C6111=""),"",ROUND((C6111-B6111)*24,2))</f>
        <v>15.02</v>
      </c>
      <c r="N6111" s="40" t="str">
        <f>IF(OR(ISBLANK(C6111),C6111="",M6111=""),"In Progress",IF(M6111&lt;=J6111,"Met","Breached"))</f>
        <v>Met</v>
      </c>
    </row>
    <row r="6112" ht="19" customHeight="1" spans="1:14" x14ac:dyDescent="0.25">
      <c r="A6112" s="19" t="s">
        <v>6226</v>
      </c>
      <c r="B6112" s="33">
        <v>45771.2125</v>
      </c>
      <c r="C6112" s="33">
        <v>45771.566666666666</v>
      </c>
      <c r="D6112" s="19" t="s">
        <v>36</v>
      </c>
      <c r="E6112" s="19" t="s">
        <v>61</v>
      </c>
      <c r="F6112" s="19" t="s">
        <v>43</v>
      </c>
      <c r="G6112" s="19" t="s">
        <v>110</v>
      </c>
      <c r="H6112" s="19" t="s">
        <v>59</v>
      </c>
      <c r="I6112" s="19" t="s">
        <v>117</v>
      </c>
      <c r="J6112" s="20">
        <v>12</v>
      </c>
      <c r="K6112" s="34">
        <v>0</v>
      </c>
      <c r="M6112" s="19">
        <f>IF(OR(ISBLANK(C6112),C6112=""),"",ROUND((C6112-B6112)*24,2))</f>
        <v>8.5</v>
      </c>
      <c r="N6112" s="35" t="str">
        <f>IF(OR(ISBLANK(C6112),C6112="",M6112=""),"In Progress",IF(M6112&lt;=J6112,"Met","Breached"))</f>
        <v>Met</v>
      </c>
    </row>
    <row r="6113" ht="19" customHeight="1" spans="1:14" x14ac:dyDescent="0.25">
      <c r="A6113" s="22" t="s">
        <v>6227</v>
      </c>
      <c r="B6113" s="36">
        <v>46123.48402777778</v>
      </c>
      <c r="C6113" s="36">
        <v>46124.20833333333</v>
      </c>
      <c r="D6113" s="22" t="s">
        <v>33</v>
      </c>
      <c r="E6113" s="22" t="s">
        <v>61</v>
      </c>
      <c r="F6113" s="22" t="s">
        <v>43</v>
      </c>
      <c r="G6113" s="22" t="s">
        <v>113</v>
      </c>
      <c r="H6113" s="22" t="s">
        <v>59</v>
      </c>
      <c r="I6113" s="22" t="s">
        <v>117</v>
      </c>
      <c r="J6113" s="23">
        <v>12</v>
      </c>
      <c r="K6113" s="37">
        <v>0</v>
      </c>
      <c r="L6113" s="37">
        <v>1</v>
      </c>
      <c r="M6113" s="22">
        <f>IF(OR(ISBLANK(C6113),C6113=""),"",ROUND((C6113-B6113)*24,2))</f>
        <v>17.38</v>
      </c>
      <c r="N6113" s="38" t="str">
        <f>IF(OR(ISBLANK(C6113),C6113="",M6113=""),"In Progress",IF(M6113&lt;=J6113,"Met","Breached"))</f>
        <v>Breached</v>
      </c>
    </row>
    <row r="6114" ht="19" customHeight="1" spans="1:14" x14ac:dyDescent="0.25">
      <c r="A6114" s="19" t="s">
        <v>6228</v>
      </c>
      <c r="B6114" s="33">
        <v>46117.486805555556</v>
      </c>
      <c r="D6114" s="19" t="s">
        <v>42</v>
      </c>
      <c r="E6114" s="19" t="s">
        <v>69</v>
      </c>
      <c r="F6114" s="19" t="s">
        <v>34</v>
      </c>
      <c r="G6114" s="19" t="s">
        <v>126</v>
      </c>
      <c r="H6114" s="19" t="s">
        <v>63</v>
      </c>
      <c r="I6114" s="19" t="s">
        <v>117</v>
      </c>
      <c r="J6114" s="20">
        <v>120</v>
      </c>
      <c r="K6114" s="34">
        <v>0</v>
      </c>
      <c r="M6114" s="19" t="str">
        <f>IF(OR(ISBLANK(C6114),C6114=""),"",ROUND((C6114-B6114)*24,2))</f>
        <v/>
      </c>
      <c r="N6114" s="19" t="str">
        <f>IF(OR(ISBLANK(C6114),C6114="",M6114=""),"In Progress",IF(M6114&lt;=J6114,"Met","Breached"))</f>
        <v>In Progress</v>
      </c>
    </row>
    <row r="6115" ht="19" customHeight="1" spans="1:14" x14ac:dyDescent="0.25">
      <c r="A6115" s="22" t="s">
        <v>6229</v>
      </c>
      <c r="B6115" s="36">
        <v>45790.97430555556</v>
      </c>
      <c r="C6115" s="36">
        <v>45793.3125</v>
      </c>
      <c r="D6115" s="22" t="s">
        <v>33</v>
      </c>
      <c r="E6115" s="22" t="s">
        <v>69</v>
      </c>
      <c r="F6115" s="22" t="s">
        <v>34</v>
      </c>
      <c r="G6115" s="22" t="s">
        <v>116</v>
      </c>
      <c r="H6115" s="22" t="s">
        <v>59</v>
      </c>
      <c r="I6115" s="22" t="s">
        <v>123</v>
      </c>
      <c r="J6115" s="23">
        <v>120</v>
      </c>
      <c r="K6115" s="37">
        <v>0</v>
      </c>
      <c r="M6115" s="22">
        <f>IF(OR(ISBLANK(C6115),C6115=""),"",ROUND((C6115-B6115)*24,2))</f>
        <v>56.12</v>
      </c>
      <c r="N6115" s="40" t="str">
        <f>IF(OR(ISBLANK(C6115),C6115="",M6115=""),"In Progress",IF(M6115&lt;=J6115,"Met","Breached"))</f>
        <v>Met</v>
      </c>
    </row>
    <row r="6116" ht="19" customHeight="1" spans="1:14" x14ac:dyDescent="0.25">
      <c r="A6116" s="19" t="s">
        <v>6230</v>
      </c>
      <c r="B6116" s="33">
        <v>45673.194444444445</v>
      </c>
      <c r="C6116" s="33">
        <v>45673.870833333334</v>
      </c>
      <c r="D6116" s="19" t="s">
        <v>33</v>
      </c>
      <c r="E6116" s="19" t="s">
        <v>61</v>
      </c>
      <c r="F6116" s="19" t="s">
        <v>37</v>
      </c>
      <c r="G6116" s="19" t="s">
        <v>110</v>
      </c>
      <c r="H6116" s="19" t="s">
        <v>71</v>
      </c>
      <c r="I6116" s="19" t="s">
        <v>117</v>
      </c>
      <c r="J6116" s="20">
        <v>12</v>
      </c>
      <c r="K6116" s="34">
        <v>0</v>
      </c>
      <c r="L6116" s="34">
        <v>4</v>
      </c>
      <c r="M6116" s="19">
        <f>IF(OR(ISBLANK(C6116),C6116=""),"",ROUND((C6116-B6116)*24,2))</f>
        <v>16.23</v>
      </c>
      <c r="N6116" s="39" t="str">
        <f>IF(OR(ISBLANK(C6116),C6116="",M6116=""),"In Progress",IF(M6116&lt;=J6116,"Met","Breached"))</f>
        <v>Breached</v>
      </c>
    </row>
    <row r="6117" ht="19" customHeight="1" spans="1:14" x14ac:dyDescent="0.25">
      <c r="A6117" s="22" t="s">
        <v>6231</v>
      </c>
      <c r="B6117" s="36">
        <v>46252.31041666667</v>
      </c>
      <c r="C6117" s="36">
        <v>46260.54861111111</v>
      </c>
      <c r="D6117" s="22" t="s">
        <v>36</v>
      </c>
      <c r="E6117" s="22" t="s">
        <v>69</v>
      </c>
      <c r="F6117" s="22" t="s">
        <v>45</v>
      </c>
      <c r="G6117" s="22" t="s">
        <v>113</v>
      </c>
      <c r="H6117" s="22" t="s">
        <v>59</v>
      </c>
      <c r="I6117" s="22" t="s">
        <v>123</v>
      </c>
      <c r="J6117" s="23">
        <v>120</v>
      </c>
      <c r="K6117" s="37">
        <v>0</v>
      </c>
      <c r="L6117" s="37">
        <v>5</v>
      </c>
      <c r="M6117" s="22">
        <f>IF(OR(ISBLANK(C6117),C6117=""),"",ROUND((C6117-B6117)*24,2))</f>
        <v>197.72</v>
      </c>
      <c r="N6117" s="38" t="str">
        <f>IF(OR(ISBLANK(C6117),C6117="",M6117=""),"In Progress",IF(M6117&lt;=J6117,"Met","Breached"))</f>
        <v>Breached</v>
      </c>
    </row>
    <row r="6118" ht="19" customHeight="1" spans="1:14" x14ac:dyDescent="0.25">
      <c r="A6118" s="19" t="s">
        <v>6232</v>
      </c>
      <c r="B6118" s="33">
        <v>46108.98819444445</v>
      </c>
      <c r="C6118" s="33">
        <v>46115.84930555556</v>
      </c>
      <c r="D6118" s="19" t="s">
        <v>33</v>
      </c>
      <c r="E6118" s="19" t="s">
        <v>69</v>
      </c>
      <c r="F6118" s="19" t="s">
        <v>37</v>
      </c>
      <c r="G6118" s="19" t="s">
        <v>63</v>
      </c>
      <c r="H6118" s="19" t="s">
        <v>71</v>
      </c>
      <c r="I6118" s="19" t="s">
        <v>117</v>
      </c>
      <c r="J6118" s="20">
        <v>120</v>
      </c>
      <c r="K6118" s="34">
        <v>0</v>
      </c>
      <c r="L6118" s="34">
        <v>4</v>
      </c>
      <c r="M6118" s="19">
        <f>IF(OR(ISBLANK(C6118),C6118=""),"",ROUND((C6118-B6118)*24,2))</f>
        <v>164.67</v>
      </c>
      <c r="N6118" s="39" t="str">
        <f>IF(OR(ISBLANK(C6118),C6118="",M6118=""),"In Progress",IF(M6118&lt;=J6118,"Met","Breached"))</f>
        <v>Breached</v>
      </c>
    </row>
    <row r="6119" ht="19" customHeight="1" spans="1:14" x14ac:dyDescent="0.25">
      <c r="A6119" s="22" t="s">
        <v>6233</v>
      </c>
      <c r="B6119" s="36">
        <v>45927.768055555556</v>
      </c>
      <c r="D6119" s="22" t="s">
        <v>39</v>
      </c>
      <c r="E6119" s="22" t="s">
        <v>69</v>
      </c>
      <c r="F6119" s="22" t="s">
        <v>37</v>
      </c>
      <c r="G6119" s="22" t="s">
        <v>121</v>
      </c>
      <c r="H6119" s="22" t="s">
        <v>71</v>
      </c>
      <c r="I6119" s="22" t="s">
        <v>117</v>
      </c>
      <c r="J6119" s="23">
        <v>120</v>
      </c>
      <c r="K6119" s="37">
        <v>0</v>
      </c>
      <c r="M6119" s="22" t="str">
        <f>IF(OR(ISBLANK(C6119),C6119=""),"",ROUND((C6119-B6119)*24,2))</f>
        <v/>
      </c>
      <c r="N6119" s="22" t="str">
        <f>IF(OR(ISBLANK(C6119),C6119="",M6119=""),"In Progress",IF(M6119&lt;=J6119,"Met","Breached"))</f>
        <v>In Progress</v>
      </c>
    </row>
    <row r="6120" ht="19" customHeight="1" spans="1:14" x14ac:dyDescent="0.25">
      <c r="A6120" s="19" t="s">
        <v>6234</v>
      </c>
      <c r="B6120" s="33">
        <v>45974.21736111111</v>
      </c>
      <c r="D6120" s="19" t="s">
        <v>39</v>
      </c>
      <c r="E6120" s="19" t="s">
        <v>61</v>
      </c>
      <c r="F6120" s="19" t="s">
        <v>34</v>
      </c>
      <c r="G6120" s="19" t="s">
        <v>110</v>
      </c>
      <c r="H6120" s="19" t="s">
        <v>67</v>
      </c>
      <c r="I6120" s="19" t="s">
        <v>111</v>
      </c>
      <c r="J6120" s="20">
        <v>12</v>
      </c>
      <c r="K6120" s="34">
        <v>0</v>
      </c>
      <c r="M6120" s="19" t="str">
        <f>IF(OR(ISBLANK(C6120),C6120=""),"",ROUND((C6120-B6120)*24,2))</f>
        <v/>
      </c>
      <c r="N6120" s="19" t="str">
        <f>IF(OR(ISBLANK(C6120),C6120="",M6120=""),"In Progress",IF(M6120&lt;=J6120,"Met","Breached"))</f>
        <v>In Progress</v>
      </c>
    </row>
    <row r="6121" ht="19" customHeight="1" spans="1:14" x14ac:dyDescent="0.25">
      <c r="A6121" s="22" t="s">
        <v>6235</v>
      </c>
      <c r="B6121" s="36">
        <v>45825.23888888889</v>
      </c>
      <c r="C6121" s="36">
        <v>45833.20972222222</v>
      </c>
      <c r="D6121" s="22" t="s">
        <v>33</v>
      </c>
      <c r="E6121" s="22" t="s">
        <v>69</v>
      </c>
      <c r="F6121" s="22" t="s">
        <v>45</v>
      </c>
      <c r="G6121" s="22" t="s">
        <v>110</v>
      </c>
      <c r="H6121" s="22" t="s">
        <v>63</v>
      </c>
      <c r="I6121" s="22" t="s">
        <v>108</v>
      </c>
      <c r="J6121" s="23">
        <v>120</v>
      </c>
      <c r="K6121" s="37">
        <v>0</v>
      </c>
      <c r="L6121" s="37">
        <v>1</v>
      </c>
      <c r="M6121" s="22">
        <f>IF(OR(ISBLANK(C6121),C6121=""),"",ROUND((C6121-B6121)*24,2))</f>
        <v>191.3</v>
      </c>
      <c r="N6121" s="38" t="str">
        <f>IF(OR(ISBLANK(C6121),C6121="",M6121=""),"In Progress",IF(M6121&lt;=J6121,"Met","Breached"))</f>
        <v>Breached</v>
      </c>
    </row>
    <row r="6122" ht="19" customHeight="1" spans="1:14" x14ac:dyDescent="0.25">
      <c r="A6122" s="19" t="s">
        <v>6236</v>
      </c>
      <c r="B6122" s="33">
        <v>45847.81805555556</v>
      </c>
      <c r="C6122" s="33">
        <v>45848.45763888889</v>
      </c>
      <c r="D6122" s="19" t="s">
        <v>33</v>
      </c>
      <c r="E6122" s="19" t="s">
        <v>65</v>
      </c>
      <c r="F6122" s="19" t="s">
        <v>37</v>
      </c>
      <c r="G6122" s="19" t="s">
        <v>121</v>
      </c>
      <c r="H6122" s="19" t="s">
        <v>63</v>
      </c>
      <c r="I6122" s="19" t="s">
        <v>114</v>
      </c>
      <c r="J6122" s="20">
        <v>48</v>
      </c>
      <c r="K6122" s="34">
        <v>0</v>
      </c>
      <c r="L6122" s="34">
        <v>1</v>
      </c>
      <c r="M6122" s="19">
        <f>IF(OR(ISBLANK(C6122),C6122=""),"",ROUND((C6122-B6122)*24,2))</f>
        <v>15.35</v>
      </c>
      <c r="N6122" s="35" t="str">
        <f>IF(OR(ISBLANK(C6122),C6122="",M6122=""),"In Progress",IF(M6122&lt;=J6122,"Met","Breached"))</f>
        <v>Met</v>
      </c>
    </row>
    <row r="6123" ht="19" customHeight="1" spans="1:14" x14ac:dyDescent="0.25">
      <c r="A6123" s="22" t="s">
        <v>6237</v>
      </c>
      <c r="B6123" s="36">
        <v>45760.143055555556</v>
      </c>
      <c r="C6123" s="36">
        <v>45760.93125</v>
      </c>
      <c r="D6123" s="22" t="s">
        <v>33</v>
      </c>
      <c r="E6123" s="22" t="s">
        <v>61</v>
      </c>
      <c r="F6123" s="22" t="s">
        <v>37</v>
      </c>
      <c r="G6123" s="22" t="s">
        <v>121</v>
      </c>
      <c r="H6123" s="22" t="s">
        <v>63</v>
      </c>
      <c r="I6123" s="22" t="s">
        <v>114</v>
      </c>
      <c r="J6123" s="23">
        <v>12</v>
      </c>
      <c r="K6123" s="37">
        <v>0</v>
      </c>
      <c r="L6123" s="37">
        <v>3</v>
      </c>
      <c r="M6123" s="22">
        <f>IF(OR(ISBLANK(C6123),C6123=""),"",ROUND((C6123-B6123)*24,2))</f>
        <v>18.92</v>
      </c>
      <c r="N6123" s="38" t="str">
        <f>IF(OR(ISBLANK(C6123),C6123="",M6123=""),"In Progress",IF(M6123&lt;=J6123,"Met","Breached"))</f>
        <v>Breached</v>
      </c>
    </row>
    <row r="6124" ht="19" customHeight="1" spans="1:14" x14ac:dyDescent="0.25">
      <c r="A6124" s="19" t="s">
        <v>6238</v>
      </c>
      <c r="B6124" s="33">
        <v>46012.75833333333</v>
      </c>
      <c r="C6124" s="33">
        <v>46013.59027777778</v>
      </c>
      <c r="D6124" s="19" t="s">
        <v>33</v>
      </c>
      <c r="E6124" s="19" t="s">
        <v>65</v>
      </c>
      <c r="F6124" s="19" t="s">
        <v>45</v>
      </c>
      <c r="G6124" s="19" t="s">
        <v>126</v>
      </c>
      <c r="H6124" s="19" t="s">
        <v>63</v>
      </c>
      <c r="I6124" s="19" t="s">
        <v>114</v>
      </c>
      <c r="J6124" s="20">
        <v>48</v>
      </c>
      <c r="K6124" s="34">
        <v>0</v>
      </c>
      <c r="L6124" s="34">
        <v>1</v>
      </c>
      <c r="M6124" s="19">
        <f>IF(OR(ISBLANK(C6124),C6124=""),"",ROUND((C6124-B6124)*24,2))</f>
        <v>19.97</v>
      </c>
      <c r="N6124" s="35" t="str">
        <f>IF(OR(ISBLANK(C6124),C6124="",M6124=""),"In Progress",IF(M6124&lt;=J6124,"Met","Breached"))</f>
        <v>Met</v>
      </c>
    </row>
    <row r="6125" ht="19" customHeight="1" spans="1:14" x14ac:dyDescent="0.25">
      <c r="A6125" s="22" t="s">
        <v>6239</v>
      </c>
      <c r="B6125" s="36">
        <v>46284.31805555556</v>
      </c>
      <c r="C6125" s="36">
        <v>46289.47708333333</v>
      </c>
      <c r="D6125" s="22" t="s">
        <v>33</v>
      </c>
      <c r="E6125" s="22" t="s">
        <v>69</v>
      </c>
      <c r="F6125" s="22" t="s">
        <v>45</v>
      </c>
      <c r="G6125" s="22" t="s">
        <v>121</v>
      </c>
      <c r="H6125" s="22" t="s">
        <v>63</v>
      </c>
      <c r="I6125" s="22" t="s">
        <v>147</v>
      </c>
      <c r="J6125" s="23">
        <v>120</v>
      </c>
      <c r="K6125" s="37">
        <v>0</v>
      </c>
      <c r="M6125" s="22">
        <f>IF(OR(ISBLANK(C6125),C6125=""),"",ROUND((C6125-B6125)*24,2))</f>
        <v>123.82</v>
      </c>
      <c r="N6125" s="38" t="str">
        <f>IF(OR(ISBLANK(C6125),C6125="",M6125=""),"In Progress",IF(M6125&lt;=J6125,"Met","Breached"))</f>
        <v>Breached</v>
      </c>
    </row>
    <row r="6126" ht="19" customHeight="1" spans="1:14" x14ac:dyDescent="0.25">
      <c r="A6126" s="19" t="s">
        <v>6240</v>
      </c>
      <c r="B6126" s="33">
        <v>46250.59305555555</v>
      </c>
      <c r="C6126" s="33">
        <v>46253.275</v>
      </c>
      <c r="D6126" s="19" t="s">
        <v>33</v>
      </c>
      <c r="E6126" s="19" t="s">
        <v>69</v>
      </c>
      <c r="F6126" s="19" t="s">
        <v>43</v>
      </c>
      <c r="G6126" s="19" t="s">
        <v>113</v>
      </c>
      <c r="H6126" s="19" t="s">
        <v>63</v>
      </c>
      <c r="I6126" s="19" t="s">
        <v>123</v>
      </c>
      <c r="J6126" s="20">
        <v>120</v>
      </c>
      <c r="K6126" s="34">
        <v>0</v>
      </c>
      <c r="M6126" s="19">
        <f>IF(OR(ISBLANK(C6126),C6126=""),"",ROUND((C6126-B6126)*24,2))</f>
        <v>64.37</v>
      </c>
      <c r="N6126" s="35" t="str">
        <f>IF(OR(ISBLANK(C6126),C6126="",M6126=""),"In Progress",IF(M6126&lt;=J6126,"Met","Breached"))</f>
        <v>Met</v>
      </c>
    </row>
    <row r="6127" ht="19" customHeight="1" spans="1:14" x14ac:dyDescent="0.25">
      <c r="A6127" s="22" t="s">
        <v>6241</v>
      </c>
      <c r="B6127" s="36">
        <v>45919.552777777775</v>
      </c>
      <c r="C6127" s="36">
        <v>45920.32777777778</v>
      </c>
      <c r="D6127" s="22" t="s">
        <v>33</v>
      </c>
      <c r="E6127" s="22" t="s">
        <v>61</v>
      </c>
      <c r="F6127" s="22" t="s">
        <v>37</v>
      </c>
      <c r="G6127" s="22" t="s">
        <v>126</v>
      </c>
      <c r="H6127" s="22" t="s">
        <v>59</v>
      </c>
      <c r="I6127" s="22" t="s">
        <v>147</v>
      </c>
      <c r="J6127" s="23">
        <v>12</v>
      </c>
      <c r="K6127" s="37">
        <v>0</v>
      </c>
      <c r="M6127" s="22">
        <f>IF(OR(ISBLANK(C6127),C6127=""),"",ROUND((C6127-B6127)*24,2))</f>
        <v>18.6</v>
      </c>
      <c r="N6127" s="38" t="str">
        <f>IF(OR(ISBLANK(C6127),C6127="",M6127=""),"In Progress",IF(M6127&lt;=J6127,"Met","Breached"))</f>
        <v>Breached</v>
      </c>
    </row>
    <row r="6128" ht="19" customHeight="1" spans="1:14" x14ac:dyDescent="0.25">
      <c r="A6128" s="19" t="s">
        <v>6242</v>
      </c>
      <c r="B6128" s="33">
        <v>45839.87361111111</v>
      </c>
      <c r="C6128" s="33">
        <v>45839.92847222222</v>
      </c>
      <c r="D6128" s="19" t="s">
        <v>36</v>
      </c>
      <c r="E6128" s="19" t="s">
        <v>57</v>
      </c>
      <c r="F6128" s="19" t="s">
        <v>43</v>
      </c>
      <c r="G6128" s="19" t="s">
        <v>110</v>
      </c>
      <c r="H6128" s="19" t="s">
        <v>59</v>
      </c>
      <c r="I6128" s="19" t="s">
        <v>111</v>
      </c>
      <c r="J6128" s="20">
        <v>4</v>
      </c>
      <c r="K6128" s="34">
        <v>0</v>
      </c>
      <c r="L6128" s="34">
        <v>5</v>
      </c>
      <c r="M6128" s="19">
        <f>IF(OR(ISBLANK(C6128),C6128=""),"",ROUND((C6128-B6128)*24,2))</f>
        <v>1.32</v>
      </c>
      <c r="N6128" s="35" t="str">
        <f>IF(OR(ISBLANK(C6128),C6128="",M6128=""),"In Progress",IF(M6128&lt;=J6128,"Met","Breached"))</f>
        <v>Met</v>
      </c>
    </row>
    <row r="6129" ht="19" customHeight="1" spans="1:14" x14ac:dyDescent="0.25">
      <c r="A6129" s="22" t="s">
        <v>6243</v>
      </c>
      <c r="B6129" s="36">
        <v>46036.70972222222</v>
      </c>
      <c r="D6129" s="22" t="s">
        <v>39</v>
      </c>
      <c r="E6129" s="22" t="s">
        <v>65</v>
      </c>
      <c r="F6129" s="22" t="s">
        <v>40</v>
      </c>
      <c r="G6129" s="22" t="s">
        <v>110</v>
      </c>
      <c r="H6129" s="22" t="s">
        <v>71</v>
      </c>
      <c r="I6129" s="22" t="s">
        <v>117</v>
      </c>
      <c r="J6129" s="23">
        <v>48</v>
      </c>
      <c r="K6129" s="37">
        <v>0</v>
      </c>
      <c r="M6129" s="22" t="str">
        <f>IF(OR(ISBLANK(C6129),C6129=""),"",ROUND((C6129-B6129)*24,2))</f>
        <v/>
      </c>
      <c r="N6129" s="22" t="str">
        <f>IF(OR(ISBLANK(C6129),C6129="",M6129=""),"In Progress",IF(M6129&lt;=J6129,"Met","Breached"))</f>
        <v>In Progress</v>
      </c>
    </row>
    <row r="6130" ht="19" customHeight="1" spans="1:14" x14ac:dyDescent="0.25">
      <c r="A6130" s="19" t="s">
        <v>6244</v>
      </c>
      <c r="B6130" s="33">
        <v>45825.19583333333</v>
      </c>
      <c r="C6130" s="33">
        <v>45826.67569444445</v>
      </c>
      <c r="D6130" s="19" t="s">
        <v>33</v>
      </c>
      <c r="E6130" s="19" t="s">
        <v>65</v>
      </c>
      <c r="F6130" s="19" t="s">
        <v>40</v>
      </c>
      <c r="G6130" s="19" t="s">
        <v>63</v>
      </c>
      <c r="H6130" s="19" t="s">
        <v>59</v>
      </c>
      <c r="I6130" s="19" t="s">
        <v>111</v>
      </c>
      <c r="J6130" s="20">
        <v>48</v>
      </c>
      <c r="K6130" s="34">
        <v>0</v>
      </c>
      <c r="L6130" s="34">
        <v>5</v>
      </c>
      <c r="M6130" s="19">
        <f>IF(OR(ISBLANK(C6130),C6130=""),"",ROUND((C6130-B6130)*24,2))</f>
        <v>35.52</v>
      </c>
      <c r="N6130" s="35" t="str">
        <f>IF(OR(ISBLANK(C6130),C6130="",M6130=""),"In Progress",IF(M6130&lt;=J6130,"Met","Breached"))</f>
        <v>Met</v>
      </c>
    </row>
    <row r="6131" ht="19" customHeight="1" spans="1:14" x14ac:dyDescent="0.25">
      <c r="A6131" s="22" t="s">
        <v>6245</v>
      </c>
      <c r="B6131" s="36">
        <v>46254.275</v>
      </c>
      <c r="C6131" s="36">
        <v>46256.180555555555</v>
      </c>
      <c r="D6131" s="22" t="s">
        <v>36</v>
      </c>
      <c r="E6131" s="22" t="s">
        <v>65</v>
      </c>
      <c r="F6131" s="22" t="s">
        <v>37</v>
      </c>
      <c r="G6131" s="22" t="s">
        <v>121</v>
      </c>
      <c r="H6131" s="22" t="s">
        <v>71</v>
      </c>
      <c r="I6131" s="22" t="s">
        <v>111</v>
      </c>
      <c r="J6131" s="23">
        <v>48</v>
      </c>
      <c r="K6131" s="37">
        <v>0</v>
      </c>
      <c r="L6131" s="37">
        <v>1</v>
      </c>
      <c r="M6131" s="22">
        <f>IF(OR(ISBLANK(C6131),C6131=""),"",ROUND((C6131-B6131)*24,2))</f>
        <v>45.73</v>
      </c>
      <c r="N6131" s="40" t="str">
        <f>IF(OR(ISBLANK(C6131),C6131="",M6131=""),"In Progress",IF(M6131&lt;=J6131,"Met","Breached"))</f>
        <v>Met</v>
      </c>
    </row>
    <row r="6132" ht="19" customHeight="1" spans="1:14" x14ac:dyDescent="0.25">
      <c r="A6132" s="19" t="s">
        <v>6246</v>
      </c>
      <c r="B6132" s="33">
        <v>46262.84652777778</v>
      </c>
      <c r="C6132" s="33">
        <v>46266.28611111111</v>
      </c>
      <c r="D6132" s="19" t="s">
        <v>33</v>
      </c>
      <c r="E6132" s="19" t="s">
        <v>65</v>
      </c>
      <c r="F6132" s="19" t="s">
        <v>43</v>
      </c>
      <c r="G6132" s="19" t="s">
        <v>63</v>
      </c>
      <c r="H6132" s="19" t="s">
        <v>63</v>
      </c>
      <c r="I6132" s="19" t="s">
        <v>108</v>
      </c>
      <c r="J6132" s="20">
        <v>48</v>
      </c>
      <c r="K6132" s="34">
        <v>0</v>
      </c>
      <c r="L6132" s="34">
        <v>1</v>
      </c>
      <c r="M6132" s="19">
        <f>IF(OR(ISBLANK(C6132),C6132=""),"",ROUND((C6132-B6132)*24,2))</f>
        <v>82.55</v>
      </c>
      <c r="N6132" s="39" t="str">
        <f>IF(OR(ISBLANK(C6132),C6132="",M6132=""),"In Progress",IF(M6132&lt;=J6132,"Met","Breached"))</f>
        <v>Breached</v>
      </c>
    </row>
    <row r="6133" ht="19" customHeight="1" spans="1:14" x14ac:dyDescent="0.25">
      <c r="A6133" s="22" t="s">
        <v>6247</v>
      </c>
      <c r="B6133" s="36">
        <v>46029.66111111111</v>
      </c>
      <c r="C6133" s="36">
        <v>46030.37430555555</v>
      </c>
      <c r="D6133" s="22" t="s">
        <v>36</v>
      </c>
      <c r="E6133" s="22" t="s">
        <v>61</v>
      </c>
      <c r="F6133" s="22" t="s">
        <v>43</v>
      </c>
      <c r="G6133" s="22" t="s">
        <v>110</v>
      </c>
      <c r="H6133" s="22" t="s">
        <v>59</v>
      </c>
      <c r="I6133" s="22" t="s">
        <v>117</v>
      </c>
      <c r="J6133" s="23">
        <v>12</v>
      </c>
      <c r="K6133" s="37">
        <v>0</v>
      </c>
      <c r="M6133" s="22">
        <f>IF(OR(ISBLANK(C6133),C6133=""),"",ROUND((C6133-B6133)*24,2))</f>
        <v>17.12</v>
      </c>
      <c r="N6133" s="38" t="str">
        <f>IF(OR(ISBLANK(C6133),C6133="",M6133=""),"In Progress",IF(M6133&lt;=J6133,"Met","Breached"))</f>
        <v>Breached</v>
      </c>
    </row>
    <row r="6134" ht="19" customHeight="1" spans="1:14" x14ac:dyDescent="0.25">
      <c r="A6134" s="19" t="s">
        <v>6248</v>
      </c>
      <c r="B6134" s="33">
        <v>45801.20347222222</v>
      </c>
      <c r="D6134" s="19" t="s">
        <v>42</v>
      </c>
      <c r="E6134" s="19" t="s">
        <v>69</v>
      </c>
      <c r="F6134" s="19" t="s">
        <v>34</v>
      </c>
      <c r="G6134" s="19" t="s">
        <v>113</v>
      </c>
      <c r="H6134" s="19" t="s">
        <v>59</v>
      </c>
      <c r="I6134" s="19" t="s">
        <v>111</v>
      </c>
      <c r="J6134" s="20">
        <v>120</v>
      </c>
      <c r="K6134" s="34">
        <v>0</v>
      </c>
      <c r="M6134" s="19" t="str">
        <f>IF(OR(ISBLANK(C6134),C6134=""),"",ROUND((C6134-B6134)*24,2))</f>
        <v/>
      </c>
      <c r="N6134" s="19" t="str">
        <f>IF(OR(ISBLANK(C6134),C6134="",M6134=""),"In Progress",IF(M6134&lt;=J6134,"Met","Breached"))</f>
        <v>In Progress</v>
      </c>
    </row>
    <row r="6135" ht="19" customHeight="1" spans="1:14" x14ac:dyDescent="0.25">
      <c r="A6135" s="22" t="s">
        <v>6249</v>
      </c>
      <c r="B6135" s="36">
        <v>45718.955555555556</v>
      </c>
      <c r="C6135" s="36">
        <v>45720.384722222225</v>
      </c>
      <c r="D6135" s="22" t="s">
        <v>33</v>
      </c>
      <c r="E6135" s="22" t="s">
        <v>65</v>
      </c>
      <c r="F6135" s="22" t="s">
        <v>37</v>
      </c>
      <c r="G6135" s="22" t="s">
        <v>63</v>
      </c>
      <c r="H6135" s="22" t="s">
        <v>59</v>
      </c>
      <c r="I6135" s="22" t="s">
        <v>117</v>
      </c>
      <c r="J6135" s="23">
        <v>48</v>
      </c>
      <c r="K6135" s="37">
        <v>0</v>
      </c>
      <c r="L6135" s="37">
        <v>2</v>
      </c>
      <c r="M6135" s="22">
        <f>IF(OR(ISBLANK(C6135),C6135=""),"",ROUND((C6135-B6135)*24,2))</f>
        <v>34.3</v>
      </c>
      <c r="N6135" s="40" t="str">
        <f>IF(OR(ISBLANK(C6135),C6135="",M6135=""),"In Progress",IF(M6135&lt;=J6135,"Met","Breached"))</f>
        <v>Met</v>
      </c>
    </row>
    <row r="6136" ht="19" customHeight="1" spans="1:14" x14ac:dyDescent="0.25">
      <c r="A6136" s="19" t="s">
        <v>6250</v>
      </c>
      <c r="B6136" s="33">
        <v>46207.41736111111</v>
      </c>
      <c r="C6136" s="33">
        <v>46209.92013888889</v>
      </c>
      <c r="D6136" s="19" t="s">
        <v>36</v>
      </c>
      <c r="E6136" s="19" t="s">
        <v>65</v>
      </c>
      <c r="F6136" s="19" t="s">
        <v>37</v>
      </c>
      <c r="G6136" s="19" t="s">
        <v>121</v>
      </c>
      <c r="H6136" s="19" t="s">
        <v>59</v>
      </c>
      <c r="I6136" s="19" t="s">
        <v>108</v>
      </c>
      <c r="J6136" s="20">
        <v>48</v>
      </c>
      <c r="K6136" s="34">
        <v>0</v>
      </c>
      <c r="M6136" s="19">
        <f>IF(OR(ISBLANK(C6136),C6136=""),"",ROUND((C6136-B6136)*24,2))</f>
        <v>60.07</v>
      </c>
      <c r="N6136" s="39" t="str">
        <f>IF(OR(ISBLANK(C6136),C6136="",M6136=""),"In Progress",IF(M6136&lt;=J6136,"Met","Breached"))</f>
        <v>Breached</v>
      </c>
    </row>
    <row r="6137" ht="19" customHeight="1" spans="1:14" x14ac:dyDescent="0.25">
      <c r="A6137" s="22" t="s">
        <v>6251</v>
      </c>
      <c r="B6137" s="36">
        <v>45860.54791666666</v>
      </c>
      <c r="C6137" s="36">
        <v>45860.65902777778</v>
      </c>
      <c r="D6137" s="22" t="s">
        <v>36</v>
      </c>
      <c r="E6137" s="22" t="s">
        <v>57</v>
      </c>
      <c r="F6137" s="22" t="s">
        <v>34</v>
      </c>
      <c r="G6137" s="22" t="s">
        <v>126</v>
      </c>
      <c r="H6137" s="22" t="s">
        <v>59</v>
      </c>
      <c r="I6137" s="22" t="s">
        <v>117</v>
      </c>
      <c r="J6137" s="23">
        <v>4</v>
      </c>
      <c r="K6137" s="37">
        <v>0</v>
      </c>
      <c r="M6137" s="22">
        <f>IF(OR(ISBLANK(C6137),C6137=""),"",ROUND((C6137-B6137)*24,2))</f>
        <v>2.67</v>
      </c>
      <c r="N6137" s="40" t="str">
        <f>IF(OR(ISBLANK(C6137),C6137="",M6137=""),"In Progress",IF(M6137&lt;=J6137,"Met","Breached"))</f>
        <v>Met</v>
      </c>
    </row>
    <row r="6138" ht="19" customHeight="1" spans="1:14" x14ac:dyDescent="0.25">
      <c r="A6138" s="19" t="s">
        <v>6252</v>
      </c>
      <c r="B6138" s="33">
        <v>45831.90972222222</v>
      </c>
      <c r="C6138" s="33">
        <v>45832.700694444444</v>
      </c>
      <c r="D6138" s="19" t="s">
        <v>36</v>
      </c>
      <c r="E6138" s="19" t="s">
        <v>61</v>
      </c>
      <c r="F6138" s="19" t="s">
        <v>37</v>
      </c>
      <c r="G6138" s="19" t="s">
        <v>116</v>
      </c>
      <c r="H6138" s="19" t="s">
        <v>63</v>
      </c>
      <c r="I6138" s="19" t="s">
        <v>108</v>
      </c>
      <c r="J6138" s="20">
        <v>12</v>
      </c>
      <c r="K6138" s="34">
        <v>0</v>
      </c>
      <c r="L6138" s="34">
        <v>2</v>
      </c>
      <c r="M6138" s="19">
        <f>IF(OR(ISBLANK(C6138),C6138=""),"",ROUND((C6138-B6138)*24,2))</f>
        <v>18.98</v>
      </c>
      <c r="N6138" s="39" t="str">
        <f>IF(OR(ISBLANK(C6138),C6138="",M6138=""),"In Progress",IF(M6138&lt;=J6138,"Met","Breached"))</f>
        <v>Breached</v>
      </c>
    </row>
    <row r="6139" ht="19" customHeight="1" spans="1:14" x14ac:dyDescent="0.25">
      <c r="A6139" s="22" t="s">
        <v>6253</v>
      </c>
      <c r="B6139" s="36">
        <v>45940.49652777778</v>
      </c>
      <c r="C6139" s="36">
        <v>45943.36597222222</v>
      </c>
      <c r="D6139" s="22" t="s">
        <v>33</v>
      </c>
      <c r="E6139" s="22" t="s">
        <v>65</v>
      </c>
      <c r="F6139" s="22" t="s">
        <v>34</v>
      </c>
      <c r="G6139" s="22" t="s">
        <v>63</v>
      </c>
      <c r="H6139" s="22" t="s">
        <v>63</v>
      </c>
      <c r="I6139" s="22" t="s">
        <v>114</v>
      </c>
      <c r="J6139" s="23">
        <v>48</v>
      </c>
      <c r="K6139" s="37">
        <v>0</v>
      </c>
      <c r="L6139" s="37">
        <v>1</v>
      </c>
      <c r="M6139" s="22">
        <f>IF(OR(ISBLANK(C6139),C6139=""),"",ROUND((C6139-B6139)*24,2))</f>
        <v>68.87</v>
      </c>
      <c r="N6139" s="38" t="str">
        <f>IF(OR(ISBLANK(C6139),C6139="",M6139=""),"In Progress",IF(M6139&lt;=J6139,"Met","Breached"))</f>
        <v>Breached</v>
      </c>
    </row>
    <row r="6140" ht="19" customHeight="1" spans="1:14" x14ac:dyDescent="0.25">
      <c r="A6140" s="19" t="s">
        <v>6254</v>
      </c>
      <c r="B6140" s="33">
        <v>45815.549305555556</v>
      </c>
      <c r="C6140" s="33">
        <v>45815.913888888885</v>
      </c>
      <c r="D6140" s="19" t="s">
        <v>36</v>
      </c>
      <c r="E6140" s="19" t="s">
        <v>61</v>
      </c>
      <c r="F6140" s="19" t="s">
        <v>40</v>
      </c>
      <c r="G6140" s="19" t="s">
        <v>63</v>
      </c>
      <c r="H6140" s="19" t="s">
        <v>59</v>
      </c>
      <c r="I6140" s="19" t="s">
        <v>111</v>
      </c>
      <c r="J6140" s="20">
        <v>12</v>
      </c>
      <c r="K6140" s="34">
        <v>0</v>
      </c>
      <c r="M6140" s="19">
        <f>IF(OR(ISBLANK(C6140),C6140=""),"",ROUND((C6140-B6140)*24,2))</f>
        <v>8.75</v>
      </c>
      <c r="N6140" s="35" t="str">
        <f>IF(OR(ISBLANK(C6140),C6140="",M6140=""),"In Progress",IF(M6140&lt;=J6140,"Met","Breached"))</f>
        <v>Met</v>
      </c>
    </row>
    <row r="6141" ht="19" customHeight="1" spans="1:14" x14ac:dyDescent="0.25">
      <c r="A6141" s="22" t="s">
        <v>6255</v>
      </c>
      <c r="B6141" s="36">
        <v>45906.36597222222</v>
      </c>
      <c r="D6141" s="22" t="s">
        <v>42</v>
      </c>
      <c r="E6141" s="22" t="s">
        <v>69</v>
      </c>
      <c r="F6141" s="22" t="s">
        <v>40</v>
      </c>
      <c r="G6141" s="22" t="s">
        <v>121</v>
      </c>
      <c r="H6141" s="22" t="s">
        <v>63</v>
      </c>
      <c r="I6141" s="22" t="s">
        <v>147</v>
      </c>
      <c r="J6141" s="23">
        <v>120</v>
      </c>
      <c r="K6141" s="37">
        <v>0</v>
      </c>
      <c r="M6141" s="22" t="str">
        <f>IF(OR(ISBLANK(C6141),C6141=""),"",ROUND((C6141-B6141)*24,2))</f>
        <v/>
      </c>
      <c r="N6141" s="22" t="str">
        <f>IF(OR(ISBLANK(C6141),C6141="",M6141=""),"In Progress",IF(M6141&lt;=J6141,"Met","Breached"))</f>
        <v>In Progress</v>
      </c>
    </row>
    <row r="6142" ht="19" customHeight="1" spans="1:14" x14ac:dyDescent="0.25">
      <c r="A6142" s="19" t="s">
        <v>6256</v>
      </c>
      <c r="B6142" s="33">
        <v>46173.180555555555</v>
      </c>
      <c r="C6142" s="33">
        <v>46174.1</v>
      </c>
      <c r="D6142" s="19" t="s">
        <v>36</v>
      </c>
      <c r="E6142" s="19" t="s">
        <v>65</v>
      </c>
      <c r="F6142" s="19" t="s">
        <v>34</v>
      </c>
      <c r="G6142" s="19" t="s">
        <v>113</v>
      </c>
      <c r="H6142" s="19" t="s">
        <v>59</v>
      </c>
      <c r="I6142" s="19" t="s">
        <v>108</v>
      </c>
      <c r="J6142" s="20">
        <v>48</v>
      </c>
      <c r="K6142" s="34">
        <v>0</v>
      </c>
      <c r="L6142" s="34">
        <v>4</v>
      </c>
      <c r="M6142" s="19">
        <f>IF(OR(ISBLANK(C6142),C6142=""),"",ROUND((C6142-B6142)*24,2))</f>
        <v>22.07</v>
      </c>
      <c r="N6142" s="35" t="str">
        <f>IF(OR(ISBLANK(C6142),C6142="",M6142=""),"In Progress",IF(M6142&lt;=J6142,"Met","Breached"))</f>
        <v>Met</v>
      </c>
    </row>
    <row r="6143" ht="19" customHeight="1" spans="1:14" x14ac:dyDescent="0.25">
      <c r="A6143" s="22" t="s">
        <v>6257</v>
      </c>
      <c r="B6143" s="36">
        <v>45681.82430555555</v>
      </c>
      <c r="C6143" s="36">
        <v>45681.902083333334</v>
      </c>
      <c r="D6143" s="22" t="s">
        <v>36</v>
      </c>
      <c r="E6143" s="22" t="s">
        <v>57</v>
      </c>
      <c r="F6143" s="22" t="s">
        <v>37</v>
      </c>
      <c r="G6143" s="22" t="s">
        <v>110</v>
      </c>
      <c r="H6143" s="22" t="s">
        <v>63</v>
      </c>
      <c r="I6143" s="22" t="s">
        <v>117</v>
      </c>
      <c r="J6143" s="23">
        <v>4</v>
      </c>
      <c r="K6143" s="37">
        <v>0</v>
      </c>
      <c r="L6143" s="37">
        <v>3</v>
      </c>
      <c r="M6143" s="22">
        <f>IF(OR(ISBLANK(C6143),C6143=""),"",ROUND((C6143-B6143)*24,2))</f>
        <v>1.87</v>
      </c>
      <c r="N6143" s="40" t="str">
        <f>IF(OR(ISBLANK(C6143),C6143="",M6143=""),"In Progress",IF(M6143&lt;=J6143,"Met","Breached"))</f>
        <v>Met</v>
      </c>
    </row>
    <row r="6144" ht="19" customHeight="1" spans="1:14" x14ac:dyDescent="0.25">
      <c r="A6144" s="19" t="s">
        <v>6258</v>
      </c>
      <c r="B6144" s="33">
        <v>45661.31875</v>
      </c>
      <c r="C6144" s="33">
        <v>45663.40625</v>
      </c>
      <c r="D6144" s="19" t="s">
        <v>33</v>
      </c>
      <c r="E6144" s="19" t="s">
        <v>65</v>
      </c>
      <c r="F6144" s="19" t="s">
        <v>45</v>
      </c>
      <c r="G6144" s="19" t="s">
        <v>126</v>
      </c>
      <c r="H6144" s="19" t="s">
        <v>59</v>
      </c>
      <c r="I6144" s="19" t="s">
        <v>117</v>
      </c>
      <c r="J6144" s="20">
        <v>48</v>
      </c>
      <c r="K6144" s="34">
        <v>0</v>
      </c>
      <c r="L6144" s="34">
        <v>4</v>
      </c>
      <c r="M6144" s="19">
        <f>IF(OR(ISBLANK(C6144),C6144=""),"",ROUND((C6144-B6144)*24,2))</f>
        <v>50.1</v>
      </c>
      <c r="N6144" s="39" t="str">
        <f>IF(OR(ISBLANK(C6144),C6144="",M6144=""),"In Progress",IF(M6144&lt;=J6144,"Met","Breached"))</f>
        <v>Breached</v>
      </c>
    </row>
    <row r="6145" ht="19" customHeight="1" spans="1:14" x14ac:dyDescent="0.25">
      <c r="A6145" s="22" t="s">
        <v>6259</v>
      </c>
      <c r="B6145" s="36">
        <v>45662.92569444445</v>
      </c>
      <c r="C6145" s="36">
        <v>45666.415972222225</v>
      </c>
      <c r="D6145" s="22" t="s">
        <v>33</v>
      </c>
      <c r="E6145" s="22" t="s">
        <v>65</v>
      </c>
      <c r="F6145" s="22" t="s">
        <v>45</v>
      </c>
      <c r="G6145" s="22" t="s">
        <v>116</v>
      </c>
      <c r="H6145" s="22" t="s">
        <v>59</v>
      </c>
      <c r="I6145" s="22" t="s">
        <v>111</v>
      </c>
      <c r="J6145" s="23">
        <v>48</v>
      </c>
      <c r="K6145" s="37">
        <v>0</v>
      </c>
      <c r="L6145" s="37">
        <v>5</v>
      </c>
      <c r="M6145" s="22">
        <f>IF(OR(ISBLANK(C6145),C6145=""),"",ROUND((C6145-B6145)*24,2))</f>
        <v>83.77</v>
      </c>
      <c r="N6145" s="38" t="str">
        <f>IF(OR(ISBLANK(C6145),C6145="",M6145=""),"In Progress",IF(M6145&lt;=J6145,"Met","Breached"))</f>
        <v>Breached</v>
      </c>
    </row>
    <row r="6146" ht="19" customHeight="1" spans="1:14" x14ac:dyDescent="0.25">
      <c r="A6146" s="19" t="s">
        <v>6260</v>
      </c>
      <c r="B6146" s="33">
        <v>45744.08888888889</v>
      </c>
      <c r="C6146" s="33">
        <v>45746.711805555555</v>
      </c>
      <c r="D6146" s="19" t="s">
        <v>33</v>
      </c>
      <c r="E6146" s="19" t="s">
        <v>65</v>
      </c>
      <c r="F6146" s="19" t="s">
        <v>37</v>
      </c>
      <c r="G6146" s="19" t="s">
        <v>126</v>
      </c>
      <c r="H6146" s="19" t="s">
        <v>63</v>
      </c>
      <c r="I6146" s="19" t="s">
        <v>123</v>
      </c>
      <c r="J6146" s="20">
        <v>48</v>
      </c>
      <c r="K6146" s="34">
        <v>0</v>
      </c>
      <c r="L6146" s="34">
        <v>4</v>
      </c>
      <c r="M6146" s="19">
        <f>IF(OR(ISBLANK(C6146),C6146=""),"",ROUND((C6146-B6146)*24,2))</f>
        <v>62.95</v>
      </c>
      <c r="N6146" s="39" t="str">
        <f>IF(OR(ISBLANK(C6146),C6146="",M6146=""),"In Progress",IF(M6146&lt;=J6146,"Met","Breached"))</f>
        <v>Breached</v>
      </c>
    </row>
    <row r="6147" ht="19" customHeight="1" spans="1:14" x14ac:dyDescent="0.25">
      <c r="A6147" s="22" t="s">
        <v>6261</v>
      </c>
      <c r="B6147" s="36">
        <v>45670.44652777778</v>
      </c>
      <c r="D6147" s="22" t="s">
        <v>42</v>
      </c>
      <c r="E6147" s="22" t="s">
        <v>61</v>
      </c>
      <c r="F6147" s="22" t="s">
        <v>40</v>
      </c>
      <c r="G6147" s="22" t="s">
        <v>121</v>
      </c>
      <c r="H6147" s="22" t="s">
        <v>59</v>
      </c>
      <c r="I6147" s="22" t="s">
        <v>111</v>
      </c>
      <c r="J6147" s="23">
        <v>12</v>
      </c>
      <c r="K6147" s="37">
        <v>0</v>
      </c>
      <c r="M6147" s="22" t="str">
        <f>IF(OR(ISBLANK(C6147),C6147=""),"",ROUND((C6147-B6147)*24,2))</f>
        <v/>
      </c>
      <c r="N6147" s="22" t="str">
        <f>IF(OR(ISBLANK(C6147),C6147="",M6147=""),"In Progress",IF(M6147&lt;=J6147,"Met","Breached"))</f>
        <v>In Progress</v>
      </c>
    </row>
    <row r="6148" ht="19" customHeight="1" spans="1:14" x14ac:dyDescent="0.25">
      <c r="A6148" s="19" t="s">
        <v>6262</v>
      </c>
      <c r="B6148" s="33">
        <v>46122.81805555556</v>
      </c>
      <c r="C6148" s="33">
        <v>46126.82986111111</v>
      </c>
      <c r="D6148" s="19" t="s">
        <v>33</v>
      </c>
      <c r="E6148" s="19" t="s">
        <v>69</v>
      </c>
      <c r="F6148" s="19" t="s">
        <v>34</v>
      </c>
      <c r="G6148" s="19" t="s">
        <v>126</v>
      </c>
      <c r="H6148" s="19" t="s">
        <v>71</v>
      </c>
      <c r="I6148" s="19" t="s">
        <v>123</v>
      </c>
      <c r="J6148" s="20">
        <v>120</v>
      </c>
      <c r="K6148" s="34">
        <v>0</v>
      </c>
      <c r="L6148" s="34">
        <v>5</v>
      </c>
      <c r="M6148" s="19">
        <f>IF(OR(ISBLANK(C6148),C6148=""),"",ROUND((C6148-B6148)*24,2))</f>
        <v>96.28</v>
      </c>
      <c r="N6148" s="35" t="str">
        <f>IF(OR(ISBLANK(C6148),C6148="",M6148=""),"In Progress",IF(M6148&lt;=J6148,"Met","Breached"))</f>
        <v>Met</v>
      </c>
    </row>
    <row r="6149" ht="19" customHeight="1" spans="1:14" x14ac:dyDescent="0.25">
      <c r="A6149" s="22" t="s">
        <v>6263</v>
      </c>
      <c r="B6149" s="36">
        <v>45848.506944444445</v>
      </c>
      <c r="C6149" s="36">
        <v>45848.697222222225</v>
      </c>
      <c r="D6149" s="22" t="s">
        <v>33</v>
      </c>
      <c r="E6149" s="22" t="s">
        <v>57</v>
      </c>
      <c r="F6149" s="22" t="s">
        <v>37</v>
      </c>
      <c r="G6149" s="22" t="s">
        <v>121</v>
      </c>
      <c r="H6149" s="22" t="s">
        <v>59</v>
      </c>
      <c r="I6149" s="22" t="s">
        <v>108</v>
      </c>
      <c r="J6149" s="23">
        <v>4</v>
      </c>
      <c r="K6149" s="37">
        <v>0</v>
      </c>
      <c r="M6149" s="22">
        <f>IF(OR(ISBLANK(C6149),C6149=""),"",ROUND((C6149-B6149)*24,2))</f>
        <v>4.57</v>
      </c>
      <c r="N6149" s="38" t="str">
        <f>IF(OR(ISBLANK(C6149),C6149="",M6149=""),"In Progress",IF(M6149&lt;=J6149,"Met","Breached"))</f>
        <v>Breached</v>
      </c>
    </row>
    <row r="6150" ht="19" customHeight="1" spans="1:14" x14ac:dyDescent="0.25">
      <c r="A6150" s="19" t="s">
        <v>6264</v>
      </c>
      <c r="B6150" s="33">
        <v>46028.55694444444</v>
      </c>
      <c r="C6150" s="33">
        <v>46037.20972222222</v>
      </c>
      <c r="D6150" s="19" t="s">
        <v>33</v>
      </c>
      <c r="E6150" s="19" t="s">
        <v>69</v>
      </c>
      <c r="F6150" s="19" t="s">
        <v>37</v>
      </c>
      <c r="G6150" s="19" t="s">
        <v>110</v>
      </c>
      <c r="H6150" s="19" t="s">
        <v>63</v>
      </c>
      <c r="I6150" s="19" t="s">
        <v>114</v>
      </c>
      <c r="J6150" s="20">
        <v>120</v>
      </c>
      <c r="K6150" s="34">
        <v>0</v>
      </c>
      <c r="L6150" s="34">
        <v>2</v>
      </c>
      <c r="M6150" s="19">
        <f>IF(OR(ISBLANK(C6150),C6150=""),"",ROUND((C6150-B6150)*24,2))</f>
        <v>207.67</v>
      </c>
      <c r="N6150" s="39" t="str">
        <f>IF(OR(ISBLANK(C6150),C6150="",M6150=""),"In Progress",IF(M6150&lt;=J6150,"Met","Breached"))</f>
        <v>Breached</v>
      </c>
    </row>
    <row r="6151" ht="19" customHeight="1" spans="1:14" x14ac:dyDescent="0.25">
      <c r="A6151" s="22" t="s">
        <v>6265</v>
      </c>
      <c r="B6151" s="36">
        <v>45664.81111111111</v>
      </c>
      <c r="C6151" s="36">
        <v>45666.25486111111</v>
      </c>
      <c r="D6151" s="22" t="s">
        <v>33</v>
      </c>
      <c r="E6151" s="22" t="s">
        <v>65</v>
      </c>
      <c r="F6151" s="22" t="s">
        <v>37</v>
      </c>
      <c r="G6151" s="22" t="s">
        <v>116</v>
      </c>
      <c r="H6151" s="22" t="s">
        <v>59</v>
      </c>
      <c r="I6151" s="22" t="s">
        <v>117</v>
      </c>
      <c r="J6151" s="23">
        <v>48</v>
      </c>
      <c r="K6151" s="37">
        <v>0</v>
      </c>
      <c r="M6151" s="22">
        <f>IF(OR(ISBLANK(C6151),C6151=""),"",ROUND((C6151-B6151)*24,2))</f>
        <v>34.65</v>
      </c>
      <c r="N6151" s="40" t="str">
        <f>IF(OR(ISBLANK(C6151),C6151="",M6151=""),"In Progress",IF(M6151&lt;=J6151,"Met","Breached"))</f>
        <v>Met</v>
      </c>
    </row>
    <row r="6152" ht="19" customHeight="1" spans="1:14" x14ac:dyDescent="0.25">
      <c r="A6152" s="19" t="s">
        <v>6266</v>
      </c>
      <c r="B6152" s="33">
        <v>45931.044444444444</v>
      </c>
      <c r="D6152" s="19" t="s">
        <v>39</v>
      </c>
      <c r="E6152" s="19" t="s">
        <v>65</v>
      </c>
      <c r="F6152" s="19" t="s">
        <v>45</v>
      </c>
      <c r="G6152" s="19" t="s">
        <v>116</v>
      </c>
      <c r="H6152" s="19" t="s">
        <v>59</v>
      </c>
      <c r="I6152" s="19" t="s">
        <v>147</v>
      </c>
      <c r="J6152" s="20">
        <v>48</v>
      </c>
      <c r="K6152" s="34">
        <v>0</v>
      </c>
      <c r="M6152" s="19" t="str">
        <f>IF(OR(ISBLANK(C6152),C6152=""),"",ROUND((C6152-B6152)*24,2))</f>
        <v/>
      </c>
      <c r="N6152" s="19" t="str">
        <f>IF(OR(ISBLANK(C6152),C6152="",M6152=""),"In Progress",IF(M6152&lt;=J6152,"Met","Breached"))</f>
        <v>In Progress</v>
      </c>
    </row>
    <row r="6153" ht="19" customHeight="1" spans="1:14" x14ac:dyDescent="0.25">
      <c r="A6153" s="22" t="s">
        <v>6267</v>
      </c>
      <c r="B6153" s="36">
        <v>45895.55347222222</v>
      </c>
      <c r="C6153" s="36">
        <v>45895.81111111111</v>
      </c>
      <c r="D6153" s="22" t="s">
        <v>36</v>
      </c>
      <c r="E6153" s="22" t="s">
        <v>61</v>
      </c>
      <c r="F6153" s="22" t="s">
        <v>34</v>
      </c>
      <c r="G6153" s="22" t="s">
        <v>63</v>
      </c>
      <c r="H6153" s="22" t="s">
        <v>63</v>
      </c>
      <c r="I6153" s="22" t="s">
        <v>114</v>
      </c>
      <c r="J6153" s="23">
        <v>12</v>
      </c>
      <c r="K6153" s="37">
        <v>0</v>
      </c>
      <c r="L6153" s="37">
        <v>2</v>
      </c>
      <c r="M6153" s="22">
        <f>IF(OR(ISBLANK(C6153),C6153=""),"",ROUND((C6153-B6153)*24,2))</f>
        <v>6.18</v>
      </c>
      <c r="N6153" s="40" t="str">
        <f>IF(OR(ISBLANK(C6153),C6153="",M6153=""),"In Progress",IF(M6153&lt;=J6153,"Met","Breached"))</f>
        <v>Met</v>
      </c>
    </row>
    <row r="6154" ht="19" customHeight="1" spans="1:14" x14ac:dyDescent="0.25">
      <c r="A6154" s="19" t="s">
        <v>6268</v>
      </c>
      <c r="B6154" s="33">
        <v>45793.54375</v>
      </c>
      <c r="D6154" s="19" t="s">
        <v>42</v>
      </c>
      <c r="E6154" s="19" t="s">
        <v>65</v>
      </c>
      <c r="F6154" s="19" t="s">
        <v>45</v>
      </c>
      <c r="G6154" s="19" t="s">
        <v>121</v>
      </c>
      <c r="H6154" s="19" t="s">
        <v>63</v>
      </c>
      <c r="I6154" s="19" t="s">
        <v>111</v>
      </c>
      <c r="J6154" s="20">
        <v>48</v>
      </c>
      <c r="K6154" s="34">
        <v>0</v>
      </c>
      <c r="M6154" s="19" t="str">
        <f>IF(OR(ISBLANK(C6154),C6154=""),"",ROUND((C6154-B6154)*24,2))</f>
        <v/>
      </c>
      <c r="N6154" s="19" t="str">
        <f>IF(OR(ISBLANK(C6154),C6154="",M6154=""),"In Progress",IF(M6154&lt;=J6154,"Met","Breached"))</f>
        <v>In Progress</v>
      </c>
    </row>
    <row r="6155" ht="19" customHeight="1" spans="1:14" x14ac:dyDescent="0.25">
      <c r="A6155" s="22" t="s">
        <v>6269</v>
      </c>
      <c r="B6155" s="36">
        <v>45796.27777777778</v>
      </c>
      <c r="C6155" s="36">
        <v>45797.84236111111</v>
      </c>
      <c r="D6155" s="22" t="s">
        <v>33</v>
      </c>
      <c r="E6155" s="22" t="s">
        <v>65</v>
      </c>
      <c r="F6155" s="22" t="s">
        <v>45</v>
      </c>
      <c r="G6155" s="22" t="s">
        <v>126</v>
      </c>
      <c r="H6155" s="22" t="s">
        <v>59</v>
      </c>
      <c r="I6155" s="22" t="s">
        <v>114</v>
      </c>
      <c r="J6155" s="23">
        <v>48</v>
      </c>
      <c r="K6155" s="37">
        <v>0</v>
      </c>
      <c r="L6155" s="37">
        <v>1</v>
      </c>
      <c r="M6155" s="22">
        <f>IF(OR(ISBLANK(C6155),C6155=""),"",ROUND((C6155-B6155)*24,2))</f>
        <v>37.55</v>
      </c>
      <c r="N6155" s="40" t="str">
        <f>IF(OR(ISBLANK(C6155),C6155="",M6155=""),"In Progress",IF(M6155&lt;=J6155,"Met","Breached"))</f>
        <v>Met</v>
      </c>
    </row>
    <row r="6156" ht="19" customHeight="1" spans="1:14" x14ac:dyDescent="0.25">
      <c r="A6156" s="19" t="s">
        <v>6270</v>
      </c>
      <c r="B6156" s="33">
        <v>45952.05416666667</v>
      </c>
      <c r="C6156" s="33">
        <v>45956.56041666667</v>
      </c>
      <c r="D6156" s="19" t="s">
        <v>33</v>
      </c>
      <c r="E6156" s="19" t="s">
        <v>69</v>
      </c>
      <c r="F6156" s="19" t="s">
        <v>37</v>
      </c>
      <c r="G6156" s="19" t="s">
        <v>126</v>
      </c>
      <c r="H6156" s="19" t="s">
        <v>63</v>
      </c>
      <c r="I6156" s="19" t="s">
        <v>147</v>
      </c>
      <c r="J6156" s="20">
        <v>120</v>
      </c>
      <c r="K6156" s="34">
        <v>0</v>
      </c>
      <c r="L6156" s="34">
        <v>3</v>
      </c>
      <c r="M6156" s="19">
        <f>IF(OR(ISBLANK(C6156),C6156=""),"",ROUND((C6156-B6156)*24,2))</f>
        <v>108.15</v>
      </c>
      <c r="N6156" s="35" t="str">
        <f>IF(OR(ISBLANK(C6156),C6156="",M6156=""),"In Progress",IF(M6156&lt;=J6156,"Met","Breached"))</f>
        <v>Met</v>
      </c>
    </row>
    <row r="6157" ht="19" customHeight="1" spans="1:14" x14ac:dyDescent="0.25">
      <c r="A6157" s="22" t="s">
        <v>6271</v>
      </c>
      <c r="B6157" s="36">
        <v>46238.64791666667</v>
      </c>
      <c r="C6157" s="36">
        <v>46247.006944444445</v>
      </c>
      <c r="D6157" s="22" t="s">
        <v>33</v>
      </c>
      <c r="E6157" s="22" t="s">
        <v>69</v>
      </c>
      <c r="F6157" s="22" t="s">
        <v>37</v>
      </c>
      <c r="G6157" s="22" t="s">
        <v>113</v>
      </c>
      <c r="H6157" s="22" t="s">
        <v>59</v>
      </c>
      <c r="I6157" s="22" t="s">
        <v>147</v>
      </c>
      <c r="J6157" s="23">
        <v>120</v>
      </c>
      <c r="K6157" s="37">
        <v>0</v>
      </c>
      <c r="M6157" s="22">
        <f>IF(OR(ISBLANK(C6157),C6157=""),"",ROUND((C6157-B6157)*24,2))</f>
        <v>200.62</v>
      </c>
      <c r="N6157" s="38" t="str">
        <f>IF(OR(ISBLANK(C6157),C6157="",M6157=""),"In Progress",IF(M6157&lt;=J6157,"Met","Breached"))</f>
        <v>Breached</v>
      </c>
    </row>
    <row r="6158" ht="19" customHeight="1" spans="1:14" x14ac:dyDescent="0.25">
      <c r="A6158" s="19" t="s">
        <v>6272</v>
      </c>
      <c r="B6158" s="33">
        <v>45770.36458333333</v>
      </c>
      <c r="C6158" s="33">
        <v>45777.35416666667</v>
      </c>
      <c r="D6158" s="19" t="s">
        <v>33</v>
      </c>
      <c r="E6158" s="19" t="s">
        <v>69</v>
      </c>
      <c r="F6158" s="19" t="s">
        <v>40</v>
      </c>
      <c r="G6158" s="19" t="s">
        <v>113</v>
      </c>
      <c r="H6158" s="19" t="s">
        <v>59</v>
      </c>
      <c r="I6158" s="19" t="s">
        <v>108</v>
      </c>
      <c r="J6158" s="20">
        <v>120</v>
      </c>
      <c r="K6158" s="34">
        <v>0</v>
      </c>
      <c r="L6158" s="34">
        <v>2</v>
      </c>
      <c r="M6158" s="19">
        <f>IF(OR(ISBLANK(C6158),C6158=""),"",ROUND((C6158-B6158)*24,2))</f>
        <v>167.75</v>
      </c>
      <c r="N6158" s="39" t="str">
        <f>IF(OR(ISBLANK(C6158),C6158="",M6158=""),"In Progress",IF(M6158&lt;=J6158,"Met","Breached"))</f>
        <v>Breached</v>
      </c>
    </row>
    <row r="6159" ht="19" customHeight="1" spans="1:14" x14ac:dyDescent="0.25">
      <c r="A6159" s="22" t="s">
        <v>6273</v>
      </c>
      <c r="B6159" s="36">
        <v>45735.049305555556</v>
      </c>
      <c r="C6159" s="36">
        <v>45737.47222222222</v>
      </c>
      <c r="D6159" s="22" t="s">
        <v>33</v>
      </c>
      <c r="E6159" s="22" t="s">
        <v>65</v>
      </c>
      <c r="F6159" s="22" t="s">
        <v>37</v>
      </c>
      <c r="G6159" s="22" t="s">
        <v>126</v>
      </c>
      <c r="H6159" s="22" t="s">
        <v>67</v>
      </c>
      <c r="I6159" s="22" t="s">
        <v>114</v>
      </c>
      <c r="J6159" s="23">
        <v>48</v>
      </c>
      <c r="K6159" s="37">
        <v>0</v>
      </c>
      <c r="M6159" s="22">
        <f>IF(OR(ISBLANK(C6159),C6159=""),"",ROUND((C6159-B6159)*24,2))</f>
        <v>58.15</v>
      </c>
      <c r="N6159" s="38" t="str">
        <f>IF(OR(ISBLANK(C6159),C6159="",M6159=""),"In Progress",IF(M6159&lt;=J6159,"Met","Breached"))</f>
        <v>Breached</v>
      </c>
    </row>
    <row r="6160" ht="19" customHeight="1" spans="1:14" x14ac:dyDescent="0.25">
      <c r="A6160" s="19" t="s">
        <v>6274</v>
      </c>
      <c r="B6160" s="33">
        <v>45859.631944444445</v>
      </c>
      <c r="C6160" s="33">
        <v>45862.73611111111</v>
      </c>
      <c r="D6160" s="19" t="s">
        <v>33</v>
      </c>
      <c r="E6160" s="19" t="s">
        <v>65</v>
      </c>
      <c r="F6160" s="19" t="s">
        <v>45</v>
      </c>
      <c r="G6160" s="19" t="s">
        <v>116</v>
      </c>
      <c r="H6160" s="19" t="s">
        <v>63</v>
      </c>
      <c r="I6160" s="19" t="s">
        <v>111</v>
      </c>
      <c r="J6160" s="20">
        <v>48</v>
      </c>
      <c r="K6160" s="34">
        <v>0</v>
      </c>
      <c r="L6160" s="34">
        <v>2</v>
      </c>
      <c r="M6160" s="19">
        <f>IF(OR(ISBLANK(C6160),C6160=""),"",ROUND((C6160-B6160)*24,2))</f>
        <v>74.5</v>
      </c>
      <c r="N6160" s="39" t="str">
        <f>IF(OR(ISBLANK(C6160),C6160="",M6160=""),"In Progress",IF(M6160&lt;=J6160,"Met","Breached"))</f>
        <v>Breached</v>
      </c>
    </row>
    <row r="6161" ht="19" customHeight="1" spans="1:14" x14ac:dyDescent="0.25">
      <c r="A6161" s="22" t="s">
        <v>6275</v>
      </c>
      <c r="B6161" s="36">
        <v>46259.91805555555</v>
      </c>
      <c r="D6161" s="22" t="s">
        <v>42</v>
      </c>
      <c r="E6161" s="22" t="s">
        <v>61</v>
      </c>
      <c r="F6161" s="22" t="s">
        <v>40</v>
      </c>
      <c r="G6161" s="22" t="s">
        <v>113</v>
      </c>
      <c r="H6161" s="22" t="s">
        <v>59</v>
      </c>
      <c r="I6161" s="22" t="s">
        <v>108</v>
      </c>
      <c r="J6161" s="23">
        <v>12</v>
      </c>
      <c r="K6161" s="37">
        <v>0</v>
      </c>
      <c r="M6161" s="22" t="str">
        <f>IF(OR(ISBLANK(C6161),C6161=""),"",ROUND((C6161-B6161)*24,2))</f>
        <v/>
      </c>
      <c r="N6161" s="22" t="str">
        <f>IF(OR(ISBLANK(C6161),C6161="",M6161=""),"In Progress",IF(M6161&lt;=J6161,"Met","Breached"))</f>
        <v>In Progress</v>
      </c>
    </row>
    <row r="6162" ht="19" customHeight="1" spans="1:14" x14ac:dyDescent="0.25">
      <c r="A6162" s="19" t="s">
        <v>6276</v>
      </c>
      <c r="B6162" s="33">
        <v>45662.80694444444</v>
      </c>
      <c r="D6162" s="19" t="s">
        <v>39</v>
      </c>
      <c r="E6162" s="19" t="s">
        <v>61</v>
      </c>
      <c r="F6162" s="19" t="s">
        <v>37</v>
      </c>
      <c r="G6162" s="19" t="s">
        <v>63</v>
      </c>
      <c r="H6162" s="19" t="s">
        <v>67</v>
      </c>
      <c r="I6162" s="19" t="s">
        <v>123</v>
      </c>
      <c r="J6162" s="20">
        <v>12</v>
      </c>
      <c r="K6162" s="34">
        <v>0</v>
      </c>
      <c r="M6162" s="19" t="str">
        <f>IF(OR(ISBLANK(C6162),C6162=""),"",ROUND((C6162-B6162)*24,2))</f>
        <v/>
      </c>
      <c r="N6162" s="19" t="str">
        <f>IF(OR(ISBLANK(C6162),C6162="",M6162=""),"In Progress",IF(M6162&lt;=J6162,"Met","Breached"))</f>
        <v>In Progress</v>
      </c>
    </row>
    <row r="6163" ht="19" customHeight="1" spans="1:14" x14ac:dyDescent="0.25">
      <c r="A6163" s="22" t="s">
        <v>6277</v>
      </c>
      <c r="B6163" s="36">
        <v>45678.40347222222</v>
      </c>
      <c r="D6163" s="22" t="s">
        <v>39</v>
      </c>
      <c r="E6163" s="22" t="s">
        <v>65</v>
      </c>
      <c r="F6163" s="22" t="s">
        <v>45</v>
      </c>
      <c r="G6163" s="22" t="s">
        <v>126</v>
      </c>
      <c r="H6163" s="22" t="s">
        <v>63</v>
      </c>
      <c r="I6163" s="22" t="s">
        <v>147</v>
      </c>
      <c r="J6163" s="23">
        <v>48</v>
      </c>
      <c r="K6163" s="37">
        <v>0</v>
      </c>
      <c r="M6163" s="22" t="str">
        <f>IF(OR(ISBLANK(C6163),C6163=""),"",ROUND((C6163-B6163)*24,2))</f>
        <v/>
      </c>
      <c r="N6163" s="22" t="str">
        <f>IF(OR(ISBLANK(C6163),C6163="",M6163=""),"In Progress",IF(M6163&lt;=J6163,"Met","Breached"))</f>
        <v>In Progress</v>
      </c>
    </row>
    <row r="6164" ht="19" customHeight="1" spans="1:14" x14ac:dyDescent="0.25">
      <c r="A6164" s="19" t="s">
        <v>6278</v>
      </c>
      <c r="B6164" s="33">
        <v>46260.59513888889</v>
      </c>
      <c r="D6164" s="19" t="s">
        <v>42</v>
      </c>
      <c r="E6164" s="19" t="s">
        <v>65</v>
      </c>
      <c r="F6164" s="19" t="s">
        <v>45</v>
      </c>
      <c r="G6164" s="19" t="s">
        <v>116</v>
      </c>
      <c r="H6164" s="19" t="s">
        <v>63</v>
      </c>
      <c r="I6164" s="19" t="s">
        <v>111</v>
      </c>
      <c r="J6164" s="20">
        <v>48</v>
      </c>
      <c r="K6164" s="34">
        <v>0</v>
      </c>
      <c r="M6164" s="19" t="str">
        <f>IF(OR(ISBLANK(C6164),C6164=""),"",ROUND((C6164-B6164)*24,2))</f>
        <v/>
      </c>
      <c r="N6164" s="19" t="str">
        <f>IF(OR(ISBLANK(C6164),C6164="",M6164=""),"In Progress",IF(M6164&lt;=J6164,"Met","Breached"))</f>
        <v>In Progress</v>
      </c>
    </row>
    <row r="6165" ht="19" customHeight="1" spans="1:14" x14ac:dyDescent="0.25">
      <c r="A6165" s="22" t="s">
        <v>6279</v>
      </c>
      <c r="B6165" s="36">
        <v>46093.25555555556</v>
      </c>
      <c r="D6165" s="22" t="s">
        <v>39</v>
      </c>
      <c r="E6165" s="22" t="s">
        <v>65</v>
      </c>
      <c r="F6165" s="22" t="s">
        <v>43</v>
      </c>
      <c r="G6165" s="22" t="s">
        <v>110</v>
      </c>
      <c r="H6165" s="22" t="s">
        <v>59</v>
      </c>
      <c r="I6165" s="22" t="s">
        <v>147</v>
      </c>
      <c r="J6165" s="23">
        <v>48</v>
      </c>
      <c r="K6165" s="37">
        <v>0</v>
      </c>
      <c r="M6165" s="22" t="str">
        <f>IF(OR(ISBLANK(C6165),C6165=""),"",ROUND((C6165-B6165)*24,2))</f>
        <v/>
      </c>
      <c r="N6165" s="22" t="str">
        <f>IF(OR(ISBLANK(C6165),C6165="",M6165=""),"In Progress",IF(M6165&lt;=J6165,"Met","Breached"))</f>
        <v>In Progress</v>
      </c>
    </row>
    <row r="6166" ht="19" customHeight="1" spans="1:14" x14ac:dyDescent="0.25">
      <c r="A6166" s="19" t="s">
        <v>6280</v>
      </c>
      <c r="B6166" s="33">
        <v>45787.68263888889</v>
      </c>
      <c r="C6166" s="33">
        <v>45788.96805555555</v>
      </c>
      <c r="D6166" s="19" t="s">
        <v>33</v>
      </c>
      <c r="E6166" s="19" t="s">
        <v>65</v>
      </c>
      <c r="F6166" s="19" t="s">
        <v>34</v>
      </c>
      <c r="G6166" s="19" t="s">
        <v>110</v>
      </c>
      <c r="H6166" s="19" t="s">
        <v>59</v>
      </c>
      <c r="I6166" s="19" t="s">
        <v>123</v>
      </c>
      <c r="J6166" s="20">
        <v>48</v>
      </c>
      <c r="K6166" s="34">
        <v>0</v>
      </c>
      <c r="L6166" s="34">
        <v>5</v>
      </c>
      <c r="M6166" s="19">
        <f>IF(OR(ISBLANK(C6166),C6166=""),"",ROUND((C6166-B6166)*24,2))</f>
        <v>30.85</v>
      </c>
      <c r="N6166" s="35" t="str">
        <f>IF(OR(ISBLANK(C6166),C6166="",M6166=""),"In Progress",IF(M6166&lt;=J6166,"Met","Breached"))</f>
        <v>Met</v>
      </c>
    </row>
    <row r="6167" ht="19" customHeight="1" spans="1:14" x14ac:dyDescent="0.25">
      <c r="A6167" s="22" t="s">
        <v>6281</v>
      </c>
      <c r="B6167" s="36">
        <v>46076.86319444445</v>
      </c>
      <c r="C6167" s="36">
        <v>46080.19236111111</v>
      </c>
      <c r="D6167" s="22" t="s">
        <v>33</v>
      </c>
      <c r="E6167" s="22" t="s">
        <v>65</v>
      </c>
      <c r="F6167" s="22" t="s">
        <v>34</v>
      </c>
      <c r="G6167" s="22" t="s">
        <v>113</v>
      </c>
      <c r="H6167" s="22" t="s">
        <v>59</v>
      </c>
      <c r="I6167" s="22" t="s">
        <v>147</v>
      </c>
      <c r="J6167" s="23">
        <v>48</v>
      </c>
      <c r="K6167" s="37">
        <v>0</v>
      </c>
      <c r="L6167" s="37">
        <v>5</v>
      </c>
      <c r="M6167" s="22">
        <f>IF(OR(ISBLANK(C6167),C6167=""),"",ROUND((C6167-B6167)*24,2))</f>
        <v>79.9</v>
      </c>
      <c r="N6167" s="38" t="str">
        <f>IF(OR(ISBLANK(C6167),C6167="",M6167=""),"In Progress",IF(M6167&lt;=J6167,"Met","Breached"))</f>
        <v>Breached</v>
      </c>
    </row>
    <row r="6168" ht="19" customHeight="1" spans="1:14" x14ac:dyDescent="0.25">
      <c r="A6168" s="19" t="s">
        <v>6282</v>
      </c>
      <c r="B6168" s="33">
        <v>46024.3</v>
      </c>
      <c r="D6168" s="19" t="s">
        <v>39</v>
      </c>
      <c r="E6168" s="19" t="s">
        <v>65</v>
      </c>
      <c r="F6168" s="19" t="s">
        <v>37</v>
      </c>
      <c r="G6168" s="19" t="s">
        <v>126</v>
      </c>
      <c r="H6168" s="19" t="s">
        <v>67</v>
      </c>
      <c r="I6168" s="19" t="s">
        <v>108</v>
      </c>
      <c r="J6168" s="20">
        <v>48</v>
      </c>
      <c r="K6168" s="34">
        <v>0</v>
      </c>
      <c r="M6168" s="19" t="str">
        <f>IF(OR(ISBLANK(C6168),C6168=""),"",ROUND((C6168-B6168)*24,2))</f>
        <v/>
      </c>
      <c r="N6168" s="19" t="str">
        <f>IF(OR(ISBLANK(C6168),C6168="",M6168=""),"In Progress",IF(M6168&lt;=J6168,"Met","Breached"))</f>
        <v>In Progress</v>
      </c>
    </row>
    <row r="6169" ht="19" customHeight="1" spans="1:14" x14ac:dyDescent="0.25">
      <c r="A6169" s="22" t="s">
        <v>6283</v>
      </c>
      <c r="B6169" s="36">
        <v>46245.95763888889</v>
      </c>
      <c r="D6169" s="22" t="s">
        <v>39</v>
      </c>
      <c r="E6169" s="22" t="s">
        <v>61</v>
      </c>
      <c r="F6169" s="22" t="s">
        <v>34</v>
      </c>
      <c r="G6169" s="22" t="s">
        <v>63</v>
      </c>
      <c r="H6169" s="22" t="s">
        <v>59</v>
      </c>
      <c r="I6169" s="22" t="s">
        <v>123</v>
      </c>
      <c r="J6169" s="23">
        <v>12</v>
      </c>
      <c r="K6169" s="37">
        <v>0</v>
      </c>
      <c r="M6169" s="22" t="str">
        <f>IF(OR(ISBLANK(C6169),C6169=""),"",ROUND((C6169-B6169)*24,2))</f>
        <v/>
      </c>
      <c r="N6169" s="22" t="str">
        <f>IF(OR(ISBLANK(C6169),C6169="",M6169=""),"In Progress",IF(M6169&lt;=J6169,"Met","Breached"))</f>
        <v>In Progress</v>
      </c>
    </row>
    <row r="6170" ht="19" customHeight="1" spans="1:14" x14ac:dyDescent="0.25">
      <c r="A6170" s="19" t="s">
        <v>6284</v>
      </c>
      <c r="B6170" s="33">
        <v>45947.03333333333</v>
      </c>
      <c r="D6170" s="19" t="s">
        <v>39</v>
      </c>
      <c r="E6170" s="19" t="s">
        <v>65</v>
      </c>
      <c r="F6170" s="19" t="s">
        <v>34</v>
      </c>
      <c r="G6170" s="19" t="s">
        <v>121</v>
      </c>
      <c r="H6170" s="19" t="s">
        <v>71</v>
      </c>
      <c r="I6170" s="19" t="s">
        <v>117</v>
      </c>
      <c r="J6170" s="20">
        <v>48</v>
      </c>
      <c r="K6170" s="34">
        <v>0</v>
      </c>
      <c r="M6170" s="19" t="str">
        <f>IF(OR(ISBLANK(C6170),C6170=""),"",ROUND((C6170-B6170)*24,2))</f>
        <v/>
      </c>
      <c r="N6170" s="19" t="str">
        <f>IF(OR(ISBLANK(C6170),C6170="",M6170=""),"In Progress",IF(M6170&lt;=J6170,"Met","Breached"))</f>
        <v>In Progress</v>
      </c>
    </row>
    <row r="6171" ht="19" customHeight="1" spans="1:14" x14ac:dyDescent="0.25">
      <c r="A6171" s="22" t="s">
        <v>6285</v>
      </c>
      <c r="B6171" s="36">
        <v>46231.28263888889</v>
      </c>
      <c r="D6171" s="22" t="s">
        <v>39</v>
      </c>
      <c r="E6171" s="22" t="s">
        <v>69</v>
      </c>
      <c r="F6171" s="22" t="s">
        <v>40</v>
      </c>
      <c r="G6171" s="22" t="s">
        <v>110</v>
      </c>
      <c r="H6171" s="22" t="s">
        <v>59</v>
      </c>
      <c r="I6171" s="22" t="s">
        <v>117</v>
      </c>
      <c r="J6171" s="23">
        <v>120</v>
      </c>
      <c r="K6171" s="37">
        <v>0</v>
      </c>
      <c r="M6171" s="22" t="str">
        <f>IF(OR(ISBLANK(C6171),C6171=""),"",ROUND((C6171-B6171)*24,2))</f>
        <v/>
      </c>
      <c r="N6171" s="22" t="str">
        <f>IF(OR(ISBLANK(C6171),C6171="",M6171=""),"In Progress",IF(M6171&lt;=J6171,"Met","Breached"))</f>
        <v>In Progress</v>
      </c>
    </row>
    <row r="6172" ht="19" customHeight="1" spans="1:14" x14ac:dyDescent="0.25">
      <c r="A6172" s="19" t="s">
        <v>6286</v>
      </c>
      <c r="B6172" s="33">
        <v>46072.26388888889</v>
      </c>
      <c r="C6172" s="33">
        <v>46072.96597222222</v>
      </c>
      <c r="D6172" s="19" t="s">
        <v>36</v>
      </c>
      <c r="E6172" s="19" t="s">
        <v>61</v>
      </c>
      <c r="F6172" s="19" t="s">
        <v>34</v>
      </c>
      <c r="G6172" s="19" t="s">
        <v>126</v>
      </c>
      <c r="H6172" s="19" t="s">
        <v>59</v>
      </c>
      <c r="I6172" s="19" t="s">
        <v>114</v>
      </c>
      <c r="J6172" s="20">
        <v>12</v>
      </c>
      <c r="K6172" s="34">
        <v>0</v>
      </c>
      <c r="L6172" s="34">
        <v>2</v>
      </c>
      <c r="M6172" s="19">
        <f>IF(OR(ISBLANK(C6172),C6172=""),"",ROUND((C6172-B6172)*24,2))</f>
        <v>16.85</v>
      </c>
      <c r="N6172" s="39" t="str">
        <f>IF(OR(ISBLANK(C6172),C6172="",M6172=""),"In Progress",IF(M6172&lt;=J6172,"Met","Breached"))</f>
        <v>Breached</v>
      </c>
    </row>
    <row r="6173" ht="19" customHeight="1" spans="1:14" x14ac:dyDescent="0.25">
      <c r="A6173" s="22" t="s">
        <v>6287</v>
      </c>
      <c r="B6173" s="36">
        <v>45774.09513888889</v>
      </c>
      <c r="C6173" s="36">
        <v>45775.273611111115</v>
      </c>
      <c r="D6173" s="22" t="s">
        <v>33</v>
      </c>
      <c r="E6173" s="22" t="s">
        <v>65</v>
      </c>
      <c r="F6173" s="22" t="s">
        <v>45</v>
      </c>
      <c r="G6173" s="22" t="s">
        <v>116</v>
      </c>
      <c r="H6173" s="22" t="s">
        <v>59</v>
      </c>
      <c r="I6173" s="22" t="s">
        <v>108</v>
      </c>
      <c r="J6173" s="23">
        <v>48</v>
      </c>
      <c r="K6173" s="37">
        <v>0</v>
      </c>
      <c r="L6173" s="37">
        <v>4</v>
      </c>
      <c r="M6173" s="22">
        <f>IF(OR(ISBLANK(C6173),C6173=""),"",ROUND((C6173-B6173)*24,2))</f>
        <v>28.28</v>
      </c>
      <c r="N6173" s="40" t="str">
        <f>IF(OR(ISBLANK(C6173),C6173="",M6173=""),"In Progress",IF(M6173&lt;=J6173,"Met","Breached"))</f>
        <v>Met</v>
      </c>
    </row>
    <row r="6174" ht="19" customHeight="1" spans="1:14" x14ac:dyDescent="0.25">
      <c r="A6174" s="19" t="s">
        <v>6288</v>
      </c>
      <c r="B6174" s="33">
        <v>45775.875</v>
      </c>
      <c r="D6174" s="19" t="s">
        <v>39</v>
      </c>
      <c r="E6174" s="19" t="s">
        <v>61</v>
      </c>
      <c r="F6174" s="19" t="s">
        <v>40</v>
      </c>
      <c r="G6174" s="19" t="s">
        <v>63</v>
      </c>
      <c r="H6174" s="19" t="s">
        <v>63</v>
      </c>
      <c r="I6174" s="19" t="s">
        <v>111</v>
      </c>
      <c r="J6174" s="20">
        <v>12</v>
      </c>
      <c r="K6174" s="34">
        <v>0</v>
      </c>
      <c r="M6174" s="19" t="str">
        <f>IF(OR(ISBLANK(C6174),C6174=""),"",ROUND((C6174-B6174)*24,2))</f>
        <v/>
      </c>
      <c r="N6174" s="19" t="str">
        <f>IF(OR(ISBLANK(C6174),C6174="",M6174=""),"In Progress",IF(M6174&lt;=J6174,"Met","Breached"))</f>
        <v>In Progress</v>
      </c>
    </row>
    <row r="6175" ht="19" customHeight="1" spans="1:14" x14ac:dyDescent="0.25">
      <c r="A6175" s="22" t="s">
        <v>6289</v>
      </c>
      <c r="B6175" s="36">
        <v>45901.30347222222</v>
      </c>
      <c r="D6175" s="22" t="s">
        <v>39</v>
      </c>
      <c r="E6175" s="22" t="s">
        <v>65</v>
      </c>
      <c r="F6175" s="22" t="s">
        <v>40</v>
      </c>
      <c r="G6175" s="22" t="s">
        <v>116</v>
      </c>
      <c r="H6175" s="22" t="s">
        <v>71</v>
      </c>
      <c r="I6175" s="22" t="s">
        <v>111</v>
      </c>
      <c r="J6175" s="23">
        <v>48</v>
      </c>
      <c r="K6175" s="37">
        <v>0</v>
      </c>
      <c r="M6175" s="22" t="str">
        <f>IF(OR(ISBLANK(C6175),C6175=""),"",ROUND((C6175-B6175)*24,2))</f>
        <v/>
      </c>
      <c r="N6175" s="22" t="str">
        <f>IF(OR(ISBLANK(C6175),C6175="",M6175=""),"In Progress",IF(M6175&lt;=J6175,"Met","Breached"))</f>
        <v>In Progress</v>
      </c>
    </row>
    <row r="6176" ht="19" customHeight="1" spans="1:14" x14ac:dyDescent="0.25">
      <c r="A6176" s="19" t="s">
        <v>6290</v>
      </c>
      <c r="B6176" s="33">
        <v>46168.18888888889</v>
      </c>
      <c r="D6176" s="19" t="s">
        <v>39</v>
      </c>
      <c r="E6176" s="19" t="s">
        <v>61</v>
      </c>
      <c r="F6176" s="19" t="s">
        <v>40</v>
      </c>
      <c r="G6176" s="19" t="s">
        <v>63</v>
      </c>
      <c r="H6176" s="19" t="s">
        <v>71</v>
      </c>
      <c r="I6176" s="19" t="s">
        <v>147</v>
      </c>
      <c r="J6176" s="20">
        <v>12</v>
      </c>
      <c r="K6176" s="34">
        <v>0</v>
      </c>
      <c r="M6176" s="19" t="str">
        <f>IF(OR(ISBLANK(C6176),C6176=""),"",ROUND((C6176-B6176)*24,2))</f>
        <v/>
      </c>
      <c r="N6176" s="19" t="str">
        <f>IF(OR(ISBLANK(C6176),C6176="",M6176=""),"In Progress",IF(M6176&lt;=J6176,"Met","Breached"))</f>
        <v>In Progress</v>
      </c>
    </row>
    <row r="6177" ht="19" customHeight="1" spans="1:14" x14ac:dyDescent="0.25">
      <c r="A6177" s="22" t="s">
        <v>6291</v>
      </c>
      <c r="B6177" s="36">
        <v>46100.32361111111</v>
      </c>
      <c r="D6177" s="22" t="s">
        <v>39</v>
      </c>
      <c r="E6177" s="22" t="s">
        <v>61</v>
      </c>
      <c r="F6177" s="22" t="s">
        <v>43</v>
      </c>
      <c r="G6177" s="22" t="s">
        <v>116</v>
      </c>
      <c r="H6177" s="22" t="s">
        <v>71</v>
      </c>
      <c r="I6177" s="22" t="s">
        <v>123</v>
      </c>
      <c r="J6177" s="23">
        <v>12</v>
      </c>
      <c r="K6177" s="37">
        <v>0</v>
      </c>
      <c r="M6177" s="22" t="str">
        <f>IF(OR(ISBLANK(C6177),C6177=""),"",ROUND((C6177-B6177)*24,2))</f>
        <v/>
      </c>
      <c r="N6177" s="22" t="str">
        <f>IF(OR(ISBLANK(C6177),C6177="",M6177=""),"In Progress",IF(M6177&lt;=J6177,"Met","Breached"))</f>
        <v>In Progress</v>
      </c>
    </row>
    <row r="6178" ht="19" customHeight="1" spans="1:14" x14ac:dyDescent="0.25">
      <c r="A6178" s="19" t="s">
        <v>6292</v>
      </c>
      <c r="B6178" s="33">
        <v>45959.51597222222</v>
      </c>
      <c r="C6178" s="33">
        <v>45962.36458333333</v>
      </c>
      <c r="D6178" s="19" t="s">
        <v>33</v>
      </c>
      <c r="E6178" s="19" t="s">
        <v>65</v>
      </c>
      <c r="F6178" s="19" t="s">
        <v>43</v>
      </c>
      <c r="G6178" s="19" t="s">
        <v>113</v>
      </c>
      <c r="H6178" s="19" t="s">
        <v>59</v>
      </c>
      <c r="I6178" s="19" t="s">
        <v>111</v>
      </c>
      <c r="J6178" s="20">
        <v>48</v>
      </c>
      <c r="K6178" s="34">
        <v>0</v>
      </c>
      <c r="M6178" s="19">
        <f>IF(OR(ISBLANK(C6178),C6178=""),"",ROUND((C6178-B6178)*24,2))</f>
        <v>68.37</v>
      </c>
      <c r="N6178" s="39" t="str">
        <f>IF(OR(ISBLANK(C6178),C6178="",M6178=""),"In Progress",IF(M6178&lt;=J6178,"Met","Breached"))</f>
        <v>Breached</v>
      </c>
    </row>
    <row r="6179" ht="19" customHeight="1" spans="1:14" x14ac:dyDescent="0.25">
      <c r="A6179" s="22" t="s">
        <v>6293</v>
      </c>
      <c r="B6179" s="36">
        <v>46044.46805555555</v>
      </c>
      <c r="D6179" s="22" t="s">
        <v>42</v>
      </c>
      <c r="E6179" s="22" t="s">
        <v>69</v>
      </c>
      <c r="F6179" s="22" t="s">
        <v>43</v>
      </c>
      <c r="G6179" s="22" t="s">
        <v>113</v>
      </c>
      <c r="H6179" s="22" t="s">
        <v>71</v>
      </c>
      <c r="I6179" s="22" t="s">
        <v>114</v>
      </c>
      <c r="J6179" s="23">
        <v>120</v>
      </c>
      <c r="K6179" s="37">
        <v>0</v>
      </c>
      <c r="M6179" s="22" t="str">
        <f>IF(OR(ISBLANK(C6179),C6179=""),"",ROUND((C6179-B6179)*24,2))</f>
        <v/>
      </c>
      <c r="N6179" s="22" t="str">
        <f>IF(OR(ISBLANK(C6179),C6179="",M6179=""),"In Progress",IF(M6179&lt;=J6179,"Met","Breached"))</f>
        <v>In Progress</v>
      </c>
    </row>
    <row r="6180" ht="19" customHeight="1" spans="1:14" x14ac:dyDescent="0.25">
      <c r="A6180" s="19" t="s">
        <v>6294</v>
      </c>
      <c r="B6180" s="33">
        <v>46128.086805555555</v>
      </c>
      <c r="C6180" s="33">
        <v>46130.382638888885</v>
      </c>
      <c r="D6180" s="19" t="s">
        <v>33</v>
      </c>
      <c r="E6180" s="19" t="s">
        <v>65</v>
      </c>
      <c r="F6180" s="19" t="s">
        <v>45</v>
      </c>
      <c r="G6180" s="19" t="s">
        <v>110</v>
      </c>
      <c r="H6180" s="19" t="s">
        <v>63</v>
      </c>
      <c r="I6180" s="19" t="s">
        <v>123</v>
      </c>
      <c r="J6180" s="20">
        <v>48</v>
      </c>
      <c r="K6180" s="34">
        <v>0</v>
      </c>
      <c r="L6180" s="34">
        <v>5</v>
      </c>
      <c r="M6180" s="19">
        <f>IF(OR(ISBLANK(C6180),C6180=""),"",ROUND((C6180-B6180)*24,2))</f>
        <v>55.1</v>
      </c>
      <c r="N6180" s="39" t="str">
        <f>IF(OR(ISBLANK(C6180),C6180="",M6180=""),"In Progress",IF(M6180&lt;=J6180,"Met","Breached"))</f>
        <v>Breached</v>
      </c>
    </row>
    <row r="6181" ht="19" customHeight="1" spans="1:14" x14ac:dyDescent="0.25">
      <c r="A6181" s="22" t="s">
        <v>6295</v>
      </c>
      <c r="B6181" s="36">
        <v>46140.96597222222</v>
      </c>
      <c r="C6181" s="36">
        <v>46141.308333333334</v>
      </c>
      <c r="D6181" s="22" t="s">
        <v>33</v>
      </c>
      <c r="E6181" s="22" t="s">
        <v>61</v>
      </c>
      <c r="F6181" s="22" t="s">
        <v>37</v>
      </c>
      <c r="G6181" s="22" t="s">
        <v>110</v>
      </c>
      <c r="H6181" s="22" t="s">
        <v>59</v>
      </c>
      <c r="I6181" s="22" t="s">
        <v>117</v>
      </c>
      <c r="J6181" s="23">
        <v>12</v>
      </c>
      <c r="K6181" s="37">
        <v>0</v>
      </c>
      <c r="L6181" s="37">
        <v>2</v>
      </c>
      <c r="M6181" s="22">
        <f>IF(OR(ISBLANK(C6181),C6181=""),"",ROUND((C6181-B6181)*24,2))</f>
        <v>8.22</v>
      </c>
      <c r="N6181" s="40" t="str">
        <f>IF(OR(ISBLANK(C6181),C6181="",M6181=""),"In Progress",IF(M6181&lt;=J6181,"Met","Breached"))</f>
        <v>Met</v>
      </c>
    </row>
    <row r="6182" ht="19" customHeight="1" spans="1:14" x14ac:dyDescent="0.25">
      <c r="A6182" s="19" t="s">
        <v>6296</v>
      </c>
      <c r="B6182" s="33">
        <v>46099.00902777778</v>
      </c>
      <c r="C6182" s="33">
        <v>46099.302777777775</v>
      </c>
      <c r="D6182" s="19" t="s">
        <v>33</v>
      </c>
      <c r="E6182" s="19" t="s">
        <v>57</v>
      </c>
      <c r="F6182" s="19" t="s">
        <v>37</v>
      </c>
      <c r="G6182" s="19" t="s">
        <v>121</v>
      </c>
      <c r="H6182" s="19" t="s">
        <v>59</v>
      </c>
      <c r="I6182" s="19" t="s">
        <v>111</v>
      </c>
      <c r="J6182" s="20">
        <v>4</v>
      </c>
      <c r="K6182" s="34">
        <v>0</v>
      </c>
      <c r="L6182" s="34">
        <v>1</v>
      </c>
      <c r="M6182" s="19">
        <f>IF(OR(ISBLANK(C6182),C6182=""),"",ROUND((C6182-B6182)*24,2))</f>
        <v>7.05</v>
      </c>
      <c r="N6182" s="39" t="str">
        <f>IF(OR(ISBLANK(C6182),C6182="",M6182=""),"In Progress",IF(M6182&lt;=J6182,"Met","Breached"))</f>
        <v>Breached</v>
      </c>
    </row>
    <row r="6183" ht="19" customHeight="1" spans="1:14" x14ac:dyDescent="0.25">
      <c r="A6183" s="22" t="s">
        <v>6297</v>
      </c>
      <c r="B6183" s="36">
        <v>46079.65</v>
      </c>
      <c r="C6183" s="36">
        <v>46081.32708333334</v>
      </c>
      <c r="D6183" s="22" t="s">
        <v>33</v>
      </c>
      <c r="E6183" s="22" t="s">
        <v>69</v>
      </c>
      <c r="F6183" s="22" t="s">
        <v>37</v>
      </c>
      <c r="G6183" s="22" t="s">
        <v>63</v>
      </c>
      <c r="H6183" s="22" t="s">
        <v>63</v>
      </c>
      <c r="I6183" s="22" t="s">
        <v>111</v>
      </c>
      <c r="J6183" s="23">
        <v>120</v>
      </c>
      <c r="K6183" s="37">
        <v>0</v>
      </c>
      <c r="L6183" s="37">
        <v>1</v>
      </c>
      <c r="M6183" s="22">
        <f>IF(OR(ISBLANK(C6183),C6183=""),"",ROUND((C6183-B6183)*24,2))</f>
        <v>40.25</v>
      </c>
      <c r="N6183" s="40" t="str">
        <f>IF(OR(ISBLANK(C6183),C6183="",M6183=""),"In Progress",IF(M6183&lt;=J6183,"Met","Breached"))</f>
        <v>Met</v>
      </c>
    </row>
    <row r="6184" ht="19" customHeight="1" spans="1:14" x14ac:dyDescent="0.25">
      <c r="A6184" s="19" t="s">
        <v>6298</v>
      </c>
      <c r="B6184" s="33">
        <v>45686.478472222225</v>
      </c>
      <c r="C6184" s="33">
        <v>45688.79166666667</v>
      </c>
      <c r="D6184" s="19" t="s">
        <v>33</v>
      </c>
      <c r="E6184" s="19" t="s">
        <v>65</v>
      </c>
      <c r="F6184" s="19" t="s">
        <v>45</v>
      </c>
      <c r="G6184" s="19" t="s">
        <v>126</v>
      </c>
      <c r="H6184" s="19" t="s">
        <v>63</v>
      </c>
      <c r="I6184" s="19" t="s">
        <v>123</v>
      </c>
      <c r="J6184" s="20">
        <v>48</v>
      </c>
      <c r="K6184" s="34">
        <v>0</v>
      </c>
      <c r="M6184" s="19">
        <f>IF(OR(ISBLANK(C6184),C6184=""),"",ROUND((C6184-B6184)*24,2))</f>
        <v>55.52</v>
      </c>
      <c r="N6184" s="39" t="str">
        <f>IF(OR(ISBLANK(C6184),C6184="",M6184=""),"In Progress",IF(M6184&lt;=J6184,"Met","Breached"))</f>
        <v>Breached</v>
      </c>
    </row>
    <row r="6185" ht="19" customHeight="1" spans="1:14" x14ac:dyDescent="0.25">
      <c r="A6185" s="22" t="s">
        <v>6299</v>
      </c>
      <c r="B6185" s="36">
        <v>45876.275</v>
      </c>
      <c r="C6185" s="36">
        <v>45879.24513888889</v>
      </c>
      <c r="D6185" s="22" t="s">
        <v>33</v>
      </c>
      <c r="E6185" s="22" t="s">
        <v>65</v>
      </c>
      <c r="F6185" s="22" t="s">
        <v>43</v>
      </c>
      <c r="G6185" s="22" t="s">
        <v>126</v>
      </c>
      <c r="H6185" s="22" t="s">
        <v>63</v>
      </c>
      <c r="I6185" s="22" t="s">
        <v>108</v>
      </c>
      <c r="J6185" s="23">
        <v>48</v>
      </c>
      <c r="K6185" s="37">
        <v>0</v>
      </c>
      <c r="L6185" s="37">
        <v>3</v>
      </c>
      <c r="M6185" s="22">
        <f>IF(OR(ISBLANK(C6185),C6185=""),"",ROUND((C6185-B6185)*24,2))</f>
        <v>71.28</v>
      </c>
      <c r="N6185" s="38" t="str">
        <f>IF(OR(ISBLANK(C6185),C6185="",M6185=""),"In Progress",IF(M6185&lt;=J6185,"Met","Breached"))</f>
        <v>Breached</v>
      </c>
    </row>
    <row r="6186" ht="19" customHeight="1" spans="1:14" x14ac:dyDescent="0.25">
      <c r="A6186" s="19" t="s">
        <v>6300</v>
      </c>
      <c r="B6186" s="33">
        <v>46237.896527777775</v>
      </c>
      <c r="D6186" s="19" t="s">
        <v>39</v>
      </c>
      <c r="E6186" s="19" t="s">
        <v>57</v>
      </c>
      <c r="F6186" s="19" t="s">
        <v>40</v>
      </c>
      <c r="G6186" s="19" t="s">
        <v>63</v>
      </c>
      <c r="H6186" s="19" t="s">
        <v>63</v>
      </c>
      <c r="I6186" s="19" t="s">
        <v>123</v>
      </c>
      <c r="J6186" s="20">
        <v>4</v>
      </c>
      <c r="K6186" s="34">
        <v>0</v>
      </c>
      <c r="M6186" s="19" t="str">
        <f>IF(OR(ISBLANK(C6186),C6186=""),"",ROUND((C6186-B6186)*24,2))</f>
        <v/>
      </c>
      <c r="N6186" s="19" t="str">
        <f>IF(OR(ISBLANK(C6186),C6186="",M6186=""),"In Progress",IF(M6186&lt;=J6186,"Met","Breached"))</f>
        <v>In Progress</v>
      </c>
    </row>
    <row r="6187" ht="19" customHeight="1" spans="1:14" x14ac:dyDescent="0.25">
      <c r="A6187" s="22" t="s">
        <v>6301</v>
      </c>
      <c r="B6187" s="36">
        <v>46159.2625</v>
      </c>
      <c r="C6187" s="36">
        <v>46162.05902777778</v>
      </c>
      <c r="D6187" s="22" t="s">
        <v>36</v>
      </c>
      <c r="E6187" s="22" t="s">
        <v>65</v>
      </c>
      <c r="F6187" s="22" t="s">
        <v>43</v>
      </c>
      <c r="G6187" s="22" t="s">
        <v>126</v>
      </c>
      <c r="H6187" s="22" t="s">
        <v>59</v>
      </c>
      <c r="I6187" s="22" t="s">
        <v>114</v>
      </c>
      <c r="J6187" s="23">
        <v>48</v>
      </c>
      <c r="K6187" s="37">
        <v>0</v>
      </c>
      <c r="M6187" s="22">
        <f>IF(OR(ISBLANK(C6187),C6187=""),"",ROUND((C6187-B6187)*24,2))</f>
        <v>67.12</v>
      </c>
      <c r="N6187" s="38" t="str">
        <f>IF(OR(ISBLANK(C6187),C6187="",M6187=""),"In Progress",IF(M6187&lt;=J6187,"Met","Breached"))</f>
        <v>Breached</v>
      </c>
    </row>
    <row r="6188" ht="19" customHeight="1" spans="1:14" x14ac:dyDescent="0.25">
      <c r="A6188" s="19" t="s">
        <v>6302</v>
      </c>
      <c r="B6188" s="33">
        <v>46230.96944444445</v>
      </c>
      <c r="C6188" s="33">
        <v>46233.11111111111</v>
      </c>
      <c r="D6188" s="19" t="s">
        <v>33</v>
      </c>
      <c r="E6188" s="19" t="s">
        <v>65</v>
      </c>
      <c r="F6188" s="19" t="s">
        <v>40</v>
      </c>
      <c r="G6188" s="19" t="s">
        <v>63</v>
      </c>
      <c r="H6188" s="19" t="s">
        <v>67</v>
      </c>
      <c r="I6188" s="19" t="s">
        <v>117</v>
      </c>
      <c r="J6188" s="20">
        <v>48</v>
      </c>
      <c r="K6188" s="34">
        <v>0</v>
      </c>
      <c r="M6188" s="19">
        <f>IF(OR(ISBLANK(C6188),C6188=""),"",ROUND((C6188-B6188)*24,2))</f>
        <v>51.4</v>
      </c>
      <c r="N6188" s="39" t="str">
        <f>IF(OR(ISBLANK(C6188),C6188="",M6188=""),"In Progress",IF(M6188&lt;=J6188,"Met","Breached"))</f>
        <v>Breached</v>
      </c>
    </row>
    <row r="6189" ht="19" customHeight="1" spans="1:14" x14ac:dyDescent="0.25">
      <c r="A6189" s="22" t="s">
        <v>6303</v>
      </c>
      <c r="B6189" s="36">
        <v>45724.99375</v>
      </c>
      <c r="C6189" s="36">
        <v>45726.26458333334</v>
      </c>
      <c r="D6189" s="22" t="s">
        <v>36</v>
      </c>
      <c r="E6189" s="22" t="s">
        <v>65</v>
      </c>
      <c r="F6189" s="22" t="s">
        <v>34</v>
      </c>
      <c r="G6189" s="22" t="s">
        <v>116</v>
      </c>
      <c r="H6189" s="22" t="s">
        <v>63</v>
      </c>
      <c r="I6189" s="22" t="s">
        <v>111</v>
      </c>
      <c r="J6189" s="23">
        <v>48</v>
      </c>
      <c r="K6189" s="37">
        <v>0</v>
      </c>
      <c r="L6189" s="37">
        <v>2</v>
      </c>
      <c r="M6189" s="22">
        <f>IF(OR(ISBLANK(C6189),C6189=""),"",ROUND((C6189-B6189)*24,2))</f>
        <v>30.5</v>
      </c>
      <c r="N6189" s="40" t="str">
        <f>IF(OR(ISBLANK(C6189),C6189="",M6189=""),"In Progress",IF(M6189&lt;=J6189,"Met","Breached"))</f>
        <v>Met</v>
      </c>
    </row>
    <row r="6190" ht="19" customHeight="1" spans="1:14" x14ac:dyDescent="0.25">
      <c r="A6190" s="19" t="s">
        <v>6304</v>
      </c>
      <c r="B6190" s="33">
        <v>45998.37569444445</v>
      </c>
      <c r="C6190" s="33">
        <v>46000.79652777778</v>
      </c>
      <c r="D6190" s="19" t="s">
        <v>33</v>
      </c>
      <c r="E6190" s="19" t="s">
        <v>65</v>
      </c>
      <c r="F6190" s="19" t="s">
        <v>34</v>
      </c>
      <c r="G6190" s="19" t="s">
        <v>121</v>
      </c>
      <c r="H6190" s="19" t="s">
        <v>59</v>
      </c>
      <c r="I6190" s="19" t="s">
        <v>117</v>
      </c>
      <c r="J6190" s="20">
        <v>48</v>
      </c>
      <c r="K6190" s="34">
        <v>0</v>
      </c>
      <c r="L6190" s="34">
        <v>5</v>
      </c>
      <c r="M6190" s="19">
        <f>IF(OR(ISBLANK(C6190),C6190=""),"",ROUND((C6190-B6190)*24,2))</f>
        <v>58.1</v>
      </c>
      <c r="N6190" s="39" t="str">
        <f>IF(OR(ISBLANK(C6190),C6190="",M6190=""),"In Progress",IF(M6190&lt;=J6190,"Met","Breached"))</f>
        <v>Breached</v>
      </c>
    </row>
    <row r="6191" ht="19" customHeight="1" spans="1:14" x14ac:dyDescent="0.25">
      <c r="A6191" s="22" t="s">
        <v>6305</v>
      </c>
      <c r="B6191" s="36">
        <v>46016.26111111111</v>
      </c>
      <c r="C6191" s="36">
        <v>46020.49722222222</v>
      </c>
      <c r="D6191" s="22" t="s">
        <v>33</v>
      </c>
      <c r="E6191" s="22" t="s">
        <v>69</v>
      </c>
      <c r="F6191" s="22" t="s">
        <v>43</v>
      </c>
      <c r="G6191" s="22" t="s">
        <v>126</v>
      </c>
      <c r="H6191" s="22" t="s">
        <v>63</v>
      </c>
      <c r="I6191" s="22" t="s">
        <v>108</v>
      </c>
      <c r="J6191" s="23">
        <v>120</v>
      </c>
      <c r="K6191" s="37">
        <v>0</v>
      </c>
      <c r="L6191" s="37">
        <v>4</v>
      </c>
      <c r="M6191" s="22">
        <f>IF(OR(ISBLANK(C6191),C6191=""),"",ROUND((C6191-B6191)*24,2))</f>
        <v>101.67</v>
      </c>
      <c r="N6191" s="40" t="str">
        <f>IF(OR(ISBLANK(C6191),C6191="",M6191=""),"In Progress",IF(M6191&lt;=J6191,"Met","Breached"))</f>
        <v>Met</v>
      </c>
    </row>
    <row r="6192" ht="19" customHeight="1" spans="1:14" x14ac:dyDescent="0.25">
      <c r="A6192" s="19" t="s">
        <v>6306</v>
      </c>
      <c r="B6192" s="33">
        <v>46039.55694444444</v>
      </c>
      <c r="C6192" s="33">
        <v>46039.91736111111</v>
      </c>
      <c r="D6192" s="19" t="s">
        <v>36</v>
      </c>
      <c r="E6192" s="19" t="s">
        <v>61</v>
      </c>
      <c r="F6192" s="19" t="s">
        <v>45</v>
      </c>
      <c r="G6192" s="19" t="s">
        <v>110</v>
      </c>
      <c r="H6192" s="19" t="s">
        <v>63</v>
      </c>
      <c r="I6192" s="19" t="s">
        <v>123</v>
      </c>
      <c r="J6192" s="20">
        <v>12</v>
      </c>
      <c r="K6192" s="34">
        <v>0</v>
      </c>
      <c r="L6192" s="34">
        <v>5</v>
      </c>
      <c r="M6192" s="19">
        <f>IF(OR(ISBLANK(C6192),C6192=""),"",ROUND((C6192-B6192)*24,2))</f>
        <v>8.65</v>
      </c>
      <c r="N6192" s="35" t="str">
        <f>IF(OR(ISBLANK(C6192),C6192="",M6192=""),"In Progress",IF(M6192&lt;=J6192,"Met","Breached"))</f>
        <v>Met</v>
      </c>
    </row>
    <row r="6193" ht="19" customHeight="1" spans="1:14" x14ac:dyDescent="0.25">
      <c r="A6193" s="22" t="s">
        <v>6307</v>
      </c>
      <c r="B6193" s="36">
        <v>46078.10833333334</v>
      </c>
      <c r="D6193" s="22" t="s">
        <v>39</v>
      </c>
      <c r="E6193" s="22" t="s">
        <v>61</v>
      </c>
      <c r="F6193" s="22" t="s">
        <v>40</v>
      </c>
      <c r="G6193" s="22" t="s">
        <v>113</v>
      </c>
      <c r="H6193" s="22" t="s">
        <v>59</v>
      </c>
      <c r="I6193" s="22" t="s">
        <v>114</v>
      </c>
      <c r="J6193" s="23">
        <v>12</v>
      </c>
      <c r="K6193" s="37">
        <v>0</v>
      </c>
      <c r="M6193" s="22" t="str">
        <f>IF(OR(ISBLANK(C6193),C6193=""),"",ROUND((C6193-B6193)*24,2))</f>
        <v/>
      </c>
      <c r="N6193" s="22" t="str">
        <f>IF(OR(ISBLANK(C6193),C6193="",M6193=""),"In Progress",IF(M6193&lt;=J6193,"Met","Breached"))</f>
        <v>In Progress</v>
      </c>
    </row>
    <row r="6194" ht="19" customHeight="1" spans="1:14" x14ac:dyDescent="0.25">
      <c r="A6194" s="19" t="s">
        <v>6308</v>
      </c>
      <c r="B6194" s="33">
        <v>45760.72430555556</v>
      </c>
      <c r="C6194" s="33">
        <v>45767.28194444445</v>
      </c>
      <c r="D6194" s="19" t="s">
        <v>33</v>
      </c>
      <c r="E6194" s="19" t="s">
        <v>69</v>
      </c>
      <c r="F6194" s="19" t="s">
        <v>43</v>
      </c>
      <c r="G6194" s="19" t="s">
        <v>110</v>
      </c>
      <c r="H6194" s="19" t="s">
        <v>59</v>
      </c>
      <c r="I6194" s="19" t="s">
        <v>147</v>
      </c>
      <c r="J6194" s="20">
        <v>120</v>
      </c>
      <c r="K6194" s="34">
        <v>0</v>
      </c>
      <c r="L6194" s="34">
        <v>2</v>
      </c>
      <c r="M6194" s="19">
        <f>IF(OR(ISBLANK(C6194),C6194=""),"",ROUND((C6194-B6194)*24,2))</f>
        <v>157.38</v>
      </c>
      <c r="N6194" s="39" t="str">
        <f>IF(OR(ISBLANK(C6194),C6194="",M6194=""),"In Progress",IF(M6194&lt;=J6194,"Met","Breached"))</f>
        <v>Breached</v>
      </c>
    </row>
    <row r="6195" ht="19" customHeight="1" spans="1:14" x14ac:dyDescent="0.25">
      <c r="A6195" s="22" t="s">
        <v>6309</v>
      </c>
      <c r="B6195" s="36">
        <v>45821.87013888889</v>
      </c>
      <c r="C6195" s="36">
        <v>45826.882638888885</v>
      </c>
      <c r="D6195" s="22" t="s">
        <v>36</v>
      </c>
      <c r="E6195" s="22" t="s">
        <v>69</v>
      </c>
      <c r="F6195" s="22" t="s">
        <v>34</v>
      </c>
      <c r="G6195" s="22" t="s">
        <v>126</v>
      </c>
      <c r="H6195" s="22" t="s">
        <v>59</v>
      </c>
      <c r="I6195" s="22" t="s">
        <v>114</v>
      </c>
      <c r="J6195" s="23">
        <v>120</v>
      </c>
      <c r="K6195" s="37">
        <v>0</v>
      </c>
      <c r="L6195" s="37">
        <v>5</v>
      </c>
      <c r="M6195" s="22">
        <f>IF(OR(ISBLANK(C6195),C6195=""),"",ROUND((C6195-B6195)*24,2))</f>
        <v>120.3</v>
      </c>
      <c r="N6195" s="38" t="str">
        <f>IF(OR(ISBLANK(C6195),C6195="",M6195=""),"In Progress",IF(M6195&lt;=J6195,"Met","Breached"))</f>
        <v>Breached</v>
      </c>
    </row>
    <row r="6196" ht="19" customHeight="1" spans="1:14" x14ac:dyDescent="0.25">
      <c r="A6196" s="19" t="s">
        <v>6310</v>
      </c>
      <c r="B6196" s="33">
        <v>45788.15833333333</v>
      </c>
      <c r="C6196" s="33">
        <v>45790.90694444445</v>
      </c>
      <c r="D6196" s="19" t="s">
        <v>33</v>
      </c>
      <c r="E6196" s="19" t="s">
        <v>69</v>
      </c>
      <c r="F6196" s="19" t="s">
        <v>37</v>
      </c>
      <c r="G6196" s="19" t="s">
        <v>63</v>
      </c>
      <c r="H6196" s="19" t="s">
        <v>63</v>
      </c>
      <c r="I6196" s="19" t="s">
        <v>147</v>
      </c>
      <c r="J6196" s="20">
        <v>120</v>
      </c>
      <c r="K6196" s="34">
        <v>0</v>
      </c>
      <c r="M6196" s="19">
        <f>IF(OR(ISBLANK(C6196),C6196=""),"",ROUND((C6196-B6196)*24,2))</f>
        <v>65.97</v>
      </c>
      <c r="N6196" s="35" t="str">
        <f>IF(OR(ISBLANK(C6196),C6196="",M6196=""),"In Progress",IF(M6196&lt;=J6196,"Met","Breached"))</f>
        <v>Met</v>
      </c>
    </row>
    <row r="6197" ht="19" customHeight="1" spans="1:14" x14ac:dyDescent="0.25">
      <c r="A6197" s="22" t="s">
        <v>6311</v>
      </c>
      <c r="B6197" s="36">
        <v>45666.35833333334</v>
      </c>
      <c r="C6197" s="36">
        <v>45666.42222222222</v>
      </c>
      <c r="D6197" s="22" t="s">
        <v>33</v>
      </c>
      <c r="E6197" s="22" t="s">
        <v>57</v>
      </c>
      <c r="F6197" s="22" t="s">
        <v>43</v>
      </c>
      <c r="G6197" s="22" t="s">
        <v>110</v>
      </c>
      <c r="H6197" s="22" t="s">
        <v>71</v>
      </c>
      <c r="I6197" s="22" t="s">
        <v>123</v>
      </c>
      <c r="J6197" s="23">
        <v>4</v>
      </c>
      <c r="K6197" s="37">
        <v>0</v>
      </c>
      <c r="L6197" s="37">
        <v>5</v>
      </c>
      <c r="M6197" s="22">
        <f>IF(OR(ISBLANK(C6197),C6197=""),"",ROUND((C6197-B6197)*24,2))</f>
        <v>1.53</v>
      </c>
      <c r="N6197" s="40" t="str">
        <f>IF(OR(ISBLANK(C6197),C6197="",M6197=""),"In Progress",IF(M6197&lt;=J6197,"Met","Breached"))</f>
        <v>Met</v>
      </c>
    </row>
    <row r="6198" ht="19" customHeight="1" spans="1:14" x14ac:dyDescent="0.25">
      <c r="A6198" s="19" t="s">
        <v>6312</v>
      </c>
      <c r="B6198" s="33">
        <v>45854.975</v>
      </c>
      <c r="D6198" s="19" t="s">
        <v>39</v>
      </c>
      <c r="E6198" s="19" t="s">
        <v>69</v>
      </c>
      <c r="F6198" s="19" t="s">
        <v>43</v>
      </c>
      <c r="G6198" s="19" t="s">
        <v>121</v>
      </c>
      <c r="H6198" s="19" t="s">
        <v>71</v>
      </c>
      <c r="I6198" s="19" t="s">
        <v>114</v>
      </c>
      <c r="J6198" s="20">
        <v>120</v>
      </c>
      <c r="K6198" s="34">
        <v>0</v>
      </c>
      <c r="M6198" s="19" t="str">
        <f>IF(OR(ISBLANK(C6198),C6198=""),"",ROUND((C6198-B6198)*24,2))</f>
        <v/>
      </c>
      <c r="N6198" s="19" t="str">
        <f>IF(OR(ISBLANK(C6198),C6198="",M6198=""),"In Progress",IF(M6198&lt;=J6198,"Met","Breached"))</f>
        <v>In Progress</v>
      </c>
    </row>
    <row r="6199" ht="19" customHeight="1" spans="1:14" x14ac:dyDescent="0.25">
      <c r="A6199" s="22" t="s">
        <v>6313</v>
      </c>
      <c r="B6199" s="36">
        <v>46079.40277777778</v>
      </c>
      <c r="C6199" s="36">
        <v>46082.60277777778</v>
      </c>
      <c r="D6199" s="22" t="s">
        <v>33</v>
      </c>
      <c r="E6199" s="22" t="s">
        <v>69</v>
      </c>
      <c r="F6199" s="22" t="s">
        <v>34</v>
      </c>
      <c r="G6199" s="22" t="s">
        <v>113</v>
      </c>
      <c r="H6199" s="22" t="s">
        <v>71</v>
      </c>
      <c r="I6199" s="22" t="s">
        <v>117</v>
      </c>
      <c r="J6199" s="23">
        <v>120</v>
      </c>
      <c r="K6199" s="37">
        <v>0</v>
      </c>
      <c r="L6199" s="37">
        <v>4</v>
      </c>
      <c r="M6199" s="22">
        <f>IF(OR(ISBLANK(C6199),C6199=""),"",ROUND((C6199-B6199)*24,2))</f>
        <v>76.8</v>
      </c>
      <c r="N6199" s="40" t="str">
        <f>IF(OR(ISBLANK(C6199),C6199="",M6199=""),"In Progress",IF(M6199&lt;=J6199,"Met","Breached"))</f>
        <v>Met</v>
      </c>
    </row>
    <row r="6200" ht="19" customHeight="1" spans="1:14" x14ac:dyDescent="0.25">
      <c r="A6200" s="19" t="s">
        <v>6314</v>
      </c>
      <c r="B6200" s="33">
        <v>45663.68402777778</v>
      </c>
      <c r="C6200" s="33">
        <v>45664.98125</v>
      </c>
      <c r="D6200" s="19" t="s">
        <v>33</v>
      </c>
      <c r="E6200" s="19" t="s">
        <v>65</v>
      </c>
      <c r="F6200" s="19" t="s">
        <v>34</v>
      </c>
      <c r="G6200" s="19" t="s">
        <v>116</v>
      </c>
      <c r="H6200" s="19" t="s">
        <v>67</v>
      </c>
      <c r="I6200" s="19" t="s">
        <v>114</v>
      </c>
      <c r="J6200" s="20">
        <v>48</v>
      </c>
      <c r="K6200" s="34">
        <v>0</v>
      </c>
      <c r="M6200" s="19">
        <f>IF(OR(ISBLANK(C6200),C6200=""),"",ROUND((C6200-B6200)*24,2))</f>
        <v>31.13</v>
      </c>
      <c r="N6200" s="35" t="str">
        <f>IF(OR(ISBLANK(C6200),C6200="",M6200=""),"In Progress",IF(M6200&lt;=J6200,"Met","Breached"))</f>
        <v>Met</v>
      </c>
    </row>
    <row r="6201" ht="19" customHeight="1" spans="1:14" x14ac:dyDescent="0.25">
      <c r="A6201" s="22" t="s">
        <v>6315</v>
      </c>
      <c r="B6201" s="36">
        <v>45896.13958333334</v>
      </c>
      <c r="C6201" s="36">
        <v>45901.2625</v>
      </c>
      <c r="D6201" s="22" t="s">
        <v>33</v>
      </c>
      <c r="E6201" s="22" t="s">
        <v>69</v>
      </c>
      <c r="F6201" s="22" t="s">
        <v>40</v>
      </c>
      <c r="G6201" s="22" t="s">
        <v>116</v>
      </c>
      <c r="H6201" s="22" t="s">
        <v>63</v>
      </c>
      <c r="I6201" s="22" t="s">
        <v>111</v>
      </c>
      <c r="J6201" s="23">
        <v>120</v>
      </c>
      <c r="K6201" s="37">
        <v>0</v>
      </c>
      <c r="L6201" s="37">
        <v>3</v>
      </c>
      <c r="M6201" s="22">
        <f>IF(OR(ISBLANK(C6201),C6201=""),"",ROUND((C6201-B6201)*24,2))</f>
        <v>122.95</v>
      </c>
      <c r="N6201" s="38" t="str">
        <f>IF(OR(ISBLANK(C6201),C6201="",M6201=""),"In Progress",IF(M6201&lt;=J6201,"Met","Breached"))</f>
        <v>Breached</v>
      </c>
    </row>
    <row r="6202" ht="19" customHeight="1" spans="1:14" x14ac:dyDescent="0.25">
      <c r="A6202" s="19" t="s">
        <v>6316</v>
      </c>
      <c r="B6202" s="33">
        <v>46220.63958333334</v>
      </c>
      <c r="C6202" s="33">
        <v>46224.40833333333</v>
      </c>
      <c r="D6202" s="19" t="s">
        <v>33</v>
      </c>
      <c r="E6202" s="19" t="s">
        <v>69</v>
      </c>
      <c r="F6202" s="19" t="s">
        <v>45</v>
      </c>
      <c r="G6202" s="19" t="s">
        <v>121</v>
      </c>
      <c r="H6202" s="19" t="s">
        <v>59</v>
      </c>
      <c r="I6202" s="19" t="s">
        <v>123</v>
      </c>
      <c r="J6202" s="20">
        <v>120</v>
      </c>
      <c r="K6202" s="34">
        <v>0</v>
      </c>
      <c r="L6202" s="34">
        <v>1</v>
      </c>
      <c r="M6202" s="19">
        <f>IF(OR(ISBLANK(C6202),C6202=""),"",ROUND((C6202-B6202)*24,2))</f>
        <v>90.45</v>
      </c>
      <c r="N6202" s="35" t="str">
        <f>IF(OR(ISBLANK(C6202),C6202="",M6202=""),"In Progress",IF(M6202&lt;=J6202,"Met","Breached"))</f>
        <v>Met</v>
      </c>
    </row>
    <row r="6203" ht="19" customHeight="1" spans="1:14" x14ac:dyDescent="0.25">
      <c r="A6203" s="22" t="s">
        <v>6317</v>
      </c>
      <c r="B6203" s="36">
        <v>45858.549305555556</v>
      </c>
      <c r="C6203" s="36">
        <v>45858.94305555556</v>
      </c>
      <c r="D6203" s="22" t="s">
        <v>36</v>
      </c>
      <c r="E6203" s="22" t="s">
        <v>61</v>
      </c>
      <c r="F6203" s="22" t="s">
        <v>37</v>
      </c>
      <c r="G6203" s="22" t="s">
        <v>110</v>
      </c>
      <c r="H6203" s="22" t="s">
        <v>63</v>
      </c>
      <c r="I6203" s="22" t="s">
        <v>108</v>
      </c>
      <c r="J6203" s="23">
        <v>12</v>
      </c>
      <c r="K6203" s="37">
        <v>0</v>
      </c>
      <c r="M6203" s="22">
        <f>IF(OR(ISBLANK(C6203),C6203=""),"",ROUND((C6203-B6203)*24,2))</f>
        <v>9.45</v>
      </c>
      <c r="N6203" s="40" t="str">
        <f>IF(OR(ISBLANK(C6203),C6203="",M6203=""),"In Progress",IF(M6203&lt;=J6203,"Met","Breached"))</f>
        <v>Met</v>
      </c>
    </row>
    <row r="6204" ht="19" customHeight="1" spans="1:14" x14ac:dyDescent="0.25">
      <c r="A6204" s="19" t="s">
        <v>6318</v>
      </c>
      <c r="B6204" s="33">
        <v>45699.23888888889</v>
      </c>
      <c r="D6204" s="19" t="s">
        <v>39</v>
      </c>
      <c r="E6204" s="19" t="s">
        <v>61</v>
      </c>
      <c r="F6204" s="19" t="s">
        <v>34</v>
      </c>
      <c r="G6204" s="19" t="s">
        <v>63</v>
      </c>
      <c r="H6204" s="19" t="s">
        <v>63</v>
      </c>
      <c r="I6204" s="19" t="s">
        <v>123</v>
      </c>
      <c r="J6204" s="20">
        <v>12</v>
      </c>
      <c r="K6204" s="34">
        <v>0</v>
      </c>
      <c r="M6204" s="19" t="str">
        <f>IF(OR(ISBLANK(C6204),C6204=""),"",ROUND((C6204-B6204)*24,2))</f>
        <v/>
      </c>
      <c r="N6204" s="19" t="str">
        <f>IF(OR(ISBLANK(C6204),C6204="",M6204=""),"In Progress",IF(M6204&lt;=J6204,"Met","Breached"))</f>
        <v>In Progress</v>
      </c>
    </row>
    <row r="6205" ht="19" customHeight="1" spans="1:14" x14ac:dyDescent="0.25">
      <c r="A6205" s="22" t="s">
        <v>6319</v>
      </c>
      <c r="B6205" s="36">
        <v>46064.20486111111</v>
      </c>
      <c r="C6205" s="36">
        <v>46064.39722222222</v>
      </c>
      <c r="D6205" s="22" t="s">
        <v>33</v>
      </c>
      <c r="E6205" s="22" t="s">
        <v>61</v>
      </c>
      <c r="F6205" s="22" t="s">
        <v>43</v>
      </c>
      <c r="G6205" s="22" t="s">
        <v>116</v>
      </c>
      <c r="H6205" s="22" t="s">
        <v>59</v>
      </c>
      <c r="I6205" s="22" t="s">
        <v>111</v>
      </c>
      <c r="J6205" s="23">
        <v>12</v>
      </c>
      <c r="K6205" s="37">
        <v>0</v>
      </c>
      <c r="L6205" s="37">
        <v>3</v>
      </c>
      <c r="M6205" s="22">
        <f>IF(OR(ISBLANK(C6205),C6205=""),"",ROUND((C6205-B6205)*24,2))</f>
        <v>4.62</v>
      </c>
      <c r="N6205" s="40" t="str">
        <f>IF(OR(ISBLANK(C6205),C6205="",M6205=""),"In Progress",IF(M6205&lt;=J6205,"Met","Breached"))</f>
        <v>Met</v>
      </c>
    </row>
    <row r="6206" ht="19" customHeight="1" spans="1:14" x14ac:dyDescent="0.25">
      <c r="A6206" s="19" t="s">
        <v>6320</v>
      </c>
      <c r="B6206" s="33">
        <v>46065.31041666667</v>
      </c>
      <c r="D6206" s="19" t="s">
        <v>42</v>
      </c>
      <c r="E6206" s="19" t="s">
        <v>57</v>
      </c>
      <c r="F6206" s="19" t="s">
        <v>34</v>
      </c>
      <c r="G6206" s="19" t="s">
        <v>116</v>
      </c>
      <c r="H6206" s="19" t="s">
        <v>67</v>
      </c>
      <c r="I6206" s="19" t="s">
        <v>114</v>
      </c>
      <c r="J6206" s="20">
        <v>4</v>
      </c>
      <c r="K6206" s="34">
        <v>0</v>
      </c>
      <c r="M6206" s="19" t="str">
        <f>IF(OR(ISBLANK(C6206),C6206=""),"",ROUND((C6206-B6206)*24,2))</f>
        <v/>
      </c>
      <c r="N6206" s="19" t="str">
        <f>IF(OR(ISBLANK(C6206),C6206="",M6206=""),"In Progress",IF(M6206&lt;=J6206,"Met","Breached"))</f>
        <v>In Progress</v>
      </c>
    </row>
    <row r="6207" ht="19" customHeight="1" spans="1:14" x14ac:dyDescent="0.25">
      <c r="A6207" s="22" t="s">
        <v>6321</v>
      </c>
      <c r="B6207" s="36">
        <v>46193.11458333333</v>
      </c>
      <c r="C6207" s="36">
        <v>46197.51388888889</v>
      </c>
      <c r="D6207" s="22" t="s">
        <v>33</v>
      </c>
      <c r="E6207" s="22" t="s">
        <v>69</v>
      </c>
      <c r="F6207" s="22" t="s">
        <v>34</v>
      </c>
      <c r="G6207" s="22" t="s">
        <v>116</v>
      </c>
      <c r="H6207" s="22" t="s">
        <v>67</v>
      </c>
      <c r="I6207" s="22" t="s">
        <v>123</v>
      </c>
      <c r="J6207" s="23">
        <v>120</v>
      </c>
      <c r="K6207" s="37">
        <v>0</v>
      </c>
      <c r="L6207" s="37">
        <v>5</v>
      </c>
      <c r="M6207" s="22">
        <f>IF(OR(ISBLANK(C6207),C6207=""),"",ROUND((C6207-B6207)*24,2))</f>
        <v>105.58</v>
      </c>
      <c r="N6207" s="40" t="str">
        <f>IF(OR(ISBLANK(C6207),C6207="",M6207=""),"In Progress",IF(M6207&lt;=J6207,"Met","Breached"))</f>
        <v>Met</v>
      </c>
    </row>
    <row r="6208" ht="19" customHeight="1" spans="1:14" x14ac:dyDescent="0.25">
      <c r="A6208" s="19" t="s">
        <v>6322</v>
      </c>
      <c r="B6208" s="33">
        <v>46252.40902777778</v>
      </c>
      <c r="C6208" s="33">
        <v>46253.009722222225</v>
      </c>
      <c r="D6208" s="19" t="s">
        <v>36</v>
      </c>
      <c r="E6208" s="19" t="s">
        <v>61</v>
      </c>
      <c r="F6208" s="19" t="s">
        <v>37</v>
      </c>
      <c r="G6208" s="19" t="s">
        <v>113</v>
      </c>
      <c r="H6208" s="19" t="s">
        <v>59</v>
      </c>
      <c r="I6208" s="19" t="s">
        <v>114</v>
      </c>
      <c r="J6208" s="20">
        <v>12</v>
      </c>
      <c r="K6208" s="34">
        <v>0</v>
      </c>
      <c r="L6208" s="34">
        <v>4</v>
      </c>
      <c r="M6208" s="19">
        <f>IF(OR(ISBLANK(C6208),C6208=""),"",ROUND((C6208-B6208)*24,2))</f>
        <v>14.42</v>
      </c>
      <c r="N6208" s="39" t="str">
        <f>IF(OR(ISBLANK(C6208),C6208="",M6208=""),"In Progress",IF(M6208&lt;=J6208,"Met","Breached"))</f>
        <v>Breached</v>
      </c>
    </row>
    <row r="6209" ht="19" customHeight="1" spans="1:14" x14ac:dyDescent="0.25">
      <c r="A6209" s="22" t="s">
        <v>6323</v>
      </c>
      <c r="B6209" s="36">
        <v>46205.77222222222</v>
      </c>
      <c r="C6209" s="36">
        <v>46206.56111111111</v>
      </c>
      <c r="D6209" s="22" t="s">
        <v>33</v>
      </c>
      <c r="E6209" s="22" t="s">
        <v>65</v>
      </c>
      <c r="F6209" s="22" t="s">
        <v>40</v>
      </c>
      <c r="G6209" s="22" t="s">
        <v>63</v>
      </c>
      <c r="H6209" s="22" t="s">
        <v>63</v>
      </c>
      <c r="I6209" s="22" t="s">
        <v>111</v>
      </c>
      <c r="J6209" s="23">
        <v>48</v>
      </c>
      <c r="K6209" s="37">
        <v>0</v>
      </c>
      <c r="L6209" s="37">
        <v>1</v>
      </c>
      <c r="M6209" s="22">
        <f>IF(OR(ISBLANK(C6209),C6209=""),"",ROUND((C6209-B6209)*24,2))</f>
        <v>18.93</v>
      </c>
      <c r="N6209" s="40" t="str">
        <f>IF(OR(ISBLANK(C6209),C6209="",M6209=""),"In Progress",IF(M6209&lt;=J6209,"Met","Breached"))</f>
        <v>Met</v>
      </c>
    </row>
    <row r="6210" ht="19" customHeight="1" spans="1:14" x14ac:dyDescent="0.25">
      <c r="A6210" s="19" t="s">
        <v>6324</v>
      </c>
      <c r="B6210" s="33">
        <v>45901.95347222222</v>
      </c>
      <c r="C6210" s="33">
        <v>45905.214583333334</v>
      </c>
      <c r="D6210" s="19" t="s">
        <v>33</v>
      </c>
      <c r="E6210" s="19" t="s">
        <v>69</v>
      </c>
      <c r="F6210" s="19" t="s">
        <v>45</v>
      </c>
      <c r="G6210" s="19" t="s">
        <v>110</v>
      </c>
      <c r="H6210" s="19" t="s">
        <v>63</v>
      </c>
      <c r="I6210" s="19" t="s">
        <v>114</v>
      </c>
      <c r="J6210" s="20">
        <v>120</v>
      </c>
      <c r="K6210" s="34">
        <v>0</v>
      </c>
      <c r="M6210" s="19">
        <f>IF(OR(ISBLANK(C6210),C6210=""),"",ROUND((C6210-B6210)*24,2))</f>
        <v>78.27</v>
      </c>
      <c r="N6210" s="35" t="str">
        <f>IF(OR(ISBLANK(C6210),C6210="",M6210=""),"In Progress",IF(M6210&lt;=J6210,"Met","Breached"))</f>
        <v>Met</v>
      </c>
    </row>
    <row r="6211" ht="19" customHeight="1" spans="1:14" x14ac:dyDescent="0.25">
      <c r="A6211" s="22" t="s">
        <v>6325</v>
      </c>
      <c r="B6211" s="36">
        <v>46031.726388888885</v>
      </c>
      <c r="C6211" s="36">
        <v>46034.99722222222</v>
      </c>
      <c r="D6211" s="22" t="s">
        <v>36</v>
      </c>
      <c r="E6211" s="22" t="s">
        <v>65</v>
      </c>
      <c r="F6211" s="22" t="s">
        <v>34</v>
      </c>
      <c r="G6211" s="22" t="s">
        <v>126</v>
      </c>
      <c r="H6211" s="22" t="s">
        <v>59</v>
      </c>
      <c r="I6211" s="22" t="s">
        <v>117</v>
      </c>
      <c r="J6211" s="23">
        <v>48</v>
      </c>
      <c r="K6211" s="37">
        <v>0</v>
      </c>
      <c r="L6211" s="37">
        <v>4</v>
      </c>
      <c r="M6211" s="22">
        <f>IF(OR(ISBLANK(C6211),C6211=""),"",ROUND((C6211-B6211)*24,2))</f>
        <v>78.5</v>
      </c>
      <c r="N6211" s="38" t="str">
        <f>IF(OR(ISBLANK(C6211),C6211="",M6211=""),"In Progress",IF(M6211&lt;=J6211,"Met","Breached"))</f>
        <v>Breached</v>
      </c>
    </row>
    <row r="6212" ht="19" customHeight="1" spans="1:14" x14ac:dyDescent="0.25">
      <c r="A6212" s="19" t="s">
        <v>6326</v>
      </c>
      <c r="B6212" s="33">
        <v>45719.40347222222</v>
      </c>
      <c r="D6212" s="19" t="s">
        <v>42</v>
      </c>
      <c r="E6212" s="19" t="s">
        <v>65</v>
      </c>
      <c r="F6212" s="19" t="s">
        <v>37</v>
      </c>
      <c r="G6212" s="19" t="s">
        <v>113</v>
      </c>
      <c r="H6212" s="19" t="s">
        <v>59</v>
      </c>
      <c r="I6212" s="19" t="s">
        <v>111</v>
      </c>
      <c r="J6212" s="20">
        <v>48</v>
      </c>
      <c r="K6212" s="34">
        <v>0</v>
      </c>
      <c r="M6212" s="19" t="str">
        <f>IF(OR(ISBLANK(C6212),C6212=""),"",ROUND((C6212-B6212)*24,2))</f>
        <v/>
      </c>
      <c r="N6212" s="19" t="str">
        <f>IF(OR(ISBLANK(C6212),C6212="",M6212=""),"In Progress",IF(M6212&lt;=J6212,"Met","Breached"))</f>
        <v>In Progress</v>
      </c>
    </row>
    <row r="6213" ht="19" customHeight="1" spans="1:14" x14ac:dyDescent="0.25">
      <c r="A6213" s="22" t="s">
        <v>6327</v>
      </c>
      <c r="B6213" s="36">
        <v>45842.07291666667</v>
      </c>
      <c r="C6213" s="36">
        <v>45845.61944444444</v>
      </c>
      <c r="D6213" s="22" t="s">
        <v>33</v>
      </c>
      <c r="E6213" s="22" t="s">
        <v>65</v>
      </c>
      <c r="F6213" s="22" t="s">
        <v>37</v>
      </c>
      <c r="G6213" s="22" t="s">
        <v>116</v>
      </c>
      <c r="H6213" s="22" t="s">
        <v>63</v>
      </c>
      <c r="I6213" s="22" t="s">
        <v>123</v>
      </c>
      <c r="J6213" s="23">
        <v>48</v>
      </c>
      <c r="K6213" s="37">
        <v>0</v>
      </c>
      <c r="L6213" s="37">
        <v>5</v>
      </c>
      <c r="M6213" s="22">
        <f>IF(OR(ISBLANK(C6213),C6213=""),"",ROUND((C6213-B6213)*24,2))</f>
        <v>85.12</v>
      </c>
      <c r="N6213" s="38" t="str">
        <f>IF(OR(ISBLANK(C6213),C6213="",M6213=""),"In Progress",IF(M6213&lt;=J6213,"Met","Breached"))</f>
        <v>Breached</v>
      </c>
    </row>
    <row r="6214" ht="19" customHeight="1" spans="1:14" x14ac:dyDescent="0.25">
      <c r="A6214" s="19" t="s">
        <v>6328</v>
      </c>
      <c r="B6214" s="33">
        <v>46263.06527777778</v>
      </c>
      <c r="C6214" s="33">
        <v>46268.60763888889</v>
      </c>
      <c r="D6214" s="19" t="s">
        <v>33</v>
      </c>
      <c r="E6214" s="19" t="s">
        <v>69</v>
      </c>
      <c r="F6214" s="19" t="s">
        <v>37</v>
      </c>
      <c r="G6214" s="19" t="s">
        <v>110</v>
      </c>
      <c r="H6214" s="19" t="s">
        <v>59</v>
      </c>
      <c r="I6214" s="19" t="s">
        <v>147</v>
      </c>
      <c r="J6214" s="20">
        <v>120</v>
      </c>
      <c r="K6214" s="34">
        <v>0</v>
      </c>
      <c r="L6214" s="34">
        <v>3</v>
      </c>
      <c r="M6214" s="19">
        <f>IF(OR(ISBLANK(C6214),C6214=""),"",ROUND((C6214-B6214)*24,2))</f>
        <v>133.02</v>
      </c>
      <c r="N6214" s="39" t="str">
        <f>IF(OR(ISBLANK(C6214),C6214="",M6214=""),"In Progress",IF(M6214&lt;=J6214,"Met","Breached"))</f>
        <v>Breached</v>
      </c>
    </row>
    <row r="6215" ht="19" customHeight="1" spans="1:14" x14ac:dyDescent="0.25">
      <c r="A6215" s="22" t="s">
        <v>6329</v>
      </c>
      <c r="B6215" s="36">
        <v>45842.56805555556</v>
      </c>
      <c r="C6215" s="36">
        <v>45842.71875</v>
      </c>
      <c r="D6215" s="22" t="s">
        <v>33</v>
      </c>
      <c r="E6215" s="22" t="s">
        <v>57</v>
      </c>
      <c r="F6215" s="22" t="s">
        <v>37</v>
      </c>
      <c r="G6215" s="22" t="s">
        <v>116</v>
      </c>
      <c r="H6215" s="22" t="s">
        <v>71</v>
      </c>
      <c r="I6215" s="22" t="s">
        <v>147</v>
      </c>
      <c r="J6215" s="23">
        <v>4</v>
      </c>
      <c r="K6215" s="37">
        <v>0</v>
      </c>
      <c r="L6215" s="37">
        <v>4</v>
      </c>
      <c r="M6215" s="22">
        <f>IF(OR(ISBLANK(C6215),C6215=""),"",ROUND((C6215-B6215)*24,2))</f>
        <v>3.62</v>
      </c>
      <c r="N6215" s="40" t="str">
        <f>IF(OR(ISBLANK(C6215),C6215="",M6215=""),"In Progress",IF(M6215&lt;=J6215,"Met","Breached"))</f>
        <v>Met</v>
      </c>
    </row>
    <row r="6216" ht="19" customHeight="1" spans="1:14" x14ac:dyDescent="0.25">
      <c r="A6216" s="19" t="s">
        <v>6330</v>
      </c>
      <c r="B6216" s="33">
        <v>46108.23611111111</v>
      </c>
      <c r="C6216" s="33">
        <v>46116.455555555556</v>
      </c>
      <c r="D6216" s="19" t="s">
        <v>33</v>
      </c>
      <c r="E6216" s="19" t="s">
        <v>69</v>
      </c>
      <c r="F6216" s="19" t="s">
        <v>37</v>
      </c>
      <c r="G6216" s="19" t="s">
        <v>113</v>
      </c>
      <c r="H6216" s="19" t="s">
        <v>59</v>
      </c>
      <c r="I6216" s="19" t="s">
        <v>123</v>
      </c>
      <c r="J6216" s="20">
        <v>120</v>
      </c>
      <c r="K6216" s="34">
        <v>0</v>
      </c>
      <c r="L6216" s="34">
        <v>4</v>
      </c>
      <c r="M6216" s="19">
        <f>IF(OR(ISBLANK(C6216),C6216=""),"",ROUND((C6216-B6216)*24,2))</f>
        <v>197.27</v>
      </c>
      <c r="N6216" s="39" t="str">
        <f>IF(OR(ISBLANK(C6216),C6216="",M6216=""),"In Progress",IF(M6216&lt;=J6216,"Met","Breached"))</f>
        <v>Breached</v>
      </c>
    </row>
    <row r="6217" ht="19" customHeight="1" spans="1:14" x14ac:dyDescent="0.25">
      <c r="A6217" s="22" t="s">
        <v>6331</v>
      </c>
      <c r="B6217" s="36">
        <v>46121.09513888889</v>
      </c>
      <c r="D6217" s="22" t="s">
        <v>39</v>
      </c>
      <c r="E6217" s="22" t="s">
        <v>65</v>
      </c>
      <c r="F6217" s="22" t="s">
        <v>45</v>
      </c>
      <c r="G6217" s="22" t="s">
        <v>121</v>
      </c>
      <c r="H6217" s="22" t="s">
        <v>59</v>
      </c>
      <c r="I6217" s="22" t="s">
        <v>123</v>
      </c>
      <c r="J6217" s="23">
        <v>48</v>
      </c>
      <c r="K6217" s="37">
        <v>0</v>
      </c>
      <c r="M6217" s="22" t="str">
        <f>IF(OR(ISBLANK(C6217),C6217=""),"",ROUND((C6217-B6217)*24,2))</f>
        <v/>
      </c>
      <c r="N6217" s="22" t="str">
        <f>IF(OR(ISBLANK(C6217),C6217="",M6217=""),"In Progress",IF(M6217&lt;=J6217,"Met","Breached"))</f>
        <v>In Progress</v>
      </c>
    </row>
    <row r="6218" ht="19" customHeight="1" spans="1:14" x14ac:dyDescent="0.25">
      <c r="A6218" s="19" t="s">
        <v>6332</v>
      </c>
      <c r="B6218" s="33">
        <v>46171.836111111115</v>
      </c>
      <c r="C6218" s="33">
        <v>46176.89791666667</v>
      </c>
      <c r="D6218" s="19" t="s">
        <v>33</v>
      </c>
      <c r="E6218" s="19" t="s">
        <v>69</v>
      </c>
      <c r="F6218" s="19" t="s">
        <v>43</v>
      </c>
      <c r="G6218" s="19" t="s">
        <v>113</v>
      </c>
      <c r="H6218" s="19" t="s">
        <v>63</v>
      </c>
      <c r="I6218" s="19" t="s">
        <v>123</v>
      </c>
      <c r="J6218" s="20">
        <v>120</v>
      </c>
      <c r="K6218" s="34">
        <v>0</v>
      </c>
      <c r="L6218" s="34">
        <v>4</v>
      </c>
      <c r="M6218" s="19">
        <f>IF(OR(ISBLANK(C6218),C6218=""),"",ROUND((C6218-B6218)*24,2))</f>
        <v>121.48</v>
      </c>
      <c r="N6218" s="39" t="str">
        <f>IF(OR(ISBLANK(C6218),C6218="",M6218=""),"In Progress",IF(M6218&lt;=J6218,"Met","Breached"))</f>
        <v>Breached</v>
      </c>
    </row>
    <row r="6219" ht="19" customHeight="1" spans="1:14" x14ac:dyDescent="0.25">
      <c r="A6219" s="22" t="s">
        <v>6333</v>
      </c>
      <c r="B6219" s="36">
        <v>46157.98402777778</v>
      </c>
      <c r="C6219" s="36">
        <v>46161.10763888889</v>
      </c>
      <c r="D6219" s="22" t="s">
        <v>33</v>
      </c>
      <c r="E6219" s="22" t="s">
        <v>69</v>
      </c>
      <c r="F6219" s="22" t="s">
        <v>43</v>
      </c>
      <c r="G6219" s="22" t="s">
        <v>121</v>
      </c>
      <c r="H6219" s="22" t="s">
        <v>59</v>
      </c>
      <c r="I6219" s="22" t="s">
        <v>111</v>
      </c>
      <c r="J6219" s="23">
        <v>120</v>
      </c>
      <c r="K6219" s="37">
        <v>0</v>
      </c>
      <c r="L6219" s="37">
        <v>2</v>
      </c>
      <c r="M6219" s="22">
        <f>IF(OR(ISBLANK(C6219),C6219=""),"",ROUND((C6219-B6219)*24,2))</f>
        <v>74.97</v>
      </c>
      <c r="N6219" s="40" t="str">
        <f>IF(OR(ISBLANK(C6219),C6219="",M6219=""),"In Progress",IF(M6219&lt;=J6219,"Met","Breached"))</f>
        <v>Met</v>
      </c>
    </row>
    <row r="6220" ht="19" customHeight="1" spans="1:14" x14ac:dyDescent="0.25">
      <c r="A6220" s="19" t="s">
        <v>6334</v>
      </c>
      <c r="B6220" s="33">
        <v>46230.538194444445</v>
      </c>
      <c r="C6220" s="33">
        <v>46231.36111111111</v>
      </c>
      <c r="D6220" s="19" t="s">
        <v>33</v>
      </c>
      <c r="E6220" s="19" t="s">
        <v>65</v>
      </c>
      <c r="F6220" s="19" t="s">
        <v>45</v>
      </c>
      <c r="G6220" s="19" t="s">
        <v>121</v>
      </c>
      <c r="H6220" s="19" t="s">
        <v>67</v>
      </c>
      <c r="I6220" s="19" t="s">
        <v>147</v>
      </c>
      <c r="J6220" s="20">
        <v>48</v>
      </c>
      <c r="K6220" s="34">
        <v>1</v>
      </c>
      <c r="L6220" s="34">
        <v>4</v>
      </c>
      <c r="M6220" s="19">
        <f>IF(OR(ISBLANK(C6220),C6220=""),"",ROUND((C6220-B6220)*24,2))</f>
        <v>19.75</v>
      </c>
      <c r="N6220" s="35" t="str">
        <f>IF(OR(ISBLANK(C6220),C6220="",M6220=""),"In Progress",IF(M6220&lt;=J6220,"Met","Breached"))</f>
        <v>Met</v>
      </c>
    </row>
    <row r="6221" ht="19" customHeight="1" spans="1:14" x14ac:dyDescent="0.25">
      <c r="A6221" s="22" t="s">
        <v>6335</v>
      </c>
      <c r="B6221" s="36">
        <v>45746.99097222222</v>
      </c>
      <c r="D6221" s="22" t="s">
        <v>39</v>
      </c>
      <c r="E6221" s="22" t="s">
        <v>69</v>
      </c>
      <c r="F6221" s="22" t="s">
        <v>43</v>
      </c>
      <c r="G6221" s="22" t="s">
        <v>110</v>
      </c>
      <c r="H6221" s="22" t="s">
        <v>59</v>
      </c>
      <c r="I6221" s="22" t="s">
        <v>114</v>
      </c>
      <c r="J6221" s="23">
        <v>120</v>
      </c>
      <c r="K6221" s="37">
        <v>0</v>
      </c>
      <c r="M6221" s="22" t="str">
        <f>IF(OR(ISBLANK(C6221),C6221=""),"",ROUND((C6221-B6221)*24,2))</f>
        <v/>
      </c>
      <c r="N6221" s="22" t="str">
        <f>IF(OR(ISBLANK(C6221),C6221="",M6221=""),"In Progress",IF(M6221&lt;=J6221,"Met","Breached"))</f>
        <v>In Progress</v>
      </c>
    </row>
    <row r="6222" ht="19" customHeight="1" spans="1:14" x14ac:dyDescent="0.25">
      <c r="A6222" s="19" t="s">
        <v>6336</v>
      </c>
      <c r="B6222" s="33">
        <v>46103.40138888889</v>
      </c>
      <c r="C6222" s="33">
        <v>46103.95416666666</v>
      </c>
      <c r="D6222" s="19" t="s">
        <v>33</v>
      </c>
      <c r="E6222" s="19" t="s">
        <v>61</v>
      </c>
      <c r="F6222" s="19" t="s">
        <v>45</v>
      </c>
      <c r="G6222" s="19" t="s">
        <v>113</v>
      </c>
      <c r="H6222" s="19" t="s">
        <v>59</v>
      </c>
      <c r="I6222" s="19" t="s">
        <v>114</v>
      </c>
      <c r="J6222" s="20">
        <v>12</v>
      </c>
      <c r="K6222" s="34">
        <v>0</v>
      </c>
      <c r="L6222" s="34">
        <v>1</v>
      </c>
      <c r="M6222" s="19">
        <f>IF(OR(ISBLANK(C6222),C6222=""),"",ROUND((C6222-B6222)*24,2))</f>
        <v>13.27</v>
      </c>
      <c r="N6222" s="39" t="str">
        <f>IF(OR(ISBLANK(C6222),C6222="",M6222=""),"In Progress",IF(M6222&lt;=J6222,"Met","Breached"))</f>
        <v>Breached</v>
      </c>
    </row>
    <row r="6223" ht="19" customHeight="1" spans="1:14" x14ac:dyDescent="0.25">
      <c r="A6223" s="22" t="s">
        <v>6337</v>
      </c>
      <c r="B6223" s="36">
        <v>46240.90277777778</v>
      </c>
      <c r="C6223" s="36">
        <v>46241.33333333333</v>
      </c>
      <c r="D6223" s="22" t="s">
        <v>36</v>
      </c>
      <c r="E6223" s="22" t="s">
        <v>61</v>
      </c>
      <c r="F6223" s="22" t="s">
        <v>40</v>
      </c>
      <c r="G6223" s="22" t="s">
        <v>63</v>
      </c>
      <c r="H6223" s="22" t="s">
        <v>59</v>
      </c>
      <c r="I6223" s="22" t="s">
        <v>108</v>
      </c>
      <c r="J6223" s="23">
        <v>12</v>
      </c>
      <c r="K6223" s="37">
        <v>0</v>
      </c>
      <c r="L6223" s="37">
        <v>2</v>
      </c>
      <c r="M6223" s="22">
        <f>IF(OR(ISBLANK(C6223),C6223=""),"",ROUND((C6223-B6223)*24,2))</f>
        <v>10.33</v>
      </c>
      <c r="N6223" s="40" t="str">
        <f>IF(OR(ISBLANK(C6223),C6223="",M6223=""),"In Progress",IF(M6223&lt;=J6223,"Met","Breached"))</f>
        <v>Met</v>
      </c>
    </row>
    <row r="6224" ht="19" customHeight="1" spans="1:14" x14ac:dyDescent="0.25">
      <c r="A6224" s="19" t="s">
        <v>6338</v>
      </c>
      <c r="B6224" s="33">
        <v>46033.245833333334</v>
      </c>
      <c r="C6224" s="33">
        <v>46035.77847222222</v>
      </c>
      <c r="D6224" s="19" t="s">
        <v>33</v>
      </c>
      <c r="E6224" s="19" t="s">
        <v>65</v>
      </c>
      <c r="F6224" s="19" t="s">
        <v>34</v>
      </c>
      <c r="G6224" s="19" t="s">
        <v>63</v>
      </c>
      <c r="H6224" s="19" t="s">
        <v>63</v>
      </c>
      <c r="I6224" s="19" t="s">
        <v>123</v>
      </c>
      <c r="J6224" s="20">
        <v>48</v>
      </c>
      <c r="K6224" s="34">
        <v>0</v>
      </c>
      <c r="L6224" s="34">
        <v>4</v>
      </c>
      <c r="M6224" s="19">
        <f>IF(OR(ISBLANK(C6224),C6224=""),"",ROUND((C6224-B6224)*24,2))</f>
        <v>60.78</v>
      </c>
      <c r="N6224" s="39" t="str">
        <f>IF(OR(ISBLANK(C6224),C6224="",M6224=""),"In Progress",IF(M6224&lt;=J6224,"Met","Breached"))</f>
        <v>Breached</v>
      </c>
    </row>
    <row r="6225" ht="19" customHeight="1" spans="1:14" x14ac:dyDescent="0.25">
      <c r="A6225" s="22" t="s">
        <v>6339</v>
      </c>
      <c r="B6225" s="36">
        <v>45715.88055555556</v>
      </c>
      <c r="D6225" s="22" t="s">
        <v>42</v>
      </c>
      <c r="E6225" s="22" t="s">
        <v>65</v>
      </c>
      <c r="F6225" s="22" t="s">
        <v>34</v>
      </c>
      <c r="G6225" s="22" t="s">
        <v>113</v>
      </c>
      <c r="H6225" s="22" t="s">
        <v>63</v>
      </c>
      <c r="I6225" s="22" t="s">
        <v>108</v>
      </c>
      <c r="J6225" s="23">
        <v>48</v>
      </c>
      <c r="K6225" s="37">
        <v>0</v>
      </c>
      <c r="M6225" s="22" t="str">
        <f>IF(OR(ISBLANK(C6225),C6225=""),"",ROUND((C6225-B6225)*24,2))</f>
        <v/>
      </c>
      <c r="N6225" s="22" t="str">
        <f>IF(OR(ISBLANK(C6225),C6225="",M6225=""),"In Progress",IF(M6225&lt;=J6225,"Met","Breached"))</f>
        <v>In Progress</v>
      </c>
    </row>
    <row r="6226" ht="19" customHeight="1" spans="1:14" x14ac:dyDescent="0.25">
      <c r="A6226" s="19" t="s">
        <v>6340</v>
      </c>
      <c r="B6226" s="33">
        <v>46013.11597222222</v>
      </c>
      <c r="C6226" s="33">
        <v>46013.28402777778</v>
      </c>
      <c r="D6226" s="19" t="s">
        <v>36</v>
      </c>
      <c r="E6226" s="19" t="s">
        <v>57</v>
      </c>
      <c r="F6226" s="19" t="s">
        <v>40</v>
      </c>
      <c r="G6226" s="19" t="s">
        <v>63</v>
      </c>
      <c r="H6226" s="19" t="s">
        <v>59</v>
      </c>
      <c r="I6226" s="19" t="s">
        <v>111</v>
      </c>
      <c r="J6226" s="20">
        <v>4</v>
      </c>
      <c r="K6226" s="34">
        <v>0</v>
      </c>
      <c r="L6226" s="34">
        <v>2</v>
      </c>
      <c r="M6226" s="19">
        <f>IF(OR(ISBLANK(C6226),C6226=""),"",ROUND((C6226-B6226)*24,2))</f>
        <v>4.03</v>
      </c>
      <c r="N6226" s="39" t="str">
        <f>IF(OR(ISBLANK(C6226),C6226="",M6226=""),"In Progress",IF(M6226&lt;=J6226,"Met","Breached"))</f>
        <v>Breached</v>
      </c>
    </row>
    <row r="6227" ht="19" customHeight="1" spans="1:14" x14ac:dyDescent="0.25">
      <c r="A6227" s="22" t="s">
        <v>6341</v>
      </c>
      <c r="B6227" s="36">
        <v>45703.615277777775</v>
      </c>
      <c r="C6227" s="36">
        <v>45704.13611111111</v>
      </c>
      <c r="D6227" s="22" t="s">
        <v>33</v>
      </c>
      <c r="E6227" s="22" t="s">
        <v>61</v>
      </c>
      <c r="F6227" s="22" t="s">
        <v>43</v>
      </c>
      <c r="G6227" s="22" t="s">
        <v>63</v>
      </c>
      <c r="H6227" s="22" t="s">
        <v>59</v>
      </c>
      <c r="I6227" s="22" t="s">
        <v>111</v>
      </c>
      <c r="J6227" s="23">
        <v>12</v>
      </c>
      <c r="K6227" s="37">
        <v>0</v>
      </c>
      <c r="M6227" s="22">
        <f>IF(OR(ISBLANK(C6227),C6227=""),"",ROUND((C6227-B6227)*24,2))</f>
        <v>12.5</v>
      </c>
      <c r="N6227" s="38" t="str">
        <f>IF(OR(ISBLANK(C6227),C6227="",M6227=""),"In Progress",IF(M6227&lt;=J6227,"Met","Breached"))</f>
        <v>Breached</v>
      </c>
    </row>
    <row r="6228" ht="19" customHeight="1" spans="1:14" x14ac:dyDescent="0.25">
      <c r="A6228" s="19" t="s">
        <v>6342</v>
      </c>
      <c r="B6228" s="33">
        <v>45720.51180555555</v>
      </c>
      <c r="C6228" s="33">
        <v>45724.09375</v>
      </c>
      <c r="D6228" s="19" t="s">
        <v>36</v>
      </c>
      <c r="E6228" s="19" t="s">
        <v>65</v>
      </c>
      <c r="F6228" s="19" t="s">
        <v>37</v>
      </c>
      <c r="G6228" s="19" t="s">
        <v>110</v>
      </c>
      <c r="H6228" s="19" t="s">
        <v>63</v>
      </c>
      <c r="I6228" s="19" t="s">
        <v>108</v>
      </c>
      <c r="J6228" s="20">
        <v>48</v>
      </c>
      <c r="K6228" s="34">
        <v>0</v>
      </c>
      <c r="L6228" s="34">
        <v>2</v>
      </c>
      <c r="M6228" s="19">
        <f>IF(OR(ISBLANK(C6228),C6228=""),"",ROUND((C6228-B6228)*24,2))</f>
        <v>85.97</v>
      </c>
      <c r="N6228" s="39" t="str">
        <f>IF(OR(ISBLANK(C6228),C6228="",M6228=""),"In Progress",IF(M6228&lt;=J6228,"Met","Breached"))</f>
        <v>Breached</v>
      </c>
    </row>
    <row r="6229" ht="19" customHeight="1" spans="1:14" x14ac:dyDescent="0.25">
      <c r="A6229" s="22" t="s">
        <v>6343</v>
      </c>
      <c r="B6229" s="36">
        <v>45973.42569444445</v>
      </c>
      <c r="C6229" s="36">
        <v>45975.06111111111</v>
      </c>
      <c r="D6229" s="22" t="s">
        <v>36</v>
      </c>
      <c r="E6229" s="22" t="s">
        <v>65</v>
      </c>
      <c r="F6229" s="22" t="s">
        <v>34</v>
      </c>
      <c r="G6229" s="22" t="s">
        <v>63</v>
      </c>
      <c r="H6229" s="22" t="s">
        <v>63</v>
      </c>
      <c r="I6229" s="22" t="s">
        <v>108</v>
      </c>
      <c r="J6229" s="23">
        <v>48</v>
      </c>
      <c r="K6229" s="37">
        <v>0</v>
      </c>
      <c r="L6229" s="37">
        <v>1</v>
      </c>
      <c r="M6229" s="22">
        <f>IF(OR(ISBLANK(C6229),C6229=""),"",ROUND((C6229-B6229)*24,2))</f>
        <v>39.25</v>
      </c>
      <c r="N6229" s="40" t="str">
        <f>IF(OR(ISBLANK(C6229),C6229="",M6229=""),"In Progress",IF(M6229&lt;=J6229,"Met","Breached"))</f>
        <v>Met</v>
      </c>
    </row>
    <row r="6230" ht="19" customHeight="1" spans="1:14" x14ac:dyDescent="0.25">
      <c r="A6230" s="19" t="s">
        <v>6344</v>
      </c>
      <c r="B6230" s="33">
        <v>45825.183333333334</v>
      </c>
      <c r="C6230" s="33">
        <v>45826.35833333334</v>
      </c>
      <c r="D6230" s="19" t="s">
        <v>36</v>
      </c>
      <c r="E6230" s="19" t="s">
        <v>65</v>
      </c>
      <c r="F6230" s="19" t="s">
        <v>40</v>
      </c>
      <c r="G6230" s="19" t="s">
        <v>113</v>
      </c>
      <c r="H6230" s="19" t="s">
        <v>71</v>
      </c>
      <c r="I6230" s="19" t="s">
        <v>114</v>
      </c>
      <c r="J6230" s="20">
        <v>48</v>
      </c>
      <c r="K6230" s="34">
        <v>0</v>
      </c>
      <c r="L6230" s="34">
        <v>4</v>
      </c>
      <c r="M6230" s="19">
        <f>IF(OR(ISBLANK(C6230),C6230=""),"",ROUND((C6230-B6230)*24,2))</f>
        <v>28.2</v>
      </c>
      <c r="N6230" s="35" t="str">
        <f>IF(OR(ISBLANK(C6230),C6230="",M6230=""),"In Progress",IF(M6230&lt;=J6230,"Met","Breached"))</f>
        <v>Met</v>
      </c>
    </row>
    <row r="6231" ht="19" customHeight="1" spans="1:14" x14ac:dyDescent="0.25">
      <c r="A6231" s="22" t="s">
        <v>6345</v>
      </c>
      <c r="B6231" s="36">
        <v>45952.18194444444</v>
      </c>
      <c r="C6231" s="36">
        <v>45961.143055555556</v>
      </c>
      <c r="D6231" s="22" t="s">
        <v>36</v>
      </c>
      <c r="E6231" s="22" t="s">
        <v>69</v>
      </c>
      <c r="F6231" s="22" t="s">
        <v>34</v>
      </c>
      <c r="G6231" s="22" t="s">
        <v>113</v>
      </c>
      <c r="H6231" s="22" t="s">
        <v>59</v>
      </c>
      <c r="I6231" s="22" t="s">
        <v>123</v>
      </c>
      <c r="J6231" s="23">
        <v>120</v>
      </c>
      <c r="K6231" s="37">
        <v>0</v>
      </c>
      <c r="L6231" s="37">
        <v>3</v>
      </c>
      <c r="M6231" s="22">
        <f>IF(OR(ISBLANK(C6231),C6231=""),"",ROUND((C6231-B6231)*24,2))</f>
        <v>215.07</v>
      </c>
      <c r="N6231" s="38" t="str">
        <f>IF(OR(ISBLANK(C6231),C6231="",M6231=""),"In Progress",IF(M6231&lt;=J6231,"Met","Breached"))</f>
        <v>Breached</v>
      </c>
    </row>
    <row r="6232" ht="19" customHeight="1" spans="1:14" x14ac:dyDescent="0.25">
      <c r="A6232" s="19" t="s">
        <v>6346</v>
      </c>
      <c r="B6232" s="33">
        <v>46040.62638888889</v>
      </c>
      <c r="C6232" s="33">
        <v>46040.86666666667</v>
      </c>
      <c r="D6232" s="19" t="s">
        <v>36</v>
      </c>
      <c r="E6232" s="19" t="s">
        <v>61</v>
      </c>
      <c r="F6232" s="19" t="s">
        <v>34</v>
      </c>
      <c r="G6232" s="19" t="s">
        <v>126</v>
      </c>
      <c r="H6232" s="19" t="s">
        <v>67</v>
      </c>
      <c r="I6232" s="19" t="s">
        <v>123</v>
      </c>
      <c r="J6232" s="20">
        <v>12</v>
      </c>
      <c r="K6232" s="34">
        <v>0</v>
      </c>
      <c r="L6232" s="34">
        <v>4</v>
      </c>
      <c r="M6232" s="19">
        <f>IF(OR(ISBLANK(C6232),C6232=""),"",ROUND((C6232-B6232)*24,2))</f>
        <v>5.77</v>
      </c>
      <c r="N6232" s="35" t="str">
        <f>IF(OR(ISBLANK(C6232),C6232="",M6232=""),"In Progress",IF(M6232&lt;=J6232,"Met","Breached"))</f>
        <v>Met</v>
      </c>
    </row>
    <row r="6233" ht="19" customHeight="1" spans="1:14" x14ac:dyDescent="0.25">
      <c r="A6233" s="22" t="s">
        <v>6347</v>
      </c>
      <c r="B6233" s="36">
        <v>45661.91180555556</v>
      </c>
      <c r="D6233" s="22" t="s">
        <v>42</v>
      </c>
      <c r="E6233" s="22" t="s">
        <v>65</v>
      </c>
      <c r="F6233" s="22" t="s">
        <v>45</v>
      </c>
      <c r="G6233" s="22" t="s">
        <v>63</v>
      </c>
      <c r="H6233" s="22" t="s">
        <v>59</v>
      </c>
      <c r="I6233" s="22" t="s">
        <v>108</v>
      </c>
      <c r="J6233" s="23">
        <v>48</v>
      </c>
      <c r="K6233" s="37">
        <v>0</v>
      </c>
      <c r="M6233" s="22" t="str">
        <f>IF(OR(ISBLANK(C6233),C6233=""),"",ROUND((C6233-B6233)*24,2))</f>
        <v/>
      </c>
      <c r="N6233" s="22" t="str">
        <f>IF(OR(ISBLANK(C6233),C6233="",M6233=""),"In Progress",IF(M6233&lt;=J6233,"Met","Breached"))</f>
        <v>In Progress</v>
      </c>
    </row>
    <row r="6234" ht="19" customHeight="1" spans="1:14" x14ac:dyDescent="0.25">
      <c r="A6234" s="19" t="s">
        <v>6348</v>
      </c>
      <c r="B6234" s="33">
        <v>46047.51944444445</v>
      </c>
      <c r="C6234" s="33">
        <v>46050.413194444445</v>
      </c>
      <c r="D6234" s="19" t="s">
        <v>33</v>
      </c>
      <c r="E6234" s="19" t="s">
        <v>65</v>
      </c>
      <c r="F6234" s="19" t="s">
        <v>43</v>
      </c>
      <c r="G6234" s="19" t="s">
        <v>113</v>
      </c>
      <c r="H6234" s="19" t="s">
        <v>59</v>
      </c>
      <c r="I6234" s="19" t="s">
        <v>117</v>
      </c>
      <c r="J6234" s="20">
        <v>48</v>
      </c>
      <c r="K6234" s="34">
        <v>0</v>
      </c>
      <c r="L6234" s="34">
        <v>5</v>
      </c>
      <c r="M6234" s="19">
        <f>IF(OR(ISBLANK(C6234),C6234=""),"",ROUND((C6234-B6234)*24,2))</f>
        <v>69.45</v>
      </c>
      <c r="N6234" s="39" t="str">
        <f>IF(OR(ISBLANK(C6234),C6234="",M6234=""),"In Progress",IF(M6234&lt;=J6234,"Met","Breached"))</f>
        <v>Breached</v>
      </c>
    </row>
    <row r="6235" ht="19" customHeight="1" spans="1:14" x14ac:dyDescent="0.25">
      <c r="A6235" s="22" t="s">
        <v>6349</v>
      </c>
      <c r="B6235" s="36">
        <v>45994.336805555555</v>
      </c>
      <c r="D6235" s="22" t="s">
        <v>39</v>
      </c>
      <c r="E6235" s="22" t="s">
        <v>65</v>
      </c>
      <c r="F6235" s="22" t="s">
        <v>43</v>
      </c>
      <c r="G6235" s="22" t="s">
        <v>121</v>
      </c>
      <c r="H6235" s="22" t="s">
        <v>67</v>
      </c>
      <c r="I6235" s="22" t="s">
        <v>147</v>
      </c>
      <c r="J6235" s="23">
        <v>48</v>
      </c>
      <c r="K6235" s="37">
        <v>0</v>
      </c>
      <c r="M6235" s="22" t="str">
        <f>IF(OR(ISBLANK(C6235),C6235=""),"",ROUND((C6235-B6235)*24,2))</f>
        <v/>
      </c>
      <c r="N6235" s="22" t="str">
        <f>IF(OR(ISBLANK(C6235),C6235="",M6235=""),"In Progress",IF(M6235&lt;=J6235,"Met","Breached"))</f>
        <v>In Progress</v>
      </c>
    </row>
    <row r="6236" ht="19" customHeight="1" spans="1:14" x14ac:dyDescent="0.25">
      <c r="A6236" s="19" t="s">
        <v>6350</v>
      </c>
      <c r="B6236" s="33">
        <v>46007.71805555555</v>
      </c>
      <c r="C6236" s="33">
        <v>46010.46319444444</v>
      </c>
      <c r="D6236" s="19" t="s">
        <v>36</v>
      </c>
      <c r="E6236" s="19" t="s">
        <v>65</v>
      </c>
      <c r="F6236" s="19" t="s">
        <v>34</v>
      </c>
      <c r="G6236" s="19" t="s">
        <v>116</v>
      </c>
      <c r="H6236" s="19" t="s">
        <v>67</v>
      </c>
      <c r="I6236" s="19" t="s">
        <v>111</v>
      </c>
      <c r="J6236" s="20">
        <v>48</v>
      </c>
      <c r="K6236" s="34">
        <v>0</v>
      </c>
      <c r="M6236" s="19">
        <f>IF(OR(ISBLANK(C6236),C6236=""),"",ROUND((C6236-B6236)*24,2))</f>
        <v>65.88</v>
      </c>
      <c r="N6236" s="39" t="str">
        <f>IF(OR(ISBLANK(C6236),C6236="",M6236=""),"In Progress",IF(M6236&lt;=J6236,"Met","Breached"))</f>
        <v>Breached</v>
      </c>
    </row>
    <row r="6237" ht="19" customHeight="1" spans="1:14" x14ac:dyDescent="0.25">
      <c r="A6237" s="22" t="s">
        <v>6351</v>
      </c>
      <c r="B6237" s="36">
        <v>45994.38125</v>
      </c>
      <c r="D6237" s="22" t="s">
        <v>39</v>
      </c>
      <c r="E6237" s="22" t="s">
        <v>57</v>
      </c>
      <c r="F6237" s="22" t="s">
        <v>37</v>
      </c>
      <c r="G6237" s="22" t="s">
        <v>110</v>
      </c>
      <c r="H6237" s="22" t="s">
        <v>59</v>
      </c>
      <c r="I6237" s="22" t="s">
        <v>114</v>
      </c>
      <c r="J6237" s="23">
        <v>4</v>
      </c>
      <c r="K6237" s="37">
        <v>0</v>
      </c>
      <c r="M6237" s="22" t="str">
        <f>IF(OR(ISBLANK(C6237),C6237=""),"",ROUND((C6237-B6237)*24,2))</f>
        <v/>
      </c>
      <c r="N6237" s="22" t="str">
        <f>IF(OR(ISBLANK(C6237),C6237="",M6237=""),"In Progress",IF(M6237&lt;=J6237,"Met","Breached"))</f>
        <v>In Progress</v>
      </c>
    </row>
    <row r="6238" ht="19" customHeight="1" spans="1:14" x14ac:dyDescent="0.25">
      <c r="A6238" s="19" t="s">
        <v>6352</v>
      </c>
      <c r="B6238" s="33">
        <v>45702.59652777778</v>
      </c>
      <c r="C6238" s="33">
        <v>45703.36319444445</v>
      </c>
      <c r="D6238" s="19" t="s">
        <v>33</v>
      </c>
      <c r="E6238" s="19" t="s">
        <v>61</v>
      </c>
      <c r="F6238" s="19" t="s">
        <v>43</v>
      </c>
      <c r="G6238" s="19" t="s">
        <v>63</v>
      </c>
      <c r="H6238" s="19" t="s">
        <v>59</v>
      </c>
      <c r="I6238" s="19" t="s">
        <v>147</v>
      </c>
      <c r="J6238" s="20">
        <v>12</v>
      </c>
      <c r="K6238" s="34">
        <v>0</v>
      </c>
      <c r="L6238" s="34">
        <v>1</v>
      </c>
      <c r="M6238" s="19">
        <f>IF(OR(ISBLANK(C6238),C6238=""),"",ROUND((C6238-B6238)*24,2))</f>
        <v>18.4</v>
      </c>
      <c r="N6238" s="39" t="str">
        <f>IF(OR(ISBLANK(C6238),C6238="",M6238=""),"In Progress",IF(M6238&lt;=J6238,"Met","Breached"))</f>
        <v>Breached</v>
      </c>
    </row>
    <row r="6239" ht="19" customHeight="1" spans="1:14" x14ac:dyDescent="0.25">
      <c r="A6239" s="22" t="s">
        <v>6353</v>
      </c>
      <c r="B6239" s="36">
        <v>46118.069444444445</v>
      </c>
      <c r="C6239" s="36">
        <v>46118.49166666667</v>
      </c>
      <c r="D6239" s="22" t="s">
        <v>36</v>
      </c>
      <c r="E6239" s="22" t="s">
        <v>61</v>
      </c>
      <c r="F6239" s="22" t="s">
        <v>34</v>
      </c>
      <c r="G6239" s="22" t="s">
        <v>126</v>
      </c>
      <c r="H6239" s="22" t="s">
        <v>67</v>
      </c>
      <c r="I6239" s="22" t="s">
        <v>114</v>
      </c>
      <c r="J6239" s="23">
        <v>12</v>
      </c>
      <c r="K6239" s="37">
        <v>0</v>
      </c>
      <c r="L6239" s="37">
        <v>1</v>
      </c>
      <c r="M6239" s="22">
        <f>IF(OR(ISBLANK(C6239),C6239=""),"",ROUND((C6239-B6239)*24,2))</f>
        <v>10.13</v>
      </c>
      <c r="N6239" s="40" t="str">
        <f>IF(OR(ISBLANK(C6239),C6239="",M6239=""),"In Progress",IF(M6239&lt;=J6239,"Met","Breached"))</f>
        <v>Met</v>
      </c>
    </row>
    <row r="6240" ht="19" customHeight="1" spans="1:14" x14ac:dyDescent="0.25">
      <c r="A6240" s="19" t="s">
        <v>6354</v>
      </c>
      <c r="B6240" s="33">
        <v>45695.30416666667</v>
      </c>
      <c r="C6240" s="33">
        <v>45703.1375</v>
      </c>
      <c r="D6240" s="19" t="s">
        <v>33</v>
      </c>
      <c r="E6240" s="19" t="s">
        <v>69</v>
      </c>
      <c r="F6240" s="19" t="s">
        <v>40</v>
      </c>
      <c r="G6240" s="19" t="s">
        <v>110</v>
      </c>
      <c r="H6240" s="19" t="s">
        <v>67</v>
      </c>
      <c r="I6240" s="19" t="s">
        <v>147</v>
      </c>
      <c r="J6240" s="20">
        <v>120</v>
      </c>
      <c r="K6240" s="34">
        <v>0</v>
      </c>
      <c r="L6240" s="34">
        <v>3</v>
      </c>
      <c r="M6240" s="19">
        <f>IF(OR(ISBLANK(C6240),C6240=""),"",ROUND((C6240-B6240)*24,2))</f>
        <v>188</v>
      </c>
      <c r="N6240" s="39" t="str">
        <f>IF(OR(ISBLANK(C6240),C6240="",M6240=""),"In Progress",IF(M6240&lt;=J6240,"Met","Breached"))</f>
        <v>Breached</v>
      </c>
    </row>
    <row r="6241" ht="19" customHeight="1" spans="1:14" x14ac:dyDescent="0.25">
      <c r="A6241" s="22" t="s">
        <v>6355</v>
      </c>
      <c r="B6241" s="36">
        <v>45715.13402777778</v>
      </c>
      <c r="D6241" s="22" t="s">
        <v>39</v>
      </c>
      <c r="E6241" s="22" t="s">
        <v>65</v>
      </c>
      <c r="F6241" s="22" t="s">
        <v>43</v>
      </c>
      <c r="G6241" s="22" t="s">
        <v>113</v>
      </c>
      <c r="H6241" s="22" t="s">
        <v>59</v>
      </c>
      <c r="I6241" s="22" t="s">
        <v>147</v>
      </c>
      <c r="J6241" s="23">
        <v>48</v>
      </c>
      <c r="K6241" s="37">
        <v>0</v>
      </c>
      <c r="M6241" s="22" t="str">
        <f>IF(OR(ISBLANK(C6241),C6241=""),"",ROUND((C6241-B6241)*24,2))</f>
        <v/>
      </c>
      <c r="N6241" s="22" t="str">
        <f>IF(OR(ISBLANK(C6241),C6241="",M6241=""),"In Progress",IF(M6241&lt;=J6241,"Met","Breached"))</f>
        <v>In Progress</v>
      </c>
    </row>
    <row r="6242" ht="19" customHeight="1" spans="1:14" x14ac:dyDescent="0.25">
      <c r="A6242" s="19" t="s">
        <v>6356</v>
      </c>
      <c r="B6242" s="33">
        <v>45807.38333333333</v>
      </c>
      <c r="C6242" s="33">
        <v>45808.55972222222</v>
      </c>
      <c r="D6242" s="19" t="s">
        <v>33</v>
      </c>
      <c r="E6242" s="19" t="s">
        <v>65</v>
      </c>
      <c r="F6242" s="19" t="s">
        <v>40</v>
      </c>
      <c r="G6242" s="19" t="s">
        <v>126</v>
      </c>
      <c r="H6242" s="19" t="s">
        <v>63</v>
      </c>
      <c r="I6242" s="19" t="s">
        <v>111</v>
      </c>
      <c r="J6242" s="20">
        <v>48</v>
      </c>
      <c r="K6242" s="34">
        <v>0</v>
      </c>
      <c r="L6242" s="34">
        <v>5</v>
      </c>
      <c r="M6242" s="19">
        <f>IF(OR(ISBLANK(C6242),C6242=""),"",ROUND((C6242-B6242)*24,2))</f>
        <v>28.23</v>
      </c>
      <c r="N6242" s="35" t="str">
        <f>IF(OR(ISBLANK(C6242),C6242="",M6242=""),"In Progress",IF(M6242&lt;=J6242,"Met","Breached"))</f>
        <v>Met</v>
      </c>
    </row>
    <row r="6243" ht="19" customHeight="1" spans="1:14" x14ac:dyDescent="0.25">
      <c r="A6243" s="22" t="s">
        <v>6357</v>
      </c>
      <c r="B6243" s="36">
        <v>45959.177777777775</v>
      </c>
      <c r="C6243" s="36">
        <v>45961.96736111111</v>
      </c>
      <c r="D6243" s="22" t="s">
        <v>33</v>
      </c>
      <c r="E6243" s="22" t="s">
        <v>65</v>
      </c>
      <c r="F6243" s="22" t="s">
        <v>45</v>
      </c>
      <c r="G6243" s="22" t="s">
        <v>126</v>
      </c>
      <c r="H6243" s="22" t="s">
        <v>59</v>
      </c>
      <c r="I6243" s="22" t="s">
        <v>117</v>
      </c>
      <c r="J6243" s="23">
        <v>48</v>
      </c>
      <c r="K6243" s="37">
        <v>0</v>
      </c>
      <c r="L6243" s="37">
        <v>2</v>
      </c>
      <c r="M6243" s="22">
        <f>IF(OR(ISBLANK(C6243),C6243=""),"",ROUND((C6243-B6243)*24,2))</f>
        <v>66.95</v>
      </c>
      <c r="N6243" s="38" t="str">
        <f>IF(OR(ISBLANK(C6243),C6243="",M6243=""),"In Progress",IF(M6243&lt;=J6243,"Met","Breached"))</f>
        <v>Breached</v>
      </c>
    </row>
    <row r="6244" ht="19" customHeight="1" spans="1:14" x14ac:dyDescent="0.25">
      <c r="A6244" s="19" t="s">
        <v>6358</v>
      </c>
      <c r="B6244" s="33">
        <v>46083.663194444445</v>
      </c>
      <c r="C6244" s="33">
        <v>46087.302777777775</v>
      </c>
      <c r="D6244" s="19" t="s">
        <v>36</v>
      </c>
      <c r="E6244" s="19" t="s">
        <v>69</v>
      </c>
      <c r="F6244" s="19" t="s">
        <v>40</v>
      </c>
      <c r="G6244" s="19" t="s">
        <v>116</v>
      </c>
      <c r="H6244" s="19" t="s">
        <v>63</v>
      </c>
      <c r="I6244" s="19" t="s">
        <v>123</v>
      </c>
      <c r="J6244" s="20">
        <v>120</v>
      </c>
      <c r="K6244" s="34">
        <v>0</v>
      </c>
      <c r="L6244" s="34">
        <v>4</v>
      </c>
      <c r="M6244" s="19">
        <f>IF(OR(ISBLANK(C6244),C6244=""),"",ROUND((C6244-B6244)*24,2))</f>
        <v>87.35</v>
      </c>
      <c r="N6244" s="35" t="str">
        <f>IF(OR(ISBLANK(C6244),C6244="",M6244=""),"In Progress",IF(M6244&lt;=J6244,"Met","Breached"))</f>
        <v>Met</v>
      </c>
    </row>
    <row r="6245" ht="19" customHeight="1" spans="1:14" x14ac:dyDescent="0.25">
      <c r="A6245" s="22" t="s">
        <v>6359</v>
      </c>
      <c r="B6245" s="36">
        <v>45760.711805555555</v>
      </c>
      <c r="C6245" s="36">
        <v>45761.08888888889</v>
      </c>
      <c r="D6245" s="22" t="s">
        <v>33</v>
      </c>
      <c r="E6245" s="22" t="s">
        <v>61</v>
      </c>
      <c r="F6245" s="22" t="s">
        <v>34</v>
      </c>
      <c r="G6245" s="22" t="s">
        <v>116</v>
      </c>
      <c r="H6245" s="22" t="s">
        <v>67</v>
      </c>
      <c r="I6245" s="22" t="s">
        <v>111</v>
      </c>
      <c r="J6245" s="23">
        <v>12</v>
      </c>
      <c r="K6245" s="37">
        <v>0</v>
      </c>
      <c r="L6245" s="37">
        <v>5</v>
      </c>
      <c r="M6245" s="22">
        <f>IF(OR(ISBLANK(C6245),C6245=""),"",ROUND((C6245-B6245)*24,2))</f>
        <v>9.05</v>
      </c>
      <c r="N6245" s="40" t="str">
        <f>IF(OR(ISBLANK(C6245),C6245="",M6245=""),"In Progress",IF(M6245&lt;=J6245,"Met","Breached"))</f>
        <v>Met</v>
      </c>
    </row>
    <row r="6246" ht="19" customHeight="1" spans="1:14" x14ac:dyDescent="0.25">
      <c r="A6246" s="19" t="s">
        <v>6360</v>
      </c>
      <c r="B6246" s="33">
        <v>46165.37569444445</v>
      </c>
      <c r="C6246" s="33">
        <v>46166.92361111111</v>
      </c>
      <c r="D6246" s="19" t="s">
        <v>36</v>
      </c>
      <c r="E6246" s="19" t="s">
        <v>65</v>
      </c>
      <c r="F6246" s="19" t="s">
        <v>37</v>
      </c>
      <c r="G6246" s="19" t="s">
        <v>63</v>
      </c>
      <c r="H6246" s="19" t="s">
        <v>71</v>
      </c>
      <c r="I6246" s="19" t="s">
        <v>147</v>
      </c>
      <c r="J6246" s="20">
        <v>48</v>
      </c>
      <c r="K6246" s="34">
        <v>0</v>
      </c>
      <c r="L6246" s="34">
        <v>2</v>
      </c>
      <c r="M6246" s="19">
        <f>IF(OR(ISBLANK(C6246),C6246=""),"",ROUND((C6246-B6246)*24,2))</f>
        <v>37.15</v>
      </c>
      <c r="N6246" s="35" t="str">
        <f>IF(OR(ISBLANK(C6246),C6246="",M6246=""),"In Progress",IF(M6246&lt;=J6246,"Met","Breached"))</f>
        <v>Met</v>
      </c>
    </row>
    <row r="6247" ht="19" customHeight="1" spans="1:14" x14ac:dyDescent="0.25">
      <c r="A6247" s="22" t="s">
        <v>6361</v>
      </c>
      <c r="B6247" s="36">
        <v>46128.42152777778</v>
      </c>
      <c r="C6247" s="36">
        <v>46130.50347222222</v>
      </c>
      <c r="D6247" s="22" t="s">
        <v>33</v>
      </c>
      <c r="E6247" s="22" t="s">
        <v>65</v>
      </c>
      <c r="F6247" s="22" t="s">
        <v>40</v>
      </c>
      <c r="G6247" s="22" t="s">
        <v>113</v>
      </c>
      <c r="H6247" s="22" t="s">
        <v>63</v>
      </c>
      <c r="I6247" s="22" t="s">
        <v>114</v>
      </c>
      <c r="J6247" s="23">
        <v>48</v>
      </c>
      <c r="K6247" s="37">
        <v>0</v>
      </c>
      <c r="L6247" s="37">
        <v>2</v>
      </c>
      <c r="M6247" s="22">
        <f>IF(OR(ISBLANK(C6247),C6247=""),"",ROUND((C6247-B6247)*24,2))</f>
        <v>49.97</v>
      </c>
      <c r="N6247" s="38" t="str">
        <f>IF(OR(ISBLANK(C6247),C6247="",M6247=""),"In Progress",IF(M6247&lt;=J6247,"Met","Breached"))</f>
        <v>Breached</v>
      </c>
    </row>
    <row r="6248" ht="19" customHeight="1" spans="1:14" x14ac:dyDescent="0.25">
      <c r="A6248" s="19" t="s">
        <v>6362</v>
      </c>
      <c r="B6248" s="33">
        <v>45846.84652777778</v>
      </c>
      <c r="D6248" s="19" t="s">
        <v>39</v>
      </c>
      <c r="E6248" s="19" t="s">
        <v>65</v>
      </c>
      <c r="F6248" s="19" t="s">
        <v>43</v>
      </c>
      <c r="G6248" s="19" t="s">
        <v>63</v>
      </c>
      <c r="H6248" s="19" t="s">
        <v>59</v>
      </c>
      <c r="I6248" s="19" t="s">
        <v>123</v>
      </c>
      <c r="J6248" s="20">
        <v>48</v>
      </c>
      <c r="K6248" s="34">
        <v>0</v>
      </c>
      <c r="M6248" s="19" t="str">
        <f>IF(OR(ISBLANK(C6248),C6248=""),"",ROUND((C6248-B6248)*24,2))</f>
        <v/>
      </c>
      <c r="N6248" s="19" t="str">
        <f>IF(OR(ISBLANK(C6248),C6248="",M6248=""),"In Progress",IF(M6248&lt;=J6248,"Met","Breached"))</f>
        <v>In Progress</v>
      </c>
    </row>
    <row r="6249" ht="19" customHeight="1" spans="1:14" x14ac:dyDescent="0.25">
      <c r="A6249" s="22" t="s">
        <v>6363</v>
      </c>
      <c r="B6249" s="36">
        <v>45778.35555555555</v>
      </c>
      <c r="C6249" s="36">
        <v>45781.6125</v>
      </c>
      <c r="D6249" s="22" t="s">
        <v>36</v>
      </c>
      <c r="E6249" s="22" t="s">
        <v>69</v>
      </c>
      <c r="F6249" s="22" t="s">
        <v>45</v>
      </c>
      <c r="G6249" s="22" t="s">
        <v>63</v>
      </c>
      <c r="H6249" s="22" t="s">
        <v>59</v>
      </c>
      <c r="I6249" s="22" t="s">
        <v>114</v>
      </c>
      <c r="J6249" s="23">
        <v>120</v>
      </c>
      <c r="K6249" s="37">
        <v>0</v>
      </c>
      <c r="L6249" s="37">
        <v>4</v>
      </c>
      <c r="M6249" s="22">
        <f>IF(OR(ISBLANK(C6249),C6249=""),"",ROUND((C6249-B6249)*24,2))</f>
        <v>78.17</v>
      </c>
      <c r="N6249" s="40" t="str">
        <f>IF(OR(ISBLANK(C6249),C6249="",M6249=""),"In Progress",IF(M6249&lt;=J6249,"Met","Breached"))</f>
        <v>Met</v>
      </c>
    </row>
    <row r="6250" ht="19" customHeight="1" spans="1:14" x14ac:dyDescent="0.25">
      <c r="A6250" s="19" t="s">
        <v>6364</v>
      </c>
      <c r="B6250" s="33">
        <v>45856.052777777775</v>
      </c>
      <c r="C6250" s="33">
        <v>45858.54305555555</v>
      </c>
      <c r="D6250" s="19" t="s">
        <v>36</v>
      </c>
      <c r="E6250" s="19" t="s">
        <v>65</v>
      </c>
      <c r="F6250" s="19" t="s">
        <v>43</v>
      </c>
      <c r="G6250" s="19" t="s">
        <v>116</v>
      </c>
      <c r="H6250" s="19" t="s">
        <v>63</v>
      </c>
      <c r="I6250" s="19" t="s">
        <v>111</v>
      </c>
      <c r="J6250" s="20">
        <v>48</v>
      </c>
      <c r="K6250" s="34">
        <v>0</v>
      </c>
      <c r="L6250" s="34">
        <v>1</v>
      </c>
      <c r="M6250" s="19">
        <f>IF(OR(ISBLANK(C6250),C6250=""),"",ROUND((C6250-B6250)*24,2))</f>
        <v>59.77</v>
      </c>
      <c r="N6250" s="39" t="str">
        <f>IF(OR(ISBLANK(C6250),C6250="",M6250=""),"In Progress",IF(M6250&lt;=J6250,"Met","Breached"))</f>
        <v>Breached</v>
      </c>
    </row>
    <row r="6251" ht="19" customHeight="1" spans="1:14" x14ac:dyDescent="0.25">
      <c r="A6251" s="22" t="s">
        <v>6365</v>
      </c>
      <c r="B6251" s="36">
        <v>46194.07638888889</v>
      </c>
      <c r="C6251" s="36">
        <v>46194.51458333334</v>
      </c>
      <c r="D6251" s="22" t="s">
        <v>33</v>
      </c>
      <c r="E6251" s="22" t="s">
        <v>61</v>
      </c>
      <c r="F6251" s="22" t="s">
        <v>40</v>
      </c>
      <c r="G6251" s="22" t="s">
        <v>121</v>
      </c>
      <c r="H6251" s="22" t="s">
        <v>59</v>
      </c>
      <c r="I6251" s="22" t="s">
        <v>111</v>
      </c>
      <c r="J6251" s="23">
        <v>12</v>
      </c>
      <c r="K6251" s="37">
        <v>0</v>
      </c>
      <c r="M6251" s="22">
        <f>IF(OR(ISBLANK(C6251),C6251=""),"",ROUND((C6251-B6251)*24,2))</f>
        <v>10.52</v>
      </c>
      <c r="N6251" s="40" t="str">
        <f>IF(OR(ISBLANK(C6251),C6251="",M6251=""),"In Progress",IF(M6251&lt;=J6251,"Met","Breached"))</f>
        <v>Met</v>
      </c>
    </row>
    <row r="6252" ht="19" customHeight="1" spans="1:14" x14ac:dyDescent="0.25">
      <c r="A6252" s="19" t="s">
        <v>6366</v>
      </c>
      <c r="B6252" s="33">
        <v>45996.07291666667</v>
      </c>
      <c r="C6252" s="33">
        <v>45996.17361111111</v>
      </c>
      <c r="D6252" s="19" t="s">
        <v>36</v>
      </c>
      <c r="E6252" s="19" t="s">
        <v>57</v>
      </c>
      <c r="F6252" s="19" t="s">
        <v>43</v>
      </c>
      <c r="G6252" s="19" t="s">
        <v>116</v>
      </c>
      <c r="H6252" s="19" t="s">
        <v>71</v>
      </c>
      <c r="I6252" s="19" t="s">
        <v>123</v>
      </c>
      <c r="J6252" s="20">
        <v>4</v>
      </c>
      <c r="K6252" s="34">
        <v>0</v>
      </c>
      <c r="L6252" s="34">
        <v>4</v>
      </c>
      <c r="M6252" s="19">
        <f>IF(OR(ISBLANK(C6252),C6252=""),"",ROUND((C6252-B6252)*24,2))</f>
        <v>2.42</v>
      </c>
      <c r="N6252" s="35" t="str">
        <f>IF(OR(ISBLANK(C6252),C6252="",M6252=""),"In Progress",IF(M6252&lt;=J6252,"Met","Breached"))</f>
        <v>Met</v>
      </c>
    </row>
    <row r="6253" ht="19" customHeight="1" spans="1:14" x14ac:dyDescent="0.25">
      <c r="A6253" s="22" t="s">
        <v>6367</v>
      </c>
      <c r="B6253" s="36">
        <v>45855.48541666666</v>
      </c>
      <c r="C6253" s="36">
        <v>45855.75625</v>
      </c>
      <c r="D6253" s="22" t="s">
        <v>33</v>
      </c>
      <c r="E6253" s="22" t="s">
        <v>57</v>
      </c>
      <c r="F6253" s="22" t="s">
        <v>37</v>
      </c>
      <c r="G6253" s="22" t="s">
        <v>110</v>
      </c>
      <c r="H6253" s="22" t="s">
        <v>59</v>
      </c>
      <c r="I6253" s="22" t="s">
        <v>117</v>
      </c>
      <c r="J6253" s="23">
        <v>4</v>
      </c>
      <c r="K6253" s="37">
        <v>1</v>
      </c>
      <c r="L6253" s="37">
        <v>4</v>
      </c>
      <c r="M6253" s="22">
        <f>IF(OR(ISBLANK(C6253),C6253=""),"",ROUND((C6253-B6253)*24,2))</f>
        <v>6.5</v>
      </c>
      <c r="N6253" s="38" t="str">
        <f>IF(OR(ISBLANK(C6253),C6253="",M6253=""),"In Progress",IF(M6253&lt;=J6253,"Met","Breached"))</f>
        <v>Breached</v>
      </c>
    </row>
    <row r="6254" ht="19" customHeight="1" spans="1:14" x14ac:dyDescent="0.25">
      <c r="A6254" s="19" t="s">
        <v>6368</v>
      </c>
      <c r="B6254" s="33">
        <v>46022.48958333333</v>
      </c>
      <c r="C6254" s="33">
        <v>46025.933333333334</v>
      </c>
      <c r="D6254" s="19" t="s">
        <v>33</v>
      </c>
      <c r="E6254" s="19" t="s">
        <v>65</v>
      </c>
      <c r="F6254" s="19" t="s">
        <v>43</v>
      </c>
      <c r="G6254" s="19" t="s">
        <v>116</v>
      </c>
      <c r="H6254" s="19" t="s">
        <v>67</v>
      </c>
      <c r="I6254" s="19" t="s">
        <v>114</v>
      </c>
      <c r="J6254" s="20">
        <v>48</v>
      </c>
      <c r="K6254" s="34">
        <v>0</v>
      </c>
      <c r="M6254" s="19">
        <f>IF(OR(ISBLANK(C6254),C6254=""),"",ROUND((C6254-B6254)*24,2))</f>
        <v>82.65</v>
      </c>
      <c r="N6254" s="39" t="str">
        <f>IF(OR(ISBLANK(C6254),C6254="",M6254=""),"In Progress",IF(M6254&lt;=J6254,"Met","Breached"))</f>
        <v>Breached</v>
      </c>
    </row>
    <row r="6255" ht="19" customHeight="1" spans="1:14" x14ac:dyDescent="0.25">
      <c r="A6255" s="22" t="s">
        <v>6369</v>
      </c>
      <c r="B6255" s="36">
        <v>46032.37361111111</v>
      </c>
      <c r="C6255" s="36">
        <v>46034.424305555556</v>
      </c>
      <c r="D6255" s="22" t="s">
        <v>33</v>
      </c>
      <c r="E6255" s="22" t="s">
        <v>69</v>
      </c>
      <c r="F6255" s="22" t="s">
        <v>45</v>
      </c>
      <c r="G6255" s="22" t="s">
        <v>63</v>
      </c>
      <c r="H6255" s="22" t="s">
        <v>67</v>
      </c>
      <c r="I6255" s="22" t="s">
        <v>108</v>
      </c>
      <c r="J6255" s="23">
        <v>120</v>
      </c>
      <c r="K6255" s="37">
        <v>0</v>
      </c>
      <c r="L6255" s="37">
        <v>1</v>
      </c>
      <c r="M6255" s="22">
        <f>IF(OR(ISBLANK(C6255),C6255=""),"",ROUND((C6255-B6255)*24,2))</f>
        <v>49.22</v>
      </c>
      <c r="N6255" s="40" t="str">
        <f>IF(OR(ISBLANK(C6255),C6255="",M6255=""),"In Progress",IF(M6255&lt;=J6255,"Met","Breached"))</f>
        <v>Met</v>
      </c>
    </row>
    <row r="6256" ht="19" customHeight="1" spans="1:14" x14ac:dyDescent="0.25">
      <c r="A6256" s="19" t="s">
        <v>6370</v>
      </c>
      <c r="B6256" s="33">
        <v>46244.975</v>
      </c>
      <c r="C6256" s="33">
        <v>46247.09652777778</v>
      </c>
      <c r="D6256" s="19" t="s">
        <v>33</v>
      </c>
      <c r="E6256" s="19" t="s">
        <v>65</v>
      </c>
      <c r="F6256" s="19" t="s">
        <v>40</v>
      </c>
      <c r="G6256" s="19" t="s">
        <v>116</v>
      </c>
      <c r="H6256" s="19" t="s">
        <v>71</v>
      </c>
      <c r="I6256" s="19" t="s">
        <v>108</v>
      </c>
      <c r="J6256" s="20">
        <v>48</v>
      </c>
      <c r="K6256" s="34">
        <v>0</v>
      </c>
      <c r="L6256" s="34">
        <v>3</v>
      </c>
      <c r="M6256" s="19">
        <f>IF(OR(ISBLANK(C6256),C6256=""),"",ROUND((C6256-B6256)*24,2))</f>
        <v>50.92</v>
      </c>
      <c r="N6256" s="39" t="str">
        <f>IF(OR(ISBLANK(C6256),C6256="",M6256=""),"In Progress",IF(M6256&lt;=J6256,"Met","Breached"))</f>
        <v>Breached</v>
      </c>
    </row>
    <row r="6257" ht="19" customHeight="1" spans="1:14" x14ac:dyDescent="0.25">
      <c r="A6257" s="22" t="s">
        <v>6371</v>
      </c>
      <c r="B6257" s="36">
        <v>45895.15555555555</v>
      </c>
      <c r="C6257" s="36">
        <v>45897.48888888889</v>
      </c>
      <c r="D6257" s="22" t="s">
        <v>36</v>
      </c>
      <c r="E6257" s="22" t="s">
        <v>65</v>
      </c>
      <c r="F6257" s="22" t="s">
        <v>43</v>
      </c>
      <c r="G6257" s="22" t="s">
        <v>110</v>
      </c>
      <c r="H6257" s="22" t="s">
        <v>63</v>
      </c>
      <c r="I6257" s="22" t="s">
        <v>111</v>
      </c>
      <c r="J6257" s="23">
        <v>48</v>
      </c>
      <c r="K6257" s="37">
        <v>0</v>
      </c>
      <c r="M6257" s="22">
        <f>IF(OR(ISBLANK(C6257),C6257=""),"",ROUND((C6257-B6257)*24,2))</f>
        <v>56</v>
      </c>
      <c r="N6257" s="38" t="str">
        <f>IF(OR(ISBLANK(C6257),C6257="",M6257=""),"In Progress",IF(M6257&lt;=J6257,"Met","Breached"))</f>
        <v>Breached</v>
      </c>
    </row>
    <row r="6258" ht="19" customHeight="1" spans="1:14" x14ac:dyDescent="0.25">
      <c r="A6258" s="19" t="s">
        <v>6372</v>
      </c>
      <c r="B6258" s="33">
        <v>45954.67083333334</v>
      </c>
      <c r="C6258" s="33">
        <v>45955.47777777778</v>
      </c>
      <c r="D6258" s="19" t="s">
        <v>33</v>
      </c>
      <c r="E6258" s="19" t="s">
        <v>61</v>
      </c>
      <c r="F6258" s="19" t="s">
        <v>34</v>
      </c>
      <c r="G6258" s="19" t="s">
        <v>63</v>
      </c>
      <c r="H6258" s="19" t="s">
        <v>67</v>
      </c>
      <c r="I6258" s="19" t="s">
        <v>147</v>
      </c>
      <c r="J6258" s="20">
        <v>12</v>
      </c>
      <c r="K6258" s="34">
        <v>0</v>
      </c>
      <c r="M6258" s="19">
        <f>IF(OR(ISBLANK(C6258),C6258=""),"",ROUND((C6258-B6258)*24,2))</f>
        <v>19.37</v>
      </c>
      <c r="N6258" s="39" t="str">
        <f>IF(OR(ISBLANK(C6258),C6258="",M6258=""),"In Progress",IF(M6258&lt;=J6258,"Met","Breached"))</f>
        <v>Breached</v>
      </c>
    </row>
    <row r="6259" ht="19" customHeight="1" spans="1:14" x14ac:dyDescent="0.25">
      <c r="A6259" s="22" t="s">
        <v>6373</v>
      </c>
      <c r="B6259" s="36">
        <v>45801.365277777775</v>
      </c>
      <c r="C6259" s="36">
        <v>45802.65833333333</v>
      </c>
      <c r="D6259" s="22" t="s">
        <v>33</v>
      </c>
      <c r="E6259" s="22" t="s">
        <v>65</v>
      </c>
      <c r="F6259" s="22" t="s">
        <v>40</v>
      </c>
      <c r="G6259" s="22" t="s">
        <v>121</v>
      </c>
      <c r="H6259" s="22" t="s">
        <v>59</v>
      </c>
      <c r="I6259" s="22" t="s">
        <v>108</v>
      </c>
      <c r="J6259" s="23">
        <v>48</v>
      </c>
      <c r="K6259" s="37">
        <v>0</v>
      </c>
      <c r="M6259" s="22">
        <f>IF(OR(ISBLANK(C6259),C6259=""),"",ROUND((C6259-B6259)*24,2))</f>
        <v>31.03</v>
      </c>
      <c r="N6259" s="40" t="str">
        <f>IF(OR(ISBLANK(C6259),C6259="",M6259=""),"In Progress",IF(M6259&lt;=J6259,"Met","Breached"))</f>
        <v>Met</v>
      </c>
    </row>
    <row r="6260" ht="19" customHeight="1" spans="1:14" x14ac:dyDescent="0.25">
      <c r="A6260" s="19" t="s">
        <v>6374</v>
      </c>
      <c r="B6260" s="33">
        <v>45837.80069444445</v>
      </c>
      <c r="C6260" s="33">
        <v>45844.17638888889</v>
      </c>
      <c r="D6260" s="19" t="s">
        <v>33</v>
      </c>
      <c r="E6260" s="19" t="s">
        <v>69</v>
      </c>
      <c r="F6260" s="19" t="s">
        <v>34</v>
      </c>
      <c r="G6260" s="19" t="s">
        <v>121</v>
      </c>
      <c r="H6260" s="19" t="s">
        <v>67</v>
      </c>
      <c r="I6260" s="19" t="s">
        <v>147</v>
      </c>
      <c r="J6260" s="20">
        <v>120</v>
      </c>
      <c r="K6260" s="34">
        <v>1</v>
      </c>
      <c r="M6260" s="19">
        <f>IF(OR(ISBLANK(C6260),C6260=""),"",ROUND((C6260-B6260)*24,2))</f>
        <v>153.02</v>
      </c>
      <c r="N6260" s="39" t="str">
        <f>IF(OR(ISBLANK(C6260),C6260="",M6260=""),"In Progress",IF(M6260&lt;=J6260,"Met","Breached"))</f>
        <v>Breached</v>
      </c>
    </row>
    <row r="6261" ht="19" customHeight="1" spans="1:14" x14ac:dyDescent="0.25">
      <c r="A6261" s="22" t="s">
        <v>6375</v>
      </c>
      <c r="B6261" s="36">
        <v>45984.50208333333</v>
      </c>
      <c r="C6261" s="36">
        <v>45990.225</v>
      </c>
      <c r="D6261" s="22" t="s">
        <v>36</v>
      </c>
      <c r="E6261" s="22" t="s">
        <v>69</v>
      </c>
      <c r="F6261" s="22" t="s">
        <v>34</v>
      </c>
      <c r="G6261" s="22" t="s">
        <v>126</v>
      </c>
      <c r="H6261" s="22" t="s">
        <v>59</v>
      </c>
      <c r="I6261" s="22" t="s">
        <v>108</v>
      </c>
      <c r="J6261" s="23">
        <v>120</v>
      </c>
      <c r="K6261" s="37">
        <v>0</v>
      </c>
      <c r="M6261" s="22">
        <f>IF(OR(ISBLANK(C6261),C6261=""),"",ROUND((C6261-B6261)*24,2))</f>
        <v>137.35</v>
      </c>
      <c r="N6261" s="38" t="str">
        <f>IF(OR(ISBLANK(C6261),C6261="",M6261=""),"In Progress",IF(M6261&lt;=J6261,"Met","Breached"))</f>
        <v>Breached</v>
      </c>
    </row>
    <row r="6262" ht="19" customHeight="1" spans="1:14" x14ac:dyDescent="0.25">
      <c r="A6262" s="19" t="s">
        <v>6376</v>
      </c>
      <c r="B6262" s="33">
        <v>45837.42291666666</v>
      </c>
      <c r="C6262" s="33">
        <v>45838.054861111115</v>
      </c>
      <c r="D6262" s="19" t="s">
        <v>33</v>
      </c>
      <c r="E6262" s="19" t="s">
        <v>61</v>
      </c>
      <c r="F6262" s="19" t="s">
        <v>34</v>
      </c>
      <c r="G6262" s="19" t="s">
        <v>121</v>
      </c>
      <c r="H6262" s="19" t="s">
        <v>71</v>
      </c>
      <c r="I6262" s="19" t="s">
        <v>111</v>
      </c>
      <c r="J6262" s="20">
        <v>12</v>
      </c>
      <c r="K6262" s="34">
        <v>0</v>
      </c>
      <c r="L6262" s="34">
        <v>3</v>
      </c>
      <c r="M6262" s="19">
        <f>IF(OR(ISBLANK(C6262),C6262=""),"",ROUND((C6262-B6262)*24,2))</f>
        <v>15.17</v>
      </c>
      <c r="N6262" s="39" t="str">
        <f>IF(OR(ISBLANK(C6262),C6262="",M6262=""),"In Progress",IF(M6262&lt;=J6262,"Met","Breached"))</f>
        <v>Breached</v>
      </c>
    </row>
    <row r="6263" ht="19" customHeight="1" spans="1:14" x14ac:dyDescent="0.25">
      <c r="A6263" s="22" t="s">
        <v>6377</v>
      </c>
      <c r="B6263" s="36">
        <v>46274.10555555555</v>
      </c>
      <c r="D6263" s="22" t="s">
        <v>42</v>
      </c>
      <c r="E6263" s="22" t="s">
        <v>65</v>
      </c>
      <c r="F6263" s="22" t="s">
        <v>45</v>
      </c>
      <c r="G6263" s="22" t="s">
        <v>110</v>
      </c>
      <c r="H6263" s="22" t="s">
        <v>59</v>
      </c>
      <c r="I6263" s="22" t="s">
        <v>114</v>
      </c>
      <c r="J6263" s="23">
        <v>48</v>
      </c>
      <c r="K6263" s="37">
        <v>0</v>
      </c>
      <c r="M6263" s="22" t="str">
        <f>IF(OR(ISBLANK(C6263),C6263=""),"",ROUND((C6263-B6263)*24,2))</f>
        <v/>
      </c>
      <c r="N6263" s="22" t="str">
        <f>IF(OR(ISBLANK(C6263),C6263="",M6263=""),"In Progress",IF(M6263&lt;=J6263,"Met","Breached"))</f>
        <v>In Progress</v>
      </c>
    </row>
    <row r="6264" ht="19" customHeight="1" spans="1:14" x14ac:dyDescent="0.25">
      <c r="A6264" s="19" t="s">
        <v>6378</v>
      </c>
      <c r="B6264" s="33">
        <v>46173.47986111111</v>
      </c>
      <c r="C6264" s="33">
        <v>46180.652083333334</v>
      </c>
      <c r="D6264" s="19" t="s">
        <v>33</v>
      </c>
      <c r="E6264" s="19" t="s">
        <v>69</v>
      </c>
      <c r="F6264" s="19" t="s">
        <v>37</v>
      </c>
      <c r="G6264" s="19" t="s">
        <v>110</v>
      </c>
      <c r="H6264" s="19" t="s">
        <v>59</v>
      </c>
      <c r="I6264" s="19" t="s">
        <v>114</v>
      </c>
      <c r="J6264" s="20">
        <v>120</v>
      </c>
      <c r="K6264" s="34">
        <v>0</v>
      </c>
      <c r="L6264" s="34">
        <v>5</v>
      </c>
      <c r="M6264" s="19">
        <f>IF(OR(ISBLANK(C6264),C6264=""),"",ROUND((C6264-B6264)*24,2))</f>
        <v>172.13</v>
      </c>
      <c r="N6264" s="39" t="str">
        <f>IF(OR(ISBLANK(C6264),C6264="",M6264=""),"In Progress",IF(M6264&lt;=J6264,"Met","Breached"))</f>
        <v>Breached</v>
      </c>
    </row>
    <row r="6265" ht="19" customHeight="1" spans="1:14" x14ac:dyDescent="0.25">
      <c r="A6265" s="22" t="s">
        <v>6379</v>
      </c>
      <c r="B6265" s="36">
        <v>46220.82916666666</v>
      </c>
      <c r="C6265" s="36">
        <v>46221.54722222222</v>
      </c>
      <c r="D6265" s="22" t="s">
        <v>33</v>
      </c>
      <c r="E6265" s="22" t="s">
        <v>61</v>
      </c>
      <c r="F6265" s="22" t="s">
        <v>34</v>
      </c>
      <c r="G6265" s="22" t="s">
        <v>116</v>
      </c>
      <c r="H6265" s="22" t="s">
        <v>59</v>
      </c>
      <c r="I6265" s="22" t="s">
        <v>111</v>
      </c>
      <c r="J6265" s="23">
        <v>12</v>
      </c>
      <c r="K6265" s="37">
        <v>0</v>
      </c>
      <c r="L6265" s="37">
        <v>5</v>
      </c>
      <c r="M6265" s="22">
        <f>IF(OR(ISBLANK(C6265),C6265=""),"",ROUND((C6265-B6265)*24,2))</f>
        <v>17.23</v>
      </c>
      <c r="N6265" s="38" t="str">
        <f>IF(OR(ISBLANK(C6265),C6265="",M6265=""),"In Progress",IF(M6265&lt;=J6265,"Met","Breached"))</f>
        <v>Breached</v>
      </c>
    </row>
    <row r="6266" ht="19" customHeight="1" spans="1:14" x14ac:dyDescent="0.25">
      <c r="A6266" s="19" t="s">
        <v>6380</v>
      </c>
      <c r="B6266" s="33">
        <v>46267.56597222222</v>
      </c>
      <c r="C6266" s="33">
        <v>46267.74375</v>
      </c>
      <c r="D6266" s="19" t="s">
        <v>33</v>
      </c>
      <c r="E6266" s="19" t="s">
        <v>57</v>
      </c>
      <c r="F6266" s="19" t="s">
        <v>45</v>
      </c>
      <c r="G6266" s="19" t="s">
        <v>110</v>
      </c>
      <c r="H6266" s="19" t="s">
        <v>71</v>
      </c>
      <c r="I6266" s="19" t="s">
        <v>147</v>
      </c>
      <c r="J6266" s="20">
        <v>4</v>
      </c>
      <c r="K6266" s="34">
        <v>0</v>
      </c>
      <c r="L6266" s="34">
        <v>5</v>
      </c>
      <c r="M6266" s="19">
        <f>IF(OR(ISBLANK(C6266),C6266=""),"",ROUND((C6266-B6266)*24,2))</f>
        <v>4.27</v>
      </c>
      <c r="N6266" s="39" t="str">
        <f>IF(OR(ISBLANK(C6266),C6266="",M6266=""),"In Progress",IF(M6266&lt;=J6266,"Met","Breached"))</f>
        <v>Breached</v>
      </c>
    </row>
    <row r="6267" ht="19" customHeight="1" spans="1:14" x14ac:dyDescent="0.25">
      <c r="A6267" s="22" t="s">
        <v>6381</v>
      </c>
      <c r="B6267" s="36">
        <v>46250.65486111111</v>
      </c>
      <c r="C6267" s="36">
        <v>46251.02777777778</v>
      </c>
      <c r="D6267" s="22" t="s">
        <v>33</v>
      </c>
      <c r="E6267" s="22" t="s">
        <v>61</v>
      </c>
      <c r="F6267" s="22" t="s">
        <v>40</v>
      </c>
      <c r="G6267" s="22" t="s">
        <v>63</v>
      </c>
      <c r="H6267" s="22" t="s">
        <v>63</v>
      </c>
      <c r="I6267" s="22" t="s">
        <v>114</v>
      </c>
      <c r="J6267" s="23">
        <v>12</v>
      </c>
      <c r="K6267" s="37">
        <v>0</v>
      </c>
      <c r="L6267" s="37">
        <v>3</v>
      </c>
      <c r="M6267" s="22">
        <f>IF(OR(ISBLANK(C6267),C6267=""),"",ROUND((C6267-B6267)*24,2))</f>
        <v>8.95</v>
      </c>
      <c r="N6267" s="40" t="str">
        <f>IF(OR(ISBLANK(C6267),C6267="",M6267=""),"In Progress",IF(M6267&lt;=J6267,"Met","Breached"))</f>
        <v>Met</v>
      </c>
    </row>
    <row r="6268" ht="19" customHeight="1" spans="1:14" x14ac:dyDescent="0.25">
      <c r="A6268" s="19" t="s">
        <v>6382</v>
      </c>
      <c r="B6268" s="33">
        <v>45661.81111111111</v>
      </c>
      <c r="C6268" s="33">
        <v>45662.37638888889</v>
      </c>
      <c r="D6268" s="19" t="s">
        <v>36</v>
      </c>
      <c r="E6268" s="19" t="s">
        <v>61</v>
      </c>
      <c r="F6268" s="19" t="s">
        <v>45</v>
      </c>
      <c r="G6268" s="19" t="s">
        <v>116</v>
      </c>
      <c r="H6268" s="19" t="s">
        <v>63</v>
      </c>
      <c r="I6268" s="19" t="s">
        <v>108</v>
      </c>
      <c r="J6268" s="20">
        <v>12</v>
      </c>
      <c r="K6268" s="34">
        <v>0</v>
      </c>
      <c r="L6268" s="34">
        <v>2</v>
      </c>
      <c r="M6268" s="19">
        <f>IF(OR(ISBLANK(C6268),C6268=""),"",ROUND((C6268-B6268)*24,2))</f>
        <v>13.57</v>
      </c>
      <c r="N6268" s="39" t="str">
        <f>IF(OR(ISBLANK(C6268),C6268="",M6268=""),"In Progress",IF(M6268&lt;=J6268,"Met","Breached"))</f>
        <v>Breached</v>
      </c>
    </row>
    <row r="6269" ht="19" customHeight="1" spans="1:14" x14ac:dyDescent="0.25">
      <c r="A6269" s="22" t="s">
        <v>6383</v>
      </c>
      <c r="B6269" s="36">
        <v>46169.51458333334</v>
      </c>
      <c r="C6269" s="36">
        <v>46170.41458333333</v>
      </c>
      <c r="D6269" s="22" t="s">
        <v>33</v>
      </c>
      <c r="E6269" s="22" t="s">
        <v>61</v>
      </c>
      <c r="F6269" s="22" t="s">
        <v>45</v>
      </c>
      <c r="G6269" s="22" t="s">
        <v>126</v>
      </c>
      <c r="H6269" s="22" t="s">
        <v>63</v>
      </c>
      <c r="I6269" s="22" t="s">
        <v>108</v>
      </c>
      <c r="J6269" s="23">
        <v>12</v>
      </c>
      <c r="K6269" s="37">
        <v>0</v>
      </c>
      <c r="L6269" s="37">
        <v>4</v>
      </c>
      <c r="M6269" s="22">
        <f>IF(OR(ISBLANK(C6269),C6269=""),"",ROUND((C6269-B6269)*24,2))</f>
        <v>21.6</v>
      </c>
      <c r="N6269" s="38" t="str">
        <f>IF(OR(ISBLANK(C6269),C6269="",M6269=""),"In Progress",IF(M6269&lt;=J6269,"Met","Breached"))</f>
        <v>Breached</v>
      </c>
    </row>
    <row r="6270" ht="19" customHeight="1" spans="1:14" x14ac:dyDescent="0.25">
      <c r="A6270" s="19" t="s">
        <v>6384</v>
      </c>
      <c r="B6270" s="33">
        <v>45849.995833333334</v>
      </c>
      <c r="D6270" s="19" t="s">
        <v>39</v>
      </c>
      <c r="E6270" s="19" t="s">
        <v>61</v>
      </c>
      <c r="F6270" s="19" t="s">
        <v>45</v>
      </c>
      <c r="G6270" s="19" t="s">
        <v>113</v>
      </c>
      <c r="H6270" s="19" t="s">
        <v>63</v>
      </c>
      <c r="I6270" s="19" t="s">
        <v>108</v>
      </c>
      <c r="J6270" s="20">
        <v>12</v>
      </c>
      <c r="K6270" s="34">
        <v>0</v>
      </c>
      <c r="M6270" s="19" t="str">
        <f>IF(OR(ISBLANK(C6270),C6270=""),"",ROUND((C6270-B6270)*24,2))</f>
        <v/>
      </c>
      <c r="N6270" s="19" t="str">
        <f>IF(OR(ISBLANK(C6270),C6270="",M6270=""),"In Progress",IF(M6270&lt;=J6270,"Met","Breached"))</f>
        <v>In Progress</v>
      </c>
    </row>
    <row r="6271" ht="19" customHeight="1" spans="1:14" x14ac:dyDescent="0.25">
      <c r="A6271" s="22" t="s">
        <v>6385</v>
      </c>
      <c r="B6271" s="36">
        <v>45894.13333333333</v>
      </c>
      <c r="C6271" s="36">
        <v>45894.42013888889</v>
      </c>
      <c r="D6271" s="22" t="s">
        <v>33</v>
      </c>
      <c r="E6271" s="22" t="s">
        <v>61</v>
      </c>
      <c r="F6271" s="22" t="s">
        <v>37</v>
      </c>
      <c r="G6271" s="22" t="s">
        <v>126</v>
      </c>
      <c r="H6271" s="22" t="s">
        <v>59</v>
      </c>
      <c r="I6271" s="22" t="s">
        <v>117</v>
      </c>
      <c r="J6271" s="23">
        <v>12</v>
      </c>
      <c r="K6271" s="37">
        <v>0</v>
      </c>
      <c r="M6271" s="22">
        <f>IF(OR(ISBLANK(C6271),C6271=""),"",ROUND((C6271-B6271)*24,2))</f>
        <v>6.88</v>
      </c>
      <c r="N6271" s="40" t="str">
        <f>IF(OR(ISBLANK(C6271),C6271="",M6271=""),"In Progress",IF(M6271&lt;=J6271,"Met","Breached"))</f>
        <v>Met</v>
      </c>
    </row>
    <row r="6272" ht="19" customHeight="1" spans="1:14" x14ac:dyDescent="0.25">
      <c r="A6272" s="19" t="s">
        <v>6386</v>
      </c>
      <c r="B6272" s="33">
        <v>45719.240277777775</v>
      </c>
      <c r="C6272" s="33">
        <v>45719.51458333334</v>
      </c>
      <c r="D6272" s="19" t="s">
        <v>33</v>
      </c>
      <c r="E6272" s="19" t="s">
        <v>57</v>
      </c>
      <c r="F6272" s="19" t="s">
        <v>43</v>
      </c>
      <c r="G6272" s="19" t="s">
        <v>116</v>
      </c>
      <c r="H6272" s="19" t="s">
        <v>67</v>
      </c>
      <c r="I6272" s="19" t="s">
        <v>108</v>
      </c>
      <c r="J6272" s="20">
        <v>4</v>
      </c>
      <c r="K6272" s="34">
        <v>0</v>
      </c>
      <c r="L6272" s="34">
        <v>4</v>
      </c>
      <c r="M6272" s="19">
        <f>IF(OR(ISBLANK(C6272),C6272=""),"",ROUND((C6272-B6272)*24,2))</f>
        <v>6.58</v>
      </c>
      <c r="N6272" s="39" t="str">
        <f>IF(OR(ISBLANK(C6272),C6272="",M6272=""),"In Progress",IF(M6272&lt;=J6272,"Met","Breached"))</f>
        <v>Breached</v>
      </c>
    </row>
    <row r="6273" ht="19" customHeight="1" spans="1:14" x14ac:dyDescent="0.25">
      <c r="A6273" s="22" t="s">
        <v>6387</v>
      </c>
      <c r="B6273" s="36">
        <v>46153.31041666667</v>
      </c>
      <c r="C6273" s="36">
        <v>46158.91527777778</v>
      </c>
      <c r="D6273" s="22" t="s">
        <v>33</v>
      </c>
      <c r="E6273" s="22" t="s">
        <v>69</v>
      </c>
      <c r="F6273" s="22" t="s">
        <v>43</v>
      </c>
      <c r="G6273" s="22" t="s">
        <v>116</v>
      </c>
      <c r="H6273" s="22" t="s">
        <v>63</v>
      </c>
      <c r="I6273" s="22" t="s">
        <v>108</v>
      </c>
      <c r="J6273" s="23">
        <v>120</v>
      </c>
      <c r="K6273" s="37">
        <v>0</v>
      </c>
      <c r="L6273" s="37">
        <v>2</v>
      </c>
      <c r="M6273" s="22">
        <f>IF(OR(ISBLANK(C6273),C6273=""),"",ROUND((C6273-B6273)*24,2))</f>
        <v>134.52</v>
      </c>
      <c r="N6273" s="38" t="str">
        <f>IF(OR(ISBLANK(C6273),C6273="",M6273=""),"In Progress",IF(M6273&lt;=J6273,"Met","Breached"))</f>
        <v>Breached</v>
      </c>
    </row>
    <row r="6274" ht="19" customHeight="1" spans="1:14" x14ac:dyDescent="0.25">
      <c r="A6274" s="19" t="s">
        <v>6388</v>
      </c>
      <c r="B6274" s="33">
        <v>45734.97013888889</v>
      </c>
      <c r="C6274" s="33">
        <v>45740.18888888889</v>
      </c>
      <c r="D6274" s="19" t="s">
        <v>33</v>
      </c>
      <c r="E6274" s="19" t="s">
        <v>69</v>
      </c>
      <c r="F6274" s="19" t="s">
        <v>45</v>
      </c>
      <c r="G6274" s="19" t="s">
        <v>116</v>
      </c>
      <c r="H6274" s="19" t="s">
        <v>59</v>
      </c>
      <c r="I6274" s="19" t="s">
        <v>108</v>
      </c>
      <c r="J6274" s="20">
        <v>120</v>
      </c>
      <c r="K6274" s="34">
        <v>0</v>
      </c>
      <c r="L6274" s="34">
        <v>5</v>
      </c>
      <c r="M6274" s="19">
        <f>IF(OR(ISBLANK(C6274),C6274=""),"",ROUND((C6274-B6274)*24,2))</f>
        <v>125.25</v>
      </c>
      <c r="N6274" s="39" t="str">
        <f>IF(OR(ISBLANK(C6274),C6274="",M6274=""),"In Progress",IF(M6274&lt;=J6274,"Met","Breached"))</f>
        <v>Breached</v>
      </c>
    </row>
    <row r="6275" ht="19" customHeight="1" spans="1:14" x14ac:dyDescent="0.25">
      <c r="A6275" s="22" t="s">
        <v>6389</v>
      </c>
      <c r="B6275" s="36">
        <v>45950.822222222225</v>
      </c>
      <c r="C6275" s="36">
        <v>45952.00208333333</v>
      </c>
      <c r="D6275" s="22" t="s">
        <v>36</v>
      </c>
      <c r="E6275" s="22" t="s">
        <v>65</v>
      </c>
      <c r="F6275" s="22" t="s">
        <v>37</v>
      </c>
      <c r="G6275" s="22" t="s">
        <v>126</v>
      </c>
      <c r="H6275" s="22" t="s">
        <v>63</v>
      </c>
      <c r="I6275" s="22" t="s">
        <v>111</v>
      </c>
      <c r="J6275" s="23">
        <v>48</v>
      </c>
      <c r="K6275" s="37">
        <v>0</v>
      </c>
      <c r="M6275" s="22">
        <f>IF(OR(ISBLANK(C6275),C6275=""),"",ROUND((C6275-B6275)*24,2))</f>
        <v>28.32</v>
      </c>
      <c r="N6275" s="40" t="str">
        <f>IF(OR(ISBLANK(C6275),C6275="",M6275=""),"In Progress",IF(M6275&lt;=J6275,"Met","Breached"))</f>
        <v>Met</v>
      </c>
    </row>
    <row r="6276" ht="19" customHeight="1" spans="1:14" x14ac:dyDescent="0.25">
      <c r="A6276" s="19" t="s">
        <v>6390</v>
      </c>
      <c r="B6276" s="33">
        <v>46113.50277777778</v>
      </c>
      <c r="C6276" s="33">
        <v>46115.944444444445</v>
      </c>
      <c r="D6276" s="19" t="s">
        <v>33</v>
      </c>
      <c r="E6276" s="19" t="s">
        <v>65</v>
      </c>
      <c r="F6276" s="19" t="s">
        <v>40</v>
      </c>
      <c r="G6276" s="19" t="s">
        <v>113</v>
      </c>
      <c r="H6276" s="19" t="s">
        <v>71</v>
      </c>
      <c r="I6276" s="19" t="s">
        <v>123</v>
      </c>
      <c r="J6276" s="20">
        <v>48</v>
      </c>
      <c r="K6276" s="34">
        <v>0</v>
      </c>
      <c r="M6276" s="19">
        <f>IF(OR(ISBLANK(C6276),C6276=""),"",ROUND((C6276-B6276)*24,2))</f>
        <v>58.6</v>
      </c>
      <c r="N6276" s="39" t="str">
        <f>IF(OR(ISBLANK(C6276),C6276="",M6276=""),"In Progress",IF(M6276&lt;=J6276,"Met","Breached"))</f>
        <v>Breached</v>
      </c>
    </row>
    <row r="6277" ht="19" customHeight="1" spans="1:14" x14ac:dyDescent="0.25">
      <c r="A6277" s="22" t="s">
        <v>6391</v>
      </c>
      <c r="B6277" s="36">
        <v>45771.15833333333</v>
      </c>
      <c r="C6277" s="36">
        <v>45774.745833333334</v>
      </c>
      <c r="D6277" s="22" t="s">
        <v>33</v>
      </c>
      <c r="E6277" s="22" t="s">
        <v>65</v>
      </c>
      <c r="F6277" s="22" t="s">
        <v>43</v>
      </c>
      <c r="G6277" s="22" t="s">
        <v>113</v>
      </c>
      <c r="H6277" s="22" t="s">
        <v>71</v>
      </c>
      <c r="I6277" s="22" t="s">
        <v>114</v>
      </c>
      <c r="J6277" s="23">
        <v>48</v>
      </c>
      <c r="K6277" s="37">
        <v>0</v>
      </c>
      <c r="L6277" s="37">
        <v>1</v>
      </c>
      <c r="M6277" s="22">
        <f>IF(OR(ISBLANK(C6277),C6277=""),"",ROUND((C6277-B6277)*24,2))</f>
        <v>86.1</v>
      </c>
      <c r="N6277" s="38" t="str">
        <f>IF(OR(ISBLANK(C6277),C6277="",M6277=""),"In Progress",IF(M6277&lt;=J6277,"Met","Breached"))</f>
        <v>Breached</v>
      </c>
    </row>
    <row r="6278" ht="19" customHeight="1" spans="1:14" x14ac:dyDescent="0.25">
      <c r="A6278" s="19" t="s">
        <v>6392</v>
      </c>
      <c r="B6278" s="33">
        <v>45930.52847222222</v>
      </c>
      <c r="D6278" s="19" t="s">
        <v>39</v>
      </c>
      <c r="E6278" s="19" t="s">
        <v>57</v>
      </c>
      <c r="F6278" s="19" t="s">
        <v>45</v>
      </c>
      <c r="G6278" s="19" t="s">
        <v>63</v>
      </c>
      <c r="H6278" s="19" t="s">
        <v>59</v>
      </c>
      <c r="I6278" s="19" t="s">
        <v>123</v>
      </c>
      <c r="J6278" s="20">
        <v>4</v>
      </c>
      <c r="K6278" s="34">
        <v>0</v>
      </c>
      <c r="M6278" s="19" t="str">
        <f>IF(OR(ISBLANK(C6278),C6278=""),"",ROUND((C6278-B6278)*24,2))</f>
        <v/>
      </c>
      <c r="N6278" s="19" t="str">
        <f>IF(OR(ISBLANK(C6278),C6278="",M6278=""),"In Progress",IF(M6278&lt;=J6278,"Met","Breached"))</f>
        <v>In Progress</v>
      </c>
    </row>
    <row r="6279" ht="19" customHeight="1" spans="1:14" x14ac:dyDescent="0.25">
      <c r="A6279" s="22" t="s">
        <v>6393</v>
      </c>
      <c r="B6279" s="36">
        <v>45746.93263888889</v>
      </c>
      <c r="C6279" s="36">
        <v>45755.097916666666</v>
      </c>
      <c r="D6279" s="22" t="s">
        <v>33</v>
      </c>
      <c r="E6279" s="22" t="s">
        <v>69</v>
      </c>
      <c r="F6279" s="22" t="s">
        <v>43</v>
      </c>
      <c r="G6279" s="22" t="s">
        <v>113</v>
      </c>
      <c r="H6279" s="22" t="s">
        <v>59</v>
      </c>
      <c r="I6279" s="22" t="s">
        <v>123</v>
      </c>
      <c r="J6279" s="23">
        <v>120</v>
      </c>
      <c r="K6279" s="37">
        <v>1</v>
      </c>
      <c r="L6279" s="37">
        <v>4</v>
      </c>
      <c r="M6279" s="22">
        <f>IF(OR(ISBLANK(C6279),C6279=""),"",ROUND((C6279-B6279)*24,2))</f>
        <v>195.97</v>
      </c>
      <c r="N6279" s="38" t="str">
        <f>IF(OR(ISBLANK(C6279),C6279="",M6279=""),"In Progress",IF(M6279&lt;=J6279,"Met","Breached"))</f>
        <v>Breached</v>
      </c>
    </row>
    <row r="6280" ht="19" customHeight="1" spans="1:14" x14ac:dyDescent="0.25">
      <c r="A6280" s="19" t="s">
        <v>6394</v>
      </c>
      <c r="B6280" s="33">
        <v>45744.79513888889</v>
      </c>
      <c r="D6280" s="19" t="s">
        <v>42</v>
      </c>
      <c r="E6280" s="19" t="s">
        <v>69</v>
      </c>
      <c r="F6280" s="19" t="s">
        <v>43</v>
      </c>
      <c r="G6280" s="19" t="s">
        <v>121</v>
      </c>
      <c r="H6280" s="19" t="s">
        <v>63</v>
      </c>
      <c r="I6280" s="19" t="s">
        <v>147</v>
      </c>
      <c r="J6280" s="20">
        <v>120</v>
      </c>
      <c r="K6280" s="34">
        <v>0</v>
      </c>
      <c r="M6280" s="19" t="str">
        <f>IF(OR(ISBLANK(C6280),C6280=""),"",ROUND((C6280-B6280)*24,2))</f>
        <v/>
      </c>
      <c r="N6280" s="19" t="str">
        <f>IF(OR(ISBLANK(C6280),C6280="",M6280=""),"In Progress",IF(M6280&lt;=J6280,"Met","Breached"))</f>
        <v>In Progress</v>
      </c>
    </row>
    <row r="6281" ht="19" customHeight="1" spans="1:14" x14ac:dyDescent="0.25">
      <c r="A6281" s="22" t="s">
        <v>6395</v>
      </c>
      <c r="B6281" s="36">
        <v>46078.46041666667</v>
      </c>
      <c r="C6281" s="36">
        <v>46079.24166666667</v>
      </c>
      <c r="D6281" s="22" t="s">
        <v>36</v>
      </c>
      <c r="E6281" s="22" t="s">
        <v>65</v>
      </c>
      <c r="F6281" s="22" t="s">
        <v>43</v>
      </c>
      <c r="G6281" s="22" t="s">
        <v>126</v>
      </c>
      <c r="H6281" s="22" t="s">
        <v>67</v>
      </c>
      <c r="I6281" s="22" t="s">
        <v>117</v>
      </c>
      <c r="J6281" s="23">
        <v>48</v>
      </c>
      <c r="K6281" s="37">
        <v>0</v>
      </c>
      <c r="M6281" s="22">
        <f>IF(OR(ISBLANK(C6281),C6281=""),"",ROUND((C6281-B6281)*24,2))</f>
        <v>18.75</v>
      </c>
      <c r="N6281" s="40" t="str">
        <f>IF(OR(ISBLANK(C6281),C6281="",M6281=""),"In Progress",IF(M6281&lt;=J6281,"Met","Breached"))</f>
        <v>Met</v>
      </c>
    </row>
    <row r="6282" ht="19" customHeight="1" spans="1:14" x14ac:dyDescent="0.25">
      <c r="A6282" s="19" t="s">
        <v>6396</v>
      </c>
      <c r="B6282" s="33">
        <v>46101.06805555556</v>
      </c>
      <c r="C6282" s="33">
        <v>46102.49930555555</v>
      </c>
      <c r="D6282" s="19" t="s">
        <v>33</v>
      </c>
      <c r="E6282" s="19" t="s">
        <v>65</v>
      </c>
      <c r="F6282" s="19" t="s">
        <v>45</v>
      </c>
      <c r="G6282" s="19" t="s">
        <v>63</v>
      </c>
      <c r="H6282" s="19" t="s">
        <v>63</v>
      </c>
      <c r="I6282" s="19" t="s">
        <v>117</v>
      </c>
      <c r="J6282" s="20">
        <v>48</v>
      </c>
      <c r="K6282" s="34">
        <v>0</v>
      </c>
      <c r="M6282" s="19">
        <f>IF(OR(ISBLANK(C6282),C6282=""),"",ROUND((C6282-B6282)*24,2))</f>
        <v>34.35</v>
      </c>
      <c r="N6282" s="35" t="str">
        <f>IF(OR(ISBLANK(C6282),C6282="",M6282=""),"In Progress",IF(M6282&lt;=J6282,"Met","Breached"))</f>
        <v>Met</v>
      </c>
    </row>
    <row r="6283" ht="19" customHeight="1" spans="1:14" x14ac:dyDescent="0.25">
      <c r="A6283" s="22" t="s">
        <v>6397</v>
      </c>
      <c r="B6283" s="36">
        <v>45822.375</v>
      </c>
      <c r="C6283" s="36">
        <v>45822.92708333333</v>
      </c>
      <c r="D6283" s="22" t="s">
        <v>36</v>
      </c>
      <c r="E6283" s="22" t="s">
        <v>61</v>
      </c>
      <c r="F6283" s="22" t="s">
        <v>45</v>
      </c>
      <c r="G6283" s="22" t="s">
        <v>110</v>
      </c>
      <c r="H6283" s="22" t="s">
        <v>63</v>
      </c>
      <c r="I6283" s="22" t="s">
        <v>147</v>
      </c>
      <c r="J6283" s="23">
        <v>12</v>
      </c>
      <c r="K6283" s="37">
        <v>0</v>
      </c>
      <c r="L6283" s="37">
        <v>5</v>
      </c>
      <c r="M6283" s="22">
        <f>IF(OR(ISBLANK(C6283),C6283=""),"",ROUND((C6283-B6283)*24,2))</f>
        <v>13.25</v>
      </c>
      <c r="N6283" s="38" t="str">
        <f>IF(OR(ISBLANK(C6283),C6283="",M6283=""),"In Progress",IF(M6283&lt;=J6283,"Met","Breached"))</f>
        <v>Breached</v>
      </c>
    </row>
    <row r="6284" ht="19" customHeight="1" spans="1:14" x14ac:dyDescent="0.25">
      <c r="A6284" s="19" t="s">
        <v>6398</v>
      </c>
      <c r="B6284" s="33">
        <v>45872.82916666666</v>
      </c>
      <c r="D6284" s="19" t="s">
        <v>39</v>
      </c>
      <c r="E6284" s="19" t="s">
        <v>69</v>
      </c>
      <c r="F6284" s="19" t="s">
        <v>34</v>
      </c>
      <c r="G6284" s="19" t="s">
        <v>110</v>
      </c>
      <c r="H6284" s="19" t="s">
        <v>59</v>
      </c>
      <c r="I6284" s="19" t="s">
        <v>111</v>
      </c>
      <c r="J6284" s="20">
        <v>120</v>
      </c>
      <c r="K6284" s="34">
        <v>0</v>
      </c>
      <c r="M6284" s="19" t="str">
        <f>IF(OR(ISBLANK(C6284),C6284=""),"",ROUND((C6284-B6284)*24,2))</f>
        <v/>
      </c>
      <c r="N6284" s="19" t="str">
        <f>IF(OR(ISBLANK(C6284),C6284="",M6284=""),"In Progress",IF(M6284&lt;=J6284,"Met","Breached"))</f>
        <v>In Progress</v>
      </c>
    </row>
    <row r="6285" ht="19" customHeight="1" spans="1:14" x14ac:dyDescent="0.25">
      <c r="A6285" s="22" t="s">
        <v>6399</v>
      </c>
      <c r="B6285" s="36">
        <v>45876.66111111111</v>
      </c>
      <c r="D6285" s="22" t="s">
        <v>39</v>
      </c>
      <c r="E6285" s="22" t="s">
        <v>65</v>
      </c>
      <c r="F6285" s="22" t="s">
        <v>43</v>
      </c>
      <c r="G6285" s="22" t="s">
        <v>63</v>
      </c>
      <c r="H6285" s="22" t="s">
        <v>63</v>
      </c>
      <c r="I6285" s="22" t="s">
        <v>111</v>
      </c>
      <c r="J6285" s="23">
        <v>48</v>
      </c>
      <c r="K6285" s="37">
        <v>0</v>
      </c>
      <c r="M6285" s="22" t="str">
        <f>IF(OR(ISBLANK(C6285),C6285=""),"",ROUND((C6285-B6285)*24,2))</f>
        <v/>
      </c>
      <c r="N6285" s="22" t="str">
        <f>IF(OR(ISBLANK(C6285),C6285="",M6285=""),"In Progress",IF(M6285&lt;=J6285,"Met","Breached"))</f>
        <v>In Progress</v>
      </c>
    </row>
    <row r="6286" ht="19" customHeight="1" spans="1:14" x14ac:dyDescent="0.25">
      <c r="A6286" s="19" t="s">
        <v>6400</v>
      </c>
      <c r="B6286" s="33">
        <v>46145.66180555556</v>
      </c>
      <c r="C6286" s="33">
        <v>46147.81875</v>
      </c>
      <c r="D6286" s="19" t="s">
        <v>33</v>
      </c>
      <c r="E6286" s="19" t="s">
        <v>65</v>
      </c>
      <c r="F6286" s="19" t="s">
        <v>43</v>
      </c>
      <c r="G6286" s="19" t="s">
        <v>63</v>
      </c>
      <c r="H6286" s="19" t="s">
        <v>63</v>
      </c>
      <c r="I6286" s="19" t="s">
        <v>123</v>
      </c>
      <c r="J6286" s="20">
        <v>48</v>
      </c>
      <c r="K6286" s="34">
        <v>0</v>
      </c>
      <c r="L6286" s="34">
        <v>5</v>
      </c>
      <c r="M6286" s="19">
        <f>IF(OR(ISBLANK(C6286),C6286=""),"",ROUND((C6286-B6286)*24,2))</f>
        <v>51.77</v>
      </c>
      <c r="N6286" s="39" t="str">
        <f>IF(OR(ISBLANK(C6286),C6286="",M6286=""),"In Progress",IF(M6286&lt;=J6286,"Met","Breached"))</f>
        <v>Breached</v>
      </c>
    </row>
    <row r="6287" ht="19" customHeight="1" spans="1:14" x14ac:dyDescent="0.25">
      <c r="A6287" s="22" t="s">
        <v>6401</v>
      </c>
      <c r="B6287" s="36">
        <v>46286.53194444445</v>
      </c>
      <c r="C6287" s="36">
        <v>46287.62430555555</v>
      </c>
      <c r="D6287" s="22" t="s">
        <v>33</v>
      </c>
      <c r="E6287" s="22" t="s">
        <v>65</v>
      </c>
      <c r="F6287" s="22" t="s">
        <v>43</v>
      </c>
      <c r="G6287" s="22" t="s">
        <v>110</v>
      </c>
      <c r="H6287" s="22" t="s">
        <v>59</v>
      </c>
      <c r="I6287" s="22" t="s">
        <v>108</v>
      </c>
      <c r="J6287" s="23">
        <v>48</v>
      </c>
      <c r="K6287" s="37">
        <v>0</v>
      </c>
      <c r="L6287" s="37">
        <v>5</v>
      </c>
      <c r="M6287" s="22">
        <f>IF(OR(ISBLANK(C6287),C6287=""),"",ROUND((C6287-B6287)*24,2))</f>
        <v>26.22</v>
      </c>
      <c r="N6287" s="40" t="str">
        <f>IF(OR(ISBLANK(C6287),C6287="",M6287=""),"In Progress",IF(M6287&lt;=J6287,"Met","Breached"))</f>
        <v>Met</v>
      </c>
    </row>
    <row r="6288" ht="19" customHeight="1" spans="1:14" x14ac:dyDescent="0.25">
      <c r="A6288" s="19" t="s">
        <v>6402</v>
      </c>
      <c r="B6288" s="33">
        <v>45688.19791666667</v>
      </c>
      <c r="C6288" s="33">
        <v>45689.441666666666</v>
      </c>
      <c r="D6288" s="19" t="s">
        <v>33</v>
      </c>
      <c r="E6288" s="19" t="s">
        <v>65</v>
      </c>
      <c r="F6288" s="19" t="s">
        <v>43</v>
      </c>
      <c r="G6288" s="19" t="s">
        <v>113</v>
      </c>
      <c r="H6288" s="19" t="s">
        <v>67</v>
      </c>
      <c r="I6288" s="19" t="s">
        <v>123</v>
      </c>
      <c r="J6288" s="20">
        <v>48</v>
      </c>
      <c r="K6288" s="34">
        <v>0</v>
      </c>
      <c r="M6288" s="19">
        <f>IF(OR(ISBLANK(C6288),C6288=""),"",ROUND((C6288-B6288)*24,2))</f>
        <v>29.85</v>
      </c>
      <c r="N6288" s="35" t="str">
        <f>IF(OR(ISBLANK(C6288),C6288="",M6288=""),"In Progress",IF(M6288&lt;=J6288,"Met","Breached"))</f>
        <v>Met</v>
      </c>
    </row>
    <row r="6289" ht="19" customHeight="1" spans="1:14" x14ac:dyDescent="0.25">
      <c r="A6289" s="22" t="s">
        <v>6403</v>
      </c>
      <c r="B6289" s="36">
        <v>45927.31736111111</v>
      </c>
      <c r="D6289" s="22" t="s">
        <v>39</v>
      </c>
      <c r="E6289" s="22" t="s">
        <v>61</v>
      </c>
      <c r="F6289" s="22" t="s">
        <v>40</v>
      </c>
      <c r="G6289" s="22" t="s">
        <v>113</v>
      </c>
      <c r="H6289" s="22" t="s">
        <v>59</v>
      </c>
      <c r="I6289" s="22" t="s">
        <v>117</v>
      </c>
      <c r="J6289" s="23">
        <v>12</v>
      </c>
      <c r="K6289" s="37">
        <v>0</v>
      </c>
      <c r="M6289" s="22" t="str">
        <f>IF(OR(ISBLANK(C6289),C6289=""),"",ROUND((C6289-B6289)*24,2))</f>
        <v/>
      </c>
      <c r="N6289" s="22" t="str">
        <f>IF(OR(ISBLANK(C6289),C6289="",M6289=""),"In Progress",IF(M6289&lt;=J6289,"Met","Breached"))</f>
        <v>In Progress</v>
      </c>
    </row>
    <row r="6290" ht="19" customHeight="1" spans="1:14" x14ac:dyDescent="0.25">
      <c r="A6290" s="19" t="s">
        <v>6404</v>
      </c>
      <c r="B6290" s="33">
        <v>46255.54791666666</v>
      </c>
      <c r="C6290" s="33">
        <v>46255.834027777775</v>
      </c>
      <c r="D6290" s="19" t="s">
        <v>33</v>
      </c>
      <c r="E6290" s="19" t="s">
        <v>57</v>
      </c>
      <c r="F6290" s="19" t="s">
        <v>40</v>
      </c>
      <c r="G6290" s="19" t="s">
        <v>113</v>
      </c>
      <c r="H6290" s="19" t="s">
        <v>67</v>
      </c>
      <c r="I6290" s="19" t="s">
        <v>123</v>
      </c>
      <c r="J6290" s="20">
        <v>4</v>
      </c>
      <c r="K6290" s="34">
        <v>0</v>
      </c>
      <c r="L6290" s="34">
        <v>3</v>
      </c>
      <c r="M6290" s="19">
        <f>IF(OR(ISBLANK(C6290),C6290=""),"",ROUND((C6290-B6290)*24,2))</f>
        <v>6.87</v>
      </c>
      <c r="N6290" s="39" t="str">
        <f>IF(OR(ISBLANK(C6290),C6290="",M6290=""),"In Progress",IF(M6290&lt;=J6290,"Met","Breached"))</f>
        <v>Breached</v>
      </c>
    </row>
    <row r="6291" ht="19" customHeight="1" spans="1:14" x14ac:dyDescent="0.25">
      <c r="A6291" s="22" t="s">
        <v>6405</v>
      </c>
      <c r="B6291" s="36">
        <v>45877.263194444444</v>
      </c>
      <c r="C6291" s="36">
        <v>45878.742361111115</v>
      </c>
      <c r="D6291" s="22" t="s">
        <v>33</v>
      </c>
      <c r="E6291" s="22" t="s">
        <v>65</v>
      </c>
      <c r="F6291" s="22" t="s">
        <v>34</v>
      </c>
      <c r="G6291" s="22" t="s">
        <v>121</v>
      </c>
      <c r="H6291" s="22" t="s">
        <v>59</v>
      </c>
      <c r="I6291" s="22" t="s">
        <v>111</v>
      </c>
      <c r="J6291" s="23">
        <v>48</v>
      </c>
      <c r="K6291" s="37">
        <v>0</v>
      </c>
      <c r="L6291" s="37">
        <v>1</v>
      </c>
      <c r="M6291" s="22">
        <f>IF(OR(ISBLANK(C6291),C6291=""),"",ROUND((C6291-B6291)*24,2))</f>
        <v>35.5</v>
      </c>
      <c r="N6291" s="40" t="str">
        <f>IF(OR(ISBLANK(C6291),C6291="",M6291=""),"In Progress",IF(M6291&lt;=J6291,"Met","Breached"))</f>
        <v>Met</v>
      </c>
    </row>
    <row r="6292" ht="19" customHeight="1" spans="1:14" x14ac:dyDescent="0.25">
      <c r="A6292" s="19" t="s">
        <v>6406</v>
      </c>
      <c r="B6292" s="33">
        <v>45694.294444444444</v>
      </c>
      <c r="C6292" s="33">
        <v>45695.09305555555</v>
      </c>
      <c r="D6292" s="19" t="s">
        <v>33</v>
      </c>
      <c r="E6292" s="19" t="s">
        <v>65</v>
      </c>
      <c r="F6292" s="19" t="s">
        <v>37</v>
      </c>
      <c r="G6292" s="19" t="s">
        <v>110</v>
      </c>
      <c r="H6292" s="19" t="s">
        <v>71</v>
      </c>
      <c r="I6292" s="19" t="s">
        <v>114</v>
      </c>
      <c r="J6292" s="20">
        <v>48</v>
      </c>
      <c r="K6292" s="34">
        <v>0</v>
      </c>
      <c r="L6292" s="34">
        <v>4</v>
      </c>
      <c r="M6292" s="19">
        <f>IF(OR(ISBLANK(C6292),C6292=""),"",ROUND((C6292-B6292)*24,2))</f>
        <v>19.17</v>
      </c>
      <c r="N6292" s="35" t="str">
        <f>IF(OR(ISBLANK(C6292),C6292="",M6292=""),"In Progress",IF(M6292&lt;=J6292,"Met","Breached"))</f>
        <v>Met</v>
      </c>
    </row>
    <row r="6293" ht="19" customHeight="1" spans="1:14" x14ac:dyDescent="0.25">
      <c r="A6293" s="22" t="s">
        <v>6407</v>
      </c>
      <c r="B6293" s="36">
        <v>45755.18611111111</v>
      </c>
      <c r="C6293" s="36">
        <v>45757.538194444445</v>
      </c>
      <c r="D6293" s="22" t="s">
        <v>36</v>
      </c>
      <c r="E6293" s="22" t="s">
        <v>65</v>
      </c>
      <c r="F6293" s="22" t="s">
        <v>34</v>
      </c>
      <c r="G6293" s="22" t="s">
        <v>126</v>
      </c>
      <c r="H6293" s="22" t="s">
        <v>71</v>
      </c>
      <c r="I6293" s="22" t="s">
        <v>123</v>
      </c>
      <c r="J6293" s="23">
        <v>48</v>
      </c>
      <c r="K6293" s="37">
        <v>0</v>
      </c>
      <c r="L6293" s="37">
        <v>1</v>
      </c>
      <c r="M6293" s="22">
        <f>IF(OR(ISBLANK(C6293),C6293=""),"",ROUND((C6293-B6293)*24,2))</f>
        <v>56.45</v>
      </c>
      <c r="N6293" s="38" t="str">
        <f>IF(OR(ISBLANK(C6293),C6293="",M6293=""),"In Progress",IF(M6293&lt;=J6293,"Met","Breached"))</f>
        <v>Breached</v>
      </c>
    </row>
    <row r="6294" ht="19" customHeight="1" spans="1:14" x14ac:dyDescent="0.25">
      <c r="A6294" s="19" t="s">
        <v>6408</v>
      </c>
      <c r="B6294" s="33">
        <v>45722.799305555556</v>
      </c>
      <c r="C6294" s="33">
        <v>45725.33125</v>
      </c>
      <c r="D6294" s="19" t="s">
        <v>33</v>
      </c>
      <c r="E6294" s="19" t="s">
        <v>65</v>
      </c>
      <c r="F6294" s="19" t="s">
        <v>34</v>
      </c>
      <c r="G6294" s="19" t="s">
        <v>126</v>
      </c>
      <c r="H6294" s="19" t="s">
        <v>59</v>
      </c>
      <c r="I6294" s="19" t="s">
        <v>114</v>
      </c>
      <c r="J6294" s="20">
        <v>48</v>
      </c>
      <c r="K6294" s="34">
        <v>0</v>
      </c>
      <c r="M6294" s="19">
        <f>IF(OR(ISBLANK(C6294),C6294=""),"",ROUND((C6294-B6294)*24,2))</f>
        <v>60.77</v>
      </c>
      <c r="N6294" s="39" t="str">
        <f>IF(OR(ISBLANK(C6294),C6294="",M6294=""),"In Progress",IF(M6294&lt;=J6294,"Met","Breached"))</f>
        <v>Breached</v>
      </c>
    </row>
    <row r="6295" ht="19" customHeight="1" spans="1:14" x14ac:dyDescent="0.25">
      <c r="A6295" s="22" t="s">
        <v>6409</v>
      </c>
      <c r="B6295" s="36">
        <v>45849.10833333334</v>
      </c>
      <c r="C6295" s="36">
        <v>45852.01111111111</v>
      </c>
      <c r="D6295" s="22" t="s">
        <v>33</v>
      </c>
      <c r="E6295" s="22" t="s">
        <v>65</v>
      </c>
      <c r="F6295" s="22" t="s">
        <v>43</v>
      </c>
      <c r="G6295" s="22" t="s">
        <v>113</v>
      </c>
      <c r="H6295" s="22" t="s">
        <v>59</v>
      </c>
      <c r="I6295" s="22" t="s">
        <v>108</v>
      </c>
      <c r="J6295" s="23">
        <v>48</v>
      </c>
      <c r="K6295" s="37">
        <v>1</v>
      </c>
      <c r="L6295" s="37">
        <v>5</v>
      </c>
      <c r="M6295" s="22">
        <f>IF(OR(ISBLANK(C6295),C6295=""),"",ROUND((C6295-B6295)*24,2))</f>
        <v>69.67</v>
      </c>
      <c r="N6295" s="38" t="str">
        <f>IF(OR(ISBLANK(C6295),C6295="",M6295=""),"In Progress",IF(M6295&lt;=J6295,"Met","Breached"))</f>
        <v>Breached</v>
      </c>
    </row>
    <row r="6296" ht="19" customHeight="1" spans="1:14" x14ac:dyDescent="0.25">
      <c r="A6296" s="19" t="s">
        <v>6410</v>
      </c>
      <c r="B6296" s="33">
        <v>46207.29375</v>
      </c>
      <c r="C6296" s="33">
        <v>46214.23333333334</v>
      </c>
      <c r="D6296" s="19" t="s">
        <v>33</v>
      </c>
      <c r="E6296" s="19" t="s">
        <v>69</v>
      </c>
      <c r="F6296" s="19" t="s">
        <v>34</v>
      </c>
      <c r="G6296" s="19" t="s">
        <v>110</v>
      </c>
      <c r="H6296" s="19" t="s">
        <v>59</v>
      </c>
      <c r="I6296" s="19" t="s">
        <v>111</v>
      </c>
      <c r="J6296" s="20">
        <v>120</v>
      </c>
      <c r="K6296" s="34">
        <v>0</v>
      </c>
      <c r="L6296" s="34">
        <v>1</v>
      </c>
      <c r="M6296" s="19">
        <f>IF(OR(ISBLANK(C6296),C6296=""),"",ROUND((C6296-B6296)*24,2))</f>
        <v>166.55</v>
      </c>
      <c r="N6296" s="39" t="str">
        <f>IF(OR(ISBLANK(C6296),C6296="",M6296=""),"In Progress",IF(M6296&lt;=J6296,"Met","Breached"))</f>
        <v>Breached</v>
      </c>
    </row>
    <row r="6297" ht="19" customHeight="1" spans="1:14" x14ac:dyDescent="0.25">
      <c r="A6297" s="22" t="s">
        <v>6411</v>
      </c>
      <c r="B6297" s="36">
        <v>45693.04236111111</v>
      </c>
      <c r="D6297" s="22" t="s">
        <v>39</v>
      </c>
      <c r="E6297" s="22" t="s">
        <v>61</v>
      </c>
      <c r="F6297" s="22" t="s">
        <v>43</v>
      </c>
      <c r="G6297" s="22" t="s">
        <v>110</v>
      </c>
      <c r="H6297" s="22" t="s">
        <v>59</v>
      </c>
      <c r="I6297" s="22" t="s">
        <v>108</v>
      </c>
      <c r="J6297" s="23">
        <v>12</v>
      </c>
      <c r="K6297" s="37">
        <v>0</v>
      </c>
      <c r="M6297" s="22" t="str">
        <f>IF(OR(ISBLANK(C6297),C6297=""),"",ROUND((C6297-B6297)*24,2))</f>
        <v/>
      </c>
      <c r="N6297" s="22" t="str">
        <f>IF(OR(ISBLANK(C6297),C6297="",M6297=""),"In Progress",IF(M6297&lt;=J6297,"Met","Breached"))</f>
        <v>In Progress</v>
      </c>
    </row>
    <row r="6298" ht="19" customHeight="1" spans="1:14" x14ac:dyDescent="0.25">
      <c r="A6298" s="19" t="s">
        <v>6412</v>
      </c>
      <c r="B6298" s="33">
        <v>46277.99930555555</v>
      </c>
      <c r="D6298" s="19" t="s">
        <v>39</v>
      </c>
      <c r="E6298" s="19" t="s">
        <v>69</v>
      </c>
      <c r="F6298" s="19" t="s">
        <v>43</v>
      </c>
      <c r="G6298" s="19" t="s">
        <v>116</v>
      </c>
      <c r="H6298" s="19" t="s">
        <v>67</v>
      </c>
      <c r="I6298" s="19" t="s">
        <v>111</v>
      </c>
      <c r="J6298" s="20">
        <v>120</v>
      </c>
      <c r="K6298" s="34">
        <v>0</v>
      </c>
      <c r="M6298" s="19" t="str">
        <f>IF(OR(ISBLANK(C6298),C6298=""),"",ROUND((C6298-B6298)*24,2))</f>
        <v/>
      </c>
      <c r="N6298" s="19" t="str">
        <f>IF(OR(ISBLANK(C6298),C6298="",M6298=""),"In Progress",IF(M6298&lt;=J6298,"Met","Breached"))</f>
        <v>In Progress</v>
      </c>
    </row>
    <row r="6299" ht="19" customHeight="1" spans="1:14" x14ac:dyDescent="0.25">
      <c r="A6299" s="22" t="s">
        <v>6413</v>
      </c>
      <c r="B6299" s="36">
        <v>45864.82430555555</v>
      </c>
      <c r="C6299" s="36">
        <v>45864.96944444445</v>
      </c>
      <c r="D6299" s="22" t="s">
        <v>33</v>
      </c>
      <c r="E6299" s="22" t="s">
        <v>57</v>
      </c>
      <c r="F6299" s="22" t="s">
        <v>34</v>
      </c>
      <c r="G6299" s="22" t="s">
        <v>113</v>
      </c>
      <c r="H6299" s="22" t="s">
        <v>59</v>
      </c>
      <c r="I6299" s="22" t="s">
        <v>117</v>
      </c>
      <c r="J6299" s="23">
        <v>4</v>
      </c>
      <c r="K6299" s="37">
        <v>0</v>
      </c>
      <c r="L6299" s="37">
        <v>1</v>
      </c>
      <c r="M6299" s="22">
        <f>IF(OR(ISBLANK(C6299),C6299=""),"",ROUND((C6299-B6299)*24,2))</f>
        <v>3.48</v>
      </c>
      <c r="N6299" s="40" t="str">
        <f>IF(OR(ISBLANK(C6299),C6299="",M6299=""),"In Progress",IF(M6299&lt;=J6299,"Met","Breached"))</f>
        <v>Met</v>
      </c>
    </row>
    <row r="6300" ht="19" customHeight="1" spans="1:14" x14ac:dyDescent="0.25">
      <c r="A6300" s="19" t="s">
        <v>6414</v>
      </c>
      <c r="B6300" s="33">
        <v>45859.100694444445</v>
      </c>
      <c r="C6300" s="33">
        <v>45860.81805555556</v>
      </c>
      <c r="D6300" s="19" t="s">
        <v>36</v>
      </c>
      <c r="E6300" s="19" t="s">
        <v>65</v>
      </c>
      <c r="F6300" s="19" t="s">
        <v>43</v>
      </c>
      <c r="G6300" s="19" t="s">
        <v>116</v>
      </c>
      <c r="H6300" s="19" t="s">
        <v>59</v>
      </c>
      <c r="I6300" s="19" t="s">
        <v>117</v>
      </c>
      <c r="J6300" s="20">
        <v>48</v>
      </c>
      <c r="K6300" s="34">
        <v>0</v>
      </c>
      <c r="L6300" s="34">
        <v>5</v>
      </c>
      <c r="M6300" s="19">
        <f>IF(OR(ISBLANK(C6300),C6300=""),"",ROUND((C6300-B6300)*24,2))</f>
        <v>41.22</v>
      </c>
      <c r="N6300" s="35" t="str">
        <f>IF(OR(ISBLANK(C6300),C6300="",M6300=""),"In Progress",IF(M6300&lt;=J6300,"Met","Breached"))</f>
        <v>Met</v>
      </c>
    </row>
    <row r="6301" ht="19" customHeight="1" spans="1:14" x14ac:dyDescent="0.25">
      <c r="A6301" s="22" t="s">
        <v>6415</v>
      </c>
      <c r="B6301" s="36">
        <v>45892.15416666667</v>
      </c>
      <c r="C6301" s="36">
        <v>45895.117361111115</v>
      </c>
      <c r="D6301" s="22" t="s">
        <v>33</v>
      </c>
      <c r="E6301" s="22" t="s">
        <v>65</v>
      </c>
      <c r="F6301" s="22" t="s">
        <v>37</v>
      </c>
      <c r="G6301" s="22" t="s">
        <v>126</v>
      </c>
      <c r="H6301" s="22" t="s">
        <v>59</v>
      </c>
      <c r="I6301" s="22" t="s">
        <v>117</v>
      </c>
      <c r="J6301" s="23">
        <v>48</v>
      </c>
      <c r="K6301" s="37">
        <v>0</v>
      </c>
      <c r="M6301" s="22">
        <f>IF(OR(ISBLANK(C6301),C6301=""),"",ROUND((C6301-B6301)*24,2))</f>
        <v>71.12</v>
      </c>
      <c r="N6301" s="38" t="str">
        <f>IF(OR(ISBLANK(C6301),C6301="",M6301=""),"In Progress",IF(M6301&lt;=J6301,"Met","Breached"))</f>
        <v>Breached</v>
      </c>
    </row>
    <row r="6302" ht="19" customHeight="1" spans="1:14" x14ac:dyDescent="0.25">
      <c r="A6302" s="19" t="s">
        <v>6416</v>
      </c>
      <c r="B6302" s="33">
        <v>45988.30694444444</v>
      </c>
      <c r="C6302" s="33">
        <v>45990.78055555555</v>
      </c>
      <c r="D6302" s="19" t="s">
        <v>36</v>
      </c>
      <c r="E6302" s="19" t="s">
        <v>65</v>
      </c>
      <c r="F6302" s="19" t="s">
        <v>40</v>
      </c>
      <c r="G6302" s="19" t="s">
        <v>113</v>
      </c>
      <c r="H6302" s="19" t="s">
        <v>63</v>
      </c>
      <c r="I6302" s="19" t="s">
        <v>111</v>
      </c>
      <c r="J6302" s="20">
        <v>48</v>
      </c>
      <c r="K6302" s="34">
        <v>0</v>
      </c>
      <c r="L6302" s="34">
        <v>4</v>
      </c>
      <c r="M6302" s="19">
        <f>IF(OR(ISBLANK(C6302),C6302=""),"",ROUND((C6302-B6302)*24,2))</f>
        <v>59.37</v>
      </c>
      <c r="N6302" s="39" t="str">
        <f>IF(OR(ISBLANK(C6302),C6302="",M6302=""),"In Progress",IF(M6302&lt;=J6302,"Met","Breached"))</f>
        <v>Breached</v>
      </c>
    </row>
    <row r="6303" ht="19" customHeight="1" spans="1:14" x14ac:dyDescent="0.25">
      <c r="A6303" s="22" t="s">
        <v>6417</v>
      </c>
      <c r="B6303" s="36">
        <v>46048.820138888885</v>
      </c>
      <c r="C6303" s="36">
        <v>46052.35486111111</v>
      </c>
      <c r="D6303" s="22" t="s">
        <v>33</v>
      </c>
      <c r="E6303" s="22" t="s">
        <v>65</v>
      </c>
      <c r="F6303" s="22" t="s">
        <v>37</v>
      </c>
      <c r="G6303" s="22" t="s">
        <v>63</v>
      </c>
      <c r="H6303" s="22" t="s">
        <v>63</v>
      </c>
      <c r="I6303" s="22" t="s">
        <v>111</v>
      </c>
      <c r="J6303" s="23">
        <v>48</v>
      </c>
      <c r="K6303" s="37">
        <v>0</v>
      </c>
      <c r="M6303" s="22">
        <f>IF(OR(ISBLANK(C6303),C6303=""),"",ROUND((C6303-B6303)*24,2))</f>
        <v>84.83</v>
      </c>
      <c r="N6303" s="38" t="str">
        <f>IF(OR(ISBLANK(C6303),C6303="",M6303=""),"In Progress",IF(M6303&lt;=J6303,"Met","Breached"))</f>
        <v>Breached</v>
      </c>
    </row>
    <row r="6304" ht="19" customHeight="1" spans="1:14" x14ac:dyDescent="0.25">
      <c r="A6304" s="19" t="s">
        <v>6418</v>
      </c>
      <c r="B6304" s="33">
        <v>45797.62777777778</v>
      </c>
      <c r="D6304" s="19" t="s">
        <v>42</v>
      </c>
      <c r="E6304" s="19" t="s">
        <v>69</v>
      </c>
      <c r="F6304" s="19" t="s">
        <v>37</v>
      </c>
      <c r="G6304" s="19" t="s">
        <v>121</v>
      </c>
      <c r="H6304" s="19" t="s">
        <v>63</v>
      </c>
      <c r="I6304" s="19" t="s">
        <v>114</v>
      </c>
      <c r="J6304" s="20">
        <v>120</v>
      </c>
      <c r="K6304" s="34">
        <v>0</v>
      </c>
      <c r="M6304" s="19" t="str">
        <f>IF(OR(ISBLANK(C6304),C6304=""),"",ROUND((C6304-B6304)*24,2))</f>
        <v/>
      </c>
      <c r="N6304" s="19" t="str">
        <f>IF(OR(ISBLANK(C6304),C6304="",M6304=""),"In Progress",IF(M6304&lt;=J6304,"Met","Breached"))</f>
        <v>In Progress</v>
      </c>
    </row>
    <row r="6305" ht="19" customHeight="1" spans="1:14" x14ac:dyDescent="0.25">
      <c r="A6305" s="22" t="s">
        <v>6419</v>
      </c>
      <c r="B6305" s="36">
        <v>45669.47152777778</v>
      </c>
      <c r="C6305" s="36">
        <v>45676.73541666666</v>
      </c>
      <c r="D6305" s="22" t="s">
        <v>33</v>
      </c>
      <c r="E6305" s="22" t="s">
        <v>69</v>
      </c>
      <c r="F6305" s="22" t="s">
        <v>37</v>
      </c>
      <c r="G6305" s="22" t="s">
        <v>63</v>
      </c>
      <c r="H6305" s="22" t="s">
        <v>63</v>
      </c>
      <c r="I6305" s="22" t="s">
        <v>108</v>
      </c>
      <c r="J6305" s="23">
        <v>120</v>
      </c>
      <c r="K6305" s="37">
        <v>0</v>
      </c>
      <c r="L6305" s="37">
        <v>2</v>
      </c>
      <c r="M6305" s="22">
        <f>IF(OR(ISBLANK(C6305),C6305=""),"",ROUND((C6305-B6305)*24,2))</f>
        <v>174.33</v>
      </c>
      <c r="N6305" s="38" t="str">
        <f>IF(OR(ISBLANK(C6305),C6305="",M6305=""),"In Progress",IF(M6305&lt;=J6305,"Met","Breached"))</f>
        <v>Breached</v>
      </c>
    </row>
    <row r="6306" ht="19" customHeight="1" spans="1:14" x14ac:dyDescent="0.25">
      <c r="A6306" s="19" t="s">
        <v>6420</v>
      </c>
      <c r="B6306" s="33">
        <v>45858.351388888885</v>
      </c>
      <c r="C6306" s="33">
        <v>45859.038888888885</v>
      </c>
      <c r="D6306" s="19" t="s">
        <v>33</v>
      </c>
      <c r="E6306" s="19" t="s">
        <v>61</v>
      </c>
      <c r="F6306" s="19" t="s">
        <v>45</v>
      </c>
      <c r="G6306" s="19" t="s">
        <v>113</v>
      </c>
      <c r="H6306" s="19" t="s">
        <v>59</v>
      </c>
      <c r="I6306" s="19" t="s">
        <v>117</v>
      </c>
      <c r="J6306" s="20">
        <v>12</v>
      </c>
      <c r="K6306" s="34">
        <v>0</v>
      </c>
      <c r="L6306" s="34">
        <v>5</v>
      </c>
      <c r="M6306" s="19">
        <f>IF(OR(ISBLANK(C6306),C6306=""),"",ROUND((C6306-B6306)*24,2))</f>
        <v>16.5</v>
      </c>
      <c r="N6306" s="39" t="str">
        <f>IF(OR(ISBLANK(C6306),C6306="",M6306=""),"In Progress",IF(M6306&lt;=J6306,"Met","Breached"))</f>
        <v>Breached</v>
      </c>
    </row>
    <row r="6307" ht="19" customHeight="1" spans="1:14" x14ac:dyDescent="0.25">
      <c r="A6307" s="22" t="s">
        <v>6421</v>
      </c>
      <c r="B6307" s="36">
        <v>46054.763194444444</v>
      </c>
      <c r="D6307" s="22" t="s">
        <v>42</v>
      </c>
      <c r="E6307" s="22" t="s">
        <v>65</v>
      </c>
      <c r="F6307" s="22" t="s">
        <v>40</v>
      </c>
      <c r="G6307" s="22" t="s">
        <v>63</v>
      </c>
      <c r="H6307" s="22" t="s">
        <v>63</v>
      </c>
      <c r="I6307" s="22" t="s">
        <v>123</v>
      </c>
      <c r="J6307" s="23">
        <v>48</v>
      </c>
      <c r="K6307" s="37">
        <v>0</v>
      </c>
      <c r="M6307" s="22" t="str">
        <f>IF(OR(ISBLANK(C6307),C6307=""),"",ROUND((C6307-B6307)*24,2))</f>
        <v/>
      </c>
      <c r="N6307" s="22" t="str">
        <f>IF(OR(ISBLANK(C6307),C6307="",M6307=""),"In Progress",IF(M6307&lt;=J6307,"Met","Breached"))</f>
        <v>In Progress</v>
      </c>
    </row>
    <row r="6308" ht="19" customHeight="1" spans="1:14" x14ac:dyDescent="0.25">
      <c r="A6308" s="19" t="s">
        <v>6422</v>
      </c>
      <c r="B6308" s="33">
        <v>46259.95416666666</v>
      </c>
      <c r="C6308" s="33">
        <v>46260.132638888885</v>
      </c>
      <c r="D6308" s="19" t="s">
        <v>33</v>
      </c>
      <c r="E6308" s="19" t="s">
        <v>57</v>
      </c>
      <c r="F6308" s="19" t="s">
        <v>45</v>
      </c>
      <c r="G6308" s="19" t="s">
        <v>63</v>
      </c>
      <c r="H6308" s="19" t="s">
        <v>63</v>
      </c>
      <c r="I6308" s="19" t="s">
        <v>147</v>
      </c>
      <c r="J6308" s="20">
        <v>4</v>
      </c>
      <c r="K6308" s="34">
        <v>0</v>
      </c>
      <c r="M6308" s="19">
        <f>IF(OR(ISBLANK(C6308),C6308=""),"",ROUND((C6308-B6308)*24,2))</f>
        <v>4.28</v>
      </c>
      <c r="N6308" s="39" t="str">
        <f>IF(OR(ISBLANK(C6308),C6308="",M6308=""),"In Progress",IF(M6308&lt;=J6308,"Met","Breached"))</f>
        <v>Breached</v>
      </c>
    </row>
    <row r="6309" ht="19" customHeight="1" spans="1:14" x14ac:dyDescent="0.25">
      <c r="A6309" s="22" t="s">
        <v>6423</v>
      </c>
      <c r="B6309" s="36">
        <v>45877.17916666667</v>
      </c>
      <c r="C6309" s="36">
        <v>45880.40138888889</v>
      </c>
      <c r="D6309" s="22" t="s">
        <v>36</v>
      </c>
      <c r="E6309" s="22" t="s">
        <v>65</v>
      </c>
      <c r="F6309" s="22" t="s">
        <v>34</v>
      </c>
      <c r="G6309" s="22" t="s">
        <v>116</v>
      </c>
      <c r="H6309" s="22" t="s">
        <v>67</v>
      </c>
      <c r="I6309" s="22" t="s">
        <v>123</v>
      </c>
      <c r="J6309" s="23">
        <v>48</v>
      </c>
      <c r="K6309" s="37">
        <v>0</v>
      </c>
      <c r="M6309" s="22">
        <f>IF(OR(ISBLANK(C6309),C6309=""),"",ROUND((C6309-B6309)*24,2))</f>
        <v>77.33</v>
      </c>
      <c r="N6309" s="38" t="str">
        <f>IF(OR(ISBLANK(C6309),C6309="",M6309=""),"In Progress",IF(M6309&lt;=J6309,"Met","Breached"))</f>
        <v>Breached</v>
      </c>
    </row>
    <row r="6310" ht="19" customHeight="1" spans="1:14" x14ac:dyDescent="0.25">
      <c r="A6310" s="19" t="s">
        <v>6424</v>
      </c>
      <c r="B6310" s="33">
        <v>45933.580555555556</v>
      </c>
      <c r="C6310" s="33">
        <v>45934.40625</v>
      </c>
      <c r="D6310" s="19" t="s">
        <v>36</v>
      </c>
      <c r="E6310" s="19" t="s">
        <v>61</v>
      </c>
      <c r="F6310" s="19" t="s">
        <v>45</v>
      </c>
      <c r="G6310" s="19" t="s">
        <v>126</v>
      </c>
      <c r="H6310" s="19" t="s">
        <v>67</v>
      </c>
      <c r="I6310" s="19" t="s">
        <v>114</v>
      </c>
      <c r="J6310" s="20">
        <v>12</v>
      </c>
      <c r="K6310" s="34">
        <v>0</v>
      </c>
      <c r="M6310" s="19">
        <f>IF(OR(ISBLANK(C6310),C6310=""),"",ROUND((C6310-B6310)*24,2))</f>
        <v>19.82</v>
      </c>
      <c r="N6310" s="39" t="str">
        <f>IF(OR(ISBLANK(C6310),C6310="",M6310=""),"In Progress",IF(M6310&lt;=J6310,"Met","Breached"))</f>
        <v>Breached</v>
      </c>
    </row>
    <row r="6311" ht="19" customHeight="1" spans="1:14" x14ac:dyDescent="0.25">
      <c r="A6311" s="22" t="s">
        <v>6425</v>
      </c>
      <c r="B6311" s="36">
        <v>45687.33194444445</v>
      </c>
      <c r="C6311" s="36">
        <v>45691.527083333334</v>
      </c>
      <c r="D6311" s="22" t="s">
        <v>33</v>
      </c>
      <c r="E6311" s="22" t="s">
        <v>69</v>
      </c>
      <c r="F6311" s="22" t="s">
        <v>43</v>
      </c>
      <c r="G6311" s="22" t="s">
        <v>121</v>
      </c>
      <c r="H6311" s="22" t="s">
        <v>63</v>
      </c>
      <c r="I6311" s="22" t="s">
        <v>108</v>
      </c>
      <c r="J6311" s="23">
        <v>120</v>
      </c>
      <c r="K6311" s="37">
        <v>0</v>
      </c>
      <c r="M6311" s="22">
        <f>IF(OR(ISBLANK(C6311),C6311=""),"",ROUND((C6311-B6311)*24,2))</f>
        <v>100.68</v>
      </c>
      <c r="N6311" s="40" t="str">
        <f>IF(OR(ISBLANK(C6311),C6311="",M6311=""),"In Progress",IF(M6311&lt;=J6311,"Met","Breached"))</f>
        <v>Met</v>
      </c>
    </row>
    <row r="6312" ht="19" customHeight="1" spans="1:14" x14ac:dyDescent="0.25">
      <c r="A6312" s="19" t="s">
        <v>6426</v>
      </c>
      <c r="B6312" s="33">
        <v>46141.773611111115</v>
      </c>
      <c r="C6312" s="33">
        <v>46147.42916666667</v>
      </c>
      <c r="D6312" s="19" t="s">
        <v>36</v>
      </c>
      <c r="E6312" s="19" t="s">
        <v>69</v>
      </c>
      <c r="F6312" s="19" t="s">
        <v>37</v>
      </c>
      <c r="G6312" s="19" t="s">
        <v>121</v>
      </c>
      <c r="H6312" s="19" t="s">
        <v>59</v>
      </c>
      <c r="I6312" s="19" t="s">
        <v>108</v>
      </c>
      <c r="J6312" s="20">
        <v>120</v>
      </c>
      <c r="K6312" s="34">
        <v>0</v>
      </c>
      <c r="L6312" s="34">
        <v>1</v>
      </c>
      <c r="M6312" s="19">
        <f>IF(OR(ISBLANK(C6312),C6312=""),"",ROUND((C6312-B6312)*24,2))</f>
        <v>135.73</v>
      </c>
      <c r="N6312" s="39" t="str">
        <f>IF(OR(ISBLANK(C6312),C6312="",M6312=""),"In Progress",IF(M6312&lt;=J6312,"Met","Breached"))</f>
        <v>Breached</v>
      </c>
    </row>
    <row r="6313" ht="19" customHeight="1" spans="1:14" x14ac:dyDescent="0.25">
      <c r="A6313" s="22" t="s">
        <v>6427</v>
      </c>
      <c r="B6313" s="36">
        <v>45981.73125</v>
      </c>
      <c r="C6313" s="36">
        <v>45981.93958333333</v>
      </c>
      <c r="D6313" s="22" t="s">
        <v>33</v>
      </c>
      <c r="E6313" s="22" t="s">
        <v>57</v>
      </c>
      <c r="F6313" s="22" t="s">
        <v>45</v>
      </c>
      <c r="G6313" s="22" t="s">
        <v>63</v>
      </c>
      <c r="H6313" s="22" t="s">
        <v>59</v>
      </c>
      <c r="I6313" s="22" t="s">
        <v>114</v>
      </c>
      <c r="J6313" s="23">
        <v>4</v>
      </c>
      <c r="K6313" s="37">
        <v>0</v>
      </c>
      <c r="L6313" s="37">
        <v>3</v>
      </c>
      <c r="M6313" s="22">
        <f>IF(OR(ISBLANK(C6313),C6313=""),"",ROUND((C6313-B6313)*24,2))</f>
        <v>5</v>
      </c>
      <c r="N6313" s="38" t="str">
        <f>IF(OR(ISBLANK(C6313),C6313="",M6313=""),"In Progress",IF(M6313&lt;=J6313,"Met","Breached"))</f>
        <v>Breached</v>
      </c>
    </row>
    <row r="6314" ht="19" customHeight="1" spans="1:14" x14ac:dyDescent="0.25">
      <c r="A6314" s="19" t="s">
        <v>6428</v>
      </c>
      <c r="B6314" s="33">
        <v>45667.629166666666</v>
      </c>
      <c r="C6314" s="33">
        <v>45672.87013888889</v>
      </c>
      <c r="D6314" s="19" t="s">
        <v>33</v>
      </c>
      <c r="E6314" s="19" t="s">
        <v>69</v>
      </c>
      <c r="F6314" s="19" t="s">
        <v>34</v>
      </c>
      <c r="G6314" s="19" t="s">
        <v>121</v>
      </c>
      <c r="H6314" s="19" t="s">
        <v>63</v>
      </c>
      <c r="I6314" s="19" t="s">
        <v>111</v>
      </c>
      <c r="J6314" s="20">
        <v>120</v>
      </c>
      <c r="K6314" s="34">
        <v>0</v>
      </c>
      <c r="L6314" s="34">
        <v>5</v>
      </c>
      <c r="M6314" s="19">
        <f>IF(OR(ISBLANK(C6314),C6314=""),"",ROUND((C6314-B6314)*24,2))</f>
        <v>125.78</v>
      </c>
      <c r="N6314" s="39" t="str">
        <f>IF(OR(ISBLANK(C6314),C6314="",M6314=""),"In Progress",IF(M6314&lt;=J6314,"Met","Breached"))</f>
        <v>Breached</v>
      </c>
    </row>
    <row r="6315" ht="19" customHeight="1" spans="1:14" x14ac:dyDescent="0.25">
      <c r="A6315" s="22" t="s">
        <v>6429</v>
      </c>
      <c r="B6315" s="36">
        <v>46028.01180555555</v>
      </c>
      <c r="C6315" s="36">
        <v>46030.88541666667</v>
      </c>
      <c r="D6315" s="22" t="s">
        <v>33</v>
      </c>
      <c r="E6315" s="22" t="s">
        <v>69</v>
      </c>
      <c r="F6315" s="22" t="s">
        <v>34</v>
      </c>
      <c r="G6315" s="22" t="s">
        <v>126</v>
      </c>
      <c r="H6315" s="22" t="s">
        <v>59</v>
      </c>
      <c r="I6315" s="22" t="s">
        <v>147</v>
      </c>
      <c r="J6315" s="23">
        <v>120</v>
      </c>
      <c r="K6315" s="37">
        <v>0</v>
      </c>
      <c r="M6315" s="22">
        <f>IF(OR(ISBLANK(C6315),C6315=""),"",ROUND((C6315-B6315)*24,2))</f>
        <v>68.97</v>
      </c>
      <c r="N6315" s="40" t="str">
        <f>IF(OR(ISBLANK(C6315),C6315="",M6315=""),"In Progress",IF(M6315&lt;=J6315,"Met","Breached"))</f>
        <v>Met</v>
      </c>
    </row>
    <row r="6316" ht="19" customHeight="1" spans="1:14" x14ac:dyDescent="0.25">
      <c r="A6316" s="19" t="s">
        <v>6430</v>
      </c>
      <c r="B6316" s="33">
        <v>46074.82847222222</v>
      </c>
      <c r="C6316" s="33">
        <v>46078.44375</v>
      </c>
      <c r="D6316" s="19" t="s">
        <v>36</v>
      </c>
      <c r="E6316" s="19" t="s">
        <v>69</v>
      </c>
      <c r="F6316" s="19" t="s">
        <v>40</v>
      </c>
      <c r="G6316" s="19" t="s">
        <v>63</v>
      </c>
      <c r="H6316" s="19" t="s">
        <v>63</v>
      </c>
      <c r="I6316" s="19" t="s">
        <v>117</v>
      </c>
      <c r="J6316" s="20">
        <v>120</v>
      </c>
      <c r="K6316" s="34">
        <v>0</v>
      </c>
      <c r="L6316" s="34">
        <v>2</v>
      </c>
      <c r="M6316" s="19">
        <f>IF(OR(ISBLANK(C6316),C6316=""),"",ROUND((C6316-B6316)*24,2))</f>
        <v>86.77</v>
      </c>
      <c r="N6316" s="35" t="str">
        <f>IF(OR(ISBLANK(C6316),C6316="",M6316=""),"In Progress",IF(M6316&lt;=J6316,"Met","Breached"))</f>
        <v>Met</v>
      </c>
    </row>
    <row r="6317" ht="19" customHeight="1" spans="1:14" x14ac:dyDescent="0.25">
      <c r="A6317" s="22" t="s">
        <v>6431</v>
      </c>
      <c r="B6317" s="36">
        <v>45677.64097222222</v>
      </c>
      <c r="D6317" s="22" t="s">
        <v>39</v>
      </c>
      <c r="E6317" s="22" t="s">
        <v>69</v>
      </c>
      <c r="F6317" s="22" t="s">
        <v>40</v>
      </c>
      <c r="G6317" s="22" t="s">
        <v>121</v>
      </c>
      <c r="H6317" s="22" t="s">
        <v>67</v>
      </c>
      <c r="I6317" s="22" t="s">
        <v>111</v>
      </c>
      <c r="J6317" s="23">
        <v>120</v>
      </c>
      <c r="K6317" s="37">
        <v>0</v>
      </c>
      <c r="M6317" s="22" t="str">
        <f>IF(OR(ISBLANK(C6317),C6317=""),"",ROUND((C6317-B6317)*24,2))</f>
        <v/>
      </c>
      <c r="N6317" s="22" t="str">
        <f>IF(OR(ISBLANK(C6317),C6317="",M6317=""),"In Progress",IF(M6317&lt;=J6317,"Met","Breached"))</f>
        <v>In Progress</v>
      </c>
    </row>
    <row r="6318" ht="19" customHeight="1" spans="1:14" x14ac:dyDescent="0.25">
      <c r="A6318" s="19" t="s">
        <v>6432</v>
      </c>
      <c r="B6318" s="33">
        <v>46157.15972222222</v>
      </c>
      <c r="C6318" s="33">
        <v>46158.95625</v>
      </c>
      <c r="D6318" s="19" t="s">
        <v>33</v>
      </c>
      <c r="E6318" s="19" t="s">
        <v>65</v>
      </c>
      <c r="F6318" s="19" t="s">
        <v>34</v>
      </c>
      <c r="G6318" s="19" t="s">
        <v>110</v>
      </c>
      <c r="H6318" s="19" t="s">
        <v>59</v>
      </c>
      <c r="I6318" s="19" t="s">
        <v>111</v>
      </c>
      <c r="J6318" s="20">
        <v>48</v>
      </c>
      <c r="K6318" s="34">
        <v>0</v>
      </c>
      <c r="M6318" s="19">
        <f>IF(OR(ISBLANK(C6318),C6318=""),"",ROUND((C6318-B6318)*24,2))</f>
        <v>43.12</v>
      </c>
      <c r="N6318" s="35" t="str">
        <f>IF(OR(ISBLANK(C6318),C6318="",M6318=""),"In Progress",IF(M6318&lt;=J6318,"Met","Breached"))</f>
        <v>Met</v>
      </c>
    </row>
    <row r="6319" ht="19" customHeight="1" spans="1:14" x14ac:dyDescent="0.25">
      <c r="A6319" s="22" t="s">
        <v>6433</v>
      </c>
      <c r="B6319" s="36">
        <v>46104.62847222222</v>
      </c>
      <c r="C6319" s="36">
        <v>46104.71736111111</v>
      </c>
      <c r="D6319" s="22" t="s">
        <v>33</v>
      </c>
      <c r="E6319" s="22" t="s">
        <v>57</v>
      </c>
      <c r="F6319" s="22" t="s">
        <v>37</v>
      </c>
      <c r="G6319" s="22" t="s">
        <v>126</v>
      </c>
      <c r="H6319" s="22" t="s">
        <v>59</v>
      </c>
      <c r="I6319" s="22" t="s">
        <v>111</v>
      </c>
      <c r="J6319" s="23">
        <v>4</v>
      </c>
      <c r="K6319" s="37">
        <v>0</v>
      </c>
      <c r="L6319" s="37">
        <v>5</v>
      </c>
      <c r="M6319" s="22">
        <f>IF(OR(ISBLANK(C6319),C6319=""),"",ROUND((C6319-B6319)*24,2))</f>
        <v>2.13</v>
      </c>
      <c r="N6319" s="40" t="str">
        <f>IF(OR(ISBLANK(C6319),C6319="",M6319=""),"In Progress",IF(M6319&lt;=J6319,"Met","Breached"))</f>
        <v>Met</v>
      </c>
    </row>
    <row r="6320" ht="19" customHeight="1" spans="1:14" x14ac:dyDescent="0.25">
      <c r="A6320" s="19" t="s">
        <v>6434</v>
      </c>
      <c r="B6320" s="33">
        <v>45986.87986111111</v>
      </c>
      <c r="C6320" s="33">
        <v>45989.75833333333</v>
      </c>
      <c r="D6320" s="19" t="s">
        <v>33</v>
      </c>
      <c r="E6320" s="19" t="s">
        <v>65</v>
      </c>
      <c r="F6320" s="19" t="s">
        <v>34</v>
      </c>
      <c r="G6320" s="19" t="s">
        <v>110</v>
      </c>
      <c r="H6320" s="19" t="s">
        <v>59</v>
      </c>
      <c r="I6320" s="19" t="s">
        <v>117</v>
      </c>
      <c r="J6320" s="20">
        <v>48</v>
      </c>
      <c r="K6320" s="34">
        <v>0</v>
      </c>
      <c r="L6320" s="34">
        <v>5</v>
      </c>
      <c r="M6320" s="19">
        <f>IF(OR(ISBLANK(C6320),C6320=""),"",ROUND((C6320-B6320)*24,2))</f>
        <v>69.08</v>
      </c>
      <c r="N6320" s="39" t="str">
        <f>IF(OR(ISBLANK(C6320),C6320="",M6320=""),"In Progress",IF(M6320&lt;=J6320,"Met","Breached"))</f>
        <v>Breached</v>
      </c>
    </row>
    <row r="6321" ht="19" customHeight="1" spans="1:14" x14ac:dyDescent="0.25">
      <c r="A6321" s="22" t="s">
        <v>6435</v>
      </c>
      <c r="B6321" s="36">
        <v>45867.68125</v>
      </c>
      <c r="D6321" s="22" t="s">
        <v>42</v>
      </c>
      <c r="E6321" s="22" t="s">
        <v>65</v>
      </c>
      <c r="F6321" s="22" t="s">
        <v>37</v>
      </c>
      <c r="G6321" s="22" t="s">
        <v>121</v>
      </c>
      <c r="H6321" s="22" t="s">
        <v>63</v>
      </c>
      <c r="I6321" s="22" t="s">
        <v>108</v>
      </c>
      <c r="J6321" s="23">
        <v>48</v>
      </c>
      <c r="K6321" s="37">
        <v>0</v>
      </c>
      <c r="M6321" s="22" t="str">
        <f>IF(OR(ISBLANK(C6321),C6321=""),"",ROUND((C6321-B6321)*24,2))</f>
        <v/>
      </c>
      <c r="N6321" s="22" t="str">
        <f>IF(OR(ISBLANK(C6321),C6321="",M6321=""),"In Progress",IF(M6321&lt;=J6321,"Met","Breached"))</f>
        <v>In Progress</v>
      </c>
    </row>
    <row r="6322" ht="19" customHeight="1" spans="1:14" x14ac:dyDescent="0.25">
      <c r="A6322" s="19" t="s">
        <v>6436</v>
      </c>
      <c r="B6322" s="33">
        <v>46215.146527777775</v>
      </c>
      <c r="C6322" s="33">
        <v>46217.15347222222</v>
      </c>
      <c r="D6322" s="19" t="s">
        <v>36</v>
      </c>
      <c r="E6322" s="19" t="s">
        <v>65</v>
      </c>
      <c r="F6322" s="19" t="s">
        <v>34</v>
      </c>
      <c r="G6322" s="19" t="s">
        <v>110</v>
      </c>
      <c r="H6322" s="19" t="s">
        <v>71</v>
      </c>
      <c r="I6322" s="19" t="s">
        <v>123</v>
      </c>
      <c r="J6322" s="20">
        <v>48</v>
      </c>
      <c r="K6322" s="34">
        <v>0</v>
      </c>
      <c r="L6322" s="34">
        <v>4</v>
      </c>
      <c r="M6322" s="19">
        <f>IF(OR(ISBLANK(C6322),C6322=""),"",ROUND((C6322-B6322)*24,2))</f>
        <v>48.17</v>
      </c>
      <c r="N6322" s="39" t="str">
        <f>IF(OR(ISBLANK(C6322),C6322="",M6322=""),"In Progress",IF(M6322&lt;=J6322,"Met","Breached"))</f>
        <v>Breached</v>
      </c>
    </row>
    <row r="6323" ht="19" customHeight="1" spans="1:14" x14ac:dyDescent="0.25">
      <c r="A6323" s="22" t="s">
        <v>6437</v>
      </c>
      <c r="B6323" s="36">
        <v>46166.58263888889</v>
      </c>
      <c r="D6323" s="22" t="s">
        <v>39</v>
      </c>
      <c r="E6323" s="22" t="s">
        <v>65</v>
      </c>
      <c r="F6323" s="22" t="s">
        <v>45</v>
      </c>
      <c r="G6323" s="22" t="s">
        <v>121</v>
      </c>
      <c r="H6323" s="22" t="s">
        <v>63</v>
      </c>
      <c r="I6323" s="22" t="s">
        <v>111</v>
      </c>
      <c r="J6323" s="23">
        <v>48</v>
      </c>
      <c r="K6323" s="37">
        <v>0</v>
      </c>
      <c r="M6323" s="22" t="str">
        <f>IF(OR(ISBLANK(C6323),C6323=""),"",ROUND((C6323-B6323)*24,2))</f>
        <v/>
      </c>
      <c r="N6323" s="22" t="str">
        <f>IF(OR(ISBLANK(C6323),C6323="",M6323=""),"In Progress",IF(M6323&lt;=J6323,"Met","Breached"))</f>
        <v>In Progress</v>
      </c>
    </row>
    <row r="6324" ht="19" customHeight="1" spans="1:14" x14ac:dyDescent="0.25">
      <c r="A6324" s="19" t="s">
        <v>6438</v>
      </c>
      <c r="B6324" s="33">
        <v>45803.631944444445</v>
      </c>
      <c r="C6324" s="33">
        <v>45803.77847222222</v>
      </c>
      <c r="D6324" s="19" t="s">
        <v>33</v>
      </c>
      <c r="E6324" s="19" t="s">
        <v>57</v>
      </c>
      <c r="F6324" s="19" t="s">
        <v>37</v>
      </c>
      <c r="G6324" s="19" t="s">
        <v>121</v>
      </c>
      <c r="H6324" s="19" t="s">
        <v>59</v>
      </c>
      <c r="I6324" s="19" t="s">
        <v>114</v>
      </c>
      <c r="J6324" s="20">
        <v>4</v>
      </c>
      <c r="K6324" s="34">
        <v>0</v>
      </c>
      <c r="L6324" s="34">
        <v>1</v>
      </c>
      <c r="M6324" s="19">
        <f>IF(OR(ISBLANK(C6324),C6324=""),"",ROUND((C6324-B6324)*24,2))</f>
        <v>3.52</v>
      </c>
      <c r="N6324" s="35" t="str">
        <f>IF(OR(ISBLANK(C6324),C6324="",M6324=""),"In Progress",IF(M6324&lt;=J6324,"Met","Breached"))</f>
        <v>Met</v>
      </c>
    </row>
    <row r="6325" ht="19" customHeight="1" spans="1:14" x14ac:dyDescent="0.25">
      <c r="A6325" s="22" t="s">
        <v>6439</v>
      </c>
      <c r="B6325" s="36">
        <v>45962.023611111115</v>
      </c>
      <c r="C6325" s="36">
        <v>45963.40694444445</v>
      </c>
      <c r="D6325" s="22" t="s">
        <v>33</v>
      </c>
      <c r="E6325" s="22" t="s">
        <v>65</v>
      </c>
      <c r="F6325" s="22" t="s">
        <v>43</v>
      </c>
      <c r="G6325" s="22" t="s">
        <v>63</v>
      </c>
      <c r="H6325" s="22" t="s">
        <v>63</v>
      </c>
      <c r="I6325" s="22" t="s">
        <v>114</v>
      </c>
      <c r="J6325" s="23">
        <v>48</v>
      </c>
      <c r="K6325" s="37">
        <v>0</v>
      </c>
      <c r="M6325" s="22">
        <f>IF(OR(ISBLANK(C6325),C6325=""),"",ROUND((C6325-B6325)*24,2))</f>
        <v>33.2</v>
      </c>
      <c r="N6325" s="40" t="str">
        <f>IF(OR(ISBLANK(C6325),C6325="",M6325=""),"In Progress",IF(M6325&lt;=J6325,"Met","Breached"))</f>
        <v>Met</v>
      </c>
    </row>
    <row r="6326" ht="19" customHeight="1" spans="1:14" x14ac:dyDescent="0.25">
      <c r="A6326" s="19" t="s">
        <v>6440</v>
      </c>
      <c r="B6326" s="33">
        <v>45693.49861111111</v>
      </c>
      <c r="C6326" s="33">
        <v>45694.18402777778</v>
      </c>
      <c r="D6326" s="19" t="s">
        <v>33</v>
      </c>
      <c r="E6326" s="19" t="s">
        <v>61</v>
      </c>
      <c r="F6326" s="19" t="s">
        <v>34</v>
      </c>
      <c r="G6326" s="19" t="s">
        <v>121</v>
      </c>
      <c r="H6326" s="19" t="s">
        <v>71</v>
      </c>
      <c r="I6326" s="19" t="s">
        <v>117</v>
      </c>
      <c r="J6326" s="20">
        <v>12</v>
      </c>
      <c r="K6326" s="34">
        <v>0</v>
      </c>
      <c r="L6326" s="34">
        <v>4</v>
      </c>
      <c r="M6326" s="19">
        <f>IF(OR(ISBLANK(C6326),C6326=""),"",ROUND((C6326-B6326)*24,2))</f>
        <v>16.45</v>
      </c>
      <c r="N6326" s="39" t="str">
        <f>IF(OR(ISBLANK(C6326),C6326="",M6326=""),"In Progress",IF(M6326&lt;=J6326,"Met","Breached"))</f>
        <v>Breached</v>
      </c>
    </row>
    <row r="6327" ht="19" customHeight="1" spans="1:14" x14ac:dyDescent="0.25">
      <c r="A6327" s="22" t="s">
        <v>6441</v>
      </c>
      <c r="B6327" s="36">
        <v>46228.77222222222</v>
      </c>
      <c r="C6327" s="36">
        <v>46230.29722222222</v>
      </c>
      <c r="D6327" s="22" t="s">
        <v>33</v>
      </c>
      <c r="E6327" s="22" t="s">
        <v>65</v>
      </c>
      <c r="F6327" s="22" t="s">
        <v>43</v>
      </c>
      <c r="G6327" s="22" t="s">
        <v>116</v>
      </c>
      <c r="H6327" s="22" t="s">
        <v>59</v>
      </c>
      <c r="I6327" s="22" t="s">
        <v>117</v>
      </c>
      <c r="J6327" s="23">
        <v>48</v>
      </c>
      <c r="K6327" s="37">
        <v>0</v>
      </c>
      <c r="M6327" s="22">
        <f>IF(OR(ISBLANK(C6327),C6327=""),"",ROUND((C6327-B6327)*24,2))</f>
        <v>36.6</v>
      </c>
      <c r="N6327" s="40" t="str">
        <f>IF(OR(ISBLANK(C6327),C6327="",M6327=""),"In Progress",IF(M6327&lt;=J6327,"Met","Breached"))</f>
        <v>Met</v>
      </c>
    </row>
    <row r="6328" ht="19" customHeight="1" spans="1:14" x14ac:dyDescent="0.25">
      <c r="A6328" s="19" t="s">
        <v>6442</v>
      </c>
      <c r="B6328" s="33">
        <v>46169.711111111115</v>
      </c>
      <c r="D6328" s="19" t="s">
        <v>42</v>
      </c>
      <c r="E6328" s="19" t="s">
        <v>65</v>
      </c>
      <c r="F6328" s="19" t="s">
        <v>34</v>
      </c>
      <c r="G6328" s="19" t="s">
        <v>121</v>
      </c>
      <c r="H6328" s="19" t="s">
        <v>67</v>
      </c>
      <c r="I6328" s="19" t="s">
        <v>111</v>
      </c>
      <c r="J6328" s="20">
        <v>48</v>
      </c>
      <c r="K6328" s="34">
        <v>0</v>
      </c>
      <c r="M6328" s="19" t="str">
        <f>IF(OR(ISBLANK(C6328),C6328=""),"",ROUND((C6328-B6328)*24,2))</f>
        <v/>
      </c>
      <c r="N6328" s="19" t="str">
        <f>IF(OR(ISBLANK(C6328),C6328="",M6328=""),"In Progress",IF(M6328&lt;=J6328,"Met","Breached"))</f>
        <v>In Progress</v>
      </c>
    </row>
    <row r="6329" ht="19" customHeight="1" spans="1:14" x14ac:dyDescent="0.25">
      <c r="A6329" s="22" t="s">
        <v>6443</v>
      </c>
      <c r="B6329" s="36">
        <v>46167.50625</v>
      </c>
      <c r="C6329" s="36">
        <v>46171.83541666667</v>
      </c>
      <c r="D6329" s="22" t="s">
        <v>33</v>
      </c>
      <c r="E6329" s="22" t="s">
        <v>69</v>
      </c>
      <c r="F6329" s="22" t="s">
        <v>34</v>
      </c>
      <c r="G6329" s="22" t="s">
        <v>121</v>
      </c>
      <c r="H6329" s="22" t="s">
        <v>59</v>
      </c>
      <c r="I6329" s="22" t="s">
        <v>147</v>
      </c>
      <c r="J6329" s="23">
        <v>120</v>
      </c>
      <c r="K6329" s="37">
        <v>0</v>
      </c>
      <c r="L6329" s="37">
        <v>1</v>
      </c>
      <c r="M6329" s="22">
        <f>IF(OR(ISBLANK(C6329),C6329=""),"",ROUND((C6329-B6329)*24,2))</f>
        <v>103.9</v>
      </c>
      <c r="N6329" s="40" t="str">
        <f>IF(OR(ISBLANK(C6329),C6329="",M6329=""),"In Progress",IF(M6329&lt;=J6329,"Met","Breached"))</f>
        <v>Met</v>
      </c>
    </row>
    <row r="6330" ht="19" customHeight="1" spans="1:14" x14ac:dyDescent="0.25">
      <c r="A6330" s="19" t="s">
        <v>6444</v>
      </c>
      <c r="B6330" s="33">
        <v>46213.30625</v>
      </c>
      <c r="C6330" s="33">
        <v>46214.85486111111</v>
      </c>
      <c r="D6330" s="19" t="s">
        <v>33</v>
      </c>
      <c r="E6330" s="19" t="s">
        <v>65</v>
      </c>
      <c r="F6330" s="19" t="s">
        <v>43</v>
      </c>
      <c r="G6330" s="19" t="s">
        <v>63</v>
      </c>
      <c r="H6330" s="19" t="s">
        <v>71</v>
      </c>
      <c r="I6330" s="19" t="s">
        <v>147</v>
      </c>
      <c r="J6330" s="20">
        <v>48</v>
      </c>
      <c r="K6330" s="34">
        <v>0</v>
      </c>
      <c r="M6330" s="19">
        <f>IF(OR(ISBLANK(C6330),C6330=""),"",ROUND((C6330-B6330)*24,2))</f>
        <v>37.17</v>
      </c>
      <c r="N6330" s="35" t="str">
        <f>IF(OR(ISBLANK(C6330),C6330="",M6330=""),"In Progress",IF(M6330&lt;=J6330,"Met","Breached"))</f>
        <v>Met</v>
      </c>
    </row>
    <row r="6331" ht="19" customHeight="1" spans="1:14" x14ac:dyDescent="0.25">
      <c r="A6331" s="22" t="s">
        <v>6445</v>
      </c>
      <c r="B6331" s="36">
        <v>46029.21597222222</v>
      </c>
      <c r="C6331" s="36">
        <v>46036.74097222222</v>
      </c>
      <c r="D6331" s="22" t="s">
        <v>33</v>
      </c>
      <c r="E6331" s="22" t="s">
        <v>69</v>
      </c>
      <c r="F6331" s="22" t="s">
        <v>43</v>
      </c>
      <c r="G6331" s="22" t="s">
        <v>116</v>
      </c>
      <c r="H6331" s="22" t="s">
        <v>67</v>
      </c>
      <c r="I6331" s="22" t="s">
        <v>114</v>
      </c>
      <c r="J6331" s="23">
        <v>120</v>
      </c>
      <c r="K6331" s="37">
        <v>0</v>
      </c>
      <c r="M6331" s="22">
        <f>IF(OR(ISBLANK(C6331),C6331=""),"",ROUND((C6331-B6331)*24,2))</f>
        <v>180.6</v>
      </c>
      <c r="N6331" s="38" t="str">
        <f>IF(OR(ISBLANK(C6331),C6331="",M6331=""),"In Progress",IF(M6331&lt;=J6331,"Met","Breached"))</f>
        <v>Breached</v>
      </c>
    </row>
    <row r="6332" ht="19" customHeight="1" spans="1:14" x14ac:dyDescent="0.25">
      <c r="A6332" s="19" t="s">
        <v>6446</v>
      </c>
      <c r="B6332" s="33">
        <v>45893.21875</v>
      </c>
      <c r="C6332" s="33">
        <v>45893.34583333333</v>
      </c>
      <c r="D6332" s="19" t="s">
        <v>33</v>
      </c>
      <c r="E6332" s="19" t="s">
        <v>57</v>
      </c>
      <c r="F6332" s="19" t="s">
        <v>43</v>
      </c>
      <c r="G6332" s="19" t="s">
        <v>110</v>
      </c>
      <c r="H6332" s="19" t="s">
        <v>63</v>
      </c>
      <c r="I6332" s="19" t="s">
        <v>117</v>
      </c>
      <c r="J6332" s="20">
        <v>4</v>
      </c>
      <c r="K6332" s="34">
        <v>0</v>
      </c>
      <c r="M6332" s="19">
        <f>IF(OR(ISBLANK(C6332),C6332=""),"",ROUND((C6332-B6332)*24,2))</f>
        <v>3.05</v>
      </c>
      <c r="N6332" s="35" t="str">
        <f>IF(OR(ISBLANK(C6332),C6332="",M6332=""),"In Progress",IF(M6332&lt;=J6332,"Met","Breached"))</f>
        <v>Met</v>
      </c>
    </row>
    <row r="6333" ht="19" customHeight="1" spans="1:14" x14ac:dyDescent="0.25">
      <c r="A6333" s="22" t="s">
        <v>6447</v>
      </c>
      <c r="B6333" s="36">
        <v>46133.004166666666</v>
      </c>
      <c r="D6333" s="22" t="s">
        <v>42</v>
      </c>
      <c r="E6333" s="22" t="s">
        <v>69</v>
      </c>
      <c r="F6333" s="22" t="s">
        <v>37</v>
      </c>
      <c r="G6333" s="22" t="s">
        <v>116</v>
      </c>
      <c r="H6333" s="22" t="s">
        <v>71</v>
      </c>
      <c r="I6333" s="22" t="s">
        <v>147</v>
      </c>
      <c r="J6333" s="23">
        <v>120</v>
      </c>
      <c r="K6333" s="37">
        <v>0</v>
      </c>
      <c r="M6333" s="22" t="str">
        <f>IF(OR(ISBLANK(C6333),C6333=""),"",ROUND((C6333-B6333)*24,2))</f>
        <v/>
      </c>
      <c r="N6333" s="22" t="str">
        <f>IF(OR(ISBLANK(C6333),C6333="",M6333=""),"In Progress",IF(M6333&lt;=J6333,"Met","Breached"))</f>
        <v>In Progress</v>
      </c>
    </row>
    <row r="6334" ht="19" customHeight="1" spans="1:14" x14ac:dyDescent="0.25">
      <c r="A6334" s="19" t="s">
        <v>6448</v>
      </c>
      <c r="B6334" s="33">
        <v>46003.43263888889</v>
      </c>
      <c r="D6334" s="19" t="s">
        <v>39</v>
      </c>
      <c r="E6334" s="19" t="s">
        <v>69</v>
      </c>
      <c r="F6334" s="19" t="s">
        <v>40</v>
      </c>
      <c r="G6334" s="19" t="s">
        <v>126</v>
      </c>
      <c r="H6334" s="19" t="s">
        <v>59</v>
      </c>
      <c r="I6334" s="19" t="s">
        <v>117</v>
      </c>
      <c r="J6334" s="20">
        <v>120</v>
      </c>
      <c r="K6334" s="34">
        <v>0</v>
      </c>
      <c r="M6334" s="19" t="str">
        <f>IF(OR(ISBLANK(C6334),C6334=""),"",ROUND((C6334-B6334)*24,2))</f>
        <v/>
      </c>
      <c r="N6334" s="19" t="str">
        <f>IF(OR(ISBLANK(C6334),C6334="",M6334=""),"In Progress",IF(M6334&lt;=J6334,"Met","Breached"))</f>
        <v>In Progress</v>
      </c>
    </row>
    <row r="6335" ht="19" customHeight="1" spans="1:14" x14ac:dyDescent="0.25">
      <c r="A6335" s="22" t="s">
        <v>6449</v>
      </c>
      <c r="B6335" s="36">
        <v>45687.65486111111</v>
      </c>
      <c r="C6335" s="36">
        <v>45689.62777777778</v>
      </c>
      <c r="D6335" s="22" t="s">
        <v>33</v>
      </c>
      <c r="E6335" s="22" t="s">
        <v>65</v>
      </c>
      <c r="F6335" s="22" t="s">
        <v>45</v>
      </c>
      <c r="G6335" s="22" t="s">
        <v>121</v>
      </c>
      <c r="H6335" s="22" t="s">
        <v>59</v>
      </c>
      <c r="I6335" s="22" t="s">
        <v>111</v>
      </c>
      <c r="J6335" s="23">
        <v>48</v>
      </c>
      <c r="K6335" s="37">
        <v>0</v>
      </c>
      <c r="M6335" s="22">
        <f>IF(OR(ISBLANK(C6335),C6335=""),"",ROUND((C6335-B6335)*24,2))</f>
        <v>47.35</v>
      </c>
      <c r="N6335" s="40" t="str">
        <f>IF(OR(ISBLANK(C6335),C6335="",M6335=""),"In Progress",IF(M6335&lt;=J6335,"Met","Breached"))</f>
        <v>Met</v>
      </c>
    </row>
    <row r="6336" ht="19" customHeight="1" spans="1:14" x14ac:dyDescent="0.25">
      <c r="A6336" s="19" t="s">
        <v>6450</v>
      </c>
      <c r="B6336" s="33">
        <v>45962.56527777778</v>
      </c>
      <c r="C6336" s="33">
        <v>45965.174305555556</v>
      </c>
      <c r="D6336" s="19" t="s">
        <v>33</v>
      </c>
      <c r="E6336" s="19" t="s">
        <v>65</v>
      </c>
      <c r="F6336" s="19" t="s">
        <v>45</v>
      </c>
      <c r="G6336" s="19" t="s">
        <v>113</v>
      </c>
      <c r="H6336" s="19" t="s">
        <v>59</v>
      </c>
      <c r="I6336" s="19" t="s">
        <v>111</v>
      </c>
      <c r="J6336" s="20">
        <v>48</v>
      </c>
      <c r="K6336" s="34">
        <v>0</v>
      </c>
      <c r="L6336" s="34">
        <v>5</v>
      </c>
      <c r="M6336" s="19">
        <f>IF(OR(ISBLANK(C6336),C6336=""),"",ROUND((C6336-B6336)*24,2))</f>
        <v>62.62</v>
      </c>
      <c r="N6336" s="39" t="str">
        <f>IF(OR(ISBLANK(C6336),C6336="",M6336=""),"In Progress",IF(M6336&lt;=J6336,"Met","Breached"))</f>
        <v>Breached</v>
      </c>
    </row>
    <row r="6337" ht="19" customHeight="1" spans="1:14" x14ac:dyDescent="0.25">
      <c r="A6337" s="22" t="s">
        <v>6451</v>
      </c>
      <c r="B6337" s="36">
        <v>45726.02083333333</v>
      </c>
      <c r="D6337" s="22" t="s">
        <v>39</v>
      </c>
      <c r="E6337" s="22" t="s">
        <v>61</v>
      </c>
      <c r="F6337" s="22" t="s">
        <v>37</v>
      </c>
      <c r="G6337" s="22" t="s">
        <v>63</v>
      </c>
      <c r="H6337" s="22" t="s">
        <v>63</v>
      </c>
      <c r="I6337" s="22" t="s">
        <v>108</v>
      </c>
      <c r="J6337" s="23">
        <v>12</v>
      </c>
      <c r="K6337" s="37">
        <v>0</v>
      </c>
      <c r="M6337" s="22" t="str">
        <f>IF(OR(ISBLANK(C6337),C6337=""),"",ROUND((C6337-B6337)*24,2))</f>
        <v/>
      </c>
      <c r="N6337" s="22" t="str">
        <f>IF(OR(ISBLANK(C6337),C6337="",M6337=""),"In Progress",IF(M6337&lt;=J6337,"Met","Breached"))</f>
        <v>In Progress</v>
      </c>
    </row>
    <row r="6338" ht="19" customHeight="1" spans="1:14" x14ac:dyDescent="0.25">
      <c r="A6338" s="19" t="s">
        <v>6452</v>
      </c>
      <c r="B6338" s="33">
        <v>45839.09305555555</v>
      </c>
      <c r="C6338" s="33">
        <v>45840.93958333333</v>
      </c>
      <c r="D6338" s="19" t="s">
        <v>33</v>
      </c>
      <c r="E6338" s="19" t="s">
        <v>65</v>
      </c>
      <c r="F6338" s="19" t="s">
        <v>34</v>
      </c>
      <c r="G6338" s="19" t="s">
        <v>121</v>
      </c>
      <c r="H6338" s="19" t="s">
        <v>59</v>
      </c>
      <c r="I6338" s="19" t="s">
        <v>123</v>
      </c>
      <c r="J6338" s="20">
        <v>48</v>
      </c>
      <c r="K6338" s="34">
        <v>0</v>
      </c>
      <c r="L6338" s="34">
        <v>2</v>
      </c>
      <c r="M6338" s="19">
        <f>IF(OR(ISBLANK(C6338),C6338=""),"",ROUND((C6338-B6338)*24,2))</f>
        <v>44.32</v>
      </c>
      <c r="N6338" s="35" t="str">
        <f>IF(OR(ISBLANK(C6338),C6338="",M6338=""),"In Progress",IF(M6338&lt;=J6338,"Met","Breached"))</f>
        <v>Met</v>
      </c>
    </row>
    <row r="6339" ht="19" customHeight="1" spans="1:14" x14ac:dyDescent="0.25">
      <c r="A6339" s="22" t="s">
        <v>6453</v>
      </c>
      <c r="B6339" s="36">
        <v>45889.02013888889</v>
      </c>
      <c r="C6339" s="36">
        <v>45891.95763888889</v>
      </c>
      <c r="D6339" s="22" t="s">
        <v>33</v>
      </c>
      <c r="E6339" s="22" t="s">
        <v>65</v>
      </c>
      <c r="F6339" s="22" t="s">
        <v>43</v>
      </c>
      <c r="G6339" s="22" t="s">
        <v>126</v>
      </c>
      <c r="H6339" s="22" t="s">
        <v>59</v>
      </c>
      <c r="I6339" s="22" t="s">
        <v>147</v>
      </c>
      <c r="J6339" s="23">
        <v>48</v>
      </c>
      <c r="K6339" s="37">
        <v>0</v>
      </c>
      <c r="L6339" s="37">
        <v>3</v>
      </c>
      <c r="M6339" s="22">
        <f>IF(OR(ISBLANK(C6339),C6339=""),"",ROUND((C6339-B6339)*24,2))</f>
        <v>70.5</v>
      </c>
      <c r="N6339" s="38" t="str">
        <f>IF(OR(ISBLANK(C6339),C6339="",M6339=""),"In Progress",IF(M6339&lt;=J6339,"Met","Breached"))</f>
        <v>Breached</v>
      </c>
    </row>
    <row r="6340" ht="19" customHeight="1" spans="1:14" x14ac:dyDescent="0.25">
      <c r="A6340" s="19" t="s">
        <v>6454</v>
      </c>
      <c r="B6340" s="33">
        <v>45757.7125</v>
      </c>
      <c r="C6340" s="33">
        <v>45759.98611111111</v>
      </c>
      <c r="D6340" s="19" t="s">
        <v>33</v>
      </c>
      <c r="E6340" s="19" t="s">
        <v>65</v>
      </c>
      <c r="F6340" s="19" t="s">
        <v>40</v>
      </c>
      <c r="G6340" s="19" t="s">
        <v>116</v>
      </c>
      <c r="H6340" s="19" t="s">
        <v>71</v>
      </c>
      <c r="I6340" s="19" t="s">
        <v>111</v>
      </c>
      <c r="J6340" s="20">
        <v>48</v>
      </c>
      <c r="K6340" s="34">
        <v>0</v>
      </c>
      <c r="L6340" s="34">
        <v>1</v>
      </c>
      <c r="M6340" s="19">
        <f>IF(OR(ISBLANK(C6340),C6340=""),"",ROUND((C6340-B6340)*24,2))</f>
        <v>54.57</v>
      </c>
      <c r="N6340" s="39" t="str">
        <f>IF(OR(ISBLANK(C6340),C6340="",M6340=""),"In Progress",IF(M6340&lt;=J6340,"Met","Breached"))</f>
        <v>Breached</v>
      </c>
    </row>
    <row r="6341" ht="19" customHeight="1" spans="1:14" x14ac:dyDescent="0.25">
      <c r="A6341" s="22" t="s">
        <v>6455</v>
      </c>
      <c r="B6341" s="36">
        <v>45938.646527777775</v>
      </c>
      <c r="C6341" s="36">
        <v>45940.131944444445</v>
      </c>
      <c r="D6341" s="22" t="s">
        <v>36</v>
      </c>
      <c r="E6341" s="22" t="s">
        <v>65</v>
      </c>
      <c r="F6341" s="22" t="s">
        <v>40</v>
      </c>
      <c r="G6341" s="22" t="s">
        <v>116</v>
      </c>
      <c r="H6341" s="22" t="s">
        <v>67</v>
      </c>
      <c r="I6341" s="22" t="s">
        <v>123</v>
      </c>
      <c r="J6341" s="23">
        <v>48</v>
      </c>
      <c r="K6341" s="37">
        <v>0</v>
      </c>
      <c r="M6341" s="22">
        <f>IF(OR(ISBLANK(C6341),C6341=""),"",ROUND((C6341-B6341)*24,2))</f>
        <v>35.65</v>
      </c>
      <c r="N6341" s="40" t="str">
        <f>IF(OR(ISBLANK(C6341),C6341="",M6341=""),"In Progress",IF(M6341&lt;=J6341,"Met","Breached"))</f>
        <v>Met</v>
      </c>
    </row>
    <row r="6342" ht="19" customHeight="1" spans="1:14" x14ac:dyDescent="0.25">
      <c r="A6342" s="19" t="s">
        <v>6456</v>
      </c>
      <c r="B6342" s="33">
        <v>45870.77777777778</v>
      </c>
      <c r="C6342" s="33">
        <v>45870.88888888889</v>
      </c>
      <c r="D6342" s="19" t="s">
        <v>33</v>
      </c>
      <c r="E6342" s="19" t="s">
        <v>57</v>
      </c>
      <c r="F6342" s="19" t="s">
        <v>40</v>
      </c>
      <c r="G6342" s="19" t="s">
        <v>110</v>
      </c>
      <c r="H6342" s="19" t="s">
        <v>67</v>
      </c>
      <c r="I6342" s="19" t="s">
        <v>111</v>
      </c>
      <c r="J6342" s="20">
        <v>4</v>
      </c>
      <c r="K6342" s="34">
        <v>0</v>
      </c>
      <c r="L6342" s="34">
        <v>1</v>
      </c>
      <c r="M6342" s="19">
        <f>IF(OR(ISBLANK(C6342),C6342=""),"",ROUND((C6342-B6342)*24,2))</f>
        <v>2.67</v>
      </c>
      <c r="N6342" s="35" t="str">
        <f>IF(OR(ISBLANK(C6342),C6342="",M6342=""),"In Progress",IF(M6342&lt;=J6342,"Met","Breached"))</f>
        <v>Met</v>
      </c>
    </row>
    <row r="6343" ht="19" customHeight="1" spans="1:14" x14ac:dyDescent="0.25">
      <c r="A6343" s="22" t="s">
        <v>6457</v>
      </c>
      <c r="B6343" s="36">
        <v>46148.22083333333</v>
      </c>
      <c r="C6343" s="36">
        <v>46148.45833333333</v>
      </c>
      <c r="D6343" s="22" t="s">
        <v>36</v>
      </c>
      <c r="E6343" s="22" t="s">
        <v>61</v>
      </c>
      <c r="F6343" s="22" t="s">
        <v>34</v>
      </c>
      <c r="G6343" s="22" t="s">
        <v>126</v>
      </c>
      <c r="H6343" s="22" t="s">
        <v>59</v>
      </c>
      <c r="I6343" s="22" t="s">
        <v>123</v>
      </c>
      <c r="J6343" s="23">
        <v>12</v>
      </c>
      <c r="K6343" s="37">
        <v>0</v>
      </c>
      <c r="M6343" s="22">
        <f>IF(OR(ISBLANK(C6343),C6343=""),"",ROUND((C6343-B6343)*24,2))</f>
        <v>5.7</v>
      </c>
      <c r="N6343" s="40" t="str">
        <f>IF(OR(ISBLANK(C6343),C6343="",M6343=""),"In Progress",IF(M6343&lt;=J6343,"Met","Breached"))</f>
        <v>Met</v>
      </c>
    </row>
    <row r="6344" ht="19" customHeight="1" spans="1:14" x14ac:dyDescent="0.25">
      <c r="A6344" s="19" t="s">
        <v>6458</v>
      </c>
      <c r="B6344" s="33">
        <v>45745.31805555556</v>
      </c>
      <c r="D6344" s="19" t="s">
        <v>39</v>
      </c>
      <c r="E6344" s="19" t="s">
        <v>57</v>
      </c>
      <c r="F6344" s="19" t="s">
        <v>34</v>
      </c>
      <c r="G6344" s="19" t="s">
        <v>63</v>
      </c>
      <c r="H6344" s="19" t="s">
        <v>59</v>
      </c>
      <c r="I6344" s="19" t="s">
        <v>147</v>
      </c>
      <c r="J6344" s="20">
        <v>4</v>
      </c>
      <c r="K6344" s="34">
        <v>0</v>
      </c>
      <c r="M6344" s="19" t="str">
        <f>IF(OR(ISBLANK(C6344),C6344=""),"",ROUND((C6344-B6344)*24,2))</f>
        <v/>
      </c>
      <c r="N6344" s="19" t="str">
        <f>IF(OR(ISBLANK(C6344),C6344="",M6344=""),"In Progress",IF(M6344&lt;=J6344,"Met","Breached"))</f>
        <v>In Progress</v>
      </c>
    </row>
    <row r="6345" ht="19" customHeight="1" spans="1:14" x14ac:dyDescent="0.25">
      <c r="A6345" s="22" t="s">
        <v>6459</v>
      </c>
      <c r="B6345" s="36">
        <v>45943.29027777778</v>
      </c>
      <c r="C6345" s="36">
        <v>45944.87847222222</v>
      </c>
      <c r="D6345" s="22" t="s">
        <v>33</v>
      </c>
      <c r="E6345" s="22" t="s">
        <v>65</v>
      </c>
      <c r="F6345" s="22" t="s">
        <v>40</v>
      </c>
      <c r="G6345" s="22" t="s">
        <v>113</v>
      </c>
      <c r="H6345" s="22" t="s">
        <v>71</v>
      </c>
      <c r="I6345" s="22" t="s">
        <v>117</v>
      </c>
      <c r="J6345" s="23">
        <v>48</v>
      </c>
      <c r="K6345" s="37">
        <v>0</v>
      </c>
      <c r="M6345" s="22">
        <f>IF(OR(ISBLANK(C6345),C6345=""),"",ROUND((C6345-B6345)*24,2))</f>
        <v>38.12</v>
      </c>
      <c r="N6345" s="40" t="str">
        <f>IF(OR(ISBLANK(C6345),C6345="",M6345=""),"In Progress",IF(M6345&lt;=J6345,"Met","Breached"))</f>
        <v>Met</v>
      </c>
    </row>
    <row r="6346" ht="19" customHeight="1" spans="1:14" x14ac:dyDescent="0.25">
      <c r="A6346" s="19" t="s">
        <v>6460</v>
      </c>
      <c r="B6346" s="33">
        <v>46141.74722222222</v>
      </c>
      <c r="C6346" s="33">
        <v>46142.04861111111</v>
      </c>
      <c r="D6346" s="19" t="s">
        <v>33</v>
      </c>
      <c r="E6346" s="19" t="s">
        <v>61</v>
      </c>
      <c r="F6346" s="19" t="s">
        <v>40</v>
      </c>
      <c r="G6346" s="19" t="s">
        <v>63</v>
      </c>
      <c r="H6346" s="19" t="s">
        <v>67</v>
      </c>
      <c r="I6346" s="19" t="s">
        <v>117</v>
      </c>
      <c r="J6346" s="20">
        <v>12</v>
      </c>
      <c r="K6346" s="34">
        <v>0</v>
      </c>
      <c r="L6346" s="34">
        <v>1</v>
      </c>
      <c r="M6346" s="19">
        <f>IF(OR(ISBLANK(C6346),C6346=""),"",ROUND((C6346-B6346)*24,2))</f>
        <v>7.23</v>
      </c>
      <c r="N6346" s="35" t="str">
        <f>IF(OR(ISBLANK(C6346),C6346="",M6346=""),"In Progress",IF(M6346&lt;=J6346,"Met","Breached"))</f>
        <v>Met</v>
      </c>
    </row>
    <row r="6347" ht="19" customHeight="1" spans="1:14" x14ac:dyDescent="0.25">
      <c r="A6347" s="22" t="s">
        <v>6461</v>
      </c>
      <c r="B6347" s="36">
        <v>45722.81111111111</v>
      </c>
      <c r="C6347" s="36">
        <v>45725.14236111111</v>
      </c>
      <c r="D6347" s="22" t="s">
        <v>33</v>
      </c>
      <c r="E6347" s="22" t="s">
        <v>65</v>
      </c>
      <c r="F6347" s="22" t="s">
        <v>37</v>
      </c>
      <c r="G6347" s="22" t="s">
        <v>121</v>
      </c>
      <c r="H6347" s="22" t="s">
        <v>63</v>
      </c>
      <c r="I6347" s="22" t="s">
        <v>111</v>
      </c>
      <c r="J6347" s="23">
        <v>48</v>
      </c>
      <c r="K6347" s="37">
        <v>0</v>
      </c>
      <c r="L6347" s="37">
        <v>1</v>
      </c>
      <c r="M6347" s="22">
        <f>IF(OR(ISBLANK(C6347),C6347=""),"",ROUND((C6347-B6347)*24,2))</f>
        <v>55.95</v>
      </c>
      <c r="N6347" s="38" t="str">
        <f>IF(OR(ISBLANK(C6347),C6347="",M6347=""),"In Progress",IF(M6347&lt;=J6347,"Met","Breached"))</f>
        <v>Breached</v>
      </c>
    </row>
    <row r="6348" ht="19" customHeight="1" spans="1:14" x14ac:dyDescent="0.25">
      <c r="A6348" s="19" t="s">
        <v>6462</v>
      </c>
      <c r="B6348" s="33">
        <v>45833.96527777778</v>
      </c>
      <c r="C6348" s="33">
        <v>45834.111805555556</v>
      </c>
      <c r="D6348" s="19" t="s">
        <v>33</v>
      </c>
      <c r="E6348" s="19" t="s">
        <v>57</v>
      </c>
      <c r="F6348" s="19" t="s">
        <v>34</v>
      </c>
      <c r="G6348" s="19" t="s">
        <v>113</v>
      </c>
      <c r="H6348" s="19" t="s">
        <v>67</v>
      </c>
      <c r="I6348" s="19" t="s">
        <v>123</v>
      </c>
      <c r="J6348" s="20">
        <v>4</v>
      </c>
      <c r="K6348" s="34">
        <v>0</v>
      </c>
      <c r="M6348" s="19">
        <f>IF(OR(ISBLANK(C6348),C6348=""),"",ROUND((C6348-B6348)*24,2))</f>
        <v>3.52</v>
      </c>
      <c r="N6348" s="35" t="str">
        <f>IF(OR(ISBLANK(C6348),C6348="",M6348=""),"In Progress",IF(M6348&lt;=J6348,"Met","Breached"))</f>
        <v>Met</v>
      </c>
    </row>
    <row r="6349" ht="19" customHeight="1" spans="1:14" x14ac:dyDescent="0.25">
      <c r="A6349" s="22" t="s">
        <v>6463</v>
      </c>
      <c r="B6349" s="36">
        <v>46101.71041666667</v>
      </c>
      <c r="C6349" s="36">
        <v>46104.67569444445</v>
      </c>
      <c r="D6349" s="22" t="s">
        <v>33</v>
      </c>
      <c r="E6349" s="22" t="s">
        <v>69</v>
      </c>
      <c r="F6349" s="22" t="s">
        <v>37</v>
      </c>
      <c r="G6349" s="22" t="s">
        <v>110</v>
      </c>
      <c r="H6349" s="22" t="s">
        <v>59</v>
      </c>
      <c r="I6349" s="22" t="s">
        <v>114</v>
      </c>
      <c r="J6349" s="23">
        <v>120</v>
      </c>
      <c r="K6349" s="37">
        <v>0</v>
      </c>
      <c r="L6349" s="37">
        <v>2</v>
      </c>
      <c r="M6349" s="22">
        <f>IF(OR(ISBLANK(C6349),C6349=""),"",ROUND((C6349-B6349)*24,2))</f>
        <v>71.17</v>
      </c>
      <c r="N6349" s="40" t="str">
        <f>IF(OR(ISBLANK(C6349),C6349="",M6349=""),"In Progress",IF(M6349&lt;=J6349,"Met","Breached"))</f>
        <v>Met</v>
      </c>
    </row>
    <row r="6350" ht="19" customHeight="1" spans="1:14" x14ac:dyDescent="0.25">
      <c r="A6350" s="19" t="s">
        <v>6464</v>
      </c>
      <c r="B6350" s="33">
        <v>45769.98958333333</v>
      </c>
      <c r="C6350" s="33">
        <v>45770.82361111111</v>
      </c>
      <c r="D6350" s="19" t="s">
        <v>33</v>
      </c>
      <c r="E6350" s="19" t="s">
        <v>61</v>
      </c>
      <c r="F6350" s="19" t="s">
        <v>34</v>
      </c>
      <c r="G6350" s="19" t="s">
        <v>63</v>
      </c>
      <c r="H6350" s="19" t="s">
        <v>67</v>
      </c>
      <c r="I6350" s="19" t="s">
        <v>114</v>
      </c>
      <c r="J6350" s="20">
        <v>12</v>
      </c>
      <c r="K6350" s="34">
        <v>0</v>
      </c>
      <c r="L6350" s="34">
        <v>3</v>
      </c>
      <c r="M6350" s="19">
        <f>IF(OR(ISBLANK(C6350),C6350=""),"",ROUND((C6350-B6350)*24,2))</f>
        <v>20.02</v>
      </c>
      <c r="N6350" s="39" t="str">
        <f>IF(OR(ISBLANK(C6350),C6350="",M6350=""),"In Progress",IF(M6350&lt;=J6350,"Met","Breached"))</f>
        <v>Breached</v>
      </c>
    </row>
    <row r="6351" ht="19" customHeight="1" spans="1:14" x14ac:dyDescent="0.25">
      <c r="A6351" s="22" t="s">
        <v>6465</v>
      </c>
      <c r="B6351" s="36">
        <v>46040.11458333333</v>
      </c>
      <c r="C6351" s="36">
        <v>46041.853472222225</v>
      </c>
      <c r="D6351" s="22" t="s">
        <v>33</v>
      </c>
      <c r="E6351" s="22" t="s">
        <v>65</v>
      </c>
      <c r="F6351" s="22" t="s">
        <v>43</v>
      </c>
      <c r="G6351" s="22" t="s">
        <v>110</v>
      </c>
      <c r="H6351" s="22" t="s">
        <v>67</v>
      </c>
      <c r="I6351" s="22" t="s">
        <v>147</v>
      </c>
      <c r="J6351" s="23">
        <v>48</v>
      </c>
      <c r="K6351" s="37">
        <v>0</v>
      </c>
      <c r="L6351" s="37">
        <v>3</v>
      </c>
      <c r="M6351" s="22">
        <f>IF(OR(ISBLANK(C6351),C6351=""),"",ROUND((C6351-B6351)*24,2))</f>
        <v>41.73</v>
      </c>
      <c r="N6351" s="40" t="str">
        <f>IF(OR(ISBLANK(C6351),C6351="",M6351=""),"In Progress",IF(M6351&lt;=J6351,"Met","Breached"))</f>
        <v>Met</v>
      </c>
    </row>
    <row r="6352" ht="19" customHeight="1" spans="1:14" x14ac:dyDescent="0.25">
      <c r="A6352" s="19" t="s">
        <v>6466</v>
      </c>
      <c r="B6352" s="33">
        <v>45720.56111111111</v>
      </c>
      <c r="C6352" s="33">
        <v>45725.896527777775</v>
      </c>
      <c r="D6352" s="19" t="s">
        <v>33</v>
      </c>
      <c r="E6352" s="19" t="s">
        <v>69</v>
      </c>
      <c r="F6352" s="19" t="s">
        <v>34</v>
      </c>
      <c r="G6352" s="19" t="s">
        <v>121</v>
      </c>
      <c r="H6352" s="19" t="s">
        <v>71</v>
      </c>
      <c r="I6352" s="19" t="s">
        <v>108</v>
      </c>
      <c r="J6352" s="20">
        <v>120</v>
      </c>
      <c r="K6352" s="34">
        <v>0</v>
      </c>
      <c r="M6352" s="19">
        <f>IF(OR(ISBLANK(C6352),C6352=""),"",ROUND((C6352-B6352)*24,2))</f>
        <v>128.05</v>
      </c>
      <c r="N6352" s="39" t="str">
        <f>IF(OR(ISBLANK(C6352),C6352="",M6352=""),"In Progress",IF(M6352&lt;=J6352,"Met","Breached"))</f>
        <v>Breached</v>
      </c>
    </row>
    <row r="6353" ht="19" customHeight="1" spans="1:14" x14ac:dyDescent="0.25">
      <c r="A6353" s="22" t="s">
        <v>6467</v>
      </c>
      <c r="B6353" s="36">
        <v>45843.87569444445</v>
      </c>
      <c r="C6353" s="36">
        <v>45846.023611111115</v>
      </c>
      <c r="D6353" s="22" t="s">
        <v>33</v>
      </c>
      <c r="E6353" s="22" t="s">
        <v>65</v>
      </c>
      <c r="F6353" s="22" t="s">
        <v>45</v>
      </c>
      <c r="G6353" s="22" t="s">
        <v>126</v>
      </c>
      <c r="H6353" s="22" t="s">
        <v>71</v>
      </c>
      <c r="I6353" s="22" t="s">
        <v>123</v>
      </c>
      <c r="J6353" s="23">
        <v>48</v>
      </c>
      <c r="K6353" s="37">
        <v>0</v>
      </c>
      <c r="L6353" s="37">
        <v>3</v>
      </c>
      <c r="M6353" s="22">
        <f>IF(OR(ISBLANK(C6353),C6353=""),"",ROUND((C6353-B6353)*24,2))</f>
        <v>51.55</v>
      </c>
      <c r="N6353" s="38" t="str">
        <f>IF(OR(ISBLANK(C6353),C6353="",M6353=""),"In Progress",IF(M6353&lt;=J6353,"Met","Breached"))</f>
        <v>Breached</v>
      </c>
    </row>
    <row r="6354" ht="19" customHeight="1" spans="1:14" x14ac:dyDescent="0.25">
      <c r="A6354" s="19" t="s">
        <v>6468</v>
      </c>
      <c r="B6354" s="33">
        <v>46117.89027777778</v>
      </c>
      <c r="D6354" s="19" t="s">
        <v>39</v>
      </c>
      <c r="E6354" s="19" t="s">
        <v>57</v>
      </c>
      <c r="F6354" s="19" t="s">
        <v>45</v>
      </c>
      <c r="G6354" s="19" t="s">
        <v>116</v>
      </c>
      <c r="H6354" s="19" t="s">
        <v>63</v>
      </c>
      <c r="I6354" s="19" t="s">
        <v>108</v>
      </c>
      <c r="J6354" s="20">
        <v>4</v>
      </c>
      <c r="K6354" s="34">
        <v>0</v>
      </c>
      <c r="M6354" s="19" t="str">
        <f>IF(OR(ISBLANK(C6354),C6354=""),"",ROUND((C6354-B6354)*24,2))</f>
        <v/>
      </c>
      <c r="N6354" s="19" t="str">
        <f>IF(OR(ISBLANK(C6354),C6354="",M6354=""),"In Progress",IF(M6354&lt;=J6354,"Met","Breached"))</f>
        <v>In Progress</v>
      </c>
    </row>
    <row r="6355" ht="19" customHeight="1" spans="1:14" x14ac:dyDescent="0.25">
      <c r="A6355" s="22" t="s">
        <v>6469</v>
      </c>
      <c r="B6355" s="36">
        <v>46140.7125</v>
      </c>
      <c r="C6355" s="36">
        <v>46141.02986111111</v>
      </c>
      <c r="D6355" s="22" t="s">
        <v>36</v>
      </c>
      <c r="E6355" s="22" t="s">
        <v>61</v>
      </c>
      <c r="F6355" s="22" t="s">
        <v>37</v>
      </c>
      <c r="G6355" s="22" t="s">
        <v>113</v>
      </c>
      <c r="H6355" s="22" t="s">
        <v>59</v>
      </c>
      <c r="I6355" s="22" t="s">
        <v>123</v>
      </c>
      <c r="J6355" s="23">
        <v>12</v>
      </c>
      <c r="K6355" s="37">
        <v>0</v>
      </c>
      <c r="M6355" s="22">
        <f>IF(OR(ISBLANK(C6355),C6355=""),"",ROUND((C6355-B6355)*24,2))</f>
        <v>7.62</v>
      </c>
      <c r="N6355" s="40" t="str">
        <f>IF(OR(ISBLANK(C6355),C6355="",M6355=""),"In Progress",IF(M6355&lt;=J6355,"Met","Breached"))</f>
        <v>Met</v>
      </c>
    </row>
    <row r="6356" ht="19" customHeight="1" spans="1:14" x14ac:dyDescent="0.25">
      <c r="A6356" s="19" t="s">
        <v>6470</v>
      </c>
      <c r="B6356" s="33">
        <v>45807.02777777778</v>
      </c>
      <c r="C6356" s="33">
        <v>45807.51666666666</v>
      </c>
      <c r="D6356" s="19" t="s">
        <v>33</v>
      </c>
      <c r="E6356" s="19" t="s">
        <v>61</v>
      </c>
      <c r="F6356" s="19" t="s">
        <v>37</v>
      </c>
      <c r="G6356" s="19" t="s">
        <v>121</v>
      </c>
      <c r="H6356" s="19" t="s">
        <v>71</v>
      </c>
      <c r="I6356" s="19" t="s">
        <v>123</v>
      </c>
      <c r="J6356" s="20">
        <v>12</v>
      </c>
      <c r="K6356" s="34">
        <v>0</v>
      </c>
      <c r="L6356" s="34">
        <v>2</v>
      </c>
      <c r="M6356" s="19">
        <f>IF(OR(ISBLANK(C6356),C6356=""),"",ROUND((C6356-B6356)*24,2))</f>
        <v>11.73</v>
      </c>
      <c r="N6356" s="35" t="str">
        <f>IF(OR(ISBLANK(C6356),C6356="",M6356=""),"In Progress",IF(M6356&lt;=J6356,"Met","Breached"))</f>
        <v>Met</v>
      </c>
    </row>
    <row r="6357" ht="19" customHeight="1" spans="1:14" x14ac:dyDescent="0.25">
      <c r="A6357" s="22" t="s">
        <v>6471</v>
      </c>
      <c r="B6357" s="36">
        <v>45849.68541666667</v>
      </c>
      <c r="C6357" s="36">
        <v>45855.822222222225</v>
      </c>
      <c r="D6357" s="22" t="s">
        <v>36</v>
      </c>
      <c r="E6357" s="22" t="s">
        <v>69</v>
      </c>
      <c r="F6357" s="22" t="s">
        <v>43</v>
      </c>
      <c r="G6357" s="22" t="s">
        <v>110</v>
      </c>
      <c r="H6357" s="22" t="s">
        <v>63</v>
      </c>
      <c r="I6357" s="22" t="s">
        <v>123</v>
      </c>
      <c r="J6357" s="23">
        <v>120</v>
      </c>
      <c r="K6357" s="37">
        <v>0</v>
      </c>
      <c r="L6357" s="37">
        <v>3</v>
      </c>
      <c r="M6357" s="22">
        <f>IF(OR(ISBLANK(C6357),C6357=""),"",ROUND((C6357-B6357)*24,2))</f>
        <v>147.28</v>
      </c>
      <c r="N6357" s="38" t="str">
        <f>IF(OR(ISBLANK(C6357),C6357="",M6357=""),"In Progress",IF(M6357&lt;=J6357,"Met","Breached"))</f>
        <v>Breached</v>
      </c>
    </row>
    <row r="6358" ht="19" customHeight="1" spans="1:14" x14ac:dyDescent="0.25">
      <c r="A6358" s="19" t="s">
        <v>6472</v>
      </c>
      <c r="B6358" s="33">
        <v>46042.711111111115</v>
      </c>
      <c r="C6358" s="33">
        <v>46043.67222222222</v>
      </c>
      <c r="D6358" s="19" t="s">
        <v>36</v>
      </c>
      <c r="E6358" s="19" t="s">
        <v>65</v>
      </c>
      <c r="F6358" s="19" t="s">
        <v>40</v>
      </c>
      <c r="G6358" s="19" t="s">
        <v>121</v>
      </c>
      <c r="H6358" s="19" t="s">
        <v>59</v>
      </c>
      <c r="I6358" s="19" t="s">
        <v>123</v>
      </c>
      <c r="J6358" s="20">
        <v>48</v>
      </c>
      <c r="K6358" s="34">
        <v>0</v>
      </c>
      <c r="L6358" s="34">
        <v>2</v>
      </c>
      <c r="M6358" s="19">
        <f>IF(OR(ISBLANK(C6358),C6358=""),"",ROUND((C6358-B6358)*24,2))</f>
        <v>23.07</v>
      </c>
      <c r="N6358" s="35" t="str">
        <f>IF(OR(ISBLANK(C6358),C6358="",M6358=""),"In Progress",IF(M6358&lt;=J6358,"Met","Breached"))</f>
        <v>Met</v>
      </c>
    </row>
    <row r="6359" ht="19" customHeight="1" spans="1:14" x14ac:dyDescent="0.25">
      <c r="A6359" s="22" t="s">
        <v>6473</v>
      </c>
      <c r="B6359" s="36">
        <v>46183.4125</v>
      </c>
      <c r="D6359" s="22" t="s">
        <v>39</v>
      </c>
      <c r="E6359" s="22" t="s">
        <v>65</v>
      </c>
      <c r="F6359" s="22" t="s">
        <v>37</v>
      </c>
      <c r="G6359" s="22" t="s">
        <v>116</v>
      </c>
      <c r="H6359" s="22" t="s">
        <v>63</v>
      </c>
      <c r="I6359" s="22" t="s">
        <v>123</v>
      </c>
      <c r="J6359" s="23">
        <v>48</v>
      </c>
      <c r="K6359" s="37">
        <v>0</v>
      </c>
      <c r="M6359" s="22" t="str">
        <f>IF(OR(ISBLANK(C6359),C6359=""),"",ROUND((C6359-B6359)*24,2))</f>
        <v/>
      </c>
      <c r="N6359" s="22" t="str">
        <f>IF(OR(ISBLANK(C6359),C6359="",M6359=""),"In Progress",IF(M6359&lt;=J6359,"Met","Breached"))</f>
        <v>In Progress</v>
      </c>
    </row>
    <row r="6360" ht="19" customHeight="1" spans="1:14" x14ac:dyDescent="0.25">
      <c r="A6360" s="19" t="s">
        <v>6474</v>
      </c>
      <c r="B6360" s="33">
        <v>46277.49375</v>
      </c>
      <c r="C6360" s="33">
        <v>46278.768055555556</v>
      </c>
      <c r="D6360" s="19" t="s">
        <v>33</v>
      </c>
      <c r="E6360" s="19" t="s">
        <v>65</v>
      </c>
      <c r="F6360" s="19" t="s">
        <v>37</v>
      </c>
      <c r="G6360" s="19" t="s">
        <v>63</v>
      </c>
      <c r="H6360" s="19" t="s">
        <v>63</v>
      </c>
      <c r="I6360" s="19" t="s">
        <v>123</v>
      </c>
      <c r="J6360" s="20">
        <v>48</v>
      </c>
      <c r="K6360" s="34">
        <v>0</v>
      </c>
      <c r="L6360" s="34">
        <v>2</v>
      </c>
      <c r="M6360" s="19">
        <f>IF(OR(ISBLANK(C6360),C6360=""),"",ROUND((C6360-B6360)*24,2))</f>
        <v>30.58</v>
      </c>
      <c r="N6360" s="35" t="str">
        <f>IF(OR(ISBLANK(C6360),C6360="",M6360=""),"In Progress",IF(M6360&lt;=J6360,"Met","Breached"))</f>
        <v>Met</v>
      </c>
    </row>
    <row r="6361" ht="19" customHeight="1" spans="1:14" x14ac:dyDescent="0.25">
      <c r="A6361" s="22" t="s">
        <v>6475</v>
      </c>
      <c r="B6361" s="36">
        <v>46156.23055555555</v>
      </c>
      <c r="C6361" s="36">
        <v>46157.39583333333</v>
      </c>
      <c r="D6361" s="22" t="s">
        <v>33</v>
      </c>
      <c r="E6361" s="22" t="s">
        <v>65</v>
      </c>
      <c r="F6361" s="22" t="s">
        <v>43</v>
      </c>
      <c r="G6361" s="22" t="s">
        <v>121</v>
      </c>
      <c r="H6361" s="22" t="s">
        <v>59</v>
      </c>
      <c r="I6361" s="22" t="s">
        <v>117</v>
      </c>
      <c r="J6361" s="23">
        <v>48</v>
      </c>
      <c r="K6361" s="37">
        <v>0</v>
      </c>
      <c r="L6361" s="37">
        <v>1</v>
      </c>
      <c r="M6361" s="22">
        <f>IF(OR(ISBLANK(C6361),C6361=""),"",ROUND((C6361-B6361)*24,2))</f>
        <v>27.97</v>
      </c>
      <c r="N6361" s="40" t="str">
        <f>IF(OR(ISBLANK(C6361),C6361="",M6361=""),"In Progress",IF(M6361&lt;=J6361,"Met","Breached"))</f>
        <v>Met</v>
      </c>
    </row>
    <row r="6362" ht="19" customHeight="1" spans="1:14" x14ac:dyDescent="0.25">
      <c r="A6362" s="19" t="s">
        <v>6476</v>
      </c>
      <c r="B6362" s="33">
        <v>45681.52847222222</v>
      </c>
      <c r="C6362" s="33">
        <v>45683.79791666666</v>
      </c>
      <c r="D6362" s="19" t="s">
        <v>33</v>
      </c>
      <c r="E6362" s="19" t="s">
        <v>65</v>
      </c>
      <c r="F6362" s="19" t="s">
        <v>40</v>
      </c>
      <c r="G6362" s="19" t="s">
        <v>126</v>
      </c>
      <c r="H6362" s="19" t="s">
        <v>59</v>
      </c>
      <c r="I6362" s="19" t="s">
        <v>147</v>
      </c>
      <c r="J6362" s="20">
        <v>48</v>
      </c>
      <c r="K6362" s="34">
        <v>0</v>
      </c>
      <c r="L6362" s="34">
        <v>2</v>
      </c>
      <c r="M6362" s="19">
        <f>IF(OR(ISBLANK(C6362),C6362=""),"",ROUND((C6362-B6362)*24,2))</f>
        <v>54.47</v>
      </c>
      <c r="N6362" s="39" t="str">
        <f>IF(OR(ISBLANK(C6362),C6362="",M6362=""),"In Progress",IF(M6362&lt;=J6362,"Met","Breached"))</f>
        <v>Breached</v>
      </c>
    </row>
    <row r="6363" ht="19" customHeight="1" spans="1:14" x14ac:dyDescent="0.25">
      <c r="A6363" s="22" t="s">
        <v>6477</v>
      </c>
      <c r="B6363" s="36">
        <v>46239.82361111111</v>
      </c>
      <c r="C6363" s="36">
        <v>46240.51527777778</v>
      </c>
      <c r="D6363" s="22" t="s">
        <v>33</v>
      </c>
      <c r="E6363" s="22" t="s">
        <v>61</v>
      </c>
      <c r="F6363" s="22" t="s">
        <v>37</v>
      </c>
      <c r="G6363" s="22" t="s">
        <v>113</v>
      </c>
      <c r="H6363" s="22" t="s">
        <v>67</v>
      </c>
      <c r="I6363" s="22" t="s">
        <v>117</v>
      </c>
      <c r="J6363" s="23">
        <v>12</v>
      </c>
      <c r="K6363" s="37">
        <v>0</v>
      </c>
      <c r="L6363" s="37">
        <v>1</v>
      </c>
      <c r="M6363" s="22">
        <f>IF(OR(ISBLANK(C6363),C6363=""),"",ROUND((C6363-B6363)*24,2))</f>
        <v>16.6</v>
      </c>
      <c r="N6363" s="38" t="str">
        <f>IF(OR(ISBLANK(C6363),C6363="",M6363=""),"In Progress",IF(M6363&lt;=J6363,"Met","Breached"))</f>
        <v>Breached</v>
      </c>
    </row>
    <row r="6364" ht="19" customHeight="1" spans="1:14" x14ac:dyDescent="0.25">
      <c r="A6364" s="19" t="s">
        <v>6478</v>
      </c>
      <c r="B6364" s="33">
        <v>46017.77222222222</v>
      </c>
      <c r="D6364" s="19" t="s">
        <v>39</v>
      </c>
      <c r="E6364" s="19" t="s">
        <v>69</v>
      </c>
      <c r="F6364" s="19" t="s">
        <v>37</v>
      </c>
      <c r="G6364" s="19" t="s">
        <v>113</v>
      </c>
      <c r="H6364" s="19" t="s">
        <v>63</v>
      </c>
      <c r="I6364" s="19" t="s">
        <v>147</v>
      </c>
      <c r="J6364" s="20">
        <v>120</v>
      </c>
      <c r="K6364" s="34">
        <v>0</v>
      </c>
      <c r="M6364" s="19" t="str">
        <f>IF(OR(ISBLANK(C6364),C6364=""),"",ROUND((C6364-B6364)*24,2))</f>
        <v/>
      </c>
      <c r="N6364" s="19" t="str">
        <f>IF(OR(ISBLANK(C6364),C6364="",M6364=""),"In Progress",IF(M6364&lt;=J6364,"Met","Breached"))</f>
        <v>In Progress</v>
      </c>
    </row>
    <row r="6365" ht="19" customHeight="1" spans="1:14" x14ac:dyDescent="0.25">
      <c r="A6365" s="22" t="s">
        <v>6479</v>
      </c>
      <c r="B6365" s="36">
        <v>45802.88333333333</v>
      </c>
      <c r="D6365" s="22" t="s">
        <v>39</v>
      </c>
      <c r="E6365" s="22" t="s">
        <v>65</v>
      </c>
      <c r="F6365" s="22" t="s">
        <v>45</v>
      </c>
      <c r="G6365" s="22" t="s">
        <v>63</v>
      </c>
      <c r="H6365" s="22" t="s">
        <v>59</v>
      </c>
      <c r="I6365" s="22" t="s">
        <v>117</v>
      </c>
      <c r="J6365" s="23">
        <v>48</v>
      </c>
      <c r="K6365" s="37">
        <v>0</v>
      </c>
      <c r="M6365" s="22" t="str">
        <f>IF(OR(ISBLANK(C6365),C6365=""),"",ROUND((C6365-B6365)*24,2))</f>
        <v/>
      </c>
      <c r="N6365" s="22" t="str">
        <f>IF(OR(ISBLANK(C6365),C6365="",M6365=""),"In Progress",IF(M6365&lt;=J6365,"Met","Breached"))</f>
        <v>In Progress</v>
      </c>
    </row>
    <row r="6366" ht="19" customHeight="1" spans="1:14" x14ac:dyDescent="0.25">
      <c r="A6366" s="19" t="s">
        <v>6480</v>
      </c>
      <c r="B6366" s="33">
        <v>46087.64722222222</v>
      </c>
      <c r="C6366" s="33">
        <v>46089.64097222222</v>
      </c>
      <c r="D6366" s="19" t="s">
        <v>33</v>
      </c>
      <c r="E6366" s="19" t="s">
        <v>65</v>
      </c>
      <c r="F6366" s="19" t="s">
        <v>45</v>
      </c>
      <c r="G6366" s="19" t="s">
        <v>126</v>
      </c>
      <c r="H6366" s="19" t="s">
        <v>59</v>
      </c>
      <c r="I6366" s="19" t="s">
        <v>147</v>
      </c>
      <c r="J6366" s="20">
        <v>48</v>
      </c>
      <c r="K6366" s="34">
        <v>0</v>
      </c>
      <c r="L6366" s="34">
        <v>5</v>
      </c>
      <c r="M6366" s="19">
        <f>IF(OR(ISBLANK(C6366),C6366=""),"",ROUND((C6366-B6366)*24,2))</f>
        <v>47.85</v>
      </c>
      <c r="N6366" s="35" t="str">
        <f>IF(OR(ISBLANK(C6366),C6366="",M6366=""),"In Progress",IF(M6366&lt;=J6366,"Met","Breached"))</f>
        <v>Met</v>
      </c>
    </row>
    <row r="6367" ht="19" customHeight="1" spans="1:14" x14ac:dyDescent="0.25">
      <c r="A6367" s="22" t="s">
        <v>6481</v>
      </c>
      <c r="B6367" s="36">
        <v>46278.22013888889</v>
      </c>
      <c r="C6367" s="36">
        <v>46280.8</v>
      </c>
      <c r="D6367" s="22" t="s">
        <v>33</v>
      </c>
      <c r="E6367" s="22" t="s">
        <v>65</v>
      </c>
      <c r="F6367" s="22" t="s">
        <v>34</v>
      </c>
      <c r="G6367" s="22" t="s">
        <v>121</v>
      </c>
      <c r="H6367" s="22" t="s">
        <v>67</v>
      </c>
      <c r="I6367" s="22" t="s">
        <v>117</v>
      </c>
      <c r="J6367" s="23">
        <v>48</v>
      </c>
      <c r="K6367" s="37">
        <v>0</v>
      </c>
      <c r="L6367" s="37">
        <v>4</v>
      </c>
      <c r="M6367" s="22">
        <f>IF(OR(ISBLANK(C6367),C6367=""),"",ROUND((C6367-B6367)*24,2))</f>
        <v>61.92</v>
      </c>
      <c r="N6367" s="38" t="str">
        <f>IF(OR(ISBLANK(C6367),C6367="",M6367=""),"In Progress",IF(M6367&lt;=J6367,"Met","Breached"))</f>
        <v>Breached</v>
      </c>
    </row>
    <row r="6368" ht="19" customHeight="1" spans="1:14" x14ac:dyDescent="0.25">
      <c r="A6368" s="19" t="s">
        <v>6482</v>
      </c>
      <c r="B6368" s="33">
        <v>46081.92222222222</v>
      </c>
      <c r="C6368" s="33">
        <v>46087.731944444444</v>
      </c>
      <c r="D6368" s="19" t="s">
        <v>33</v>
      </c>
      <c r="E6368" s="19" t="s">
        <v>69</v>
      </c>
      <c r="F6368" s="19" t="s">
        <v>40</v>
      </c>
      <c r="G6368" s="19" t="s">
        <v>110</v>
      </c>
      <c r="H6368" s="19" t="s">
        <v>59</v>
      </c>
      <c r="I6368" s="19" t="s">
        <v>114</v>
      </c>
      <c r="J6368" s="20">
        <v>120</v>
      </c>
      <c r="K6368" s="34">
        <v>0</v>
      </c>
      <c r="L6368" s="34">
        <v>3</v>
      </c>
      <c r="M6368" s="19">
        <f>IF(OR(ISBLANK(C6368),C6368=""),"",ROUND((C6368-B6368)*24,2))</f>
        <v>139.43</v>
      </c>
      <c r="N6368" s="39" t="str">
        <f>IF(OR(ISBLANK(C6368),C6368="",M6368=""),"In Progress",IF(M6368&lt;=J6368,"Met","Breached"))</f>
        <v>Breached</v>
      </c>
    </row>
    <row r="6369" ht="19" customHeight="1" spans="1:14" x14ac:dyDescent="0.25">
      <c r="A6369" s="22" t="s">
        <v>6483</v>
      </c>
      <c r="B6369" s="36">
        <v>45960.236805555556</v>
      </c>
      <c r="D6369" s="22" t="s">
        <v>39</v>
      </c>
      <c r="E6369" s="22" t="s">
        <v>65</v>
      </c>
      <c r="F6369" s="22" t="s">
        <v>40</v>
      </c>
      <c r="G6369" s="22" t="s">
        <v>63</v>
      </c>
      <c r="H6369" s="22" t="s">
        <v>71</v>
      </c>
      <c r="I6369" s="22" t="s">
        <v>114</v>
      </c>
      <c r="J6369" s="23">
        <v>48</v>
      </c>
      <c r="K6369" s="37">
        <v>0</v>
      </c>
      <c r="M6369" s="22" t="str">
        <f>IF(OR(ISBLANK(C6369),C6369=""),"",ROUND((C6369-B6369)*24,2))</f>
        <v/>
      </c>
      <c r="N6369" s="22" t="str">
        <f>IF(OR(ISBLANK(C6369),C6369="",M6369=""),"In Progress",IF(M6369&lt;=J6369,"Met","Breached"))</f>
        <v>In Progress</v>
      </c>
    </row>
    <row r="6370" ht="19" customHeight="1" spans="1:14" x14ac:dyDescent="0.25">
      <c r="A6370" s="19" t="s">
        <v>6484</v>
      </c>
      <c r="B6370" s="33">
        <v>45846.10625</v>
      </c>
      <c r="D6370" s="19" t="s">
        <v>39</v>
      </c>
      <c r="E6370" s="19" t="s">
        <v>65</v>
      </c>
      <c r="F6370" s="19" t="s">
        <v>34</v>
      </c>
      <c r="G6370" s="19" t="s">
        <v>113</v>
      </c>
      <c r="H6370" s="19" t="s">
        <v>59</v>
      </c>
      <c r="I6370" s="19" t="s">
        <v>114</v>
      </c>
      <c r="J6370" s="20">
        <v>48</v>
      </c>
      <c r="K6370" s="34">
        <v>0</v>
      </c>
      <c r="M6370" s="19" t="str">
        <f>IF(OR(ISBLANK(C6370),C6370=""),"",ROUND((C6370-B6370)*24,2))</f>
        <v/>
      </c>
      <c r="N6370" s="19" t="str">
        <f>IF(OR(ISBLANK(C6370),C6370="",M6370=""),"In Progress",IF(M6370&lt;=J6370,"Met","Breached"))</f>
        <v>In Progress</v>
      </c>
    </row>
    <row r="6371" ht="19" customHeight="1" spans="1:14" x14ac:dyDescent="0.25">
      <c r="A6371" s="22" t="s">
        <v>6485</v>
      </c>
      <c r="B6371" s="36">
        <v>45687.09652777778</v>
      </c>
      <c r="D6371" s="22" t="s">
        <v>42</v>
      </c>
      <c r="E6371" s="22" t="s">
        <v>69</v>
      </c>
      <c r="F6371" s="22" t="s">
        <v>45</v>
      </c>
      <c r="G6371" s="22" t="s">
        <v>126</v>
      </c>
      <c r="H6371" s="22" t="s">
        <v>63</v>
      </c>
      <c r="I6371" s="22" t="s">
        <v>114</v>
      </c>
      <c r="J6371" s="23">
        <v>120</v>
      </c>
      <c r="K6371" s="37">
        <v>0</v>
      </c>
      <c r="M6371" s="22" t="str">
        <f>IF(OR(ISBLANK(C6371),C6371=""),"",ROUND((C6371-B6371)*24,2))</f>
        <v/>
      </c>
      <c r="N6371" s="22" t="str">
        <f>IF(OR(ISBLANK(C6371),C6371="",M6371=""),"In Progress",IF(M6371&lt;=J6371,"Met","Breached"))</f>
        <v>In Progress</v>
      </c>
    </row>
    <row r="6372" ht="19" customHeight="1" spans="1:14" x14ac:dyDescent="0.25">
      <c r="A6372" s="19" t="s">
        <v>6486</v>
      </c>
      <c r="B6372" s="33">
        <v>46285.57361111111</v>
      </c>
      <c r="C6372" s="33">
        <v>46294.42222222222</v>
      </c>
      <c r="D6372" s="19" t="s">
        <v>36</v>
      </c>
      <c r="E6372" s="19" t="s">
        <v>69</v>
      </c>
      <c r="F6372" s="19" t="s">
        <v>34</v>
      </c>
      <c r="G6372" s="19" t="s">
        <v>63</v>
      </c>
      <c r="H6372" s="19" t="s">
        <v>71</v>
      </c>
      <c r="I6372" s="19" t="s">
        <v>111</v>
      </c>
      <c r="J6372" s="20">
        <v>120</v>
      </c>
      <c r="K6372" s="34">
        <v>0</v>
      </c>
      <c r="L6372" s="34">
        <v>4</v>
      </c>
      <c r="M6372" s="19">
        <f>IF(OR(ISBLANK(C6372),C6372=""),"",ROUND((C6372-B6372)*24,2))</f>
        <v>212.37</v>
      </c>
      <c r="N6372" s="39" t="str">
        <f>IF(OR(ISBLANK(C6372),C6372="",M6372=""),"In Progress",IF(M6372&lt;=J6372,"Met","Breached"))</f>
        <v>Breached</v>
      </c>
    </row>
    <row r="6373" ht="19" customHeight="1" spans="1:14" x14ac:dyDescent="0.25">
      <c r="A6373" s="22" t="s">
        <v>6487</v>
      </c>
      <c r="B6373" s="36">
        <v>45967.21319444444</v>
      </c>
      <c r="C6373" s="36">
        <v>45970.558333333334</v>
      </c>
      <c r="D6373" s="22" t="s">
        <v>33</v>
      </c>
      <c r="E6373" s="22" t="s">
        <v>65</v>
      </c>
      <c r="F6373" s="22" t="s">
        <v>45</v>
      </c>
      <c r="G6373" s="22" t="s">
        <v>63</v>
      </c>
      <c r="H6373" s="22" t="s">
        <v>59</v>
      </c>
      <c r="I6373" s="22" t="s">
        <v>123</v>
      </c>
      <c r="J6373" s="23">
        <v>48</v>
      </c>
      <c r="K6373" s="37">
        <v>0</v>
      </c>
      <c r="L6373" s="37">
        <v>3</v>
      </c>
      <c r="M6373" s="22">
        <f>IF(OR(ISBLANK(C6373),C6373=""),"",ROUND((C6373-B6373)*24,2))</f>
        <v>80.28</v>
      </c>
      <c r="N6373" s="38" t="str">
        <f>IF(OR(ISBLANK(C6373),C6373="",M6373=""),"In Progress",IF(M6373&lt;=J6373,"Met","Breached"))</f>
        <v>Breached</v>
      </c>
    </row>
    <row r="6374" ht="19" customHeight="1" spans="1:14" x14ac:dyDescent="0.25">
      <c r="A6374" s="19" t="s">
        <v>6488</v>
      </c>
      <c r="B6374" s="33">
        <v>46093.49930555555</v>
      </c>
      <c r="C6374" s="33">
        <v>46093.90486111111</v>
      </c>
      <c r="D6374" s="19" t="s">
        <v>33</v>
      </c>
      <c r="E6374" s="19" t="s">
        <v>61</v>
      </c>
      <c r="F6374" s="19" t="s">
        <v>34</v>
      </c>
      <c r="G6374" s="19" t="s">
        <v>110</v>
      </c>
      <c r="H6374" s="19" t="s">
        <v>67</v>
      </c>
      <c r="I6374" s="19" t="s">
        <v>108</v>
      </c>
      <c r="J6374" s="20">
        <v>12</v>
      </c>
      <c r="K6374" s="34">
        <v>0</v>
      </c>
      <c r="L6374" s="34">
        <v>4</v>
      </c>
      <c r="M6374" s="19">
        <f>IF(OR(ISBLANK(C6374),C6374=""),"",ROUND((C6374-B6374)*24,2))</f>
        <v>9.73</v>
      </c>
      <c r="N6374" s="35" t="str">
        <f>IF(OR(ISBLANK(C6374),C6374="",M6374=""),"In Progress",IF(M6374&lt;=J6374,"Met","Breached"))</f>
        <v>Met</v>
      </c>
    </row>
    <row r="6375" ht="19" customHeight="1" spans="1:14" x14ac:dyDescent="0.25">
      <c r="A6375" s="22" t="s">
        <v>6489</v>
      </c>
      <c r="B6375" s="36">
        <v>46075.26041666667</v>
      </c>
      <c r="D6375" s="22" t="s">
        <v>42</v>
      </c>
      <c r="E6375" s="22" t="s">
        <v>57</v>
      </c>
      <c r="F6375" s="22" t="s">
        <v>43</v>
      </c>
      <c r="G6375" s="22" t="s">
        <v>110</v>
      </c>
      <c r="H6375" s="22" t="s">
        <v>63</v>
      </c>
      <c r="I6375" s="22" t="s">
        <v>111</v>
      </c>
      <c r="J6375" s="23">
        <v>4</v>
      </c>
      <c r="K6375" s="37">
        <v>0</v>
      </c>
      <c r="M6375" s="22" t="str">
        <f>IF(OR(ISBLANK(C6375),C6375=""),"",ROUND((C6375-B6375)*24,2))</f>
        <v/>
      </c>
      <c r="N6375" s="22" t="str">
        <f>IF(OR(ISBLANK(C6375),C6375="",M6375=""),"In Progress",IF(M6375&lt;=J6375,"Met","Breached"))</f>
        <v>In Progress</v>
      </c>
    </row>
    <row r="6376" ht="19" customHeight="1" spans="1:14" x14ac:dyDescent="0.25">
      <c r="A6376" s="19" t="s">
        <v>6490</v>
      </c>
      <c r="B6376" s="33">
        <v>45917.69791666667</v>
      </c>
      <c r="D6376" s="19" t="s">
        <v>39</v>
      </c>
      <c r="E6376" s="19" t="s">
        <v>69</v>
      </c>
      <c r="F6376" s="19" t="s">
        <v>34</v>
      </c>
      <c r="G6376" s="19" t="s">
        <v>116</v>
      </c>
      <c r="H6376" s="19" t="s">
        <v>67</v>
      </c>
      <c r="I6376" s="19" t="s">
        <v>114</v>
      </c>
      <c r="J6376" s="20">
        <v>120</v>
      </c>
      <c r="K6376" s="34">
        <v>0</v>
      </c>
      <c r="M6376" s="19" t="str">
        <f>IF(OR(ISBLANK(C6376),C6376=""),"",ROUND((C6376-B6376)*24,2))</f>
        <v/>
      </c>
      <c r="N6376" s="19" t="str">
        <f>IF(OR(ISBLANK(C6376),C6376="",M6376=""),"In Progress",IF(M6376&lt;=J6376,"Met","Breached"))</f>
        <v>In Progress</v>
      </c>
    </row>
    <row r="6377" ht="19" customHeight="1" spans="1:14" x14ac:dyDescent="0.25">
      <c r="A6377" s="22" t="s">
        <v>6491</v>
      </c>
      <c r="B6377" s="36">
        <v>45666.17916666667</v>
      </c>
      <c r="C6377" s="36">
        <v>45666.80347222222</v>
      </c>
      <c r="D6377" s="22" t="s">
        <v>36</v>
      </c>
      <c r="E6377" s="22" t="s">
        <v>61</v>
      </c>
      <c r="F6377" s="22" t="s">
        <v>37</v>
      </c>
      <c r="G6377" s="22" t="s">
        <v>116</v>
      </c>
      <c r="H6377" s="22" t="s">
        <v>71</v>
      </c>
      <c r="I6377" s="22" t="s">
        <v>108</v>
      </c>
      <c r="J6377" s="23">
        <v>12</v>
      </c>
      <c r="K6377" s="37">
        <v>0</v>
      </c>
      <c r="L6377" s="37">
        <v>3</v>
      </c>
      <c r="M6377" s="22">
        <f>IF(OR(ISBLANK(C6377),C6377=""),"",ROUND((C6377-B6377)*24,2))</f>
        <v>14.98</v>
      </c>
      <c r="N6377" s="38" t="str">
        <f>IF(OR(ISBLANK(C6377),C6377="",M6377=""),"In Progress",IF(M6377&lt;=J6377,"Met","Breached"))</f>
        <v>Breached</v>
      </c>
    </row>
    <row r="6378" ht="19" customHeight="1" spans="1:14" x14ac:dyDescent="0.25">
      <c r="A6378" s="19" t="s">
        <v>6492</v>
      </c>
      <c r="B6378" s="33">
        <v>45843.57083333333</v>
      </c>
      <c r="D6378" s="19" t="s">
        <v>42</v>
      </c>
      <c r="E6378" s="19" t="s">
        <v>61</v>
      </c>
      <c r="F6378" s="19" t="s">
        <v>37</v>
      </c>
      <c r="G6378" s="19" t="s">
        <v>113</v>
      </c>
      <c r="H6378" s="19" t="s">
        <v>63</v>
      </c>
      <c r="I6378" s="19" t="s">
        <v>117</v>
      </c>
      <c r="J6378" s="20">
        <v>12</v>
      </c>
      <c r="K6378" s="34">
        <v>0</v>
      </c>
      <c r="M6378" s="19" t="str">
        <f>IF(OR(ISBLANK(C6378),C6378=""),"",ROUND((C6378-B6378)*24,2))</f>
        <v/>
      </c>
      <c r="N6378" s="19" t="str">
        <f>IF(OR(ISBLANK(C6378),C6378="",M6378=""),"In Progress",IF(M6378&lt;=J6378,"Met","Breached"))</f>
        <v>In Progress</v>
      </c>
    </row>
    <row r="6379" ht="19" customHeight="1" spans="1:14" x14ac:dyDescent="0.25">
      <c r="A6379" s="22" t="s">
        <v>6493</v>
      </c>
      <c r="B6379" s="36">
        <v>46286.00347222222</v>
      </c>
      <c r="C6379" s="36">
        <v>46294.80763888889</v>
      </c>
      <c r="D6379" s="22" t="s">
        <v>33</v>
      </c>
      <c r="E6379" s="22" t="s">
        <v>69</v>
      </c>
      <c r="F6379" s="22" t="s">
        <v>45</v>
      </c>
      <c r="G6379" s="22" t="s">
        <v>126</v>
      </c>
      <c r="H6379" s="22" t="s">
        <v>67</v>
      </c>
      <c r="I6379" s="22" t="s">
        <v>117</v>
      </c>
      <c r="J6379" s="23">
        <v>120</v>
      </c>
      <c r="K6379" s="37">
        <v>0</v>
      </c>
      <c r="L6379" s="37">
        <v>1</v>
      </c>
      <c r="M6379" s="22">
        <f>IF(OR(ISBLANK(C6379),C6379=""),"",ROUND((C6379-B6379)*24,2))</f>
        <v>211.3</v>
      </c>
      <c r="N6379" s="38" t="str">
        <f>IF(OR(ISBLANK(C6379),C6379="",M6379=""),"In Progress",IF(M6379&lt;=J6379,"Met","Breached"))</f>
        <v>Breached</v>
      </c>
    </row>
    <row r="6380" ht="19" customHeight="1" spans="1:14" x14ac:dyDescent="0.25">
      <c r="A6380" s="19" t="s">
        <v>6494</v>
      </c>
      <c r="B6380" s="33">
        <v>46082.94375</v>
      </c>
      <c r="C6380" s="33">
        <v>46088.11944444444</v>
      </c>
      <c r="D6380" s="19" t="s">
        <v>33</v>
      </c>
      <c r="E6380" s="19" t="s">
        <v>69</v>
      </c>
      <c r="F6380" s="19" t="s">
        <v>34</v>
      </c>
      <c r="G6380" s="19" t="s">
        <v>110</v>
      </c>
      <c r="H6380" s="19" t="s">
        <v>59</v>
      </c>
      <c r="I6380" s="19" t="s">
        <v>108</v>
      </c>
      <c r="J6380" s="20">
        <v>120</v>
      </c>
      <c r="K6380" s="34">
        <v>0</v>
      </c>
      <c r="L6380" s="34">
        <v>3</v>
      </c>
      <c r="M6380" s="19">
        <f>IF(OR(ISBLANK(C6380),C6380=""),"",ROUND((C6380-B6380)*24,2))</f>
        <v>124.22</v>
      </c>
      <c r="N6380" s="39" t="str">
        <f>IF(OR(ISBLANK(C6380),C6380="",M6380=""),"In Progress",IF(M6380&lt;=J6380,"Met","Breached"))</f>
        <v>Breached</v>
      </c>
    </row>
    <row r="6381" ht="19" customHeight="1" spans="1:14" x14ac:dyDescent="0.25">
      <c r="A6381" s="22" t="s">
        <v>6495</v>
      </c>
      <c r="B6381" s="36">
        <v>45820.129166666666</v>
      </c>
      <c r="D6381" s="22" t="s">
        <v>42</v>
      </c>
      <c r="E6381" s="22" t="s">
        <v>69</v>
      </c>
      <c r="F6381" s="22" t="s">
        <v>34</v>
      </c>
      <c r="G6381" s="22" t="s">
        <v>110</v>
      </c>
      <c r="H6381" s="22" t="s">
        <v>59</v>
      </c>
      <c r="I6381" s="22" t="s">
        <v>114</v>
      </c>
      <c r="J6381" s="23">
        <v>120</v>
      </c>
      <c r="K6381" s="37">
        <v>0</v>
      </c>
      <c r="M6381" s="22" t="str">
        <f>IF(OR(ISBLANK(C6381),C6381=""),"",ROUND((C6381-B6381)*24,2))</f>
        <v/>
      </c>
      <c r="N6381" s="22" t="str">
        <f>IF(OR(ISBLANK(C6381),C6381="",M6381=""),"In Progress",IF(M6381&lt;=J6381,"Met","Breached"))</f>
        <v>In Progress</v>
      </c>
    </row>
    <row r="6382" ht="19" customHeight="1" spans="1:14" x14ac:dyDescent="0.25">
      <c r="A6382" s="19" t="s">
        <v>6496</v>
      </c>
      <c r="B6382" s="33">
        <v>45999.646527777775</v>
      </c>
      <c r="C6382" s="33">
        <v>46000.30347222222</v>
      </c>
      <c r="D6382" s="19" t="s">
        <v>33</v>
      </c>
      <c r="E6382" s="19" t="s">
        <v>65</v>
      </c>
      <c r="F6382" s="19" t="s">
        <v>43</v>
      </c>
      <c r="G6382" s="19" t="s">
        <v>63</v>
      </c>
      <c r="H6382" s="19" t="s">
        <v>63</v>
      </c>
      <c r="I6382" s="19" t="s">
        <v>117</v>
      </c>
      <c r="J6382" s="20">
        <v>48</v>
      </c>
      <c r="K6382" s="34">
        <v>0</v>
      </c>
      <c r="L6382" s="34">
        <v>5</v>
      </c>
      <c r="M6382" s="19">
        <f>IF(OR(ISBLANK(C6382),C6382=""),"",ROUND((C6382-B6382)*24,2))</f>
        <v>15.77</v>
      </c>
      <c r="N6382" s="35" t="str">
        <f>IF(OR(ISBLANK(C6382),C6382="",M6382=""),"In Progress",IF(M6382&lt;=J6382,"Met","Breached"))</f>
        <v>Met</v>
      </c>
    </row>
    <row r="6383" ht="19" customHeight="1" spans="1:14" x14ac:dyDescent="0.25">
      <c r="A6383" s="22" t="s">
        <v>6497</v>
      </c>
      <c r="B6383" s="36">
        <v>45913.65416666667</v>
      </c>
      <c r="C6383" s="36">
        <v>45913.87569444445</v>
      </c>
      <c r="D6383" s="22" t="s">
        <v>33</v>
      </c>
      <c r="E6383" s="22" t="s">
        <v>57</v>
      </c>
      <c r="F6383" s="22" t="s">
        <v>34</v>
      </c>
      <c r="G6383" s="22" t="s">
        <v>121</v>
      </c>
      <c r="H6383" s="22" t="s">
        <v>63</v>
      </c>
      <c r="I6383" s="22" t="s">
        <v>108</v>
      </c>
      <c r="J6383" s="23">
        <v>4</v>
      </c>
      <c r="K6383" s="37">
        <v>0</v>
      </c>
      <c r="L6383" s="37">
        <v>1</v>
      </c>
      <c r="M6383" s="22">
        <f>IF(OR(ISBLANK(C6383),C6383=""),"",ROUND((C6383-B6383)*24,2))</f>
        <v>5.32</v>
      </c>
      <c r="N6383" s="38" t="str">
        <f>IF(OR(ISBLANK(C6383),C6383="",M6383=""),"In Progress",IF(M6383&lt;=J6383,"Met","Breached"))</f>
        <v>Breached</v>
      </c>
    </row>
    <row r="6384" ht="19" customHeight="1" spans="1:14" x14ac:dyDescent="0.25">
      <c r="A6384" s="19" t="s">
        <v>6498</v>
      </c>
      <c r="B6384" s="33">
        <v>45946.91666666667</v>
      </c>
      <c r="C6384" s="33">
        <v>45947.464583333334</v>
      </c>
      <c r="D6384" s="19" t="s">
        <v>36</v>
      </c>
      <c r="E6384" s="19" t="s">
        <v>61</v>
      </c>
      <c r="F6384" s="19" t="s">
        <v>43</v>
      </c>
      <c r="G6384" s="19" t="s">
        <v>63</v>
      </c>
      <c r="H6384" s="19" t="s">
        <v>59</v>
      </c>
      <c r="I6384" s="19" t="s">
        <v>114</v>
      </c>
      <c r="J6384" s="20">
        <v>12</v>
      </c>
      <c r="K6384" s="34">
        <v>0</v>
      </c>
      <c r="L6384" s="34">
        <v>2</v>
      </c>
      <c r="M6384" s="19">
        <f>IF(OR(ISBLANK(C6384),C6384=""),"",ROUND((C6384-B6384)*24,2))</f>
        <v>13.15</v>
      </c>
      <c r="N6384" s="39" t="str">
        <f>IF(OR(ISBLANK(C6384),C6384="",M6384=""),"In Progress",IF(M6384&lt;=J6384,"Met","Breached"))</f>
        <v>Breached</v>
      </c>
    </row>
    <row r="6385" ht="19" customHeight="1" spans="1:14" x14ac:dyDescent="0.25">
      <c r="A6385" s="22" t="s">
        <v>6499</v>
      </c>
      <c r="B6385" s="36">
        <v>45750.27013888889</v>
      </c>
      <c r="D6385" s="22" t="s">
        <v>39</v>
      </c>
      <c r="E6385" s="22" t="s">
        <v>65</v>
      </c>
      <c r="F6385" s="22" t="s">
        <v>34</v>
      </c>
      <c r="G6385" s="22" t="s">
        <v>113</v>
      </c>
      <c r="H6385" s="22" t="s">
        <v>63</v>
      </c>
      <c r="I6385" s="22" t="s">
        <v>147</v>
      </c>
      <c r="J6385" s="23">
        <v>48</v>
      </c>
      <c r="K6385" s="37">
        <v>0</v>
      </c>
      <c r="M6385" s="22" t="str">
        <f>IF(OR(ISBLANK(C6385),C6385=""),"",ROUND((C6385-B6385)*24,2))</f>
        <v/>
      </c>
      <c r="N6385" s="22" t="str">
        <f>IF(OR(ISBLANK(C6385),C6385="",M6385=""),"In Progress",IF(M6385&lt;=J6385,"Met","Breached"))</f>
        <v>In Progress</v>
      </c>
    </row>
    <row r="6386" ht="19" customHeight="1" spans="1:14" x14ac:dyDescent="0.25">
      <c r="A6386" s="19" t="s">
        <v>6500</v>
      </c>
      <c r="B6386" s="33">
        <v>45825.87777777778</v>
      </c>
      <c r="C6386" s="33">
        <v>45832.398611111115</v>
      </c>
      <c r="D6386" s="19" t="s">
        <v>33</v>
      </c>
      <c r="E6386" s="19" t="s">
        <v>69</v>
      </c>
      <c r="F6386" s="19" t="s">
        <v>40</v>
      </c>
      <c r="G6386" s="19" t="s">
        <v>126</v>
      </c>
      <c r="H6386" s="19" t="s">
        <v>63</v>
      </c>
      <c r="I6386" s="19" t="s">
        <v>111</v>
      </c>
      <c r="J6386" s="20">
        <v>120</v>
      </c>
      <c r="K6386" s="34">
        <v>0</v>
      </c>
      <c r="L6386" s="34">
        <v>1</v>
      </c>
      <c r="M6386" s="19">
        <f>IF(OR(ISBLANK(C6386),C6386=""),"",ROUND((C6386-B6386)*24,2))</f>
        <v>156.5</v>
      </c>
      <c r="N6386" s="39" t="str">
        <f>IF(OR(ISBLANK(C6386),C6386="",M6386=""),"In Progress",IF(M6386&lt;=J6386,"Met","Breached"))</f>
        <v>Breached</v>
      </c>
    </row>
    <row r="6387" ht="19" customHeight="1" spans="1:14" x14ac:dyDescent="0.25">
      <c r="A6387" s="22" t="s">
        <v>6501</v>
      </c>
      <c r="B6387" s="36">
        <v>46228.17847222222</v>
      </c>
      <c r="C6387" s="36">
        <v>46228.76388888889</v>
      </c>
      <c r="D6387" s="22" t="s">
        <v>33</v>
      </c>
      <c r="E6387" s="22" t="s">
        <v>61</v>
      </c>
      <c r="F6387" s="22" t="s">
        <v>40</v>
      </c>
      <c r="G6387" s="22" t="s">
        <v>63</v>
      </c>
      <c r="H6387" s="22" t="s">
        <v>59</v>
      </c>
      <c r="I6387" s="22" t="s">
        <v>111</v>
      </c>
      <c r="J6387" s="23">
        <v>12</v>
      </c>
      <c r="K6387" s="37">
        <v>1</v>
      </c>
      <c r="L6387" s="37">
        <v>2</v>
      </c>
      <c r="M6387" s="22">
        <f>IF(OR(ISBLANK(C6387),C6387=""),"",ROUND((C6387-B6387)*24,2))</f>
        <v>14.05</v>
      </c>
      <c r="N6387" s="38" t="str">
        <f>IF(OR(ISBLANK(C6387),C6387="",M6387=""),"In Progress",IF(M6387&lt;=J6387,"Met","Breached"))</f>
        <v>Breached</v>
      </c>
    </row>
    <row r="6388" ht="19" customHeight="1" spans="1:14" x14ac:dyDescent="0.25">
      <c r="A6388" s="19" t="s">
        <v>6502</v>
      </c>
      <c r="B6388" s="33">
        <v>45846.40763888889</v>
      </c>
      <c r="C6388" s="33">
        <v>45847.179861111115</v>
      </c>
      <c r="D6388" s="19" t="s">
        <v>33</v>
      </c>
      <c r="E6388" s="19" t="s">
        <v>61</v>
      </c>
      <c r="F6388" s="19" t="s">
        <v>34</v>
      </c>
      <c r="G6388" s="19" t="s">
        <v>113</v>
      </c>
      <c r="H6388" s="19" t="s">
        <v>59</v>
      </c>
      <c r="I6388" s="19" t="s">
        <v>117</v>
      </c>
      <c r="J6388" s="20">
        <v>12</v>
      </c>
      <c r="K6388" s="34">
        <v>0</v>
      </c>
      <c r="L6388" s="34">
        <v>3</v>
      </c>
      <c r="M6388" s="19">
        <f>IF(OR(ISBLANK(C6388),C6388=""),"",ROUND((C6388-B6388)*24,2))</f>
        <v>18.53</v>
      </c>
      <c r="N6388" s="39" t="str">
        <f>IF(OR(ISBLANK(C6388),C6388="",M6388=""),"In Progress",IF(M6388&lt;=J6388,"Met","Breached"))</f>
        <v>Breached</v>
      </c>
    </row>
    <row r="6389" ht="19" customHeight="1" spans="1:14" x14ac:dyDescent="0.25">
      <c r="A6389" s="22" t="s">
        <v>6503</v>
      </c>
      <c r="B6389" s="36">
        <v>45669.89375</v>
      </c>
      <c r="D6389" s="22" t="s">
        <v>39</v>
      </c>
      <c r="E6389" s="22" t="s">
        <v>69</v>
      </c>
      <c r="F6389" s="22" t="s">
        <v>37</v>
      </c>
      <c r="G6389" s="22" t="s">
        <v>113</v>
      </c>
      <c r="H6389" s="22" t="s">
        <v>71</v>
      </c>
      <c r="I6389" s="22" t="s">
        <v>108</v>
      </c>
      <c r="J6389" s="23">
        <v>120</v>
      </c>
      <c r="K6389" s="37">
        <v>0</v>
      </c>
      <c r="M6389" s="22" t="str">
        <f>IF(OR(ISBLANK(C6389),C6389=""),"",ROUND((C6389-B6389)*24,2))</f>
        <v/>
      </c>
      <c r="N6389" s="22" t="str">
        <f>IF(OR(ISBLANK(C6389),C6389="",M6389=""),"In Progress",IF(M6389&lt;=J6389,"Met","Breached"))</f>
        <v>In Progress</v>
      </c>
    </row>
    <row r="6390" ht="19" customHeight="1" spans="1:14" x14ac:dyDescent="0.25">
      <c r="A6390" s="19" t="s">
        <v>6504</v>
      </c>
      <c r="B6390" s="33">
        <v>46007.17847222222</v>
      </c>
      <c r="C6390" s="33">
        <v>46009.31180555555</v>
      </c>
      <c r="D6390" s="19" t="s">
        <v>33</v>
      </c>
      <c r="E6390" s="19" t="s">
        <v>65</v>
      </c>
      <c r="F6390" s="19" t="s">
        <v>40</v>
      </c>
      <c r="G6390" s="19" t="s">
        <v>63</v>
      </c>
      <c r="H6390" s="19" t="s">
        <v>63</v>
      </c>
      <c r="I6390" s="19" t="s">
        <v>123</v>
      </c>
      <c r="J6390" s="20">
        <v>48</v>
      </c>
      <c r="K6390" s="34">
        <v>0</v>
      </c>
      <c r="L6390" s="34">
        <v>1</v>
      </c>
      <c r="M6390" s="19">
        <f>IF(OR(ISBLANK(C6390),C6390=""),"",ROUND((C6390-B6390)*24,2))</f>
        <v>51.2</v>
      </c>
      <c r="N6390" s="39" t="str">
        <f>IF(OR(ISBLANK(C6390),C6390="",M6390=""),"In Progress",IF(M6390&lt;=J6390,"Met","Breached"))</f>
        <v>Breached</v>
      </c>
    </row>
    <row r="6391" ht="19" customHeight="1" spans="1:14" x14ac:dyDescent="0.25">
      <c r="A6391" s="22" t="s">
        <v>6505</v>
      </c>
      <c r="B6391" s="36">
        <v>45865.23958333333</v>
      </c>
      <c r="C6391" s="36">
        <v>45867.31458333333</v>
      </c>
      <c r="D6391" s="22" t="s">
        <v>33</v>
      </c>
      <c r="E6391" s="22" t="s">
        <v>65</v>
      </c>
      <c r="F6391" s="22" t="s">
        <v>43</v>
      </c>
      <c r="G6391" s="22" t="s">
        <v>63</v>
      </c>
      <c r="H6391" s="22" t="s">
        <v>63</v>
      </c>
      <c r="I6391" s="22" t="s">
        <v>147</v>
      </c>
      <c r="J6391" s="23">
        <v>48</v>
      </c>
      <c r="K6391" s="37">
        <v>0</v>
      </c>
      <c r="L6391" s="37">
        <v>1</v>
      </c>
      <c r="M6391" s="22">
        <f>IF(OR(ISBLANK(C6391),C6391=""),"",ROUND((C6391-B6391)*24,2))</f>
        <v>49.8</v>
      </c>
      <c r="N6391" s="38" t="str">
        <f>IF(OR(ISBLANK(C6391),C6391="",M6391=""),"In Progress",IF(M6391&lt;=J6391,"Met","Breached"))</f>
        <v>Breached</v>
      </c>
    </row>
    <row r="6392" ht="19" customHeight="1" spans="1:14" x14ac:dyDescent="0.25">
      <c r="A6392" s="19" t="s">
        <v>6506</v>
      </c>
      <c r="B6392" s="33">
        <v>45778.05972222222</v>
      </c>
      <c r="C6392" s="33">
        <v>45779.34652777778</v>
      </c>
      <c r="D6392" s="19" t="s">
        <v>33</v>
      </c>
      <c r="E6392" s="19" t="s">
        <v>65</v>
      </c>
      <c r="F6392" s="19" t="s">
        <v>45</v>
      </c>
      <c r="G6392" s="19" t="s">
        <v>110</v>
      </c>
      <c r="H6392" s="19" t="s">
        <v>59</v>
      </c>
      <c r="I6392" s="19" t="s">
        <v>108</v>
      </c>
      <c r="J6392" s="20">
        <v>48</v>
      </c>
      <c r="K6392" s="34">
        <v>0</v>
      </c>
      <c r="L6392" s="34">
        <v>5</v>
      </c>
      <c r="M6392" s="19">
        <f>IF(OR(ISBLANK(C6392),C6392=""),"",ROUND((C6392-B6392)*24,2))</f>
        <v>30.88</v>
      </c>
      <c r="N6392" s="35" t="str">
        <f>IF(OR(ISBLANK(C6392),C6392="",M6392=""),"In Progress",IF(M6392&lt;=J6392,"Met","Breached"))</f>
        <v>Met</v>
      </c>
    </row>
    <row r="6393" ht="19" customHeight="1" spans="1:14" x14ac:dyDescent="0.25">
      <c r="A6393" s="22" t="s">
        <v>6507</v>
      </c>
      <c r="B6393" s="36">
        <v>45913.05694444444</v>
      </c>
      <c r="C6393" s="36">
        <v>45916.086805555555</v>
      </c>
      <c r="D6393" s="22" t="s">
        <v>33</v>
      </c>
      <c r="E6393" s="22" t="s">
        <v>65</v>
      </c>
      <c r="F6393" s="22" t="s">
        <v>45</v>
      </c>
      <c r="G6393" s="22" t="s">
        <v>113</v>
      </c>
      <c r="H6393" s="22" t="s">
        <v>63</v>
      </c>
      <c r="I6393" s="22" t="s">
        <v>147</v>
      </c>
      <c r="J6393" s="23">
        <v>48</v>
      </c>
      <c r="K6393" s="37">
        <v>0</v>
      </c>
      <c r="L6393" s="37">
        <v>4</v>
      </c>
      <c r="M6393" s="22">
        <f>IF(OR(ISBLANK(C6393),C6393=""),"",ROUND((C6393-B6393)*24,2))</f>
        <v>72.72</v>
      </c>
      <c r="N6393" s="38" t="str">
        <f>IF(OR(ISBLANK(C6393),C6393="",M6393=""),"In Progress",IF(M6393&lt;=J6393,"Met","Breached"))</f>
        <v>Breached</v>
      </c>
    </row>
    <row r="6394" ht="19" customHeight="1" spans="1:14" x14ac:dyDescent="0.25">
      <c r="A6394" s="19" t="s">
        <v>6508</v>
      </c>
      <c r="B6394" s="33">
        <v>46256.72430555556</v>
      </c>
      <c r="C6394" s="33">
        <v>46256.98263888889</v>
      </c>
      <c r="D6394" s="19" t="s">
        <v>33</v>
      </c>
      <c r="E6394" s="19" t="s">
        <v>61</v>
      </c>
      <c r="F6394" s="19" t="s">
        <v>37</v>
      </c>
      <c r="G6394" s="19" t="s">
        <v>121</v>
      </c>
      <c r="H6394" s="19" t="s">
        <v>63</v>
      </c>
      <c r="I6394" s="19" t="s">
        <v>147</v>
      </c>
      <c r="J6394" s="20">
        <v>12</v>
      </c>
      <c r="K6394" s="34">
        <v>0</v>
      </c>
      <c r="L6394" s="34">
        <v>2</v>
      </c>
      <c r="M6394" s="19">
        <f>IF(OR(ISBLANK(C6394),C6394=""),"",ROUND((C6394-B6394)*24,2))</f>
        <v>6.2</v>
      </c>
      <c r="N6394" s="35" t="str">
        <f>IF(OR(ISBLANK(C6394),C6394="",M6394=""),"In Progress",IF(M6394&lt;=J6394,"Met","Breached"))</f>
        <v>Met</v>
      </c>
    </row>
    <row r="6395" ht="19" customHeight="1" spans="1:14" x14ac:dyDescent="0.25">
      <c r="A6395" s="22" t="s">
        <v>6509</v>
      </c>
      <c r="B6395" s="36">
        <v>46041.89097222222</v>
      </c>
      <c r="C6395" s="36">
        <v>46043.26875</v>
      </c>
      <c r="D6395" s="22" t="s">
        <v>33</v>
      </c>
      <c r="E6395" s="22" t="s">
        <v>65</v>
      </c>
      <c r="F6395" s="22" t="s">
        <v>45</v>
      </c>
      <c r="G6395" s="22" t="s">
        <v>121</v>
      </c>
      <c r="H6395" s="22" t="s">
        <v>63</v>
      </c>
      <c r="I6395" s="22" t="s">
        <v>114</v>
      </c>
      <c r="J6395" s="23">
        <v>48</v>
      </c>
      <c r="K6395" s="37">
        <v>0</v>
      </c>
      <c r="L6395" s="37">
        <v>5</v>
      </c>
      <c r="M6395" s="22">
        <f>IF(OR(ISBLANK(C6395),C6395=""),"",ROUND((C6395-B6395)*24,2))</f>
        <v>33.07</v>
      </c>
      <c r="N6395" s="40" t="str">
        <f>IF(OR(ISBLANK(C6395),C6395="",M6395=""),"In Progress",IF(M6395&lt;=J6395,"Met","Breached"))</f>
        <v>Met</v>
      </c>
    </row>
    <row r="6396" ht="19" customHeight="1" spans="1:14" x14ac:dyDescent="0.25">
      <c r="A6396" s="19" t="s">
        <v>6510</v>
      </c>
      <c r="B6396" s="33">
        <v>46061.54513888889</v>
      </c>
      <c r="D6396" s="19" t="s">
        <v>39</v>
      </c>
      <c r="E6396" s="19" t="s">
        <v>69</v>
      </c>
      <c r="F6396" s="19" t="s">
        <v>45</v>
      </c>
      <c r="G6396" s="19" t="s">
        <v>126</v>
      </c>
      <c r="H6396" s="19" t="s">
        <v>59</v>
      </c>
      <c r="I6396" s="19" t="s">
        <v>108</v>
      </c>
      <c r="J6396" s="20">
        <v>120</v>
      </c>
      <c r="K6396" s="34">
        <v>0</v>
      </c>
      <c r="M6396" s="19" t="str">
        <f>IF(OR(ISBLANK(C6396),C6396=""),"",ROUND((C6396-B6396)*24,2))</f>
        <v/>
      </c>
      <c r="N6396" s="19" t="str">
        <f>IF(OR(ISBLANK(C6396),C6396="",M6396=""),"In Progress",IF(M6396&lt;=J6396,"Met","Breached"))</f>
        <v>In Progress</v>
      </c>
    </row>
    <row r="6397" ht="19" customHeight="1" spans="1:14" x14ac:dyDescent="0.25">
      <c r="A6397" s="22" t="s">
        <v>6511</v>
      </c>
      <c r="B6397" s="36">
        <v>45876.91805555555</v>
      </c>
      <c r="D6397" s="22" t="s">
        <v>42</v>
      </c>
      <c r="E6397" s="22" t="s">
        <v>65</v>
      </c>
      <c r="F6397" s="22" t="s">
        <v>40</v>
      </c>
      <c r="G6397" s="22" t="s">
        <v>121</v>
      </c>
      <c r="H6397" s="22" t="s">
        <v>63</v>
      </c>
      <c r="I6397" s="22" t="s">
        <v>117</v>
      </c>
      <c r="J6397" s="23">
        <v>48</v>
      </c>
      <c r="K6397" s="37">
        <v>0</v>
      </c>
      <c r="M6397" s="22" t="str">
        <f>IF(OR(ISBLANK(C6397),C6397=""),"",ROUND((C6397-B6397)*24,2))</f>
        <v/>
      </c>
      <c r="N6397" s="22" t="str">
        <f>IF(OR(ISBLANK(C6397),C6397="",M6397=""),"In Progress",IF(M6397&lt;=J6397,"Met","Breached"))</f>
        <v>In Progress</v>
      </c>
    </row>
    <row r="6398" ht="19" customHeight="1" spans="1:14" x14ac:dyDescent="0.25">
      <c r="A6398" s="19" t="s">
        <v>6512</v>
      </c>
      <c r="B6398" s="33">
        <v>45942.40138888889</v>
      </c>
      <c r="C6398" s="33">
        <v>45945.77222222222</v>
      </c>
      <c r="D6398" s="19" t="s">
        <v>33</v>
      </c>
      <c r="E6398" s="19" t="s">
        <v>65</v>
      </c>
      <c r="F6398" s="19" t="s">
        <v>34</v>
      </c>
      <c r="G6398" s="19" t="s">
        <v>126</v>
      </c>
      <c r="H6398" s="19" t="s">
        <v>63</v>
      </c>
      <c r="I6398" s="19" t="s">
        <v>114</v>
      </c>
      <c r="J6398" s="20">
        <v>48</v>
      </c>
      <c r="K6398" s="34">
        <v>0</v>
      </c>
      <c r="L6398" s="34">
        <v>2</v>
      </c>
      <c r="M6398" s="19">
        <f>IF(OR(ISBLANK(C6398),C6398=""),"",ROUND((C6398-B6398)*24,2))</f>
        <v>80.9</v>
      </c>
      <c r="N6398" s="39" t="str">
        <f>IF(OR(ISBLANK(C6398),C6398="",M6398=""),"In Progress",IF(M6398&lt;=J6398,"Met","Breached"))</f>
        <v>Breached</v>
      </c>
    </row>
    <row r="6399" ht="19" customHeight="1" spans="1:14" x14ac:dyDescent="0.25">
      <c r="A6399" s="22" t="s">
        <v>6513</v>
      </c>
      <c r="B6399" s="36">
        <v>46179.91875</v>
      </c>
      <c r="C6399" s="36">
        <v>46181.55694444444</v>
      </c>
      <c r="D6399" s="22" t="s">
        <v>33</v>
      </c>
      <c r="E6399" s="22" t="s">
        <v>65</v>
      </c>
      <c r="F6399" s="22" t="s">
        <v>43</v>
      </c>
      <c r="G6399" s="22" t="s">
        <v>116</v>
      </c>
      <c r="H6399" s="22" t="s">
        <v>71</v>
      </c>
      <c r="I6399" s="22" t="s">
        <v>114</v>
      </c>
      <c r="J6399" s="23">
        <v>48</v>
      </c>
      <c r="K6399" s="37">
        <v>0</v>
      </c>
      <c r="M6399" s="22">
        <f>IF(OR(ISBLANK(C6399),C6399=""),"",ROUND((C6399-B6399)*24,2))</f>
        <v>39.32</v>
      </c>
      <c r="N6399" s="40" t="str">
        <f>IF(OR(ISBLANK(C6399),C6399="",M6399=""),"In Progress",IF(M6399&lt;=J6399,"Met","Breached"))</f>
        <v>Met</v>
      </c>
    </row>
    <row r="6400" ht="19" customHeight="1" spans="1:14" x14ac:dyDescent="0.25">
      <c r="A6400" s="19" t="s">
        <v>6514</v>
      </c>
      <c r="B6400" s="33">
        <v>46221.84652777778</v>
      </c>
      <c r="C6400" s="33">
        <v>46222.740277777775</v>
      </c>
      <c r="D6400" s="19" t="s">
        <v>33</v>
      </c>
      <c r="E6400" s="19" t="s">
        <v>65</v>
      </c>
      <c r="F6400" s="19" t="s">
        <v>34</v>
      </c>
      <c r="G6400" s="19" t="s">
        <v>126</v>
      </c>
      <c r="H6400" s="19" t="s">
        <v>59</v>
      </c>
      <c r="I6400" s="19" t="s">
        <v>147</v>
      </c>
      <c r="J6400" s="20">
        <v>48</v>
      </c>
      <c r="K6400" s="34">
        <v>0</v>
      </c>
      <c r="M6400" s="19">
        <f>IF(OR(ISBLANK(C6400),C6400=""),"",ROUND((C6400-B6400)*24,2))</f>
        <v>21.45</v>
      </c>
      <c r="N6400" s="35" t="str">
        <f>IF(OR(ISBLANK(C6400),C6400="",M6400=""),"In Progress",IF(M6400&lt;=J6400,"Met","Breached"))</f>
        <v>Met</v>
      </c>
    </row>
    <row r="6401" ht="19" customHeight="1" spans="1:14" x14ac:dyDescent="0.25">
      <c r="A6401" s="22" t="s">
        <v>6515</v>
      </c>
      <c r="B6401" s="36">
        <v>46267.14166666666</v>
      </c>
      <c r="C6401" s="36">
        <v>46267.53125</v>
      </c>
      <c r="D6401" s="22" t="s">
        <v>33</v>
      </c>
      <c r="E6401" s="22" t="s">
        <v>61</v>
      </c>
      <c r="F6401" s="22" t="s">
        <v>45</v>
      </c>
      <c r="G6401" s="22" t="s">
        <v>110</v>
      </c>
      <c r="H6401" s="22" t="s">
        <v>59</v>
      </c>
      <c r="I6401" s="22" t="s">
        <v>111</v>
      </c>
      <c r="J6401" s="23">
        <v>12</v>
      </c>
      <c r="K6401" s="37">
        <v>1</v>
      </c>
      <c r="L6401" s="37">
        <v>4</v>
      </c>
      <c r="M6401" s="22">
        <f>IF(OR(ISBLANK(C6401),C6401=""),"",ROUND((C6401-B6401)*24,2))</f>
        <v>9.35</v>
      </c>
      <c r="N6401" s="40" t="str">
        <f>IF(OR(ISBLANK(C6401),C6401="",M6401=""),"In Progress",IF(M6401&lt;=J6401,"Met","Breached"))</f>
        <v>Met</v>
      </c>
    </row>
    <row r="6402" ht="19" customHeight="1" spans="1:14" x14ac:dyDescent="0.25">
      <c r="A6402" s="19" t="s">
        <v>6516</v>
      </c>
      <c r="B6402" s="33">
        <v>45714.80416666667</v>
      </c>
      <c r="C6402" s="33">
        <v>45715.285416666666</v>
      </c>
      <c r="D6402" s="19" t="s">
        <v>33</v>
      </c>
      <c r="E6402" s="19" t="s">
        <v>61</v>
      </c>
      <c r="F6402" s="19" t="s">
        <v>40</v>
      </c>
      <c r="G6402" s="19" t="s">
        <v>116</v>
      </c>
      <c r="H6402" s="19" t="s">
        <v>67</v>
      </c>
      <c r="I6402" s="19" t="s">
        <v>147</v>
      </c>
      <c r="J6402" s="20">
        <v>12</v>
      </c>
      <c r="K6402" s="34">
        <v>0</v>
      </c>
      <c r="L6402" s="34">
        <v>5</v>
      </c>
      <c r="M6402" s="19">
        <f>IF(OR(ISBLANK(C6402),C6402=""),"",ROUND((C6402-B6402)*24,2))</f>
        <v>11.55</v>
      </c>
      <c r="N6402" s="35" t="str">
        <f>IF(OR(ISBLANK(C6402),C6402="",M6402=""),"In Progress",IF(M6402&lt;=J6402,"Met","Breached"))</f>
        <v>Met</v>
      </c>
    </row>
    <row r="6403" ht="19" customHeight="1" spans="1:14" x14ac:dyDescent="0.25">
      <c r="A6403" s="22" t="s">
        <v>6517</v>
      </c>
      <c r="B6403" s="36">
        <v>46242.027083333334</v>
      </c>
      <c r="D6403" s="22" t="s">
        <v>42</v>
      </c>
      <c r="E6403" s="22" t="s">
        <v>65</v>
      </c>
      <c r="F6403" s="22" t="s">
        <v>45</v>
      </c>
      <c r="G6403" s="22" t="s">
        <v>126</v>
      </c>
      <c r="H6403" s="22" t="s">
        <v>67</v>
      </c>
      <c r="I6403" s="22" t="s">
        <v>123</v>
      </c>
      <c r="J6403" s="23">
        <v>48</v>
      </c>
      <c r="K6403" s="37">
        <v>0</v>
      </c>
      <c r="M6403" s="22" t="str">
        <f>IF(OR(ISBLANK(C6403),C6403=""),"",ROUND((C6403-B6403)*24,2))</f>
        <v/>
      </c>
      <c r="N6403" s="22" t="str">
        <f>IF(OR(ISBLANK(C6403),C6403="",M6403=""),"In Progress",IF(M6403&lt;=J6403,"Met","Breached"))</f>
        <v>In Progress</v>
      </c>
    </row>
    <row r="6404" ht="19" customHeight="1" spans="1:14" x14ac:dyDescent="0.25">
      <c r="A6404" s="19" t="s">
        <v>6518</v>
      </c>
      <c r="B6404" s="33">
        <v>45745.81319444445</v>
      </c>
      <c r="C6404" s="33">
        <v>45746.96527777778</v>
      </c>
      <c r="D6404" s="19" t="s">
        <v>33</v>
      </c>
      <c r="E6404" s="19" t="s">
        <v>65</v>
      </c>
      <c r="F6404" s="19" t="s">
        <v>40</v>
      </c>
      <c r="G6404" s="19" t="s">
        <v>121</v>
      </c>
      <c r="H6404" s="19" t="s">
        <v>59</v>
      </c>
      <c r="I6404" s="19" t="s">
        <v>117</v>
      </c>
      <c r="J6404" s="20">
        <v>48</v>
      </c>
      <c r="K6404" s="34">
        <v>0</v>
      </c>
      <c r="L6404" s="34">
        <v>4</v>
      </c>
      <c r="M6404" s="19">
        <f>IF(OR(ISBLANK(C6404),C6404=""),"",ROUND((C6404-B6404)*24,2))</f>
        <v>27.65</v>
      </c>
      <c r="N6404" s="35" t="str">
        <f>IF(OR(ISBLANK(C6404),C6404="",M6404=""),"In Progress",IF(M6404&lt;=J6404,"Met","Breached"))</f>
        <v>Met</v>
      </c>
    </row>
    <row r="6405" ht="19" customHeight="1" spans="1:14" x14ac:dyDescent="0.25">
      <c r="A6405" s="22" t="s">
        <v>6519</v>
      </c>
      <c r="B6405" s="36">
        <v>46098.05416666667</v>
      </c>
      <c r="C6405" s="36">
        <v>46100.42569444445</v>
      </c>
      <c r="D6405" s="22" t="s">
        <v>36</v>
      </c>
      <c r="E6405" s="22" t="s">
        <v>69</v>
      </c>
      <c r="F6405" s="22" t="s">
        <v>43</v>
      </c>
      <c r="G6405" s="22" t="s">
        <v>126</v>
      </c>
      <c r="H6405" s="22" t="s">
        <v>59</v>
      </c>
      <c r="I6405" s="22" t="s">
        <v>117</v>
      </c>
      <c r="J6405" s="23">
        <v>120</v>
      </c>
      <c r="K6405" s="37">
        <v>0</v>
      </c>
      <c r="L6405" s="37">
        <v>2</v>
      </c>
      <c r="M6405" s="22">
        <f>IF(OR(ISBLANK(C6405),C6405=""),"",ROUND((C6405-B6405)*24,2))</f>
        <v>56.92</v>
      </c>
      <c r="N6405" s="40" t="str">
        <f>IF(OR(ISBLANK(C6405),C6405="",M6405=""),"In Progress",IF(M6405&lt;=J6405,"Met","Breached"))</f>
        <v>Met</v>
      </c>
    </row>
    <row r="6406" ht="19" customHeight="1" spans="1:14" x14ac:dyDescent="0.25">
      <c r="A6406" s="19" t="s">
        <v>6520</v>
      </c>
      <c r="B6406" s="33">
        <v>45698.725</v>
      </c>
      <c r="C6406" s="33">
        <v>45701.56597222222</v>
      </c>
      <c r="D6406" s="19" t="s">
        <v>33</v>
      </c>
      <c r="E6406" s="19" t="s">
        <v>65</v>
      </c>
      <c r="F6406" s="19" t="s">
        <v>40</v>
      </c>
      <c r="G6406" s="19" t="s">
        <v>63</v>
      </c>
      <c r="H6406" s="19" t="s">
        <v>59</v>
      </c>
      <c r="I6406" s="19" t="s">
        <v>117</v>
      </c>
      <c r="J6406" s="20">
        <v>48</v>
      </c>
      <c r="K6406" s="34">
        <v>0</v>
      </c>
      <c r="L6406" s="34">
        <v>3</v>
      </c>
      <c r="M6406" s="19">
        <f>IF(OR(ISBLANK(C6406),C6406=""),"",ROUND((C6406-B6406)*24,2))</f>
        <v>68.18</v>
      </c>
      <c r="N6406" s="39" t="str">
        <f>IF(OR(ISBLANK(C6406),C6406="",M6406=""),"In Progress",IF(M6406&lt;=J6406,"Met","Breached"))</f>
        <v>Breached</v>
      </c>
    </row>
    <row r="6407" ht="19" customHeight="1" spans="1:14" x14ac:dyDescent="0.25">
      <c r="A6407" s="22" t="s">
        <v>6521</v>
      </c>
      <c r="B6407" s="36">
        <v>46167.35763888889</v>
      </c>
      <c r="C6407" s="36">
        <v>46174.70972222222</v>
      </c>
      <c r="D6407" s="22" t="s">
        <v>33</v>
      </c>
      <c r="E6407" s="22" t="s">
        <v>69</v>
      </c>
      <c r="F6407" s="22" t="s">
        <v>45</v>
      </c>
      <c r="G6407" s="22" t="s">
        <v>126</v>
      </c>
      <c r="H6407" s="22" t="s">
        <v>63</v>
      </c>
      <c r="I6407" s="22" t="s">
        <v>117</v>
      </c>
      <c r="J6407" s="23">
        <v>120</v>
      </c>
      <c r="K6407" s="37">
        <v>0</v>
      </c>
      <c r="L6407" s="37">
        <v>1</v>
      </c>
      <c r="M6407" s="22">
        <f>IF(OR(ISBLANK(C6407),C6407=""),"",ROUND((C6407-B6407)*24,2))</f>
        <v>176.45</v>
      </c>
      <c r="N6407" s="38" t="str">
        <f>IF(OR(ISBLANK(C6407),C6407="",M6407=""),"In Progress",IF(M6407&lt;=J6407,"Met","Breached"))</f>
        <v>Breached</v>
      </c>
    </row>
    <row r="6408" ht="19" customHeight="1" spans="1:14" x14ac:dyDescent="0.25">
      <c r="A6408" s="19" t="s">
        <v>6522</v>
      </c>
      <c r="B6408" s="33">
        <v>46017.888194444444</v>
      </c>
      <c r="C6408" s="33">
        <v>46025.64444444445</v>
      </c>
      <c r="D6408" s="19" t="s">
        <v>33</v>
      </c>
      <c r="E6408" s="19" t="s">
        <v>69</v>
      </c>
      <c r="F6408" s="19" t="s">
        <v>40</v>
      </c>
      <c r="G6408" s="19" t="s">
        <v>121</v>
      </c>
      <c r="H6408" s="19" t="s">
        <v>67</v>
      </c>
      <c r="I6408" s="19" t="s">
        <v>117</v>
      </c>
      <c r="J6408" s="20">
        <v>120</v>
      </c>
      <c r="K6408" s="34">
        <v>0</v>
      </c>
      <c r="L6408" s="34">
        <v>1</v>
      </c>
      <c r="M6408" s="19">
        <f>IF(OR(ISBLANK(C6408),C6408=""),"",ROUND((C6408-B6408)*24,2))</f>
        <v>186.15</v>
      </c>
      <c r="N6408" s="39" t="str">
        <f>IF(OR(ISBLANK(C6408),C6408="",M6408=""),"In Progress",IF(M6408&lt;=J6408,"Met","Breached"))</f>
        <v>Breached</v>
      </c>
    </row>
    <row r="6409" ht="19" customHeight="1" spans="1:14" x14ac:dyDescent="0.25">
      <c r="A6409" s="22" t="s">
        <v>6523</v>
      </c>
      <c r="B6409" s="36">
        <v>45895.94027777778</v>
      </c>
      <c r="C6409" s="36">
        <v>45904.22430555556</v>
      </c>
      <c r="D6409" s="22" t="s">
        <v>33</v>
      </c>
      <c r="E6409" s="22" t="s">
        <v>69</v>
      </c>
      <c r="F6409" s="22" t="s">
        <v>34</v>
      </c>
      <c r="G6409" s="22" t="s">
        <v>126</v>
      </c>
      <c r="H6409" s="22" t="s">
        <v>63</v>
      </c>
      <c r="I6409" s="22" t="s">
        <v>123</v>
      </c>
      <c r="J6409" s="23">
        <v>120</v>
      </c>
      <c r="K6409" s="37">
        <v>0</v>
      </c>
      <c r="M6409" s="22">
        <f>IF(OR(ISBLANK(C6409),C6409=""),"",ROUND((C6409-B6409)*24,2))</f>
        <v>198.82</v>
      </c>
      <c r="N6409" s="38" t="str">
        <f>IF(OR(ISBLANK(C6409),C6409="",M6409=""),"In Progress",IF(M6409&lt;=J6409,"Met","Breached"))</f>
        <v>Breached</v>
      </c>
    </row>
    <row r="6410" ht="19" customHeight="1" spans="1:14" x14ac:dyDescent="0.25">
      <c r="A6410" s="19" t="s">
        <v>6524</v>
      </c>
      <c r="B6410" s="33">
        <v>46273.84236111111</v>
      </c>
      <c r="D6410" s="19" t="s">
        <v>42</v>
      </c>
      <c r="E6410" s="19" t="s">
        <v>57</v>
      </c>
      <c r="F6410" s="19" t="s">
        <v>34</v>
      </c>
      <c r="G6410" s="19" t="s">
        <v>126</v>
      </c>
      <c r="H6410" s="19" t="s">
        <v>59</v>
      </c>
      <c r="I6410" s="19" t="s">
        <v>117</v>
      </c>
      <c r="J6410" s="20">
        <v>4</v>
      </c>
      <c r="K6410" s="34">
        <v>0</v>
      </c>
      <c r="M6410" s="19" t="str">
        <f>IF(OR(ISBLANK(C6410),C6410=""),"",ROUND((C6410-B6410)*24,2))</f>
        <v/>
      </c>
      <c r="N6410" s="19" t="str">
        <f>IF(OR(ISBLANK(C6410),C6410="",M6410=""),"In Progress",IF(M6410&lt;=J6410,"Met","Breached"))</f>
        <v>In Progress</v>
      </c>
    </row>
    <row r="6411" ht="19" customHeight="1" spans="1:14" x14ac:dyDescent="0.25">
      <c r="A6411" s="22" t="s">
        <v>6525</v>
      </c>
      <c r="B6411" s="36">
        <v>46071.643055555556</v>
      </c>
      <c r="C6411" s="36">
        <v>46073.30625</v>
      </c>
      <c r="D6411" s="22" t="s">
        <v>36</v>
      </c>
      <c r="E6411" s="22" t="s">
        <v>69</v>
      </c>
      <c r="F6411" s="22" t="s">
        <v>34</v>
      </c>
      <c r="G6411" s="22" t="s">
        <v>113</v>
      </c>
      <c r="H6411" s="22" t="s">
        <v>67</v>
      </c>
      <c r="I6411" s="22" t="s">
        <v>117</v>
      </c>
      <c r="J6411" s="23">
        <v>120</v>
      </c>
      <c r="K6411" s="37">
        <v>0</v>
      </c>
      <c r="L6411" s="37">
        <v>2</v>
      </c>
      <c r="M6411" s="22">
        <f>IF(OR(ISBLANK(C6411),C6411=""),"",ROUND((C6411-B6411)*24,2))</f>
        <v>39.92</v>
      </c>
      <c r="N6411" s="40" t="str">
        <f>IF(OR(ISBLANK(C6411),C6411="",M6411=""),"In Progress",IF(M6411&lt;=J6411,"Met","Breached"))</f>
        <v>Met</v>
      </c>
    </row>
    <row r="6412" ht="19" customHeight="1" spans="1:14" x14ac:dyDescent="0.25">
      <c r="A6412" s="19" t="s">
        <v>6526</v>
      </c>
      <c r="B6412" s="33">
        <v>45659.558333333334</v>
      </c>
      <c r="D6412" s="19" t="s">
        <v>39</v>
      </c>
      <c r="E6412" s="19" t="s">
        <v>57</v>
      </c>
      <c r="F6412" s="19" t="s">
        <v>37</v>
      </c>
      <c r="G6412" s="19" t="s">
        <v>121</v>
      </c>
      <c r="H6412" s="19" t="s">
        <v>63</v>
      </c>
      <c r="I6412" s="19" t="s">
        <v>123</v>
      </c>
      <c r="J6412" s="20">
        <v>4</v>
      </c>
      <c r="K6412" s="34">
        <v>0</v>
      </c>
      <c r="M6412" s="19" t="str">
        <f>IF(OR(ISBLANK(C6412),C6412=""),"",ROUND((C6412-B6412)*24,2))</f>
        <v/>
      </c>
      <c r="N6412" s="19" t="str">
        <f>IF(OR(ISBLANK(C6412),C6412="",M6412=""),"In Progress",IF(M6412&lt;=J6412,"Met","Breached"))</f>
        <v>In Progress</v>
      </c>
    </row>
    <row r="6413" ht="19" customHeight="1" spans="1:14" x14ac:dyDescent="0.25">
      <c r="A6413" s="22" t="s">
        <v>6527</v>
      </c>
      <c r="B6413" s="36">
        <v>46253.711111111115</v>
      </c>
      <c r="C6413" s="36">
        <v>46254.575694444444</v>
      </c>
      <c r="D6413" s="22" t="s">
        <v>33</v>
      </c>
      <c r="E6413" s="22" t="s">
        <v>65</v>
      </c>
      <c r="F6413" s="22" t="s">
        <v>43</v>
      </c>
      <c r="G6413" s="22" t="s">
        <v>116</v>
      </c>
      <c r="H6413" s="22" t="s">
        <v>63</v>
      </c>
      <c r="I6413" s="22" t="s">
        <v>123</v>
      </c>
      <c r="J6413" s="23">
        <v>48</v>
      </c>
      <c r="K6413" s="37">
        <v>1</v>
      </c>
      <c r="L6413" s="37">
        <v>1</v>
      </c>
      <c r="M6413" s="22">
        <f>IF(OR(ISBLANK(C6413),C6413=""),"",ROUND((C6413-B6413)*24,2))</f>
        <v>20.75</v>
      </c>
      <c r="N6413" s="40" t="str">
        <f>IF(OR(ISBLANK(C6413),C6413="",M6413=""),"In Progress",IF(M6413&lt;=J6413,"Met","Breached"))</f>
        <v>Met</v>
      </c>
    </row>
    <row r="6414" ht="19" customHeight="1" spans="1:14" x14ac:dyDescent="0.25">
      <c r="A6414" s="19" t="s">
        <v>6528</v>
      </c>
      <c r="B6414" s="33">
        <v>46115.569444444445</v>
      </c>
      <c r="C6414" s="33">
        <v>46115.83194444445</v>
      </c>
      <c r="D6414" s="19" t="s">
        <v>33</v>
      </c>
      <c r="E6414" s="19" t="s">
        <v>61</v>
      </c>
      <c r="F6414" s="19" t="s">
        <v>43</v>
      </c>
      <c r="G6414" s="19" t="s">
        <v>116</v>
      </c>
      <c r="H6414" s="19" t="s">
        <v>59</v>
      </c>
      <c r="I6414" s="19" t="s">
        <v>123</v>
      </c>
      <c r="J6414" s="20">
        <v>12</v>
      </c>
      <c r="K6414" s="34">
        <v>0</v>
      </c>
      <c r="L6414" s="34">
        <v>1</v>
      </c>
      <c r="M6414" s="19">
        <f>IF(OR(ISBLANK(C6414),C6414=""),"",ROUND((C6414-B6414)*24,2))</f>
        <v>6.3</v>
      </c>
      <c r="N6414" s="35" t="str">
        <f>IF(OR(ISBLANK(C6414),C6414="",M6414=""),"In Progress",IF(M6414&lt;=J6414,"Met","Breached"))</f>
        <v>Met</v>
      </c>
    </row>
    <row r="6415" ht="19" customHeight="1" spans="1:14" x14ac:dyDescent="0.25">
      <c r="A6415" s="22" t="s">
        <v>6529</v>
      </c>
      <c r="B6415" s="36">
        <v>45743.19375</v>
      </c>
      <c r="C6415" s="36">
        <v>45752.075694444444</v>
      </c>
      <c r="D6415" s="22" t="s">
        <v>33</v>
      </c>
      <c r="E6415" s="22" t="s">
        <v>69</v>
      </c>
      <c r="F6415" s="22" t="s">
        <v>40</v>
      </c>
      <c r="G6415" s="22" t="s">
        <v>63</v>
      </c>
      <c r="H6415" s="22" t="s">
        <v>59</v>
      </c>
      <c r="I6415" s="22" t="s">
        <v>114</v>
      </c>
      <c r="J6415" s="23">
        <v>120</v>
      </c>
      <c r="K6415" s="37">
        <v>1</v>
      </c>
      <c r="L6415" s="37">
        <v>1</v>
      </c>
      <c r="M6415" s="22">
        <f>IF(OR(ISBLANK(C6415),C6415=""),"",ROUND((C6415-B6415)*24,2))</f>
        <v>213.17</v>
      </c>
      <c r="N6415" s="38" t="str">
        <f>IF(OR(ISBLANK(C6415),C6415="",M6415=""),"In Progress",IF(M6415&lt;=J6415,"Met","Breached"))</f>
        <v>Breached</v>
      </c>
    </row>
    <row r="6416" ht="19" customHeight="1" spans="1:14" x14ac:dyDescent="0.25">
      <c r="A6416" s="19" t="s">
        <v>6530</v>
      </c>
      <c r="B6416" s="33">
        <v>46200.25138888889</v>
      </c>
      <c r="C6416" s="33">
        <v>46208.55416666667</v>
      </c>
      <c r="D6416" s="19" t="s">
        <v>36</v>
      </c>
      <c r="E6416" s="19" t="s">
        <v>69</v>
      </c>
      <c r="F6416" s="19" t="s">
        <v>43</v>
      </c>
      <c r="G6416" s="19" t="s">
        <v>121</v>
      </c>
      <c r="H6416" s="19" t="s">
        <v>59</v>
      </c>
      <c r="I6416" s="19" t="s">
        <v>108</v>
      </c>
      <c r="J6416" s="20">
        <v>120</v>
      </c>
      <c r="K6416" s="34">
        <v>0</v>
      </c>
      <c r="L6416" s="34">
        <v>1</v>
      </c>
      <c r="M6416" s="19">
        <f>IF(OR(ISBLANK(C6416),C6416=""),"",ROUND((C6416-B6416)*24,2))</f>
        <v>199.27</v>
      </c>
      <c r="N6416" s="39" t="str">
        <f>IF(OR(ISBLANK(C6416),C6416="",M6416=""),"In Progress",IF(M6416&lt;=J6416,"Met","Breached"))</f>
        <v>Breached</v>
      </c>
    </row>
    <row r="6417" ht="19" customHeight="1" spans="1:14" x14ac:dyDescent="0.25">
      <c r="A6417" s="22" t="s">
        <v>6531</v>
      </c>
      <c r="B6417" s="36">
        <v>45789.76597222222</v>
      </c>
      <c r="D6417" s="22" t="s">
        <v>39</v>
      </c>
      <c r="E6417" s="22" t="s">
        <v>65</v>
      </c>
      <c r="F6417" s="22" t="s">
        <v>40</v>
      </c>
      <c r="G6417" s="22" t="s">
        <v>63</v>
      </c>
      <c r="H6417" s="22" t="s">
        <v>71</v>
      </c>
      <c r="I6417" s="22" t="s">
        <v>114</v>
      </c>
      <c r="J6417" s="23">
        <v>48</v>
      </c>
      <c r="K6417" s="37">
        <v>0</v>
      </c>
      <c r="M6417" s="22" t="str">
        <f>IF(OR(ISBLANK(C6417),C6417=""),"",ROUND((C6417-B6417)*24,2))</f>
        <v/>
      </c>
      <c r="N6417" s="22" t="str">
        <f>IF(OR(ISBLANK(C6417),C6417="",M6417=""),"In Progress",IF(M6417&lt;=J6417,"Met","Breached"))</f>
        <v>In Progress</v>
      </c>
    </row>
    <row r="6418" ht="19" customHeight="1" spans="1:14" x14ac:dyDescent="0.25">
      <c r="A6418" s="19" t="s">
        <v>6532</v>
      </c>
      <c r="B6418" s="33">
        <v>45932.413194444445</v>
      </c>
      <c r="D6418" s="19" t="s">
        <v>39</v>
      </c>
      <c r="E6418" s="19" t="s">
        <v>57</v>
      </c>
      <c r="F6418" s="19" t="s">
        <v>43</v>
      </c>
      <c r="G6418" s="19" t="s">
        <v>126</v>
      </c>
      <c r="H6418" s="19" t="s">
        <v>59</v>
      </c>
      <c r="I6418" s="19" t="s">
        <v>108</v>
      </c>
      <c r="J6418" s="20">
        <v>4</v>
      </c>
      <c r="K6418" s="34">
        <v>0</v>
      </c>
      <c r="M6418" s="19" t="str">
        <f>IF(OR(ISBLANK(C6418),C6418=""),"",ROUND((C6418-B6418)*24,2))</f>
        <v/>
      </c>
      <c r="N6418" s="19" t="str">
        <f>IF(OR(ISBLANK(C6418),C6418="",M6418=""),"In Progress",IF(M6418&lt;=J6418,"Met","Breached"))</f>
        <v>In Progress</v>
      </c>
    </row>
    <row r="6419" ht="19" customHeight="1" spans="1:14" x14ac:dyDescent="0.25">
      <c r="A6419" s="22" t="s">
        <v>6533</v>
      </c>
      <c r="B6419" s="36">
        <v>45902.66666666667</v>
      </c>
      <c r="C6419" s="36">
        <v>45902.91736111111</v>
      </c>
      <c r="D6419" s="22" t="s">
        <v>33</v>
      </c>
      <c r="E6419" s="22" t="s">
        <v>57</v>
      </c>
      <c r="F6419" s="22" t="s">
        <v>45</v>
      </c>
      <c r="G6419" s="22" t="s">
        <v>126</v>
      </c>
      <c r="H6419" s="22" t="s">
        <v>63</v>
      </c>
      <c r="I6419" s="22" t="s">
        <v>147</v>
      </c>
      <c r="J6419" s="23">
        <v>4</v>
      </c>
      <c r="K6419" s="37">
        <v>0</v>
      </c>
      <c r="M6419" s="22">
        <f>IF(OR(ISBLANK(C6419),C6419=""),"",ROUND((C6419-B6419)*24,2))</f>
        <v>6.02</v>
      </c>
      <c r="N6419" s="38" t="str">
        <f>IF(OR(ISBLANK(C6419),C6419="",M6419=""),"In Progress",IF(M6419&lt;=J6419,"Met","Breached"))</f>
        <v>Breached</v>
      </c>
    </row>
    <row r="6420" ht="19" customHeight="1" spans="1:14" x14ac:dyDescent="0.25">
      <c r="A6420" s="19" t="s">
        <v>6534</v>
      </c>
      <c r="B6420" s="33">
        <v>45777.17222222222</v>
      </c>
      <c r="C6420" s="33">
        <v>45780.413194444445</v>
      </c>
      <c r="D6420" s="19" t="s">
        <v>33</v>
      </c>
      <c r="E6420" s="19" t="s">
        <v>65</v>
      </c>
      <c r="F6420" s="19" t="s">
        <v>45</v>
      </c>
      <c r="G6420" s="19" t="s">
        <v>63</v>
      </c>
      <c r="H6420" s="19" t="s">
        <v>59</v>
      </c>
      <c r="I6420" s="19" t="s">
        <v>111</v>
      </c>
      <c r="J6420" s="20">
        <v>48</v>
      </c>
      <c r="K6420" s="34">
        <v>0</v>
      </c>
      <c r="L6420" s="34">
        <v>1</v>
      </c>
      <c r="M6420" s="19">
        <f>IF(OR(ISBLANK(C6420),C6420=""),"",ROUND((C6420-B6420)*24,2))</f>
        <v>77.78</v>
      </c>
      <c r="N6420" s="39" t="str">
        <f>IF(OR(ISBLANK(C6420),C6420="",M6420=""),"In Progress",IF(M6420&lt;=J6420,"Met","Breached"))</f>
        <v>Breached</v>
      </c>
    </row>
    <row r="6421" ht="19" customHeight="1" spans="1:14" x14ac:dyDescent="0.25">
      <c r="A6421" s="22" t="s">
        <v>6535</v>
      </c>
      <c r="B6421" s="36">
        <v>46013.195138888885</v>
      </c>
      <c r="C6421" s="36">
        <v>46013.61597222222</v>
      </c>
      <c r="D6421" s="22" t="s">
        <v>36</v>
      </c>
      <c r="E6421" s="22" t="s">
        <v>61</v>
      </c>
      <c r="F6421" s="22" t="s">
        <v>40</v>
      </c>
      <c r="G6421" s="22" t="s">
        <v>113</v>
      </c>
      <c r="H6421" s="22" t="s">
        <v>59</v>
      </c>
      <c r="I6421" s="22" t="s">
        <v>114</v>
      </c>
      <c r="J6421" s="23">
        <v>12</v>
      </c>
      <c r="K6421" s="37">
        <v>0</v>
      </c>
      <c r="L6421" s="37">
        <v>2</v>
      </c>
      <c r="M6421" s="22">
        <f>IF(OR(ISBLANK(C6421),C6421=""),"",ROUND((C6421-B6421)*24,2))</f>
        <v>10.1</v>
      </c>
      <c r="N6421" s="40" t="str">
        <f>IF(OR(ISBLANK(C6421),C6421="",M6421=""),"In Progress",IF(M6421&lt;=J6421,"Met","Breached"))</f>
        <v>Met</v>
      </c>
    </row>
    <row r="6422" ht="19" customHeight="1" spans="1:14" x14ac:dyDescent="0.25">
      <c r="A6422" s="19" t="s">
        <v>6536</v>
      </c>
      <c r="B6422" s="33">
        <v>45872.396527777775</v>
      </c>
      <c r="D6422" s="19" t="s">
        <v>39</v>
      </c>
      <c r="E6422" s="19" t="s">
        <v>57</v>
      </c>
      <c r="F6422" s="19" t="s">
        <v>43</v>
      </c>
      <c r="G6422" s="19" t="s">
        <v>113</v>
      </c>
      <c r="H6422" s="19" t="s">
        <v>59</v>
      </c>
      <c r="I6422" s="19" t="s">
        <v>123</v>
      </c>
      <c r="J6422" s="20">
        <v>4</v>
      </c>
      <c r="K6422" s="34">
        <v>0</v>
      </c>
      <c r="M6422" s="19" t="str">
        <f>IF(OR(ISBLANK(C6422),C6422=""),"",ROUND((C6422-B6422)*24,2))</f>
        <v/>
      </c>
      <c r="N6422" s="19" t="str">
        <f>IF(OR(ISBLANK(C6422),C6422="",M6422=""),"In Progress",IF(M6422&lt;=J6422,"Met","Breached"))</f>
        <v>In Progress</v>
      </c>
    </row>
    <row r="6423" ht="19" customHeight="1" spans="1:14" x14ac:dyDescent="0.25">
      <c r="A6423" s="22" t="s">
        <v>6537</v>
      </c>
      <c r="B6423" s="36">
        <v>45711.913888888885</v>
      </c>
      <c r="C6423" s="36">
        <v>45713.74097222222</v>
      </c>
      <c r="D6423" s="22" t="s">
        <v>36</v>
      </c>
      <c r="E6423" s="22" t="s">
        <v>69</v>
      </c>
      <c r="F6423" s="22" t="s">
        <v>37</v>
      </c>
      <c r="G6423" s="22" t="s">
        <v>116</v>
      </c>
      <c r="H6423" s="22" t="s">
        <v>59</v>
      </c>
      <c r="I6423" s="22" t="s">
        <v>117</v>
      </c>
      <c r="J6423" s="23">
        <v>120</v>
      </c>
      <c r="K6423" s="37">
        <v>0</v>
      </c>
      <c r="L6423" s="37">
        <v>2</v>
      </c>
      <c r="M6423" s="22">
        <f>IF(OR(ISBLANK(C6423),C6423=""),"",ROUND((C6423-B6423)*24,2))</f>
        <v>43.85</v>
      </c>
      <c r="N6423" s="40" t="str">
        <f>IF(OR(ISBLANK(C6423),C6423="",M6423=""),"In Progress",IF(M6423&lt;=J6423,"Met","Breached"))</f>
        <v>Met</v>
      </c>
    </row>
    <row r="6424" ht="19" customHeight="1" spans="1:14" x14ac:dyDescent="0.25">
      <c r="A6424" s="19" t="s">
        <v>6538</v>
      </c>
      <c r="B6424" s="33">
        <v>46114.34722222222</v>
      </c>
      <c r="C6424" s="33">
        <v>46119.44375</v>
      </c>
      <c r="D6424" s="19" t="s">
        <v>33</v>
      </c>
      <c r="E6424" s="19" t="s">
        <v>69</v>
      </c>
      <c r="F6424" s="19" t="s">
        <v>37</v>
      </c>
      <c r="G6424" s="19" t="s">
        <v>121</v>
      </c>
      <c r="H6424" s="19" t="s">
        <v>63</v>
      </c>
      <c r="I6424" s="19" t="s">
        <v>123</v>
      </c>
      <c r="J6424" s="20">
        <v>120</v>
      </c>
      <c r="K6424" s="34">
        <v>0</v>
      </c>
      <c r="M6424" s="19">
        <f>IF(OR(ISBLANK(C6424),C6424=""),"",ROUND((C6424-B6424)*24,2))</f>
        <v>122.32</v>
      </c>
      <c r="N6424" s="39" t="str">
        <f>IF(OR(ISBLANK(C6424),C6424="",M6424=""),"In Progress",IF(M6424&lt;=J6424,"Met","Breached"))</f>
        <v>Breached</v>
      </c>
    </row>
    <row r="6425" ht="19" customHeight="1" spans="1:14" x14ac:dyDescent="0.25">
      <c r="A6425" s="22" t="s">
        <v>6539</v>
      </c>
      <c r="B6425" s="36">
        <v>46183.24791666667</v>
      </c>
      <c r="C6425" s="36">
        <v>46183.98819444445</v>
      </c>
      <c r="D6425" s="22" t="s">
        <v>36</v>
      </c>
      <c r="E6425" s="22" t="s">
        <v>65</v>
      </c>
      <c r="F6425" s="22" t="s">
        <v>40</v>
      </c>
      <c r="G6425" s="22" t="s">
        <v>113</v>
      </c>
      <c r="H6425" s="22" t="s">
        <v>59</v>
      </c>
      <c r="I6425" s="22" t="s">
        <v>117</v>
      </c>
      <c r="J6425" s="23">
        <v>48</v>
      </c>
      <c r="K6425" s="37">
        <v>0</v>
      </c>
      <c r="L6425" s="37">
        <v>2</v>
      </c>
      <c r="M6425" s="22">
        <f>IF(OR(ISBLANK(C6425),C6425=""),"",ROUND((C6425-B6425)*24,2))</f>
        <v>17.77</v>
      </c>
      <c r="N6425" s="40" t="str">
        <f>IF(OR(ISBLANK(C6425),C6425="",M6425=""),"In Progress",IF(M6425&lt;=J6425,"Met","Breached"))</f>
        <v>Met</v>
      </c>
    </row>
    <row r="6426" ht="19" customHeight="1" spans="1:14" x14ac:dyDescent="0.25">
      <c r="A6426" s="19" t="s">
        <v>6540</v>
      </c>
      <c r="B6426" s="33">
        <v>45884.316666666666</v>
      </c>
      <c r="C6426" s="33">
        <v>45886.82708333334</v>
      </c>
      <c r="D6426" s="19" t="s">
        <v>33</v>
      </c>
      <c r="E6426" s="19" t="s">
        <v>65</v>
      </c>
      <c r="F6426" s="19" t="s">
        <v>37</v>
      </c>
      <c r="G6426" s="19" t="s">
        <v>126</v>
      </c>
      <c r="H6426" s="19" t="s">
        <v>59</v>
      </c>
      <c r="I6426" s="19" t="s">
        <v>123</v>
      </c>
      <c r="J6426" s="20">
        <v>48</v>
      </c>
      <c r="K6426" s="34">
        <v>0</v>
      </c>
      <c r="M6426" s="19">
        <f>IF(OR(ISBLANK(C6426),C6426=""),"",ROUND((C6426-B6426)*24,2))</f>
        <v>60.25</v>
      </c>
      <c r="N6426" s="39" t="str">
        <f>IF(OR(ISBLANK(C6426),C6426="",M6426=""),"In Progress",IF(M6426&lt;=J6426,"Met","Breached"))</f>
        <v>Breached</v>
      </c>
    </row>
    <row r="6427" ht="19" customHeight="1" spans="1:14" x14ac:dyDescent="0.25">
      <c r="A6427" s="22" t="s">
        <v>6541</v>
      </c>
      <c r="B6427" s="36">
        <v>45932.10763888889</v>
      </c>
      <c r="C6427" s="36">
        <v>45935.26180555555</v>
      </c>
      <c r="D6427" s="22" t="s">
        <v>33</v>
      </c>
      <c r="E6427" s="22" t="s">
        <v>65</v>
      </c>
      <c r="F6427" s="22" t="s">
        <v>37</v>
      </c>
      <c r="G6427" s="22" t="s">
        <v>126</v>
      </c>
      <c r="H6427" s="22" t="s">
        <v>59</v>
      </c>
      <c r="I6427" s="22" t="s">
        <v>147</v>
      </c>
      <c r="J6427" s="23">
        <v>48</v>
      </c>
      <c r="K6427" s="37">
        <v>0</v>
      </c>
      <c r="L6427" s="37">
        <v>4</v>
      </c>
      <c r="M6427" s="22">
        <f>IF(OR(ISBLANK(C6427),C6427=""),"",ROUND((C6427-B6427)*24,2))</f>
        <v>75.7</v>
      </c>
      <c r="N6427" s="38" t="str">
        <f>IF(OR(ISBLANK(C6427),C6427="",M6427=""),"In Progress",IF(M6427&lt;=J6427,"Met","Breached"))</f>
        <v>Breached</v>
      </c>
    </row>
    <row r="6428" ht="19" customHeight="1" spans="1:14" x14ac:dyDescent="0.25">
      <c r="A6428" s="19" t="s">
        <v>6542</v>
      </c>
      <c r="B6428" s="33">
        <v>45967.725694444445</v>
      </c>
      <c r="C6428" s="33">
        <v>45969.87013888889</v>
      </c>
      <c r="D6428" s="19" t="s">
        <v>36</v>
      </c>
      <c r="E6428" s="19" t="s">
        <v>69</v>
      </c>
      <c r="F6428" s="19" t="s">
        <v>45</v>
      </c>
      <c r="G6428" s="19" t="s">
        <v>116</v>
      </c>
      <c r="H6428" s="19" t="s">
        <v>63</v>
      </c>
      <c r="I6428" s="19" t="s">
        <v>111</v>
      </c>
      <c r="J6428" s="20">
        <v>120</v>
      </c>
      <c r="K6428" s="34">
        <v>0</v>
      </c>
      <c r="L6428" s="34">
        <v>1</v>
      </c>
      <c r="M6428" s="19">
        <f>IF(OR(ISBLANK(C6428),C6428=""),"",ROUND((C6428-B6428)*24,2))</f>
        <v>51.47</v>
      </c>
      <c r="N6428" s="35" t="str">
        <f>IF(OR(ISBLANK(C6428),C6428="",M6428=""),"In Progress",IF(M6428&lt;=J6428,"Met","Breached"))</f>
        <v>Met</v>
      </c>
    </row>
    <row r="6429" ht="19" customHeight="1" spans="1:14" x14ac:dyDescent="0.25">
      <c r="A6429" s="22" t="s">
        <v>6543</v>
      </c>
      <c r="B6429" s="36">
        <v>46256.37291666667</v>
      </c>
      <c r="C6429" s="36">
        <v>46256.73055555555</v>
      </c>
      <c r="D6429" s="22" t="s">
        <v>33</v>
      </c>
      <c r="E6429" s="22" t="s">
        <v>61</v>
      </c>
      <c r="F6429" s="22" t="s">
        <v>43</v>
      </c>
      <c r="G6429" s="22" t="s">
        <v>110</v>
      </c>
      <c r="H6429" s="22" t="s">
        <v>59</v>
      </c>
      <c r="I6429" s="22" t="s">
        <v>147</v>
      </c>
      <c r="J6429" s="23">
        <v>12</v>
      </c>
      <c r="K6429" s="37">
        <v>0</v>
      </c>
      <c r="M6429" s="22">
        <f>IF(OR(ISBLANK(C6429),C6429=""),"",ROUND((C6429-B6429)*24,2))</f>
        <v>8.58</v>
      </c>
      <c r="N6429" s="40" t="str">
        <f>IF(OR(ISBLANK(C6429),C6429="",M6429=""),"In Progress",IF(M6429&lt;=J6429,"Met","Breached"))</f>
        <v>Met</v>
      </c>
    </row>
    <row r="6430" ht="19" customHeight="1" spans="1:14" x14ac:dyDescent="0.25">
      <c r="A6430" s="19" t="s">
        <v>6544</v>
      </c>
      <c r="B6430" s="33">
        <v>45714.91666666667</v>
      </c>
      <c r="C6430" s="33">
        <v>45715.175</v>
      </c>
      <c r="D6430" s="19" t="s">
        <v>33</v>
      </c>
      <c r="E6430" s="19" t="s">
        <v>61</v>
      </c>
      <c r="F6430" s="19" t="s">
        <v>37</v>
      </c>
      <c r="G6430" s="19" t="s">
        <v>63</v>
      </c>
      <c r="H6430" s="19" t="s">
        <v>67</v>
      </c>
      <c r="I6430" s="19" t="s">
        <v>111</v>
      </c>
      <c r="J6430" s="20">
        <v>12</v>
      </c>
      <c r="K6430" s="34">
        <v>0</v>
      </c>
      <c r="L6430" s="34">
        <v>5</v>
      </c>
      <c r="M6430" s="19">
        <f>IF(OR(ISBLANK(C6430),C6430=""),"",ROUND((C6430-B6430)*24,2))</f>
        <v>6.2</v>
      </c>
      <c r="N6430" s="35" t="str">
        <f>IF(OR(ISBLANK(C6430),C6430="",M6430=""),"In Progress",IF(M6430&lt;=J6430,"Met","Breached"))</f>
        <v>Met</v>
      </c>
    </row>
    <row r="6431" ht="19" customHeight="1" spans="1:14" x14ac:dyDescent="0.25">
      <c r="A6431" s="22" t="s">
        <v>6545</v>
      </c>
      <c r="B6431" s="36">
        <v>46074.2625</v>
      </c>
      <c r="C6431" s="36">
        <v>46080.14027777778</v>
      </c>
      <c r="D6431" s="22" t="s">
        <v>36</v>
      </c>
      <c r="E6431" s="22" t="s">
        <v>69</v>
      </c>
      <c r="F6431" s="22" t="s">
        <v>34</v>
      </c>
      <c r="G6431" s="22" t="s">
        <v>121</v>
      </c>
      <c r="H6431" s="22" t="s">
        <v>63</v>
      </c>
      <c r="I6431" s="22" t="s">
        <v>108</v>
      </c>
      <c r="J6431" s="23">
        <v>120</v>
      </c>
      <c r="K6431" s="37">
        <v>0</v>
      </c>
      <c r="M6431" s="22">
        <f>IF(OR(ISBLANK(C6431),C6431=""),"",ROUND((C6431-B6431)*24,2))</f>
        <v>141.07</v>
      </c>
      <c r="N6431" s="38" t="str">
        <f>IF(OR(ISBLANK(C6431),C6431="",M6431=""),"In Progress",IF(M6431&lt;=J6431,"Met","Breached"))</f>
        <v>Breached</v>
      </c>
    </row>
    <row r="6432" ht="19" customHeight="1" spans="1:14" x14ac:dyDescent="0.25">
      <c r="A6432" s="19" t="s">
        <v>6546</v>
      </c>
      <c r="B6432" s="33">
        <v>46105.57916666666</v>
      </c>
      <c r="C6432" s="33">
        <v>46106.85625</v>
      </c>
      <c r="D6432" s="19" t="s">
        <v>36</v>
      </c>
      <c r="E6432" s="19" t="s">
        <v>65</v>
      </c>
      <c r="F6432" s="19" t="s">
        <v>40</v>
      </c>
      <c r="G6432" s="19" t="s">
        <v>110</v>
      </c>
      <c r="H6432" s="19" t="s">
        <v>63</v>
      </c>
      <c r="I6432" s="19" t="s">
        <v>117</v>
      </c>
      <c r="J6432" s="20">
        <v>48</v>
      </c>
      <c r="K6432" s="34">
        <v>0</v>
      </c>
      <c r="L6432" s="34">
        <v>4</v>
      </c>
      <c r="M6432" s="19">
        <f>IF(OR(ISBLANK(C6432),C6432=""),"",ROUND((C6432-B6432)*24,2))</f>
        <v>30.65</v>
      </c>
      <c r="N6432" s="35" t="str">
        <f>IF(OR(ISBLANK(C6432),C6432="",M6432=""),"In Progress",IF(M6432&lt;=J6432,"Met","Breached"))</f>
        <v>Met</v>
      </c>
    </row>
    <row r="6433" ht="19" customHeight="1" spans="1:14" x14ac:dyDescent="0.25">
      <c r="A6433" s="22" t="s">
        <v>6547</v>
      </c>
      <c r="B6433" s="36">
        <v>45731.273611111115</v>
      </c>
      <c r="C6433" s="36">
        <v>45734.50138888889</v>
      </c>
      <c r="D6433" s="22" t="s">
        <v>33</v>
      </c>
      <c r="E6433" s="22" t="s">
        <v>65</v>
      </c>
      <c r="F6433" s="22" t="s">
        <v>45</v>
      </c>
      <c r="G6433" s="22" t="s">
        <v>113</v>
      </c>
      <c r="H6433" s="22" t="s">
        <v>63</v>
      </c>
      <c r="I6433" s="22" t="s">
        <v>117</v>
      </c>
      <c r="J6433" s="23">
        <v>48</v>
      </c>
      <c r="K6433" s="37">
        <v>0</v>
      </c>
      <c r="M6433" s="22">
        <f>IF(OR(ISBLANK(C6433),C6433=""),"",ROUND((C6433-B6433)*24,2))</f>
        <v>77.47</v>
      </c>
      <c r="N6433" s="38" t="str">
        <f>IF(OR(ISBLANK(C6433),C6433="",M6433=""),"In Progress",IF(M6433&lt;=J6433,"Met","Breached"))</f>
        <v>Breached</v>
      </c>
    </row>
    <row r="6434" ht="19" customHeight="1" spans="1:14" x14ac:dyDescent="0.25">
      <c r="A6434" s="19" t="s">
        <v>6548</v>
      </c>
      <c r="B6434" s="33">
        <v>46044.95416666666</v>
      </c>
      <c r="C6434" s="33">
        <v>46045.15902777778</v>
      </c>
      <c r="D6434" s="19" t="s">
        <v>33</v>
      </c>
      <c r="E6434" s="19" t="s">
        <v>61</v>
      </c>
      <c r="F6434" s="19" t="s">
        <v>37</v>
      </c>
      <c r="G6434" s="19" t="s">
        <v>113</v>
      </c>
      <c r="H6434" s="19" t="s">
        <v>59</v>
      </c>
      <c r="I6434" s="19" t="s">
        <v>114</v>
      </c>
      <c r="J6434" s="20">
        <v>12</v>
      </c>
      <c r="K6434" s="34">
        <v>0</v>
      </c>
      <c r="L6434" s="34">
        <v>4</v>
      </c>
      <c r="M6434" s="19">
        <f>IF(OR(ISBLANK(C6434),C6434=""),"",ROUND((C6434-B6434)*24,2))</f>
        <v>4.92</v>
      </c>
      <c r="N6434" s="35" t="str">
        <f>IF(OR(ISBLANK(C6434),C6434="",M6434=""),"In Progress",IF(M6434&lt;=J6434,"Met","Breached"))</f>
        <v>Met</v>
      </c>
    </row>
    <row r="6435" ht="19" customHeight="1" spans="1:14" x14ac:dyDescent="0.25">
      <c r="A6435" s="22" t="s">
        <v>6549</v>
      </c>
      <c r="B6435" s="36">
        <v>46203.58194444445</v>
      </c>
      <c r="D6435" s="22" t="s">
        <v>42</v>
      </c>
      <c r="E6435" s="22" t="s">
        <v>65</v>
      </c>
      <c r="F6435" s="22" t="s">
        <v>37</v>
      </c>
      <c r="G6435" s="22" t="s">
        <v>121</v>
      </c>
      <c r="H6435" s="22" t="s">
        <v>63</v>
      </c>
      <c r="I6435" s="22" t="s">
        <v>108</v>
      </c>
      <c r="J6435" s="23">
        <v>48</v>
      </c>
      <c r="K6435" s="37">
        <v>0</v>
      </c>
      <c r="M6435" s="22" t="str">
        <f>IF(OR(ISBLANK(C6435),C6435=""),"",ROUND((C6435-B6435)*24,2))</f>
        <v/>
      </c>
      <c r="N6435" s="22" t="str">
        <f>IF(OR(ISBLANK(C6435),C6435="",M6435=""),"In Progress",IF(M6435&lt;=J6435,"Met","Breached"))</f>
        <v>In Progress</v>
      </c>
    </row>
    <row r="6436" ht="19" customHeight="1" spans="1:14" x14ac:dyDescent="0.25">
      <c r="A6436" s="19" t="s">
        <v>6550</v>
      </c>
      <c r="B6436" s="33">
        <v>45982.47361111111</v>
      </c>
      <c r="D6436" s="19" t="s">
        <v>42</v>
      </c>
      <c r="E6436" s="19" t="s">
        <v>69</v>
      </c>
      <c r="F6436" s="19" t="s">
        <v>43</v>
      </c>
      <c r="G6436" s="19" t="s">
        <v>121</v>
      </c>
      <c r="H6436" s="19" t="s">
        <v>59</v>
      </c>
      <c r="I6436" s="19" t="s">
        <v>111</v>
      </c>
      <c r="J6436" s="20">
        <v>120</v>
      </c>
      <c r="K6436" s="34">
        <v>0</v>
      </c>
      <c r="M6436" s="19" t="str">
        <f>IF(OR(ISBLANK(C6436),C6436=""),"",ROUND((C6436-B6436)*24,2))</f>
        <v/>
      </c>
      <c r="N6436" s="19" t="str">
        <f>IF(OR(ISBLANK(C6436),C6436="",M6436=""),"In Progress",IF(M6436&lt;=J6436,"Met","Breached"))</f>
        <v>In Progress</v>
      </c>
    </row>
    <row r="6437" ht="19" customHeight="1" spans="1:14" x14ac:dyDescent="0.25">
      <c r="A6437" s="22" t="s">
        <v>6551</v>
      </c>
      <c r="B6437" s="36">
        <v>45993.27291666667</v>
      </c>
      <c r="C6437" s="36">
        <v>45996.398611111115</v>
      </c>
      <c r="D6437" s="22" t="s">
        <v>36</v>
      </c>
      <c r="E6437" s="22" t="s">
        <v>65</v>
      </c>
      <c r="F6437" s="22" t="s">
        <v>37</v>
      </c>
      <c r="G6437" s="22" t="s">
        <v>110</v>
      </c>
      <c r="H6437" s="22" t="s">
        <v>71</v>
      </c>
      <c r="I6437" s="22" t="s">
        <v>147</v>
      </c>
      <c r="J6437" s="23">
        <v>48</v>
      </c>
      <c r="K6437" s="37">
        <v>0</v>
      </c>
      <c r="L6437" s="37">
        <v>2</v>
      </c>
      <c r="M6437" s="22">
        <f>IF(OR(ISBLANK(C6437),C6437=""),"",ROUND((C6437-B6437)*24,2))</f>
        <v>75.02</v>
      </c>
      <c r="N6437" s="38" t="str">
        <f>IF(OR(ISBLANK(C6437),C6437="",M6437=""),"In Progress",IF(M6437&lt;=J6437,"Met","Breached"))</f>
        <v>Breached</v>
      </c>
    </row>
    <row r="6438" ht="19" customHeight="1" spans="1:14" x14ac:dyDescent="0.25">
      <c r="A6438" s="19" t="s">
        <v>6552</v>
      </c>
      <c r="B6438" s="33">
        <v>46280.99791666667</v>
      </c>
      <c r="C6438" s="33">
        <v>46283.05069444445</v>
      </c>
      <c r="D6438" s="19" t="s">
        <v>33</v>
      </c>
      <c r="E6438" s="19" t="s">
        <v>65</v>
      </c>
      <c r="F6438" s="19" t="s">
        <v>40</v>
      </c>
      <c r="G6438" s="19" t="s">
        <v>63</v>
      </c>
      <c r="H6438" s="19" t="s">
        <v>71</v>
      </c>
      <c r="I6438" s="19" t="s">
        <v>108</v>
      </c>
      <c r="J6438" s="20">
        <v>48</v>
      </c>
      <c r="K6438" s="34">
        <v>0</v>
      </c>
      <c r="L6438" s="34">
        <v>5</v>
      </c>
      <c r="M6438" s="19">
        <f>IF(OR(ISBLANK(C6438),C6438=""),"",ROUND((C6438-B6438)*24,2))</f>
        <v>49.27</v>
      </c>
      <c r="N6438" s="39" t="str">
        <f>IF(OR(ISBLANK(C6438),C6438="",M6438=""),"In Progress",IF(M6438&lt;=J6438,"Met","Breached"))</f>
        <v>Breached</v>
      </c>
    </row>
    <row r="6439" ht="19" customHeight="1" spans="1:14" x14ac:dyDescent="0.25">
      <c r="A6439" s="22" t="s">
        <v>6553</v>
      </c>
      <c r="B6439" s="36">
        <v>45852.393055555556</v>
      </c>
      <c r="D6439" s="22" t="s">
        <v>42</v>
      </c>
      <c r="E6439" s="22" t="s">
        <v>65</v>
      </c>
      <c r="F6439" s="22" t="s">
        <v>37</v>
      </c>
      <c r="G6439" s="22" t="s">
        <v>63</v>
      </c>
      <c r="H6439" s="22" t="s">
        <v>59</v>
      </c>
      <c r="I6439" s="22" t="s">
        <v>117</v>
      </c>
      <c r="J6439" s="23">
        <v>48</v>
      </c>
      <c r="K6439" s="37">
        <v>0</v>
      </c>
      <c r="M6439" s="22" t="str">
        <f>IF(OR(ISBLANK(C6439),C6439=""),"",ROUND((C6439-B6439)*24,2))</f>
        <v/>
      </c>
      <c r="N6439" s="22" t="str">
        <f>IF(OR(ISBLANK(C6439),C6439="",M6439=""),"In Progress",IF(M6439&lt;=J6439,"Met","Breached"))</f>
        <v>In Progress</v>
      </c>
    </row>
    <row r="6440" ht="19" customHeight="1" spans="1:14" x14ac:dyDescent="0.25">
      <c r="A6440" s="19" t="s">
        <v>6554</v>
      </c>
      <c r="B6440" s="33">
        <v>46033.32361111111</v>
      </c>
      <c r="C6440" s="33">
        <v>46035.861805555556</v>
      </c>
      <c r="D6440" s="19" t="s">
        <v>36</v>
      </c>
      <c r="E6440" s="19" t="s">
        <v>65</v>
      </c>
      <c r="F6440" s="19" t="s">
        <v>43</v>
      </c>
      <c r="G6440" s="19" t="s">
        <v>121</v>
      </c>
      <c r="H6440" s="19" t="s">
        <v>59</v>
      </c>
      <c r="I6440" s="19" t="s">
        <v>147</v>
      </c>
      <c r="J6440" s="20">
        <v>48</v>
      </c>
      <c r="K6440" s="34">
        <v>0</v>
      </c>
      <c r="M6440" s="19">
        <f>IF(OR(ISBLANK(C6440),C6440=""),"",ROUND((C6440-B6440)*24,2))</f>
        <v>60.92</v>
      </c>
      <c r="N6440" s="39" t="str">
        <f>IF(OR(ISBLANK(C6440),C6440="",M6440=""),"In Progress",IF(M6440&lt;=J6440,"Met","Breached"))</f>
        <v>Breached</v>
      </c>
    </row>
    <row r="6441" ht="19" customHeight="1" spans="1:14" x14ac:dyDescent="0.25">
      <c r="A6441" s="22" t="s">
        <v>6555</v>
      </c>
      <c r="B6441" s="36">
        <v>46233.27638888889</v>
      </c>
      <c r="D6441" s="22" t="s">
        <v>39</v>
      </c>
      <c r="E6441" s="22" t="s">
        <v>65</v>
      </c>
      <c r="F6441" s="22" t="s">
        <v>45</v>
      </c>
      <c r="G6441" s="22" t="s">
        <v>116</v>
      </c>
      <c r="H6441" s="22" t="s">
        <v>71</v>
      </c>
      <c r="I6441" s="22" t="s">
        <v>123</v>
      </c>
      <c r="J6441" s="23">
        <v>48</v>
      </c>
      <c r="K6441" s="37">
        <v>0</v>
      </c>
      <c r="M6441" s="22" t="str">
        <f>IF(OR(ISBLANK(C6441),C6441=""),"",ROUND((C6441-B6441)*24,2))</f>
        <v/>
      </c>
      <c r="N6441" s="22" t="str">
        <f>IF(OR(ISBLANK(C6441),C6441="",M6441=""),"In Progress",IF(M6441&lt;=J6441,"Met","Breached"))</f>
        <v>In Progress</v>
      </c>
    </row>
    <row r="6442" ht="19" customHeight="1" spans="1:14" x14ac:dyDescent="0.25">
      <c r="A6442" s="19" t="s">
        <v>6556</v>
      </c>
      <c r="B6442" s="33">
        <v>45676.72708333333</v>
      </c>
      <c r="C6442" s="33">
        <v>45676.92152777778</v>
      </c>
      <c r="D6442" s="19" t="s">
        <v>36</v>
      </c>
      <c r="E6442" s="19" t="s">
        <v>61</v>
      </c>
      <c r="F6442" s="19" t="s">
        <v>37</v>
      </c>
      <c r="G6442" s="19" t="s">
        <v>116</v>
      </c>
      <c r="H6442" s="19" t="s">
        <v>59</v>
      </c>
      <c r="I6442" s="19" t="s">
        <v>147</v>
      </c>
      <c r="J6442" s="20">
        <v>12</v>
      </c>
      <c r="K6442" s="34">
        <v>0</v>
      </c>
      <c r="L6442" s="34">
        <v>1</v>
      </c>
      <c r="M6442" s="19">
        <f>IF(OR(ISBLANK(C6442),C6442=""),"",ROUND((C6442-B6442)*24,2))</f>
        <v>4.67</v>
      </c>
      <c r="N6442" s="35" t="str">
        <f>IF(OR(ISBLANK(C6442),C6442="",M6442=""),"In Progress",IF(M6442&lt;=J6442,"Met","Breached"))</f>
        <v>Met</v>
      </c>
    </row>
    <row r="6443" ht="19" customHeight="1" spans="1:14" x14ac:dyDescent="0.25">
      <c r="A6443" s="22" t="s">
        <v>6557</v>
      </c>
      <c r="B6443" s="36">
        <v>45795.361805555556</v>
      </c>
      <c r="C6443" s="36">
        <v>45796.29305555555</v>
      </c>
      <c r="D6443" s="22" t="s">
        <v>33</v>
      </c>
      <c r="E6443" s="22" t="s">
        <v>65</v>
      </c>
      <c r="F6443" s="22" t="s">
        <v>43</v>
      </c>
      <c r="G6443" s="22" t="s">
        <v>110</v>
      </c>
      <c r="H6443" s="22" t="s">
        <v>67</v>
      </c>
      <c r="I6443" s="22" t="s">
        <v>147</v>
      </c>
      <c r="J6443" s="23">
        <v>48</v>
      </c>
      <c r="K6443" s="37">
        <v>0</v>
      </c>
      <c r="L6443" s="37">
        <v>2</v>
      </c>
      <c r="M6443" s="22">
        <f>IF(OR(ISBLANK(C6443),C6443=""),"",ROUND((C6443-B6443)*24,2))</f>
        <v>22.35</v>
      </c>
      <c r="N6443" s="40" t="str">
        <f>IF(OR(ISBLANK(C6443),C6443="",M6443=""),"In Progress",IF(M6443&lt;=J6443,"Met","Breached"))</f>
        <v>Met</v>
      </c>
    </row>
    <row r="6444" ht="19" customHeight="1" spans="1:14" x14ac:dyDescent="0.25">
      <c r="A6444" s="19" t="s">
        <v>6558</v>
      </c>
      <c r="B6444" s="33">
        <v>45702.64722222222</v>
      </c>
      <c r="C6444" s="33">
        <v>45704.61944444444</v>
      </c>
      <c r="D6444" s="19" t="s">
        <v>36</v>
      </c>
      <c r="E6444" s="19" t="s">
        <v>65</v>
      </c>
      <c r="F6444" s="19" t="s">
        <v>37</v>
      </c>
      <c r="G6444" s="19" t="s">
        <v>63</v>
      </c>
      <c r="H6444" s="19" t="s">
        <v>59</v>
      </c>
      <c r="I6444" s="19" t="s">
        <v>147</v>
      </c>
      <c r="J6444" s="20">
        <v>48</v>
      </c>
      <c r="K6444" s="34">
        <v>1</v>
      </c>
      <c r="M6444" s="19">
        <f>IF(OR(ISBLANK(C6444),C6444=""),"",ROUND((C6444-B6444)*24,2))</f>
        <v>47.33</v>
      </c>
      <c r="N6444" s="35" t="str">
        <f>IF(OR(ISBLANK(C6444),C6444="",M6444=""),"In Progress",IF(M6444&lt;=J6444,"Met","Breached"))</f>
        <v>Met</v>
      </c>
    </row>
    <row r="6445" ht="19" customHeight="1" spans="1:14" x14ac:dyDescent="0.25">
      <c r="A6445" s="22" t="s">
        <v>6559</v>
      </c>
      <c r="B6445" s="36">
        <v>46044.200694444444</v>
      </c>
      <c r="C6445" s="36">
        <v>46044.44791666667</v>
      </c>
      <c r="D6445" s="22" t="s">
        <v>33</v>
      </c>
      <c r="E6445" s="22" t="s">
        <v>61</v>
      </c>
      <c r="F6445" s="22" t="s">
        <v>40</v>
      </c>
      <c r="G6445" s="22" t="s">
        <v>113</v>
      </c>
      <c r="H6445" s="22" t="s">
        <v>71</v>
      </c>
      <c r="I6445" s="22" t="s">
        <v>123</v>
      </c>
      <c r="J6445" s="23">
        <v>12</v>
      </c>
      <c r="K6445" s="37">
        <v>0</v>
      </c>
      <c r="M6445" s="22">
        <f>IF(OR(ISBLANK(C6445),C6445=""),"",ROUND((C6445-B6445)*24,2))</f>
        <v>5.93</v>
      </c>
      <c r="N6445" s="40" t="str">
        <f>IF(OR(ISBLANK(C6445),C6445="",M6445=""),"In Progress",IF(M6445&lt;=J6445,"Met","Breached"))</f>
        <v>Met</v>
      </c>
    </row>
    <row r="6446" ht="19" customHeight="1" spans="1:14" x14ac:dyDescent="0.25">
      <c r="A6446" s="19" t="s">
        <v>6560</v>
      </c>
      <c r="B6446" s="33">
        <v>46051.152083333334</v>
      </c>
      <c r="D6446" s="19" t="s">
        <v>39</v>
      </c>
      <c r="E6446" s="19" t="s">
        <v>69</v>
      </c>
      <c r="F6446" s="19" t="s">
        <v>34</v>
      </c>
      <c r="G6446" s="19" t="s">
        <v>121</v>
      </c>
      <c r="H6446" s="19" t="s">
        <v>71</v>
      </c>
      <c r="I6446" s="19" t="s">
        <v>111</v>
      </c>
      <c r="J6446" s="20">
        <v>120</v>
      </c>
      <c r="K6446" s="34">
        <v>0</v>
      </c>
      <c r="M6446" s="19" t="str">
        <f>IF(OR(ISBLANK(C6446),C6446=""),"",ROUND((C6446-B6446)*24,2))</f>
        <v/>
      </c>
      <c r="N6446" s="19" t="str">
        <f>IF(OR(ISBLANK(C6446),C6446="",M6446=""),"In Progress",IF(M6446&lt;=J6446,"Met","Breached"))</f>
        <v>In Progress</v>
      </c>
    </row>
    <row r="6447" ht="19" customHeight="1" spans="1:14" x14ac:dyDescent="0.25">
      <c r="A6447" s="22" t="s">
        <v>6561</v>
      </c>
      <c r="B6447" s="36">
        <v>46031.26666666666</v>
      </c>
      <c r="C6447" s="36">
        <v>46031.54236111111</v>
      </c>
      <c r="D6447" s="22" t="s">
        <v>33</v>
      </c>
      <c r="E6447" s="22" t="s">
        <v>57</v>
      </c>
      <c r="F6447" s="22" t="s">
        <v>40</v>
      </c>
      <c r="G6447" s="22" t="s">
        <v>110</v>
      </c>
      <c r="H6447" s="22" t="s">
        <v>59</v>
      </c>
      <c r="I6447" s="22" t="s">
        <v>117</v>
      </c>
      <c r="J6447" s="23">
        <v>4</v>
      </c>
      <c r="K6447" s="37">
        <v>0</v>
      </c>
      <c r="L6447" s="37">
        <v>4</v>
      </c>
      <c r="M6447" s="22">
        <f>IF(OR(ISBLANK(C6447),C6447=""),"",ROUND((C6447-B6447)*24,2))</f>
        <v>6.62</v>
      </c>
      <c r="N6447" s="38" t="str">
        <f>IF(OR(ISBLANK(C6447),C6447="",M6447=""),"In Progress",IF(M6447&lt;=J6447,"Met","Breached"))</f>
        <v>Breached</v>
      </c>
    </row>
    <row r="6448" ht="19" customHeight="1" spans="1:14" x14ac:dyDescent="0.25">
      <c r="A6448" s="19" t="s">
        <v>6562</v>
      </c>
      <c r="B6448" s="33">
        <v>45679.60486111111</v>
      </c>
      <c r="C6448" s="33">
        <v>45681.23888888889</v>
      </c>
      <c r="D6448" s="19" t="s">
        <v>36</v>
      </c>
      <c r="E6448" s="19" t="s">
        <v>65</v>
      </c>
      <c r="F6448" s="19" t="s">
        <v>34</v>
      </c>
      <c r="G6448" s="19" t="s">
        <v>121</v>
      </c>
      <c r="H6448" s="19" t="s">
        <v>59</v>
      </c>
      <c r="I6448" s="19" t="s">
        <v>117</v>
      </c>
      <c r="J6448" s="20">
        <v>48</v>
      </c>
      <c r="K6448" s="34">
        <v>0</v>
      </c>
      <c r="L6448" s="34">
        <v>3</v>
      </c>
      <c r="M6448" s="19">
        <f>IF(OR(ISBLANK(C6448),C6448=""),"",ROUND((C6448-B6448)*24,2))</f>
        <v>39.22</v>
      </c>
      <c r="N6448" s="35" t="str">
        <f>IF(OR(ISBLANK(C6448),C6448="",M6448=""),"In Progress",IF(M6448&lt;=J6448,"Met","Breached"))</f>
        <v>Met</v>
      </c>
    </row>
    <row r="6449" ht="19" customHeight="1" spans="1:14" x14ac:dyDescent="0.25">
      <c r="A6449" s="22" t="s">
        <v>6563</v>
      </c>
      <c r="B6449" s="36">
        <v>46236.24375</v>
      </c>
      <c r="C6449" s="36">
        <v>46241.705555555556</v>
      </c>
      <c r="D6449" s="22" t="s">
        <v>36</v>
      </c>
      <c r="E6449" s="22" t="s">
        <v>69</v>
      </c>
      <c r="F6449" s="22" t="s">
        <v>43</v>
      </c>
      <c r="G6449" s="22" t="s">
        <v>110</v>
      </c>
      <c r="H6449" s="22" t="s">
        <v>63</v>
      </c>
      <c r="I6449" s="22" t="s">
        <v>147</v>
      </c>
      <c r="J6449" s="23">
        <v>120</v>
      </c>
      <c r="K6449" s="37">
        <v>0</v>
      </c>
      <c r="L6449" s="37">
        <v>5</v>
      </c>
      <c r="M6449" s="22">
        <f>IF(OR(ISBLANK(C6449),C6449=""),"",ROUND((C6449-B6449)*24,2))</f>
        <v>131.08</v>
      </c>
      <c r="N6449" s="38" t="str">
        <f>IF(OR(ISBLANK(C6449),C6449="",M6449=""),"In Progress",IF(M6449&lt;=J6449,"Met","Breached"))</f>
        <v>Breached</v>
      </c>
    </row>
    <row r="6450" ht="19" customHeight="1" spans="1:14" x14ac:dyDescent="0.25">
      <c r="A6450" s="19" t="s">
        <v>6564</v>
      </c>
      <c r="B6450" s="33">
        <v>46266.81527777778</v>
      </c>
      <c r="C6450" s="33">
        <v>46269.66805555555</v>
      </c>
      <c r="D6450" s="19" t="s">
        <v>36</v>
      </c>
      <c r="E6450" s="19" t="s">
        <v>65</v>
      </c>
      <c r="F6450" s="19" t="s">
        <v>40</v>
      </c>
      <c r="G6450" s="19" t="s">
        <v>113</v>
      </c>
      <c r="H6450" s="19" t="s">
        <v>59</v>
      </c>
      <c r="I6450" s="19" t="s">
        <v>147</v>
      </c>
      <c r="J6450" s="20">
        <v>48</v>
      </c>
      <c r="K6450" s="34">
        <v>0</v>
      </c>
      <c r="M6450" s="19">
        <f>IF(OR(ISBLANK(C6450),C6450=""),"",ROUND((C6450-B6450)*24,2))</f>
        <v>68.47</v>
      </c>
      <c r="N6450" s="39" t="str">
        <f>IF(OR(ISBLANK(C6450),C6450="",M6450=""),"In Progress",IF(M6450&lt;=J6450,"Met","Breached"))</f>
        <v>Breached</v>
      </c>
    </row>
    <row r="6451" ht="19" customHeight="1" spans="1:14" x14ac:dyDescent="0.25">
      <c r="A6451" s="22" t="s">
        <v>6565</v>
      </c>
      <c r="B6451" s="36">
        <v>46234.05347222222</v>
      </c>
      <c r="C6451" s="36">
        <v>46234.28333333333</v>
      </c>
      <c r="D6451" s="22" t="s">
        <v>36</v>
      </c>
      <c r="E6451" s="22" t="s">
        <v>57</v>
      </c>
      <c r="F6451" s="22" t="s">
        <v>34</v>
      </c>
      <c r="G6451" s="22" t="s">
        <v>110</v>
      </c>
      <c r="H6451" s="22" t="s">
        <v>63</v>
      </c>
      <c r="I6451" s="22" t="s">
        <v>147</v>
      </c>
      <c r="J6451" s="23">
        <v>4</v>
      </c>
      <c r="K6451" s="37">
        <v>0</v>
      </c>
      <c r="L6451" s="37">
        <v>4</v>
      </c>
      <c r="M6451" s="22">
        <f>IF(OR(ISBLANK(C6451),C6451=""),"",ROUND((C6451-B6451)*24,2))</f>
        <v>5.52</v>
      </c>
      <c r="N6451" s="38" t="str">
        <f>IF(OR(ISBLANK(C6451),C6451="",M6451=""),"In Progress",IF(M6451&lt;=J6451,"Met","Breached"))</f>
        <v>Breached</v>
      </c>
    </row>
    <row r="6452" ht="19" customHeight="1" spans="1:14" x14ac:dyDescent="0.25">
      <c r="A6452" s="19" t="s">
        <v>6566</v>
      </c>
      <c r="B6452" s="33">
        <v>45946.601388888885</v>
      </c>
      <c r="C6452" s="33">
        <v>45946.79513888889</v>
      </c>
      <c r="D6452" s="19" t="s">
        <v>33</v>
      </c>
      <c r="E6452" s="19" t="s">
        <v>57</v>
      </c>
      <c r="F6452" s="19" t="s">
        <v>34</v>
      </c>
      <c r="G6452" s="19" t="s">
        <v>116</v>
      </c>
      <c r="H6452" s="19" t="s">
        <v>59</v>
      </c>
      <c r="I6452" s="19" t="s">
        <v>123</v>
      </c>
      <c r="J6452" s="20">
        <v>4</v>
      </c>
      <c r="K6452" s="34">
        <v>0</v>
      </c>
      <c r="L6452" s="34">
        <v>4</v>
      </c>
      <c r="M6452" s="19">
        <f>IF(OR(ISBLANK(C6452),C6452=""),"",ROUND((C6452-B6452)*24,2))</f>
        <v>4.65</v>
      </c>
      <c r="N6452" s="39" t="str">
        <f>IF(OR(ISBLANK(C6452),C6452="",M6452=""),"In Progress",IF(M6452&lt;=J6452,"Met","Breached"))</f>
        <v>Breached</v>
      </c>
    </row>
    <row r="6453" ht="19" customHeight="1" spans="1:14" x14ac:dyDescent="0.25">
      <c r="A6453" s="22" t="s">
        <v>6567</v>
      </c>
      <c r="B6453" s="36">
        <v>45725.56458333333</v>
      </c>
      <c r="D6453" s="22" t="s">
        <v>39</v>
      </c>
      <c r="E6453" s="22" t="s">
        <v>61</v>
      </c>
      <c r="F6453" s="22" t="s">
        <v>34</v>
      </c>
      <c r="G6453" s="22" t="s">
        <v>113</v>
      </c>
      <c r="H6453" s="22" t="s">
        <v>59</v>
      </c>
      <c r="I6453" s="22" t="s">
        <v>117</v>
      </c>
      <c r="J6453" s="23">
        <v>12</v>
      </c>
      <c r="K6453" s="37">
        <v>0</v>
      </c>
      <c r="M6453" s="22" t="str">
        <f>IF(OR(ISBLANK(C6453),C6453=""),"",ROUND((C6453-B6453)*24,2))</f>
        <v/>
      </c>
      <c r="N6453" s="22" t="str">
        <f>IF(OR(ISBLANK(C6453),C6453="",M6453=""),"In Progress",IF(M6453&lt;=J6453,"Met","Breached"))</f>
        <v>In Progress</v>
      </c>
    </row>
    <row r="6454" ht="19" customHeight="1" spans="1:14" x14ac:dyDescent="0.25">
      <c r="A6454" s="19" t="s">
        <v>6568</v>
      </c>
      <c r="B6454" s="33">
        <v>45830.31319444445</v>
      </c>
      <c r="D6454" s="19" t="s">
        <v>39</v>
      </c>
      <c r="E6454" s="19" t="s">
        <v>69</v>
      </c>
      <c r="F6454" s="19" t="s">
        <v>34</v>
      </c>
      <c r="G6454" s="19" t="s">
        <v>110</v>
      </c>
      <c r="H6454" s="19" t="s">
        <v>63</v>
      </c>
      <c r="I6454" s="19" t="s">
        <v>114</v>
      </c>
      <c r="J6454" s="20">
        <v>120</v>
      </c>
      <c r="K6454" s="34">
        <v>0</v>
      </c>
      <c r="M6454" s="19" t="str">
        <f>IF(OR(ISBLANK(C6454),C6454=""),"",ROUND((C6454-B6454)*24,2))</f>
        <v/>
      </c>
      <c r="N6454" s="19" t="str">
        <f>IF(OR(ISBLANK(C6454),C6454="",M6454=""),"In Progress",IF(M6454&lt;=J6454,"Met","Breached"))</f>
        <v>In Progress</v>
      </c>
    </row>
    <row r="6455" ht="19" customHeight="1" spans="1:14" x14ac:dyDescent="0.25">
      <c r="A6455" s="22" t="s">
        <v>6569</v>
      </c>
      <c r="B6455" s="36">
        <v>45907.58333333333</v>
      </c>
      <c r="D6455" s="22" t="s">
        <v>39</v>
      </c>
      <c r="E6455" s="22" t="s">
        <v>69</v>
      </c>
      <c r="F6455" s="22" t="s">
        <v>37</v>
      </c>
      <c r="G6455" s="22" t="s">
        <v>121</v>
      </c>
      <c r="H6455" s="22" t="s">
        <v>67</v>
      </c>
      <c r="I6455" s="22" t="s">
        <v>123</v>
      </c>
      <c r="J6455" s="23">
        <v>120</v>
      </c>
      <c r="K6455" s="37">
        <v>0</v>
      </c>
      <c r="M6455" s="22" t="str">
        <f>IF(OR(ISBLANK(C6455),C6455=""),"",ROUND((C6455-B6455)*24,2))</f>
        <v/>
      </c>
      <c r="N6455" s="22" t="str">
        <f>IF(OR(ISBLANK(C6455),C6455="",M6455=""),"In Progress",IF(M6455&lt;=J6455,"Met","Breached"))</f>
        <v>In Progress</v>
      </c>
    </row>
    <row r="6456" ht="19" customHeight="1" spans="1:14" x14ac:dyDescent="0.25">
      <c r="A6456" s="19" t="s">
        <v>6570</v>
      </c>
      <c r="B6456" s="33">
        <v>45929.70486111111</v>
      </c>
      <c r="C6456" s="33">
        <v>45929.94583333333</v>
      </c>
      <c r="D6456" s="19" t="s">
        <v>33</v>
      </c>
      <c r="E6456" s="19" t="s">
        <v>61</v>
      </c>
      <c r="F6456" s="19" t="s">
        <v>34</v>
      </c>
      <c r="G6456" s="19" t="s">
        <v>121</v>
      </c>
      <c r="H6456" s="19" t="s">
        <v>63</v>
      </c>
      <c r="I6456" s="19" t="s">
        <v>108</v>
      </c>
      <c r="J6456" s="20">
        <v>12</v>
      </c>
      <c r="K6456" s="34">
        <v>0</v>
      </c>
      <c r="L6456" s="34">
        <v>4</v>
      </c>
      <c r="M6456" s="19">
        <f>IF(OR(ISBLANK(C6456),C6456=""),"",ROUND((C6456-B6456)*24,2))</f>
        <v>5.78</v>
      </c>
      <c r="N6456" s="35" t="str">
        <f>IF(OR(ISBLANK(C6456),C6456="",M6456=""),"In Progress",IF(M6456&lt;=J6456,"Met","Breached"))</f>
        <v>Met</v>
      </c>
    </row>
    <row r="6457" ht="19" customHeight="1" spans="1:14" x14ac:dyDescent="0.25">
      <c r="A6457" s="22" t="s">
        <v>6571</v>
      </c>
      <c r="B6457" s="36">
        <v>45871.49444444444</v>
      </c>
      <c r="C6457" s="36">
        <v>45871.74861111111</v>
      </c>
      <c r="D6457" s="22" t="s">
        <v>36</v>
      </c>
      <c r="E6457" s="22" t="s">
        <v>61</v>
      </c>
      <c r="F6457" s="22" t="s">
        <v>37</v>
      </c>
      <c r="G6457" s="22" t="s">
        <v>113</v>
      </c>
      <c r="H6457" s="22" t="s">
        <v>67</v>
      </c>
      <c r="I6457" s="22" t="s">
        <v>147</v>
      </c>
      <c r="J6457" s="23">
        <v>12</v>
      </c>
      <c r="K6457" s="37">
        <v>0</v>
      </c>
      <c r="L6457" s="37">
        <v>3</v>
      </c>
      <c r="M6457" s="22">
        <f>IF(OR(ISBLANK(C6457),C6457=""),"",ROUND((C6457-B6457)*24,2))</f>
        <v>6.1</v>
      </c>
      <c r="N6457" s="40" t="str">
        <f>IF(OR(ISBLANK(C6457),C6457="",M6457=""),"In Progress",IF(M6457&lt;=J6457,"Met","Breached"))</f>
        <v>Met</v>
      </c>
    </row>
    <row r="6458" ht="19" customHeight="1" spans="1:14" x14ac:dyDescent="0.25">
      <c r="A6458" s="19" t="s">
        <v>6572</v>
      </c>
      <c r="B6458" s="33">
        <v>46134.606944444444</v>
      </c>
      <c r="C6458" s="33">
        <v>46134.84305555555</v>
      </c>
      <c r="D6458" s="19" t="s">
        <v>33</v>
      </c>
      <c r="E6458" s="19" t="s">
        <v>61</v>
      </c>
      <c r="F6458" s="19" t="s">
        <v>40</v>
      </c>
      <c r="G6458" s="19" t="s">
        <v>126</v>
      </c>
      <c r="H6458" s="19" t="s">
        <v>63</v>
      </c>
      <c r="I6458" s="19" t="s">
        <v>123</v>
      </c>
      <c r="J6458" s="20">
        <v>12</v>
      </c>
      <c r="K6458" s="34">
        <v>0</v>
      </c>
      <c r="M6458" s="19">
        <f>IF(OR(ISBLANK(C6458),C6458=""),"",ROUND((C6458-B6458)*24,2))</f>
        <v>5.67</v>
      </c>
      <c r="N6458" s="35" t="str">
        <f>IF(OR(ISBLANK(C6458),C6458="",M6458=""),"In Progress",IF(M6458&lt;=J6458,"Met","Breached"))</f>
        <v>Met</v>
      </c>
    </row>
    <row r="6459" ht="19" customHeight="1" spans="1:14" x14ac:dyDescent="0.25">
      <c r="A6459" s="22" t="s">
        <v>6573</v>
      </c>
      <c r="B6459" s="36">
        <v>45862.7125</v>
      </c>
      <c r="D6459" s="22" t="s">
        <v>39</v>
      </c>
      <c r="E6459" s="22" t="s">
        <v>65</v>
      </c>
      <c r="F6459" s="22" t="s">
        <v>40</v>
      </c>
      <c r="G6459" s="22" t="s">
        <v>121</v>
      </c>
      <c r="H6459" s="22" t="s">
        <v>59</v>
      </c>
      <c r="I6459" s="22" t="s">
        <v>117</v>
      </c>
      <c r="J6459" s="23">
        <v>48</v>
      </c>
      <c r="K6459" s="37">
        <v>0</v>
      </c>
      <c r="M6459" s="22" t="str">
        <f>IF(OR(ISBLANK(C6459),C6459=""),"",ROUND((C6459-B6459)*24,2))</f>
        <v/>
      </c>
      <c r="N6459" s="22" t="str">
        <f>IF(OR(ISBLANK(C6459),C6459="",M6459=""),"In Progress",IF(M6459&lt;=J6459,"Met","Breached"))</f>
        <v>In Progress</v>
      </c>
    </row>
    <row r="6460" ht="19" customHeight="1" spans="1:14" x14ac:dyDescent="0.25">
      <c r="A6460" s="19" t="s">
        <v>6574</v>
      </c>
      <c r="B6460" s="33">
        <v>46255.71875</v>
      </c>
      <c r="C6460" s="33">
        <v>46256.476388888885</v>
      </c>
      <c r="D6460" s="19" t="s">
        <v>33</v>
      </c>
      <c r="E6460" s="19" t="s">
        <v>61</v>
      </c>
      <c r="F6460" s="19" t="s">
        <v>34</v>
      </c>
      <c r="G6460" s="19" t="s">
        <v>121</v>
      </c>
      <c r="H6460" s="19" t="s">
        <v>59</v>
      </c>
      <c r="I6460" s="19" t="s">
        <v>117</v>
      </c>
      <c r="J6460" s="20">
        <v>12</v>
      </c>
      <c r="K6460" s="34">
        <v>0</v>
      </c>
      <c r="L6460" s="34">
        <v>4</v>
      </c>
      <c r="M6460" s="19">
        <f>IF(OR(ISBLANK(C6460),C6460=""),"",ROUND((C6460-B6460)*24,2))</f>
        <v>18.18</v>
      </c>
      <c r="N6460" s="39" t="str">
        <f>IF(OR(ISBLANK(C6460),C6460="",M6460=""),"In Progress",IF(M6460&lt;=J6460,"Met","Breached"))</f>
        <v>Breached</v>
      </c>
    </row>
    <row r="6461" ht="19" customHeight="1" spans="1:14" x14ac:dyDescent="0.25">
      <c r="A6461" s="22" t="s">
        <v>6575</v>
      </c>
      <c r="B6461" s="36">
        <v>46265.27916666667</v>
      </c>
      <c r="C6461" s="36">
        <v>46267.55416666667</v>
      </c>
      <c r="D6461" s="22" t="s">
        <v>33</v>
      </c>
      <c r="E6461" s="22" t="s">
        <v>65</v>
      </c>
      <c r="F6461" s="22" t="s">
        <v>43</v>
      </c>
      <c r="G6461" s="22" t="s">
        <v>126</v>
      </c>
      <c r="H6461" s="22" t="s">
        <v>63</v>
      </c>
      <c r="I6461" s="22" t="s">
        <v>111</v>
      </c>
      <c r="J6461" s="23">
        <v>48</v>
      </c>
      <c r="K6461" s="37">
        <v>0</v>
      </c>
      <c r="L6461" s="37">
        <v>5</v>
      </c>
      <c r="M6461" s="22">
        <f>IF(OR(ISBLANK(C6461),C6461=""),"",ROUND((C6461-B6461)*24,2))</f>
        <v>54.6</v>
      </c>
      <c r="N6461" s="38" t="str">
        <f>IF(OR(ISBLANK(C6461),C6461="",M6461=""),"In Progress",IF(M6461&lt;=J6461,"Met","Breached"))</f>
        <v>Breached</v>
      </c>
    </row>
    <row r="6462" ht="19" customHeight="1" spans="1:14" x14ac:dyDescent="0.25">
      <c r="A6462" s="19" t="s">
        <v>6576</v>
      </c>
      <c r="B6462" s="33">
        <v>46130.40069444444</v>
      </c>
      <c r="D6462" s="19" t="s">
        <v>42</v>
      </c>
      <c r="E6462" s="19" t="s">
        <v>61</v>
      </c>
      <c r="F6462" s="19" t="s">
        <v>40</v>
      </c>
      <c r="G6462" s="19" t="s">
        <v>110</v>
      </c>
      <c r="H6462" s="19" t="s">
        <v>59</v>
      </c>
      <c r="I6462" s="19" t="s">
        <v>147</v>
      </c>
      <c r="J6462" s="20">
        <v>12</v>
      </c>
      <c r="K6462" s="34">
        <v>0</v>
      </c>
      <c r="M6462" s="19" t="str">
        <f>IF(OR(ISBLANK(C6462),C6462=""),"",ROUND((C6462-B6462)*24,2))</f>
        <v/>
      </c>
      <c r="N6462" s="19" t="str">
        <f>IF(OR(ISBLANK(C6462),C6462="",M6462=""),"In Progress",IF(M6462&lt;=J6462,"Met","Breached"))</f>
        <v>In Progress</v>
      </c>
    </row>
    <row r="6463" ht="19" customHeight="1" spans="1:14" x14ac:dyDescent="0.25">
      <c r="A6463" s="22" t="s">
        <v>6577</v>
      </c>
      <c r="B6463" s="36">
        <v>45824.83472222222</v>
      </c>
      <c r="C6463" s="36">
        <v>45828.34097222222</v>
      </c>
      <c r="D6463" s="22" t="s">
        <v>33</v>
      </c>
      <c r="E6463" s="22" t="s">
        <v>65</v>
      </c>
      <c r="F6463" s="22" t="s">
        <v>40</v>
      </c>
      <c r="G6463" s="22" t="s">
        <v>113</v>
      </c>
      <c r="H6463" s="22" t="s">
        <v>59</v>
      </c>
      <c r="I6463" s="22" t="s">
        <v>117</v>
      </c>
      <c r="J6463" s="23">
        <v>48</v>
      </c>
      <c r="K6463" s="37">
        <v>0</v>
      </c>
      <c r="M6463" s="22">
        <f>IF(OR(ISBLANK(C6463),C6463=""),"",ROUND((C6463-B6463)*24,2))</f>
        <v>84.15</v>
      </c>
      <c r="N6463" s="38" t="str">
        <f>IF(OR(ISBLANK(C6463),C6463="",M6463=""),"In Progress",IF(M6463&lt;=J6463,"Met","Breached"))</f>
        <v>Breached</v>
      </c>
    </row>
    <row r="6464" ht="19" customHeight="1" spans="1:14" x14ac:dyDescent="0.25">
      <c r="A6464" s="19" t="s">
        <v>6578</v>
      </c>
      <c r="B6464" s="33">
        <v>45671.3125</v>
      </c>
      <c r="D6464" s="19" t="s">
        <v>39</v>
      </c>
      <c r="E6464" s="19" t="s">
        <v>69</v>
      </c>
      <c r="F6464" s="19" t="s">
        <v>37</v>
      </c>
      <c r="G6464" s="19" t="s">
        <v>113</v>
      </c>
      <c r="H6464" s="19" t="s">
        <v>59</v>
      </c>
      <c r="I6464" s="19" t="s">
        <v>117</v>
      </c>
      <c r="J6464" s="20">
        <v>120</v>
      </c>
      <c r="K6464" s="34">
        <v>0</v>
      </c>
      <c r="M6464" s="19" t="str">
        <f>IF(OR(ISBLANK(C6464),C6464=""),"",ROUND((C6464-B6464)*24,2))</f>
        <v/>
      </c>
      <c r="N6464" s="19" t="str">
        <f>IF(OR(ISBLANK(C6464),C6464="",M6464=""),"In Progress",IF(M6464&lt;=J6464,"Met","Breached"))</f>
        <v>In Progress</v>
      </c>
    </row>
    <row r="6465" ht="19" customHeight="1" spans="1:14" x14ac:dyDescent="0.25">
      <c r="A6465" s="22" t="s">
        <v>6579</v>
      </c>
      <c r="B6465" s="36">
        <v>45928.51458333334</v>
      </c>
      <c r="D6465" s="22" t="s">
        <v>39</v>
      </c>
      <c r="E6465" s="22" t="s">
        <v>69</v>
      </c>
      <c r="F6465" s="22" t="s">
        <v>37</v>
      </c>
      <c r="G6465" s="22" t="s">
        <v>113</v>
      </c>
      <c r="H6465" s="22" t="s">
        <v>59</v>
      </c>
      <c r="I6465" s="22" t="s">
        <v>147</v>
      </c>
      <c r="J6465" s="23">
        <v>120</v>
      </c>
      <c r="K6465" s="37">
        <v>0</v>
      </c>
      <c r="M6465" s="22" t="str">
        <f>IF(OR(ISBLANK(C6465),C6465=""),"",ROUND((C6465-B6465)*24,2))</f>
        <v/>
      </c>
      <c r="N6465" s="22" t="str">
        <f>IF(OR(ISBLANK(C6465),C6465="",M6465=""),"In Progress",IF(M6465&lt;=J6465,"Met","Breached"))</f>
        <v>In Progress</v>
      </c>
    </row>
    <row r="6466" ht="19" customHeight="1" spans="1:14" x14ac:dyDescent="0.25">
      <c r="A6466" s="19" t="s">
        <v>6580</v>
      </c>
      <c r="B6466" s="33">
        <v>45779.78263888889</v>
      </c>
      <c r="C6466" s="33">
        <v>45780.486805555556</v>
      </c>
      <c r="D6466" s="19" t="s">
        <v>33</v>
      </c>
      <c r="E6466" s="19" t="s">
        <v>61</v>
      </c>
      <c r="F6466" s="19" t="s">
        <v>45</v>
      </c>
      <c r="G6466" s="19" t="s">
        <v>110</v>
      </c>
      <c r="H6466" s="19" t="s">
        <v>67</v>
      </c>
      <c r="I6466" s="19" t="s">
        <v>108</v>
      </c>
      <c r="J6466" s="20">
        <v>12</v>
      </c>
      <c r="K6466" s="34">
        <v>0</v>
      </c>
      <c r="L6466" s="34">
        <v>2</v>
      </c>
      <c r="M6466" s="19">
        <f>IF(OR(ISBLANK(C6466),C6466=""),"",ROUND((C6466-B6466)*24,2))</f>
        <v>16.9</v>
      </c>
      <c r="N6466" s="39" t="str">
        <f>IF(OR(ISBLANK(C6466),C6466="",M6466=""),"In Progress",IF(M6466&lt;=J6466,"Met","Breached"))</f>
        <v>Breached</v>
      </c>
    </row>
    <row r="6467" ht="19" customHeight="1" spans="1:14" x14ac:dyDescent="0.25">
      <c r="A6467" s="22" t="s">
        <v>6581</v>
      </c>
      <c r="B6467" s="36">
        <v>45877.46666666667</v>
      </c>
      <c r="C6467" s="36">
        <v>45877.63888888889</v>
      </c>
      <c r="D6467" s="22" t="s">
        <v>33</v>
      </c>
      <c r="E6467" s="22" t="s">
        <v>57</v>
      </c>
      <c r="F6467" s="22" t="s">
        <v>34</v>
      </c>
      <c r="G6467" s="22" t="s">
        <v>110</v>
      </c>
      <c r="H6467" s="22" t="s">
        <v>63</v>
      </c>
      <c r="I6467" s="22" t="s">
        <v>108</v>
      </c>
      <c r="J6467" s="23">
        <v>4</v>
      </c>
      <c r="K6467" s="37">
        <v>0</v>
      </c>
      <c r="L6467" s="37">
        <v>4</v>
      </c>
      <c r="M6467" s="22">
        <f>IF(OR(ISBLANK(C6467),C6467=""),"",ROUND((C6467-B6467)*24,2))</f>
        <v>4.13</v>
      </c>
      <c r="N6467" s="38" t="str">
        <f>IF(OR(ISBLANK(C6467),C6467="",M6467=""),"In Progress",IF(M6467&lt;=J6467,"Met","Breached"))</f>
        <v>Breached</v>
      </c>
    </row>
    <row r="6468" ht="19" customHeight="1" spans="1:14" x14ac:dyDescent="0.25">
      <c r="A6468" s="19" t="s">
        <v>6582</v>
      </c>
      <c r="B6468" s="33">
        <v>45752.91875</v>
      </c>
      <c r="C6468" s="33">
        <v>45756.37986111111</v>
      </c>
      <c r="D6468" s="19" t="s">
        <v>33</v>
      </c>
      <c r="E6468" s="19" t="s">
        <v>65</v>
      </c>
      <c r="F6468" s="19" t="s">
        <v>40</v>
      </c>
      <c r="G6468" s="19" t="s">
        <v>113</v>
      </c>
      <c r="H6468" s="19" t="s">
        <v>59</v>
      </c>
      <c r="I6468" s="19" t="s">
        <v>117</v>
      </c>
      <c r="J6468" s="20">
        <v>48</v>
      </c>
      <c r="K6468" s="34">
        <v>0</v>
      </c>
      <c r="M6468" s="19">
        <f>IF(OR(ISBLANK(C6468),C6468=""),"",ROUND((C6468-B6468)*24,2))</f>
        <v>83.07</v>
      </c>
      <c r="N6468" s="39" t="str">
        <f>IF(OR(ISBLANK(C6468),C6468="",M6468=""),"In Progress",IF(M6468&lt;=J6468,"Met","Breached"))</f>
        <v>Breached</v>
      </c>
    </row>
    <row r="6469" ht="19" customHeight="1" spans="1:14" x14ac:dyDescent="0.25">
      <c r="A6469" s="22" t="s">
        <v>6583</v>
      </c>
      <c r="B6469" s="36">
        <v>46212.768055555556</v>
      </c>
      <c r="C6469" s="36">
        <v>46212.884722222225</v>
      </c>
      <c r="D6469" s="22" t="s">
        <v>33</v>
      </c>
      <c r="E6469" s="22" t="s">
        <v>57</v>
      </c>
      <c r="F6469" s="22" t="s">
        <v>43</v>
      </c>
      <c r="G6469" s="22" t="s">
        <v>121</v>
      </c>
      <c r="H6469" s="22" t="s">
        <v>71</v>
      </c>
      <c r="I6469" s="22" t="s">
        <v>114</v>
      </c>
      <c r="J6469" s="23">
        <v>4</v>
      </c>
      <c r="K6469" s="37">
        <v>0</v>
      </c>
      <c r="L6469" s="37">
        <v>1</v>
      </c>
      <c r="M6469" s="22">
        <f>IF(OR(ISBLANK(C6469),C6469=""),"",ROUND((C6469-B6469)*24,2))</f>
        <v>2.8</v>
      </c>
      <c r="N6469" s="40" t="str">
        <f>IF(OR(ISBLANK(C6469),C6469="",M6469=""),"In Progress",IF(M6469&lt;=J6469,"Met","Breached"))</f>
        <v>Met</v>
      </c>
    </row>
    <row r="6470" ht="19" customHeight="1" spans="1:14" x14ac:dyDescent="0.25">
      <c r="A6470" s="19" t="s">
        <v>6584</v>
      </c>
      <c r="B6470" s="33">
        <v>45866.493055555555</v>
      </c>
      <c r="C6470" s="33">
        <v>45867.01388888889</v>
      </c>
      <c r="D6470" s="19" t="s">
        <v>33</v>
      </c>
      <c r="E6470" s="19" t="s">
        <v>61</v>
      </c>
      <c r="F6470" s="19" t="s">
        <v>34</v>
      </c>
      <c r="G6470" s="19" t="s">
        <v>126</v>
      </c>
      <c r="H6470" s="19" t="s">
        <v>59</v>
      </c>
      <c r="I6470" s="19" t="s">
        <v>147</v>
      </c>
      <c r="J6470" s="20">
        <v>12</v>
      </c>
      <c r="K6470" s="34">
        <v>0</v>
      </c>
      <c r="L6470" s="34">
        <v>3</v>
      </c>
      <c r="M6470" s="19">
        <f>IF(OR(ISBLANK(C6470),C6470=""),"",ROUND((C6470-B6470)*24,2))</f>
        <v>12.5</v>
      </c>
      <c r="N6470" s="39" t="str">
        <f>IF(OR(ISBLANK(C6470),C6470="",M6470=""),"In Progress",IF(M6470&lt;=J6470,"Met","Breached"))</f>
        <v>Breached</v>
      </c>
    </row>
    <row r="6471" ht="19" customHeight="1" spans="1:14" x14ac:dyDescent="0.25">
      <c r="A6471" s="22" t="s">
        <v>6585</v>
      </c>
      <c r="B6471" s="36">
        <v>45955.26458333334</v>
      </c>
      <c r="C6471" s="36">
        <v>45956.94097222222</v>
      </c>
      <c r="D6471" s="22" t="s">
        <v>36</v>
      </c>
      <c r="E6471" s="22" t="s">
        <v>65</v>
      </c>
      <c r="F6471" s="22" t="s">
        <v>45</v>
      </c>
      <c r="G6471" s="22" t="s">
        <v>121</v>
      </c>
      <c r="H6471" s="22" t="s">
        <v>59</v>
      </c>
      <c r="I6471" s="22" t="s">
        <v>123</v>
      </c>
      <c r="J6471" s="23">
        <v>48</v>
      </c>
      <c r="K6471" s="37">
        <v>0</v>
      </c>
      <c r="L6471" s="37">
        <v>4</v>
      </c>
      <c r="M6471" s="22">
        <f>IF(OR(ISBLANK(C6471),C6471=""),"",ROUND((C6471-B6471)*24,2))</f>
        <v>40.23</v>
      </c>
      <c r="N6471" s="40" t="str">
        <f>IF(OR(ISBLANK(C6471),C6471="",M6471=""),"In Progress",IF(M6471&lt;=J6471,"Met","Breached"))</f>
        <v>Met</v>
      </c>
    </row>
    <row r="6472" ht="19" customHeight="1" spans="1:14" x14ac:dyDescent="0.25">
      <c r="A6472" s="19" t="s">
        <v>6586</v>
      </c>
      <c r="B6472" s="33">
        <v>46060.34652777778</v>
      </c>
      <c r="D6472" s="19" t="s">
        <v>39</v>
      </c>
      <c r="E6472" s="19" t="s">
        <v>61</v>
      </c>
      <c r="F6472" s="19" t="s">
        <v>37</v>
      </c>
      <c r="G6472" s="19" t="s">
        <v>116</v>
      </c>
      <c r="H6472" s="19" t="s">
        <v>59</v>
      </c>
      <c r="I6472" s="19" t="s">
        <v>114</v>
      </c>
      <c r="J6472" s="20">
        <v>12</v>
      </c>
      <c r="K6472" s="34">
        <v>0</v>
      </c>
      <c r="M6472" s="19" t="str">
        <f>IF(OR(ISBLANK(C6472),C6472=""),"",ROUND((C6472-B6472)*24,2))</f>
        <v/>
      </c>
      <c r="N6472" s="19" t="str">
        <f>IF(OR(ISBLANK(C6472),C6472="",M6472=""),"In Progress",IF(M6472&lt;=J6472,"Met","Breached"))</f>
        <v>In Progress</v>
      </c>
    </row>
    <row r="6473" ht="19" customHeight="1" spans="1:14" x14ac:dyDescent="0.25">
      <c r="A6473" s="22" t="s">
        <v>6587</v>
      </c>
      <c r="B6473" s="36">
        <v>45765.92152777778</v>
      </c>
      <c r="C6473" s="36">
        <v>45767.14513888889</v>
      </c>
      <c r="D6473" s="22" t="s">
        <v>33</v>
      </c>
      <c r="E6473" s="22" t="s">
        <v>65</v>
      </c>
      <c r="F6473" s="22" t="s">
        <v>34</v>
      </c>
      <c r="G6473" s="22" t="s">
        <v>110</v>
      </c>
      <c r="H6473" s="22" t="s">
        <v>67</v>
      </c>
      <c r="I6473" s="22" t="s">
        <v>123</v>
      </c>
      <c r="J6473" s="23">
        <v>48</v>
      </c>
      <c r="K6473" s="37">
        <v>0</v>
      </c>
      <c r="L6473" s="37">
        <v>4</v>
      </c>
      <c r="M6473" s="22">
        <f>IF(OR(ISBLANK(C6473),C6473=""),"",ROUND((C6473-B6473)*24,2))</f>
        <v>29.37</v>
      </c>
      <c r="N6473" s="40" t="str">
        <f>IF(OR(ISBLANK(C6473),C6473="",M6473=""),"In Progress",IF(M6473&lt;=J6473,"Met","Breached"))</f>
        <v>Met</v>
      </c>
    </row>
    <row r="6474" ht="19" customHeight="1" spans="1:14" x14ac:dyDescent="0.25">
      <c r="A6474" s="19" t="s">
        <v>6588</v>
      </c>
      <c r="B6474" s="33">
        <v>46132.64791666667</v>
      </c>
      <c r="C6474" s="33">
        <v>46135.777083333334</v>
      </c>
      <c r="D6474" s="19" t="s">
        <v>33</v>
      </c>
      <c r="E6474" s="19" t="s">
        <v>69</v>
      </c>
      <c r="F6474" s="19" t="s">
        <v>45</v>
      </c>
      <c r="G6474" s="19" t="s">
        <v>126</v>
      </c>
      <c r="H6474" s="19" t="s">
        <v>59</v>
      </c>
      <c r="I6474" s="19" t="s">
        <v>108</v>
      </c>
      <c r="J6474" s="20">
        <v>120</v>
      </c>
      <c r="K6474" s="34">
        <v>0</v>
      </c>
      <c r="L6474" s="34">
        <v>2</v>
      </c>
      <c r="M6474" s="19">
        <f>IF(OR(ISBLANK(C6474),C6474=""),"",ROUND((C6474-B6474)*24,2))</f>
        <v>75.1</v>
      </c>
      <c r="N6474" s="35" t="str">
        <f>IF(OR(ISBLANK(C6474),C6474="",M6474=""),"In Progress",IF(M6474&lt;=J6474,"Met","Breached"))</f>
        <v>Met</v>
      </c>
    </row>
    <row r="6475" ht="19" customHeight="1" spans="1:14" x14ac:dyDescent="0.25">
      <c r="A6475" s="22" t="s">
        <v>6589</v>
      </c>
      <c r="B6475" s="36">
        <v>45814.89166666666</v>
      </c>
      <c r="C6475" s="36">
        <v>45816.22152777778</v>
      </c>
      <c r="D6475" s="22" t="s">
        <v>36</v>
      </c>
      <c r="E6475" s="22" t="s">
        <v>65</v>
      </c>
      <c r="F6475" s="22" t="s">
        <v>37</v>
      </c>
      <c r="G6475" s="22" t="s">
        <v>121</v>
      </c>
      <c r="H6475" s="22" t="s">
        <v>59</v>
      </c>
      <c r="I6475" s="22" t="s">
        <v>108</v>
      </c>
      <c r="J6475" s="23">
        <v>48</v>
      </c>
      <c r="K6475" s="37">
        <v>0</v>
      </c>
      <c r="L6475" s="37">
        <v>5</v>
      </c>
      <c r="M6475" s="22">
        <f>IF(OR(ISBLANK(C6475),C6475=""),"",ROUND((C6475-B6475)*24,2))</f>
        <v>31.92</v>
      </c>
      <c r="N6475" s="40" t="str">
        <f>IF(OR(ISBLANK(C6475),C6475="",M6475=""),"In Progress",IF(M6475&lt;=J6475,"Met","Breached"))</f>
        <v>Met</v>
      </c>
    </row>
    <row r="6476" ht="19" customHeight="1" spans="1:14" x14ac:dyDescent="0.25">
      <c r="A6476" s="19" t="s">
        <v>6590</v>
      </c>
      <c r="B6476" s="33">
        <v>46041.665972222225</v>
      </c>
      <c r="C6476" s="33">
        <v>46044.447222222225</v>
      </c>
      <c r="D6476" s="19" t="s">
        <v>36</v>
      </c>
      <c r="E6476" s="19" t="s">
        <v>65</v>
      </c>
      <c r="F6476" s="19" t="s">
        <v>37</v>
      </c>
      <c r="G6476" s="19" t="s">
        <v>116</v>
      </c>
      <c r="H6476" s="19" t="s">
        <v>71</v>
      </c>
      <c r="I6476" s="19" t="s">
        <v>123</v>
      </c>
      <c r="J6476" s="20">
        <v>48</v>
      </c>
      <c r="K6476" s="34">
        <v>0</v>
      </c>
      <c r="L6476" s="34">
        <v>4</v>
      </c>
      <c r="M6476" s="19">
        <f>IF(OR(ISBLANK(C6476),C6476=""),"",ROUND((C6476-B6476)*24,2))</f>
        <v>66.75</v>
      </c>
      <c r="N6476" s="39" t="str">
        <f>IF(OR(ISBLANK(C6476),C6476="",M6476=""),"In Progress",IF(M6476&lt;=J6476,"Met","Breached"))</f>
        <v>Breached</v>
      </c>
    </row>
    <row r="6477" ht="19" customHeight="1" spans="1:14" x14ac:dyDescent="0.25">
      <c r="A6477" s="22" t="s">
        <v>6591</v>
      </c>
      <c r="B6477" s="36">
        <v>45665.660416666666</v>
      </c>
      <c r="C6477" s="36">
        <v>45667.4875</v>
      </c>
      <c r="D6477" s="22" t="s">
        <v>36</v>
      </c>
      <c r="E6477" s="22" t="s">
        <v>65</v>
      </c>
      <c r="F6477" s="22" t="s">
        <v>34</v>
      </c>
      <c r="G6477" s="22" t="s">
        <v>126</v>
      </c>
      <c r="H6477" s="22" t="s">
        <v>59</v>
      </c>
      <c r="I6477" s="22" t="s">
        <v>114</v>
      </c>
      <c r="J6477" s="23">
        <v>48</v>
      </c>
      <c r="K6477" s="37">
        <v>0</v>
      </c>
      <c r="M6477" s="22">
        <f>IF(OR(ISBLANK(C6477),C6477=""),"",ROUND((C6477-B6477)*24,2))</f>
        <v>43.85</v>
      </c>
      <c r="N6477" s="40" t="str">
        <f>IF(OR(ISBLANK(C6477),C6477="",M6477=""),"In Progress",IF(M6477&lt;=J6477,"Met","Breached"))</f>
        <v>Met</v>
      </c>
    </row>
    <row r="6478" ht="19" customHeight="1" spans="1:14" x14ac:dyDescent="0.25">
      <c r="A6478" s="19" t="s">
        <v>6592</v>
      </c>
      <c r="B6478" s="33">
        <v>45673.53611111111</v>
      </c>
      <c r="D6478" s="19" t="s">
        <v>42</v>
      </c>
      <c r="E6478" s="19" t="s">
        <v>61</v>
      </c>
      <c r="F6478" s="19" t="s">
        <v>43</v>
      </c>
      <c r="G6478" s="19" t="s">
        <v>113</v>
      </c>
      <c r="H6478" s="19" t="s">
        <v>71</v>
      </c>
      <c r="I6478" s="19" t="s">
        <v>117</v>
      </c>
      <c r="J6478" s="20">
        <v>12</v>
      </c>
      <c r="K6478" s="34">
        <v>0</v>
      </c>
      <c r="M6478" s="19" t="str">
        <f>IF(OR(ISBLANK(C6478),C6478=""),"",ROUND((C6478-B6478)*24,2))</f>
        <v/>
      </c>
      <c r="N6478" s="19" t="str">
        <f>IF(OR(ISBLANK(C6478),C6478="",M6478=""),"In Progress",IF(M6478&lt;=J6478,"Met","Breached"))</f>
        <v>In Progress</v>
      </c>
    </row>
    <row r="6479" ht="19" customHeight="1" spans="1:14" x14ac:dyDescent="0.25">
      <c r="A6479" s="22" t="s">
        <v>6593</v>
      </c>
      <c r="B6479" s="36">
        <v>45929.68472222222</v>
      </c>
      <c r="C6479" s="36">
        <v>45938.20763888889</v>
      </c>
      <c r="D6479" s="22" t="s">
        <v>36</v>
      </c>
      <c r="E6479" s="22" t="s">
        <v>69</v>
      </c>
      <c r="F6479" s="22" t="s">
        <v>40</v>
      </c>
      <c r="G6479" s="22" t="s">
        <v>63</v>
      </c>
      <c r="H6479" s="22" t="s">
        <v>59</v>
      </c>
      <c r="I6479" s="22" t="s">
        <v>117</v>
      </c>
      <c r="J6479" s="23">
        <v>120</v>
      </c>
      <c r="K6479" s="37">
        <v>0</v>
      </c>
      <c r="L6479" s="37">
        <v>2</v>
      </c>
      <c r="M6479" s="22">
        <f>IF(OR(ISBLANK(C6479),C6479=""),"",ROUND((C6479-B6479)*24,2))</f>
        <v>204.55</v>
      </c>
      <c r="N6479" s="38" t="str">
        <f>IF(OR(ISBLANK(C6479),C6479="",M6479=""),"In Progress",IF(M6479&lt;=J6479,"Met","Breached"))</f>
        <v>Breached</v>
      </c>
    </row>
    <row r="6480" ht="19" customHeight="1" spans="1:14" x14ac:dyDescent="0.25">
      <c r="A6480" s="19" t="s">
        <v>6594</v>
      </c>
      <c r="B6480" s="33">
        <v>45952.81388888889</v>
      </c>
      <c r="D6480" s="19" t="s">
        <v>39</v>
      </c>
      <c r="E6480" s="19" t="s">
        <v>65</v>
      </c>
      <c r="F6480" s="19" t="s">
        <v>37</v>
      </c>
      <c r="G6480" s="19" t="s">
        <v>126</v>
      </c>
      <c r="H6480" s="19" t="s">
        <v>59</v>
      </c>
      <c r="I6480" s="19" t="s">
        <v>108</v>
      </c>
      <c r="J6480" s="20">
        <v>48</v>
      </c>
      <c r="K6480" s="34">
        <v>0</v>
      </c>
      <c r="M6480" s="19" t="str">
        <f>IF(OR(ISBLANK(C6480),C6480=""),"",ROUND((C6480-B6480)*24,2))</f>
        <v/>
      </c>
      <c r="N6480" s="19" t="str">
        <f>IF(OR(ISBLANK(C6480),C6480="",M6480=""),"In Progress",IF(M6480&lt;=J6480,"Met","Breached"))</f>
        <v>In Progress</v>
      </c>
    </row>
    <row r="6481" ht="19" customHeight="1" spans="1:14" x14ac:dyDescent="0.25">
      <c r="A6481" s="22" t="s">
        <v>6595</v>
      </c>
      <c r="B6481" s="36">
        <v>46047.257638888885</v>
      </c>
      <c r="C6481" s="36">
        <v>46049.40555555555</v>
      </c>
      <c r="D6481" s="22" t="s">
        <v>36</v>
      </c>
      <c r="E6481" s="22" t="s">
        <v>65</v>
      </c>
      <c r="F6481" s="22" t="s">
        <v>45</v>
      </c>
      <c r="G6481" s="22" t="s">
        <v>116</v>
      </c>
      <c r="H6481" s="22" t="s">
        <v>59</v>
      </c>
      <c r="I6481" s="22" t="s">
        <v>123</v>
      </c>
      <c r="J6481" s="23">
        <v>48</v>
      </c>
      <c r="K6481" s="37">
        <v>0</v>
      </c>
      <c r="L6481" s="37">
        <v>3</v>
      </c>
      <c r="M6481" s="22">
        <f>IF(OR(ISBLANK(C6481),C6481=""),"",ROUND((C6481-B6481)*24,2))</f>
        <v>51.55</v>
      </c>
      <c r="N6481" s="38" t="str">
        <f>IF(OR(ISBLANK(C6481),C6481="",M6481=""),"In Progress",IF(M6481&lt;=J6481,"Met","Breached"))</f>
        <v>Breached</v>
      </c>
    </row>
    <row r="6482" ht="19" customHeight="1" spans="1:14" x14ac:dyDescent="0.25">
      <c r="A6482" s="19" t="s">
        <v>6596</v>
      </c>
      <c r="B6482" s="33">
        <v>46051.28333333333</v>
      </c>
      <c r="D6482" s="19" t="s">
        <v>42</v>
      </c>
      <c r="E6482" s="19" t="s">
        <v>65</v>
      </c>
      <c r="F6482" s="19" t="s">
        <v>40</v>
      </c>
      <c r="G6482" s="19" t="s">
        <v>113</v>
      </c>
      <c r="H6482" s="19" t="s">
        <v>59</v>
      </c>
      <c r="I6482" s="19" t="s">
        <v>111</v>
      </c>
      <c r="J6482" s="20">
        <v>48</v>
      </c>
      <c r="K6482" s="34">
        <v>0</v>
      </c>
      <c r="M6482" s="19" t="str">
        <f>IF(OR(ISBLANK(C6482),C6482=""),"",ROUND((C6482-B6482)*24,2))</f>
        <v/>
      </c>
      <c r="N6482" s="19" t="str">
        <f>IF(OR(ISBLANK(C6482),C6482="",M6482=""),"In Progress",IF(M6482&lt;=J6482,"Met","Breached"))</f>
        <v>In Progress</v>
      </c>
    </row>
    <row r="6483" ht="19" customHeight="1" spans="1:14" x14ac:dyDescent="0.25">
      <c r="A6483" s="22" t="s">
        <v>6597</v>
      </c>
      <c r="B6483" s="36">
        <v>45920.81111111111</v>
      </c>
      <c r="C6483" s="36">
        <v>45921.42708333333</v>
      </c>
      <c r="D6483" s="22" t="s">
        <v>33</v>
      </c>
      <c r="E6483" s="22" t="s">
        <v>61</v>
      </c>
      <c r="F6483" s="22" t="s">
        <v>40</v>
      </c>
      <c r="G6483" s="22" t="s">
        <v>121</v>
      </c>
      <c r="H6483" s="22" t="s">
        <v>59</v>
      </c>
      <c r="I6483" s="22" t="s">
        <v>147</v>
      </c>
      <c r="J6483" s="23">
        <v>12</v>
      </c>
      <c r="K6483" s="37">
        <v>0</v>
      </c>
      <c r="L6483" s="37">
        <v>4</v>
      </c>
      <c r="M6483" s="22">
        <f>IF(OR(ISBLANK(C6483),C6483=""),"",ROUND((C6483-B6483)*24,2))</f>
        <v>14.78</v>
      </c>
      <c r="N6483" s="38" t="str">
        <f>IF(OR(ISBLANK(C6483),C6483="",M6483=""),"In Progress",IF(M6483&lt;=J6483,"Met","Breached"))</f>
        <v>Breached</v>
      </c>
    </row>
    <row r="6484" ht="19" customHeight="1" spans="1:14" x14ac:dyDescent="0.25">
      <c r="A6484" s="19" t="s">
        <v>6598</v>
      </c>
      <c r="B6484" s="33">
        <v>45906.575</v>
      </c>
      <c r="C6484" s="33">
        <v>45906.73472222222</v>
      </c>
      <c r="D6484" s="19" t="s">
        <v>36</v>
      </c>
      <c r="E6484" s="19" t="s">
        <v>57</v>
      </c>
      <c r="F6484" s="19" t="s">
        <v>43</v>
      </c>
      <c r="G6484" s="19" t="s">
        <v>116</v>
      </c>
      <c r="H6484" s="19" t="s">
        <v>63</v>
      </c>
      <c r="I6484" s="19" t="s">
        <v>147</v>
      </c>
      <c r="J6484" s="20">
        <v>4</v>
      </c>
      <c r="K6484" s="34">
        <v>0</v>
      </c>
      <c r="L6484" s="34">
        <v>4</v>
      </c>
      <c r="M6484" s="19">
        <f>IF(OR(ISBLANK(C6484),C6484=""),"",ROUND((C6484-B6484)*24,2))</f>
        <v>3.83</v>
      </c>
      <c r="N6484" s="35" t="str">
        <f>IF(OR(ISBLANK(C6484),C6484="",M6484=""),"In Progress",IF(M6484&lt;=J6484,"Met","Breached"))</f>
        <v>Met</v>
      </c>
    </row>
    <row r="6485" ht="19" customHeight="1" spans="1:14" x14ac:dyDescent="0.25">
      <c r="A6485" s="22" t="s">
        <v>6599</v>
      </c>
      <c r="B6485" s="36">
        <v>45818.396527777775</v>
      </c>
      <c r="C6485" s="36">
        <v>45820.006944444445</v>
      </c>
      <c r="D6485" s="22" t="s">
        <v>36</v>
      </c>
      <c r="E6485" s="22" t="s">
        <v>65</v>
      </c>
      <c r="F6485" s="22" t="s">
        <v>43</v>
      </c>
      <c r="G6485" s="22" t="s">
        <v>63</v>
      </c>
      <c r="H6485" s="22" t="s">
        <v>59</v>
      </c>
      <c r="I6485" s="22" t="s">
        <v>147</v>
      </c>
      <c r="J6485" s="23">
        <v>48</v>
      </c>
      <c r="K6485" s="37">
        <v>0</v>
      </c>
      <c r="L6485" s="37">
        <v>1</v>
      </c>
      <c r="M6485" s="22">
        <f>IF(OR(ISBLANK(C6485),C6485=""),"",ROUND((C6485-B6485)*24,2))</f>
        <v>38.65</v>
      </c>
      <c r="N6485" s="40" t="str">
        <f>IF(OR(ISBLANK(C6485),C6485="",M6485=""),"In Progress",IF(M6485&lt;=J6485,"Met","Breached"))</f>
        <v>Met</v>
      </c>
    </row>
    <row r="6486" ht="19" customHeight="1" spans="1:14" x14ac:dyDescent="0.25">
      <c r="A6486" s="19" t="s">
        <v>6600</v>
      </c>
      <c r="B6486" s="33">
        <v>46089.46805555555</v>
      </c>
      <c r="C6486" s="33">
        <v>46091.7375</v>
      </c>
      <c r="D6486" s="19" t="s">
        <v>33</v>
      </c>
      <c r="E6486" s="19" t="s">
        <v>69</v>
      </c>
      <c r="F6486" s="19" t="s">
        <v>40</v>
      </c>
      <c r="G6486" s="19" t="s">
        <v>110</v>
      </c>
      <c r="H6486" s="19" t="s">
        <v>59</v>
      </c>
      <c r="I6486" s="19" t="s">
        <v>147</v>
      </c>
      <c r="J6486" s="20">
        <v>120</v>
      </c>
      <c r="K6486" s="34">
        <v>0</v>
      </c>
      <c r="L6486" s="34">
        <v>5</v>
      </c>
      <c r="M6486" s="19">
        <f>IF(OR(ISBLANK(C6486),C6486=""),"",ROUND((C6486-B6486)*24,2))</f>
        <v>54.47</v>
      </c>
      <c r="N6486" s="35" t="str">
        <f>IF(OR(ISBLANK(C6486),C6486="",M6486=""),"In Progress",IF(M6486&lt;=J6486,"Met","Breached"))</f>
        <v>Met</v>
      </c>
    </row>
    <row r="6487" ht="19" customHeight="1" spans="1:14" x14ac:dyDescent="0.25">
      <c r="A6487" s="22" t="s">
        <v>6601</v>
      </c>
      <c r="B6487" s="36">
        <v>46111.63611111111</v>
      </c>
      <c r="C6487" s="36">
        <v>46114.33472222222</v>
      </c>
      <c r="D6487" s="22" t="s">
        <v>33</v>
      </c>
      <c r="E6487" s="22" t="s">
        <v>65</v>
      </c>
      <c r="F6487" s="22" t="s">
        <v>43</v>
      </c>
      <c r="G6487" s="22" t="s">
        <v>126</v>
      </c>
      <c r="H6487" s="22" t="s">
        <v>63</v>
      </c>
      <c r="I6487" s="22" t="s">
        <v>108</v>
      </c>
      <c r="J6487" s="23">
        <v>48</v>
      </c>
      <c r="K6487" s="37">
        <v>0</v>
      </c>
      <c r="L6487" s="37">
        <v>5</v>
      </c>
      <c r="M6487" s="22">
        <f>IF(OR(ISBLANK(C6487),C6487=""),"",ROUND((C6487-B6487)*24,2))</f>
        <v>64.77</v>
      </c>
      <c r="N6487" s="38" t="str">
        <f>IF(OR(ISBLANK(C6487),C6487="",M6487=""),"In Progress",IF(M6487&lt;=J6487,"Met","Breached"))</f>
        <v>Breached</v>
      </c>
    </row>
    <row r="6488" ht="19" customHeight="1" spans="1:14" x14ac:dyDescent="0.25">
      <c r="A6488" s="19" t="s">
        <v>6602</v>
      </c>
      <c r="B6488" s="33">
        <v>46084.14513888889</v>
      </c>
      <c r="C6488" s="33">
        <v>46084.26458333334</v>
      </c>
      <c r="D6488" s="19" t="s">
        <v>33</v>
      </c>
      <c r="E6488" s="19" t="s">
        <v>57</v>
      </c>
      <c r="F6488" s="19" t="s">
        <v>37</v>
      </c>
      <c r="G6488" s="19" t="s">
        <v>126</v>
      </c>
      <c r="H6488" s="19" t="s">
        <v>63</v>
      </c>
      <c r="I6488" s="19" t="s">
        <v>123</v>
      </c>
      <c r="J6488" s="20">
        <v>4</v>
      </c>
      <c r="K6488" s="34">
        <v>0</v>
      </c>
      <c r="L6488" s="34">
        <v>3</v>
      </c>
      <c r="M6488" s="19">
        <f>IF(OR(ISBLANK(C6488),C6488=""),"",ROUND((C6488-B6488)*24,2))</f>
        <v>2.87</v>
      </c>
      <c r="N6488" s="35" t="str">
        <f>IF(OR(ISBLANK(C6488),C6488="",M6488=""),"In Progress",IF(M6488&lt;=J6488,"Met","Breached"))</f>
        <v>Met</v>
      </c>
    </row>
    <row r="6489" ht="19" customHeight="1" spans="1:14" x14ac:dyDescent="0.25">
      <c r="A6489" s="22" t="s">
        <v>6603</v>
      </c>
      <c r="B6489" s="36">
        <v>46087.18819444445</v>
      </c>
      <c r="C6489" s="36">
        <v>46089.66805555555</v>
      </c>
      <c r="D6489" s="22" t="s">
        <v>36</v>
      </c>
      <c r="E6489" s="22" t="s">
        <v>65</v>
      </c>
      <c r="F6489" s="22" t="s">
        <v>40</v>
      </c>
      <c r="G6489" s="22" t="s">
        <v>126</v>
      </c>
      <c r="H6489" s="22" t="s">
        <v>63</v>
      </c>
      <c r="I6489" s="22" t="s">
        <v>117</v>
      </c>
      <c r="J6489" s="23">
        <v>48</v>
      </c>
      <c r="K6489" s="37">
        <v>1</v>
      </c>
      <c r="L6489" s="37">
        <v>3</v>
      </c>
      <c r="M6489" s="22">
        <f>IF(OR(ISBLANK(C6489),C6489=""),"",ROUND((C6489-B6489)*24,2))</f>
        <v>59.52</v>
      </c>
      <c r="N6489" s="38" t="str">
        <f>IF(OR(ISBLANK(C6489),C6489="",M6489=""),"In Progress",IF(M6489&lt;=J6489,"Met","Breached"))</f>
        <v>Breached</v>
      </c>
    </row>
    <row r="6490" ht="19" customHeight="1" spans="1:14" x14ac:dyDescent="0.25">
      <c r="A6490" s="19" t="s">
        <v>6604</v>
      </c>
      <c r="B6490" s="33">
        <v>45703.82430555555</v>
      </c>
      <c r="D6490" s="19" t="s">
        <v>39</v>
      </c>
      <c r="E6490" s="19" t="s">
        <v>57</v>
      </c>
      <c r="F6490" s="19" t="s">
        <v>34</v>
      </c>
      <c r="G6490" s="19" t="s">
        <v>110</v>
      </c>
      <c r="H6490" s="19" t="s">
        <v>59</v>
      </c>
      <c r="I6490" s="19" t="s">
        <v>111</v>
      </c>
      <c r="J6490" s="20">
        <v>4</v>
      </c>
      <c r="K6490" s="34">
        <v>0</v>
      </c>
      <c r="M6490" s="19" t="str">
        <f>IF(OR(ISBLANK(C6490),C6490=""),"",ROUND((C6490-B6490)*24,2))</f>
        <v/>
      </c>
      <c r="N6490" s="19" t="str">
        <f>IF(OR(ISBLANK(C6490),C6490="",M6490=""),"In Progress",IF(M6490&lt;=J6490,"Met","Breached"))</f>
        <v>In Progress</v>
      </c>
    </row>
    <row r="6491" ht="19" customHeight="1" spans="1:14" x14ac:dyDescent="0.25">
      <c r="A6491" s="22" t="s">
        <v>6605</v>
      </c>
      <c r="B6491" s="36">
        <v>45792.42361111111</v>
      </c>
      <c r="C6491" s="36">
        <v>45792.55138888889</v>
      </c>
      <c r="D6491" s="22" t="s">
        <v>33</v>
      </c>
      <c r="E6491" s="22" t="s">
        <v>57</v>
      </c>
      <c r="F6491" s="22" t="s">
        <v>34</v>
      </c>
      <c r="G6491" s="22" t="s">
        <v>113</v>
      </c>
      <c r="H6491" s="22" t="s">
        <v>59</v>
      </c>
      <c r="I6491" s="22" t="s">
        <v>111</v>
      </c>
      <c r="J6491" s="23">
        <v>4</v>
      </c>
      <c r="K6491" s="37">
        <v>1</v>
      </c>
      <c r="L6491" s="37">
        <v>1</v>
      </c>
      <c r="M6491" s="22">
        <f>IF(OR(ISBLANK(C6491),C6491=""),"",ROUND((C6491-B6491)*24,2))</f>
        <v>3.07</v>
      </c>
      <c r="N6491" s="40" t="str">
        <f>IF(OR(ISBLANK(C6491),C6491="",M6491=""),"In Progress",IF(M6491&lt;=J6491,"Met","Breached"))</f>
        <v>Met</v>
      </c>
    </row>
    <row r="6492" ht="19" customHeight="1" spans="1:14" x14ac:dyDescent="0.25">
      <c r="A6492" s="19" t="s">
        <v>6606</v>
      </c>
      <c r="B6492" s="33">
        <v>46236.32291666667</v>
      </c>
      <c r="C6492" s="33">
        <v>46236.67291666666</v>
      </c>
      <c r="D6492" s="19" t="s">
        <v>33</v>
      </c>
      <c r="E6492" s="19" t="s">
        <v>61</v>
      </c>
      <c r="F6492" s="19" t="s">
        <v>40</v>
      </c>
      <c r="G6492" s="19" t="s">
        <v>113</v>
      </c>
      <c r="H6492" s="19" t="s">
        <v>59</v>
      </c>
      <c r="I6492" s="19" t="s">
        <v>123</v>
      </c>
      <c r="J6492" s="20">
        <v>12</v>
      </c>
      <c r="K6492" s="34">
        <v>0</v>
      </c>
      <c r="L6492" s="34">
        <v>5</v>
      </c>
      <c r="M6492" s="19">
        <f>IF(OR(ISBLANK(C6492),C6492=""),"",ROUND((C6492-B6492)*24,2))</f>
        <v>8.4</v>
      </c>
      <c r="N6492" s="35" t="str">
        <f>IF(OR(ISBLANK(C6492),C6492="",M6492=""),"In Progress",IF(M6492&lt;=J6492,"Met","Breached"))</f>
        <v>Met</v>
      </c>
    </row>
    <row r="6493" ht="19" customHeight="1" spans="1:14" x14ac:dyDescent="0.25">
      <c r="A6493" s="22" t="s">
        <v>6607</v>
      </c>
      <c r="B6493" s="36">
        <v>46092.34513888889</v>
      </c>
      <c r="D6493" s="22" t="s">
        <v>39</v>
      </c>
      <c r="E6493" s="22" t="s">
        <v>57</v>
      </c>
      <c r="F6493" s="22" t="s">
        <v>34</v>
      </c>
      <c r="G6493" s="22" t="s">
        <v>63</v>
      </c>
      <c r="H6493" s="22" t="s">
        <v>59</v>
      </c>
      <c r="I6493" s="22" t="s">
        <v>111</v>
      </c>
      <c r="J6493" s="23">
        <v>4</v>
      </c>
      <c r="K6493" s="37">
        <v>0</v>
      </c>
      <c r="M6493" s="22" t="str">
        <f>IF(OR(ISBLANK(C6493),C6493=""),"",ROUND((C6493-B6493)*24,2))</f>
        <v/>
      </c>
      <c r="N6493" s="22" t="str">
        <f>IF(OR(ISBLANK(C6493),C6493="",M6493=""),"In Progress",IF(M6493&lt;=J6493,"Met","Breached"))</f>
        <v>In Progress</v>
      </c>
    </row>
    <row r="6494" ht="19" customHeight="1" spans="1:14" x14ac:dyDescent="0.25">
      <c r="A6494" s="19" t="s">
        <v>6608</v>
      </c>
      <c r="B6494" s="33">
        <v>46112.94375</v>
      </c>
      <c r="C6494" s="33">
        <v>46113.41666666667</v>
      </c>
      <c r="D6494" s="19" t="s">
        <v>36</v>
      </c>
      <c r="E6494" s="19" t="s">
        <v>61</v>
      </c>
      <c r="F6494" s="19" t="s">
        <v>43</v>
      </c>
      <c r="G6494" s="19" t="s">
        <v>113</v>
      </c>
      <c r="H6494" s="19" t="s">
        <v>67</v>
      </c>
      <c r="I6494" s="19" t="s">
        <v>123</v>
      </c>
      <c r="J6494" s="20">
        <v>12</v>
      </c>
      <c r="K6494" s="34">
        <v>1</v>
      </c>
      <c r="M6494" s="19">
        <f>IF(OR(ISBLANK(C6494),C6494=""),"",ROUND((C6494-B6494)*24,2))</f>
        <v>11.35</v>
      </c>
      <c r="N6494" s="35" t="str">
        <f>IF(OR(ISBLANK(C6494),C6494="",M6494=""),"In Progress",IF(M6494&lt;=J6494,"Met","Breached"))</f>
        <v>Met</v>
      </c>
    </row>
    <row r="6495" ht="19" customHeight="1" spans="1:14" x14ac:dyDescent="0.25">
      <c r="A6495" s="22" t="s">
        <v>6609</v>
      </c>
      <c r="B6495" s="36">
        <v>45934.70763888889</v>
      </c>
      <c r="D6495" s="22" t="s">
        <v>42</v>
      </c>
      <c r="E6495" s="22" t="s">
        <v>65</v>
      </c>
      <c r="F6495" s="22" t="s">
        <v>43</v>
      </c>
      <c r="G6495" s="22" t="s">
        <v>126</v>
      </c>
      <c r="H6495" s="22" t="s">
        <v>59</v>
      </c>
      <c r="I6495" s="22" t="s">
        <v>111</v>
      </c>
      <c r="J6495" s="23">
        <v>48</v>
      </c>
      <c r="K6495" s="37">
        <v>0</v>
      </c>
      <c r="M6495" s="22" t="str">
        <f>IF(OR(ISBLANK(C6495),C6495=""),"",ROUND((C6495-B6495)*24,2))</f>
        <v/>
      </c>
      <c r="N6495" s="22" t="str">
        <f>IF(OR(ISBLANK(C6495),C6495="",M6495=""),"In Progress",IF(M6495&lt;=J6495,"Met","Breached"))</f>
        <v>In Progress</v>
      </c>
    </row>
    <row r="6496" ht="19" customHeight="1" spans="1:14" x14ac:dyDescent="0.25">
      <c r="A6496" s="19" t="s">
        <v>6610</v>
      </c>
      <c r="B6496" s="33">
        <v>45728.04513888889</v>
      </c>
      <c r="D6496" s="19" t="s">
        <v>39</v>
      </c>
      <c r="E6496" s="19" t="s">
        <v>69</v>
      </c>
      <c r="F6496" s="19" t="s">
        <v>34</v>
      </c>
      <c r="G6496" s="19" t="s">
        <v>110</v>
      </c>
      <c r="H6496" s="19" t="s">
        <v>71</v>
      </c>
      <c r="I6496" s="19" t="s">
        <v>108</v>
      </c>
      <c r="J6496" s="20">
        <v>120</v>
      </c>
      <c r="K6496" s="34">
        <v>0</v>
      </c>
      <c r="M6496" s="19" t="str">
        <f>IF(OR(ISBLANK(C6496),C6496=""),"",ROUND((C6496-B6496)*24,2))</f>
        <v/>
      </c>
      <c r="N6496" s="19" t="str">
        <f>IF(OR(ISBLANK(C6496),C6496="",M6496=""),"In Progress",IF(M6496&lt;=J6496,"Met","Breached"))</f>
        <v>In Progress</v>
      </c>
    </row>
    <row r="6497" ht="19" customHeight="1" spans="1:14" x14ac:dyDescent="0.25">
      <c r="A6497" s="22" t="s">
        <v>6611</v>
      </c>
      <c r="B6497" s="36">
        <v>46051.85833333334</v>
      </c>
      <c r="C6497" s="36">
        <v>46052.148611111115</v>
      </c>
      <c r="D6497" s="22" t="s">
        <v>33</v>
      </c>
      <c r="E6497" s="22" t="s">
        <v>61</v>
      </c>
      <c r="F6497" s="22" t="s">
        <v>40</v>
      </c>
      <c r="G6497" s="22" t="s">
        <v>63</v>
      </c>
      <c r="H6497" s="22" t="s">
        <v>63</v>
      </c>
      <c r="I6497" s="22" t="s">
        <v>114</v>
      </c>
      <c r="J6497" s="23">
        <v>12</v>
      </c>
      <c r="K6497" s="37">
        <v>0</v>
      </c>
      <c r="L6497" s="37">
        <v>2</v>
      </c>
      <c r="M6497" s="22">
        <f>IF(OR(ISBLANK(C6497),C6497=""),"",ROUND((C6497-B6497)*24,2))</f>
        <v>6.97</v>
      </c>
      <c r="N6497" s="40" t="str">
        <f>IF(OR(ISBLANK(C6497),C6497="",M6497=""),"In Progress",IF(M6497&lt;=J6497,"Met","Breached"))</f>
        <v>Met</v>
      </c>
    </row>
    <row r="6498" ht="19" customHeight="1" spans="1:14" x14ac:dyDescent="0.25">
      <c r="A6498" s="19" t="s">
        <v>6612</v>
      </c>
      <c r="B6498" s="33">
        <v>46115.070138888885</v>
      </c>
      <c r="C6498" s="33">
        <v>46121.78055555555</v>
      </c>
      <c r="D6498" s="19" t="s">
        <v>33</v>
      </c>
      <c r="E6498" s="19" t="s">
        <v>69</v>
      </c>
      <c r="F6498" s="19" t="s">
        <v>34</v>
      </c>
      <c r="G6498" s="19" t="s">
        <v>110</v>
      </c>
      <c r="H6498" s="19" t="s">
        <v>63</v>
      </c>
      <c r="I6498" s="19" t="s">
        <v>114</v>
      </c>
      <c r="J6498" s="20">
        <v>120</v>
      </c>
      <c r="K6498" s="34">
        <v>0</v>
      </c>
      <c r="L6498" s="34">
        <v>4</v>
      </c>
      <c r="M6498" s="19">
        <f>IF(OR(ISBLANK(C6498),C6498=""),"",ROUND((C6498-B6498)*24,2))</f>
        <v>161.05</v>
      </c>
      <c r="N6498" s="39" t="str">
        <f>IF(OR(ISBLANK(C6498),C6498="",M6498=""),"In Progress",IF(M6498&lt;=J6498,"Met","Breached"))</f>
        <v>Breached</v>
      </c>
    </row>
    <row r="6499" ht="19" customHeight="1" spans="1:14" x14ac:dyDescent="0.25">
      <c r="A6499" s="22" t="s">
        <v>6613</v>
      </c>
      <c r="B6499" s="36">
        <v>45929.52638888889</v>
      </c>
      <c r="C6499" s="36">
        <v>45932.24375</v>
      </c>
      <c r="D6499" s="22" t="s">
        <v>33</v>
      </c>
      <c r="E6499" s="22" t="s">
        <v>69</v>
      </c>
      <c r="F6499" s="22" t="s">
        <v>34</v>
      </c>
      <c r="G6499" s="22" t="s">
        <v>121</v>
      </c>
      <c r="H6499" s="22" t="s">
        <v>67</v>
      </c>
      <c r="I6499" s="22" t="s">
        <v>111</v>
      </c>
      <c r="J6499" s="23">
        <v>120</v>
      </c>
      <c r="K6499" s="37">
        <v>0</v>
      </c>
      <c r="L6499" s="37">
        <v>1</v>
      </c>
      <c r="M6499" s="22">
        <f>IF(OR(ISBLANK(C6499),C6499=""),"",ROUND((C6499-B6499)*24,2))</f>
        <v>65.22</v>
      </c>
      <c r="N6499" s="40" t="str">
        <f>IF(OR(ISBLANK(C6499),C6499="",M6499=""),"In Progress",IF(M6499&lt;=J6499,"Met","Breached"))</f>
        <v>Met</v>
      </c>
    </row>
    <row r="6500" ht="19" customHeight="1" spans="1:14" x14ac:dyDescent="0.25">
      <c r="A6500" s="19" t="s">
        <v>6614</v>
      </c>
      <c r="B6500" s="33">
        <v>46158.22916666667</v>
      </c>
      <c r="C6500" s="33">
        <v>46160.538194444445</v>
      </c>
      <c r="D6500" s="19" t="s">
        <v>33</v>
      </c>
      <c r="E6500" s="19" t="s">
        <v>65</v>
      </c>
      <c r="F6500" s="19" t="s">
        <v>43</v>
      </c>
      <c r="G6500" s="19" t="s">
        <v>116</v>
      </c>
      <c r="H6500" s="19" t="s">
        <v>59</v>
      </c>
      <c r="I6500" s="19" t="s">
        <v>114</v>
      </c>
      <c r="J6500" s="20">
        <v>48</v>
      </c>
      <c r="K6500" s="34">
        <v>0</v>
      </c>
      <c r="M6500" s="19">
        <f>IF(OR(ISBLANK(C6500),C6500=""),"",ROUND((C6500-B6500)*24,2))</f>
        <v>55.42</v>
      </c>
      <c r="N6500" s="39" t="str">
        <f>IF(OR(ISBLANK(C6500),C6500="",M6500=""),"In Progress",IF(M6500&lt;=J6500,"Met","Breached"))</f>
        <v>Breached</v>
      </c>
    </row>
    <row r="6501" ht="19" customHeight="1" spans="1:14" x14ac:dyDescent="0.25">
      <c r="A6501" s="22" t="s">
        <v>6615</v>
      </c>
      <c r="B6501" s="36">
        <v>45863.175</v>
      </c>
      <c r="C6501" s="36">
        <v>45864.66180555556</v>
      </c>
      <c r="D6501" s="22" t="s">
        <v>33</v>
      </c>
      <c r="E6501" s="22" t="s">
        <v>65</v>
      </c>
      <c r="F6501" s="22" t="s">
        <v>43</v>
      </c>
      <c r="G6501" s="22" t="s">
        <v>63</v>
      </c>
      <c r="H6501" s="22" t="s">
        <v>71</v>
      </c>
      <c r="I6501" s="22" t="s">
        <v>108</v>
      </c>
      <c r="J6501" s="23">
        <v>48</v>
      </c>
      <c r="K6501" s="37">
        <v>1</v>
      </c>
      <c r="L6501" s="37">
        <v>5</v>
      </c>
      <c r="M6501" s="22">
        <f>IF(OR(ISBLANK(C6501),C6501=""),"",ROUND((C6501-B6501)*24,2))</f>
        <v>35.68</v>
      </c>
      <c r="N6501" s="40" t="str">
        <f>IF(OR(ISBLANK(C6501),C6501="",M6501=""),"In Progress",IF(M6501&lt;=J6501,"Met","Breached"))</f>
        <v>Met</v>
      </c>
    </row>
    <row r="6502" ht="19" customHeight="1" spans="1:14" x14ac:dyDescent="0.25">
      <c r="A6502" s="19" t="s">
        <v>6616</v>
      </c>
      <c r="B6502" s="33">
        <v>46200.20416666666</v>
      </c>
      <c r="C6502" s="33">
        <v>46202.10833333334</v>
      </c>
      <c r="D6502" s="19" t="s">
        <v>33</v>
      </c>
      <c r="E6502" s="19" t="s">
        <v>65</v>
      </c>
      <c r="F6502" s="19" t="s">
        <v>34</v>
      </c>
      <c r="G6502" s="19" t="s">
        <v>113</v>
      </c>
      <c r="H6502" s="19" t="s">
        <v>63</v>
      </c>
      <c r="I6502" s="19" t="s">
        <v>123</v>
      </c>
      <c r="J6502" s="20">
        <v>48</v>
      </c>
      <c r="K6502" s="34">
        <v>0</v>
      </c>
      <c r="L6502" s="34">
        <v>1</v>
      </c>
      <c r="M6502" s="19">
        <f>IF(OR(ISBLANK(C6502),C6502=""),"",ROUND((C6502-B6502)*24,2))</f>
        <v>45.7</v>
      </c>
      <c r="N6502" s="35" t="str">
        <f>IF(OR(ISBLANK(C6502),C6502="",M6502=""),"In Progress",IF(M6502&lt;=J6502,"Met","Breached"))</f>
        <v>Met</v>
      </c>
    </row>
    <row r="6503" ht="19" customHeight="1" spans="1:14" x14ac:dyDescent="0.25">
      <c r="A6503" s="22" t="s">
        <v>6617</v>
      </c>
      <c r="B6503" s="36">
        <v>45789.663194444445</v>
      </c>
      <c r="C6503" s="36">
        <v>45789.924305555556</v>
      </c>
      <c r="D6503" s="22" t="s">
        <v>33</v>
      </c>
      <c r="E6503" s="22" t="s">
        <v>61</v>
      </c>
      <c r="F6503" s="22" t="s">
        <v>40</v>
      </c>
      <c r="G6503" s="22" t="s">
        <v>63</v>
      </c>
      <c r="H6503" s="22" t="s">
        <v>71</v>
      </c>
      <c r="I6503" s="22" t="s">
        <v>123</v>
      </c>
      <c r="J6503" s="23">
        <v>12</v>
      </c>
      <c r="K6503" s="37">
        <v>0</v>
      </c>
      <c r="L6503" s="37">
        <v>5</v>
      </c>
      <c r="M6503" s="22">
        <f>IF(OR(ISBLANK(C6503),C6503=""),"",ROUND((C6503-B6503)*24,2))</f>
        <v>6.27</v>
      </c>
      <c r="N6503" s="40" t="str">
        <f>IF(OR(ISBLANK(C6503),C6503="",M6503=""),"In Progress",IF(M6503&lt;=J6503,"Met","Breached"))</f>
        <v>Met</v>
      </c>
    </row>
    <row r="6504" ht="19" customHeight="1" spans="1:14" x14ac:dyDescent="0.25">
      <c r="A6504" s="19" t="s">
        <v>6618</v>
      </c>
      <c r="B6504" s="33">
        <v>46282.04513888889</v>
      </c>
      <c r="C6504" s="33">
        <v>46283.10486111111</v>
      </c>
      <c r="D6504" s="19" t="s">
        <v>36</v>
      </c>
      <c r="E6504" s="19" t="s">
        <v>65</v>
      </c>
      <c r="F6504" s="19" t="s">
        <v>43</v>
      </c>
      <c r="G6504" s="19" t="s">
        <v>116</v>
      </c>
      <c r="H6504" s="19" t="s">
        <v>63</v>
      </c>
      <c r="I6504" s="19" t="s">
        <v>111</v>
      </c>
      <c r="J6504" s="20">
        <v>48</v>
      </c>
      <c r="K6504" s="34">
        <v>0</v>
      </c>
      <c r="L6504" s="34">
        <v>2</v>
      </c>
      <c r="M6504" s="19">
        <f>IF(OR(ISBLANK(C6504),C6504=""),"",ROUND((C6504-B6504)*24,2))</f>
        <v>25.43</v>
      </c>
      <c r="N6504" s="35" t="str">
        <f>IF(OR(ISBLANK(C6504),C6504="",M6504=""),"In Progress",IF(M6504&lt;=J6504,"Met","Breached"))</f>
        <v>Met</v>
      </c>
    </row>
    <row r="6505" ht="19" customHeight="1" spans="1:14" x14ac:dyDescent="0.25">
      <c r="A6505" s="22" t="s">
        <v>6619</v>
      </c>
      <c r="B6505" s="36">
        <v>45924.131944444445</v>
      </c>
      <c r="C6505" s="36">
        <v>45926.955555555556</v>
      </c>
      <c r="D6505" s="22" t="s">
        <v>36</v>
      </c>
      <c r="E6505" s="22" t="s">
        <v>65</v>
      </c>
      <c r="F6505" s="22" t="s">
        <v>40</v>
      </c>
      <c r="G6505" s="22" t="s">
        <v>63</v>
      </c>
      <c r="H6505" s="22" t="s">
        <v>59</v>
      </c>
      <c r="I6505" s="22" t="s">
        <v>114</v>
      </c>
      <c r="J6505" s="23">
        <v>48</v>
      </c>
      <c r="K6505" s="37">
        <v>0</v>
      </c>
      <c r="L6505" s="37">
        <v>2</v>
      </c>
      <c r="M6505" s="22">
        <f>IF(OR(ISBLANK(C6505),C6505=""),"",ROUND((C6505-B6505)*24,2))</f>
        <v>67.77</v>
      </c>
      <c r="N6505" s="38" t="str">
        <f>IF(OR(ISBLANK(C6505),C6505="",M6505=""),"In Progress",IF(M6505&lt;=J6505,"Met","Breached"))</f>
        <v>Breached</v>
      </c>
    </row>
    <row r="6506" ht="19" customHeight="1" spans="1:14" x14ac:dyDescent="0.25">
      <c r="A6506" s="19" t="s">
        <v>6620</v>
      </c>
      <c r="B6506" s="33">
        <v>45755.74930555555</v>
      </c>
      <c r="D6506" s="19" t="s">
        <v>39</v>
      </c>
      <c r="E6506" s="19" t="s">
        <v>61</v>
      </c>
      <c r="F6506" s="19" t="s">
        <v>45</v>
      </c>
      <c r="G6506" s="19" t="s">
        <v>121</v>
      </c>
      <c r="H6506" s="19" t="s">
        <v>63</v>
      </c>
      <c r="I6506" s="19" t="s">
        <v>147</v>
      </c>
      <c r="J6506" s="20">
        <v>12</v>
      </c>
      <c r="K6506" s="34">
        <v>0</v>
      </c>
      <c r="M6506" s="19" t="str">
        <f>IF(OR(ISBLANK(C6506),C6506=""),"",ROUND((C6506-B6506)*24,2))</f>
        <v/>
      </c>
      <c r="N6506" s="19" t="str">
        <f>IF(OR(ISBLANK(C6506),C6506="",M6506=""),"In Progress",IF(M6506&lt;=J6506,"Met","Breached"))</f>
        <v>In Progress</v>
      </c>
    </row>
    <row r="6507" ht="19" customHeight="1" spans="1:14" x14ac:dyDescent="0.25">
      <c r="A6507" s="22" t="s">
        <v>6621</v>
      </c>
      <c r="B6507" s="36">
        <v>46116.34027777778</v>
      </c>
      <c r="D6507" s="22" t="s">
        <v>39</v>
      </c>
      <c r="E6507" s="22" t="s">
        <v>65</v>
      </c>
      <c r="F6507" s="22" t="s">
        <v>37</v>
      </c>
      <c r="G6507" s="22" t="s">
        <v>121</v>
      </c>
      <c r="H6507" s="22" t="s">
        <v>59</v>
      </c>
      <c r="I6507" s="22" t="s">
        <v>117</v>
      </c>
      <c r="J6507" s="23">
        <v>48</v>
      </c>
      <c r="K6507" s="37">
        <v>0</v>
      </c>
      <c r="M6507" s="22" t="str">
        <f>IF(OR(ISBLANK(C6507),C6507=""),"",ROUND((C6507-B6507)*24,2))</f>
        <v/>
      </c>
      <c r="N6507" s="22" t="str">
        <f>IF(OR(ISBLANK(C6507),C6507="",M6507=""),"In Progress",IF(M6507&lt;=J6507,"Met","Breached"))</f>
        <v>In Progress</v>
      </c>
    </row>
    <row r="6508" ht="19" customHeight="1" spans="1:14" x14ac:dyDescent="0.25">
      <c r="A6508" s="19" t="s">
        <v>6622</v>
      </c>
      <c r="B6508" s="33">
        <v>45894.084027777775</v>
      </c>
      <c r="D6508" s="19" t="s">
        <v>39</v>
      </c>
      <c r="E6508" s="19" t="s">
        <v>65</v>
      </c>
      <c r="F6508" s="19" t="s">
        <v>37</v>
      </c>
      <c r="G6508" s="19" t="s">
        <v>126</v>
      </c>
      <c r="H6508" s="19" t="s">
        <v>59</v>
      </c>
      <c r="I6508" s="19" t="s">
        <v>108</v>
      </c>
      <c r="J6508" s="20">
        <v>48</v>
      </c>
      <c r="K6508" s="34">
        <v>0</v>
      </c>
      <c r="M6508" s="19" t="str">
        <f>IF(OR(ISBLANK(C6508),C6508=""),"",ROUND((C6508-B6508)*24,2))</f>
        <v/>
      </c>
      <c r="N6508" s="19" t="str">
        <f>IF(OR(ISBLANK(C6508),C6508="",M6508=""),"In Progress",IF(M6508&lt;=J6508,"Met","Breached"))</f>
        <v>In Progress</v>
      </c>
    </row>
    <row r="6509" ht="19" customHeight="1" spans="1:14" x14ac:dyDescent="0.25">
      <c r="A6509" s="22" t="s">
        <v>6623</v>
      </c>
      <c r="B6509" s="36">
        <v>45978.0375</v>
      </c>
      <c r="C6509" s="36">
        <v>45978.45208333334</v>
      </c>
      <c r="D6509" s="22" t="s">
        <v>33</v>
      </c>
      <c r="E6509" s="22" t="s">
        <v>61</v>
      </c>
      <c r="F6509" s="22" t="s">
        <v>45</v>
      </c>
      <c r="G6509" s="22" t="s">
        <v>116</v>
      </c>
      <c r="H6509" s="22" t="s">
        <v>63</v>
      </c>
      <c r="I6509" s="22" t="s">
        <v>123</v>
      </c>
      <c r="J6509" s="23">
        <v>12</v>
      </c>
      <c r="K6509" s="37">
        <v>0</v>
      </c>
      <c r="L6509" s="37">
        <v>5</v>
      </c>
      <c r="M6509" s="22">
        <f>IF(OR(ISBLANK(C6509),C6509=""),"",ROUND((C6509-B6509)*24,2))</f>
        <v>9.95</v>
      </c>
      <c r="N6509" s="40" t="str">
        <f>IF(OR(ISBLANK(C6509),C6509="",M6509=""),"In Progress",IF(M6509&lt;=J6509,"Met","Breached"))</f>
        <v>Met</v>
      </c>
    </row>
    <row r="6510" ht="19" customHeight="1" spans="1:14" x14ac:dyDescent="0.25">
      <c r="A6510" s="19" t="s">
        <v>6624</v>
      </c>
      <c r="B6510" s="33">
        <v>45692.06597222222</v>
      </c>
      <c r="C6510" s="33">
        <v>45692.31597222222</v>
      </c>
      <c r="D6510" s="19" t="s">
        <v>33</v>
      </c>
      <c r="E6510" s="19" t="s">
        <v>57</v>
      </c>
      <c r="F6510" s="19" t="s">
        <v>45</v>
      </c>
      <c r="G6510" s="19" t="s">
        <v>116</v>
      </c>
      <c r="H6510" s="19" t="s">
        <v>59</v>
      </c>
      <c r="I6510" s="19" t="s">
        <v>147</v>
      </c>
      <c r="J6510" s="20">
        <v>4</v>
      </c>
      <c r="K6510" s="34">
        <v>0</v>
      </c>
      <c r="L6510" s="34">
        <v>3</v>
      </c>
      <c r="M6510" s="19">
        <f>IF(OR(ISBLANK(C6510),C6510=""),"",ROUND((C6510-B6510)*24,2))</f>
        <v>6</v>
      </c>
      <c r="N6510" s="39" t="str">
        <f>IF(OR(ISBLANK(C6510),C6510="",M6510=""),"In Progress",IF(M6510&lt;=J6510,"Met","Breached"))</f>
        <v>Breached</v>
      </c>
    </row>
    <row r="6511" ht="19" customHeight="1" spans="1:14" x14ac:dyDescent="0.25">
      <c r="A6511" s="22" t="s">
        <v>6625</v>
      </c>
      <c r="B6511" s="36">
        <v>45815.25</v>
      </c>
      <c r="C6511" s="36">
        <v>45821.38541666667</v>
      </c>
      <c r="D6511" s="22" t="s">
        <v>36</v>
      </c>
      <c r="E6511" s="22" t="s">
        <v>69</v>
      </c>
      <c r="F6511" s="22" t="s">
        <v>43</v>
      </c>
      <c r="G6511" s="22" t="s">
        <v>110</v>
      </c>
      <c r="H6511" s="22" t="s">
        <v>59</v>
      </c>
      <c r="I6511" s="22" t="s">
        <v>117</v>
      </c>
      <c r="J6511" s="23">
        <v>120</v>
      </c>
      <c r="K6511" s="37">
        <v>0</v>
      </c>
      <c r="L6511" s="37">
        <v>3</v>
      </c>
      <c r="M6511" s="22">
        <f>IF(OR(ISBLANK(C6511),C6511=""),"",ROUND((C6511-B6511)*24,2))</f>
        <v>147.25</v>
      </c>
      <c r="N6511" s="38" t="str">
        <f>IF(OR(ISBLANK(C6511),C6511="",M6511=""),"In Progress",IF(M6511&lt;=J6511,"Met","Breached"))</f>
        <v>Breached</v>
      </c>
    </row>
    <row r="6512" ht="19" customHeight="1" spans="1:14" x14ac:dyDescent="0.25">
      <c r="A6512" s="19" t="s">
        <v>6626</v>
      </c>
      <c r="B6512" s="33">
        <v>45789.04027777778</v>
      </c>
      <c r="C6512" s="33">
        <v>45792.17569444445</v>
      </c>
      <c r="D6512" s="19" t="s">
        <v>33</v>
      </c>
      <c r="E6512" s="19" t="s">
        <v>69</v>
      </c>
      <c r="F6512" s="19" t="s">
        <v>45</v>
      </c>
      <c r="G6512" s="19" t="s">
        <v>63</v>
      </c>
      <c r="H6512" s="19" t="s">
        <v>63</v>
      </c>
      <c r="I6512" s="19" t="s">
        <v>117</v>
      </c>
      <c r="J6512" s="20">
        <v>120</v>
      </c>
      <c r="K6512" s="34">
        <v>1</v>
      </c>
      <c r="L6512" s="34">
        <v>3</v>
      </c>
      <c r="M6512" s="19">
        <f>IF(OR(ISBLANK(C6512),C6512=""),"",ROUND((C6512-B6512)*24,2))</f>
        <v>75.25</v>
      </c>
      <c r="N6512" s="35" t="str">
        <f>IF(OR(ISBLANK(C6512),C6512="",M6512=""),"In Progress",IF(M6512&lt;=J6512,"Met","Breached"))</f>
        <v>Met</v>
      </c>
    </row>
    <row r="6513" ht="19" customHeight="1" spans="1:14" x14ac:dyDescent="0.25">
      <c r="A6513" s="22" t="s">
        <v>6627</v>
      </c>
      <c r="B6513" s="36">
        <v>46155.31875</v>
      </c>
      <c r="C6513" s="36">
        <v>46155.54166666667</v>
      </c>
      <c r="D6513" s="22" t="s">
        <v>36</v>
      </c>
      <c r="E6513" s="22" t="s">
        <v>61</v>
      </c>
      <c r="F6513" s="22" t="s">
        <v>40</v>
      </c>
      <c r="G6513" s="22" t="s">
        <v>121</v>
      </c>
      <c r="H6513" s="22" t="s">
        <v>71</v>
      </c>
      <c r="I6513" s="22" t="s">
        <v>114</v>
      </c>
      <c r="J6513" s="23">
        <v>12</v>
      </c>
      <c r="K6513" s="37">
        <v>0</v>
      </c>
      <c r="L6513" s="37">
        <v>4</v>
      </c>
      <c r="M6513" s="22">
        <f>IF(OR(ISBLANK(C6513),C6513=""),"",ROUND((C6513-B6513)*24,2))</f>
        <v>5.35</v>
      </c>
      <c r="N6513" s="40" t="str">
        <f>IF(OR(ISBLANK(C6513),C6513="",M6513=""),"In Progress",IF(M6513&lt;=J6513,"Met","Breached"))</f>
        <v>Met</v>
      </c>
    </row>
    <row r="6514" ht="19" customHeight="1" spans="1:14" x14ac:dyDescent="0.25">
      <c r="A6514" s="19" t="s">
        <v>6628</v>
      </c>
      <c r="B6514" s="33">
        <v>45866.570138888885</v>
      </c>
      <c r="C6514" s="33">
        <v>45869.61875</v>
      </c>
      <c r="D6514" s="19" t="s">
        <v>33</v>
      </c>
      <c r="E6514" s="19" t="s">
        <v>69</v>
      </c>
      <c r="F6514" s="19" t="s">
        <v>43</v>
      </c>
      <c r="G6514" s="19" t="s">
        <v>126</v>
      </c>
      <c r="H6514" s="19" t="s">
        <v>63</v>
      </c>
      <c r="I6514" s="19" t="s">
        <v>117</v>
      </c>
      <c r="J6514" s="20">
        <v>120</v>
      </c>
      <c r="K6514" s="34">
        <v>0</v>
      </c>
      <c r="L6514" s="34">
        <v>3</v>
      </c>
      <c r="M6514" s="19">
        <f>IF(OR(ISBLANK(C6514),C6514=""),"",ROUND((C6514-B6514)*24,2))</f>
        <v>73.17</v>
      </c>
      <c r="N6514" s="35" t="str">
        <f>IF(OR(ISBLANK(C6514),C6514="",M6514=""),"In Progress",IF(M6514&lt;=J6514,"Met","Breached"))</f>
        <v>Met</v>
      </c>
    </row>
    <row r="6515" ht="19" customHeight="1" spans="1:14" x14ac:dyDescent="0.25">
      <c r="A6515" s="22" t="s">
        <v>6629</v>
      </c>
      <c r="B6515" s="36">
        <v>46073.978472222225</v>
      </c>
      <c r="D6515" s="22" t="s">
        <v>42</v>
      </c>
      <c r="E6515" s="22" t="s">
        <v>65</v>
      </c>
      <c r="F6515" s="22" t="s">
        <v>45</v>
      </c>
      <c r="G6515" s="22" t="s">
        <v>126</v>
      </c>
      <c r="H6515" s="22" t="s">
        <v>59</v>
      </c>
      <c r="I6515" s="22" t="s">
        <v>111</v>
      </c>
      <c r="J6515" s="23">
        <v>48</v>
      </c>
      <c r="K6515" s="37">
        <v>0</v>
      </c>
      <c r="M6515" s="22" t="str">
        <f>IF(OR(ISBLANK(C6515),C6515=""),"",ROUND((C6515-B6515)*24,2))</f>
        <v/>
      </c>
      <c r="N6515" s="22" t="str">
        <f>IF(OR(ISBLANK(C6515),C6515="",M6515=""),"In Progress",IF(M6515&lt;=J6515,"Met","Breached"))</f>
        <v>In Progress</v>
      </c>
    </row>
    <row r="6516" ht="19" customHeight="1" spans="1:14" x14ac:dyDescent="0.25">
      <c r="A6516" s="19" t="s">
        <v>6630</v>
      </c>
      <c r="B6516" s="33">
        <v>45947.757638888885</v>
      </c>
      <c r="C6516" s="33">
        <v>45948.566666666666</v>
      </c>
      <c r="D6516" s="19" t="s">
        <v>33</v>
      </c>
      <c r="E6516" s="19" t="s">
        <v>61</v>
      </c>
      <c r="F6516" s="19" t="s">
        <v>43</v>
      </c>
      <c r="G6516" s="19" t="s">
        <v>121</v>
      </c>
      <c r="H6516" s="19" t="s">
        <v>59</v>
      </c>
      <c r="I6516" s="19" t="s">
        <v>123</v>
      </c>
      <c r="J6516" s="20">
        <v>12</v>
      </c>
      <c r="K6516" s="34">
        <v>0</v>
      </c>
      <c r="L6516" s="34">
        <v>2</v>
      </c>
      <c r="M6516" s="19">
        <f>IF(OR(ISBLANK(C6516),C6516=""),"",ROUND((C6516-B6516)*24,2))</f>
        <v>19.42</v>
      </c>
      <c r="N6516" s="39" t="str">
        <f>IF(OR(ISBLANK(C6516),C6516="",M6516=""),"In Progress",IF(M6516&lt;=J6516,"Met","Breached"))</f>
        <v>Breached</v>
      </c>
    </row>
    <row r="6517" ht="19" customHeight="1" spans="1:14" x14ac:dyDescent="0.25">
      <c r="A6517" s="22" t="s">
        <v>6631</v>
      </c>
      <c r="B6517" s="36">
        <v>46142.35833333334</v>
      </c>
      <c r="C6517" s="36">
        <v>46142.50347222222</v>
      </c>
      <c r="D6517" s="22" t="s">
        <v>33</v>
      </c>
      <c r="E6517" s="22" t="s">
        <v>57</v>
      </c>
      <c r="F6517" s="22" t="s">
        <v>37</v>
      </c>
      <c r="G6517" s="22" t="s">
        <v>63</v>
      </c>
      <c r="H6517" s="22" t="s">
        <v>67</v>
      </c>
      <c r="I6517" s="22" t="s">
        <v>147</v>
      </c>
      <c r="J6517" s="23">
        <v>4</v>
      </c>
      <c r="K6517" s="37">
        <v>0</v>
      </c>
      <c r="M6517" s="22">
        <f>IF(OR(ISBLANK(C6517),C6517=""),"",ROUND((C6517-B6517)*24,2))</f>
        <v>3.48</v>
      </c>
      <c r="N6517" s="40" t="str">
        <f>IF(OR(ISBLANK(C6517),C6517="",M6517=""),"In Progress",IF(M6517&lt;=J6517,"Met","Breached"))</f>
        <v>Met</v>
      </c>
    </row>
    <row r="6518" ht="19" customHeight="1" spans="1:14" x14ac:dyDescent="0.25">
      <c r="A6518" s="19" t="s">
        <v>6632</v>
      </c>
      <c r="B6518" s="33">
        <v>46231.69375</v>
      </c>
      <c r="C6518" s="33">
        <v>46232.48611111111</v>
      </c>
      <c r="D6518" s="19" t="s">
        <v>33</v>
      </c>
      <c r="E6518" s="19" t="s">
        <v>65</v>
      </c>
      <c r="F6518" s="19" t="s">
        <v>43</v>
      </c>
      <c r="G6518" s="19" t="s">
        <v>110</v>
      </c>
      <c r="H6518" s="19" t="s">
        <v>63</v>
      </c>
      <c r="I6518" s="19" t="s">
        <v>123</v>
      </c>
      <c r="J6518" s="20">
        <v>48</v>
      </c>
      <c r="K6518" s="34">
        <v>0</v>
      </c>
      <c r="L6518" s="34">
        <v>2</v>
      </c>
      <c r="M6518" s="19">
        <f>IF(OR(ISBLANK(C6518),C6518=""),"",ROUND((C6518-B6518)*24,2))</f>
        <v>19.02</v>
      </c>
      <c r="N6518" s="35" t="str">
        <f>IF(OR(ISBLANK(C6518),C6518="",M6518=""),"In Progress",IF(M6518&lt;=J6518,"Met","Breached"))</f>
        <v>Met</v>
      </c>
    </row>
    <row r="6519" ht="19" customHeight="1" spans="1:14" x14ac:dyDescent="0.25">
      <c r="A6519" s="22" t="s">
        <v>6633</v>
      </c>
      <c r="B6519" s="36">
        <v>45698.11458333333</v>
      </c>
      <c r="C6519" s="36">
        <v>45702.14375</v>
      </c>
      <c r="D6519" s="22" t="s">
        <v>36</v>
      </c>
      <c r="E6519" s="22" t="s">
        <v>69</v>
      </c>
      <c r="F6519" s="22" t="s">
        <v>37</v>
      </c>
      <c r="G6519" s="22" t="s">
        <v>63</v>
      </c>
      <c r="H6519" s="22" t="s">
        <v>59</v>
      </c>
      <c r="I6519" s="22" t="s">
        <v>123</v>
      </c>
      <c r="J6519" s="23">
        <v>120</v>
      </c>
      <c r="K6519" s="37">
        <v>0</v>
      </c>
      <c r="L6519" s="37">
        <v>2</v>
      </c>
      <c r="M6519" s="22">
        <f>IF(OR(ISBLANK(C6519),C6519=""),"",ROUND((C6519-B6519)*24,2))</f>
        <v>96.7</v>
      </c>
      <c r="N6519" s="40" t="str">
        <f>IF(OR(ISBLANK(C6519),C6519="",M6519=""),"In Progress",IF(M6519&lt;=J6519,"Met","Breached"))</f>
        <v>Met</v>
      </c>
    </row>
    <row r="6520" ht="19" customHeight="1" spans="1:14" x14ac:dyDescent="0.25">
      <c r="A6520" s="19" t="s">
        <v>6634</v>
      </c>
      <c r="B6520" s="33">
        <v>45728.117361111115</v>
      </c>
      <c r="C6520" s="33">
        <v>45736.35625</v>
      </c>
      <c r="D6520" s="19" t="s">
        <v>33</v>
      </c>
      <c r="E6520" s="19" t="s">
        <v>69</v>
      </c>
      <c r="F6520" s="19" t="s">
        <v>40</v>
      </c>
      <c r="G6520" s="19" t="s">
        <v>63</v>
      </c>
      <c r="H6520" s="19" t="s">
        <v>59</v>
      </c>
      <c r="I6520" s="19" t="s">
        <v>108</v>
      </c>
      <c r="J6520" s="20">
        <v>120</v>
      </c>
      <c r="K6520" s="34">
        <v>0</v>
      </c>
      <c r="L6520" s="34">
        <v>4</v>
      </c>
      <c r="M6520" s="19">
        <f>IF(OR(ISBLANK(C6520),C6520=""),"",ROUND((C6520-B6520)*24,2))</f>
        <v>197.73</v>
      </c>
      <c r="N6520" s="39" t="str">
        <f>IF(OR(ISBLANK(C6520),C6520="",M6520=""),"In Progress",IF(M6520&lt;=J6520,"Met","Breached"))</f>
        <v>Breached</v>
      </c>
    </row>
    <row r="6521" ht="19" customHeight="1" spans="1:14" x14ac:dyDescent="0.25">
      <c r="A6521" s="22" t="s">
        <v>6635</v>
      </c>
      <c r="B6521" s="36">
        <v>45747.675</v>
      </c>
      <c r="C6521" s="36">
        <v>45749.57916666666</v>
      </c>
      <c r="D6521" s="22" t="s">
        <v>33</v>
      </c>
      <c r="E6521" s="22" t="s">
        <v>65</v>
      </c>
      <c r="F6521" s="22" t="s">
        <v>37</v>
      </c>
      <c r="G6521" s="22" t="s">
        <v>63</v>
      </c>
      <c r="H6521" s="22" t="s">
        <v>59</v>
      </c>
      <c r="I6521" s="22" t="s">
        <v>147</v>
      </c>
      <c r="J6521" s="23">
        <v>48</v>
      </c>
      <c r="K6521" s="37">
        <v>0</v>
      </c>
      <c r="L6521" s="37">
        <v>2</v>
      </c>
      <c r="M6521" s="22">
        <f>IF(OR(ISBLANK(C6521),C6521=""),"",ROUND((C6521-B6521)*24,2))</f>
        <v>45.7</v>
      </c>
      <c r="N6521" s="40" t="str">
        <f>IF(OR(ISBLANK(C6521),C6521="",M6521=""),"In Progress",IF(M6521&lt;=J6521,"Met","Breached"))</f>
        <v>Met</v>
      </c>
    </row>
    <row r="6522" ht="19" customHeight="1" spans="1:14" x14ac:dyDescent="0.25">
      <c r="A6522" s="19" t="s">
        <v>6636</v>
      </c>
      <c r="B6522" s="33">
        <v>45802.86111111111</v>
      </c>
      <c r="C6522" s="33">
        <v>45805.51597222222</v>
      </c>
      <c r="D6522" s="19" t="s">
        <v>36</v>
      </c>
      <c r="E6522" s="19" t="s">
        <v>65</v>
      </c>
      <c r="F6522" s="19" t="s">
        <v>37</v>
      </c>
      <c r="G6522" s="19" t="s">
        <v>113</v>
      </c>
      <c r="H6522" s="19" t="s">
        <v>71</v>
      </c>
      <c r="I6522" s="19" t="s">
        <v>114</v>
      </c>
      <c r="J6522" s="20">
        <v>48</v>
      </c>
      <c r="K6522" s="34">
        <v>0</v>
      </c>
      <c r="L6522" s="34">
        <v>3</v>
      </c>
      <c r="M6522" s="19">
        <f>IF(OR(ISBLANK(C6522),C6522=""),"",ROUND((C6522-B6522)*24,2))</f>
        <v>63.72</v>
      </c>
      <c r="N6522" s="39" t="str">
        <f>IF(OR(ISBLANK(C6522),C6522="",M6522=""),"In Progress",IF(M6522&lt;=J6522,"Met","Breached"))</f>
        <v>Breached</v>
      </c>
    </row>
    <row r="6523" ht="19" customHeight="1" spans="1:14" x14ac:dyDescent="0.25">
      <c r="A6523" s="22" t="s">
        <v>6637</v>
      </c>
      <c r="B6523" s="36">
        <v>46165.92013888889</v>
      </c>
      <c r="C6523" s="36">
        <v>46168.37291666667</v>
      </c>
      <c r="D6523" s="22" t="s">
        <v>33</v>
      </c>
      <c r="E6523" s="22" t="s">
        <v>65</v>
      </c>
      <c r="F6523" s="22" t="s">
        <v>40</v>
      </c>
      <c r="G6523" s="22" t="s">
        <v>121</v>
      </c>
      <c r="H6523" s="22" t="s">
        <v>63</v>
      </c>
      <c r="I6523" s="22" t="s">
        <v>111</v>
      </c>
      <c r="J6523" s="23">
        <v>48</v>
      </c>
      <c r="K6523" s="37">
        <v>0</v>
      </c>
      <c r="L6523" s="37">
        <v>5</v>
      </c>
      <c r="M6523" s="22">
        <f>IF(OR(ISBLANK(C6523),C6523=""),"",ROUND((C6523-B6523)*24,2))</f>
        <v>58.87</v>
      </c>
      <c r="N6523" s="38" t="str">
        <f>IF(OR(ISBLANK(C6523),C6523="",M6523=""),"In Progress",IF(M6523&lt;=J6523,"Met","Breached"))</f>
        <v>Breached</v>
      </c>
    </row>
    <row r="6524" ht="19" customHeight="1" spans="1:14" x14ac:dyDescent="0.25">
      <c r="A6524" s="19" t="s">
        <v>6638</v>
      </c>
      <c r="B6524" s="33">
        <v>45933.72986111111</v>
      </c>
      <c r="D6524" s="19" t="s">
        <v>42</v>
      </c>
      <c r="E6524" s="19" t="s">
        <v>57</v>
      </c>
      <c r="F6524" s="19" t="s">
        <v>43</v>
      </c>
      <c r="G6524" s="19" t="s">
        <v>113</v>
      </c>
      <c r="H6524" s="19" t="s">
        <v>59</v>
      </c>
      <c r="I6524" s="19" t="s">
        <v>147</v>
      </c>
      <c r="J6524" s="20">
        <v>4</v>
      </c>
      <c r="K6524" s="34">
        <v>0</v>
      </c>
      <c r="M6524" s="19" t="str">
        <f>IF(OR(ISBLANK(C6524),C6524=""),"",ROUND((C6524-B6524)*24,2))</f>
        <v/>
      </c>
      <c r="N6524" s="19" t="str">
        <f>IF(OR(ISBLANK(C6524),C6524="",M6524=""),"In Progress",IF(M6524&lt;=J6524,"Met","Breached"))</f>
        <v>In Progress</v>
      </c>
    </row>
    <row r="6525" ht="19" customHeight="1" spans="1:14" x14ac:dyDescent="0.25">
      <c r="A6525" s="22" t="s">
        <v>6639</v>
      </c>
      <c r="B6525" s="36">
        <v>45693.63680555555</v>
      </c>
      <c r="C6525" s="36">
        <v>45697.54583333334</v>
      </c>
      <c r="D6525" s="22" t="s">
        <v>36</v>
      </c>
      <c r="E6525" s="22" t="s">
        <v>69</v>
      </c>
      <c r="F6525" s="22" t="s">
        <v>43</v>
      </c>
      <c r="G6525" s="22" t="s">
        <v>121</v>
      </c>
      <c r="H6525" s="22" t="s">
        <v>71</v>
      </c>
      <c r="I6525" s="22" t="s">
        <v>117</v>
      </c>
      <c r="J6525" s="23">
        <v>120</v>
      </c>
      <c r="K6525" s="37">
        <v>0</v>
      </c>
      <c r="L6525" s="37">
        <v>1</v>
      </c>
      <c r="M6525" s="22">
        <f>IF(OR(ISBLANK(C6525),C6525=""),"",ROUND((C6525-B6525)*24,2))</f>
        <v>93.82</v>
      </c>
      <c r="N6525" s="40" t="str">
        <f>IF(OR(ISBLANK(C6525),C6525="",M6525=""),"In Progress",IF(M6525&lt;=J6525,"Met","Breached"))</f>
        <v>Met</v>
      </c>
    </row>
    <row r="6526" ht="19" customHeight="1" spans="1:14" x14ac:dyDescent="0.25">
      <c r="A6526" s="19" t="s">
        <v>6640</v>
      </c>
      <c r="B6526" s="33">
        <v>46124.839583333334</v>
      </c>
      <c r="C6526" s="33">
        <v>46125.09652777778</v>
      </c>
      <c r="D6526" s="19" t="s">
        <v>33</v>
      </c>
      <c r="E6526" s="19" t="s">
        <v>57</v>
      </c>
      <c r="F6526" s="19" t="s">
        <v>45</v>
      </c>
      <c r="G6526" s="19" t="s">
        <v>126</v>
      </c>
      <c r="H6526" s="19" t="s">
        <v>67</v>
      </c>
      <c r="I6526" s="19" t="s">
        <v>114</v>
      </c>
      <c r="J6526" s="20">
        <v>4</v>
      </c>
      <c r="K6526" s="34">
        <v>0</v>
      </c>
      <c r="L6526" s="34">
        <v>1</v>
      </c>
      <c r="M6526" s="19">
        <f>IF(OR(ISBLANK(C6526),C6526=""),"",ROUND((C6526-B6526)*24,2))</f>
        <v>6.17</v>
      </c>
      <c r="N6526" s="39" t="str">
        <f>IF(OR(ISBLANK(C6526),C6526="",M6526=""),"In Progress",IF(M6526&lt;=J6526,"Met","Breached"))</f>
        <v>Breached</v>
      </c>
    </row>
    <row r="6527" ht="19" customHeight="1" spans="1:14" x14ac:dyDescent="0.25">
      <c r="A6527" s="22" t="s">
        <v>6641</v>
      </c>
      <c r="B6527" s="36">
        <v>45922.518055555556</v>
      </c>
      <c r="C6527" s="36">
        <v>45923.10625</v>
      </c>
      <c r="D6527" s="22" t="s">
        <v>36</v>
      </c>
      <c r="E6527" s="22" t="s">
        <v>61</v>
      </c>
      <c r="F6527" s="22" t="s">
        <v>34</v>
      </c>
      <c r="G6527" s="22" t="s">
        <v>63</v>
      </c>
      <c r="H6527" s="22" t="s">
        <v>67</v>
      </c>
      <c r="I6527" s="22" t="s">
        <v>147</v>
      </c>
      <c r="J6527" s="23">
        <v>12</v>
      </c>
      <c r="K6527" s="37">
        <v>0</v>
      </c>
      <c r="M6527" s="22">
        <f>IF(OR(ISBLANK(C6527),C6527=""),"",ROUND((C6527-B6527)*24,2))</f>
        <v>14.12</v>
      </c>
      <c r="N6527" s="38" t="str">
        <f>IF(OR(ISBLANK(C6527),C6527="",M6527=""),"In Progress",IF(M6527&lt;=J6527,"Met","Breached"))</f>
        <v>Breached</v>
      </c>
    </row>
    <row r="6528" ht="19" customHeight="1" spans="1:14" x14ac:dyDescent="0.25">
      <c r="A6528" s="19" t="s">
        <v>6642</v>
      </c>
      <c r="B6528" s="33">
        <v>46277.475</v>
      </c>
      <c r="C6528" s="33">
        <v>46277.80069444445</v>
      </c>
      <c r="D6528" s="19" t="s">
        <v>33</v>
      </c>
      <c r="E6528" s="19" t="s">
        <v>61</v>
      </c>
      <c r="F6528" s="19" t="s">
        <v>34</v>
      </c>
      <c r="G6528" s="19" t="s">
        <v>121</v>
      </c>
      <c r="H6528" s="19" t="s">
        <v>63</v>
      </c>
      <c r="I6528" s="19" t="s">
        <v>111</v>
      </c>
      <c r="J6528" s="20">
        <v>12</v>
      </c>
      <c r="K6528" s="34">
        <v>0</v>
      </c>
      <c r="M6528" s="19">
        <f>IF(OR(ISBLANK(C6528),C6528=""),"",ROUND((C6528-B6528)*24,2))</f>
        <v>7.82</v>
      </c>
      <c r="N6528" s="35" t="str">
        <f>IF(OR(ISBLANK(C6528),C6528="",M6528=""),"In Progress",IF(M6528&lt;=J6528,"Met","Breached"))</f>
        <v>Met</v>
      </c>
    </row>
    <row r="6529" ht="19" customHeight="1" spans="1:14" x14ac:dyDescent="0.25">
      <c r="A6529" s="22" t="s">
        <v>6643</v>
      </c>
      <c r="B6529" s="36">
        <v>45669.631944444445</v>
      </c>
      <c r="D6529" s="22" t="s">
        <v>42</v>
      </c>
      <c r="E6529" s="22" t="s">
        <v>61</v>
      </c>
      <c r="F6529" s="22" t="s">
        <v>43</v>
      </c>
      <c r="G6529" s="22" t="s">
        <v>110</v>
      </c>
      <c r="H6529" s="22" t="s">
        <v>59</v>
      </c>
      <c r="I6529" s="22" t="s">
        <v>117</v>
      </c>
      <c r="J6529" s="23">
        <v>12</v>
      </c>
      <c r="K6529" s="37">
        <v>0</v>
      </c>
      <c r="M6529" s="22" t="str">
        <f>IF(OR(ISBLANK(C6529),C6529=""),"",ROUND((C6529-B6529)*24,2))</f>
        <v/>
      </c>
      <c r="N6529" s="22" t="str">
        <f>IF(OR(ISBLANK(C6529),C6529="",M6529=""),"In Progress",IF(M6529&lt;=J6529,"Met","Breached"))</f>
        <v>In Progress</v>
      </c>
    </row>
    <row r="6530" ht="19" customHeight="1" spans="1:14" x14ac:dyDescent="0.25">
      <c r="A6530" s="19" t="s">
        <v>6644</v>
      </c>
      <c r="B6530" s="33">
        <v>46052.85555555555</v>
      </c>
      <c r="C6530" s="33">
        <v>46055.179861111115</v>
      </c>
      <c r="D6530" s="19" t="s">
        <v>33</v>
      </c>
      <c r="E6530" s="19" t="s">
        <v>65</v>
      </c>
      <c r="F6530" s="19" t="s">
        <v>43</v>
      </c>
      <c r="G6530" s="19" t="s">
        <v>121</v>
      </c>
      <c r="H6530" s="19" t="s">
        <v>59</v>
      </c>
      <c r="I6530" s="19" t="s">
        <v>147</v>
      </c>
      <c r="J6530" s="20">
        <v>48</v>
      </c>
      <c r="K6530" s="34">
        <v>0</v>
      </c>
      <c r="M6530" s="19">
        <f>IF(OR(ISBLANK(C6530),C6530=""),"",ROUND((C6530-B6530)*24,2))</f>
        <v>55.78</v>
      </c>
      <c r="N6530" s="39" t="str">
        <f>IF(OR(ISBLANK(C6530),C6530="",M6530=""),"In Progress",IF(M6530&lt;=J6530,"Met","Breached"))</f>
        <v>Breached</v>
      </c>
    </row>
    <row r="6531" ht="19" customHeight="1" spans="1:14" x14ac:dyDescent="0.25">
      <c r="A6531" s="22" t="s">
        <v>6645</v>
      </c>
      <c r="B6531" s="36">
        <v>45858.24652777778</v>
      </c>
      <c r="C6531" s="36">
        <v>45858.84236111111</v>
      </c>
      <c r="D6531" s="22" t="s">
        <v>33</v>
      </c>
      <c r="E6531" s="22" t="s">
        <v>61</v>
      </c>
      <c r="F6531" s="22" t="s">
        <v>43</v>
      </c>
      <c r="G6531" s="22" t="s">
        <v>121</v>
      </c>
      <c r="H6531" s="22" t="s">
        <v>63</v>
      </c>
      <c r="I6531" s="22" t="s">
        <v>123</v>
      </c>
      <c r="J6531" s="23">
        <v>12</v>
      </c>
      <c r="K6531" s="37">
        <v>0</v>
      </c>
      <c r="L6531" s="37">
        <v>5</v>
      </c>
      <c r="M6531" s="22">
        <f>IF(OR(ISBLANK(C6531),C6531=""),"",ROUND((C6531-B6531)*24,2))</f>
        <v>14.3</v>
      </c>
      <c r="N6531" s="38" t="str">
        <f>IF(OR(ISBLANK(C6531),C6531="",M6531=""),"In Progress",IF(M6531&lt;=J6531,"Met","Breached"))</f>
        <v>Breached</v>
      </c>
    </row>
    <row r="6532" ht="19" customHeight="1" spans="1:14" x14ac:dyDescent="0.25">
      <c r="A6532" s="19" t="s">
        <v>6646</v>
      </c>
      <c r="B6532" s="33">
        <v>46213.263194444444</v>
      </c>
      <c r="C6532" s="33">
        <v>46215.475694444445</v>
      </c>
      <c r="D6532" s="19" t="s">
        <v>33</v>
      </c>
      <c r="E6532" s="19" t="s">
        <v>65</v>
      </c>
      <c r="F6532" s="19" t="s">
        <v>45</v>
      </c>
      <c r="G6532" s="19" t="s">
        <v>116</v>
      </c>
      <c r="H6532" s="19" t="s">
        <v>63</v>
      </c>
      <c r="I6532" s="19" t="s">
        <v>108</v>
      </c>
      <c r="J6532" s="20">
        <v>48</v>
      </c>
      <c r="K6532" s="34">
        <v>0</v>
      </c>
      <c r="L6532" s="34">
        <v>4</v>
      </c>
      <c r="M6532" s="19">
        <f>IF(OR(ISBLANK(C6532),C6532=""),"",ROUND((C6532-B6532)*24,2))</f>
        <v>53.1</v>
      </c>
      <c r="N6532" s="39" t="str">
        <f>IF(OR(ISBLANK(C6532),C6532="",M6532=""),"In Progress",IF(M6532&lt;=J6532,"Met","Breached"))</f>
        <v>Breached</v>
      </c>
    </row>
    <row r="6533" ht="19" customHeight="1" spans="1:14" x14ac:dyDescent="0.25">
      <c r="A6533" s="22" t="s">
        <v>6647</v>
      </c>
      <c r="B6533" s="36">
        <v>45972.87638888889</v>
      </c>
      <c r="C6533" s="36">
        <v>45972.945138888885</v>
      </c>
      <c r="D6533" s="22" t="s">
        <v>36</v>
      </c>
      <c r="E6533" s="22" t="s">
        <v>57</v>
      </c>
      <c r="F6533" s="22" t="s">
        <v>40</v>
      </c>
      <c r="G6533" s="22" t="s">
        <v>113</v>
      </c>
      <c r="H6533" s="22" t="s">
        <v>63</v>
      </c>
      <c r="I6533" s="22" t="s">
        <v>111</v>
      </c>
      <c r="J6533" s="23">
        <v>4</v>
      </c>
      <c r="K6533" s="37">
        <v>0</v>
      </c>
      <c r="L6533" s="37">
        <v>3</v>
      </c>
      <c r="M6533" s="22">
        <f>IF(OR(ISBLANK(C6533),C6533=""),"",ROUND((C6533-B6533)*24,2))</f>
        <v>1.65</v>
      </c>
      <c r="N6533" s="40" t="str">
        <f>IF(OR(ISBLANK(C6533),C6533="",M6533=""),"In Progress",IF(M6533&lt;=J6533,"Met","Breached"))</f>
        <v>Met</v>
      </c>
    </row>
    <row r="6534" ht="19" customHeight="1" spans="1:14" x14ac:dyDescent="0.25">
      <c r="A6534" s="19" t="s">
        <v>6648</v>
      </c>
      <c r="B6534" s="33">
        <v>45852.240277777775</v>
      </c>
      <c r="D6534" s="19" t="s">
        <v>39</v>
      </c>
      <c r="E6534" s="19" t="s">
        <v>65</v>
      </c>
      <c r="F6534" s="19" t="s">
        <v>45</v>
      </c>
      <c r="G6534" s="19" t="s">
        <v>116</v>
      </c>
      <c r="H6534" s="19" t="s">
        <v>67</v>
      </c>
      <c r="I6534" s="19" t="s">
        <v>147</v>
      </c>
      <c r="J6534" s="20">
        <v>48</v>
      </c>
      <c r="K6534" s="34">
        <v>0</v>
      </c>
      <c r="M6534" s="19" t="str">
        <f>IF(OR(ISBLANK(C6534),C6534=""),"",ROUND((C6534-B6534)*24,2))</f>
        <v/>
      </c>
      <c r="N6534" s="19" t="str">
        <f>IF(OR(ISBLANK(C6534),C6534="",M6534=""),"In Progress",IF(M6534&lt;=J6534,"Met","Breached"))</f>
        <v>In Progress</v>
      </c>
    </row>
    <row r="6535" ht="19" customHeight="1" spans="1:14" x14ac:dyDescent="0.25">
      <c r="A6535" s="22" t="s">
        <v>6649</v>
      </c>
      <c r="B6535" s="36">
        <v>46157.290972222225</v>
      </c>
      <c r="C6535" s="36">
        <v>46157.69097222222</v>
      </c>
      <c r="D6535" s="22" t="s">
        <v>33</v>
      </c>
      <c r="E6535" s="22" t="s">
        <v>61</v>
      </c>
      <c r="F6535" s="22" t="s">
        <v>34</v>
      </c>
      <c r="G6535" s="22" t="s">
        <v>121</v>
      </c>
      <c r="H6535" s="22" t="s">
        <v>67</v>
      </c>
      <c r="I6535" s="22" t="s">
        <v>111</v>
      </c>
      <c r="J6535" s="23">
        <v>12</v>
      </c>
      <c r="K6535" s="37">
        <v>0</v>
      </c>
      <c r="L6535" s="37">
        <v>5</v>
      </c>
      <c r="M6535" s="22">
        <f>IF(OR(ISBLANK(C6535),C6535=""),"",ROUND((C6535-B6535)*24,2))</f>
        <v>9.6</v>
      </c>
      <c r="N6535" s="40" t="str">
        <f>IF(OR(ISBLANK(C6535),C6535="",M6535=""),"In Progress",IF(M6535&lt;=J6535,"Met","Breached"))</f>
        <v>Met</v>
      </c>
    </row>
    <row r="6536" ht="19" customHeight="1" spans="1:14" x14ac:dyDescent="0.25">
      <c r="A6536" s="19" t="s">
        <v>6650</v>
      </c>
      <c r="B6536" s="33">
        <v>45784.03125</v>
      </c>
      <c r="C6536" s="33">
        <v>45785.8125</v>
      </c>
      <c r="D6536" s="19" t="s">
        <v>33</v>
      </c>
      <c r="E6536" s="19" t="s">
        <v>65</v>
      </c>
      <c r="F6536" s="19" t="s">
        <v>45</v>
      </c>
      <c r="G6536" s="19" t="s">
        <v>113</v>
      </c>
      <c r="H6536" s="19" t="s">
        <v>67</v>
      </c>
      <c r="I6536" s="19" t="s">
        <v>111</v>
      </c>
      <c r="J6536" s="20">
        <v>48</v>
      </c>
      <c r="K6536" s="34">
        <v>0</v>
      </c>
      <c r="M6536" s="19">
        <f>IF(OR(ISBLANK(C6536),C6536=""),"",ROUND((C6536-B6536)*24,2))</f>
        <v>42.75</v>
      </c>
      <c r="N6536" s="35" t="str">
        <f>IF(OR(ISBLANK(C6536),C6536="",M6536=""),"In Progress",IF(M6536&lt;=J6536,"Met","Breached"))</f>
        <v>Met</v>
      </c>
    </row>
    <row r="6537" ht="19" customHeight="1" spans="1:14" x14ac:dyDescent="0.25">
      <c r="A6537" s="22" t="s">
        <v>6651</v>
      </c>
      <c r="B6537" s="36">
        <v>46105.603472222225</v>
      </c>
      <c r="D6537" s="22" t="s">
        <v>42</v>
      </c>
      <c r="E6537" s="22" t="s">
        <v>65</v>
      </c>
      <c r="F6537" s="22" t="s">
        <v>40</v>
      </c>
      <c r="G6537" s="22" t="s">
        <v>126</v>
      </c>
      <c r="H6537" s="22" t="s">
        <v>67</v>
      </c>
      <c r="I6537" s="22" t="s">
        <v>111</v>
      </c>
      <c r="J6537" s="23">
        <v>48</v>
      </c>
      <c r="K6537" s="37">
        <v>0</v>
      </c>
      <c r="M6537" s="22" t="str">
        <f>IF(OR(ISBLANK(C6537),C6537=""),"",ROUND((C6537-B6537)*24,2))</f>
        <v/>
      </c>
      <c r="N6537" s="22" t="str">
        <f>IF(OR(ISBLANK(C6537),C6537="",M6537=""),"In Progress",IF(M6537&lt;=J6537,"Met","Breached"))</f>
        <v>In Progress</v>
      </c>
    </row>
    <row r="6538" ht="19" customHeight="1" spans="1:14" x14ac:dyDescent="0.25">
      <c r="A6538" s="19" t="s">
        <v>6652</v>
      </c>
      <c r="B6538" s="33">
        <v>46072.455555555556</v>
      </c>
      <c r="D6538" s="19" t="s">
        <v>39</v>
      </c>
      <c r="E6538" s="19" t="s">
        <v>69</v>
      </c>
      <c r="F6538" s="19" t="s">
        <v>37</v>
      </c>
      <c r="G6538" s="19" t="s">
        <v>113</v>
      </c>
      <c r="H6538" s="19" t="s">
        <v>71</v>
      </c>
      <c r="I6538" s="19" t="s">
        <v>117</v>
      </c>
      <c r="J6538" s="20">
        <v>120</v>
      </c>
      <c r="K6538" s="34">
        <v>0</v>
      </c>
      <c r="M6538" s="19" t="str">
        <f>IF(OR(ISBLANK(C6538),C6538=""),"",ROUND((C6538-B6538)*24,2))</f>
        <v/>
      </c>
      <c r="N6538" s="19" t="str">
        <f>IF(OR(ISBLANK(C6538),C6538="",M6538=""),"In Progress",IF(M6538&lt;=J6538,"Met","Breached"))</f>
        <v>In Progress</v>
      </c>
    </row>
    <row r="6539" ht="19" customHeight="1" spans="1:14" x14ac:dyDescent="0.25">
      <c r="A6539" s="22" t="s">
        <v>6653</v>
      </c>
      <c r="B6539" s="36">
        <v>45671.14097222222</v>
      </c>
      <c r="C6539" s="36">
        <v>45671.933333333334</v>
      </c>
      <c r="D6539" s="22" t="s">
        <v>33</v>
      </c>
      <c r="E6539" s="22" t="s">
        <v>61</v>
      </c>
      <c r="F6539" s="22" t="s">
        <v>37</v>
      </c>
      <c r="G6539" s="22" t="s">
        <v>63</v>
      </c>
      <c r="H6539" s="22" t="s">
        <v>59</v>
      </c>
      <c r="I6539" s="22" t="s">
        <v>117</v>
      </c>
      <c r="J6539" s="23">
        <v>12</v>
      </c>
      <c r="K6539" s="37">
        <v>1</v>
      </c>
      <c r="L6539" s="37">
        <v>5</v>
      </c>
      <c r="M6539" s="22">
        <f>IF(OR(ISBLANK(C6539),C6539=""),"",ROUND((C6539-B6539)*24,2))</f>
        <v>19.02</v>
      </c>
      <c r="N6539" s="38" t="str">
        <f>IF(OR(ISBLANK(C6539),C6539="",M6539=""),"In Progress",IF(M6539&lt;=J6539,"Met","Breached"))</f>
        <v>Breached</v>
      </c>
    </row>
    <row r="6540" ht="19" customHeight="1" spans="1:14" x14ac:dyDescent="0.25">
      <c r="A6540" s="19" t="s">
        <v>6654</v>
      </c>
      <c r="B6540" s="33">
        <v>46160.92708333333</v>
      </c>
      <c r="C6540" s="33">
        <v>46162.61875</v>
      </c>
      <c r="D6540" s="19" t="s">
        <v>33</v>
      </c>
      <c r="E6540" s="19" t="s">
        <v>65</v>
      </c>
      <c r="F6540" s="19" t="s">
        <v>45</v>
      </c>
      <c r="G6540" s="19" t="s">
        <v>116</v>
      </c>
      <c r="H6540" s="19" t="s">
        <v>59</v>
      </c>
      <c r="I6540" s="19" t="s">
        <v>108</v>
      </c>
      <c r="J6540" s="20">
        <v>48</v>
      </c>
      <c r="K6540" s="34">
        <v>0</v>
      </c>
      <c r="L6540" s="34">
        <v>3</v>
      </c>
      <c r="M6540" s="19">
        <f>IF(OR(ISBLANK(C6540),C6540=""),"",ROUND((C6540-B6540)*24,2))</f>
        <v>40.6</v>
      </c>
      <c r="N6540" s="35" t="str">
        <f>IF(OR(ISBLANK(C6540),C6540="",M6540=""),"In Progress",IF(M6540&lt;=J6540,"Met","Breached"))</f>
        <v>Met</v>
      </c>
    </row>
    <row r="6541" ht="19" customHeight="1" spans="1:14" x14ac:dyDescent="0.25">
      <c r="A6541" s="22" t="s">
        <v>6655</v>
      </c>
      <c r="B6541" s="36">
        <v>46123.88125</v>
      </c>
      <c r="C6541" s="36">
        <v>46125.01458333334</v>
      </c>
      <c r="D6541" s="22" t="s">
        <v>33</v>
      </c>
      <c r="E6541" s="22" t="s">
        <v>65</v>
      </c>
      <c r="F6541" s="22" t="s">
        <v>40</v>
      </c>
      <c r="G6541" s="22" t="s">
        <v>116</v>
      </c>
      <c r="H6541" s="22" t="s">
        <v>63</v>
      </c>
      <c r="I6541" s="22" t="s">
        <v>147</v>
      </c>
      <c r="J6541" s="23">
        <v>48</v>
      </c>
      <c r="K6541" s="37">
        <v>1</v>
      </c>
      <c r="L6541" s="37">
        <v>1</v>
      </c>
      <c r="M6541" s="22">
        <f>IF(OR(ISBLANK(C6541),C6541=""),"",ROUND((C6541-B6541)*24,2))</f>
        <v>27.2</v>
      </c>
      <c r="N6541" s="40" t="str">
        <f>IF(OR(ISBLANK(C6541),C6541="",M6541=""),"In Progress",IF(M6541&lt;=J6541,"Met","Breached"))</f>
        <v>Met</v>
      </c>
    </row>
    <row r="6542" ht="19" customHeight="1" spans="1:14" x14ac:dyDescent="0.25">
      <c r="A6542" s="19" t="s">
        <v>6656</v>
      </c>
      <c r="B6542" s="33">
        <v>45787.285416666666</v>
      </c>
      <c r="C6542" s="33">
        <v>45795.32986111111</v>
      </c>
      <c r="D6542" s="19" t="s">
        <v>33</v>
      </c>
      <c r="E6542" s="19" t="s">
        <v>69</v>
      </c>
      <c r="F6542" s="19" t="s">
        <v>40</v>
      </c>
      <c r="G6542" s="19" t="s">
        <v>126</v>
      </c>
      <c r="H6542" s="19" t="s">
        <v>67</v>
      </c>
      <c r="I6542" s="19" t="s">
        <v>108</v>
      </c>
      <c r="J6542" s="20">
        <v>120</v>
      </c>
      <c r="K6542" s="34">
        <v>0</v>
      </c>
      <c r="L6542" s="34">
        <v>2</v>
      </c>
      <c r="M6542" s="19">
        <f>IF(OR(ISBLANK(C6542),C6542=""),"",ROUND((C6542-B6542)*24,2))</f>
        <v>193.07</v>
      </c>
      <c r="N6542" s="39" t="str">
        <f>IF(OR(ISBLANK(C6542),C6542="",M6542=""),"In Progress",IF(M6542&lt;=J6542,"Met","Breached"))</f>
        <v>Breached</v>
      </c>
    </row>
    <row r="6543" ht="19" customHeight="1" spans="1:14" x14ac:dyDescent="0.25">
      <c r="A6543" s="22" t="s">
        <v>6657</v>
      </c>
      <c r="B6543" s="36">
        <v>45974.40416666667</v>
      </c>
      <c r="C6543" s="36">
        <v>45976.46875</v>
      </c>
      <c r="D6543" s="22" t="s">
        <v>33</v>
      </c>
      <c r="E6543" s="22" t="s">
        <v>65</v>
      </c>
      <c r="F6543" s="22" t="s">
        <v>37</v>
      </c>
      <c r="G6543" s="22" t="s">
        <v>121</v>
      </c>
      <c r="H6543" s="22" t="s">
        <v>63</v>
      </c>
      <c r="I6543" s="22" t="s">
        <v>123</v>
      </c>
      <c r="J6543" s="23">
        <v>48</v>
      </c>
      <c r="K6543" s="37">
        <v>0</v>
      </c>
      <c r="L6543" s="37">
        <v>4</v>
      </c>
      <c r="M6543" s="22">
        <f>IF(OR(ISBLANK(C6543),C6543=""),"",ROUND((C6543-B6543)*24,2))</f>
        <v>49.55</v>
      </c>
      <c r="N6543" s="38" t="str">
        <f>IF(OR(ISBLANK(C6543),C6543="",M6543=""),"In Progress",IF(M6543&lt;=J6543,"Met","Breached"))</f>
        <v>Breached</v>
      </c>
    </row>
    <row r="6544" ht="19" customHeight="1" spans="1:14" x14ac:dyDescent="0.25">
      <c r="A6544" s="19" t="s">
        <v>6658</v>
      </c>
      <c r="B6544" s="33">
        <v>46245.62986111111</v>
      </c>
      <c r="C6544" s="33">
        <v>46246.10902777778</v>
      </c>
      <c r="D6544" s="19" t="s">
        <v>36</v>
      </c>
      <c r="E6544" s="19" t="s">
        <v>61</v>
      </c>
      <c r="F6544" s="19" t="s">
        <v>34</v>
      </c>
      <c r="G6544" s="19" t="s">
        <v>113</v>
      </c>
      <c r="H6544" s="19" t="s">
        <v>59</v>
      </c>
      <c r="I6544" s="19" t="s">
        <v>117</v>
      </c>
      <c r="J6544" s="20">
        <v>12</v>
      </c>
      <c r="K6544" s="34">
        <v>1</v>
      </c>
      <c r="L6544" s="34">
        <v>5</v>
      </c>
      <c r="M6544" s="19">
        <f>IF(OR(ISBLANK(C6544),C6544=""),"",ROUND((C6544-B6544)*24,2))</f>
        <v>11.5</v>
      </c>
      <c r="N6544" s="35" t="str">
        <f>IF(OR(ISBLANK(C6544),C6544="",M6544=""),"In Progress",IF(M6544&lt;=J6544,"Met","Breached"))</f>
        <v>Met</v>
      </c>
    </row>
    <row r="6545" ht="19" customHeight="1" spans="1:14" x14ac:dyDescent="0.25">
      <c r="A6545" s="22" t="s">
        <v>6659</v>
      </c>
      <c r="B6545" s="36">
        <v>46215.60833333334</v>
      </c>
      <c r="C6545" s="36">
        <v>46215.84861111111</v>
      </c>
      <c r="D6545" s="22" t="s">
        <v>33</v>
      </c>
      <c r="E6545" s="22" t="s">
        <v>57</v>
      </c>
      <c r="F6545" s="22" t="s">
        <v>40</v>
      </c>
      <c r="G6545" s="22" t="s">
        <v>121</v>
      </c>
      <c r="H6545" s="22" t="s">
        <v>59</v>
      </c>
      <c r="I6545" s="22" t="s">
        <v>111</v>
      </c>
      <c r="J6545" s="23">
        <v>4</v>
      </c>
      <c r="K6545" s="37">
        <v>1</v>
      </c>
      <c r="L6545" s="37">
        <v>5</v>
      </c>
      <c r="M6545" s="22">
        <f>IF(OR(ISBLANK(C6545),C6545=""),"",ROUND((C6545-B6545)*24,2))</f>
        <v>5.77</v>
      </c>
      <c r="N6545" s="38" t="str">
        <f>IF(OR(ISBLANK(C6545),C6545="",M6545=""),"In Progress",IF(M6545&lt;=J6545,"Met","Breached"))</f>
        <v>Breached</v>
      </c>
    </row>
    <row r="6546" ht="19" customHeight="1" spans="1:14" x14ac:dyDescent="0.25">
      <c r="A6546" s="19" t="s">
        <v>6660</v>
      </c>
      <c r="B6546" s="33">
        <v>45805.433333333334</v>
      </c>
      <c r="C6546" s="33">
        <v>45806.29027777778</v>
      </c>
      <c r="D6546" s="19" t="s">
        <v>33</v>
      </c>
      <c r="E6546" s="19" t="s">
        <v>61</v>
      </c>
      <c r="F6546" s="19" t="s">
        <v>43</v>
      </c>
      <c r="G6546" s="19" t="s">
        <v>113</v>
      </c>
      <c r="H6546" s="19" t="s">
        <v>63</v>
      </c>
      <c r="I6546" s="19" t="s">
        <v>108</v>
      </c>
      <c r="J6546" s="20">
        <v>12</v>
      </c>
      <c r="K6546" s="34">
        <v>0</v>
      </c>
      <c r="M6546" s="19">
        <f>IF(OR(ISBLANK(C6546),C6546=""),"",ROUND((C6546-B6546)*24,2))</f>
        <v>20.57</v>
      </c>
      <c r="N6546" s="39" t="str">
        <f>IF(OR(ISBLANK(C6546),C6546="",M6546=""),"In Progress",IF(M6546&lt;=J6546,"Met","Breached"))</f>
        <v>Breached</v>
      </c>
    </row>
    <row r="6547" ht="19" customHeight="1" spans="1:14" x14ac:dyDescent="0.25">
      <c r="A6547" s="22" t="s">
        <v>6661</v>
      </c>
      <c r="B6547" s="36">
        <v>45988.39236111111</v>
      </c>
      <c r="D6547" s="22" t="s">
        <v>39</v>
      </c>
      <c r="E6547" s="22" t="s">
        <v>65</v>
      </c>
      <c r="F6547" s="22" t="s">
        <v>45</v>
      </c>
      <c r="G6547" s="22" t="s">
        <v>116</v>
      </c>
      <c r="H6547" s="22" t="s">
        <v>59</v>
      </c>
      <c r="I6547" s="22" t="s">
        <v>123</v>
      </c>
      <c r="J6547" s="23">
        <v>48</v>
      </c>
      <c r="K6547" s="37">
        <v>0</v>
      </c>
      <c r="M6547" s="22" t="str">
        <f>IF(OR(ISBLANK(C6547),C6547=""),"",ROUND((C6547-B6547)*24,2))</f>
        <v/>
      </c>
      <c r="N6547" s="22" t="str">
        <f>IF(OR(ISBLANK(C6547),C6547="",M6547=""),"In Progress",IF(M6547&lt;=J6547,"Met","Breached"))</f>
        <v>In Progress</v>
      </c>
    </row>
    <row r="6548" ht="19" customHeight="1" spans="1:14" x14ac:dyDescent="0.25">
      <c r="A6548" s="19" t="s">
        <v>6662</v>
      </c>
      <c r="B6548" s="33">
        <v>46062.90694444445</v>
      </c>
      <c r="C6548" s="33">
        <v>46063.26111111111</v>
      </c>
      <c r="D6548" s="19" t="s">
        <v>33</v>
      </c>
      <c r="E6548" s="19" t="s">
        <v>61</v>
      </c>
      <c r="F6548" s="19" t="s">
        <v>43</v>
      </c>
      <c r="G6548" s="19" t="s">
        <v>113</v>
      </c>
      <c r="H6548" s="19" t="s">
        <v>59</v>
      </c>
      <c r="I6548" s="19" t="s">
        <v>123</v>
      </c>
      <c r="J6548" s="20">
        <v>12</v>
      </c>
      <c r="K6548" s="34">
        <v>1</v>
      </c>
      <c r="L6548" s="34">
        <v>5</v>
      </c>
      <c r="M6548" s="19">
        <f>IF(OR(ISBLANK(C6548),C6548=""),"",ROUND((C6548-B6548)*24,2))</f>
        <v>8.5</v>
      </c>
      <c r="N6548" s="35" t="str">
        <f>IF(OR(ISBLANK(C6548),C6548="",M6548=""),"In Progress",IF(M6548&lt;=J6548,"Met","Breached"))</f>
        <v>Met</v>
      </c>
    </row>
    <row r="6549" ht="19" customHeight="1" spans="1:14" x14ac:dyDescent="0.25">
      <c r="A6549" s="22" t="s">
        <v>6663</v>
      </c>
      <c r="B6549" s="36">
        <v>45873.12222222222</v>
      </c>
      <c r="C6549" s="36">
        <v>45873.33888888889</v>
      </c>
      <c r="D6549" s="22" t="s">
        <v>33</v>
      </c>
      <c r="E6549" s="22" t="s">
        <v>57</v>
      </c>
      <c r="F6549" s="22" t="s">
        <v>37</v>
      </c>
      <c r="G6549" s="22" t="s">
        <v>126</v>
      </c>
      <c r="H6549" s="22" t="s">
        <v>63</v>
      </c>
      <c r="I6549" s="22" t="s">
        <v>123</v>
      </c>
      <c r="J6549" s="23">
        <v>4</v>
      </c>
      <c r="K6549" s="37">
        <v>0</v>
      </c>
      <c r="L6549" s="37">
        <v>5</v>
      </c>
      <c r="M6549" s="22">
        <f>IF(OR(ISBLANK(C6549),C6549=""),"",ROUND((C6549-B6549)*24,2))</f>
        <v>5.2</v>
      </c>
      <c r="N6549" s="38" t="str">
        <f>IF(OR(ISBLANK(C6549),C6549="",M6549=""),"In Progress",IF(M6549&lt;=J6549,"Met","Breached"))</f>
        <v>Breached</v>
      </c>
    </row>
    <row r="6550" ht="19" customHeight="1" spans="1:14" x14ac:dyDescent="0.25">
      <c r="A6550" s="19" t="s">
        <v>6664</v>
      </c>
      <c r="B6550" s="33">
        <v>45931.38958333334</v>
      </c>
      <c r="C6550" s="33">
        <v>45933.819444444445</v>
      </c>
      <c r="D6550" s="19" t="s">
        <v>33</v>
      </c>
      <c r="E6550" s="19" t="s">
        <v>69</v>
      </c>
      <c r="F6550" s="19" t="s">
        <v>40</v>
      </c>
      <c r="G6550" s="19" t="s">
        <v>110</v>
      </c>
      <c r="H6550" s="19" t="s">
        <v>59</v>
      </c>
      <c r="I6550" s="19" t="s">
        <v>111</v>
      </c>
      <c r="J6550" s="20">
        <v>120</v>
      </c>
      <c r="K6550" s="34">
        <v>1</v>
      </c>
      <c r="M6550" s="19">
        <f>IF(OR(ISBLANK(C6550),C6550=""),"",ROUND((C6550-B6550)*24,2))</f>
        <v>58.32</v>
      </c>
      <c r="N6550" s="35" t="str">
        <f>IF(OR(ISBLANK(C6550),C6550="",M6550=""),"In Progress",IF(M6550&lt;=J6550,"Met","Breached"))</f>
        <v>Met</v>
      </c>
    </row>
    <row r="6551" ht="19" customHeight="1" spans="1:14" x14ac:dyDescent="0.25">
      <c r="A6551" s="22" t="s">
        <v>6665</v>
      </c>
      <c r="B6551" s="36">
        <v>45699.14722222222</v>
      </c>
      <c r="C6551" s="36">
        <v>45702.525</v>
      </c>
      <c r="D6551" s="22" t="s">
        <v>36</v>
      </c>
      <c r="E6551" s="22" t="s">
        <v>65</v>
      </c>
      <c r="F6551" s="22" t="s">
        <v>37</v>
      </c>
      <c r="G6551" s="22" t="s">
        <v>113</v>
      </c>
      <c r="H6551" s="22" t="s">
        <v>59</v>
      </c>
      <c r="I6551" s="22" t="s">
        <v>123</v>
      </c>
      <c r="J6551" s="23">
        <v>48</v>
      </c>
      <c r="K6551" s="37">
        <v>0</v>
      </c>
      <c r="L6551" s="37">
        <v>2</v>
      </c>
      <c r="M6551" s="22">
        <f>IF(OR(ISBLANK(C6551),C6551=""),"",ROUND((C6551-B6551)*24,2))</f>
        <v>81.07</v>
      </c>
      <c r="N6551" s="38" t="str">
        <f>IF(OR(ISBLANK(C6551),C6551="",M6551=""),"In Progress",IF(M6551&lt;=J6551,"Met","Breached"))</f>
        <v>Breached</v>
      </c>
    </row>
    <row r="6552" ht="19" customHeight="1" spans="1:14" x14ac:dyDescent="0.25">
      <c r="A6552" s="19" t="s">
        <v>6666</v>
      </c>
      <c r="B6552" s="33">
        <v>45800.075</v>
      </c>
      <c r="C6552" s="33">
        <v>45802.97013888889</v>
      </c>
      <c r="D6552" s="19" t="s">
        <v>33</v>
      </c>
      <c r="E6552" s="19" t="s">
        <v>65</v>
      </c>
      <c r="F6552" s="19" t="s">
        <v>40</v>
      </c>
      <c r="G6552" s="19" t="s">
        <v>126</v>
      </c>
      <c r="H6552" s="19" t="s">
        <v>63</v>
      </c>
      <c r="I6552" s="19" t="s">
        <v>123</v>
      </c>
      <c r="J6552" s="20">
        <v>48</v>
      </c>
      <c r="K6552" s="34">
        <v>0</v>
      </c>
      <c r="L6552" s="34">
        <v>2</v>
      </c>
      <c r="M6552" s="19">
        <f>IF(OR(ISBLANK(C6552),C6552=""),"",ROUND((C6552-B6552)*24,2))</f>
        <v>69.48</v>
      </c>
      <c r="N6552" s="39" t="str">
        <f>IF(OR(ISBLANK(C6552),C6552="",M6552=""),"In Progress",IF(M6552&lt;=J6552,"Met","Breached"))</f>
        <v>Breached</v>
      </c>
    </row>
    <row r="6553" ht="19" customHeight="1" spans="1:14" x14ac:dyDescent="0.25">
      <c r="A6553" s="22" t="s">
        <v>6667</v>
      </c>
      <c r="B6553" s="36">
        <v>45908.39513888889</v>
      </c>
      <c r="C6553" s="36">
        <v>45909.711111111115</v>
      </c>
      <c r="D6553" s="22" t="s">
        <v>33</v>
      </c>
      <c r="E6553" s="22" t="s">
        <v>65</v>
      </c>
      <c r="F6553" s="22" t="s">
        <v>34</v>
      </c>
      <c r="G6553" s="22" t="s">
        <v>110</v>
      </c>
      <c r="H6553" s="22" t="s">
        <v>71</v>
      </c>
      <c r="I6553" s="22" t="s">
        <v>111</v>
      </c>
      <c r="J6553" s="23">
        <v>48</v>
      </c>
      <c r="K6553" s="37">
        <v>0</v>
      </c>
      <c r="M6553" s="22">
        <f>IF(OR(ISBLANK(C6553),C6553=""),"",ROUND((C6553-B6553)*24,2))</f>
        <v>31.58</v>
      </c>
      <c r="N6553" s="40" t="str">
        <f>IF(OR(ISBLANK(C6553),C6553="",M6553=""),"In Progress",IF(M6553&lt;=J6553,"Met","Breached"))</f>
        <v>Met</v>
      </c>
    </row>
    <row r="6554" ht="19" customHeight="1" spans="1:14" x14ac:dyDescent="0.25">
      <c r="A6554" s="19" t="s">
        <v>6668</v>
      </c>
      <c r="B6554" s="33">
        <v>46038.35833333334</v>
      </c>
      <c r="C6554" s="33">
        <v>46045.53194444445</v>
      </c>
      <c r="D6554" s="19" t="s">
        <v>33</v>
      </c>
      <c r="E6554" s="19" t="s">
        <v>69</v>
      </c>
      <c r="F6554" s="19" t="s">
        <v>34</v>
      </c>
      <c r="G6554" s="19" t="s">
        <v>110</v>
      </c>
      <c r="H6554" s="19" t="s">
        <v>59</v>
      </c>
      <c r="I6554" s="19" t="s">
        <v>111</v>
      </c>
      <c r="J6554" s="20">
        <v>120</v>
      </c>
      <c r="K6554" s="34">
        <v>0</v>
      </c>
      <c r="L6554" s="34">
        <v>3</v>
      </c>
      <c r="M6554" s="19">
        <f>IF(OR(ISBLANK(C6554),C6554=""),"",ROUND((C6554-B6554)*24,2))</f>
        <v>172.17</v>
      </c>
      <c r="N6554" s="39" t="str">
        <f>IF(OR(ISBLANK(C6554),C6554="",M6554=""),"In Progress",IF(M6554&lt;=J6554,"Met","Breached"))</f>
        <v>Breached</v>
      </c>
    </row>
    <row r="6555" ht="19" customHeight="1" spans="1:14" x14ac:dyDescent="0.25">
      <c r="A6555" s="22" t="s">
        <v>6669</v>
      </c>
      <c r="B6555" s="36">
        <v>45979.83263888889</v>
      </c>
      <c r="C6555" s="36">
        <v>45980.601388888885</v>
      </c>
      <c r="D6555" s="22" t="s">
        <v>33</v>
      </c>
      <c r="E6555" s="22" t="s">
        <v>61</v>
      </c>
      <c r="F6555" s="22" t="s">
        <v>40</v>
      </c>
      <c r="G6555" s="22" t="s">
        <v>110</v>
      </c>
      <c r="H6555" s="22" t="s">
        <v>59</v>
      </c>
      <c r="I6555" s="22" t="s">
        <v>111</v>
      </c>
      <c r="J6555" s="23">
        <v>12</v>
      </c>
      <c r="K6555" s="37">
        <v>0</v>
      </c>
      <c r="L6555" s="37">
        <v>5</v>
      </c>
      <c r="M6555" s="22">
        <f>IF(OR(ISBLANK(C6555),C6555=""),"",ROUND((C6555-B6555)*24,2))</f>
        <v>18.45</v>
      </c>
      <c r="N6555" s="38" t="str">
        <f>IF(OR(ISBLANK(C6555),C6555="",M6555=""),"In Progress",IF(M6555&lt;=J6555,"Met","Breached"))</f>
        <v>Breached</v>
      </c>
    </row>
    <row r="6556" ht="19" customHeight="1" spans="1:14" x14ac:dyDescent="0.25">
      <c r="A6556" s="19" t="s">
        <v>6670</v>
      </c>
      <c r="B6556" s="33">
        <v>46041.48819444445</v>
      </c>
      <c r="C6556" s="33">
        <v>46041.74444444444</v>
      </c>
      <c r="D6556" s="19" t="s">
        <v>36</v>
      </c>
      <c r="E6556" s="19" t="s">
        <v>61</v>
      </c>
      <c r="F6556" s="19" t="s">
        <v>37</v>
      </c>
      <c r="G6556" s="19" t="s">
        <v>113</v>
      </c>
      <c r="H6556" s="19" t="s">
        <v>59</v>
      </c>
      <c r="I6556" s="19" t="s">
        <v>117</v>
      </c>
      <c r="J6556" s="20">
        <v>12</v>
      </c>
      <c r="K6556" s="34">
        <v>0</v>
      </c>
      <c r="M6556" s="19">
        <f>IF(OR(ISBLANK(C6556),C6556=""),"",ROUND((C6556-B6556)*24,2))</f>
        <v>6.15</v>
      </c>
      <c r="N6556" s="35" t="str">
        <f>IF(OR(ISBLANK(C6556),C6556="",M6556=""),"In Progress",IF(M6556&lt;=J6556,"Met","Breached"))</f>
        <v>Met</v>
      </c>
    </row>
    <row r="6557" ht="19" customHeight="1" spans="1:14" x14ac:dyDescent="0.25">
      <c r="A6557" s="22" t="s">
        <v>6671</v>
      </c>
      <c r="B6557" s="36">
        <v>45719.75833333333</v>
      </c>
      <c r="C6557" s="36">
        <v>45720.48472222222</v>
      </c>
      <c r="D6557" s="22" t="s">
        <v>33</v>
      </c>
      <c r="E6557" s="22" t="s">
        <v>65</v>
      </c>
      <c r="F6557" s="22" t="s">
        <v>45</v>
      </c>
      <c r="G6557" s="22" t="s">
        <v>63</v>
      </c>
      <c r="H6557" s="22" t="s">
        <v>67</v>
      </c>
      <c r="I6557" s="22" t="s">
        <v>111</v>
      </c>
      <c r="J6557" s="23">
        <v>48</v>
      </c>
      <c r="K6557" s="37">
        <v>0</v>
      </c>
      <c r="L6557" s="37">
        <v>1</v>
      </c>
      <c r="M6557" s="22">
        <f>IF(OR(ISBLANK(C6557),C6557=""),"",ROUND((C6557-B6557)*24,2))</f>
        <v>17.43</v>
      </c>
      <c r="N6557" s="40" t="str">
        <f>IF(OR(ISBLANK(C6557),C6557="",M6557=""),"In Progress",IF(M6557&lt;=J6557,"Met","Breached"))</f>
        <v>Met</v>
      </c>
    </row>
    <row r="6558" ht="19" customHeight="1" spans="1:14" x14ac:dyDescent="0.25">
      <c r="A6558" s="19" t="s">
        <v>6672</v>
      </c>
      <c r="B6558" s="33">
        <v>45999.69930555555</v>
      </c>
      <c r="D6558" s="19" t="s">
        <v>42</v>
      </c>
      <c r="E6558" s="19" t="s">
        <v>65</v>
      </c>
      <c r="F6558" s="19" t="s">
        <v>45</v>
      </c>
      <c r="G6558" s="19" t="s">
        <v>116</v>
      </c>
      <c r="H6558" s="19" t="s">
        <v>63</v>
      </c>
      <c r="I6558" s="19" t="s">
        <v>147</v>
      </c>
      <c r="J6558" s="20">
        <v>48</v>
      </c>
      <c r="K6558" s="34">
        <v>0</v>
      </c>
      <c r="M6558" s="19" t="str">
        <f>IF(OR(ISBLANK(C6558),C6558=""),"",ROUND((C6558-B6558)*24,2))</f>
        <v/>
      </c>
      <c r="N6558" s="19" t="str">
        <f>IF(OR(ISBLANK(C6558),C6558="",M6558=""),"In Progress",IF(M6558&lt;=J6558,"Met","Breached"))</f>
        <v>In Progress</v>
      </c>
    </row>
    <row r="6559" ht="19" customHeight="1" spans="1:14" x14ac:dyDescent="0.25">
      <c r="A6559" s="22" t="s">
        <v>6673</v>
      </c>
      <c r="B6559" s="36">
        <v>46097.40763888889</v>
      </c>
      <c r="C6559" s="36">
        <v>46099.14444444445</v>
      </c>
      <c r="D6559" s="22" t="s">
        <v>33</v>
      </c>
      <c r="E6559" s="22" t="s">
        <v>65</v>
      </c>
      <c r="F6559" s="22" t="s">
        <v>34</v>
      </c>
      <c r="G6559" s="22" t="s">
        <v>110</v>
      </c>
      <c r="H6559" s="22" t="s">
        <v>59</v>
      </c>
      <c r="I6559" s="22" t="s">
        <v>123</v>
      </c>
      <c r="J6559" s="23">
        <v>48</v>
      </c>
      <c r="K6559" s="37">
        <v>0</v>
      </c>
      <c r="L6559" s="37">
        <v>3</v>
      </c>
      <c r="M6559" s="22">
        <f>IF(OR(ISBLANK(C6559),C6559=""),"",ROUND((C6559-B6559)*24,2))</f>
        <v>41.68</v>
      </c>
      <c r="N6559" s="40" t="str">
        <f>IF(OR(ISBLANK(C6559),C6559="",M6559=""),"In Progress",IF(M6559&lt;=J6559,"Met","Breached"))</f>
        <v>Met</v>
      </c>
    </row>
    <row r="6560" ht="19" customHeight="1" spans="1:14" x14ac:dyDescent="0.25">
      <c r="A6560" s="19" t="s">
        <v>6674</v>
      </c>
      <c r="B6560" s="33">
        <v>45860.674305555556</v>
      </c>
      <c r="C6560" s="33">
        <v>45860.87222222222</v>
      </c>
      <c r="D6560" s="19" t="s">
        <v>33</v>
      </c>
      <c r="E6560" s="19" t="s">
        <v>61</v>
      </c>
      <c r="F6560" s="19" t="s">
        <v>45</v>
      </c>
      <c r="G6560" s="19" t="s">
        <v>113</v>
      </c>
      <c r="H6560" s="19" t="s">
        <v>63</v>
      </c>
      <c r="I6560" s="19" t="s">
        <v>123</v>
      </c>
      <c r="J6560" s="20">
        <v>12</v>
      </c>
      <c r="K6560" s="34">
        <v>0</v>
      </c>
      <c r="L6560" s="34">
        <v>3</v>
      </c>
      <c r="M6560" s="19">
        <f>IF(OR(ISBLANK(C6560),C6560=""),"",ROUND((C6560-B6560)*24,2))</f>
        <v>4.75</v>
      </c>
      <c r="N6560" s="35" t="str">
        <f>IF(OR(ISBLANK(C6560),C6560="",M6560=""),"In Progress",IF(M6560&lt;=J6560,"Met","Breached"))</f>
        <v>Met</v>
      </c>
    </row>
    <row r="6561" ht="19" customHeight="1" spans="1:14" x14ac:dyDescent="0.25">
      <c r="A6561" s="22" t="s">
        <v>6675</v>
      </c>
      <c r="B6561" s="36">
        <v>46124.28611111111</v>
      </c>
      <c r="D6561" s="22" t="s">
        <v>42</v>
      </c>
      <c r="E6561" s="22" t="s">
        <v>65</v>
      </c>
      <c r="F6561" s="22" t="s">
        <v>37</v>
      </c>
      <c r="G6561" s="22" t="s">
        <v>110</v>
      </c>
      <c r="H6561" s="22" t="s">
        <v>63</v>
      </c>
      <c r="I6561" s="22" t="s">
        <v>147</v>
      </c>
      <c r="J6561" s="23">
        <v>48</v>
      </c>
      <c r="K6561" s="37">
        <v>0</v>
      </c>
      <c r="M6561" s="22" t="str">
        <f>IF(OR(ISBLANK(C6561),C6561=""),"",ROUND((C6561-B6561)*24,2))</f>
        <v/>
      </c>
      <c r="N6561" s="22" t="str">
        <f>IF(OR(ISBLANK(C6561),C6561="",M6561=""),"In Progress",IF(M6561&lt;=J6561,"Met","Breached"))</f>
        <v>In Progress</v>
      </c>
    </row>
    <row r="6562" ht="19" customHeight="1" spans="1:14" x14ac:dyDescent="0.25">
      <c r="A6562" s="19" t="s">
        <v>6676</v>
      </c>
      <c r="B6562" s="33">
        <v>46027.84097222222</v>
      </c>
      <c r="C6562" s="33">
        <v>46031.54236111111</v>
      </c>
      <c r="D6562" s="19" t="s">
        <v>33</v>
      </c>
      <c r="E6562" s="19" t="s">
        <v>69</v>
      </c>
      <c r="F6562" s="19" t="s">
        <v>37</v>
      </c>
      <c r="G6562" s="19" t="s">
        <v>121</v>
      </c>
      <c r="H6562" s="19" t="s">
        <v>71</v>
      </c>
      <c r="I6562" s="19" t="s">
        <v>117</v>
      </c>
      <c r="J6562" s="20">
        <v>120</v>
      </c>
      <c r="K6562" s="34">
        <v>0</v>
      </c>
      <c r="L6562" s="34">
        <v>5</v>
      </c>
      <c r="M6562" s="19">
        <f>IF(OR(ISBLANK(C6562),C6562=""),"",ROUND((C6562-B6562)*24,2))</f>
        <v>88.83</v>
      </c>
      <c r="N6562" s="35" t="str">
        <f>IF(OR(ISBLANK(C6562),C6562="",M6562=""),"In Progress",IF(M6562&lt;=J6562,"Met","Breached"))</f>
        <v>Met</v>
      </c>
    </row>
    <row r="6563" ht="19" customHeight="1" spans="1:14" x14ac:dyDescent="0.25">
      <c r="A6563" s="22" t="s">
        <v>6677</v>
      </c>
      <c r="B6563" s="36">
        <v>46226.45416666666</v>
      </c>
      <c r="C6563" s="36">
        <v>46229.19583333333</v>
      </c>
      <c r="D6563" s="22" t="s">
        <v>33</v>
      </c>
      <c r="E6563" s="22" t="s">
        <v>65</v>
      </c>
      <c r="F6563" s="22" t="s">
        <v>40</v>
      </c>
      <c r="G6563" s="22" t="s">
        <v>116</v>
      </c>
      <c r="H6563" s="22" t="s">
        <v>59</v>
      </c>
      <c r="I6563" s="22" t="s">
        <v>111</v>
      </c>
      <c r="J6563" s="23">
        <v>48</v>
      </c>
      <c r="K6563" s="37">
        <v>0</v>
      </c>
      <c r="L6563" s="37">
        <v>2</v>
      </c>
      <c r="M6563" s="22">
        <f>IF(OR(ISBLANK(C6563),C6563=""),"",ROUND((C6563-B6563)*24,2))</f>
        <v>65.8</v>
      </c>
      <c r="N6563" s="38" t="str">
        <f>IF(OR(ISBLANK(C6563),C6563="",M6563=""),"In Progress",IF(M6563&lt;=J6563,"Met","Breached"))</f>
        <v>Breached</v>
      </c>
    </row>
    <row r="6564" ht="19" customHeight="1" spans="1:14" x14ac:dyDescent="0.25">
      <c r="A6564" s="19" t="s">
        <v>6678</v>
      </c>
      <c r="B6564" s="33">
        <v>46009.54583333334</v>
      </c>
      <c r="C6564" s="33">
        <v>46011.35486111111</v>
      </c>
      <c r="D6564" s="19" t="s">
        <v>36</v>
      </c>
      <c r="E6564" s="19" t="s">
        <v>69</v>
      </c>
      <c r="F6564" s="19" t="s">
        <v>45</v>
      </c>
      <c r="G6564" s="19" t="s">
        <v>116</v>
      </c>
      <c r="H6564" s="19" t="s">
        <v>67</v>
      </c>
      <c r="I6564" s="19" t="s">
        <v>147</v>
      </c>
      <c r="J6564" s="20">
        <v>120</v>
      </c>
      <c r="K6564" s="34">
        <v>0</v>
      </c>
      <c r="M6564" s="19">
        <f>IF(OR(ISBLANK(C6564),C6564=""),"",ROUND((C6564-B6564)*24,2))</f>
        <v>43.42</v>
      </c>
      <c r="N6564" s="35" t="str">
        <f>IF(OR(ISBLANK(C6564),C6564="",M6564=""),"In Progress",IF(M6564&lt;=J6564,"Met","Breached"))</f>
        <v>Met</v>
      </c>
    </row>
    <row r="6565" ht="19" customHeight="1" spans="1:14" x14ac:dyDescent="0.25">
      <c r="A6565" s="22" t="s">
        <v>6679</v>
      </c>
      <c r="B6565" s="36">
        <v>45820.870833333334</v>
      </c>
      <c r="C6565" s="36">
        <v>45821.1375</v>
      </c>
      <c r="D6565" s="22" t="s">
        <v>33</v>
      </c>
      <c r="E6565" s="22" t="s">
        <v>61</v>
      </c>
      <c r="F6565" s="22" t="s">
        <v>34</v>
      </c>
      <c r="G6565" s="22" t="s">
        <v>121</v>
      </c>
      <c r="H6565" s="22" t="s">
        <v>71</v>
      </c>
      <c r="I6565" s="22" t="s">
        <v>111</v>
      </c>
      <c r="J6565" s="23">
        <v>12</v>
      </c>
      <c r="K6565" s="37">
        <v>0</v>
      </c>
      <c r="L6565" s="37">
        <v>1</v>
      </c>
      <c r="M6565" s="22">
        <f>IF(OR(ISBLANK(C6565),C6565=""),"",ROUND((C6565-B6565)*24,2))</f>
        <v>6.4</v>
      </c>
      <c r="N6565" s="40" t="str">
        <f>IF(OR(ISBLANK(C6565),C6565="",M6565=""),"In Progress",IF(M6565&lt;=J6565,"Met","Breached"))</f>
        <v>Met</v>
      </c>
    </row>
    <row r="6566" ht="19" customHeight="1" spans="1:14" x14ac:dyDescent="0.25">
      <c r="A6566" s="19" t="s">
        <v>6680</v>
      </c>
      <c r="B6566" s="33">
        <v>46250.5125</v>
      </c>
      <c r="C6566" s="33">
        <v>46253.14444444445</v>
      </c>
      <c r="D6566" s="19" t="s">
        <v>36</v>
      </c>
      <c r="E6566" s="19" t="s">
        <v>65</v>
      </c>
      <c r="F6566" s="19" t="s">
        <v>45</v>
      </c>
      <c r="G6566" s="19" t="s">
        <v>63</v>
      </c>
      <c r="H6566" s="19" t="s">
        <v>59</v>
      </c>
      <c r="I6566" s="19" t="s">
        <v>114</v>
      </c>
      <c r="J6566" s="20">
        <v>48</v>
      </c>
      <c r="K6566" s="34">
        <v>0</v>
      </c>
      <c r="M6566" s="19">
        <f>IF(OR(ISBLANK(C6566),C6566=""),"",ROUND((C6566-B6566)*24,2))</f>
        <v>63.17</v>
      </c>
      <c r="N6566" s="39" t="str">
        <f>IF(OR(ISBLANK(C6566),C6566="",M6566=""),"In Progress",IF(M6566&lt;=J6566,"Met","Breached"))</f>
        <v>Breached</v>
      </c>
    </row>
    <row r="6567" ht="19" customHeight="1" spans="1:14" x14ac:dyDescent="0.25">
      <c r="A6567" s="22" t="s">
        <v>6681</v>
      </c>
      <c r="B6567" s="36">
        <v>45992.398611111115</v>
      </c>
      <c r="C6567" s="36">
        <v>45993.84930555556</v>
      </c>
      <c r="D6567" s="22" t="s">
        <v>33</v>
      </c>
      <c r="E6567" s="22" t="s">
        <v>65</v>
      </c>
      <c r="F6567" s="22" t="s">
        <v>40</v>
      </c>
      <c r="G6567" s="22" t="s">
        <v>116</v>
      </c>
      <c r="H6567" s="22" t="s">
        <v>59</v>
      </c>
      <c r="I6567" s="22" t="s">
        <v>111</v>
      </c>
      <c r="J6567" s="23">
        <v>48</v>
      </c>
      <c r="K6567" s="37">
        <v>0</v>
      </c>
      <c r="L6567" s="37">
        <v>5</v>
      </c>
      <c r="M6567" s="22">
        <f>IF(OR(ISBLANK(C6567),C6567=""),"",ROUND((C6567-B6567)*24,2))</f>
        <v>34.82</v>
      </c>
      <c r="N6567" s="40" t="str">
        <f>IF(OR(ISBLANK(C6567),C6567="",M6567=""),"In Progress",IF(M6567&lt;=J6567,"Met","Breached"))</f>
        <v>Met</v>
      </c>
    </row>
    <row r="6568" ht="19" customHeight="1" spans="1:14" x14ac:dyDescent="0.25">
      <c r="A6568" s="19" t="s">
        <v>6682</v>
      </c>
      <c r="B6568" s="33">
        <v>45791.893055555556</v>
      </c>
      <c r="C6568" s="33">
        <v>45792.72708333333</v>
      </c>
      <c r="D6568" s="19" t="s">
        <v>36</v>
      </c>
      <c r="E6568" s="19" t="s">
        <v>61</v>
      </c>
      <c r="F6568" s="19" t="s">
        <v>34</v>
      </c>
      <c r="G6568" s="19" t="s">
        <v>116</v>
      </c>
      <c r="H6568" s="19" t="s">
        <v>59</v>
      </c>
      <c r="I6568" s="19" t="s">
        <v>111</v>
      </c>
      <c r="J6568" s="20">
        <v>12</v>
      </c>
      <c r="K6568" s="34">
        <v>0</v>
      </c>
      <c r="L6568" s="34">
        <v>5</v>
      </c>
      <c r="M6568" s="19">
        <f>IF(OR(ISBLANK(C6568),C6568=""),"",ROUND((C6568-B6568)*24,2))</f>
        <v>20.02</v>
      </c>
      <c r="N6568" s="39" t="str">
        <f>IF(OR(ISBLANK(C6568),C6568="",M6568=""),"In Progress",IF(M6568&lt;=J6568,"Met","Breached"))</f>
        <v>Breached</v>
      </c>
    </row>
    <row r="6569" ht="19" customHeight="1" spans="1:14" x14ac:dyDescent="0.25">
      <c r="A6569" s="22" t="s">
        <v>6683</v>
      </c>
      <c r="B6569" s="36">
        <v>46222.93472222222</v>
      </c>
      <c r="C6569" s="36">
        <v>46225.28125</v>
      </c>
      <c r="D6569" s="22" t="s">
        <v>36</v>
      </c>
      <c r="E6569" s="22" t="s">
        <v>65</v>
      </c>
      <c r="F6569" s="22" t="s">
        <v>34</v>
      </c>
      <c r="G6569" s="22" t="s">
        <v>63</v>
      </c>
      <c r="H6569" s="22" t="s">
        <v>63</v>
      </c>
      <c r="I6569" s="22" t="s">
        <v>123</v>
      </c>
      <c r="J6569" s="23">
        <v>48</v>
      </c>
      <c r="K6569" s="37">
        <v>0</v>
      </c>
      <c r="M6569" s="22">
        <f>IF(OR(ISBLANK(C6569),C6569=""),"",ROUND((C6569-B6569)*24,2))</f>
        <v>56.32</v>
      </c>
      <c r="N6569" s="38" t="str">
        <f>IF(OR(ISBLANK(C6569),C6569="",M6569=""),"In Progress",IF(M6569&lt;=J6569,"Met","Breached"))</f>
        <v>Breached</v>
      </c>
    </row>
    <row r="6570" ht="19" customHeight="1" spans="1:14" x14ac:dyDescent="0.25">
      <c r="A6570" s="19" t="s">
        <v>6684</v>
      </c>
      <c r="B6570" s="33">
        <v>45708.57777777778</v>
      </c>
      <c r="C6570" s="33">
        <v>45712.180555555555</v>
      </c>
      <c r="D6570" s="19" t="s">
        <v>36</v>
      </c>
      <c r="E6570" s="19" t="s">
        <v>69</v>
      </c>
      <c r="F6570" s="19" t="s">
        <v>43</v>
      </c>
      <c r="G6570" s="19" t="s">
        <v>113</v>
      </c>
      <c r="H6570" s="19" t="s">
        <v>67</v>
      </c>
      <c r="I6570" s="19" t="s">
        <v>111</v>
      </c>
      <c r="J6570" s="20">
        <v>120</v>
      </c>
      <c r="K6570" s="34">
        <v>0</v>
      </c>
      <c r="L6570" s="34">
        <v>4</v>
      </c>
      <c r="M6570" s="19">
        <f>IF(OR(ISBLANK(C6570),C6570=""),"",ROUND((C6570-B6570)*24,2))</f>
        <v>86.47</v>
      </c>
      <c r="N6570" s="35" t="str">
        <f>IF(OR(ISBLANK(C6570),C6570="",M6570=""),"In Progress",IF(M6570&lt;=J6570,"Met","Breached"))</f>
        <v>Met</v>
      </c>
    </row>
    <row r="6571" ht="19" customHeight="1" spans="1:14" x14ac:dyDescent="0.25">
      <c r="A6571" s="22" t="s">
        <v>6685</v>
      </c>
      <c r="B6571" s="36">
        <v>45759.96875</v>
      </c>
      <c r="C6571" s="36">
        <v>45766.73472222222</v>
      </c>
      <c r="D6571" s="22" t="s">
        <v>36</v>
      </c>
      <c r="E6571" s="22" t="s">
        <v>69</v>
      </c>
      <c r="F6571" s="22" t="s">
        <v>34</v>
      </c>
      <c r="G6571" s="22" t="s">
        <v>113</v>
      </c>
      <c r="H6571" s="22" t="s">
        <v>71</v>
      </c>
      <c r="I6571" s="22" t="s">
        <v>114</v>
      </c>
      <c r="J6571" s="23">
        <v>120</v>
      </c>
      <c r="K6571" s="37">
        <v>0</v>
      </c>
      <c r="M6571" s="22">
        <f>IF(OR(ISBLANK(C6571),C6571=""),"",ROUND((C6571-B6571)*24,2))</f>
        <v>162.38</v>
      </c>
      <c r="N6571" s="38" t="str">
        <f>IF(OR(ISBLANK(C6571),C6571="",M6571=""),"In Progress",IF(M6571&lt;=J6571,"Met","Breached"))</f>
        <v>Breached</v>
      </c>
    </row>
    <row r="6572" ht="19" customHeight="1" spans="1:14" x14ac:dyDescent="0.25">
      <c r="A6572" s="19" t="s">
        <v>6686</v>
      </c>
      <c r="B6572" s="33">
        <v>46183.34027777778</v>
      </c>
      <c r="C6572" s="33">
        <v>46183.50208333333</v>
      </c>
      <c r="D6572" s="19" t="s">
        <v>33</v>
      </c>
      <c r="E6572" s="19" t="s">
        <v>57</v>
      </c>
      <c r="F6572" s="19" t="s">
        <v>37</v>
      </c>
      <c r="G6572" s="19" t="s">
        <v>110</v>
      </c>
      <c r="H6572" s="19" t="s">
        <v>63</v>
      </c>
      <c r="I6572" s="19" t="s">
        <v>117</v>
      </c>
      <c r="J6572" s="20">
        <v>4</v>
      </c>
      <c r="K6572" s="34">
        <v>0</v>
      </c>
      <c r="L6572" s="34">
        <v>1</v>
      </c>
      <c r="M6572" s="19">
        <f>IF(OR(ISBLANK(C6572),C6572=""),"",ROUND((C6572-B6572)*24,2))</f>
        <v>3.88</v>
      </c>
      <c r="N6572" s="35" t="str">
        <f>IF(OR(ISBLANK(C6572),C6572="",M6572=""),"In Progress",IF(M6572&lt;=J6572,"Met","Breached"))</f>
        <v>Met</v>
      </c>
    </row>
    <row r="6573" ht="19" customHeight="1" spans="1:14" x14ac:dyDescent="0.25">
      <c r="A6573" s="22" t="s">
        <v>6687</v>
      </c>
      <c r="B6573" s="36">
        <v>46083.978472222225</v>
      </c>
      <c r="C6573" s="36">
        <v>46087.25486111111</v>
      </c>
      <c r="D6573" s="22" t="s">
        <v>33</v>
      </c>
      <c r="E6573" s="22" t="s">
        <v>65</v>
      </c>
      <c r="F6573" s="22" t="s">
        <v>45</v>
      </c>
      <c r="G6573" s="22" t="s">
        <v>113</v>
      </c>
      <c r="H6573" s="22" t="s">
        <v>59</v>
      </c>
      <c r="I6573" s="22" t="s">
        <v>114</v>
      </c>
      <c r="J6573" s="23">
        <v>48</v>
      </c>
      <c r="K6573" s="37">
        <v>0</v>
      </c>
      <c r="L6573" s="37">
        <v>3</v>
      </c>
      <c r="M6573" s="22">
        <f>IF(OR(ISBLANK(C6573),C6573=""),"",ROUND((C6573-B6573)*24,2))</f>
        <v>78.63</v>
      </c>
      <c r="N6573" s="38" t="str">
        <f>IF(OR(ISBLANK(C6573),C6573="",M6573=""),"In Progress",IF(M6573&lt;=J6573,"Met","Breached"))</f>
        <v>Breached</v>
      </c>
    </row>
    <row r="6574" ht="19" customHeight="1" spans="1:14" x14ac:dyDescent="0.25">
      <c r="A6574" s="19" t="s">
        <v>6688</v>
      </c>
      <c r="B6574" s="33">
        <v>46107.45</v>
      </c>
      <c r="C6574" s="33">
        <v>46107.976388888885</v>
      </c>
      <c r="D6574" s="19" t="s">
        <v>33</v>
      </c>
      <c r="E6574" s="19" t="s">
        <v>61</v>
      </c>
      <c r="F6574" s="19" t="s">
        <v>34</v>
      </c>
      <c r="G6574" s="19" t="s">
        <v>110</v>
      </c>
      <c r="H6574" s="19" t="s">
        <v>71</v>
      </c>
      <c r="I6574" s="19" t="s">
        <v>123</v>
      </c>
      <c r="J6574" s="20">
        <v>12</v>
      </c>
      <c r="K6574" s="34">
        <v>0</v>
      </c>
      <c r="L6574" s="34">
        <v>3</v>
      </c>
      <c r="M6574" s="19">
        <f>IF(OR(ISBLANK(C6574),C6574=""),"",ROUND((C6574-B6574)*24,2))</f>
        <v>12.63</v>
      </c>
      <c r="N6574" s="39" t="str">
        <f>IF(OR(ISBLANK(C6574),C6574="",M6574=""),"In Progress",IF(M6574&lt;=J6574,"Met","Breached"))</f>
        <v>Breached</v>
      </c>
    </row>
    <row r="6575" ht="19" customHeight="1" spans="1:14" x14ac:dyDescent="0.25">
      <c r="A6575" s="22" t="s">
        <v>6689</v>
      </c>
      <c r="B6575" s="36">
        <v>45817.99097222222</v>
      </c>
      <c r="D6575" s="22" t="s">
        <v>39</v>
      </c>
      <c r="E6575" s="22" t="s">
        <v>61</v>
      </c>
      <c r="F6575" s="22" t="s">
        <v>40</v>
      </c>
      <c r="G6575" s="22" t="s">
        <v>116</v>
      </c>
      <c r="H6575" s="22" t="s">
        <v>67</v>
      </c>
      <c r="I6575" s="22" t="s">
        <v>123</v>
      </c>
      <c r="J6575" s="23">
        <v>12</v>
      </c>
      <c r="K6575" s="37">
        <v>0</v>
      </c>
      <c r="M6575" s="22" t="str">
        <f>IF(OR(ISBLANK(C6575),C6575=""),"",ROUND((C6575-B6575)*24,2))</f>
        <v/>
      </c>
      <c r="N6575" s="22" t="str">
        <f>IF(OR(ISBLANK(C6575),C6575="",M6575=""),"In Progress",IF(M6575&lt;=J6575,"Met","Breached"))</f>
        <v>In Progress</v>
      </c>
    </row>
    <row r="6576" ht="19" customHeight="1" spans="1:14" x14ac:dyDescent="0.25">
      <c r="A6576" s="19" t="s">
        <v>6690</v>
      </c>
      <c r="B6576" s="33">
        <v>46088.350694444445</v>
      </c>
      <c r="D6576" s="19" t="s">
        <v>39</v>
      </c>
      <c r="E6576" s="19" t="s">
        <v>69</v>
      </c>
      <c r="F6576" s="19" t="s">
        <v>45</v>
      </c>
      <c r="G6576" s="19" t="s">
        <v>121</v>
      </c>
      <c r="H6576" s="19" t="s">
        <v>63</v>
      </c>
      <c r="I6576" s="19" t="s">
        <v>108</v>
      </c>
      <c r="J6576" s="20">
        <v>120</v>
      </c>
      <c r="K6576" s="34">
        <v>0</v>
      </c>
      <c r="M6576" s="19" t="str">
        <f>IF(OR(ISBLANK(C6576),C6576=""),"",ROUND((C6576-B6576)*24,2))</f>
        <v/>
      </c>
      <c r="N6576" s="19" t="str">
        <f>IF(OR(ISBLANK(C6576),C6576="",M6576=""),"In Progress",IF(M6576&lt;=J6576,"Met","Breached"))</f>
        <v>In Progress</v>
      </c>
    </row>
    <row r="6577" ht="19" customHeight="1" spans="1:14" x14ac:dyDescent="0.25">
      <c r="A6577" s="22" t="s">
        <v>6691</v>
      </c>
      <c r="B6577" s="36">
        <v>46164.49791666667</v>
      </c>
      <c r="C6577" s="36">
        <v>46172.506944444445</v>
      </c>
      <c r="D6577" s="22" t="s">
        <v>36</v>
      </c>
      <c r="E6577" s="22" t="s">
        <v>69</v>
      </c>
      <c r="F6577" s="22" t="s">
        <v>37</v>
      </c>
      <c r="G6577" s="22" t="s">
        <v>116</v>
      </c>
      <c r="H6577" s="22" t="s">
        <v>67</v>
      </c>
      <c r="I6577" s="22" t="s">
        <v>111</v>
      </c>
      <c r="J6577" s="23">
        <v>120</v>
      </c>
      <c r="K6577" s="37">
        <v>0</v>
      </c>
      <c r="L6577" s="37">
        <v>2</v>
      </c>
      <c r="M6577" s="22">
        <f>IF(OR(ISBLANK(C6577),C6577=""),"",ROUND((C6577-B6577)*24,2))</f>
        <v>192.22</v>
      </c>
      <c r="N6577" s="38" t="str">
        <f>IF(OR(ISBLANK(C6577),C6577="",M6577=""),"In Progress",IF(M6577&lt;=J6577,"Met","Breached"))</f>
        <v>Breached</v>
      </c>
    </row>
    <row r="6578" ht="19" customHeight="1" spans="1:14" x14ac:dyDescent="0.25">
      <c r="A6578" s="19" t="s">
        <v>6692</v>
      </c>
      <c r="B6578" s="33">
        <v>45968.12777777778</v>
      </c>
      <c r="C6578" s="33">
        <v>45971.549305555556</v>
      </c>
      <c r="D6578" s="19" t="s">
        <v>33</v>
      </c>
      <c r="E6578" s="19" t="s">
        <v>65</v>
      </c>
      <c r="F6578" s="19" t="s">
        <v>45</v>
      </c>
      <c r="G6578" s="19" t="s">
        <v>63</v>
      </c>
      <c r="H6578" s="19" t="s">
        <v>63</v>
      </c>
      <c r="I6578" s="19" t="s">
        <v>108</v>
      </c>
      <c r="J6578" s="20">
        <v>48</v>
      </c>
      <c r="K6578" s="34">
        <v>0</v>
      </c>
      <c r="L6578" s="34">
        <v>5</v>
      </c>
      <c r="M6578" s="19">
        <f>IF(OR(ISBLANK(C6578),C6578=""),"",ROUND((C6578-B6578)*24,2))</f>
        <v>82.12</v>
      </c>
      <c r="N6578" s="39" t="str">
        <f>IF(OR(ISBLANK(C6578),C6578="",M6578=""),"In Progress",IF(M6578&lt;=J6578,"Met","Breached"))</f>
        <v>Breached</v>
      </c>
    </row>
    <row r="6579" ht="19" customHeight="1" spans="1:14" x14ac:dyDescent="0.25">
      <c r="A6579" s="22" t="s">
        <v>6693</v>
      </c>
      <c r="B6579" s="36">
        <v>45937.788888888885</v>
      </c>
      <c r="C6579" s="36">
        <v>45937.90416666667</v>
      </c>
      <c r="D6579" s="22" t="s">
        <v>33</v>
      </c>
      <c r="E6579" s="22" t="s">
        <v>57</v>
      </c>
      <c r="F6579" s="22" t="s">
        <v>40</v>
      </c>
      <c r="G6579" s="22" t="s">
        <v>116</v>
      </c>
      <c r="H6579" s="22" t="s">
        <v>71</v>
      </c>
      <c r="I6579" s="22" t="s">
        <v>123</v>
      </c>
      <c r="J6579" s="23">
        <v>4</v>
      </c>
      <c r="K6579" s="37">
        <v>0</v>
      </c>
      <c r="M6579" s="22">
        <f>IF(OR(ISBLANK(C6579),C6579=""),"",ROUND((C6579-B6579)*24,2))</f>
        <v>2.77</v>
      </c>
      <c r="N6579" s="40" t="str">
        <f>IF(OR(ISBLANK(C6579),C6579="",M6579=""),"In Progress",IF(M6579&lt;=J6579,"Met","Breached"))</f>
        <v>Met</v>
      </c>
    </row>
    <row r="6580" ht="19" customHeight="1" spans="1:14" x14ac:dyDescent="0.25">
      <c r="A6580" s="19" t="s">
        <v>6694</v>
      </c>
      <c r="B6580" s="33">
        <v>46157.02569444444</v>
      </c>
      <c r="D6580" s="19" t="s">
        <v>42</v>
      </c>
      <c r="E6580" s="19" t="s">
        <v>65</v>
      </c>
      <c r="F6580" s="19" t="s">
        <v>37</v>
      </c>
      <c r="G6580" s="19" t="s">
        <v>110</v>
      </c>
      <c r="H6580" s="19" t="s">
        <v>59</v>
      </c>
      <c r="I6580" s="19" t="s">
        <v>123</v>
      </c>
      <c r="J6580" s="20">
        <v>48</v>
      </c>
      <c r="K6580" s="34">
        <v>0</v>
      </c>
      <c r="M6580" s="19" t="str">
        <f>IF(OR(ISBLANK(C6580),C6580=""),"",ROUND((C6580-B6580)*24,2))</f>
        <v/>
      </c>
      <c r="N6580" s="19" t="str">
        <f>IF(OR(ISBLANK(C6580),C6580="",M6580=""),"In Progress",IF(M6580&lt;=J6580,"Met","Breached"))</f>
        <v>In Progress</v>
      </c>
    </row>
    <row r="6581" ht="19" customHeight="1" spans="1:14" x14ac:dyDescent="0.25">
      <c r="A6581" s="22" t="s">
        <v>6695</v>
      </c>
      <c r="B6581" s="36">
        <v>46079.48472222222</v>
      </c>
      <c r="C6581" s="36">
        <v>46082.04375</v>
      </c>
      <c r="D6581" s="22" t="s">
        <v>33</v>
      </c>
      <c r="E6581" s="22" t="s">
        <v>69</v>
      </c>
      <c r="F6581" s="22" t="s">
        <v>45</v>
      </c>
      <c r="G6581" s="22" t="s">
        <v>113</v>
      </c>
      <c r="H6581" s="22" t="s">
        <v>59</v>
      </c>
      <c r="I6581" s="22" t="s">
        <v>117</v>
      </c>
      <c r="J6581" s="23">
        <v>120</v>
      </c>
      <c r="K6581" s="37">
        <v>0</v>
      </c>
      <c r="L6581" s="37">
        <v>4</v>
      </c>
      <c r="M6581" s="22">
        <f>IF(OR(ISBLANK(C6581),C6581=""),"",ROUND((C6581-B6581)*24,2))</f>
        <v>61.42</v>
      </c>
      <c r="N6581" s="40" t="str">
        <f>IF(OR(ISBLANK(C6581),C6581="",M6581=""),"In Progress",IF(M6581&lt;=J6581,"Met","Breached"))</f>
        <v>Met</v>
      </c>
    </row>
    <row r="6582" ht="19" customHeight="1" spans="1:14" x14ac:dyDescent="0.25">
      <c r="A6582" s="19" t="s">
        <v>6696</v>
      </c>
      <c r="B6582" s="33">
        <v>45746.90138888889</v>
      </c>
      <c r="C6582" s="33">
        <v>45753.799305555556</v>
      </c>
      <c r="D6582" s="19" t="s">
        <v>33</v>
      </c>
      <c r="E6582" s="19" t="s">
        <v>69</v>
      </c>
      <c r="F6582" s="19" t="s">
        <v>45</v>
      </c>
      <c r="G6582" s="19" t="s">
        <v>113</v>
      </c>
      <c r="H6582" s="19" t="s">
        <v>59</v>
      </c>
      <c r="I6582" s="19" t="s">
        <v>147</v>
      </c>
      <c r="J6582" s="20">
        <v>120</v>
      </c>
      <c r="K6582" s="34">
        <v>0</v>
      </c>
      <c r="L6582" s="34">
        <v>1</v>
      </c>
      <c r="M6582" s="19">
        <f>IF(OR(ISBLANK(C6582),C6582=""),"",ROUND((C6582-B6582)*24,2))</f>
        <v>165.55</v>
      </c>
      <c r="N6582" s="39" t="str">
        <f>IF(OR(ISBLANK(C6582),C6582="",M6582=""),"In Progress",IF(M6582&lt;=J6582,"Met","Breached"))</f>
        <v>Breached</v>
      </c>
    </row>
    <row r="6583" ht="19" customHeight="1" spans="1:14" x14ac:dyDescent="0.25">
      <c r="A6583" s="22" t="s">
        <v>6697</v>
      </c>
      <c r="B6583" s="36">
        <v>46089.01041666667</v>
      </c>
      <c r="D6583" s="22" t="s">
        <v>42</v>
      </c>
      <c r="E6583" s="22" t="s">
        <v>61</v>
      </c>
      <c r="F6583" s="22" t="s">
        <v>37</v>
      </c>
      <c r="G6583" s="22" t="s">
        <v>121</v>
      </c>
      <c r="H6583" s="22" t="s">
        <v>63</v>
      </c>
      <c r="I6583" s="22" t="s">
        <v>123</v>
      </c>
      <c r="J6583" s="23">
        <v>12</v>
      </c>
      <c r="K6583" s="37">
        <v>0</v>
      </c>
      <c r="M6583" s="22" t="str">
        <f>IF(OR(ISBLANK(C6583),C6583=""),"",ROUND((C6583-B6583)*24,2))</f>
        <v/>
      </c>
      <c r="N6583" s="22" t="str">
        <f>IF(OR(ISBLANK(C6583),C6583="",M6583=""),"In Progress",IF(M6583&lt;=J6583,"Met","Breached"))</f>
        <v>In Progress</v>
      </c>
    </row>
    <row r="6584" ht="19" customHeight="1" spans="1:14" x14ac:dyDescent="0.25">
      <c r="A6584" s="19" t="s">
        <v>6698</v>
      </c>
      <c r="B6584" s="33">
        <v>45869.80416666667</v>
      </c>
      <c r="D6584" s="19" t="s">
        <v>39</v>
      </c>
      <c r="E6584" s="19" t="s">
        <v>57</v>
      </c>
      <c r="F6584" s="19" t="s">
        <v>40</v>
      </c>
      <c r="G6584" s="19" t="s">
        <v>126</v>
      </c>
      <c r="H6584" s="19" t="s">
        <v>63</v>
      </c>
      <c r="I6584" s="19" t="s">
        <v>111</v>
      </c>
      <c r="J6584" s="20">
        <v>4</v>
      </c>
      <c r="K6584" s="34">
        <v>0</v>
      </c>
      <c r="M6584" s="19" t="str">
        <f>IF(OR(ISBLANK(C6584),C6584=""),"",ROUND((C6584-B6584)*24,2))</f>
        <v/>
      </c>
      <c r="N6584" s="19" t="str">
        <f>IF(OR(ISBLANK(C6584),C6584="",M6584=""),"In Progress",IF(M6584&lt;=J6584,"Met","Breached"))</f>
        <v>In Progress</v>
      </c>
    </row>
    <row r="6585" ht="19" customHeight="1" spans="1:14" x14ac:dyDescent="0.25">
      <c r="A6585" s="22" t="s">
        <v>6699</v>
      </c>
      <c r="B6585" s="36">
        <v>45902.09583333333</v>
      </c>
      <c r="C6585" s="36">
        <v>45905.3625</v>
      </c>
      <c r="D6585" s="22" t="s">
        <v>36</v>
      </c>
      <c r="E6585" s="22" t="s">
        <v>65</v>
      </c>
      <c r="F6585" s="22" t="s">
        <v>43</v>
      </c>
      <c r="G6585" s="22" t="s">
        <v>113</v>
      </c>
      <c r="H6585" s="22" t="s">
        <v>71</v>
      </c>
      <c r="I6585" s="22" t="s">
        <v>114</v>
      </c>
      <c r="J6585" s="23">
        <v>48</v>
      </c>
      <c r="K6585" s="37">
        <v>1</v>
      </c>
      <c r="L6585" s="37">
        <v>5</v>
      </c>
      <c r="M6585" s="22">
        <f>IF(OR(ISBLANK(C6585),C6585=""),"",ROUND((C6585-B6585)*24,2))</f>
        <v>78.4</v>
      </c>
      <c r="N6585" s="38" t="str">
        <f>IF(OR(ISBLANK(C6585),C6585="",M6585=""),"In Progress",IF(M6585&lt;=J6585,"Met","Breached"))</f>
        <v>Breached</v>
      </c>
    </row>
    <row r="6586" ht="19" customHeight="1" spans="1:14" x14ac:dyDescent="0.25">
      <c r="A6586" s="19" t="s">
        <v>6700</v>
      </c>
      <c r="B6586" s="33">
        <v>45933.600694444445</v>
      </c>
      <c r="C6586" s="33">
        <v>45934.39444444445</v>
      </c>
      <c r="D6586" s="19" t="s">
        <v>36</v>
      </c>
      <c r="E6586" s="19" t="s">
        <v>61</v>
      </c>
      <c r="F6586" s="19" t="s">
        <v>34</v>
      </c>
      <c r="G6586" s="19" t="s">
        <v>110</v>
      </c>
      <c r="H6586" s="19" t="s">
        <v>67</v>
      </c>
      <c r="I6586" s="19" t="s">
        <v>147</v>
      </c>
      <c r="J6586" s="20">
        <v>12</v>
      </c>
      <c r="K6586" s="34">
        <v>0</v>
      </c>
      <c r="L6586" s="34">
        <v>5</v>
      </c>
      <c r="M6586" s="19">
        <f>IF(OR(ISBLANK(C6586),C6586=""),"",ROUND((C6586-B6586)*24,2))</f>
        <v>19.05</v>
      </c>
      <c r="N6586" s="39" t="str">
        <f>IF(OR(ISBLANK(C6586),C6586="",M6586=""),"In Progress",IF(M6586&lt;=J6586,"Met","Breached"))</f>
        <v>Breached</v>
      </c>
    </row>
    <row r="6587" ht="19" customHeight="1" spans="1:14" x14ac:dyDescent="0.25">
      <c r="A6587" s="22" t="s">
        <v>6701</v>
      </c>
      <c r="B6587" s="36">
        <v>45788.85902777778</v>
      </c>
      <c r="C6587" s="36">
        <v>45790.11875</v>
      </c>
      <c r="D6587" s="22" t="s">
        <v>36</v>
      </c>
      <c r="E6587" s="22" t="s">
        <v>65</v>
      </c>
      <c r="F6587" s="22" t="s">
        <v>40</v>
      </c>
      <c r="G6587" s="22" t="s">
        <v>110</v>
      </c>
      <c r="H6587" s="22" t="s">
        <v>71</v>
      </c>
      <c r="I6587" s="22" t="s">
        <v>117</v>
      </c>
      <c r="J6587" s="23">
        <v>48</v>
      </c>
      <c r="K6587" s="37">
        <v>0</v>
      </c>
      <c r="M6587" s="22">
        <f>IF(OR(ISBLANK(C6587),C6587=""),"",ROUND((C6587-B6587)*24,2))</f>
        <v>30.23</v>
      </c>
      <c r="N6587" s="40" t="str">
        <f>IF(OR(ISBLANK(C6587),C6587="",M6587=""),"In Progress",IF(M6587&lt;=J6587,"Met","Breached"))</f>
        <v>Met</v>
      </c>
    </row>
    <row r="6588" ht="19" customHeight="1" spans="1:14" x14ac:dyDescent="0.25">
      <c r="A6588" s="19" t="s">
        <v>6702</v>
      </c>
      <c r="B6588" s="33">
        <v>46213.86597222222</v>
      </c>
      <c r="D6588" s="19" t="s">
        <v>39</v>
      </c>
      <c r="E6588" s="19" t="s">
        <v>69</v>
      </c>
      <c r="F6588" s="19" t="s">
        <v>34</v>
      </c>
      <c r="G6588" s="19" t="s">
        <v>121</v>
      </c>
      <c r="H6588" s="19" t="s">
        <v>59</v>
      </c>
      <c r="I6588" s="19" t="s">
        <v>108</v>
      </c>
      <c r="J6588" s="20">
        <v>120</v>
      </c>
      <c r="K6588" s="34">
        <v>0</v>
      </c>
      <c r="M6588" s="19" t="str">
        <f>IF(OR(ISBLANK(C6588),C6588=""),"",ROUND((C6588-B6588)*24,2))</f>
        <v/>
      </c>
      <c r="N6588" s="19" t="str">
        <f>IF(OR(ISBLANK(C6588),C6588="",M6588=""),"In Progress",IF(M6588&lt;=J6588,"Met","Breached"))</f>
        <v>In Progress</v>
      </c>
    </row>
    <row r="6589" ht="19" customHeight="1" spans="1:14" x14ac:dyDescent="0.25">
      <c r="A6589" s="22" t="s">
        <v>6703</v>
      </c>
      <c r="B6589" s="36">
        <v>45953.97777777778</v>
      </c>
      <c r="C6589" s="36">
        <v>45954.21597222222</v>
      </c>
      <c r="D6589" s="22" t="s">
        <v>33</v>
      </c>
      <c r="E6589" s="22" t="s">
        <v>57</v>
      </c>
      <c r="F6589" s="22" t="s">
        <v>34</v>
      </c>
      <c r="G6589" s="22" t="s">
        <v>63</v>
      </c>
      <c r="H6589" s="22" t="s">
        <v>59</v>
      </c>
      <c r="I6589" s="22" t="s">
        <v>117</v>
      </c>
      <c r="J6589" s="23">
        <v>4</v>
      </c>
      <c r="K6589" s="37">
        <v>1</v>
      </c>
      <c r="L6589" s="37">
        <v>5</v>
      </c>
      <c r="M6589" s="22">
        <f>IF(OR(ISBLANK(C6589),C6589=""),"",ROUND((C6589-B6589)*24,2))</f>
        <v>5.72</v>
      </c>
      <c r="N6589" s="38" t="str">
        <f>IF(OR(ISBLANK(C6589),C6589="",M6589=""),"In Progress",IF(M6589&lt;=J6589,"Met","Breached"))</f>
        <v>Breached</v>
      </c>
    </row>
    <row r="6590" ht="19" customHeight="1" spans="1:14" x14ac:dyDescent="0.25">
      <c r="A6590" s="19" t="s">
        <v>6704</v>
      </c>
      <c r="B6590" s="33">
        <v>46032.975694444445</v>
      </c>
      <c r="C6590" s="33">
        <v>46033.77013888889</v>
      </c>
      <c r="D6590" s="19" t="s">
        <v>33</v>
      </c>
      <c r="E6590" s="19" t="s">
        <v>61</v>
      </c>
      <c r="F6590" s="19" t="s">
        <v>34</v>
      </c>
      <c r="G6590" s="19" t="s">
        <v>126</v>
      </c>
      <c r="H6590" s="19" t="s">
        <v>59</v>
      </c>
      <c r="I6590" s="19" t="s">
        <v>111</v>
      </c>
      <c r="J6590" s="20">
        <v>12</v>
      </c>
      <c r="K6590" s="34">
        <v>0</v>
      </c>
      <c r="L6590" s="34">
        <v>2</v>
      </c>
      <c r="M6590" s="19">
        <f>IF(OR(ISBLANK(C6590),C6590=""),"",ROUND((C6590-B6590)*24,2))</f>
        <v>19.07</v>
      </c>
      <c r="N6590" s="39" t="str">
        <f>IF(OR(ISBLANK(C6590),C6590="",M6590=""),"In Progress",IF(M6590&lt;=J6590,"Met","Breached"))</f>
        <v>Breached</v>
      </c>
    </row>
    <row r="6591" ht="19" customHeight="1" spans="1:14" x14ac:dyDescent="0.25">
      <c r="A6591" s="22" t="s">
        <v>6705</v>
      </c>
      <c r="B6591" s="36">
        <v>45988.75833333333</v>
      </c>
      <c r="C6591" s="36">
        <v>45989.023611111115</v>
      </c>
      <c r="D6591" s="22" t="s">
        <v>36</v>
      </c>
      <c r="E6591" s="22" t="s">
        <v>61</v>
      </c>
      <c r="F6591" s="22" t="s">
        <v>34</v>
      </c>
      <c r="G6591" s="22" t="s">
        <v>121</v>
      </c>
      <c r="H6591" s="22" t="s">
        <v>67</v>
      </c>
      <c r="I6591" s="22" t="s">
        <v>123</v>
      </c>
      <c r="J6591" s="23">
        <v>12</v>
      </c>
      <c r="K6591" s="37">
        <v>1</v>
      </c>
      <c r="L6591" s="37">
        <v>4</v>
      </c>
      <c r="M6591" s="22">
        <f>IF(OR(ISBLANK(C6591),C6591=""),"",ROUND((C6591-B6591)*24,2))</f>
        <v>6.37</v>
      </c>
      <c r="N6591" s="40" t="str">
        <f>IF(OR(ISBLANK(C6591),C6591="",M6591=""),"In Progress",IF(M6591&lt;=J6591,"Met","Breached"))</f>
        <v>Met</v>
      </c>
    </row>
    <row r="6592" ht="19" customHeight="1" spans="1:14" x14ac:dyDescent="0.25">
      <c r="A6592" s="19" t="s">
        <v>6706</v>
      </c>
      <c r="B6592" s="33">
        <v>46027.6125</v>
      </c>
      <c r="D6592" s="19" t="s">
        <v>39</v>
      </c>
      <c r="E6592" s="19" t="s">
        <v>61</v>
      </c>
      <c r="F6592" s="19" t="s">
        <v>43</v>
      </c>
      <c r="G6592" s="19" t="s">
        <v>126</v>
      </c>
      <c r="H6592" s="19" t="s">
        <v>59</v>
      </c>
      <c r="I6592" s="19" t="s">
        <v>123</v>
      </c>
      <c r="J6592" s="20">
        <v>12</v>
      </c>
      <c r="K6592" s="34">
        <v>0</v>
      </c>
      <c r="M6592" s="19" t="str">
        <f>IF(OR(ISBLANK(C6592),C6592=""),"",ROUND((C6592-B6592)*24,2))</f>
        <v/>
      </c>
      <c r="N6592" s="19" t="str">
        <f>IF(OR(ISBLANK(C6592),C6592="",M6592=""),"In Progress",IF(M6592&lt;=J6592,"Met","Breached"))</f>
        <v>In Progress</v>
      </c>
    </row>
    <row r="6593" ht="19" customHeight="1" spans="1:14" x14ac:dyDescent="0.25">
      <c r="A6593" s="22" t="s">
        <v>6707</v>
      </c>
      <c r="B6593" s="36">
        <v>45680.80902777778</v>
      </c>
      <c r="C6593" s="36">
        <v>45681.25902777778</v>
      </c>
      <c r="D6593" s="22" t="s">
        <v>33</v>
      </c>
      <c r="E6593" s="22" t="s">
        <v>61</v>
      </c>
      <c r="F6593" s="22" t="s">
        <v>34</v>
      </c>
      <c r="G6593" s="22" t="s">
        <v>116</v>
      </c>
      <c r="H6593" s="22" t="s">
        <v>59</v>
      </c>
      <c r="I6593" s="22" t="s">
        <v>117</v>
      </c>
      <c r="J6593" s="23">
        <v>12</v>
      </c>
      <c r="K6593" s="37">
        <v>0</v>
      </c>
      <c r="L6593" s="37">
        <v>3</v>
      </c>
      <c r="M6593" s="22">
        <f>IF(OR(ISBLANK(C6593),C6593=""),"",ROUND((C6593-B6593)*24,2))</f>
        <v>10.8</v>
      </c>
      <c r="N6593" s="40" t="str">
        <f>IF(OR(ISBLANK(C6593),C6593="",M6593=""),"In Progress",IF(M6593&lt;=J6593,"Met","Breached"))</f>
        <v>Met</v>
      </c>
    </row>
    <row r="6594" ht="19" customHeight="1" spans="1:14" x14ac:dyDescent="0.25">
      <c r="A6594" s="19" t="s">
        <v>6708</v>
      </c>
      <c r="B6594" s="33">
        <v>45729.31597222222</v>
      </c>
      <c r="C6594" s="33">
        <v>45730.51666666666</v>
      </c>
      <c r="D6594" s="19" t="s">
        <v>36</v>
      </c>
      <c r="E6594" s="19" t="s">
        <v>65</v>
      </c>
      <c r="F6594" s="19" t="s">
        <v>34</v>
      </c>
      <c r="G6594" s="19" t="s">
        <v>110</v>
      </c>
      <c r="H6594" s="19" t="s">
        <v>71</v>
      </c>
      <c r="I6594" s="19" t="s">
        <v>123</v>
      </c>
      <c r="J6594" s="20">
        <v>48</v>
      </c>
      <c r="K6594" s="34">
        <v>0</v>
      </c>
      <c r="L6594" s="34">
        <v>1</v>
      </c>
      <c r="M6594" s="19">
        <f>IF(OR(ISBLANK(C6594),C6594=""),"",ROUND((C6594-B6594)*24,2))</f>
        <v>28.82</v>
      </c>
      <c r="N6594" s="35" t="str">
        <f>IF(OR(ISBLANK(C6594),C6594="",M6594=""),"In Progress",IF(M6594&lt;=J6594,"Met","Breached"))</f>
        <v>Met</v>
      </c>
    </row>
    <row r="6595" ht="19" customHeight="1" spans="1:14" x14ac:dyDescent="0.25">
      <c r="A6595" s="22" t="s">
        <v>6709</v>
      </c>
      <c r="B6595" s="36">
        <v>45987.0375</v>
      </c>
      <c r="C6595" s="36">
        <v>45988.43194444444</v>
      </c>
      <c r="D6595" s="22" t="s">
        <v>36</v>
      </c>
      <c r="E6595" s="22" t="s">
        <v>65</v>
      </c>
      <c r="F6595" s="22" t="s">
        <v>40</v>
      </c>
      <c r="G6595" s="22" t="s">
        <v>126</v>
      </c>
      <c r="H6595" s="22" t="s">
        <v>59</v>
      </c>
      <c r="I6595" s="22" t="s">
        <v>108</v>
      </c>
      <c r="J6595" s="23">
        <v>48</v>
      </c>
      <c r="K6595" s="37">
        <v>0</v>
      </c>
      <c r="L6595" s="37">
        <v>1</v>
      </c>
      <c r="M6595" s="22">
        <f>IF(OR(ISBLANK(C6595),C6595=""),"",ROUND((C6595-B6595)*24,2))</f>
        <v>33.47</v>
      </c>
      <c r="N6595" s="40" t="str">
        <f>IF(OR(ISBLANK(C6595),C6595="",M6595=""),"In Progress",IF(M6595&lt;=J6595,"Met","Breached"))</f>
        <v>Met</v>
      </c>
    </row>
    <row r="6596" ht="19" customHeight="1" spans="1:14" x14ac:dyDescent="0.25">
      <c r="A6596" s="19" t="s">
        <v>6710</v>
      </c>
      <c r="B6596" s="33">
        <v>46226.67708333333</v>
      </c>
      <c r="C6596" s="33">
        <v>46228.0125</v>
      </c>
      <c r="D6596" s="19" t="s">
        <v>33</v>
      </c>
      <c r="E6596" s="19" t="s">
        <v>65</v>
      </c>
      <c r="F6596" s="19" t="s">
        <v>45</v>
      </c>
      <c r="G6596" s="19" t="s">
        <v>110</v>
      </c>
      <c r="H6596" s="19" t="s">
        <v>67</v>
      </c>
      <c r="I6596" s="19" t="s">
        <v>108</v>
      </c>
      <c r="J6596" s="20">
        <v>48</v>
      </c>
      <c r="K6596" s="34">
        <v>0</v>
      </c>
      <c r="L6596" s="34">
        <v>3</v>
      </c>
      <c r="M6596" s="19">
        <f>IF(OR(ISBLANK(C6596),C6596=""),"",ROUND((C6596-B6596)*24,2))</f>
        <v>32.05</v>
      </c>
      <c r="N6596" s="35" t="str">
        <f>IF(OR(ISBLANK(C6596),C6596="",M6596=""),"In Progress",IF(M6596&lt;=J6596,"Met","Breached"))</f>
        <v>Met</v>
      </c>
    </row>
    <row r="6597" ht="19" customHeight="1" spans="1:14" x14ac:dyDescent="0.25">
      <c r="A6597" s="22" t="s">
        <v>6711</v>
      </c>
      <c r="B6597" s="36">
        <v>45726.28680555556</v>
      </c>
      <c r="C6597" s="36">
        <v>45726.93263888889</v>
      </c>
      <c r="D6597" s="22" t="s">
        <v>33</v>
      </c>
      <c r="E6597" s="22" t="s">
        <v>61</v>
      </c>
      <c r="F6597" s="22" t="s">
        <v>34</v>
      </c>
      <c r="G6597" s="22" t="s">
        <v>116</v>
      </c>
      <c r="H6597" s="22" t="s">
        <v>63</v>
      </c>
      <c r="I6597" s="22" t="s">
        <v>117</v>
      </c>
      <c r="J6597" s="23">
        <v>12</v>
      </c>
      <c r="K6597" s="37">
        <v>1</v>
      </c>
      <c r="L6597" s="37">
        <v>2</v>
      </c>
      <c r="M6597" s="22">
        <f>IF(OR(ISBLANK(C6597),C6597=""),"",ROUND((C6597-B6597)*24,2))</f>
        <v>15.5</v>
      </c>
      <c r="N6597" s="38" t="str">
        <f>IF(OR(ISBLANK(C6597),C6597="",M6597=""),"In Progress",IF(M6597&lt;=J6597,"Met","Breached"))</f>
        <v>Breached</v>
      </c>
    </row>
    <row r="6598" ht="19" customHeight="1" spans="1:14" x14ac:dyDescent="0.25">
      <c r="A6598" s="19" t="s">
        <v>6712</v>
      </c>
      <c r="B6598" s="33">
        <v>46093.59375</v>
      </c>
      <c r="C6598" s="33">
        <v>46094.76736111111</v>
      </c>
      <c r="D6598" s="19" t="s">
        <v>33</v>
      </c>
      <c r="E6598" s="19" t="s">
        <v>65</v>
      </c>
      <c r="F6598" s="19" t="s">
        <v>40</v>
      </c>
      <c r="G6598" s="19" t="s">
        <v>126</v>
      </c>
      <c r="H6598" s="19" t="s">
        <v>59</v>
      </c>
      <c r="I6598" s="19" t="s">
        <v>147</v>
      </c>
      <c r="J6598" s="20">
        <v>48</v>
      </c>
      <c r="K6598" s="34">
        <v>0</v>
      </c>
      <c r="M6598" s="19">
        <f>IF(OR(ISBLANK(C6598),C6598=""),"",ROUND((C6598-B6598)*24,2))</f>
        <v>28.17</v>
      </c>
      <c r="N6598" s="35" t="str">
        <f>IF(OR(ISBLANK(C6598),C6598="",M6598=""),"In Progress",IF(M6598&lt;=J6598,"Met","Breached"))</f>
        <v>Met</v>
      </c>
    </row>
    <row r="6599" ht="19" customHeight="1" spans="1:14" x14ac:dyDescent="0.25">
      <c r="A6599" s="22" t="s">
        <v>6713</v>
      </c>
      <c r="B6599" s="36">
        <v>46088.77569444444</v>
      </c>
      <c r="C6599" s="36">
        <v>46089.64722222222</v>
      </c>
      <c r="D6599" s="22" t="s">
        <v>33</v>
      </c>
      <c r="E6599" s="22" t="s">
        <v>61</v>
      </c>
      <c r="F6599" s="22" t="s">
        <v>37</v>
      </c>
      <c r="G6599" s="22" t="s">
        <v>116</v>
      </c>
      <c r="H6599" s="22" t="s">
        <v>59</v>
      </c>
      <c r="I6599" s="22" t="s">
        <v>114</v>
      </c>
      <c r="J6599" s="23">
        <v>12</v>
      </c>
      <c r="K6599" s="37">
        <v>0</v>
      </c>
      <c r="L6599" s="37">
        <v>2</v>
      </c>
      <c r="M6599" s="22">
        <f>IF(OR(ISBLANK(C6599),C6599=""),"",ROUND((C6599-B6599)*24,2))</f>
        <v>20.92</v>
      </c>
      <c r="N6599" s="38" t="str">
        <f>IF(OR(ISBLANK(C6599),C6599="",M6599=""),"In Progress",IF(M6599&lt;=J6599,"Met","Breached"))</f>
        <v>Breached</v>
      </c>
    </row>
    <row r="6600" ht="19" customHeight="1" spans="1:14" x14ac:dyDescent="0.25">
      <c r="A6600" s="19" t="s">
        <v>6714</v>
      </c>
      <c r="B6600" s="33">
        <v>45973.56736111111</v>
      </c>
      <c r="C6600" s="33">
        <v>45976.22916666667</v>
      </c>
      <c r="D6600" s="19" t="s">
        <v>33</v>
      </c>
      <c r="E6600" s="19" t="s">
        <v>65</v>
      </c>
      <c r="F6600" s="19" t="s">
        <v>40</v>
      </c>
      <c r="G6600" s="19" t="s">
        <v>121</v>
      </c>
      <c r="H6600" s="19" t="s">
        <v>59</v>
      </c>
      <c r="I6600" s="19" t="s">
        <v>114</v>
      </c>
      <c r="J6600" s="20">
        <v>48</v>
      </c>
      <c r="K6600" s="34">
        <v>0</v>
      </c>
      <c r="L6600" s="34">
        <v>2</v>
      </c>
      <c r="M6600" s="19">
        <f>IF(OR(ISBLANK(C6600),C6600=""),"",ROUND((C6600-B6600)*24,2))</f>
        <v>63.88</v>
      </c>
      <c r="N6600" s="39" t="str">
        <f>IF(OR(ISBLANK(C6600),C6600="",M6600=""),"In Progress",IF(M6600&lt;=J6600,"Met","Breached"))</f>
        <v>Breached</v>
      </c>
    </row>
    <row r="6601" ht="19" customHeight="1" spans="1:14" x14ac:dyDescent="0.25">
      <c r="A6601" s="22" t="s">
        <v>6715</v>
      </c>
      <c r="B6601" s="36">
        <v>45910.09930555556</v>
      </c>
      <c r="D6601" s="22" t="s">
        <v>39</v>
      </c>
      <c r="E6601" s="22" t="s">
        <v>65</v>
      </c>
      <c r="F6601" s="22" t="s">
        <v>45</v>
      </c>
      <c r="G6601" s="22" t="s">
        <v>116</v>
      </c>
      <c r="H6601" s="22" t="s">
        <v>59</v>
      </c>
      <c r="I6601" s="22" t="s">
        <v>108</v>
      </c>
      <c r="J6601" s="23">
        <v>48</v>
      </c>
      <c r="K6601" s="37">
        <v>0</v>
      </c>
      <c r="M6601" s="22" t="str">
        <f>IF(OR(ISBLANK(C6601),C6601=""),"",ROUND((C6601-B6601)*24,2))</f>
        <v/>
      </c>
      <c r="N6601" s="22" t="str">
        <f>IF(OR(ISBLANK(C6601),C6601="",M6601=""),"In Progress",IF(M6601&lt;=J6601,"Met","Breached"))</f>
        <v>In Progress</v>
      </c>
    </row>
    <row r="6602" ht="19" customHeight="1" spans="1:14" x14ac:dyDescent="0.25">
      <c r="A6602" s="19" t="s">
        <v>6716</v>
      </c>
      <c r="B6602" s="33">
        <v>46111.39375</v>
      </c>
      <c r="D6602" s="19" t="s">
        <v>42</v>
      </c>
      <c r="E6602" s="19" t="s">
        <v>57</v>
      </c>
      <c r="F6602" s="19" t="s">
        <v>37</v>
      </c>
      <c r="G6602" s="19" t="s">
        <v>126</v>
      </c>
      <c r="H6602" s="19" t="s">
        <v>63</v>
      </c>
      <c r="I6602" s="19" t="s">
        <v>123</v>
      </c>
      <c r="J6602" s="20">
        <v>4</v>
      </c>
      <c r="K6602" s="34">
        <v>0</v>
      </c>
      <c r="M6602" s="19" t="str">
        <f>IF(OR(ISBLANK(C6602),C6602=""),"",ROUND((C6602-B6602)*24,2))</f>
        <v/>
      </c>
      <c r="N6602" s="19" t="str">
        <f>IF(OR(ISBLANK(C6602),C6602="",M6602=""),"In Progress",IF(M6602&lt;=J6602,"Met","Breached"))</f>
        <v>In Progress</v>
      </c>
    </row>
    <row r="6603" ht="19" customHeight="1" spans="1:14" x14ac:dyDescent="0.25">
      <c r="A6603" s="22" t="s">
        <v>6717</v>
      </c>
      <c r="B6603" s="36">
        <v>46217.0125</v>
      </c>
      <c r="C6603" s="36">
        <v>46225.77638888889</v>
      </c>
      <c r="D6603" s="22" t="s">
        <v>33</v>
      </c>
      <c r="E6603" s="22" t="s">
        <v>69</v>
      </c>
      <c r="F6603" s="22" t="s">
        <v>34</v>
      </c>
      <c r="G6603" s="22" t="s">
        <v>110</v>
      </c>
      <c r="H6603" s="22" t="s">
        <v>63</v>
      </c>
      <c r="I6603" s="22" t="s">
        <v>111</v>
      </c>
      <c r="J6603" s="23">
        <v>120</v>
      </c>
      <c r="K6603" s="37">
        <v>0</v>
      </c>
      <c r="L6603" s="37">
        <v>3</v>
      </c>
      <c r="M6603" s="22">
        <f>IF(OR(ISBLANK(C6603),C6603=""),"",ROUND((C6603-B6603)*24,2))</f>
        <v>210.33</v>
      </c>
      <c r="N6603" s="38" t="str">
        <f>IF(OR(ISBLANK(C6603),C6603="",M6603=""),"In Progress",IF(M6603&lt;=J6603,"Met","Breached"))</f>
        <v>Breached</v>
      </c>
    </row>
    <row r="6604" ht="19" customHeight="1" spans="1:14" x14ac:dyDescent="0.25">
      <c r="A6604" s="19" t="s">
        <v>6718</v>
      </c>
      <c r="B6604" s="33">
        <v>46154.80763888889</v>
      </c>
      <c r="C6604" s="33">
        <v>46158.277083333334</v>
      </c>
      <c r="D6604" s="19" t="s">
        <v>36</v>
      </c>
      <c r="E6604" s="19" t="s">
        <v>65</v>
      </c>
      <c r="F6604" s="19" t="s">
        <v>40</v>
      </c>
      <c r="G6604" s="19" t="s">
        <v>121</v>
      </c>
      <c r="H6604" s="19" t="s">
        <v>59</v>
      </c>
      <c r="I6604" s="19" t="s">
        <v>117</v>
      </c>
      <c r="J6604" s="20">
        <v>48</v>
      </c>
      <c r="K6604" s="34">
        <v>1</v>
      </c>
      <c r="L6604" s="34">
        <v>3</v>
      </c>
      <c r="M6604" s="19">
        <f>IF(OR(ISBLANK(C6604),C6604=""),"",ROUND((C6604-B6604)*24,2))</f>
        <v>83.27</v>
      </c>
      <c r="N6604" s="39" t="str">
        <f>IF(OR(ISBLANK(C6604),C6604="",M6604=""),"In Progress",IF(M6604&lt;=J6604,"Met","Breached"))</f>
        <v>Breached</v>
      </c>
    </row>
    <row r="6605" ht="19" customHeight="1" spans="1:14" x14ac:dyDescent="0.25">
      <c r="A6605" s="22" t="s">
        <v>6719</v>
      </c>
      <c r="B6605" s="36">
        <v>46113.14583333333</v>
      </c>
      <c r="C6605" s="36">
        <v>46121.52569444444</v>
      </c>
      <c r="D6605" s="22" t="s">
        <v>33</v>
      </c>
      <c r="E6605" s="22" t="s">
        <v>69</v>
      </c>
      <c r="F6605" s="22" t="s">
        <v>40</v>
      </c>
      <c r="G6605" s="22" t="s">
        <v>116</v>
      </c>
      <c r="H6605" s="22" t="s">
        <v>59</v>
      </c>
      <c r="I6605" s="22" t="s">
        <v>114</v>
      </c>
      <c r="J6605" s="23">
        <v>120</v>
      </c>
      <c r="K6605" s="37">
        <v>0</v>
      </c>
      <c r="M6605" s="22">
        <f>IF(OR(ISBLANK(C6605),C6605=""),"",ROUND((C6605-B6605)*24,2))</f>
        <v>201.12</v>
      </c>
      <c r="N6605" s="38" t="str">
        <f>IF(OR(ISBLANK(C6605),C6605="",M6605=""),"In Progress",IF(M6605&lt;=J6605,"Met","Breached"))</f>
        <v>Breached</v>
      </c>
    </row>
    <row r="6606" ht="19" customHeight="1" spans="1:14" x14ac:dyDescent="0.25">
      <c r="A6606" s="19" t="s">
        <v>6720</v>
      </c>
      <c r="B6606" s="33">
        <v>46099.66805555555</v>
      </c>
      <c r="C6606" s="33">
        <v>46103.09097222222</v>
      </c>
      <c r="D6606" s="19" t="s">
        <v>33</v>
      </c>
      <c r="E6606" s="19" t="s">
        <v>65</v>
      </c>
      <c r="F6606" s="19" t="s">
        <v>40</v>
      </c>
      <c r="G6606" s="19" t="s">
        <v>113</v>
      </c>
      <c r="H6606" s="19" t="s">
        <v>59</v>
      </c>
      <c r="I6606" s="19" t="s">
        <v>117</v>
      </c>
      <c r="J6606" s="20">
        <v>48</v>
      </c>
      <c r="K6606" s="34">
        <v>0</v>
      </c>
      <c r="L6606" s="34">
        <v>1</v>
      </c>
      <c r="M6606" s="19">
        <f>IF(OR(ISBLANK(C6606),C6606=""),"",ROUND((C6606-B6606)*24,2))</f>
        <v>82.15</v>
      </c>
      <c r="N6606" s="39" t="str">
        <f>IF(OR(ISBLANK(C6606),C6606="",M6606=""),"In Progress",IF(M6606&lt;=J6606,"Met","Breached"))</f>
        <v>Breached</v>
      </c>
    </row>
    <row r="6607" ht="19" customHeight="1" spans="1:14" x14ac:dyDescent="0.25">
      <c r="A6607" s="22" t="s">
        <v>6721</v>
      </c>
      <c r="B6607" s="36">
        <v>45987.8375</v>
      </c>
      <c r="D6607" s="22" t="s">
        <v>39</v>
      </c>
      <c r="E6607" s="22" t="s">
        <v>57</v>
      </c>
      <c r="F6607" s="22" t="s">
        <v>43</v>
      </c>
      <c r="G6607" s="22" t="s">
        <v>63</v>
      </c>
      <c r="H6607" s="22" t="s">
        <v>63</v>
      </c>
      <c r="I6607" s="22" t="s">
        <v>108</v>
      </c>
      <c r="J6607" s="23">
        <v>4</v>
      </c>
      <c r="K6607" s="37">
        <v>0</v>
      </c>
      <c r="M6607" s="22" t="str">
        <f>IF(OR(ISBLANK(C6607),C6607=""),"",ROUND((C6607-B6607)*24,2))</f>
        <v/>
      </c>
      <c r="N6607" s="22" t="str">
        <f>IF(OR(ISBLANK(C6607),C6607="",M6607=""),"In Progress",IF(M6607&lt;=J6607,"Met","Breached"))</f>
        <v>In Progress</v>
      </c>
    </row>
    <row r="6608" ht="19" customHeight="1" spans="1:14" x14ac:dyDescent="0.25">
      <c r="A6608" s="19" t="s">
        <v>6722</v>
      </c>
      <c r="B6608" s="33">
        <v>46159.51388888889</v>
      </c>
      <c r="C6608" s="33">
        <v>46160.18472222222</v>
      </c>
      <c r="D6608" s="19" t="s">
        <v>33</v>
      </c>
      <c r="E6608" s="19" t="s">
        <v>65</v>
      </c>
      <c r="F6608" s="19" t="s">
        <v>34</v>
      </c>
      <c r="G6608" s="19" t="s">
        <v>126</v>
      </c>
      <c r="H6608" s="19" t="s">
        <v>59</v>
      </c>
      <c r="I6608" s="19" t="s">
        <v>108</v>
      </c>
      <c r="J6608" s="20">
        <v>48</v>
      </c>
      <c r="K6608" s="34">
        <v>0</v>
      </c>
      <c r="M6608" s="19">
        <f>IF(OR(ISBLANK(C6608),C6608=""),"",ROUND((C6608-B6608)*24,2))</f>
        <v>16.1</v>
      </c>
      <c r="N6608" s="35" t="str">
        <f>IF(OR(ISBLANK(C6608),C6608="",M6608=""),"In Progress",IF(M6608&lt;=J6608,"Met","Breached"))</f>
        <v>Met</v>
      </c>
    </row>
    <row r="6609" ht="19" customHeight="1" spans="1:14" x14ac:dyDescent="0.25">
      <c r="A6609" s="22" t="s">
        <v>6723</v>
      </c>
      <c r="B6609" s="36">
        <v>46125.72708333333</v>
      </c>
      <c r="C6609" s="36">
        <v>46128.777083333334</v>
      </c>
      <c r="D6609" s="22" t="s">
        <v>33</v>
      </c>
      <c r="E6609" s="22" t="s">
        <v>65</v>
      </c>
      <c r="F6609" s="22" t="s">
        <v>43</v>
      </c>
      <c r="G6609" s="22" t="s">
        <v>63</v>
      </c>
      <c r="H6609" s="22" t="s">
        <v>71</v>
      </c>
      <c r="I6609" s="22" t="s">
        <v>108</v>
      </c>
      <c r="J6609" s="23">
        <v>48</v>
      </c>
      <c r="K6609" s="37">
        <v>0</v>
      </c>
      <c r="L6609" s="37">
        <v>2</v>
      </c>
      <c r="M6609" s="22">
        <f>IF(OR(ISBLANK(C6609),C6609=""),"",ROUND((C6609-B6609)*24,2))</f>
        <v>73.2</v>
      </c>
      <c r="N6609" s="38" t="str">
        <f>IF(OR(ISBLANK(C6609),C6609="",M6609=""),"In Progress",IF(M6609&lt;=J6609,"Met","Breached"))</f>
        <v>Breached</v>
      </c>
    </row>
    <row r="6610" ht="19" customHeight="1" spans="1:14" x14ac:dyDescent="0.25">
      <c r="A6610" s="19" t="s">
        <v>6724</v>
      </c>
      <c r="B6610" s="33">
        <v>45822.33125</v>
      </c>
      <c r="C6610" s="33">
        <v>45823.08888888889</v>
      </c>
      <c r="D6610" s="19" t="s">
        <v>36</v>
      </c>
      <c r="E6610" s="19" t="s">
        <v>61</v>
      </c>
      <c r="F6610" s="19" t="s">
        <v>40</v>
      </c>
      <c r="G6610" s="19" t="s">
        <v>126</v>
      </c>
      <c r="H6610" s="19" t="s">
        <v>59</v>
      </c>
      <c r="I6610" s="19" t="s">
        <v>108</v>
      </c>
      <c r="J6610" s="20">
        <v>12</v>
      </c>
      <c r="K6610" s="34">
        <v>0</v>
      </c>
      <c r="M6610" s="19">
        <f>IF(OR(ISBLANK(C6610),C6610=""),"",ROUND((C6610-B6610)*24,2))</f>
        <v>18.18</v>
      </c>
      <c r="N6610" s="39" t="str">
        <f>IF(OR(ISBLANK(C6610),C6610="",M6610=""),"In Progress",IF(M6610&lt;=J6610,"Met","Breached"))</f>
        <v>Breached</v>
      </c>
    </row>
    <row r="6611" ht="19" customHeight="1" spans="1:14" x14ac:dyDescent="0.25">
      <c r="A6611" s="22" t="s">
        <v>6725</v>
      </c>
      <c r="B6611" s="36">
        <v>46227.87361111111</v>
      </c>
      <c r="C6611" s="36">
        <v>46228.14444444445</v>
      </c>
      <c r="D6611" s="22" t="s">
        <v>36</v>
      </c>
      <c r="E6611" s="22" t="s">
        <v>61</v>
      </c>
      <c r="F6611" s="22" t="s">
        <v>34</v>
      </c>
      <c r="G6611" s="22" t="s">
        <v>63</v>
      </c>
      <c r="H6611" s="22" t="s">
        <v>59</v>
      </c>
      <c r="I6611" s="22" t="s">
        <v>123</v>
      </c>
      <c r="J6611" s="23">
        <v>12</v>
      </c>
      <c r="K6611" s="37">
        <v>0</v>
      </c>
      <c r="L6611" s="37">
        <v>5</v>
      </c>
      <c r="M6611" s="22">
        <f>IF(OR(ISBLANK(C6611),C6611=""),"",ROUND((C6611-B6611)*24,2))</f>
        <v>6.5</v>
      </c>
      <c r="N6611" s="40" t="str">
        <f>IF(OR(ISBLANK(C6611),C6611="",M6611=""),"In Progress",IF(M6611&lt;=J6611,"Met","Breached"))</f>
        <v>Met</v>
      </c>
    </row>
    <row r="6612" ht="19" customHeight="1" spans="1:14" x14ac:dyDescent="0.25">
      <c r="A6612" s="19" t="s">
        <v>6726</v>
      </c>
      <c r="B6612" s="33">
        <v>45687.04861111111</v>
      </c>
      <c r="D6612" s="19" t="s">
        <v>42</v>
      </c>
      <c r="E6612" s="19" t="s">
        <v>65</v>
      </c>
      <c r="F6612" s="19" t="s">
        <v>34</v>
      </c>
      <c r="G6612" s="19" t="s">
        <v>116</v>
      </c>
      <c r="H6612" s="19" t="s">
        <v>63</v>
      </c>
      <c r="I6612" s="19" t="s">
        <v>114</v>
      </c>
      <c r="J6612" s="20">
        <v>48</v>
      </c>
      <c r="K6612" s="34">
        <v>0</v>
      </c>
      <c r="M6612" s="19" t="str">
        <f>IF(OR(ISBLANK(C6612),C6612=""),"",ROUND((C6612-B6612)*24,2))</f>
        <v/>
      </c>
      <c r="N6612" s="19" t="str">
        <f>IF(OR(ISBLANK(C6612),C6612="",M6612=""),"In Progress",IF(M6612&lt;=J6612,"Met","Breached"))</f>
        <v>In Progress</v>
      </c>
    </row>
    <row r="6613" ht="19" customHeight="1" spans="1:14" x14ac:dyDescent="0.25">
      <c r="A6613" s="22" t="s">
        <v>6727</v>
      </c>
      <c r="B6613" s="36">
        <v>45707.82986111111</v>
      </c>
      <c r="C6613" s="36">
        <v>45709.950694444444</v>
      </c>
      <c r="D6613" s="22" t="s">
        <v>36</v>
      </c>
      <c r="E6613" s="22" t="s">
        <v>65</v>
      </c>
      <c r="F6613" s="22" t="s">
        <v>37</v>
      </c>
      <c r="G6613" s="22" t="s">
        <v>116</v>
      </c>
      <c r="H6613" s="22" t="s">
        <v>59</v>
      </c>
      <c r="I6613" s="22" t="s">
        <v>114</v>
      </c>
      <c r="J6613" s="23">
        <v>48</v>
      </c>
      <c r="K6613" s="37">
        <v>0</v>
      </c>
      <c r="L6613" s="37">
        <v>5</v>
      </c>
      <c r="M6613" s="22">
        <f>IF(OR(ISBLANK(C6613),C6613=""),"",ROUND((C6613-B6613)*24,2))</f>
        <v>50.9</v>
      </c>
      <c r="N6613" s="38" t="str">
        <f>IF(OR(ISBLANK(C6613),C6613="",M6613=""),"In Progress",IF(M6613&lt;=J6613,"Met","Breached"))</f>
        <v>Breached</v>
      </c>
    </row>
    <row r="6614" ht="19" customHeight="1" spans="1:14" x14ac:dyDescent="0.25">
      <c r="A6614" s="19" t="s">
        <v>6728</v>
      </c>
      <c r="B6614" s="33">
        <v>46206.2375</v>
      </c>
      <c r="C6614" s="33">
        <v>46206.388194444444</v>
      </c>
      <c r="D6614" s="19" t="s">
        <v>33</v>
      </c>
      <c r="E6614" s="19" t="s">
        <v>57</v>
      </c>
      <c r="F6614" s="19" t="s">
        <v>37</v>
      </c>
      <c r="G6614" s="19" t="s">
        <v>116</v>
      </c>
      <c r="H6614" s="19" t="s">
        <v>59</v>
      </c>
      <c r="I6614" s="19" t="s">
        <v>117</v>
      </c>
      <c r="J6614" s="20">
        <v>4</v>
      </c>
      <c r="K6614" s="34">
        <v>0</v>
      </c>
      <c r="M6614" s="19">
        <f>IF(OR(ISBLANK(C6614),C6614=""),"",ROUND((C6614-B6614)*24,2))</f>
        <v>3.62</v>
      </c>
      <c r="N6614" s="35" t="str">
        <f>IF(OR(ISBLANK(C6614),C6614="",M6614=""),"In Progress",IF(M6614&lt;=J6614,"Met","Breached"))</f>
        <v>Met</v>
      </c>
    </row>
    <row r="6615" ht="19" customHeight="1" spans="1:14" x14ac:dyDescent="0.25">
      <c r="A6615" s="22" t="s">
        <v>6729</v>
      </c>
      <c r="B6615" s="36">
        <v>45800.856944444444</v>
      </c>
      <c r="C6615" s="36">
        <v>45801.868055555555</v>
      </c>
      <c r="D6615" s="22" t="s">
        <v>36</v>
      </c>
      <c r="E6615" s="22" t="s">
        <v>65</v>
      </c>
      <c r="F6615" s="22" t="s">
        <v>45</v>
      </c>
      <c r="G6615" s="22" t="s">
        <v>116</v>
      </c>
      <c r="H6615" s="22" t="s">
        <v>67</v>
      </c>
      <c r="I6615" s="22" t="s">
        <v>117</v>
      </c>
      <c r="J6615" s="23">
        <v>48</v>
      </c>
      <c r="K6615" s="37">
        <v>0</v>
      </c>
      <c r="L6615" s="37">
        <v>3</v>
      </c>
      <c r="M6615" s="22">
        <f>IF(OR(ISBLANK(C6615),C6615=""),"",ROUND((C6615-B6615)*24,2))</f>
        <v>24.27</v>
      </c>
      <c r="N6615" s="40" t="str">
        <f>IF(OR(ISBLANK(C6615),C6615="",M6615=""),"In Progress",IF(M6615&lt;=J6615,"Met","Breached"))</f>
        <v>Met</v>
      </c>
    </row>
    <row r="6616" ht="19" customHeight="1" spans="1:14" x14ac:dyDescent="0.25">
      <c r="A6616" s="19" t="s">
        <v>6730</v>
      </c>
      <c r="B6616" s="33">
        <v>46093.611805555556</v>
      </c>
      <c r="C6616" s="33">
        <v>46095.03125</v>
      </c>
      <c r="D6616" s="19" t="s">
        <v>33</v>
      </c>
      <c r="E6616" s="19" t="s">
        <v>65</v>
      </c>
      <c r="F6616" s="19" t="s">
        <v>43</v>
      </c>
      <c r="G6616" s="19" t="s">
        <v>110</v>
      </c>
      <c r="H6616" s="19" t="s">
        <v>67</v>
      </c>
      <c r="I6616" s="19" t="s">
        <v>123</v>
      </c>
      <c r="J6616" s="20">
        <v>48</v>
      </c>
      <c r="K6616" s="34">
        <v>0</v>
      </c>
      <c r="L6616" s="34">
        <v>2</v>
      </c>
      <c r="M6616" s="19">
        <f>IF(OR(ISBLANK(C6616),C6616=""),"",ROUND((C6616-B6616)*24,2))</f>
        <v>34.07</v>
      </c>
      <c r="N6616" s="35" t="str">
        <f>IF(OR(ISBLANK(C6616),C6616="",M6616=""),"In Progress",IF(M6616&lt;=J6616,"Met","Breached"))</f>
        <v>Met</v>
      </c>
    </row>
    <row r="6617" ht="19" customHeight="1" spans="1:14" x14ac:dyDescent="0.25">
      <c r="A6617" s="22" t="s">
        <v>6731</v>
      </c>
      <c r="B6617" s="36">
        <v>45808.194444444445</v>
      </c>
      <c r="C6617" s="36">
        <v>45810.52638888889</v>
      </c>
      <c r="D6617" s="22" t="s">
        <v>33</v>
      </c>
      <c r="E6617" s="22" t="s">
        <v>65</v>
      </c>
      <c r="F6617" s="22" t="s">
        <v>37</v>
      </c>
      <c r="G6617" s="22" t="s">
        <v>116</v>
      </c>
      <c r="H6617" s="22" t="s">
        <v>71</v>
      </c>
      <c r="I6617" s="22" t="s">
        <v>114</v>
      </c>
      <c r="J6617" s="23">
        <v>48</v>
      </c>
      <c r="K6617" s="37">
        <v>0</v>
      </c>
      <c r="M6617" s="22">
        <f>IF(OR(ISBLANK(C6617),C6617=""),"",ROUND((C6617-B6617)*24,2))</f>
        <v>55.97</v>
      </c>
      <c r="N6617" s="38" t="str">
        <f>IF(OR(ISBLANK(C6617),C6617="",M6617=""),"In Progress",IF(M6617&lt;=J6617,"Met","Breached"))</f>
        <v>Breached</v>
      </c>
    </row>
    <row r="6618" ht="19" customHeight="1" spans="1:14" x14ac:dyDescent="0.25">
      <c r="A6618" s="19" t="s">
        <v>6732</v>
      </c>
      <c r="B6618" s="33">
        <v>45711.375</v>
      </c>
      <c r="D6618" s="19" t="s">
        <v>39</v>
      </c>
      <c r="E6618" s="19" t="s">
        <v>65</v>
      </c>
      <c r="F6618" s="19" t="s">
        <v>37</v>
      </c>
      <c r="G6618" s="19" t="s">
        <v>113</v>
      </c>
      <c r="H6618" s="19" t="s">
        <v>71</v>
      </c>
      <c r="I6618" s="19" t="s">
        <v>123</v>
      </c>
      <c r="J6618" s="20">
        <v>48</v>
      </c>
      <c r="K6618" s="34">
        <v>0</v>
      </c>
      <c r="M6618" s="19" t="str">
        <f>IF(OR(ISBLANK(C6618),C6618=""),"",ROUND((C6618-B6618)*24,2))</f>
        <v/>
      </c>
      <c r="N6618" s="19" t="str">
        <f>IF(OR(ISBLANK(C6618),C6618="",M6618=""),"In Progress",IF(M6618&lt;=J6618,"Met","Breached"))</f>
        <v>In Progress</v>
      </c>
    </row>
    <row r="6619" ht="19" customHeight="1" spans="1:14" x14ac:dyDescent="0.25">
      <c r="A6619" s="22" t="s">
        <v>6733</v>
      </c>
      <c r="B6619" s="36">
        <v>45832.013194444444</v>
      </c>
      <c r="C6619" s="36">
        <v>45833.788194444445</v>
      </c>
      <c r="D6619" s="22" t="s">
        <v>33</v>
      </c>
      <c r="E6619" s="22" t="s">
        <v>65</v>
      </c>
      <c r="F6619" s="22" t="s">
        <v>45</v>
      </c>
      <c r="G6619" s="22" t="s">
        <v>116</v>
      </c>
      <c r="H6619" s="22" t="s">
        <v>63</v>
      </c>
      <c r="I6619" s="22" t="s">
        <v>147</v>
      </c>
      <c r="J6619" s="23">
        <v>48</v>
      </c>
      <c r="K6619" s="37">
        <v>0</v>
      </c>
      <c r="L6619" s="37">
        <v>2</v>
      </c>
      <c r="M6619" s="22">
        <f>IF(OR(ISBLANK(C6619),C6619=""),"",ROUND((C6619-B6619)*24,2))</f>
        <v>42.6</v>
      </c>
      <c r="N6619" s="40" t="str">
        <f>IF(OR(ISBLANK(C6619),C6619="",M6619=""),"In Progress",IF(M6619&lt;=J6619,"Met","Breached"))</f>
        <v>Met</v>
      </c>
    </row>
    <row r="6620" ht="19" customHeight="1" spans="1:14" x14ac:dyDescent="0.25">
      <c r="A6620" s="19" t="s">
        <v>6734</v>
      </c>
      <c r="B6620" s="33">
        <v>45990.7875</v>
      </c>
      <c r="C6620" s="33">
        <v>45991.65555555555</v>
      </c>
      <c r="D6620" s="19" t="s">
        <v>33</v>
      </c>
      <c r="E6620" s="19" t="s">
        <v>61</v>
      </c>
      <c r="F6620" s="19" t="s">
        <v>43</v>
      </c>
      <c r="G6620" s="19" t="s">
        <v>110</v>
      </c>
      <c r="H6620" s="19" t="s">
        <v>59</v>
      </c>
      <c r="I6620" s="19" t="s">
        <v>117</v>
      </c>
      <c r="J6620" s="20">
        <v>12</v>
      </c>
      <c r="K6620" s="34">
        <v>0</v>
      </c>
      <c r="M6620" s="19">
        <f>IF(OR(ISBLANK(C6620),C6620=""),"",ROUND((C6620-B6620)*24,2))</f>
        <v>20.83</v>
      </c>
      <c r="N6620" s="39" t="str">
        <f>IF(OR(ISBLANK(C6620),C6620="",M6620=""),"In Progress",IF(M6620&lt;=J6620,"Met","Breached"))</f>
        <v>Breached</v>
      </c>
    </row>
    <row r="6621" ht="19" customHeight="1" spans="1:14" x14ac:dyDescent="0.25">
      <c r="A6621" s="22" t="s">
        <v>6735</v>
      </c>
      <c r="B6621" s="36">
        <v>45792.08194444445</v>
      </c>
      <c r="C6621" s="36">
        <v>45795.27569444444</v>
      </c>
      <c r="D6621" s="22" t="s">
        <v>36</v>
      </c>
      <c r="E6621" s="22" t="s">
        <v>65</v>
      </c>
      <c r="F6621" s="22" t="s">
        <v>45</v>
      </c>
      <c r="G6621" s="22" t="s">
        <v>110</v>
      </c>
      <c r="H6621" s="22" t="s">
        <v>71</v>
      </c>
      <c r="I6621" s="22" t="s">
        <v>114</v>
      </c>
      <c r="J6621" s="23">
        <v>48</v>
      </c>
      <c r="K6621" s="37">
        <v>0</v>
      </c>
      <c r="L6621" s="37">
        <v>3</v>
      </c>
      <c r="M6621" s="22">
        <f>IF(OR(ISBLANK(C6621),C6621=""),"",ROUND((C6621-B6621)*24,2))</f>
        <v>76.65</v>
      </c>
      <c r="N6621" s="38" t="str">
        <f>IF(OR(ISBLANK(C6621),C6621="",M6621=""),"In Progress",IF(M6621&lt;=J6621,"Met","Breached"))</f>
        <v>Breached</v>
      </c>
    </row>
    <row r="6622" ht="19" customHeight="1" spans="1:14" x14ac:dyDescent="0.25">
      <c r="A6622" s="19" t="s">
        <v>6736</v>
      </c>
      <c r="B6622" s="33">
        <v>45822.55694444444</v>
      </c>
      <c r="C6622" s="33">
        <v>45826.39791666667</v>
      </c>
      <c r="D6622" s="19" t="s">
        <v>33</v>
      </c>
      <c r="E6622" s="19" t="s">
        <v>69</v>
      </c>
      <c r="F6622" s="19" t="s">
        <v>37</v>
      </c>
      <c r="G6622" s="19" t="s">
        <v>116</v>
      </c>
      <c r="H6622" s="19" t="s">
        <v>63</v>
      </c>
      <c r="I6622" s="19" t="s">
        <v>114</v>
      </c>
      <c r="J6622" s="20">
        <v>120</v>
      </c>
      <c r="K6622" s="34">
        <v>0</v>
      </c>
      <c r="L6622" s="34">
        <v>2</v>
      </c>
      <c r="M6622" s="19">
        <f>IF(OR(ISBLANK(C6622),C6622=""),"",ROUND((C6622-B6622)*24,2))</f>
        <v>92.18</v>
      </c>
      <c r="N6622" s="35" t="str">
        <f>IF(OR(ISBLANK(C6622),C6622="",M6622=""),"In Progress",IF(M6622&lt;=J6622,"Met","Breached"))</f>
        <v>Met</v>
      </c>
    </row>
    <row r="6623" ht="19" customHeight="1" spans="1:14" x14ac:dyDescent="0.25">
      <c r="A6623" s="22" t="s">
        <v>6737</v>
      </c>
      <c r="B6623" s="36">
        <v>45669.56180555555</v>
      </c>
      <c r="C6623" s="36">
        <v>45671.197222222225</v>
      </c>
      <c r="D6623" s="22" t="s">
        <v>33</v>
      </c>
      <c r="E6623" s="22" t="s">
        <v>65</v>
      </c>
      <c r="F6623" s="22" t="s">
        <v>45</v>
      </c>
      <c r="G6623" s="22" t="s">
        <v>113</v>
      </c>
      <c r="H6623" s="22" t="s">
        <v>63</v>
      </c>
      <c r="I6623" s="22" t="s">
        <v>108</v>
      </c>
      <c r="J6623" s="23">
        <v>48</v>
      </c>
      <c r="K6623" s="37">
        <v>0</v>
      </c>
      <c r="L6623" s="37">
        <v>3</v>
      </c>
      <c r="M6623" s="22">
        <f>IF(OR(ISBLANK(C6623),C6623=""),"",ROUND((C6623-B6623)*24,2))</f>
        <v>39.25</v>
      </c>
      <c r="N6623" s="40" t="str">
        <f>IF(OR(ISBLANK(C6623),C6623="",M6623=""),"In Progress",IF(M6623&lt;=J6623,"Met","Breached"))</f>
        <v>Met</v>
      </c>
    </row>
    <row r="6624" ht="19" customHeight="1" spans="1:14" x14ac:dyDescent="0.25">
      <c r="A6624" s="19" t="s">
        <v>6738</v>
      </c>
      <c r="B6624" s="33">
        <v>46250.19652777778</v>
      </c>
      <c r="C6624" s="33">
        <v>46252.53055555555</v>
      </c>
      <c r="D6624" s="19" t="s">
        <v>33</v>
      </c>
      <c r="E6624" s="19" t="s">
        <v>65</v>
      </c>
      <c r="F6624" s="19" t="s">
        <v>43</v>
      </c>
      <c r="G6624" s="19" t="s">
        <v>113</v>
      </c>
      <c r="H6624" s="19" t="s">
        <v>59</v>
      </c>
      <c r="I6624" s="19" t="s">
        <v>114</v>
      </c>
      <c r="J6624" s="20">
        <v>48</v>
      </c>
      <c r="K6624" s="34">
        <v>0</v>
      </c>
      <c r="L6624" s="34">
        <v>3</v>
      </c>
      <c r="M6624" s="19">
        <f>IF(OR(ISBLANK(C6624),C6624=""),"",ROUND((C6624-B6624)*24,2))</f>
        <v>56.02</v>
      </c>
      <c r="N6624" s="39" t="str">
        <f>IF(OR(ISBLANK(C6624),C6624="",M6624=""),"In Progress",IF(M6624&lt;=J6624,"Met","Breached"))</f>
        <v>Breached</v>
      </c>
    </row>
    <row r="6625" ht="19" customHeight="1" spans="1:14" x14ac:dyDescent="0.25">
      <c r="A6625" s="22" t="s">
        <v>6739</v>
      </c>
      <c r="B6625" s="36">
        <v>45797.42361111111</v>
      </c>
      <c r="C6625" s="36">
        <v>45797.57361111111</v>
      </c>
      <c r="D6625" s="22" t="s">
        <v>33</v>
      </c>
      <c r="E6625" s="22" t="s">
        <v>57</v>
      </c>
      <c r="F6625" s="22" t="s">
        <v>43</v>
      </c>
      <c r="G6625" s="22" t="s">
        <v>113</v>
      </c>
      <c r="H6625" s="22" t="s">
        <v>59</v>
      </c>
      <c r="I6625" s="22" t="s">
        <v>123</v>
      </c>
      <c r="J6625" s="23">
        <v>4</v>
      </c>
      <c r="K6625" s="37">
        <v>0</v>
      </c>
      <c r="L6625" s="37">
        <v>2</v>
      </c>
      <c r="M6625" s="22">
        <f>IF(OR(ISBLANK(C6625),C6625=""),"",ROUND((C6625-B6625)*24,2))</f>
        <v>3.6</v>
      </c>
      <c r="N6625" s="40" t="str">
        <f>IF(OR(ISBLANK(C6625),C6625="",M6625=""),"In Progress",IF(M6625&lt;=J6625,"Met","Breached"))</f>
        <v>Met</v>
      </c>
    </row>
    <row r="6626" ht="19" customHeight="1" spans="1:14" x14ac:dyDescent="0.25">
      <c r="A6626" s="19" t="s">
        <v>6740</v>
      </c>
      <c r="B6626" s="33">
        <v>46108.45694444445</v>
      </c>
      <c r="C6626" s="33">
        <v>46112.47361111111</v>
      </c>
      <c r="D6626" s="19" t="s">
        <v>33</v>
      </c>
      <c r="E6626" s="19" t="s">
        <v>69</v>
      </c>
      <c r="F6626" s="19" t="s">
        <v>34</v>
      </c>
      <c r="G6626" s="19" t="s">
        <v>113</v>
      </c>
      <c r="H6626" s="19" t="s">
        <v>59</v>
      </c>
      <c r="I6626" s="19" t="s">
        <v>117</v>
      </c>
      <c r="J6626" s="20">
        <v>120</v>
      </c>
      <c r="K6626" s="34">
        <v>0</v>
      </c>
      <c r="L6626" s="34">
        <v>5</v>
      </c>
      <c r="M6626" s="19">
        <f>IF(OR(ISBLANK(C6626),C6626=""),"",ROUND((C6626-B6626)*24,2))</f>
        <v>96.4</v>
      </c>
      <c r="N6626" s="35" t="str">
        <f>IF(OR(ISBLANK(C6626),C6626="",M6626=""),"In Progress",IF(M6626&lt;=J6626,"Met","Breached"))</f>
        <v>Met</v>
      </c>
    </row>
    <row r="6627" ht="19" customHeight="1" spans="1:14" x14ac:dyDescent="0.25">
      <c r="A6627" s="22" t="s">
        <v>6741</v>
      </c>
      <c r="B6627" s="36">
        <v>45834.336111111115</v>
      </c>
      <c r="C6627" s="36">
        <v>45835.33472222222</v>
      </c>
      <c r="D6627" s="22" t="s">
        <v>33</v>
      </c>
      <c r="E6627" s="22" t="s">
        <v>65</v>
      </c>
      <c r="F6627" s="22" t="s">
        <v>40</v>
      </c>
      <c r="G6627" s="22" t="s">
        <v>63</v>
      </c>
      <c r="H6627" s="22" t="s">
        <v>67</v>
      </c>
      <c r="I6627" s="22" t="s">
        <v>147</v>
      </c>
      <c r="J6627" s="23">
        <v>48</v>
      </c>
      <c r="K6627" s="37">
        <v>0</v>
      </c>
      <c r="L6627" s="37">
        <v>4</v>
      </c>
      <c r="M6627" s="22">
        <f>IF(OR(ISBLANK(C6627),C6627=""),"",ROUND((C6627-B6627)*24,2))</f>
        <v>23.97</v>
      </c>
      <c r="N6627" s="40" t="str">
        <f>IF(OR(ISBLANK(C6627),C6627="",M6627=""),"In Progress",IF(M6627&lt;=J6627,"Met","Breached"))</f>
        <v>Met</v>
      </c>
    </row>
    <row r="6628" ht="19" customHeight="1" spans="1:14" x14ac:dyDescent="0.25">
      <c r="A6628" s="19" t="s">
        <v>6742</v>
      </c>
      <c r="B6628" s="33">
        <v>45985.43611111111</v>
      </c>
      <c r="D6628" s="19" t="s">
        <v>42</v>
      </c>
      <c r="E6628" s="19" t="s">
        <v>61</v>
      </c>
      <c r="F6628" s="19" t="s">
        <v>34</v>
      </c>
      <c r="G6628" s="19" t="s">
        <v>113</v>
      </c>
      <c r="H6628" s="19" t="s">
        <v>59</v>
      </c>
      <c r="I6628" s="19" t="s">
        <v>123</v>
      </c>
      <c r="J6628" s="20">
        <v>12</v>
      </c>
      <c r="K6628" s="34">
        <v>0</v>
      </c>
      <c r="M6628" s="19" t="str">
        <f>IF(OR(ISBLANK(C6628),C6628=""),"",ROUND((C6628-B6628)*24,2))</f>
        <v/>
      </c>
      <c r="N6628" s="19" t="str">
        <f>IF(OR(ISBLANK(C6628),C6628="",M6628=""),"In Progress",IF(M6628&lt;=J6628,"Met","Breached"))</f>
        <v>In Progress</v>
      </c>
    </row>
    <row r="6629" ht="19" customHeight="1" spans="1:14" x14ac:dyDescent="0.25">
      <c r="A6629" s="22" t="s">
        <v>6743</v>
      </c>
      <c r="B6629" s="36">
        <v>45799.961111111115</v>
      </c>
      <c r="C6629" s="36">
        <v>45800.10555555555</v>
      </c>
      <c r="D6629" s="22" t="s">
        <v>33</v>
      </c>
      <c r="E6629" s="22" t="s">
        <v>57</v>
      </c>
      <c r="F6629" s="22" t="s">
        <v>34</v>
      </c>
      <c r="G6629" s="22" t="s">
        <v>113</v>
      </c>
      <c r="H6629" s="22" t="s">
        <v>71</v>
      </c>
      <c r="I6629" s="22" t="s">
        <v>114</v>
      </c>
      <c r="J6629" s="23">
        <v>4</v>
      </c>
      <c r="K6629" s="37">
        <v>0</v>
      </c>
      <c r="M6629" s="22">
        <f>IF(OR(ISBLANK(C6629),C6629=""),"",ROUND((C6629-B6629)*24,2))</f>
        <v>3.47</v>
      </c>
      <c r="N6629" s="40" t="str">
        <f>IF(OR(ISBLANK(C6629),C6629="",M6629=""),"In Progress",IF(M6629&lt;=J6629,"Met","Breached"))</f>
        <v>Met</v>
      </c>
    </row>
    <row r="6630" ht="19" customHeight="1" spans="1:14" x14ac:dyDescent="0.25">
      <c r="A6630" s="19" t="s">
        <v>6744</v>
      </c>
      <c r="B6630" s="33">
        <v>45836.26597222222</v>
      </c>
      <c r="C6630" s="33">
        <v>45836.93541666667</v>
      </c>
      <c r="D6630" s="19" t="s">
        <v>33</v>
      </c>
      <c r="E6630" s="19" t="s">
        <v>61</v>
      </c>
      <c r="F6630" s="19" t="s">
        <v>37</v>
      </c>
      <c r="G6630" s="19" t="s">
        <v>126</v>
      </c>
      <c r="H6630" s="19" t="s">
        <v>59</v>
      </c>
      <c r="I6630" s="19" t="s">
        <v>123</v>
      </c>
      <c r="J6630" s="20">
        <v>12</v>
      </c>
      <c r="K6630" s="34">
        <v>0</v>
      </c>
      <c r="L6630" s="34">
        <v>2</v>
      </c>
      <c r="M6630" s="19">
        <f>IF(OR(ISBLANK(C6630),C6630=""),"",ROUND((C6630-B6630)*24,2))</f>
        <v>16.07</v>
      </c>
      <c r="N6630" s="39" t="str">
        <f>IF(OR(ISBLANK(C6630),C6630="",M6630=""),"In Progress",IF(M6630&lt;=J6630,"Met","Breached"))</f>
        <v>Breached</v>
      </c>
    </row>
    <row r="6631" ht="19" customHeight="1" spans="1:14" x14ac:dyDescent="0.25">
      <c r="A6631" s="22" t="s">
        <v>6745</v>
      </c>
      <c r="B6631" s="36">
        <v>45982.74375</v>
      </c>
      <c r="C6631" s="36">
        <v>45985.45486111111</v>
      </c>
      <c r="D6631" s="22" t="s">
        <v>33</v>
      </c>
      <c r="E6631" s="22" t="s">
        <v>65</v>
      </c>
      <c r="F6631" s="22" t="s">
        <v>34</v>
      </c>
      <c r="G6631" s="22" t="s">
        <v>116</v>
      </c>
      <c r="H6631" s="22" t="s">
        <v>71</v>
      </c>
      <c r="I6631" s="22" t="s">
        <v>123</v>
      </c>
      <c r="J6631" s="23">
        <v>48</v>
      </c>
      <c r="K6631" s="37">
        <v>0</v>
      </c>
      <c r="L6631" s="37">
        <v>4</v>
      </c>
      <c r="M6631" s="22">
        <f>IF(OR(ISBLANK(C6631),C6631=""),"",ROUND((C6631-B6631)*24,2))</f>
        <v>65.07</v>
      </c>
      <c r="N6631" s="38" t="str">
        <f>IF(OR(ISBLANK(C6631),C6631="",M6631=""),"In Progress",IF(M6631&lt;=J6631,"Met","Breached"))</f>
        <v>Breached</v>
      </c>
    </row>
    <row r="6632" ht="19" customHeight="1" spans="1:14" x14ac:dyDescent="0.25">
      <c r="A6632" s="19" t="s">
        <v>6746</v>
      </c>
      <c r="B6632" s="33">
        <v>45991.85625</v>
      </c>
      <c r="C6632" s="33">
        <v>45999.29375</v>
      </c>
      <c r="D6632" s="19" t="s">
        <v>36</v>
      </c>
      <c r="E6632" s="19" t="s">
        <v>69</v>
      </c>
      <c r="F6632" s="19" t="s">
        <v>43</v>
      </c>
      <c r="G6632" s="19" t="s">
        <v>126</v>
      </c>
      <c r="H6632" s="19" t="s">
        <v>59</v>
      </c>
      <c r="I6632" s="19" t="s">
        <v>108</v>
      </c>
      <c r="J6632" s="20">
        <v>120</v>
      </c>
      <c r="K6632" s="34">
        <v>0</v>
      </c>
      <c r="L6632" s="34">
        <v>2</v>
      </c>
      <c r="M6632" s="19">
        <f>IF(OR(ISBLANK(C6632),C6632=""),"",ROUND((C6632-B6632)*24,2))</f>
        <v>178.5</v>
      </c>
      <c r="N6632" s="39" t="str">
        <f>IF(OR(ISBLANK(C6632),C6632="",M6632=""),"In Progress",IF(M6632&lt;=J6632,"Met","Breached"))</f>
        <v>Breached</v>
      </c>
    </row>
    <row r="6633" ht="19" customHeight="1" spans="1:14" x14ac:dyDescent="0.25">
      <c r="A6633" s="22" t="s">
        <v>6747</v>
      </c>
      <c r="B6633" s="36">
        <v>45951.1125</v>
      </c>
      <c r="D6633" s="22" t="s">
        <v>39</v>
      </c>
      <c r="E6633" s="22" t="s">
        <v>61</v>
      </c>
      <c r="F6633" s="22" t="s">
        <v>43</v>
      </c>
      <c r="G6633" s="22" t="s">
        <v>110</v>
      </c>
      <c r="H6633" s="22" t="s">
        <v>59</v>
      </c>
      <c r="I6633" s="22" t="s">
        <v>111</v>
      </c>
      <c r="J6633" s="23">
        <v>12</v>
      </c>
      <c r="K6633" s="37">
        <v>0</v>
      </c>
      <c r="M6633" s="22" t="str">
        <f>IF(OR(ISBLANK(C6633),C6633=""),"",ROUND((C6633-B6633)*24,2))</f>
        <v/>
      </c>
      <c r="N6633" s="22" t="str">
        <f>IF(OR(ISBLANK(C6633),C6633="",M6633=""),"In Progress",IF(M6633&lt;=J6633,"Met","Breached"))</f>
        <v>In Progress</v>
      </c>
    </row>
    <row r="6634" ht="19" customHeight="1" spans="1:14" x14ac:dyDescent="0.25">
      <c r="A6634" s="19" t="s">
        <v>6748</v>
      </c>
      <c r="B6634" s="33">
        <v>46105.836111111115</v>
      </c>
      <c r="C6634" s="33">
        <v>46106.39513888889</v>
      </c>
      <c r="D6634" s="19" t="s">
        <v>33</v>
      </c>
      <c r="E6634" s="19" t="s">
        <v>61</v>
      </c>
      <c r="F6634" s="19" t="s">
        <v>37</v>
      </c>
      <c r="G6634" s="19" t="s">
        <v>116</v>
      </c>
      <c r="H6634" s="19" t="s">
        <v>59</v>
      </c>
      <c r="I6634" s="19" t="s">
        <v>111</v>
      </c>
      <c r="J6634" s="20">
        <v>12</v>
      </c>
      <c r="K6634" s="34">
        <v>0</v>
      </c>
      <c r="L6634" s="34">
        <v>1</v>
      </c>
      <c r="M6634" s="19">
        <f>IF(OR(ISBLANK(C6634),C6634=""),"",ROUND((C6634-B6634)*24,2))</f>
        <v>13.42</v>
      </c>
      <c r="N6634" s="39" t="str">
        <f>IF(OR(ISBLANK(C6634),C6634="",M6634=""),"In Progress",IF(M6634&lt;=J6634,"Met","Breached"))</f>
        <v>Breached</v>
      </c>
    </row>
    <row r="6635" ht="19" customHeight="1" spans="1:14" x14ac:dyDescent="0.25">
      <c r="A6635" s="22" t="s">
        <v>6749</v>
      </c>
      <c r="B6635" s="36">
        <v>46120.96597222222</v>
      </c>
      <c r="C6635" s="36">
        <v>46126.49375</v>
      </c>
      <c r="D6635" s="22" t="s">
        <v>33</v>
      </c>
      <c r="E6635" s="22" t="s">
        <v>69</v>
      </c>
      <c r="F6635" s="22" t="s">
        <v>34</v>
      </c>
      <c r="G6635" s="22" t="s">
        <v>113</v>
      </c>
      <c r="H6635" s="22" t="s">
        <v>63</v>
      </c>
      <c r="I6635" s="22" t="s">
        <v>117</v>
      </c>
      <c r="J6635" s="23">
        <v>120</v>
      </c>
      <c r="K6635" s="37">
        <v>0</v>
      </c>
      <c r="M6635" s="22">
        <f>IF(OR(ISBLANK(C6635),C6635=""),"",ROUND((C6635-B6635)*24,2))</f>
        <v>132.67</v>
      </c>
      <c r="N6635" s="38" t="str">
        <f>IF(OR(ISBLANK(C6635),C6635="",M6635=""),"In Progress",IF(M6635&lt;=J6635,"Met","Breached"))</f>
        <v>Breached</v>
      </c>
    </row>
    <row r="6636" ht="19" customHeight="1" spans="1:14" x14ac:dyDescent="0.25">
      <c r="A6636" s="19" t="s">
        <v>6750</v>
      </c>
      <c r="B6636" s="33">
        <v>46269.70486111111</v>
      </c>
      <c r="C6636" s="33">
        <v>46272.51458333334</v>
      </c>
      <c r="D6636" s="19" t="s">
        <v>36</v>
      </c>
      <c r="E6636" s="19" t="s">
        <v>69</v>
      </c>
      <c r="F6636" s="19" t="s">
        <v>43</v>
      </c>
      <c r="G6636" s="19" t="s">
        <v>126</v>
      </c>
      <c r="H6636" s="19" t="s">
        <v>63</v>
      </c>
      <c r="I6636" s="19" t="s">
        <v>108</v>
      </c>
      <c r="J6636" s="20">
        <v>120</v>
      </c>
      <c r="K6636" s="34">
        <v>0</v>
      </c>
      <c r="L6636" s="34">
        <v>1</v>
      </c>
      <c r="M6636" s="19">
        <f>IF(OR(ISBLANK(C6636),C6636=""),"",ROUND((C6636-B6636)*24,2))</f>
        <v>67.43</v>
      </c>
      <c r="N6636" s="35" t="str">
        <f>IF(OR(ISBLANK(C6636),C6636="",M6636=""),"In Progress",IF(M6636&lt;=J6636,"Met","Breached"))</f>
        <v>Met</v>
      </c>
    </row>
    <row r="6637" ht="19" customHeight="1" spans="1:14" x14ac:dyDescent="0.25">
      <c r="A6637" s="22" t="s">
        <v>6751</v>
      </c>
      <c r="B6637" s="36">
        <v>45911.194444444445</v>
      </c>
      <c r="D6637" s="22" t="s">
        <v>42</v>
      </c>
      <c r="E6637" s="22" t="s">
        <v>65</v>
      </c>
      <c r="F6637" s="22" t="s">
        <v>34</v>
      </c>
      <c r="G6637" s="22" t="s">
        <v>126</v>
      </c>
      <c r="H6637" s="22" t="s">
        <v>63</v>
      </c>
      <c r="I6637" s="22" t="s">
        <v>147</v>
      </c>
      <c r="J6637" s="23">
        <v>48</v>
      </c>
      <c r="K6637" s="37">
        <v>0</v>
      </c>
      <c r="M6637" s="22" t="str">
        <f>IF(OR(ISBLANK(C6637),C6637=""),"",ROUND((C6637-B6637)*24,2))</f>
        <v/>
      </c>
      <c r="N6637" s="22" t="str">
        <f>IF(OR(ISBLANK(C6637),C6637="",M6637=""),"In Progress",IF(M6637&lt;=J6637,"Met","Breached"))</f>
        <v>In Progress</v>
      </c>
    </row>
    <row r="6638" ht="19" customHeight="1" spans="1:14" x14ac:dyDescent="0.25">
      <c r="A6638" s="19" t="s">
        <v>6752</v>
      </c>
      <c r="B6638" s="33">
        <v>46133.95763888889</v>
      </c>
      <c r="C6638" s="33">
        <v>46134.46597222222</v>
      </c>
      <c r="D6638" s="19" t="s">
        <v>33</v>
      </c>
      <c r="E6638" s="19" t="s">
        <v>61</v>
      </c>
      <c r="F6638" s="19" t="s">
        <v>43</v>
      </c>
      <c r="G6638" s="19" t="s">
        <v>110</v>
      </c>
      <c r="H6638" s="19" t="s">
        <v>71</v>
      </c>
      <c r="I6638" s="19" t="s">
        <v>147</v>
      </c>
      <c r="J6638" s="20">
        <v>12</v>
      </c>
      <c r="K6638" s="34">
        <v>0</v>
      </c>
      <c r="L6638" s="34">
        <v>4</v>
      </c>
      <c r="M6638" s="19">
        <f>IF(OR(ISBLANK(C6638),C6638=""),"",ROUND((C6638-B6638)*24,2))</f>
        <v>12.2</v>
      </c>
      <c r="N6638" s="39" t="str">
        <f>IF(OR(ISBLANK(C6638),C6638="",M6638=""),"In Progress",IF(M6638&lt;=J6638,"Met","Breached"))</f>
        <v>Breached</v>
      </c>
    </row>
    <row r="6639" ht="19" customHeight="1" spans="1:14" x14ac:dyDescent="0.25">
      <c r="A6639" s="22" t="s">
        <v>6753</v>
      </c>
      <c r="B6639" s="36">
        <v>46017.22777777778</v>
      </c>
      <c r="C6639" s="36">
        <v>46020.50069444445</v>
      </c>
      <c r="D6639" s="22" t="s">
        <v>33</v>
      </c>
      <c r="E6639" s="22" t="s">
        <v>65</v>
      </c>
      <c r="F6639" s="22" t="s">
        <v>43</v>
      </c>
      <c r="G6639" s="22" t="s">
        <v>113</v>
      </c>
      <c r="H6639" s="22" t="s">
        <v>59</v>
      </c>
      <c r="I6639" s="22" t="s">
        <v>123</v>
      </c>
      <c r="J6639" s="23">
        <v>48</v>
      </c>
      <c r="K6639" s="37">
        <v>0</v>
      </c>
      <c r="L6639" s="37">
        <v>4</v>
      </c>
      <c r="M6639" s="22">
        <f>IF(OR(ISBLANK(C6639),C6639=""),"",ROUND((C6639-B6639)*24,2))</f>
        <v>78.55</v>
      </c>
      <c r="N6639" s="38" t="str">
        <f>IF(OR(ISBLANK(C6639),C6639="",M6639=""),"In Progress",IF(M6639&lt;=J6639,"Met","Breached"))</f>
        <v>Breached</v>
      </c>
    </row>
    <row r="6640" ht="19" customHeight="1" spans="1:14" x14ac:dyDescent="0.25">
      <c r="A6640" s="19" t="s">
        <v>6754</v>
      </c>
      <c r="B6640" s="33">
        <v>45997.11319444445</v>
      </c>
      <c r="C6640" s="33">
        <v>45999.81597222222</v>
      </c>
      <c r="D6640" s="19" t="s">
        <v>33</v>
      </c>
      <c r="E6640" s="19" t="s">
        <v>69</v>
      </c>
      <c r="F6640" s="19" t="s">
        <v>43</v>
      </c>
      <c r="G6640" s="19" t="s">
        <v>121</v>
      </c>
      <c r="H6640" s="19" t="s">
        <v>59</v>
      </c>
      <c r="I6640" s="19" t="s">
        <v>117</v>
      </c>
      <c r="J6640" s="20">
        <v>120</v>
      </c>
      <c r="K6640" s="34">
        <v>0</v>
      </c>
      <c r="M6640" s="19">
        <f>IF(OR(ISBLANK(C6640),C6640=""),"",ROUND((C6640-B6640)*24,2))</f>
        <v>64.87</v>
      </c>
      <c r="N6640" s="35" t="str">
        <f>IF(OR(ISBLANK(C6640),C6640="",M6640=""),"In Progress",IF(M6640&lt;=J6640,"Met","Breached"))</f>
        <v>Met</v>
      </c>
    </row>
    <row r="6641" ht="19" customHeight="1" spans="1:14" x14ac:dyDescent="0.25">
      <c r="A6641" s="22" t="s">
        <v>6755</v>
      </c>
      <c r="B6641" s="36">
        <v>46192.29722222222</v>
      </c>
      <c r="C6641" s="36">
        <v>46192.52916666667</v>
      </c>
      <c r="D6641" s="22" t="s">
        <v>33</v>
      </c>
      <c r="E6641" s="22" t="s">
        <v>61</v>
      </c>
      <c r="F6641" s="22" t="s">
        <v>37</v>
      </c>
      <c r="G6641" s="22" t="s">
        <v>116</v>
      </c>
      <c r="H6641" s="22" t="s">
        <v>63</v>
      </c>
      <c r="I6641" s="22" t="s">
        <v>123</v>
      </c>
      <c r="J6641" s="23">
        <v>12</v>
      </c>
      <c r="K6641" s="37">
        <v>0</v>
      </c>
      <c r="L6641" s="37">
        <v>1</v>
      </c>
      <c r="M6641" s="22">
        <f>IF(OR(ISBLANK(C6641),C6641=""),"",ROUND((C6641-B6641)*24,2))</f>
        <v>5.57</v>
      </c>
      <c r="N6641" s="40" t="str">
        <f>IF(OR(ISBLANK(C6641),C6641="",M6641=""),"In Progress",IF(M6641&lt;=J6641,"Met","Breached"))</f>
        <v>Met</v>
      </c>
    </row>
    <row r="6642" ht="19" customHeight="1" spans="1:14" x14ac:dyDescent="0.25">
      <c r="A6642" s="19" t="s">
        <v>6756</v>
      </c>
      <c r="B6642" s="33">
        <v>46059.888194444444</v>
      </c>
      <c r="D6642" s="19" t="s">
        <v>42</v>
      </c>
      <c r="E6642" s="19" t="s">
        <v>69</v>
      </c>
      <c r="F6642" s="19" t="s">
        <v>43</v>
      </c>
      <c r="G6642" s="19" t="s">
        <v>121</v>
      </c>
      <c r="H6642" s="19" t="s">
        <v>67</v>
      </c>
      <c r="I6642" s="19" t="s">
        <v>117</v>
      </c>
      <c r="J6642" s="20">
        <v>120</v>
      </c>
      <c r="K6642" s="34">
        <v>0</v>
      </c>
      <c r="M6642" s="19" t="str">
        <f>IF(OR(ISBLANK(C6642),C6642=""),"",ROUND((C6642-B6642)*24,2))</f>
        <v/>
      </c>
      <c r="N6642" s="19" t="str">
        <f>IF(OR(ISBLANK(C6642),C6642="",M6642=""),"In Progress",IF(M6642&lt;=J6642,"Met","Breached"))</f>
        <v>In Progress</v>
      </c>
    </row>
    <row r="6643" ht="19" customHeight="1" spans="1:14" x14ac:dyDescent="0.25">
      <c r="A6643" s="22" t="s">
        <v>6757</v>
      </c>
      <c r="B6643" s="36">
        <v>46232.98472222222</v>
      </c>
      <c r="D6643" s="22" t="s">
        <v>39</v>
      </c>
      <c r="E6643" s="22" t="s">
        <v>69</v>
      </c>
      <c r="F6643" s="22" t="s">
        <v>43</v>
      </c>
      <c r="G6643" s="22" t="s">
        <v>116</v>
      </c>
      <c r="H6643" s="22" t="s">
        <v>59</v>
      </c>
      <c r="I6643" s="22" t="s">
        <v>114</v>
      </c>
      <c r="J6643" s="23">
        <v>120</v>
      </c>
      <c r="K6643" s="37">
        <v>0</v>
      </c>
      <c r="M6643" s="22" t="str">
        <f>IF(OR(ISBLANK(C6643),C6643=""),"",ROUND((C6643-B6643)*24,2))</f>
        <v/>
      </c>
      <c r="N6643" s="22" t="str">
        <f>IF(OR(ISBLANK(C6643),C6643="",M6643=""),"In Progress",IF(M6643&lt;=J6643,"Met","Breached"))</f>
        <v>In Progress</v>
      </c>
    </row>
    <row r="6644" ht="19" customHeight="1" spans="1:14" x14ac:dyDescent="0.25">
      <c r="A6644" s="19" t="s">
        <v>6758</v>
      </c>
      <c r="B6644" s="33">
        <v>46046.95625</v>
      </c>
      <c r="C6644" s="33">
        <v>46047.4875</v>
      </c>
      <c r="D6644" s="19" t="s">
        <v>33</v>
      </c>
      <c r="E6644" s="19" t="s">
        <v>61</v>
      </c>
      <c r="F6644" s="19" t="s">
        <v>37</v>
      </c>
      <c r="G6644" s="19" t="s">
        <v>110</v>
      </c>
      <c r="H6644" s="19" t="s">
        <v>59</v>
      </c>
      <c r="I6644" s="19" t="s">
        <v>114</v>
      </c>
      <c r="J6644" s="20">
        <v>12</v>
      </c>
      <c r="K6644" s="34">
        <v>0</v>
      </c>
      <c r="L6644" s="34">
        <v>1</v>
      </c>
      <c r="M6644" s="19">
        <f>IF(OR(ISBLANK(C6644),C6644=""),"",ROUND((C6644-B6644)*24,2))</f>
        <v>12.75</v>
      </c>
      <c r="N6644" s="39" t="str">
        <f>IF(OR(ISBLANK(C6644),C6644="",M6644=""),"In Progress",IF(M6644&lt;=J6644,"Met","Breached"))</f>
        <v>Breached</v>
      </c>
    </row>
    <row r="6645" ht="19" customHeight="1" spans="1:14" x14ac:dyDescent="0.25">
      <c r="A6645" s="22" t="s">
        <v>6759</v>
      </c>
      <c r="B6645" s="36">
        <v>46140.64722222222</v>
      </c>
      <c r="C6645" s="36">
        <v>46147.65138888889</v>
      </c>
      <c r="D6645" s="22" t="s">
        <v>33</v>
      </c>
      <c r="E6645" s="22" t="s">
        <v>69</v>
      </c>
      <c r="F6645" s="22" t="s">
        <v>34</v>
      </c>
      <c r="G6645" s="22" t="s">
        <v>121</v>
      </c>
      <c r="H6645" s="22" t="s">
        <v>67</v>
      </c>
      <c r="I6645" s="22" t="s">
        <v>117</v>
      </c>
      <c r="J6645" s="23">
        <v>120</v>
      </c>
      <c r="K6645" s="37">
        <v>0</v>
      </c>
      <c r="L6645" s="37">
        <v>5</v>
      </c>
      <c r="M6645" s="22">
        <f>IF(OR(ISBLANK(C6645),C6645=""),"",ROUND((C6645-B6645)*24,2))</f>
        <v>168.1</v>
      </c>
      <c r="N6645" s="38" t="str">
        <f>IF(OR(ISBLANK(C6645),C6645="",M6645=""),"In Progress",IF(M6645&lt;=J6645,"Met","Breached"))</f>
        <v>Breached</v>
      </c>
    </row>
    <row r="6646" ht="19" customHeight="1" spans="1:14" x14ac:dyDescent="0.25">
      <c r="A6646" s="19" t="s">
        <v>6760</v>
      </c>
      <c r="B6646" s="33">
        <v>45858.66875</v>
      </c>
      <c r="C6646" s="33">
        <v>45867.31597222222</v>
      </c>
      <c r="D6646" s="19" t="s">
        <v>36</v>
      </c>
      <c r="E6646" s="19" t="s">
        <v>69</v>
      </c>
      <c r="F6646" s="19" t="s">
        <v>43</v>
      </c>
      <c r="G6646" s="19" t="s">
        <v>113</v>
      </c>
      <c r="H6646" s="19" t="s">
        <v>63</v>
      </c>
      <c r="I6646" s="19" t="s">
        <v>147</v>
      </c>
      <c r="J6646" s="20">
        <v>120</v>
      </c>
      <c r="K6646" s="34">
        <v>1</v>
      </c>
      <c r="L6646" s="34">
        <v>5</v>
      </c>
      <c r="M6646" s="19">
        <f>IF(OR(ISBLANK(C6646),C6646=""),"",ROUND((C6646-B6646)*24,2))</f>
        <v>207.53</v>
      </c>
      <c r="N6646" s="39" t="str">
        <f>IF(OR(ISBLANK(C6646),C6646="",M6646=""),"In Progress",IF(M6646&lt;=J6646,"Met","Breached"))</f>
        <v>Breached</v>
      </c>
    </row>
    <row r="6647" ht="19" customHeight="1" spans="1:14" x14ac:dyDescent="0.25">
      <c r="A6647" s="22" t="s">
        <v>6761</v>
      </c>
      <c r="B6647" s="36">
        <v>46079.60763888889</v>
      </c>
      <c r="C6647" s="36">
        <v>46080.20763888889</v>
      </c>
      <c r="D6647" s="22" t="s">
        <v>33</v>
      </c>
      <c r="E6647" s="22" t="s">
        <v>61</v>
      </c>
      <c r="F6647" s="22" t="s">
        <v>37</v>
      </c>
      <c r="G6647" s="22" t="s">
        <v>126</v>
      </c>
      <c r="H6647" s="22" t="s">
        <v>63</v>
      </c>
      <c r="I6647" s="22" t="s">
        <v>123</v>
      </c>
      <c r="J6647" s="23">
        <v>12</v>
      </c>
      <c r="K6647" s="37">
        <v>0</v>
      </c>
      <c r="M6647" s="22">
        <f>IF(OR(ISBLANK(C6647),C6647=""),"",ROUND((C6647-B6647)*24,2))</f>
        <v>14.4</v>
      </c>
      <c r="N6647" s="38" t="str">
        <f>IF(OR(ISBLANK(C6647),C6647="",M6647=""),"In Progress",IF(M6647&lt;=J6647,"Met","Breached"))</f>
        <v>Breached</v>
      </c>
    </row>
    <row r="6648" ht="19" customHeight="1" spans="1:14" x14ac:dyDescent="0.25">
      <c r="A6648" s="19" t="s">
        <v>6762</v>
      </c>
      <c r="B6648" s="33">
        <v>46211.71736111111</v>
      </c>
      <c r="C6648" s="33">
        <v>46214.84236111111</v>
      </c>
      <c r="D6648" s="19" t="s">
        <v>33</v>
      </c>
      <c r="E6648" s="19" t="s">
        <v>65</v>
      </c>
      <c r="F6648" s="19" t="s">
        <v>43</v>
      </c>
      <c r="G6648" s="19" t="s">
        <v>121</v>
      </c>
      <c r="H6648" s="19" t="s">
        <v>59</v>
      </c>
      <c r="I6648" s="19" t="s">
        <v>117</v>
      </c>
      <c r="J6648" s="20">
        <v>48</v>
      </c>
      <c r="K6648" s="34">
        <v>0</v>
      </c>
      <c r="L6648" s="34">
        <v>5</v>
      </c>
      <c r="M6648" s="19">
        <f>IF(OR(ISBLANK(C6648),C6648=""),"",ROUND((C6648-B6648)*24,2))</f>
        <v>75</v>
      </c>
      <c r="N6648" s="39" t="str">
        <f>IF(OR(ISBLANK(C6648),C6648="",M6648=""),"In Progress",IF(M6648&lt;=J6648,"Met","Breached"))</f>
        <v>Breached</v>
      </c>
    </row>
    <row r="6649" ht="19" customHeight="1" spans="1:14" x14ac:dyDescent="0.25">
      <c r="A6649" s="22" t="s">
        <v>6763</v>
      </c>
      <c r="B6649" s="36">
        <v>46019.87569444445</v>
      </c>
      <c r="C6649" s="36">
        <v>46020.518055555556</v>
      </c>
      <c r="D6649" s="22" t="s">
        <v>33</v>
      </c>
      <c r="E6649" s="22" t="s">
        <v>61</v>
      </c>
      <c r="F6649" s="22" t="s">
        <v>37</v>
      </c>
      <c r="G6649" s="22" t="s">
        <v>113</v>
      </c>
      <c r="H6649" s="22" t="s">
        <v>59</v>
      </c>
      <c r="I6649" s="22" t="s">
        <v>117</v>
      </c>
      <c r="J6649" s="23">
        <v>12</v>
      </c>
      <c r="K6649" s="37">
        <v>0</v>
      </c>
      <c r="L6649" s="37">
        <v>5</v>
      </c>
      <c r="M6649" s="22">
        <f>IF(OR(ISBLANK(C6649),C6649=""),"",ROUND((C6649-B6649)*24,2))</f>
        <v>15.42</v>
      </c>
      <c r="N6649" s="38" t="str">
        <f>IF(OR(ISBLANK(C6649),C6649="",M6649=""),"In Progress",IF(M6649&lt;=J6649,"Met","Breached"))</f>
        <v>Breached</v>
      </c>
    </row>
    <row r="6650" ht="19" customHeight="1" spans="1:14" x14ac:dyDescent="0.25">
      <c r="A6650" s="19" t="s">
        <v>6764</v>
      </c>
      <c r="B6650" s="33">
        <v>46122.021527777775</v>
      </c>
      <c r="C6650" s="33">
        <v>46122.15416666667</v>
      </c>
      <c r="D6650" s="19" t="s">
        <v>33</v>
      </c>
      <c r="E6650" s="19" t="s">
        <v>57</v>
      </c>
      <c r="F6650" s="19" t="s">
        <v>43</v>
      </c>
      <c r="G6650" s="19" t="s">
        <v>63</v>
      </c>
      <c r="H6650" s="19" t="s">
        <v>63</v>
      </c>
      <c r="I6650" s="19" t="s">
        <v>111</v>
      </c>
      <c r="J6650" s="20">
        <v>4</v>
      </c>
      <c r="K6650" s="34">
        <v>0</v>
      </c>
      <c r="L6650" s="34">
        <v>5</v>
      </c>
      <c r="M6650" s="19">
        <f>IF(OR(ISBLANK(C6650),C6650=""),"",ROUND((C6650-B6650)*24,2))</f>
        <v>3.18</v>
      </c>
      <c r="N6650" s="35" t="str">
        <f>IF(OR(ISBLANK(C6650),C6650="",M6650=""),"In Progress",IF(M6650&lt;=J6650,"Met","Breached"))</f>
        <v>Met</v>
      </c>
    </row>
    <row r="6651" ht="19" customHeight="1" spans="1:14" x14ac:dyDescent="0.25">
      <c r="A6651" s="22" t="s">
        <v>6765</v>
      </c>
      <c r="B6651" s="36">
        <v>45719.86319444445</v>
      </c>
      <c r="D6651" s="22" t="s">
        <v>39</v>
      </c>
      <c r="E6651" s="22" t="s">
        <v>65</v>
      </c>
      <c r="F6651" s="22" t="s">
        <v>45</v>
      </c>
      <c r="G6651" s="22" t="s">
        <v>121</v>
      </c>
      <c r="H6651" s="22" t="s">
        <v>71</v>
      </c>
      <c r="I6651" s="22" t="s">
        <v>117</v>
      </c>
      <c r="J6651" s="23">
        <v>48</v>
      </c>
      <c r="K6651" s="37">
        <v>0</v>
      </c>
      <c r="M6651" s="22" t="str">
        <f>IF(OR(ISBLANK(C6651),C6651=""),"",ROUND((C6651-B6651)*24,2))</f>
        <v/>
      </c>
      <c r="N6651" s="22" t="str">
        <f>IF(OR(ISBLANK(C6651),C6651="",M6651=""),"In Progress",IF(M6651&lt;=J6651,"Met","Breached"))</f>
        <v>In Progress</v>
      </c>
    </row>
    <row r="6652" ht="19" customHeight="1" spans="1:14" x14ac:dyDescent="0.25">
      <c r="A6652" s="19" t="s">
        <v>6766</v>
      </c>
      <c r="B6652" s="33">
        <v>45707.35</v>
      </c>
      <c r="C6652" s="33">
        <v>45708.2625</v>
      </c>
      <c r="D6652" s="19" t="s">
        <v>33</v>
      </c>
      <c r="E6652" s="19" t="s">
        <v>65</v>
      </c>
      <c r="F6652" s="19" t="s">
        <v>40</v>
      </c>
      <c r="G6652" s="19" t="s">
        <v>110</v>
      </c>
      <c r="H6652" s="19" t="s">
        <v>71</v>
      </c>
      <c r="I6652" s="19" t="s">
        <v>108</v>
      </c>
      <c r="J6652" s="20">
        <v>48</v>
      </c>
      <c r="K6652" s="34">
        <v>0</v>
      </c>
      <c r="M6652" s="19">
        <f>IF(OR(ISBLANK(C6652),C6652=""),"",ROUND((C6652-B6652)*24,2))</f>
        <v>21.9</v>
      </c>
      <c r="N6652" s="35" t="str">
        <f>IF(OR(ISBLANK(C6652),C6652="",M6652=""),"In Progress",IF(M6652&lt;=J6652,"Met","Breached"))</f>
        <v>Met</v>
      </c>
    </row>
    <row r="6653" ht="19" customHeight="1" spans="1:14" x14ac:dyDescent="0.25">
      <c r="A6653" s="22" t="s">
        <v>6767</v>
      </c>
      <c r="B6653" s="36">
        <v>45741.92361111111</v>
      </c>
      <c r="D6653" s="22" t="s">
        <v>39</v>
      </c>
      <c r="E6653" s="22" t="s">
        <v>69</v>
      </c>
      <c r="F6653" s="22" t="s">
        <v>34</v>
      </c>
      <c r="G6653" s="22" t="s">
        <v>113</v>
      </c>
      <c r="H6653" s="22" t="s">
        <v>63</v>
      </c>
      <c r="I6653" s="22" t="s">
        <v>147</v>
      </c>
      <c r="J6653" s="23">
        <v>120</v>
      </c>
      <c r="K6653" s="37">
        <v>0</v>
      </c>
      <c r="M6653" s="22" t="str">
        <f>IF(OR(ISBLANK(C6653),C6653=""),"",ROUND((C6653-B6653)*24,2))</f>
        <v/>
      </c>
      <c r="N6653" s="22" t="str">
        <f>IF(OR(ISBLANK(C6653),C6653="",M6653=""),"In Progress",IF(M6653&lt;=J6653,"Met","Breached"))</f>
        <v>In Progress</v>
      </c>
    </row>
    <row r="6654" ht="19" customHeight="1" spans="1:14" x14ac:dyDescent="0.25">
      <c r="A6654" s="19" t="s">
        <v>6768</v>
      </c>
      <c r="B6654" s="33">
        <v>46081.5</v>
      </c>
      <c r="C6654" s="33">
        <v>46083.09444444445</v>
      </c>
      <c r="D6654" s="19" t="s">
        <v>33</v>
      </c>
      <c r="E6654" s="19" t="s">
        <v>65</v>
      </c>
      <c r="F6654" s="19" t="s">
        <v>34</v>
      </c>
      <c r="G6654" s="19" t="s">
        <v>116</v>
      </c>
      <c r="H6654" s="19" t="s">
        <v>63</v>
      </c>
      <c r="I6654" s="19" t="s">
        <v>108</v>
      </c>
      <c r="J6654" s="20">
        <v>48</v>
      </c>
      <c r="K6654" s="34">
        <v>0</v>
      </c>
      <c r="L6654" s="34">
        <v>2</v>
      </c>
      <c r="M6654" s="19">
        <f>IF(OR(ISBLANK(C6654),C6654=""),"",ROUND((C6654-B6654)*24,2))</f>
        <v>38.27</v>
      </c>
      <c r="N6654" s="35" t="str">
        <f>IF(OR(ISBLANK(C6654),C6654="",M6654=""),"In Progress",IF(M6654&lt;=J6654,"Met","Breached"))</f>
        <v>Met</v>
      </c>
    </row>
    <row r="6655" ht="19" customHeight="1" spans="1:14" x14ac:dyDescent="0.25">
      <c r="A6655" s="22" t="s">
        <v>6769</v>
      </c>
      <c r="B6655" s="36">
        <v>45974.31041666667</v>
      </c>
      <c r="C6655" s="36">
        <v>45979.03611111111</v>
      </c>
      <c r="D6655" s="22" t="s">
        <v>36</v>
      </c>
      <c r="E6655" s="22" t="s">
        <v>69</v>
      </c>
      <c r="F6655" s="22" t="s">
        <v>37</v>
      </c>
      <c r="G6655" s="22" t="s">
        <v>63</v>
      </c>
      <c r="H6655" s="22" t="s">
        <v>67</v>
      </c>
      <c r="I6655" s="22" t="s">
        <v>114</v>
      </c>
      <c r="J6655" s="23">
        <v>120</v>
      </c>
      <c r="K6655" s="37">
        <v>0</v>
      </c>
      <c r="M6655" s="22">
        <f>IF(OR(ISBLANK(C6655),C6655=""),"",ROUND((C6655-B6655)*24,2))</f>
        <v>113.42</v>
      </c>
      <c r="N6655" s="40" t="str">
        <f>IF(OR(ISBLANK(C6655),C6655="",M6655=""),"In Progress",IF(M6655&lt;=J6655,"Met","Breached"))</f>
        <v>Met</v>
      </c>
    </row>
    <row r="6656" ht="19" customHeight="1" spans="1:14" x14ac:dyDescent="0.25">
      <c r="A6656" s="19" t="s">
        <v>6770</v>
      </c>
      <c r="B6656" s="33">
        <v>46025.17083333334</v>
      </c>
      <c r="C6656" s="33">
        <v>46025.84652777778</v>
      </c>
      <c r="D6656" s="19" t="s">
        <v>33</v>
      </c>
      <c r="E6656" s="19" t="s">
        <v>65</v>
      </c>
      <c r="F6656" s="19" t="s">
        <v>40</v>
      </c>
      <c r="G6656" s="19" t="s">
        <v>63</v>
      </c>
      <c r="H6656" s="19" t="s">
        <v>71</v>
      </c>
      <c r="I6656" s="19" t="s">
        <v>117</v>
      </c>
      <c r="J6656" s="20">
        <v>48</v>
      </c>
      <c r="K6656" s="34">
        <v>0</v>
      </c>
      <c r="L6656" s="34">
        <v>4</v>
      </c>
      <c r="M6656" s="19">
        <f>IF(OR(ISBLANK(C6656),C6656=""),"",ROUND((C6656-B6656)*24,2))</f>
        <v>16.22</v>
      </c>
      <c r="N6656" s="35" t="str">
        <f>IF(OR(ISBLANK(C6656),C6656="",M6656=""),"In Progress",IF(M6656&lt;=J6656,"Met","Breached"))</f>
        <v>Met</v>
      </c>
    </row>
    <row r="6657" ht="19" customHeight="1" spans="1:14" x14ac:dyDescent="0.25">
      <c r="A6657" s="22" t="s">
        <v>6771</v>
      </c>
      <c r="B6657" s="36">
        <v>45886.61111111111</v>
      </c>
      <c r="C6657" s="36">
        <v>45887.49513888889</v>
      </c>
      <c r="D6657" s="22" t="s">
        <v>33</v>
      </c>
      <c r="E6657" s="22" t="s">
        <v>61</v>
      </c>
      <c r="F6657" s="22" t="s">
        <v>40</v>
      </c>
      <c r="G6657" s="22" t="s">
        <v>121</v>
      </c>
      <c r="H6657" s="22" t="s">
        <v>71</v>
      </c>
      <c r="I6657" s="22" t="s">
        <v>123</v>
      </c>
      <c r="J6657" s="23">
        <v>12</v>
      </c>
      <c r="K6657" s="37">
        <v>1</v>
      </c>
      <c r="L6657" s="37">
        <v>5</v>
      </c>
      <c r="M6657" s="22">
        <f>IF(OR(ISBLANK(C6657),C6657=""),"",ROUND((C6657-B6657)*24,2))</f>
        <v>21.22</v>
      </c>
      <c r="N6657" s="38" t="str">
        <f>IF(OR(ISBLANK(C6657),C6657="",M6657=""),"In Progress",IF(M6657&lt;=J6657,"Met","Breached"))</f>
        <v>Breached</v>
      </c>
    </row>
    <row r="6658" ht="19" customHeight="1" spans="1:14" x14ac:dyDescent="0.25">
      <c r="A6658" s="19" t="s">
        <v>6772</v>
      </c>
      <c r="B6658" s="33">
        <v>45793.94583333333</v>
      </c>
      <c r="C6658" s="33">
        <v>45794.50486111111</v>
      </c>
      <c r="D6658" s="19" t="s">
        <v>33</v>
      </c>
      <c r="E6658" s="19" t="s">
        <v>61</v>
      </c>
      <c r="F6658" s="19" t="s">
        <v>40</v>
      </c>
      <c r="G6658" s="19" t="s">
        <v>116</v>
      </c>
      <c r="H6658" s="19" t="s">
        <v>59</v>
      </c>
      <c r="I6658" s="19" t="s">
        <v>123</v>
      </c>
      <c r="J6658" s="20">
        <v>12</v>
      </c>
      <c r="K6658" s="34">
        <v>0</v>
      </c>
      <c r="L6658" s="34">
        <v>1</v>
      </c>
      <c r="M6658" s="19">
        <f>IF(OR(ISBLANK(C6658),C6658=""),"",ROUND((C6658-B6658)*24,2))</f>
        <v>13.42</v>
      </c>
      <c r="N6658" s="39" t="str">
        <f>IF(OR(ISBLANK(C6658),C6658="",M6658=""),"In Progress",IF(M6658&lt;=J6658,"Met","Breached"))</f>
        <v>Breached</v>
      </c>
    </row>
    <row r="6659" ht="19" customHeight="1" spans="1:14" x14ac:dyDescent="0.25">
      <c r="A6659" s="22" t="s">
        <v>6773</v>
      </c>
      <c r="B6659" s="36">
        <v>45729.138194444444</v>
      </c>
      <c r="C6659" s="36">
        <v>45732.63958333334</v>
      </c>
      <c r="D6659" s="22" t="s">
        <v>33</v>
      </c>
      <c r="E6659" s="22" t="s">
        <v>69</v>
      </c>
      <c r="F6659" s="22" t="s">
        <v>40</v>
      </c>
      <c r="G6659" s="22" t="s">
        <v>121</v>
      </c>
      <c r="H6659" s="22" t="s">
        <v>71</v>
      </c>
      <c r="I6659" s="22" t="s">
        <v>123</v>
      </c>
      <c r="J6659" s="23">
        <v>120</v>
      </c>
      <c r="K6659" s="37">
        <v>0</v>
      </c>
      <c r="L6659" s="37">
        <v>2</v>
      </c>
      <c r="M6659" s="22">
        <f>IF(OR(ISBLANK(C6659),C6659=""),"",ROUND((C6659-B6659)*24,2))</f>
        <v>84.03</v>
      </c>
      <c r="N6659" s="40" t="str">
        <f>IF(OR(ISBLANK(C6659),C6659="",M6659=""),"In Progress",IF(M6659&lt;=J6659,"Met","Breached"))</f>
        <v>Met</v>
      </c>
    </row>
    <row r="6660" ht="19" customHeight="1" spans="1:14" x14ac:dyDescent="0.25">
      <c r="A6660" s="19" t="s">
        <v>6774</v>
      </c>
      <c r="B6660" s="33">
        <v>46232.30069444445</v>
      </c>
      <c r="C6660" s="33">
        <v>46234.47222222222</v>
      </c>
      <c r="D6660" s="19" t="s">
        <v>36</v>
      </c>
      <c r="E6660" s="19" t="s">
        <v>65</v>
      </c>
      <c r="F6660" s="19" t="s">
        <v>43</v>
      </c>
      <c r="G6660" s="19" t="s">
        <v>126</v>
      </c>
      <c r="H6660" s="19" t="s">
        <v>67</v>
      </c>
      <c r="I6660" s="19" t="s">
        <v>111</v>
      </c>
      <c r="J6660" s="20">
        <v>48</v>
      </c>
      <c r="K6660" s="34">
        <v>0</v>
      </c>
      <c r="L6660" s="34">
        <v>5</v>
      </c>
      <c r="M6660" s="19">
        <f>IF(OR(ISBLANK(C6660),C6660=""),"",ROUND((C6660-B6660)*24,2))</f>
        <v>52.12</v>
      </c>
      <c r="N6660" s="39" t="str">
        <f>IF(OR(ISBLANK(C6660),C6660="",M6660=""),"In Progress",IF(M6660&lt;=J6660,"Met","Breached"))</f>
        <v>Breached</v>
      </c>
    </row>
    <row r="6661" ht="19" customHeight="1" spans="1:14" x14ac:dyDescent="0.25">
      <c r="A6661" s="22" t="s">
        <v>6775</v>
      </c>
      <c r="B6661" s="36">
        <v>46236.86597222222</v>
      </c>
      <c r="D6661" s="22" t="s">
        <v>42</v>
      </c>
      <c r="E6661" s="22" t="s">
        <v>69</v>
      </c>
      <c r="F6661" s="22" t="s">
        <v>34</v>
      </c>
      <c r="G6661" s="22" t="s">
        <v>116</v>
      </c>
      <c r="H6661" s="22" t="s">
        <v>63</v>
      </c>
      <c r="I6661" s="22" t="s">
        <v>117</v>
      </c>
      <c r="J6661" s="23">
        <v>120</v>
      </c>
      <c r="K6661" s="37">
        <v>0</v>
      </c>
      <c r="M6661" s="22" t="str">
        <f>IF(OR(ISBLANK(C6661),C6661=""),"",ROUND((C6661-B6661)*24,2))</f>
        <v/>
      </c>
      <c r="N6661" s="22" t="str">
        <f>IF(OR(ISBLANK(C6661),C6661="",M6661=""),"In Progress",IF(M6661&lt;=J6661,"Met","Breached"))</f>
        <v>In Progress</v>
      </c>
    </row>
    <row r="6662" ht="19" customHeight="1" spans="1:14" x14ac:dyDescent="0.25">
      <c r="A6662" s="19" t="s">
        <v>6776</v>
      </c>
      <c r="B6662" s="33">
        <v>45838.24513888889</v>
      </c>
      <c r="D6662" s="19" t="s">
        <v>39</v>
      </c>
      <c r="E6662" s="19" t="s">
        <v>61</v>
      </c>
      <c r="F6662" s="19" t="s">
        <v>34</v>
      </c>
      <c r="G6662" s="19" t="s">
        <v>113</v>
      </c>
      <c r="H6662" s="19" t="s">
        <v>63</v>
      </c>
      <c r="I6662" s="19" t="s">
        <v>117</v>
      </c>
      <c r="J6662" s="20">
        <v>12</v>
      </c>
      <c r="K6662" s="34">
        <v>0</v>
      </c>
      <c r="M6662" s="19" t="str">
        <f>IF(OR(ISBLANK(C6662),C6662=""),"",ROUND((C6662-B6662)*24,2))</f>
        <v/>
      </c>
      <c r="N6662" s="19" t="str">
        <f>IF(OR(ISBLANK(C6662),C6662="",M6662=""),"In Progress",IF(M6662&lt;=J6662,"Met","Breached"))</f>
        <v>In Progress</v>
      </c>
    </row>
    <row r="6663" ht="19" customHeight="1" spans="1:14" x14ac:dyDescent="0.25">
      <c r="A6663" s="22" t="s">
        <v>6777</v>
      </c>
      <c r="B6663" s="36">
        <v>45802.75833333333</v>
      </c>
      <c r="C6663" s="36">
        <v>45802.98888888889</v>
      </c>
      <c r="D6663" s="22" t="s">
        <v>36</v>
      </c>
      <c r="E6663" s="22" t="s">
        <v>57</v>
      </c>
      <c r="F6663" s="22" t="s">
        <v>45</v>
      </c>
      <c r="G6663" s="22" t="s">
        <v>121</v>
      </c>
      <c r="H6663" s="22" t="s">
        <v>59</v>
      </c>
      <c r="I6663" s="22" t="s">
        <v>117</v>
      </c>
      <c r="J6663" s="23">
        <v>4</v>
      </c>
      <c r="K6663" s="37">
        <v>0</v>
      </c>
      <c r="M6663" s="22">
        <f>IF(OR(ISBLANK(C6663),C6663=""),"",ROUND((C6663-B6663)*24,2))</f>
        <v>5.53</v>
      </c>
      <c r="N6663" s="38" t="str">
        <f>IF(OR(ISBLANK(C6663),C6663="",M6663=""),"In Progress",IF(M6663&lt;=J6663,"Met","Breached"))</f>
        <v>Breached</v>
      </c>
    </row>
    <row r="6664" ht="19" customHeight="1" spans="1:14" x14ac:dyDescent="0.25">
      <c r="A6664" s="19" t="s">
        <v>6778</v>
      </c>
      <c r="B6664" s="33">
        <v>45768.69791666667</v>
      </c>
      <c r="C6664" s="33">
        <v>45768.93819444445</v>
      </c>
      <c r="D6664" s="19" t="s">
        <v>33</v>
      </c>
      <c r="E6664" s="19" t="s">
        <v>61</v>
      </c>
      <c r="F6664" s="19" t="s">
        <v>34</v>
      </c>
      <c r="G6664" s="19" t="s">
        <v>113</v>
      </c>
      <c r="H6664" s="19" t="s">
        <v>59</v>
      </c>
      <c r="I6664" s="19" t="s">
        <v>108</v>
      </c>
      <c r="J6664" s="20">
        <v>12</v>
      </c>
      <c r="K6664" s="34">
        <v>0</v>
      </c>
      <c r="M6664" s="19">
        <f>IF(OR(ISBLANK(C6664),C6664=""),"",ROUND((C6664-B6664)*24,2))</f>
        <v>5.77</v>
      </c>
      <c r="N6664" s="35" t="str">
        <f>IF(OR(ISBLANK(C6664),C6664="",M6664=""),"In Progress",IF(M6664&lt;=J6664,"Met","Breached"))</f>
        <v>Met</v>
      </c>
    </row>
    <row r="6665" ht="19" customHeight="1" spans="1:14" x14ac:dyDescent="0.25">
      <c r="A6665" s="22" t="s">
        <v>6779</v>
      </c>
      <c r="B6665" s="36">
        <v>46198.20972222222</v>
      </c>
      <c r="C6665" s="36">
        <v>46198.725</v>
      </c>
      <c r="D6665" s="22" t="s">
        <v>36</v>
      </c>
      <c r="E6665" s="22" t="s">
        <v>61</v>
      </c>
      <c r="F6665" s="22" t="s">
        <v>43</v>
      </c>
      <c r="G6665" s="22" t="s">
        <v>113</v>
      </c>
      <c r="H6665" s="22" t="s">
        <v>71</v>
      </c>
      <c r="I6665" s="22" t="s">
        <v>123</v>
      </c>
      <c r="J6665" s="23">
        <v>12</v>
      </c>
      <c r="K6665" s="37">
        <v>0</v>
      </c>
      <c r="L6665" s="37">
        <v>3</v>
      </c>
      <c r="M6665" s="22">
        <f>IF(OR(ISBLANK(C6665),C6665=""),"",ROUND((C6665-B6665)*24,2))</f>
        <v>12.37</v>
      </c>
      <c r="N6665" s="38" t="str">
        <f>IF(OR(ISBLANK(C6665),C6665="",M6665=""),"In Progress",IF(M6665&lt;=J6665,"Met","Breached"))</f>
        <v>Breached</v>
      </c>
    </row>
    <row r="6666" ht="19" customHeight="1" spans="1:14" x14ac:dyDescent="0.25">
      <c r="A6666" s="19" t="s">
        <v>6780</v>
      </c>
      <c r="B6666" s="33">
        <v>45686.524305555555</v>
      </c>
      <c r="C6666" s="33">
        <v>45690.68125</v>
      </c>
      <c r="D6666" s="19" t="s">
        <v>36</v>
      </c>
      <c r="E6666" s="19" t="s">
        <v>69</v>
      </c>
      <c r="F6666" s="19" t="s">
        <v>43</v>
      </c>
      <c r="G6666" s="19" t="s">
        <v>113</v>
      </c>
      <c r="H6666" s="19" t="s">
        <v>63</v>
      </c>
      <c r="I6666" s="19" t="s">
        <v>123</v>
      </c>
      <c r="J6666" s="20">
        <v>120</v>
      </c>
      <c r="K6666" s="34">
        <v>0</v>
      </c>
      <c r="L6666" s="34">
        <v>4</v>
      </c>
      <c r="M6666" s="19">
        <f>IF(OR(ISBLANK(C6666),C6666=""),"",ROUND((C6666-B6666)*24,2))</f>
        <v>99.77</v>
      </c>
      <c r="N6666" s="35" t="str">
        <f>IF(OR(ISBLANK(C6666),C6666="",M6666=""),"In Progress",IF(M6666&lt;=J6666,"Met","Breached"))</f>
        <v>Met</v>
      </c>
    </row>
    <row r="6667" ht="19" customHeight="1" spans="1:14" x14ac:dyDescent="0.25">
      <c r="A6667" s="22" t="s">
        <v>6781</v>
      </c>
      <c r="B6667" s="36">
        <v>46081.5</v>
      </c>
      <c r="C6667" s="36">
        <v>46087.57777777778</v>
      </c>
      <c r="D6667" s="22" t="s">
        <v>33</v>
      </c>
      <c r="E6667" s="22" t="s">
        <v>69</v>
      </c>
      <c r="F6667" s="22" t="s">
        <v>37</v>
      </c>
      <c r="G6667" s="22" t="s">
        <v>121</v>
      </c>
      <c r="H6667" s="22" t="s">
        <v>59</v>
      </c>
      <c r="I6667" s="22" t="s">
        <v>108</v>
      </c>
      <c r="J6667" s="23">
        <v>120</v>
      </c>
      <c r="K6667" s="37">
        <v>0</v>
      </c>
      <c r="L6667" s="37">
        <v>2</v>
      </c>
      <c r="M6667" s="22">
        <f>IF(OR(ISBLANK(C6667),C6667=""),"",ROUND((C6667-B6667)*24,2))</f>
        <v>145.87</v>
      </c>
      <c r="N6667" s="38" t="str">
        <f>IF(OR(ISBLANK(C6667),C6667="",M6667=""),"In Progress",IF(M6667&lt;=J6667,"Met","Breached"))</f>
        <v>Breached</v>
      </c>
    </row>
    <row r="6668" ht="19" customHeight="1" spans="1:14" x14ac:dyDescent="0.25">
      <c r="A6668" s="19" t="s">
        <v>6782</v>
      </c>
      <c r="B6668" s="33">
        <v>46012.347916666666</v>
      </c>
      <c r="C6668" s="33">
        <v>46013.867361111115</v>
      </c>
      <c r="D6668" s="19" t="s">
        <v>33</v>
      </c>
      <c r="E6668" s="19" t="s">
        <v>65</v>
      </c>
      <c r="F6668" s="19" t="s">
        <v>40</v>
      </c>
      <c r="G6668" s="19" t="s">
        <v>126</v>
      </c>
      <c r="H6668" s="19" t="s">
        <v>59</v>
      </c>
      <c r="I6668" s="19" t="s">
        <v>147</v>
      </c>
      <c r="J6668" s="20">
        <v>48</v>
      </c>
      <c r="K6668" s="34">
        <v>0</v>
      </c>
      <c r="L6668" s="34">
        <v>1</v>
      </c>
      <c r="M6668" s="19">
        <f>IF(OR(ISBLANK(C6668),C6668=""),"",ROUND((C6668-B6668)*24,2))</f>
        <v>36.47</v>
      </c>
      <c r="N6668" s="35" t="str">
        <f>IF(OR(ISBLANK(C6668),C6668="",M6668=""),"In Progress",IF(M6668&lt;=J6668,"Met","Breached"))</f>
        <v>Met</v>
      </c>
    </row>
    <row r="6669" ht="19" customHeight="1" spans="1:14" x14ac:dyDescent="0.25">
      <c r="A6669" s="22" t="s">
        <v>6783</v>
      </c>
      <c r="B6669" s="36">
        <v>45780.697222222225</v>
      </c>
      <c r="C6669" s="36">
        <v>45785.722916666666</v>
      </c>
      <c r="D6669" s="22" t="s">
        <v>36</v>
      </c>
      <c r="E6669" s="22" t="s">
        <v>69</v>
      </c>
      <c r="F6669" s="22" t="s">
        <v>43</v>
      </c>
      <c r="G6669" s="22" t="s">
        <v>121</v>
      </c>
      <c r="H6669" s="22" t="s">
        <v>63</v>
      </c>
      <c r="I6669" s="22" t="s">
        <v>117</v>
      </c>
      <c r="J6669" s="23">
        <v>120</v>
      </c>
      <c r="K6669" s="37">
        <v>0</v>
      </c>
      <c r="L6669" s="37">
        <v>4</v>
      </c>
      <c r="M6669" s="22">
        <f>IF(OR(ISBLANK(C6669),C6669=""),"",ROUND((C6669-B6669)*24,2))</f>
        <v>120.62</v>
      </c>
      <c r="N6669" s="38" t="str">
        <f>IF(OR(ISBLANK(C6669),C6669="",M6669=""),"In Progress",IF(M6669&lt;=J6669,"Met","Breached"))</f>
        <v>Breached</v>
      </c>
    </row>
    <row r="6670" ht="19" customHeight="1" spans="1:14" x14ac:dyDescent="0.25">
      <c r="A6670" s="19" t="s">
        <v>6784</v>
      </c>
      <c r="B6670" s="33">
        <v>45969.90347222222</v>
      </c>
      <c r="C6670" s="33">
        <v>45970.09583333333</v>
      </c>
      <c r="D6670" s="19" t="s">
        <v>36</v>
      </c>
      <c r="E6670" s="19" t="s">
        <v>57</v>
      </c>
      <c r="F6670" s="19" t="s">
        <v>40</v>
      </c>
      <c r="G6670" s="19" t="s">
        <v>116</v>
      </c>
      <c r="H6670" s="19" t="s">
        <v>59</v>
      </c>
      <c r="I6670" s="19" t="s">
        <v>123</v>
      </c>
      <c r="J6670" s="20">
        <v>4</v>
      </c>
      <c r="K6670" s="34">
        <v>0</v>
      </c>
      <c r="M6670" s="19">
        <f>IF(OR(ISBLANK(C6670),C6670=""),"",ROUND((C6670-B6670)*24,2))</f>
        <v>4.62</v>
      </c>
      <c r="N6670" s="39" t="str">
        <f>IF(OR(ISBLANK(C6670),C6670="",M6670=""),"In Progress",IF(M6670&lt;=J6670,"Met","Breached"))</f>
        <v>Breached</v>
      </c>
    </row>
    <row r="6671" ht="19" customHeight="1" spans="1:14" x14ac:dyDescent="0.25">
      <c r="A6671" s="22" t="s">
        <v>6785</v>
      </c>
      <c r="B6671" s="36">
        <v>45893.36944444444</v>
      </c>
      <c r="C6671" s="36">
        <v>45893.55763888889</v>
      </c>
      <c r="D6671" s="22" t="s">
        <v>36</v>
      </c>
      <c r="E6671" s="22" t="s">
        <v>61</v>
      </c>
      <c r="F6671" s="22" t="s">
        <v>34</v>
      </c>
      <c r="G6671" s="22" t="s">
        <v>63</v>
      </c>
      <c r="H6671" s="22" t="s">
        <v>71</v>
      </c>
      <c r="I6671" s="22" t="s">
        <v>114</v>
      </c>
      <c r="J6671" s="23">
        <v>12</v>
      </c>
      <c r="K6671" s="37">
        <v>0</v>
      </c>
      <c r="L6671" s="37">
        <v>2</v>
      </c>
      <c r="M6671" s="22">
        <f>IF(OR(ISBLANK(C6671),C6671=""),"",ROUND((C6671-B6671)*24,2))</f>
        <v>4.52</v>
      </c>
      <c r="N6671" s="40" t="str">
        <f>IF(OR(ISBLANK(C6671),C6671="",M6671=""),"In Progress",IF(M6671&lt;=J6671,"Met","Breached"))</f>
        <v>Met</v>
      </c>
    </row>
    <row r="6672" ht="19" customHeight="1" spans="1:14" x14ac:dyDescent="0.25">
      <c r="A6672" s="19" t="s">
        <v>6786</v>
      </c>
      <c r="B6672" s="33">
        <v>45821.8</v>
      </c>
      <c r="C6672" s="33">
        <v>45822.94861111111</v>
      </c>
      <c r="D6672" s="19" t="s">
        <v>33</v>
      </c>
      <c r="E6672" s="19" t="s">
        <v>65</v>
      </c>
      <c r="F6672" s="19" t="s">
        <v>34</v>
      </c>
      <c r="G6672" s="19" t="s">
        <v>116</v>
      </c>
      <c r="H6672" s="19" t="s">
        <v>59</v>
      </c>
      <c r="I6672" s="19" t="s">
        <v>108</v>
      </c>
      <c r="J6672" s="20">
        <v>48</v>
      </c>
      <c r="K6672" s="34">
        <v>0</v>
      </c>
      <c r="M6672" s="19">
        <f>IF(OR(ISBLANK(C6672),C6672=""),"",ROUND((C6672-B6672)*24,2))</f>
        <v>27.57</v>
      </c>
      <c r="N6672" s="35" t="str">
        <f>IF(OR(ISBLANK(C6672),C6672="",M6672=""),"In Progress",IF(M6672&lt;=J6672,"Met","Breached"))</f>
        <v>Met</v>
      </c>
    </row>
    <row r="6673" ht="19" customHeight="1" spans="1:14" x14ac:dyDescent="0.25">
      <c r="A6673" s="22" t="s">
        <v>6787</v>
      </c>
      <c r="B6673" s="36">
        <v>46082.525</v>
      </c>
      <c r="C6673" s="36">
        <v>46083.775</v>
      </c>
      <c r="D6673" s="22" t="s">
        <v>36</v>
      </c>
      <c r="E6673" s="22" t="s">
        <v>65</v>
      </c>
      <c r="F6673" s="22" t="s">
        <v>40</v>
      </c>
      <c r="G6673" s="22" t="s">
        <v>126</v>
      </c>
      <c r="H6673" s="22" t="s">
        <v>59</v>
      </c>
      <c r="I6673" s="22" t="s">
        <v>147</v>
      </c>
      <c r="J6673" s="23">
        <v>48</v>
      </c>
      <c r="K6673" s="37">
        <v>0</v>
      </c>
      <c r="M6673" s="22">
        <f>IF(OR(ISBLANK(C6673),C6673=""),"",ROUND((C6673-B6673)*24,2))</f>
        <v>30</v>
      </c>
      <c r="N6673" s="40" t="str">
        <f>IF(OR(ISBLANK(C6673),C6673="",M6673=""),"In Progress",IF(M6673&lt;=J6673,"Met","Breached"))</f>
        <v>Met</v>
      </c>
    </row>
    <row r="6674" ht="19" customHeight="1" spans="1:14" x14ac:dyDescent="0.25">
      <c r="A6674" s="19" t="s">
        <v>6788</v>
      </c>
      <c r="B6674" s="33">
        <v>45968.808333333334</v>
      </c>
      <c r="D6674" s="19" t="s">
        <v>42</v>
      </c>
      <c r="E6674" s="19" t="s">
        <v>65</v>
      </c>
      <c r="F6674" s="19" t="s">
        <v>45</v>
      </c>
      <c r="G6674" s="19" t="s">
        <v>63</v>
      </c>
      <c r="H6674" s="19" t="s">
        <v>59</v>
      </c>
      <c r="I6674" s="19" t="s">
        <v>111</v>
      </c>
      <c r="J6674" s="20">
        <v>48</v>
      </c>
      <c r="K6674" s="34">
        <v>0</v>
      </c>
      <c r="M6674" s="19" t="str">
        <f>IF(OR(ISBLANK(C6674),C6674=""),"",ROUND((C6674-B6674)*24,2))</f>
        <v/>
      </c>
      <c r="N6674" s="19" t="str">
        <f>IF(OR(ISBLANK(C6674),C6674="",M6674=""),"In Progress",IF(M6674&lt;=J6674,"Met","Breached"))</f>
        <v>In Progress</v>
      </c>
    </row>
    <row r="6675" ht="19" customHeight="1" spans="1:14" x14ac:dyDescent="0.25">
      <c r="A6675" s="22" t="s">
        <v>6789</v>
      </c>
      <c r="B6675" s="36">
        <v>46099.632638888885</v>
      </c>
      <c r="C6675" s="36">
        <v>46102.65486111111</v>
      </c>
      <c r="D6675" s="22" t="s">
        <v>33</v>
      </c>
      <c r="E6675" s="22" t="s">
        <v>65</v>
      </c>
      <c r="F6675" s="22" t="s">
        <v>40</v>
      </c>
      <c r="G6675" s="22" t="s">
        <v>63</v>
      </c>
      <c r="H6675" s="22" t="s">
        <v>67</v>
      </c>
      <c r="I6675" s="22" t="s">
        <v>123</v>
      </c>
      <c r="J6675" s="23">
        <v>48</v>
      </c>
      <c r="K6675" s="37">
        <v>0</v>
      </c>
      <c r="M6675" s="22">
        <f>IF(OR(ISBLANK(C6675),C6675=""),"",ROUND((C6675-B6675)*24,2))</f>
        <v>72.53</v>
      </c>
      <c r="N6675" s="38" t="str">
        <f>IF(OR(ISBLANK(C6675),C6675="",M6675=""),"In Progress",IF(M6675&lt;=J6675,"Met","Breached"))</f>
        <v>Breached</v>
      </c>
    </row>
    <row r="6676" ht="19" customHeight="1" spans="1:14" x14ac:dyDescent="0.25">
      <c r="A6676" s="19" t="s">
        <v>6790</v>
      </c>
      <c r="B6676" s="33">
        <v>46092.26736111111</v>
      </c>
      <c r="C6676" s="33">
        <v>46092.9</v>
      </c>
      <c r="D6676" s="19" t="s">
        <v>33</v>
      </c>
      <c r="E6676" s="19" t="s">
        <v>61</v>
      </c>
      <c r="F6676" s="19" t="s">
        <v>43</v>
      </c>
      <c r="G6676" s="19" t="s">
        <v>113</v>
      </c>
      <c r="H6676" s="19" t="s">
        <v>59</v>
      </c>
      <c r="I6676" s="19" t="s">
        <v>123</v>
      </c>
      <c r="J6676" s="20">
        <v>12</v>
      </c>
      <c r="K6676" s="34">
        <v>0</v>
      </c>
      <c r="M6676" s="19">
        <f>IF(OR(ISBLANK(C6676),C6676=""),"",ROUND((C6676-B6676)*24,2))</f>
        <v>15.18</v>
      </c>
      <c r="N6676" s="39" t="str">
        <f>IF(OR(ISBLANK(C6676),C6676="",M6676=""),"In Progress",IF(M6676&lt;=J6676,"Met","Breached"))</f>
        <v>Breached</v>
      </c>
    </row>
    <row r="6677" ht="19" customHeight="1" spans="1:14" x14ac:dyDescent="0.25">
      <c r="A6677" s="22" t="s">
        <v>6791</v>
      </c>
      <c r="B6677" s="36">
        <v>45876.99791666667</v>
      </c>
      <c r="C6677" s="36">
        <v>45878.19861111111</v>
      </c>
      <c r="D6677" s="22" t="s">
        <v>33</v>
      </c>
      <c r="E6677" s="22" t="s">
        <v>65</v>
      </c>
      <c r="F6677" s="22" t="s">
        <v>43</v>
      </c>
      <c r="G6677" s="22" t="s">
        <v>116</v>
      </c>
      <c r="H6677" s="22" t="s">
        <v>67</v>
      </c>
      <c r="I6677" s="22" t="s">
        <v>108</v>
      </c>
      <c r="J6677" s="23">
        <v>48</v>
      </c>
      <c r="K6677" s="37">
        <v>0</v>
      </c>
      <c r="M6677" s="22">
        <f>IF(OR(ISBLANK(C6677),C6677=""),"",ROUND((C6677-B6677)*24,2))</f>
        <v>28.82</v>
      </c>
      <c r="N6677" s="40" t="str">
        <f>IF(OR(ISBLANK(C6677),C6677="",M6677=""),"In Progress",IF(M6677&lt;=J6677,"Met","Breached"))</f>
        <v>Met</v>
      </c>
    </row>
    <row r="6678" ht="19" customHeight="1" spans="1:14" x14ac:dyDescent="0.25">
      <c r="A6678" s="19" t="s">
        <v>6792</v>
      </c>
      <c r="B6678" s="33">
        <v>46156.445138888885</v>
      </c>
      <c r="C6678" s="33">
        <v>46157.22708333333</v>
      </c>
      <c r="D6678" s="19" t="s">
        <v>33</v>
      </c>
      <c r="E6678" s="19" t="s">
        <v>61</v>
      </c>
      <c r="F6678" s="19" t="s">
        <v>43</v>
      </c>
      <c r="G6678" s="19" t="s">
        <v>116</v>
      </c>
      <c r="H6678" s="19" t="s">
        <v>63</v>
      </c>
      <c r="I6678" s="19" t="s">
        <v>108</v>
      </c>
      <c r="J6678" s="20">
        <v>12</v>
      </c>
      <c r="K6678" s="34">
        <v>0</v>
      </c>
      <c r="M6678" s="19">
        <f>IF(OR(ISBLANK(C6678),C6678=""),"",ROUND((C6678-B6678)*24,2))</f>
        <v>18.77</v>
      </c>
      <c r="N6678" s="39" t="str">
        <f>IF(OR(ISBLANK(C6678),C6678="",M6678=""),"In Progress",IF(M6678&lt;=J6678,"Met","Breached"))</f>
        <v>Breached</v>
      </c>
    </row>
    <row r="6679" ht="19" customHeight="1" spans="1:14" x14ac:dyDescent="0.25">
      <c r="A6679" s="22" t="s">
        <v>6793</v>
      </c>
      <c r="B6679" s="36">
        <v>45920.11875</v>
      </c>
      <c r="D6679" s="22" t="s">
        <v>39</v>
      </c>
      <c r="E6679" s="22" t="s">
        <v>65</v>
      </c>
      <c r="F6679" s="22" t="s">
        <v>37</v>
      </c>
      <c r="G6679" s="22" t="s">
        <v>63</v>
      </c>
      <c r="H6679" s="22" t="s">
        <v>59</v>
      </c>
      <c r="I6679" s="22" t="s">
        <v>117</v>
      </c>
      <c r="J6679" s="23">
        <v>48</v>
      </c>
      <c r="K6679" s="37">
        <v>0</v>
      </c>
      <c r="M6679" s="22" t="str">
        <f>IF(OR(ISBLANK(C6679),C6679=""),"",ROUND((C6679-B6679)*24,2))</f>
        <v/>
      </c>
      <c r="N6679" s="22" t="str">
        <f>IF(OR(ISBLANK(C6679),C6679="",M6679=""),"In Progress",IF(M6679&lt;=J6679,"Met","Breached"))</f>
        <v>In Progress</v>
      </c>
    </row>
    <row r="6680" ht="19" customHeight="1" spans="1:14" x14ac:dyDescent="0.25">
      <c r="A6680" s="19" t="s">
        <v>6794</v>
      </c>
      <c r="B6680" s="33">
        <v>45969.06527777778</v>
      </c>
      <c r="C6680" s="33">
        <v>45970.913194444445</v>
      </c>
      <c r="D6680" s="19" t="s">
        <v>33</v>
      </c>
      <c r="E6680" s="19" t="s">
        <v>65</v>
      </c>
      <c r="F6680" s="19" t="s">
        <v>45</v>
      </c>
      <c r="G6680" s="19" t="s">
        <v>121</v>
      </c>
      <c r="H6680" s="19" t="s">
        <v>59</v>
      </c>
      <c r="I6680" s="19" t="s">
        <v>123</v>
      </c>
      <c r="J6680" s="20">
        <v>48</v>
      </c>
      <c r="K6680" s="34">
        <v>0</v>
      </c>
      <c r="L6680" s="34">
        <v>2</v>
      </c>
      <c r="M6680" s="19">
        <f>IF(OR(ISBLANK(C6680),C6680=""),"",ROUND((C6680-B6680)*24,2))</f>
        <v>44.35</v>
      </c>
      <c r="N6680" s="35" t="str">
        <f>IF(OR(ISBLANK(C6680),C6680="",M6680=""),"In Progress",IF(M6680&lt;=J6680,"Met","Breached"))</f>
        <v>Met</v>
      </c>
    </row>
    <row r="6681" ht="19" customHeight="1" spans="1:14" x14ac:dyDescent="0.25">
      <c r="A6681" s="22" t="s">
        <v>6795</v>
      </c>
      <c r="B6681" s="36">
        <v>46152.68888888889</v>
      </c>
      <c r="C6681" s="36">
        <v>46154.631944444445</v>
      </c>
      <c r="D6681" s="22" t="s">
        <v>33</v>
      </c>
      <c r="E6681" s="22" t="s">
        <v>65</v>
      </c>
      <c r="F6681" s="22" t="s">
        <v>43</v>
      </c>
      <c r="G6681" s="22" t="s">
        <v>121</v>
      </c>
      <c r="H6681" s="22" t="s">
        <v>63</v>
      </c>
      <c r="I6681" s="22" t="s">
        <v>114</v>
      </c>
      <c r="J6681" s="23">
        <v>48</v>
      </c>
      <c r="K6681" s="37">
        <v>0</v>
      </c>
      <c r="L6681" s="37">
        <v>4</v>
      </c>
      <c r="M6681" s="22">
        <f>IF(OR(ISBLANK(C6681),C6681=""),"",ROUND((C6681-B6681)*24,2))</f>
        <v>46.63</v>
      </c>
      <c r="N6681" s="40" t="str">
        <f>IF(OR(ISBLANK(C6681),C6681="",M6681=""),"In Progress",IF(M6681&lt;=J6681,"Met","Breached"))</f>
        <v>Met</v>
      </c>
    </row>
    <row r="6682" ht="19" customHeight="1" spans="1:14" x14ac:dyDescent="0.25">
      <c r="A6682" s="19" t="s">
        <v>6796</v>
      </c>
      <c r="B6682" s="33">
        <v>46102.910416666666</v>
      </c>
      <c r="C6682" s="33">
        <v>46106.17569444445</v>
      </c>
      <c r="D6682" s="19" t="s">
        <v>36</v>
      </c>
      <c r="E6682" s="19" t="s">
        <v>65</v>
      </c>
      <c r="F6682" s="19" t="s">
        <v>43</v>
      </c>
      <c r="G6682" s="19" t="s">
        <v>126</v>
      </c>
      <c r="H6682" s="19" t="s">
        <v>67</v>
      </c>
      <c r="I6682" s="19" t="s">
        <v>111</v>
      </c>
      <c r="J6682" s="20">
        <v>48</v>
      </c>
      <c r="K6682" s="34">
        <v>0</v>
      </c>
      <c r="M6682" s="19">
        <f>IF(OR(ISBLANK(C6682),C6682=""),"",ROUND((C6682-B6682)*24,2))</f>
        <v>78.37</v>
      </c>
      <c r="N6682" s="39" t="str">
        <f>IF(OR(ISBLANK(C6682),C6682="",M6682=""),"In Progress",IF(M6682&lt;=J6682,"Met","Breached"))</f>
        <v>Breached</v>
      </c>
    </row>
    <row r="6683" ht="19" customHeight="1" spans="1:14" x14ac:dyDescent="0.25">
      <c r="A6683" s="22" t="s">
        <v>6797</v>
      </c>
      <c r="B6683" s="36">
        <v>45919.19375</v>
      </c>
      <c r="C6683" s="36">
        <v>45921.788194444445</v>
      </c>
      <c r="D6683" s="22" t="s">
        <v>33</v>
      </c>
      <c r="E6683" s="22" t="s">
        <v>65</v>
      </c>
      <c r="F6683" s="22" t="s">
        <v>45</v>
      </c>
      <c r="G6683" s="22" t="s">
        <v>126</v>
      </c>
      <c r="H6683" s="22" t="s">
        <v>63</v>
      </c>
      <c r="I6683" s="22" t="s">
        <v>147</v>
      </c>
      <c r="J6683" s="23">
        <v>48</v>
      </c>
      <c r="K6683" s="37">
        <v>0</v>
      </c>
      <c r="L6683" s="37">
        <v>4</v>
      </c>
      <c r="M6683" s="22">
        <f>IF(OR(ISBLANK(C6683),C6683=""),"",ROUND((C6683-B6683)*24,2))</f>
        <v>62.27</v>
      </c>
      <c r="N6683" s="38" t="str">
        <f>IF(OR(ISBLANK(C6683),C6683="",M6683=""),"In Progress",IF(M6683&lt;=J6683,"Met","Breached"))</f>
        <v>Breached</v>
      </c>
    </row>
    <row r="6684" ht="19" customHeight="1" spans="1:14" x14ac:dyDescent="0.25">
      <c r="A6684" s="19" t="s">
        <v>6798</v>
      </c>
      <c r="B6684" s="33">
        <v>45822.58125</v>
      </c>
      <c r="D6684" s="19" t="s">
        <v>42</v>
      </c>
      <c r="E6684" s="19" t="s">
        <v>65</v>
      </c>
      <c r="F6684" s="19" t="s">
        <v>43</v>
      </c>
      <c r="G6684" s="19" t="s">
        <v>113</v>
      </c>
      <c r="H6684" s="19" t="s">
        <v>63</v>
      </c>
      <c r="I6684" s="19" t="s">
        <v>111</v>
      </c>
      <c r="J6684" s="20">
        <v>48</v>
      </c>
      <c r="K6684" s="34">
        <v>0</v>
      </c>
      <c r="M6684" s="19" t="str">
        <f>IF(OR(ISBLANK(C6684),C6684=""),"",ROUND((C6684-B6684)*24,2))</f>
        <v/>
      </c>
      <c r="N6684" s="19" t="str">
        <f>IF(OR(ISBLANK(C6684),C6684="",M6684=""),"In Progress",IF(M6684&lt;=J6684,"Met","Breached"))</f>
        <v>In Progress</v>
      </c>
    </row>
    <row r="6685" ht="19" customHeight="1" spans="1:14" x14ac:dyDescent="0.25">
      <c r="A6685" s="22" t="s">
        <v>6799</v>
      </c>
      <c r="B6685" s="36">
        <v>45774.64444444445</v>
      </c>
      <c r="C6685" s="36">
        <v>45777.740277777775</v>
      </c>
      <c r="D6685" s="22" t="s">
        <v>33</v>
      </c>
      <c r="E6685" s="22" t="s">
        <v>65</v>
      </c>
      <c r="F6685" s="22" t="s">
        <v>34</v>
      </c>
      <c r="G6685" s="22" t="s">
        <v>126</v>
      </c>
      <c r="H6685" s="22" t="s">
        <v>71</v>
      </c>
      <c r="I6685" s="22" t="s">
        <v>108</v>
      </c>
      <c r="J6685" s="23">
        <v>48</v>
      </c>
      <c r="K6685" s="37">
        <v>0</v>
      </c>
      <c r="M6685" s="22">
        <f>IF(OR(ISBLANK(C6685),C6685=""),"",ROUND((C6685-B6685)*24,2))</f>
        <v>74.3</v>
      </c>
      <c r="N6685" s="38" t="str">
        <f>IF(OR(ISBLANK(C6685),C6685="",M6685=""),"In Progress",IF(M6685&lt;=J6685,"Met","Breached"))</f>
        <v>Breached</v>
      </c>
    </row>
    <row r="6686" ht="19" customHeight="1" spans="1:14" x14ac:dyDescent="0.25">
      <c r="A6686" s="19" t="s">
        <v>6800</v>
      </c>
      <c r="B6686" s="33">
        <v>45863.84305555555</v>
      </c>
      <c r="D6686" s="19" t="s">
        <v>39</v>
      </c>
      <c r="E6686" s="19" t="s">
        <v>65</v>
      </c>
      <c r="F6686" s="19" t="s">
        <v>40</v>
      </c>
      <c r="G6686" s="19" t="s">
        <v>63</v>
      </c>
      <c r="H6686" s="19" t="s">
        <v>71</v>
      </c>
      <c r="I6686" s="19" t="s">
        <v>123</v>
      </c>
      <c r="J6686" s="20">
        <v>48</v>
      </c>
      <c r="K6686" s="34">
        <v>0</v>
      </c>
      <c r="M6686" s="19" t="str">
        <f>IF(OR(ISBLANK(C6686),C6686=""),"",ROUND((C6686-B6686)*24,2))</f>
        <v/>
      </c>
      <c r="N6686" s="19" t="str">
        <f>IF(OR(ISBLANK(C6686),C6686="",M6686=""),"In Progress",IF(M6686&lt;=J6686,"Met","Breached"))</f>
        <v>In Progress</v>
      </c>
    </row>
    <row r="6687" ht="19" customHeight="1" spans="1:14" x14ac:dyDescent="0.25">
      <c r="A6687" s="22" t="s">
        <v>6801</v>
      </c>
      <c r="B6687" s="36">
        <v>46016.51111111111</v>
      </c>
      <c r="C6687" s="36">
        <v>46017.325694444444</v>
      </c>
      <c r="D6687" s="22" t="s">
        <v>36</v>
      </c>
      <c r="E6687" s="22" t="s">
        <v>65</v>
      </c>
      <c r="F6687" s="22" t="s">
        <v>37</v>
      </c>
      <c r="G6687" s="22" t="s">
        <v>63</v>
      </c>
      <c r="H6687" s="22" t="s">
        <v>59</v>
      </c>
      <c r="I6687" s="22" t="s">
        <v>114</v>
      </c>
      <c r="J6687" s="23">
        <v>48</v>
      </c>
      <c r="K6687" s="37">
        <v>0</v>
      </c>
      <c r="L6687" s="37">
        <v>1</v>
      </c>
      <c r="M6687" s="22">
        <f>IF(OR(ISBLANK(C6687),C6687=""),"",ROUND((C6687-B6687)*24,2))</f>
        <v>19.55</v>
      </c>
      <c r="N6687" s="40" t="str">
        <f>IF(OR(ISBLANK(C6687),C6687="",M6687=""),"In Progress",IF(M6687&lt;=J6687,"Met","Breached"))</f>
        <v>Met</v>
      </c>
    </row>
    <row r="6688" ht="19" customHeight="1" spans="1:14" x14ac:dyDescent="0.25">
      <c r="A6688" s="19" t="s">
        <v>6802</v>
      </c>
      <c r="B6688" s="33">
        <v>46198.72013888889</v>
      </c>
      <c r="C6688" s="33">
        <v>46199.14791666667</v>
      </c>
      <c r="D6688" s="19" t="s">
        <v>33</v>
      </c>
      <c r="E6688" s="19" t="s">
        <v>61</v>
      </c>
      <c r="F6688" s="19" t="s">
        <v>43</v>
      </c>
      <c r="G6688" s="19" t="s">
        <v>110</v>
      </c>
      <c r="H6688" s="19" t="s">
        <v>59</v>
      </c>
      <c r="I6688" s="19" t="s">
        <v>111</v>
      </c>
      <c r="J6688" s="20">
        <v>12</v>
      </c>
      <c r="K6688" s="34">
        <v>0</v>
      </c>
      <c r="L6688" s="34">
        <v>5</v>
      </c>
      <c r="M6688" s="19">
        <f>IF(OR(ISBLANK(C6688),C6688=""),"",ROUND((C6688-B6688)*24,2))</f>
        <v>10.27</v>
      </c>
      <c r="N6688" s="35" t="str">
        <f>IF(OR(ISBLANK(C6688),C6688="",M6688=""),"In Progress",IF(M6688&lt;=J6688,"Met","Breached"))</f>
        <v>Met</v>
      </c>
    </row>
    <row r="6689" ht="19" customHeight="1" spans="1:14" x14ac:dyDescent="0.25">
      <c r="A6689" s="22" t="s">
        <v>6803</v>
      </c>
      <c r="B6689" s="36">
        <v>46096.29513888889</v>
      </c>
      <c r="C6689" s="36">
        <v>46097.11666666667</v>
      </c>
      <c r="D6689" s="22" t="s">
        <v>33</v>
      </c>
      <c r="E6689" s="22" t="s">
        <v>65</v>
      </c>
      <c r="F6689" s="22" t="s">
        <v>34</v>
      </c>
      <c r="G6689" s="22" t="s">
        <v>116</v>
      </c>
      <c r="H6689" s="22" t="s">
        <v>59</v>
      </c>
      <c r="I6689" s="22" t="s">
        <v>111</v>
      </c>
      <c r="J6689" s="23">
        <v>48</v>
      </c>
      <c r="K6689" s="37">
        <v>0</v>
      </c>
      <c r="M6689" s="22">
        <f>IF(OR(ISBLANK(C6689),C6689=""),"",ROUND((C6689-B6689)*24,2))</f>
        <v>19.72</v>
      </c>
      <c r="N6689" s="40" t="str">
        <f>IF(OR(ISBLANK(C6689),C6689="",M6689=""),"In Progress",IF(M6689&lt;=J6689,"Met","Breached"))</f>
        <v>Met</v>
      </c>
    </row>
    <row r="6690" ht="19" customHeight="1" spans="1:14" x14ac:dyDescent="0.25">
      <c r="A6690" s="19" t="s">
        <v>6804</v>
      </c>
      <c r="B6690" s="33">
        <v>46059.75347222222</v>
      </c>
      <c r="C6690" s="33">
        <v>46060.74097222222</v>
      </c>
      <c r="D6690" s="19" t="s">
        <v>33</v>
      </c>
      <c r="E6690" s="19" t="s">
        <v>65</v>
      </c>
      <c r="F6690" s="19" t="s">
        <v>34</v>
      </c>
      <c r="G6690" s="19" t="s">
        <v>63</v>
      </c>
      <c r="H6690" s="19" t="s">
        <v>63</v>
      </c>
      <c r="I6690" s="19" t="s">
        <v>114</v>
      </c>
      <c r="J6690" s="20">
        <v>48</v>
      </c>
      <c r="K6690" s="34">
        <v>0</v>
      </c>
      <c r="L6690" s="34">
        <v>5</v>
      </c>
      <c r="M6690" s="19">
        <f>IF(OR(ISBLANK(C6690),C6690=""),"",ROUND((C6690-B6690)*24,2))</f>
        <v>23.7</v>
      </c>
      <c r="N6690" s="35" t="str">
        <f>IF(OR(ISBLANK(C6690),C6690="",M6690=""),"In Progress",IF(M6690&lt;=J6690,"Met","Breached"))</f>
        <v>Met</v>
      </c>
    </row>
    <row r="6691" ht="19" customHeight="1" spans="1:14" x14ac:dyDescent="0.25">
      <c r="A6691" s="22" t="s">
        <v>6805</v>
      </c>
      <c r="B6691" s="36">
        <v>45739.757638888885</v>
      </c>
      <c r="D6691" s="22" t="s">
        <v>42</v>
      </c>
      <c r="E6691" s="22" t="s">
        <v>69</v>
      </c>
      <c r="F6691" s="22" t="s">
        <v>45</v>
      </c>
      <c r="G6691" s="22" t="s">
        <v>121</v>
      </c>
      <c r="H6691" s="22" t="s">
        <v>59</v>
      </c>
      <c r="I6691" s="22" t="s">
        <v>123</v>
      </c>
      <c r="J6691" s="23">
        <v>120</v>
      </c>
      <c r="K6691" s="37">
        <v>0</v>
      </c>
      <c r="M6691" s="22" t="str">
        <f>IF(OR(ISBLANK(C6691),C6691=""),"",ROUND((C6691-B6691)*24,2))</f>
        <v/>
      </c>
      <c r="N6691" s="22" t="str">
        <f>IF(OR(ISBLANK(C6691),C6691="",M6691=""),"In Progress",IF(M6691&lt;=J6691,"Met","Breached"))</f>
        <v>In Progress</v>
      </c>
    </row>
    <row r="6692" ht="19" customHeight="1" spans="1:14" x14ac:dyDescent="0.25">
      <c r="A6692" s="19" t="s">
        <v>6806</v>
      </c>
      <c r="B6692" s="33">
        <v>45891.36597222222</v>
      </c>
      <c r="C6692" s="33">
        <v>45891.83888888889</v>
      </c>
      <c r="D6692" s="19" t="s">
        <v>33</v>
      </c>
      <c r="E6692" s="19" t="s">
        <v>61</v>
      </c>
      <c r="F6692" s="19" t="s">
        <v>43</v>
      </c>
      <c r="G6692" s="19" t="s">
        <v>116</v>
      </c>
      <c r="H6692" s="19" t="s">
        <v>59</v>
      </c>
      <c r="I6692" s="19" t="s">
        <v>117</v>
      </c>
      <c r="J6692" s="20">
        <v>12</v>
      </c>
      <c r="K6692" s="34">
        <v>0</v>
      </c>
      <c r="M6692" s="19">
        <f>IF(OR(ISBLANK(C6692),C6692=""),"",ROUND((C6692-B6692)*24,2))</f>
        <v>11.35</v>
      </c>
      <c r="N6692" s="35" t="str">
        <f>IF(OR(ISBLANK(C6692),C6692="",M6692=""),"In Progress",IF(M6692&lt;=J6692,"Met","Breached"))</f>
        <v>Met</v>
      </c>
    </row>
    <row r="6693" ht="19" customHeight="1" spans="1:14" x14ac:dyDescent="0.25">
      <c r="A6693" s="22" t="s">
        <v>6807</v>
      </c>
      <c r="B6693" s="36">
        <v>45967.39375</v>
      </c>
      <c r="C6693" s="36">
        <v>45967.64236111111</v>
      </c>
      <c r="D6693" s="22" t="s">
        <v>33</v>
      </c>
      <c r="E6693" s="22" t="s">
        <v>57</v>
      </c>
      <c r="F6693" s="22" t="s">
        <v>43</v>
      </c>
      <c r="G6693" s="22" t="s">
        <v>121</v>
      </c>
      <c r="H6693" s="22" t="s">
        <v>63</v>
      </c>
      <c r="I6693" s="22" t="s">
        <v>108</v>
      </c>
      <c r="J6693" s="23">
        <v>4</v>
      </c>
      <c r="K6693" s="37">
        <v>0</v>
      </c>
      <c r="M6693" s="22">
        <f>IF(OR(ISBLANK(C6693),C6693=""),"",ROUND((C6693-B6693)*24,2))</f>
        <v>5.97</v>
      </c>
      <c r="N6693" s="38" t="str">
        <f>IF(OR(ISBLANK(C6693),C6693="",M6693=""),"In Progress",IF(M6693&lt;=J6693,"Met","Breached"))</f>
        <v>Breached</v>
      </c>
    </row>
    <row r="6694" ht="19" customHeight="1" spans="1:14" x14ac:dyDescent="0.25">
      <c r="A6694" s="19" t="s">
        <v>6808</v>
      </c>
      <c r="B6694" s="33">
        <v>45954.77083333333</v>
      </c>
      <c r="D6694" s="19" t="s">
        <v>39</v>
      </c>
      <c r="E6694" s="19" t="s">
        <v>69</v>
      </c>
      <c r="F6694" s="19" t="s">
        <v>40</v>
      </c>
      <c r="G6694" s="19" t="s">
        <v>113</v>
      </c>
      <c r="H6694" s="19" t="s">
        <v>63</v>
      </c>
      <c r="I6694" s="19" t="s">
        <v>111</v>
      </c>
      <c r="J6694" s="20">
        <v>120</v>
      </c>
      <c r="K6694" s="34">
        <v>0</v>
      </c>
      <c r="M6694" s="19" t="str">
        <f>IF(OR(ISBLANK(C6694),C6694=""),"",ROUND((C6694-B6694)*24,2))</f>
        <v/>
      </c>
      <c r="N6694" s="19" t="str">
        <f>IF(OR(ISBLANK(C6694),C6694="",M6694=""),"In Progress",IF(M6694&lt;=J6694,"Met","Breached"))</f>
        <v>In Progress</v>
      </c>
    </row>
    <row r="6695" ht="19" customHeight="1" spans="1:14" x14ac:dyDescent="0.25">
      <c r="A6695" s="22" t="s">
        <v>6809</v>
      </c>
      <c r="B6695" s="36">
        <v>45802.11111111111</v>
      </c>
      <c r="C6695" s="36">
        <v>45804.59444444445</v>
      </c>
      <c r="D6695" s="22" t="s">
        <v>33</v>
      </c>
      <c r="E6695" s="22" t="s">
        <v>65</v>
      </c>
      <c r="F6695" s="22" t="s">
        <v>37</v>
      </c>
      <c r="G6695" s="22" t="s">
        <v>121</v>
      </c>
      <c r="H6695" s="22" t="s">
        <v>59</v>
      </c>
      <c r="I6695" s="22" t="s">
        <v>117</v>
      </c>
      <c r="J6695" s="23">
        <v>48</v>
      </c>
      <c r="K6695" s="37">
        <v>1</v>
      </c>
      <c r="L6695" s="37">
        <v>1</v>
      </c>
      <c r="M6695" s="22">
        <f>IF(OR(ISBLANK(C6695),C6695=""),"",ROUND((C6695-B6695)*24,2))</f>
        <v>59.6</v>
      </c>
      <c r="N6695" s="38" t="str">
        <f>IF(OR(ISBLANK(C6695),C6695="",M6695=""),"In Progress",IF(M6695&lt;=J6695,"Met","Breached"))</f>
        <v>Breached</v>
      </c>
    </row>
    <row r="6696" ht="19" customHeight="1" spans="1:14" x14ac:dyDescent="0.25">
      <c r="A6696" s="19" t="s">
        <v>6810</v>
      </c>
      <c r="B6696" s="33">
        <v>45831.197222222225</v>
      </c>
      <c r="C6696" s="33">
        <v>45837.64027777778</v>
      </c>
      <c r="D6696" s="19" t="s">
        <v>33</v>
      </c>
      <c r="E6696" s="19" t="s">
        <v>69</v>
      </c>
      <c r="F6696" s="19" t="s">
        <v>40</v>
      </c>
      <c r="G6696" s="19" t="s">
        <v>113</v>
      </c>
      <c r="H6696" s="19" t="s">
        <v>67</v>
      </c>
      <c r="I6696" s="19" t="s">
        <v>117</v>
      </c>
      <c r="J6696" s="20">
        <v>120</v>
      </c>
      <c r="K6696" s="34">
        <v>0</v>
      </c>
      <c r="M6696" s="19">
        <f>IF(OR(ISBLANK(C6696),C6696=""),"",ROUND((C6696-B6696)*24,2))</f>
        <v>154.63</v>
      </c>
      <c r="N6696" s="39" t="str">
        <f>IF(OR(ISBLANK(C6696),C6696="",M6696=""),"In Progress",IF(M6696&lt;=J6696,"Met","Breached"))</f>
        <v>Breached</v>
      </c>
    </row>
    <row r="6697" ht="19" customHeight="1" spans="1:14" x14ac:dyDescent="0.25">
      <c r="A6697" s="22" t="s">
        <v>6811</v>
      </c>
      <c r="B6697" s="36">
        <v>45695.63402777778</v>
      </c>
      <c r="D6697" s="22" t="s">
        <v>39</v>
      </c>
      <c r="E6697" s="22" t="s">
        <v>65</v>
      </c>
      <c r="F6697" s="22" t="s">
        <v>43</v>
      </c>
      <c r="G6697" s="22" t="s">
        <v>110</v>
      </c>
      <c r="H6697" s="22" t="s">
        <v>59</v>
      </c>
      <c r="I6697" s="22" t="s">
        <v>117</v>
      </c>
      <c r="J6697" s="23">
        <v>48</v>
      </c>
      <c r="K6697" s="37">
        <v>0</v>
      </c>
      <c r="M6697" s="22" t="str">
        <f>IF(OR(ISBLANK(C6697),C6697=""),"",ROUND((C6697-B6697)*24,2))</f>
        <v/>
      </c>
      <c r="N6697" s="22" t="str">
        <f>IF(OR(ISBLANK(C6697),C6697="",M6697=""),"In Progress",IF(M6697&lt;=J6697,"Met","Breached"))</f>
        <v>In Progress</v>
      </c>
    </row>
    <row r="6698" ht="19" customHeight="1" spans="1:14" x14ac:dyDescent="0.25">
      <c r="A6698" s="19" t="s">
        <v>6812</v>
      </c>
      <c r="B6698" s="33">
        <v>45919.95208333334</v>
      </c>
      <c r="C6698" s="33">
        <v>45923.194444444445</v>
      </c>
      <c r="D6698" s="19" t="s">
        <v>33</v>
      </c>
      <c r="E6698" s="19" t="s">
        <v>69</v>
      </c>
      <c r="F6698" s="19" t="s">
        <v>40</v>
      </c>
      <c r="G6698" s="19" t="s">
        <v>121</v>
      </c>
      <c r="H6698" s="19" t="s">
        <v>59</v>
      </c>
      <c r="I6698" s="19" t="s">
        <v>147</v>
      </c>
      <c r="J6698" s="20">
        <v>120</v>
      </c>
      <c r="K6698" s="34">
        <v>0</v>
      </c>
      <c r="M6698" s="19">
        <f>IF(OR(ISBLANK(C6698),C6698=""),"",ROUND((C6698-B6698)*24,2))</f>
        <v>77.82</v>
      </c>
      <c r="N6698" s="35" t="str">
        <f>IF(OR(ISBLANK(C6698),C6698="",M6698=""),"In Progress",IF(M6698&lt;=J6698,"Met","Breached"))</f>
        <v>Met</v>
      </c>
    </row>
    <row r="6699" ht="19" customHeight="1" spans="1:14" x14ac:dyDescent="0.25">
      <c r="A6699" s="22" t="s">
        <v>6813</v>
      </c>
      <c r="B6699" s="36">
        <v>45813.12847222222</v>
      </c>
      <c r="C6699" s="36">
        <v>45813.410416666666</v>
      </c>
      <c r="D6699" s="22" t="s">
        <v>36</v>
      </c>
      <c r="E6699" s="22" t="s">
        <v>61</v>
      </c>
      <c r="F6699" s="22" t="s">
        <v>34</v>
      </c>
      <c r="G6699" s="22" t="s">
        <v>121</v>
      </c>
      <c r="H6699" s="22" t="s">
        <v>59</v>
      </c>
      <c r="I6699" s="22" t="s">
        <v>114</v>
      </c>
      <c r="J6699" s="23">
        <v>12</v>
      </c>
      <c r="K6699" s="37">
        <v>0</v>
      </c>
      <c r="M6699" s="22">
        <f>IF(OR(ISBLANK(C6699),C6699=""),"",ROUND((C6699-B6699)*24,2))</f>
        <v>6.77</v>
      </c>
      <c r="N6699" s="40" t="str">
        <f>IF(OR(ISBLANK(C6699),C6699="",M6699=""),"In Progress",IF(M6699&lt;=J6699,"Met","Breached"))</f>
        <v>Met</v>
      </c>
    </row>
    <row r="6700" ht="19" customHeight="1" spans="1:14" x14ac:dyDescent="0.25">
      <c r="A6700" s="19" t="s">
        <v>6814</v>
      </c>
      <c r="B6700" s="33">
        <v>46200.68611111111</v>
      </c>
      <c r="C6700" s="33">
        <v>46201.320138888885</v>
      </c>
      <c r="D6700" s="19" t="s">
        <v>33</v>
      </c>
      <c r="E6700" s="19" t="s">
        <v>65</v>
      </c>
      <c r="F6700" s="19" t="s">
        <v>43</v>
      </c>
      <c r="G6700" s="19" t="s">
        <v>121</v>
      </c>
      <c r="H6700" s="19" t="s">
        <v>63</v>
      </c>
      <c r="I6700" s="19" t="s">
        <v>147</v>
      </c>
      <c r="J6700" s="20">
        <v>48</v>
      </c>
      <c r="K6700" s="34">
        <v>0</v>
      </c>
      <c r="L6700" s="34">
        <v>3</v>
      </c>
      <c r="M6700" s="19">
        <f>IF(OR(ISBLANK(C6700),C6700=""),"",ROUND((C6700-B6700)*24,2))</f>
        <v>15.22</v>
      </c>
      <c r="N6700" s="35" t="str">
        <f>IF(OR(ISBLANK(C6700),C6700="",M6700=""),"In Progress",IF(M6700&lt;=J6700,"Met","Breached"))</f>
        <v>Met</v>
      </c>
    </row>
    <row r="6701" ht="19" customHeight="1" spans="1:14" x14ac:dyDescent="0.25">
      <c r="A6701" s="22" t="s">
        <v>6815</v>
      </c>
      <c r="B6701" s="36">
        <v>46217.57916666666</v>
      </c>
      <c r="C6701" s="36">
        <v>46223.55</v>
      </c>
      <c r="D6701" s="22" t="s">
        <v>33</v>
      </c>
      <c r="E6701" s="22" t="s">
        <v>69</v>
      </c>
      <c r="F6701" s="22" t="s">
        <v>43</v>
      </c>
      <c r="G6701" s="22" t="s">
        <v>126</v>
      </c>
      <c r="H6701" s="22" t="s">
        <v>63</v>
      </c>
      <c r="I6701" s="22" t="s">
        <v>114</v>
      </c>
      <c r="J6701" s="23">
        <v>120</v>
      </c>
      <c r="K6701" s="37">
        <v>0</v>
      </c>
      <c r="L6701" s="37">
        <v>1</v>
      </c>
      <c r="M6701" s="22">
        <f>IF(OR(ISBLANK(C6701),C6701=""),"",ROUND((C6701-B6701)*24,2))</f>
        <v>143.3</v>
      </c>
      <c r="N6701" s="38" t="str">
        <f>IF(OR(ISBLANK(C6701),C6701="",M6701=""),"In Progress",IF(M6701&lt;=J6701,"Met","Breached"))</f>
        <v>Breached</v>
      </c>
    </row>
    <row r="6702" ht="19" customHeight="1" spans="1:14" x14ac:dyDescent="0.25">
      <c r="A6702" s="19" t="s">
        <v>6816</v>
      </c>
      <c r="B6702" s="33">
        <v>45889.56319444445</v>
      </c>
      <c r="D6702" s="19" t="s">
        <v>39</v>
      </c>
      <c r="E6702" s="19" t="s">
        <v>65</v>
      </c>
      <c r="F6702" s="19" t="s">
        <v>43</v>
      </c>
      <c r="G6702" s="19" t="s">
        <v>126</v>
      </c>
      <c r="H6702" s="19" t="s">
        <v>59</v>
      </c>
      <c r="I6702" s="19" t="s">
        <v>117</v>
      </c>
      <c r="J6702" s="20">
        <v>48</v>
      </c>
      <c r="K6702" s="34">
        <v>0</v>
      </c>
      <c r="M6702" s="19" t="str">
        <f>IF(OR(ISBLANK(C6702),C6702=""),"",ROUND((C6702-B6702)*24,2))</f>
        <v/>
      </c>
      <c r="N6702" s="19" t="str">
        <f>IF(OR(ISBLANK(C6702),C6702="",M6702=""),"In Progress",IF(M6702&lt;=J6702,"Met","Breached"))</f>
        <v>In Progress</v>
      </c>
    </row>
    <row r="6703" ht="19" customHeight="1" spans="1:14" x14ac:dyDescent="0.25">
      <c r="A6703" s="22" t="s">
        <v>6817</v>
      </c>
      <c r="B6703" s="36">
        <v>46012.163888888885</v>
      </c>
      <c r="C6703" s="36">
        <v>46017.830555555556</v>
      </c>
      <c r="D6703" s="22" t="s">
        <v>33</v>
      </c>
      <c r="E6703" s="22" t="s">
        <v>69</v>
      </c>
      <c r="F6703" s="22" t="s">
        <v>45</v>
      </c>
      <c r="G6703" s="22" t="s">
        <v>116</v>
      </c>
      <c r="H6703" s="22" t="s">
        <v>59</v>
      </c>
      <c r="I6703" s="22" t="s">
        <v>117</v>
      </c>
      <c r="J6703" s="23">
        <v>120</v>
      </c>
      <c r="K6703" s="37">
        <v>1</v>
      </c>
      <c r="M6703" s="22">
        <f>IF(OR(ISBLANK(C6703),C6703=""),"",ROUND((C6703-B6703)*24,2))</f>
        <v>136</v>
      </c>
      <c r="N6703" s="38" t="str">
        <f>IF(OR(ISBLANK(C6703),C6703="",M6703=""),"In Progress",IF(M6703&lt;=J6703,"Met","Breached"))</f>
        <v>Breached</v>
      </c>
    </row>
    <row r="6704" ht="19" customHeight="1" spans="1:14" x14ac:dyDescent="0.25">
      <c r="A6704" s="19" t="s">
        <v>6818</v>
      </c>
      <c r="B6704" s="33">
        <v>45725.91180555556</v>
      </c>
      <c r="C6704" s="33">
        <v>45728.53333333333</v>
      </c>
      <c r="D6704" s="19" t="s">
        <v>33</v>
      </c>
      <c r="E6704" s="19" t="s">
        <v>65</v>
      </c>
      <c r="F6704" s="19" t="s">
        <v>45</v>
      </c>
      <c r="G6704" s="19" t="s">
        <v>63</v>
      </c>
      <c r="H6704" s="19" t="s">
        <v>59</v>
      </c>
      <c r="I6704" s="19" t="s">
        <v>111</v>
      </c>
      <c r="J6704" s="20">
        <v>48</v>
      </c>
      <c r="K6704" s="34">
        <v>0</v>
      </c>
      <c r="L6704" s="34">
        <v>5</v>
      </c>
      <c r="M6704" s="19">
        <f>IF(OR(ISBLANK(C6704),C6704=""),"",ROUND((C6704-B6704)*24,2))</f>
        <v>62.92</v>
      </c>
      <c r="N6704" s="39" t="str">
        <f>IF(OR(ISBLANK(C6704),C6704="",M6704=""),"In Progress",IF(M6704&lt;=J6704,"Met","Breached"))</f>
        <v>Breached</v>
      </c>
    </row>
    <row r="6705" ht="19" customHeight="1" spans="1:14" x14ac:dyDescent="0.25">
      <c r="A6705" s="22" t="s">
        <v>6819</v>
      </c>
      <c r="B6705" s="36">
        <v>45744</v>
      </c>
      <c r="C6705" s="36">
        <v>45744.33333333333</v>
      </c>
      <c r="D6705" s="22" t="s">
        <v>33</v>
      </c>
      <c r="E6705" s="22" t="s">
        <v>61</v>
      </c>
      <c r="F6705" s="22" t="s">
        <v>40</v>
      </c>
      <c r="G6705" s="22" t="s">
        <v>63</v>
      </c>
      <c r="H6705" s="22" t="s">
        <v>63</v>
      </c>
      <c r="I6705" s="22" t="s">
        <v>111</v>
      </c>
      <c r="J6705" s="23">
        <v>12</v>
      </c>
      <c r="K6705" s="37">
        <v>0</v>
      </c>
      <c r="L6705" s="37">
        <v>1</v>
      </c>
      <c r="M6705" s="22">
        <f>IF(OR(ISBLANK(C6705),C6705=""),"",ROUND((C6705-B6705)*24,2))</f>
        <v>8</v>
      </c>
      <c r="N6705" s="40" t="str">
        <f>IF(OR(ISBLANK(C6705),C6705="",M6705=""),"In Progress",IF(M6705&lt;=J6705,"Met","Breached"))</f>
        <v>Met</v>
      </c>
    </row>
    <row r="6706" ht="19" customHeight="1" spans="1:14" x14ac:dyDescent="0.25">
      <c r="A6706" s="19" t="s">
        <v>6820</v>
      </c>
      <c r="B6706" s="33">
        <v>45773.70347222222</v>
      </c>
      <c r="C6706" s="33">
        <v>45775.68194444444</v>
      </c>
      <c r="D6706" s="19" t="s">
        <v>36</v>
      </c>
      <c r="E6706" s="19" t="s">
        <v>65</v>
      </c>
      <c r="F6706" s="19" t="s">
        <v>40</v>
      </c>
      <c r="G6706" s="19" t="s">
        <v>121</v>
      </c>
      <c r="H6706" s="19" t="s">
        <v>63</v>
      </c>
      <c r="I6706" s="19" t="s">
        <v>147</v>
      </c>
      <c r="J6706" s="20">
        <v>48</v>
      </c>
      <c r="K6706" s="34">
        <v>0</v>
      </c>
      <c r="L6706" s="34">
        <v>2</v>
      </c>
      <c r="M6706" s="19">
        <f>IF(OR(ISBLANK(C6706),C6706=""),"",ROUND((C6706-B6706)*24,2))</f>
        <v>47.48</v>
      </c>
      <c r="N6706" s="35" t="str">
        <f>IF(OR(ISBLANK(C6706),C6706="",M6706=""),"In Progress",IF(M6706&lt;=J6706,"Met","Breached"))</f>
        <v>Met</v>
      </c>
    </row>
    <row r="6707" ht="19" customHeight="1" spans="1:14" x14ac:dyDescent="0.25">
      <c r="A6707" s="22" t="s">
        <v>6821</v>
      </c>
      <c r="B6707" s="36">
        <v>46234.775</v>
      </c>
      <c r="C6707" s="36">
        <v>46236.120833333334</v>
      </c>
      <c r="D6707" s="22" t="s">
        <v>33</v>
      </c>
      <c r="E6707" s="22" t="s">
        <v>65</v>
      </c>
      <c r="F6707" s="22" t="s">
        <v>37</v>
      </c>
      <c r="G6707" s="22" t="s">
        <v>63</v>
      </c>
      <c r="H6707" s="22" t="s">
        <v>59</v>
      </c>
      <c r="I6707" s="22" t="s">
        <v>114</v>
      </c>
      <c r="J6707" s="23">
        <v>48</v>
      </c>
      <c r="K6707" s="37">
        <v>0</v>
      </c>
      <c r="M6707" s="22">
        <f>IF(OR(ISBLANK(C6707),C6707=""),"",ROUND((C6707-B6707)*24,2))</f>
        <v>32.3</v>
      </c>
      <c r="N6707" s="40" t="str">
        <f>IF(OR(ISBLANK(C6707),C6707="",M6707=""),"In Progress",IF(M6707&lt;=J6707,"Met","Breached"))</f>
        <v>Met</v>
      </c>
    </row>
    <row r="6708" ht="19" customHeight="1" spans="1:14" x14ac:dyDescent="0.25">
      <c r="A6708" s="19" t="s">
        <v>6822</v>
      </c>
      <c r="B6708" s="33">
        <v>45877.57430555555</v>
      </c>
      <c r="C6708" s="33">
        <v>45881.00138888889</v>
      </c>
      <c r="D6708" s="19" t="s">
        <v>36</v>
      </c>
      <c r="E6708" s="19" t="s">
        <v>65</v>
      </c>
      <c r="F6708" s="19" t="s">
        <v>34</v>
      </c>
      <c r="G6708" s="19" t="s">
        <v>121</v>
      </c>
      <c r="H6708" s="19" t="s">
        <v>59</v>
      </c>
      <c r="I6708" s="19" t="s">
        <v>108</v>
      </c>
      <c r="J6708" s="20">
        <v>48</v>
      </c>
      <c r="K6708" s="34">
        <v>0</v>
      </c>
      <c r="L6708" s="34">
        <v>1</v>
      </c>
      <c r="M6708" s="19">
        <f>IF(OR(ISBLANK(C6708),C6708=""),"",ROUND((C6708-B6708)*24,2))</f>
        <v>82.25</v>
      </c>
      <c r="N6708" s="39" t="str">
        <f>IF(OR(ISBLANK(C6708),C6708="",M6708=""),"In Progress",IF(M6708&lt;=J6708,"Met","Breached"))</f>
        <v>Breached</v>
      </c>
    </row>
    <row r="6709" ht="19" customHeight="1" spans="1:14" x14ac:dyDescent="0.25">
      <c r="A6709" s="22" t="s">
        <v>6823</v>
      </c>
      <c r="B6709" s="36">
        <v>45761.523611111115</v>
      </c>
      <c r="C6709" s="36">
        <v>45763.38888888889</v>
      </c>
      <c r="D6709" s="22" t="s">
        <v>33</v>
      </c>
      <c r="E6709" s="22" t="s">
        <v>69</v>
      </c>
      <c r="F6709" s="22" t="s">
        <v>40</v>
      </c>
      <c r="G6709" s="22" t="s">
        <v>126</v>
      </c>
      <c r="H6709" s="22" t="s">
        <v>59</v>
      </c>
      <c r="I6709" s="22" t="s">
        <v>114</v>
      </c>
      <c r="J6709" s="23">
        <v>120</v>
      </c>
      <c r="K6709" s="37">
        <v>0</v>
      </c>
      <c r="L6709" s="37">
        <v>3</v>
      </c>
      <c r="M6709" s="22">
        <f>IF(OR(ISBLANK(C6709),C6709=""),"",ROUND((C6709-B6709)*24,2))</f>
        <v>44.77</v>
      </c>
      <c r="N6709" s="40" t="str">
        <f>IF(OR(ISBLANK(C6709),C6709="",M6709=""),"In Progress",IF(M6709&lt;=J6709,"Met","Breached"))</f>
        <v>Met</v>
      </c>
    </row>
    <row r="6710" ht="19" customHeight="1" spans="1:14" x14ac:dyDescent="0.25">
      <c r="A6710" s="19" t="s">
        <v>6824</v>
      </c>
      <c r="B6710" s="33">
        <v>45713.055555555555</v>
      </c>
      <c r="C6710" s="33">
        <v>45713.62361111111</v>
      </c>
      <c r="D6710" s="19" t="s">
        <v>36</v>
      </c>
      <c r="E6710" s="19" t="s">
        <v>61</v>
      </c>
      <c r="F6710" s="19" t="s">
        <v>45</v>
      </c>
      <c r="G6710" s="19" t="s">
        <v>126</v>
      </c>
      <c r="H6710" s="19" t="s">
        <v>71</v>
      </c>
      <c r="I6710" s="19" t="s">
        <v>114</v>
      </c>
      <c r="J6710" s="20">
        <v>12</v>
      </c>
      <c r="K6710" s="34">
        <v>0</v>
      </c>
      <c r="L6710" s="34">
        <v>3</v>
      </c>
      <c r="M6710" s="19">
        <f>IF(OR(ISBLANK(C6710),C6710=""),"",ROUND((C6710-B6710)*24,2))</f>
        <v>13.63</v>
      </c>
      <c r="N6710" s="39" t="str">
        <f>IF(OR(ISBLANK(C6710),C6710="",M6710=""),"In Progress",IF(M6710&lt;=J6710,"Met","Breached"))</f>
        <v>Breached</v>
      </c>
    </row>
    <row r="6711" ht="19" customHeight="1" spans="1:14" x14ac:dyDescent="0.25">
      <c r="A6711" s="22" t="s">
        <v>6825</v>
      </c>
      <c r="B6711" s="36">
        <v>46047.75208333333</v>
      </c>
      <c r="C6711" s="36">
        <v>46049.097916666666</v>
      </c>
      <c r="D6711" s="22" t="s">
        <v>33</v>
      </c>
      <c r="E6711" s="22" t="s">
        <v>65</v>
      </c>
      <c r="F6711" s="22" t="s">
        <v>34</v>
      </c>
      <c r="G6711" s="22" t="s">
        <v>113</v>
      </c>
      <c r="H6711" s="22" t="s">
        <v>63</v>
      </c>
      <c r="I6711" s="22" t="s">
        <v>111</v>
      </c>
      <c r="J6711" s="23">
        <v>48</v>
      </c>
      <c r="K6711" s="37">
        <v>1</v>
      </c>
      <c r="L6711" s="37">
        <v>2</v>
      </c>
      <c r="M6711" s="22">
        <f>IF(OR(ISBLANK(C6711),C6711=""),"",ROUND((C6711-B6711)*24,2))</f>
        <v>32.3</v>
      </c>
      <c r="N6711" s="40" t="str">
        <f>IF(OR(ISBLANK(C6711),C6711="",M6711=""),"In Progress",IF(M6711&lt;=J6711,"Met","Breached"))</f>
        <v>Met</v>
      </c>
    </row>
    <row r="6712" ht="19" customHeight="1" spans="1:14" x14ac:dyDescent="0.25">
      <c r="A6712" s="19" t="s">
        <v>6826</v>
      </c>
      <c r="B6712" s="33">
        <v>45915.97083333333</v>
      </c>
      <c r="C6712" s="33">
        <v>45922.79513888889</v>
      </c>
      <c r="D6712" s="19" t="s">
        <v>36</v>
      </c>
      <c r="E6712" s="19" t="s">
        <v>69</v>
      </c>
      <c r="F6712" s="19" t="s">
        <v>34</v>
      </c>
      <c r="G6712" s="19" t="s">
        <v>121</v>
      </c>
      <c r="H6712" s="19" t="s">
        <v>71</v>
      </c>
      <c r="I6712" s="19" t="s">
        <v>108</v>
      </c>
      <c r="J6712" s="20">
        <v>120</v>
      </c>
      <c r="K6712" s="34">
        <v>0</v>
      </c>
      <c r="M6712" s="19">
        <f>IF(OR(ISBLANK(C6712),C6712=""),"",ROUND((C6712-B6712)*24,2))</f>
        <v>163.78</v>
      </c>
      <c r="N6712" s="39" t="str">
        <f>IF(OR(ISBLANK(C6712),C6712="",M6712=""),"In Progress",IF(M6712&lt;=J6712,"Met","Breached"))</f>
        <v>Breached</v>
      </c>
    </row>
    <row r="6713" ht="19" customHeight="1" spans="1:14" x14ac:dyDescent="0.25">
      <c r="A6713" s="22" t="s">
        <v>6827</v>
      </c>
      <c r="B6713" s="36">
        <v>46168.54027777778</v>
      </c>
      <c r="C6713" s="36">
        <v>46173.263194444444</v>
      </c>
      <c r="D6713" s="22" t="s">
        <v>36</v>
      </c>
      <c r="E6713" s="22" t="s">
        <v>69</v>
      </c>
      <c r="F6713" s="22" t="s">
        <v>34</v>
      </c>
      <c r="G6713" s="22" t="s">
        <v>116</v>
      </c>
      <c r="H6713" s="22" t="s">
        <v>59</v>
      </c>
      <c r="I6713" s="22" t="s">
        <v>114</v>
      </c>
      <c r="J6713" s="23">
        <v>120</v>
      </c>
      <c r="K6713" s="37">
        <v>0</v>
      </c>
      <c r="L6713" s="37">
        <v>2</v>
      </c>
      <c r="M6713" s="22">
        <f>IF(OR(ISBLANK(C6713),C6713=""),"",ROUND((C6713-B6713)*24,2))</f>
        <v>113.35</v>
      </c>
      <c r="N6713" s="40" t="str">
        <f>IF(OR(ISBLANK(C6713),C6713="",M6713=""),"In Progress",IF(M6713&lt;=J6713,"Met","Breached"))</f>
        <v>Met</v>
      </c>
    </row>
    <row r="6714" ht="19" customHeight="1" spans="1:14" x14ac:dyDescent="0.25">
      <c r="A6714" s="19" t="s">
        <v>6828</v>
      </c>
      <c r="B6714" s="33">
        <v>45900.85763888889</v>
      </c>
      <c r="C6714" s="33">
        <v>45901.972916666666</v>
      </c>
      <c r="D6714" s="19" t="s">
        <v>33</v>
      </c>
      <c r="E6714" s="19" t="s">
        <v>65</v>
      </c>
      <c r="F6714" s="19" t="s">
        <v>40</v>
      </c>
      <c r="G6714" s="19" t="s">
        <v>126</v>
      </c>
      <c r="H6714" s="19" t="s">
        <v>59</v>
      </c>
      <c r="I6714" s="19" t="s">
        <v>147</v>
      </c>
      <c r="J6714" s="20">
        <v>48</v>
      </c>
      <c r="K6714" s="34">
        <v>0</v>
      </c>
      <c r="L6714" s="34">
        <v>1</v>
      </c>
      <c r="M6714" s="19">
        <f>IF(OR(ISBLANK(C6714),C6714=""),"",ROUND((C6714-B6714)*24,2))</f>
        <v>26.77</v>
      </c>
      <c r="N6714" s="35" t="str">
        <f>IF(OR(ISBLANK(C6714),C6714="",M6714=""),"In Progress",IF(M6714&lt;=J6714,"Met","Breached"))</f>
        <v>Met</v>
      </c>
    </row>
    <row r="6715" ht="19" customHeight="1" spans="1:14" x14ac:dyDescent="0.25">
      <c r="A6715" s="22" t="s">
        <v>6829</v>
      </c>
      <c r="B6715" s="36">
        <v>45719.99722222222</v>
      </c>
      <c r="C6715" s="36">
        <v>45721.35208333333</v>
      </c>
      <c r="D6715" s="22" t="s">
        <v>36</v>
      </c>
      <c r="E6715" s="22" t="s">
        <v>65</v>
      </c>
      <c r="F6715" s="22" t="s">
        <v>43</v>
      </c>
      <c r="G6715" s="22" t="s">
        <v>121</v>
      </c>
      <c r="H6715" s="22" t="s">
        <v>63</v>
      </c>
      <c r="I6715" s="22" t="s">
        <v>123</v>
      </c>
      <c r="J6715" s="23">
        <v>48</v>
      </c>
      <c r="K6715" s="37">
        <v>0</v>
      </c>
      <c r="L6715" s="37">
        <v>1</v>
      </c>
      <c r="M6715" s="22">
        <f>IF(OR(ISBLANK(C6715),C6715=""),"",ROUND((C6715-B6715)*24,2))</f>
        <v>32.52</v>
      </c>
      <c r="N6715" s="40" t="str">
        <f>IF(OR(ISBLANK(C6715),C6715="",M6715=""),"In Progress",IF(M6715&lt;=J6715,"Met","Breached"))</f>
        <v>Met</v>
      </c>
    </row>
    <row r="6716" ht="19" customHeight="1" spans="1:14" x14ac:dyDescent="0.25">
      <c r="A6716" s="19" t="s">
        <v>6830</v>
      </c>
      <c r="B6716" s="33">
        <v>45744</v>
      </c>
      <c r="D6716" s="19" t="s">
        <v>39</v>
      </c>
      <c r="E6716" s="19" t="s">
        <v>57</v>
      </c>
      <c r="F6716" s="19" t="s">
        <v>34</v>
      </c>
      <c r="G6716" s="19" t="s">
        <v>121</v>
      </c>
      <c r="H6716" s="19" t="s">
        <v>67</v>
      </c>
      <c r="I6716" s="19" t="s">
        <v>108</v>
      </c>
      <c r="J6716" s="20">
        <v>4</v>
      </c>
      <c r="K6716" s="34">
        <v>0</v>
      </c>
      <c r="M6716" s="19" t="str">
        <f>IF(OR(ISBLANK(C6716),C6716=""),"",ROUND((C6716-B6716)*24,2))</f>
        <v/>
      </c>
      <c r="N6716" s="19" t="str">
        <f>IF(OR(ISBLANK(C6716),C6716="",M6716=""),"In Progress",IF(M6716&lt;=J6716,"Met","Breached"))</f>
        <v>In Progress</v>
      </c>
    </row>
    <row r="6717" ht="19" customHeight="1" spans="1:14" x14ac:dyDescent="0.25">
      <c r="A6717" s="22" t="s">
        <v>6831</v>
      </c>
      <c r="B6717" s="36">
        <v>46109.540972222225</v>
      </c>
      <c r="C6717" s="36">
        <v>46111.39791666667</v>
      </c>
      <c r="D6717" s="22" t="s">
        <v>36</v>
      </c>
      <c r="E6717" s="22" t="s">
        <v>65</v>
      </c>
      <c r="F6717" s="22" t="s">
        <v>40</v>
      </c>
      <c r="G6717" s="22" t="s">
        <v>121</v>
      </c>
      <c r="H6717" s="22" t="s">
        <v>59</v>
      </c>
      <c r="I6717" s="22" t="s">
        <v>123</v>
      </c>
      <c r="J6717" s="23">
        <v>48</v>
      </c>
      <c r="K6717" s="37">
        <v>0</v>
      </c>
      <c r="M6717" s="22">
        <f>IF(OR(ISBLANK(C6717),C6717=""),"",ROUND((C6717-B6717)*24,2))</f>
        <v>44.57</v>
      </c>
      <c r="N6717" s="40" t="str">
        <f>IF(OR(ISBLANK(C6717),C6717="",M6717=""),"In Progress",IF(M6717&lt;=J6717,"Met","Breached"))</f>
        <v>Met</v>
      </c>
    </row>
    <row r="6718" ht="19" customHeight="1" spans="1:14" x14ac:dyDescent="0.25">
      <c r="A6718" s="19" t="s">
        <v>6832</v>
      </c>
      <c r="B6718" s="33">
        <v>46130.68958333333</v>
      </c>
      <c r="D6718" s="19" t="s">
        <v>42</v>
      </c>
      <c r="E6718" s="19" t="s">
        <v>65</v>
      </c>
      <c r="F6718" s="19" t="s">
        <v>40</v>
      </c>
      <c r="G6718" s="19" t="s">
        <v>113</v>
      </c>
      <c r="H6718" s="19" t="s">
        <v>59</v>
      </c>
      <c r="I6718" s="19" t="s">
        <v>117</v>
      </c>
      <c r="J6718" s="20">
        <v>48</v>
      </c>
      <c r="K6718" s="34">
        <v>0</v>
      </c>
      <c r="M6718" s="19" t="str">
        <f>IF(OR(ISBLANK(C6718),C6718=""),"",ROUND((C6718-B6718)*24,2))</f>
        <v/>
      </c>
      <c r="N6718" s="19" t="str">
        <f>IF(OR(ISBLANK(C6718),C6718="",M6718=""),"In Progress",IF(M6718&lt;=J6718,"Met","Breached"))</f>
        <v>In Progress</v>
      </c>
    </row>
    <row r="6719" ht="19" customHeight="1" spans="1:14" x14ac:dyDescent="0.25">
      <c r="A6719" s="22" t="s">
        <v>6833</v>
      </c>
      <c r="B6719" s="36">
        <v>45787.73263888889</v>
      </c>
      <c r="C6719" s="36">
        <v>45791.70763888889</v>
      </c>
      <c r="D6719" s="22" t="s">
        <v>36</v>
      </c>
      <c r="E6719" s="22" t="s">
        <v>69</v>
      </c>
      <c r="F6719" s="22" t="s">
        <v>45</v>
      </c>
      <c r="G6719" s="22" t="s">
        <v>110</v>
      </c>
      <c r="H6719" s="22" t="s">
        <v>59</v>
      </c>
      <c r="I6719" s="22" t="s">
        <v>111</v>
      </c>
      <c r="J6719" s="23">
        <v>120</v>
      </c>
      <c r="K6719" s="37">
        <v>0</v>
      </c>
      <c r="L6719" s="37">
        <v>1</v>
      </c>
      <c r="M6719" s="22">
        <f>IF(OR(ISBLANK(C6719),C6719=""),"",ROUND((C6719-B6719)*24,2))</f>
        <v>95.4</v>
      </c>
      <c r="N6719" s="40" t="str">
        <f>IF(OR(ISBLANK(C6719),C6719="",M6719=""),"In Progress",IF(M6719&lt;=J6719,"Met","Breached"))</f>
        <v>Met</v>
      </c>
    </row>
    <row r="6720" ht="19" customHeight="1" spans="1:14" x14ac:dyDescent="0.25">
      <c r="A6720" s="19" t="s">
        <v>6834</v>
      </c>
      <c r="B6720" s="33">
        <v>45718.76111111111</v>
      </c>
      <c r="C6720" s="33">
        <v>45726.200694444444</v>
      </c>
      <c r="D6720" s="19" t="s">
        <v>36</v>
      </c>
      <c r="E6720" s="19" t="s">
        <v>69</v>
      </c>
      <c r="F6720" s="19" t="s">
        <v>34</v>
      </c>
      <c r="G6720" s="19" t="s">
        <v>126</v>
      </c>
      <c r="H6720" s="19" t="s">
        <v>67</v>
      </c>
      <c r="I6720" s="19" t="s">
        <v>117</v>
      </c>
      <c r="J6720" s="20">
        <v>120</v>
      </c>
      <c r="K6720" s="34">
        <v>0</v>
      </c>
      <c r="L6720" s="34">
        <v>2</v>
      </c>
      <c r="M6720" s="19">
        <f>IF(OR(ISBLANK(C6720),C6720=""),"",ROUND((C6720-B6720)*24,2))</f>
        <v>178.55</v>
      </c>
      <c r="N6720" s="39" t="str">
        <f>IF(OR(ISBLANK(C6720),C6720="",M6720=""),"In Progress",IF(M6720&lt;=J6720,"Met","Breached"))</f>
        <v>Breached</v>
      </c>
    </row>
    <row r="6721" ht="19" customHeight="1" spans="1:14" x14ac:dyDescent="0.25">
      <c r="A6721" s="22" t="s">
        <v>6835</v>
      </c>
      <c r="B6721" s="36">
        <v>46107.691666666666</v>
      </c>
      <c r="C6721" s="36">
        <v>46108.48125</v>
      </c>
      <c r="D6721" s="22" t="s">
        <v>36</v>
      </c>
      <c r="E6721" s="22" t="s">
        <v>65</v>
      </c>
      <c r="F6721" s="22" t="s">
        <v>40</v>
      </c>
      <c r="G6721" s="22" t="s">
        <v>126</v>
      </c>
      <c r="H6721" s="22" t="s">
        <v>59</v>
      </c>
      <c r="I6721" s="22" t="s">
        <v>108</v>
      </c>
      <c r="J6721" s="23">
        <v>48</v>
      </c>
      <c r="K6721" s="37">
        <v>0</v>
      </c>
      <c r="L6721" s="37">
        <v>1</v>
      </c>
      <c r="M6721" s="22">
        <f>IF(OR(ISBLANK(C6721),C6721=""),"",ROUND((C6721-B6721)*24,2))</f>
        <v>18.95</v>
      </c>
      <c r="N6721" s="40" t="str">
        <f>IF(OR(ISBLANK(C6721),C6721="",M6721=""),"In Progress",IF(M6721&lt;=J6721,"Met","Breached"))</f>
        <v>Met</v>
      </c>
    </row>
    <row r="6722" ht="19" customHeight="1" spans="1:14" x14ac:dyDescent="0.25">
      <c r="A6722" s="19" t="s">
        <v>6836</v>
      </c>
      <c r="B6722" s="33">
        <v>45839.76666666666</v>
      </c>
      <c r="C6722" s="33">
        <v>45840.34236111111</v>
      </c>
      <c r="D6722" s="19" t="s">
        <v>36</v>
      </c>
      <c r="E6722" s="19" t="s">
        <v>61</v>
      </c>
      <c r="F6722" s="19" t="s">
        <v>43</v>
      </c>
      <c r="G6722" s="19" t="s">
        <v>121</v>
      </c>
      <c r="H6722" s="19" t="s">
        <v>59</v>
      </c>
      <c r="I6722" s="19" t="s">
        <v>108</v>
      </c>
      <c r="J6722" s="20">
        <v>12</v>
      </c>
      <c r="K6722" s="34">
        <v>0</v>
      </c>
      <c r="L6722" s="34">
        <v>4</v>
      </c>
      <c r="M6722" s="19">
        <f>IF(OR(ISBLANK(C6722),C6722=""),"",ROUND((C6722-B6722)*24,2))</f>
        <v>13.82</v>
      </c>
      <c r="N6722" s="39" t="str">
        <f>IF(OR(ISBLANK(C6722),C6722="",M6722=""),"In Progress",IF(M6722&lt;=J6722,"Met","Breached"))</f>
        <v>Breached</v>
      </c>
    </row>
    <row r="6723" ht="19" customHeight="1" spans="1:14" x14ac:dyDescent="0.25">
      <c r="A6723" s="22" t="s">
        <v>6837</v>
      </c>
      <c r="B6723" s="36">
        <v>45763.90486111111</v>
      </c>
      <c r="D6723" s="22" t="s">
        <v>42</v>
      </c>
      <c r="E6723" s="22" t="s">
        <v>65</v>
      </c>
      <c r="F6723" s="22" t="s">
        <v>34</v>
      </c>
      <c r="G6723" s="22" t="s">
        <v>110</v>
      </c>
      <c r="H6723" s="22" t="s">
        <v>59</v>
      </c>
      <c r="I6723" s="22" t="s">
        <v>117</v>
      </c>
      <c r="J6723" s="23">
        <v>48</v>
      </c>
      <c r="K6723" s="37">
        <v>0</v>
      </c>
      <c r="M6723" s="22" t="str">
        <f>IF(OR(ISBLANK(C6723),C6723=""),"",ROUND((C6723-B6723)*24,2))</f>
        <v/>
      </c>
      <c r="N6723" s="22" t="str">
        <f>IF(OR(ISBLANK(C6723),C6723="",M6723=""),"In Progress",IF(M6723&lt;=J6723,"Met","Breached"))</f>
        <v>In Progress</v>
      </c>
    </row>
    <row r="6724" ht="19" customHeight="1" spans="1:14" x14ac:dyDescent="0.25">
      <c r="A6724" s="19" t="s">
        <v>6838</v>
      </c>
      <c r="B6724" s="33">
        <v>46125.54375</v>
      </c>
      <c r="D6724" s="19" t="s">
        <v>42</v>
      </c>
      <c r="E6724" s="19" t="s">
        <v>65</v>
      </c>
      <c r="F6724" s="19" t="s">
        <v>37</v>
      </c>
      <c r="G6724" s="19" t="s">
        <v>113</v>
      </c>
      <c r="H6724" s="19" t="s">
        <v>59</v>
      </c>
      <c r="I6724" s="19" t="s">
        <v>123</v>
      </c>
      <c r="J6724" s="20">
        <v>48</v>
      </c>
      <c r="K6724" s="34">
        <v>0</v>
      </c>
      <c r="M6724" s="19" t="str">
        <f>IF(OR(ISBLANK(C6724),C6724=""),"",ROUND((C6724-B6724)*24,2))</f>
        <v/>
      </c>
      <c r="N6724" s="19" t="str">
        <f>IF(OR(ISBLANK(C6724),C6724="",M6724=""),"In Progress",IF(M6724&lt;=J6724,"Met","Breached"))</f>
        <v>In Progress</v>
      </c>
    </row>
    <row r="6725" ht="19" customHeight="1" spans="1:14" x14ac:dyDescent="0.25">
      <c r="A6725" s="22" t="s">
        <v>6839</v>
      </c>
      <c r="B6725" s="36">
        <v>45881.36875</v>
      </c>
      <c r="D6725" s="22" t="s">
        <v>42</v>
      </c>
      <c r="E6725" s="22" t="s">
        <v>65</v>
      </c>
      <c r="F6725" s="22" t="s">
        <v>34</v>
      </c>
      <c r="G6725" s="22" t="s">
        <v>110</v>
      </c>
      <c r="H6725" s="22" t="s">
        <v>59</v>
      </c>
      <c r="I6725" s="22" t="s">
        <v>114</v>
      </c>
      <c r="J6725" s="23">
        <v>48</v>
      </c>
      <c r="K6725" s="37">
        <v>0</v>
      </c>
      <c r="M6725" s="22" t="str">
        <f>IF(OR(ISBLANK(C6725),C6725=""),"",ROUND((C6725-B6725)*24,2))</f>
        <v/>
      </c>
      <c r="N6725" s="22" t="str">
        <f>IF(OR(ISBLANK(C6725),C6725="",M6725=""),"In Progress",IF(M6725&lt;=J6725,"Met","Breached"))</f>
        <v>In Progress</v>
      </c>
    </row>
    <row r="6726" ht="19" customHeight="1" spans="1:14" x14ac:dyDescent="0.25">
      <c r="A6726" s="19" t="s">
        <v>6840</v>
      </c>
      <c r="B6726" s="33">
        <v>46058.57083333333</v>
      </c>
      <c r="D6726" s="19" t="s">
        <v>39</v>
      </c>
      <c r="E6726" s="19" t="s">
        <v>69</v>
      </c>
      <c r="F6726" s="19" t="s">
        <v>37</v>
      </c>
      <c r="G6726" s="19" t="s">
        <v>110</v>
      </c>
      <c r="H6726" s="19" t="s">
        <v>67</v>
      </c>
      <c r="I6726" s="19" t="s">
        <v>123</v>
      </c>
      <c r="J6726" s="20">
        <v>120</v>
      </c>
      <c r="K6726" s="34">
        <v>0</v>
      </c>
      <c r="M6726" s="19" t="str">
        <f>IF(OR(ISBLANK(C6726),C6726=""),"",ROUND((C6726-B6726)*24,2))</f>
        <v/>
      </c>
      <c r="N6726" s="19" t="str">
        <f>IF(OR(ISBLANK(C6726),C6726="",M6726=""),"In Progress",IF(M6726&lt;=J6726,"Met","Breached"))</f>
        <v>In Progress</v>
      </c>
    </row>
    <row r="6727" ht="19" customHeight="1" spans="1:14" x14ac:dyDescent="0.25">
      <c r="A6727" s="22" t="s">
        <v>6841</v>
      </c>
      <c r="B6727" s="36">
        <v>45738.74375</v>
      </c>
      <c r="C6727" s="36">
        <v>45741.88541666667</v>
      </c>
      <c r="D6727" s="22" t="s">
        <v>33</v>
      </c>
      <c r="E6727" s="22" t="s">
        <v>65</v>
      </c>
      <c r="F6727" s="22" t="s">
        <v>45</v>
      </c>
      <c r="G6727" s="22" t="s">
        <v>121</v>
      </c>
      <c r="H6727" s="22" t="s">
        <v>59</v>
      </c>
      <c r="I6727" s="22" t="s">
        <v>114</v>
      </c>
      <c r="J6727" s="23">
        <v>48</v>
      </c>
      <c r="K6727" s="37">
        <v>0</v>
      </c>
      <c r="L6727" s="37">
        <v>1</v>
      </c>
      <c r="M6727" s="22">
        <f>IF(OR(ISBLANK(C6727),C6727=""),"",ROUND((C6727-B6727)*24,2))</f>
        <v>75.4</v>
      </c>
      <c r="N6727" s="38" t="str">
        <f>IF(OR(ISBLANK(C6727),C6727="",M6727=""),"In Progress",IF(M6727&lt;=J6727,"Met","Breached"))</f>
        <v>Breached</v>
      </c>
    </row>
    <row r="6728" ht="19" customHeight="1" spans="1:14" x14ac:dyDescent="0.25">
      <c r="A6728" s="19" t="s">
        <v>6842</v>
      </c>
      <c r="B6728" s="33">
        <v>45678.384722222225</v>
      </c>
      <c r="D6728" s="19" t="s">
        <v>42</v>
      </c>
      <c r="E6728" s="19" t="s">
        <v>69</v>
      </c>
      <c r="F6728" s="19" t="s">
        <v>34</v>
      </c>
      <c r="G6728" s="19" t="s">
        <v>121</v>
      </c>
      <c r="H6728" s="19" t="s">
        <v>71</v>
      </c>
      <c r="I6728" s="19" t="s">
        <v>123</v>
      </c>
      <c r="J6728" s="20">
        <v>120</v>
      </c>
      <c r="K6728" s="34">
        <v>0</v>
      </c>
      <c r="M6728" s="19" t="str">
        <f>IF(OR(ISBLANK(C6728),C6728=""),"",ROUND((C6728-B6728)*24,2))</f>
        <v/>
      </c>
      <c r="N6728" s="19" t="str">
        <f>IF(OR(ISBLANK(C6728),C6728="",M6728=""),"In Progress",IF(M6728&lt;=J6728,"Met","Breached"))</f>
        <v>In Progress</v>
      </c>
    </row>
    <row r="6729" ht="19" customHeight="1" spans="1:14" x14ac:dyDescent="0.25">
      <c r="A6729" s="22" t="s">
        <v>6843</v>
      </c>
      <c r="B6729" s="36">
        <v>45814.268055555556</v>
      </c>
      <c r="C6729" s="36">
        <v>45816.98472222222</v>
      </c>
      <c r="D6729" s="22" t="s">
        <v>33</v>
      </c>
      <c r="E6729" s="22" t="s">
        <v>65</v>
      </c>
      <c r="F6729" s="22" t="s">
        <v>43</v>
      </c>
      <c r="G6729" s="22" t="s">
        <v>116</v>
      </c>
      <c r="H6729" s="22" t="s">
        <v>63</v>
      </c>
      <c r="I6729" s="22" t="s">
        <v>123</v>
      </c>
      <c r="J6729" s="23">
        <v>48</v>
      </c>
      <c r="K6729" s="37">
        <v>0</v>
      </c>
      <c r="L6729" s="37">
        <v>3</v>
      </c>
      <c r="M6729" s="22">
        <f>IF(OR(ISBLANK(C6729),C6729=""),"",ROUND((C6729-B6729)*24,2))</f>
        <v>65.2</v>
      </c>
      <c r="N6729" s="38" t="str">
        <f>IF(OR(ISBLANK(C6729),C6729="",M6729=""),"In Progress",IF(M6729&lt;=J6729,"Met","Breached"))</f>
        <v>Breached</v>
      </c>
    </row>
    <row r="6730" ht="19" customHeight="1" spans="1:14" x14ac:dyDescent="0.25">
      <c r="A6730" s="19" t="s">
        <v>6844</v>
      </c>
      <c r="B6730" s="33">
        <v>45702.745833333334</v>
      </c>
      <c r="C6730" s="33">
        <v>45705.37222222222</v>
      </c>
      <c r="D6730" s="19" t="s">
        <v>36</v>
      </c>
      <c r="E6730" s="19" t="s">
        <v>65</v>
      </c>
      <c r="F6730" s="19" t="s">
        <v>43</v>
      </c>
      <c r="G6730" s="19" t="s">
        <v>113</v>
      </c>
      <c r="H6730" s="19" t="s">
        <v>71</v>
      </c>
      <c r="I6730" s="19" t="s">
        <v>114</v>
      </c>
      <c r="J6730" s="20">
        <v>48</v>
      </c>
      <c r="K6730" s="34">
        <v>0</v>
      </c>
      <c r="M6730" s="19">
        <f>IF(OR(ISBLANK(C6730),C6730=""),"",ROUND((C6730-B6730)*24,2))</f>
        <v>63.03</v>
      </c>
      <c r="N6730" s="39" t="str">
        <f>IF(OR(ISBLANK(C6730),C6730="",M6730=""),"In Progress",IF(M6730&lt;=J6730,"Met","Breached"))</f>
        <v>Breached</v>
      </c>
    </row>
    <row r="6731" ht="19" customHeight="1" spans="1:14" x14ac:dyDescent="0.25">
      <c r="A6731" s="22" t="s">
        <v>6845</v>
      </c>
      <c r="B6731" s="36">
        <v>45789.25347222222</v>
      </c>
      <c r="C6731" s="36">
        <v>45789.56111111111</v>
      </c>
      <c r="D6731" s="22" t="s">
        <v>33</v>
      </c>
      <c r="E6731" s="22" t="s">
        <v>61</v>
      </c>
      <c r="F6731" s="22" t="s">
        <v>34</v>
      </c>
      <c r="G6731" s="22" t="s">
        <v>121</v>
      </c>
      <c r="H6731" s="22" t="s">
        <v>63</v>
      </c>
      <c r="I6731" s="22" t="s">
        <v>108</v>
      </c>
      <c r="J6731" s="23">
        <v>12</v>
      </c>
      <c r="K6731" s="37">
        <v>0</v>
      </c>
      <c r="L6731" s="37">
        <v>2</v>
      </c>
      <c r="M6731" s="22">
        <f>IF(OR(ISBLANK(C6731),C6731=""),"",ROUND((C6731-B6731)*24,2))</f>
        <v>7.38</v>
      </c>
      <c r="N6731" s="40" t="str">
        <f>IF(OR(ISBLANK(C6731),C6731="",M6731=""),"In Progress",IF(M6731&lt;=J6731,"Met","Breached"))</f>
        <v>Met</v>
      </c>
    </row>
    <row r="6732" ht="19" customHeight="1" spans="1:14" x14ac:dyDescent="0.25">
      <c r="A6732" s="19" t="s">
        <v>6846</v>
      </c>
      <c r="B6732" s="33">
        <v>45941.71527777778</v>
      </c>
      <c r="C6732" s="33">
        <v>45941.99861111111</v>
      </c>
      <c r="D6732" s="19" t="s">
        <v>36</v>
      </c>
      <c r="E6732" s="19" t="s">
        <v>57</v>
      </c>
      <c r="F6732" s="19" t="s">
        <v>43</v>
      </c>
      <c r="G6732" s="19" t="s">
        <v>63</v>
      </c>
      <c r="H6732" s="19" t="s">
        <v>59</v>
      </c>
      <c r="I6732" s="19" t="s">
        <v>117</v>
      </c>
      <c r="J6732" s="20">
        <v>4</v>
      </c>
      <c r="K6732" s="34">
        <v>0</v>
      </c>
      <c r="L6732" s="34">
        <v>3</v>
      </c>
      <c r="M6732" s="19">
        <f>IF(OR(ISBLANK(C6732),C6732=""),"",ROUND((C6732-B6732)*24,2))</f>
        <v>6.8</v>
      </c>
      <c r="N6732" s="39" t="str">
        <f>IF(OR(ISBLANK(C6732),C6732="",M6732=""),"In Progress",IF(M6732&lt;=J6732,"Met","Breached"))</f>
        <v>Breached</v>
      </c>
    </row>
    <row r="6733" ht="19" customHeight="1" spans="1:14" x14ac:dyDescent="0.25">
      <c r="A6733" s="22" t="s">
        <v>6847</v>
      </c>
      <c r="B6733" s="36">
        <v>46025.45208333334</v>
      </c>
      <c r="C6733" s="36">
        <v>46032.79305555555</v>
      </c>
      <c r="D6733" s="22" t="s">
        <v>33</v>
      </c>
      <c r="E6733" s="22" t="s">
        <v>69</v>
      </c>
      <c r="F6733" s="22" t="s">
        <v>34</v>
      </c>
      <c r="G6733" s="22" t="s">
        <v>116</v>
      </c>
      <c r="H6733" s="22" t="s">
        <v>59</v>
      </c>
      <c r="I6733" s="22" t="s">
        <v>147</v>
      </c>
      <c r="J6733" s="23">
        <v>120</v>
      </c>
      <c r="K6733" s="37">
        <v>0</v>
      </c>
      <c r="L6733" s="37">
        <v>4</v>
      </c>
      <c r="M6733" s="22">
        <f>IF(OR(ISBLANK(C6733),C6733=""),"",ROUND((C6733-B6733)*24,2))</f>
        <v>176.18</v>
      </c>
      <c r="N6733" s="38" t="str">
        <f>IF(OR(ISBLANK(C6733),C6733="",M6733=""),"In Progress",IF(M6733&lt;=J6733,"Met","Breached"))</f>
        <v>Breached</v>
      </c>
    </row>
    <row r="6734" ht="19" customHeight="1" spans="1:14" x14ac:dyDescent="0.25">
      <c r="A6734" s="19" t="s">
        <v>6848</v>
      </c>
      <c r="B6734" s="33">
        <v>45999.70694444445</v>
      </c>
      <c r="C6734" s="33">
        <v>46002.836805555555</v>
      </c>
      <c r="D6734" s="19" t="s">
        <v>36</v>
      </c>
      <c r="E6734" s="19" t="s">
        <v>65</v>
      </c>
      <c r="F6734" s="19" t="s">
        <v>45</v>
      </c>
      <c r="G6734" s="19" t="s">
        <v>110</v>
      </c>
      <c r="H6734" s="19" t="s">
        <v>63</v>
      </c>
      <c r="I6734" s="19" t="s">
        <v>114</v>
      </c>
      <c r="J6734" s="20">
        <v>48</v>
      </c>
      <c r="K6734" s="34">
        <v>0</v>
      </c>
      <c r="M6734" s="19">
        <f>IF(OR(ISBLANK(C6734),C6734=""),"",ROUND((C6734-B6734)*24,2))</f>
        <v>75.12</v>
      </c>
      <c r="N6734" s="39" t="str">
        <f>IF(OR(ISBLANK(C6734),C6734="",M6734=""),"In Progress",IF(M6734&lt;=J6734,"Met","Breached"))</f>
        <v>Breached</v>
      </c>
    </row>
    <row r="6735" ht="19" customHeight="1" spans="1:14" x14ac:dyDescent="0.25">
      <c r="A6735" s="22" t="s">
        <v>6849</v>
      </c>
      <c r="B6735" s="36">
        <v>45827.98888888889</v>
      </c>
      <c r="C6735" s="36">
        <v>45828.99166666667</v>
      </c>
      <c r="D6735" s="22" t="s">
        <v>36</v>
      </c>
      <c r="E6735" s="22" t="s">
        <v>65</v>
      </c>
      <c r="F6735" s="22" t="s">
        <v>43</v>
      </c>
      <c r="G6735" s="22" t="s">
        <v>116</v>
      </c>
      <c r="H6735" s="22" t="s">
        <v>59</v>
      </c>
      <c r="I6735" s="22" t="s">
        <v>111</v>
      </c>
      <c r="J6735" s="23">
        <v>48</v>
      </c>
      <c r="K6735" s="37">
        <v>0</v>
      </c>
      <c r="L6735" s="37">
        <v>2</v>
      </c>
      <c r="M6735" s="22">
        <f>IF(OR(ISBLANK(C6735),C6735=""),"",ROUND((C6735-B6735)*24,2))</f>
        <v>24.07</v>
      </c>
      <c r="N6735" s="40" t="str">
        <f>IF(OR(ISBLANK(C6735),C6735="",M6735=""),"In Progress",IF(M6735&lt;=J6735,"Met","Breached"))</f>
        <v>Met</v>
      </c>
    </row>
    <row r="6736" ht="19" customHeight="1" spans="1:14" x14ac:dyDescent="0.25">
      <c r="A6736" s="19" t="s">
        <v>6850</v>
      </c>
      <c r="B6736" s="33">
        <v>46102.65138888889</v>
      </c>
      <c r="C6736" s="33">
        <v>46103.35763888889</v>
      </c>
      <c r="D6736" s="19" t="s">
        <v>33</v>
      </c>
      <c r="E6736" s="19" t="s">
        <v>61</v>
      </c>
      <c r="F6736" s="19" t="s">
        <v>37</v>
      </c>
      <c r="G6736" s="19" t="s">
        <v>126</v>
      </c>
      <c r="H6736" s="19" t="s">
        <v>67</v>
      </c>
      <c r="I6736" s="19" t="s">
        <v>123</v>
      </c>
      <c r="J6736" s="20">
        <v>12</v>
      </c>
      <c r="K6736" s="34">
        <v>0</v>
      </c>
      <c r="L6736" s="34">
        <v>4</v>
      </c>
      <c r="M6736" s="19">
        <f>IF(OR(ISBLANK(C6736),C6736=""),"",ROUND((C6736-B6736)*24,2))</f>
        <v>16.95</v>
      </c>
      <c r="N6736" s="39" t="str">
        <f>IF(OR(ISBLANK(C6736),C6736="",M6736=""),"In Progress",IF(M6736&lt;=J6736,"Met","Breached"))</f>
        <v>Breached</v>
      </c>
    </row>
    <row r="6737" ht="19" customHeight="1" spans="1:14" x14ac:dyDescent="0.25">
      <c r="A6737" s="22" t="s">
        <v>6851</v>
      </c>
      <c r="B6737" s="36">
        <v>46264.41180555556</v>
      </c>
      <c r="C6737" s="36">
        <v>46264.48333333334</v>
      </c>
      <c r="D6737" s="22" t="s">
        <v>33</v>
      </c>
      <c r="E6737" s="22" t="s">
        <v>57</v>
      </c>
      <c r="F6737" s="22" t="s">
        <v>43</v>
      </c>
      <c r="G6737" s="22" t="s">
        <v>116</v>
      </c>
      <c r="H6737" s="22" t="s">
        <v>59</v>
      </c>
      <c r="I6737" s="22" t="s">
        <v>108</v>
      </c>
      <c r="J6737" s="23">
        <v>4</v>
      </c>
      <c r="K6737" s="37">
        <v>0</v>
      </c>
      <c r="L6737" s="37">
        <v>1</v>
      </c>
      <c r="M6737" s="22">
        <f>IF(OR(ISBLANK(C6737),C6737=""),"",ROUND((C6737-B6737)*24,2))</f>
        <v>1.72</v>
      </c>
      <c r="N6737" s="40" t="str">
        <f>IF(OR(ISBLANK(C6737),C6737="",M6737=""),"In Progress",IF(M6737&lt;=J6737,"Met","Breached"))</f>
        <v>Met</v>
      </c>
    </row>
    <row r="6738" ht="19" customHeight="1" spans="1:14" x14ac:dyDescent="0.25">
      <c r="A6738" s="19" t="s">
        <v>6852</v>
      </c>
      <c r="B6738" s="33">
        <v>46107.99791666667</v>
      </c>
      <c r="C6738" s="33">
        <v>46110.663888888885</v>
      </c>
      <c r="D6738" s="19" t="s">
        <v>33</v>
      </c>
      <c r="E6738" s="19" t="s">
        <v>65</v>
      </c>
      <c r="F6738" s="19" t="s">
        <v>37</v>
      </c>
      <c r="G6738" s="19" t="s">
        <v>121</v>
      </c>
      <c r="H6738" s="19" t="s">
        <v>59</v>
      </c>
      <c r="I6738" s="19" t="s">
        <v>123</v>
      </c>
      <c r="J6738" s="20">
        <v>48</v>
      </c>
      <c r="K6738" s="34">
        <v>0</v>
      </c>
      <c r="M6738" s="19">
        <f>IF(OR(ISBLANK(C6738),C6738=""),"",ROUND((C6738-B6738)*24,2))</f>
        <v>63.98</v>
      </c>
      <c r="N6738" s="39" t="str">
        <f>IF(OR(ISBLANK(C6738),C6738="",M6738=""),"In Progress",IF(M6738&lt;=J6738,"Met","Breached"))</f>
        <v>Breached</v>
      </c>
    </row>
    <row r="6739" ht="19" customHeight="1" spans="1:14" x14ac:dyDescent="0.25">
      <c r="A6739" s="22" t="s">
        <v>6853</v>
      </c>
      <c r="B6739" s="36">
        <v>45949.902083333334</v>
      </c>
      <c r="C6739" s="36">
        <v>45952.33125</v>
      </c>
      <c r="D6739" s="22" t="s">
        <v>36</v>
      </c>
      <c r="E6739" s="22" t="s">
        <v>65</v>
      </c>
      <c r="F6739" s="22" t="s">
        <v>37</v>
      </c>
      <c r="G6739" s="22" t="s">
        <v>113</v>
      </c>
      <c r="H6739" s="22" t="s">
        <v>59</v>
      </c>
      <c r="I6739" s="22" t="s">
        <v>123</v>
      </c>
      <c r="J6739" s="23">
        <v>48</v>
      </c>
      <c r="K6739" s="37">
        <v>0</v>
      </c>
      <c r="L6739" s="37">
        <v>3</v>
      </c>
      <c r="M6739" s="22">
        <f>IF(OR(ISBLANK(C6739),C6739=""),"",ROUND((C6739-B6739)*24,2))</f>
        <v>58.3</v>
      </c>
      <c r="N6739" s="38" t="str">
        <f>IF(OR(ISBLANK(C6739),C6739="",M6739=""),"In Progress",IF(M6739&lt;=J6739,"Met","Breached"))</f>
        <v>Breached</v>
      </c>
    </row>
    <row r="6740" ht="19" customHeight="1" spans="1:14" x14ac:dyDescent="0.25">
      <c r="A6740" s="19" t="s">
        <v>6854</v>
      </c>
      <c r="B6740" s="33">
        <v>45727.830555555556</v>
      </c>
      <c r="C6740" s="33">
        <v>45728.697222222225</v>
      </c>
      <c r="D6740" s="19" t="s">
        <v>36</v>
      </c>
      <c r="E6740" s="19" t="s">
        <v>65</v>
      </c>
      <c r="F6740" s="19" t="s">
        <v>43</v>
      </c>
      <c r="G6740" s="19" t="s">
        <v>63</v>
      </c>
      <c r="H6740" s="19" t="s">
        <v>67</v>
      </c>
      <c r="I6740" s="19" t="s">
        <v>111</v>
      </c>
      <c r="J6740" s="20">
        <v>48</v>
      </c>
      <c r="K6740" s="34">
        <v>0</v>
      </c>
      <c r="M6740" s="19">
        <f>IF(OR(ISBLANK(C6740),C6740=""),"",ROUND((C6740-B6740)*24,2))</f>
        <v>20.8</v>
      </c>
      <c r="N6740" s="35" t="str">
        <f>IF(OR(ISBLANK(C6740),C6740="",M6740=""),"In Progress",IF(M6740&lt;=J6740,"Met","Breached"))</f>
        <v>Met</v>
      </c>
    </row>
    <row r="6741" ht="19" customHeight="1" spans="1:14" x14ac:dyDescent="0.25">
      <c r="A6741" s="22" t="s">
        <v>6855</v>
      </c>
      <c r="B6741" s="36">
        <v>46252.78611111111</v>
      </c>
      <c r="C6741" s="36">
        <v>46254.13402777778</v>
      </c>
      <c r="D6741" s="22" t="s">
        <v>33</v>
      </c>
      <c r="E6741" s="22" t="s">
        <v>65</v>
      </c>
      <c r="F6741" s="22" t="s">
        <v>37</v>
      </c>
      <c r="G6741" s="22" t="s">
        <v>121</v>
      </c>
      <c r="H6741" s="22" t="s">
        <v>59</v>
      </c>
      <c r="I6741" s="22" t="s">
        <v>117</v>
      </c>
      <c r="J6741" s="23">
        <v>48</v>
      </c>
      <c r="K6741" s="37">
        <v>0</v>
      </c>
      <c r="L6741" s="37">
        <v>2</v>
      </c>
      <c r="M6741" s="22">
        <f>IF(OR(ISBLANK(C6741),C6741=""),"",ROUND((C6741-B6741)*24,2))</f>
        <v>32.35</v>
      </c>
      <c r="N6741" s="40" t="str">
        <f>IF(OR(ISBLANK(C6741),C6741="",M6741=""),"In Progress",IF(M6741&lt;=J6741,"Met","Breached"))</f>
        <v>Met</v>
      </c>
    </row>
    <row r="6742" ht="19" customHeight="1" spans="1:14" x14ac:dyDescent="0.25">
      <c r="A6742" s="19" t="s">
        <v>6856</v>
      </c>
      <c r="B6742" s="33">
        <v>46091.78263888889</v>
      </c>
      <c r="C6742" s="33">
        <v>46093.09444444445</v>
      </c>
      <c r="D6742" s="19" t="s">
        <v>33</v>
      </c>
      <c r="E6742" s="19" t="s">
        <v>65</v>
      </c>
      <c r="F6742" s="19" t="s">
        <v>37</v>
      </c>
      <c r="G6742" s="19" t="s">
        <v>110</v>
      </c>
      <c r="H6742" s="19" t="s">
        <v>63</v>
      </c>
      <c r="I6742" s="19" t="s">
        <v>108</v>
      </c>
      <c r="J6742" s="20">
        <v>48</v>
      </c>
      <c r="K6742" s="34">
        <v>0</v>
      </c>
      <c r="L6742" s="34">
        <v>2</v>
      </c>
      <c r="M6742" s="19">
        <f>IF(OR(ISBLANK(C6742),C6742=""),"",ROUND((C6742-B6742)*24,2))</f>
        <v>31.48</v>
      </c>
      <c r="N6742" s="35" t="str">
        <f>IF(OR(ISBLANK(C6742),C6742="",M6742=""),"In Progress",IF(M6742&lt;=J6742,"Met","Breached"))</f>
        <v>Met</v>
      </c>
    </row>
    <row r="6743" ht="19" customHeight="1" spans="1:14" x14ac:dyDescent="0.25">
      <c r="A6743" s="22" t="s">
        <v>6857</v>
      </c>
      <c r="B6743" s="36">
        <v>45754.103472222225</v>
      </c>
      <c r="D6743" s="22" t="s">
        <v>39</v>
      </c>
      <c r="E6743" s="22" t="s">
        <v>65</v>
      </c>
      <c r="F6743" s="22" t="s">
        <v>40</v>
      </c>
      <c r="G6743" s="22" t="s">
        <v>121</v>
      </c>
      <c r="H6743" s="22" t="s">
        <v>71</v>
      </c>
      <c r="I6743" s="22" t="s">
        <v>123</v>
      </c>
      <c r="J6743" s="23">
        <v>48</v>
      </c>
      <c r="K6743" s="37">
        <v>0</v>
      </c>
      <c r="M6743" s="22" t="str">
        <f>IF(OR(ISBLANK(C6743),C6743=""),"",ROUND((C6743-B6743)*24,2))</f>
        <v/>
      </c>
      <c r="N6743" s="22" t="str">
        <f>IF(OR(ISBLANK(C6743),C6743="",M6743=""),"In Progress",IF(M6743&lt;=J6743,"Met","Breached"))</f>
        <v>In Progress</v>
      </c>
    </row>
    <row r="6744" ht="19" customHeight="1" spans="1:14" x14ac:dyDescent="0.25">
      <c r="A6744" s="19" t="s">
        <v>6858</v>
      </c>
      <c r="B6744" s="33">
        <v>45688.66666666667</v>
      </c>
      <c r="C6744" s="33">
        <v>45689.14236111111</v>
      </c>
      <c r="D6744" s="19" t="s">
        <v>36</v>
      </c>
      <c r="E6744" s="19" t="s">
        <v>61</v>
      </c>
      <c r="F6744" s="19" t="s">
        <v>37</v>
      </c>
      <c r="G6744" s="19" t="s">
        <v>126</v>
      </c>
      <c r="H6744" s="19" t="s">
        <v>59</v>
      </c>
      <c r="I6744" s="19" t="s">
        <v>147</v>
      </c>
      <c r="J6744" s="20">
        <v>12</v>
      </c>
      <c r="K6744" s="34">
        <v>0</v>
      </c>
      <c r="L6744" s="34">
        <v>2</v>
      </c>
      <c r="M6744" s="19">
        <f>IF(OR(ISBLANK(C6744),C6744=""),"",ROUND((C6744-B6744)*24,2))</f>
        <v>11.42</v>
      </c>
      <c r="N6744" s="35" t="str">
        <f>IF(OR(ISBLANK(C6744),C6744="",M6744=""),"In Progress",IF(M6744&lt;=J6744,"Met","Breached"))</f>
        <v>Met</v>
      </c>
    </row>
    <row r="6745" ht="19" customHeight="1" spans="1:14" x14ac:dyDescent="0.25">
      <c r="A6745" s="22" t="s">
        <v>6859</v>
      </c>
      <c r="B6745" s="36">
        <v>46175.84236111111</v>
      </c>
      <c r="D6745" s="22" t="s">
        <v>42</v>
      </c>
      <c r="E6745" s="22" t="s">
        <v>65</v>
      </c>
      <c r="F6745" s="22" t="s">
        <v>45</v>
      </c>
      <c r="G6745" s="22" t="s">
        <v>110</v>
      </c>
      <c r="H6745" s="22" t="s">
        <v>67</v>
      </c>
      <c r="I6745" s="22" t="s">
        <v>123</v>
      </c>
      <c r="J6745" s="23">
        <v>48</v>
      </c>
      <c r="K6745" s="37">
        <v>0</v>
      </c>
      <c r="M6745" s="22" t="str">
        <f>IF(OR(ISBLANK(C6745),C6745=""),"",ROUND((C6745-B6745)*24,2))</f>
        <v/>
      </c>
      <c r="N6745" s="22" t="str">
        <f>IF(OR(ISBLANK(C6745),C6745="",M6745=""),"In Progress",IF(M6745&lt;=J6745,"Met","Breached"))</f>
        <v>In Progress</v>
      </c>
    </row>
    <row r="6746" ht="19" customHeight="1" spans="1:14" x14ac:dyDescent="0.25">
      <c r="A6746" s="19" t="s">
        <v>6860</v>
      </c>
      <c r="B6746" s="33">
        <v>45888.39097222222</v>
      </c>
      <c r="C6746" s="33">
        <v>45888.475</v>
      </c>
      <c r="D6746" s="19" t="s">
        <v>33</v>
      </c>
      <c r="E6746" s="19" t="s">
        <v>57</v>
      </c>
      <c r="F6746" s="19" t="s">
        <v>45</v>
      </c>
      <c r="G6746" s="19" t="s">
        <v>113</v>
      </c>
      <c r="H6746" s="19" t="s">
        <v>63</v>
      </c>
      <c r="I6746" s="19" t="s">
        <v>111</v>
      </c>
      <c r="J6746" s="20">
        <v>4</v>
      </c>
      <c r="K6746" s="34">
        <v>0</v>
      </c>
      <c r="L6746" s="34">
        <v>5</v>
      </c>
      <c r="M6746" s="19">
        <f>IF(OR(ISBLANK(C6746),C6746=""),"",ROUND((C6746-B6746)*24,2))</f>
        <v>2.02</v>
      </c>
      <c r="N6746" s="35" t="str">
        <f>IF(OR(ISBLANK(C6746),C6746="",M6746=""),"In Progress",IF(M6746&lt;=J6746,"Met","Breached"))</f>
        <v>Met</v>
      </c>
    </row>
    <row r="6747" ht="19" customHeight="1" spans="1:14" x14ac:dyDescent="0.25">
      <c r="A6747" s="22" t="s">
        <v>6861</v>
      </c>
      <c r="B6747" s="36">
        <v>46102.23819444445</v>
      </c>
      <c r="C6747" s="36">
        <v>46104.17847222222</v>
      </c>
      <c r="D6747" s="22" t="s">
        <v>33</v>
      </c>
      <c r="E6747" s="22" t="s">
        <v>69</v>
      </c>
      <c r="F6747" s="22" t="s">
        <v>34</v>
      </c>
      <c r="G6747" s="22" t="s">
        <v>110</v>
      </c>
      <c r="H6747" s="22" t="s">
        <v>63</v>
      </c>
      <c r="I6747" s="22" t="s">
        <v>108</v>
      </c>
      <c r="J6747" s="23">
        <v>120</v>
      </c>
      <c r="K6747" s="37">
        <v>0</v>
      </c>
      <c r="L6747" s="37">
        <v>3</v>
      </c>
      <c r="M6747" s="22">
        <f>IF(OR(ISBLANK(C6747),C6747=""),"",ROUND((C6747-B6747)*24,2))</f>
        <v>46.57</v>
      </c>
      <c r="N6747" s="40" t="str">
        <f>IF(OR(ISBLANK(C6747),C6747="",M6747=""),"In Progress",IF(M6747&lt;=J6747,"Met","Breached"))</f>
        <v>Met</v>
      </c>
    </row>
    <row r="6748" ht="19" customHeight="1" spans="1:14" x14ac:dyDescent="0.25">
      <c r="A6748" s="19" t="s">
        <v>6862</v>
      </c>
      <c r="B6748" s="33">
        <v>45918.38611111111</v>
      </c>
      <c r="C6748" s="33">
        <v>45920.035416666666</v>
      </c>
      <c r="D6748" s="19" t="s">
        <v>36</v>
      </c>
      <c r="E6748" s="19" t="s">
        <v>65</v>
      </c>
      <c r="F6748" s="19" t="s">
        <v>37</v>
      </c>
      <c r="G6748" s="19" t="s">
        <v>121</v>
      </c>
      <c r="H6748" s="19" t="s">
        <v>63</v>
      </c>
      <c r="I6748" s="19" t="s">
        <v>111</v>
      </c>
      <c r="J6748" s="20">
        <v>48</v>
      </c>
      <c r="K6748" s="34">
        <v>0</v>
      </c>
      <c r="L6748" s="34">
        <v>4</v>
      </c>
      <c r="M6748" s="19">
        <f>IF(OR(ISBLANK(C6748),C6748=""),"",ROUND((C6748-B6748)*24,2))</f>
        <v>39.58</v>
      </c>
      <c r="N6748" s="35" t="str">
        <f>IF(OR(ISBLANK(C6748),C6748="",M6748=""),"In Progress",IF(M6748&lt;=J6748,"Met","Breached"))</f>
        <v>Met</v>
      </c>
    </row>
    <row r="6749" ht="19" customHeight="1" spans="1:14" x14ac:dyDescent="0.25">
      <c r="A6749" s="22" t="s">
        <v>6863</v>
      </c>
      <c r="B6749" s="36">
        <v>45771.209027777775</v>
      </c>
      <c r="D6749" s="22" t="s">
        <v>39</v>
      </c>
      <c r="E6749" s="22" t="s">
        <v>69</v>
      </c>
      <c r="F6749" s="22" t="s">
        <v>40</v>
      </c>
      <c r="G6749" s="22" t="s">
        <v>121</v>
      </c>
      <c r="H6749" s="22" t="s">
        <v>59</v>
      </c>
      <c r="I6749" s="22" t="s">
        <v>108</v>
      </c>
      <c r="J6749" s="23">
        <v>120</v>
      </c>
      <c r="K6749" s="37">
        <v>0</v>
      </c>
      <c r="M6749" s="22" t="str">
        <f>IF(OR(ISBLANK(C6749),C6749=""),"",ROUND((C6749-B6749)*24,2))</f>
        <v/>
      </c>
      <c r="N6749" s="22" t="str">
        <f>IF(OR(ISBLANK(C6749),C6749="",M6749=""),"In Progress",IF(M6749&lt;=J6749,"Met","Breached"))</f>
        <v>In Progress</v>
      </c>
    </row>
    <row r="6750" ht="19" customHeight="1" spans="1:14" x14ac:dyDescent="0.25">
      <c r="A6750" s="19" t="s">
        <v>6864</v>
      </c>
      <c r="B6750" s="33">
        <v>46129.51597222222</v>
      </c>
      <c r="C6750" s="33">
        <v>46131.29722222222</v>
      </c>
      <c r="D6750" s="19" t="s">
        <v>36</v>
      </c>
      <c r="E6750" s="19" t="s">
        <v>65</v>
      </c>
      <c r="F6750" s="19" t="s">
        <v>37</v>
      </c>
      <c r="G6750" s="19" t="s">
        <v>110</v>
      </c>
      <c r="H6750" s="19" t="s">
        <v>59</v>
      </c>
      <c r="I6750" s="19" t="s">
        <v>117</v>
      </c>
      <c r="J6750" s="20">
        <v>48</v>
      </c>
      <c r="K6750" s="34">
        <v>0</v>
      </c>
      <c r="L6750" s="34">
        <v>4</v>
      </c>
      <c r="M6750" s="19">
        <f>IF(OR(ISBLANK(C6750),C6750=""),"",ROUND((C6750-B6750)*24,2))</f>
        <v>42.75</v>
      </c>
      <c r="N6750" s="35" t="str">
        <f>IF(OR(ISBLANK(C6750),C6750="",M6750=""),"In Progress",IF(M6750&lt;=J6750,"Met","Breached"))</f>
        <v>Met</v>
      </c>
    </row>
    <row r="6751" ht="19" customHeight="1" spans="1:14" x14ac:dyDescent="0.25">
      <c r="A6751" s="22" t="s">
        <v>6865</v>
      </c>
      <c r="B6751" s="36">
        <v>46055.15486111111</v>
      </c>
      <c r="C6751" s="36">
        <v>46056.433333333334</v>
      </c>
      <c r="D6751" s="22" t="s">
        <v>36</v>
      </c>
      <c r="E6751" s="22" t="s">
        <v>65</v>
      </c>
      <c r="F6751" s="22" t="s">
        <v>34</v>
      </c>
      <c r="G6751" s="22" t="s">
        <v>63</v>
      </c>
      <c r="H6751" s="22" t="s">
        <v>59</v>
      </c>
      <c r="I6751" s="22" t="s">
        <v>123</v>
      </c>
      <c r="J6751" s="23">
        <v>48</v>
      </c>
      <c r="K6751" s="37">
        <v>0</v>
      </c>
      <c r="L6751" s="37">
        <v>3</v>
      </c>
      <c r="M6751" s="22">
        <f>IF(OR(ISBLANK(C6751),C6751=""),"",ROUND((C6751-B6751)*24,2))</f>
        <v>30.68</v>
      </c>
      <c r="N6751" s="40" t="str">
        <f>IF(OR(ISBLANK(C6751),C6751="",M6751=""),"In Progress",IF(M6751&lt;=J6751,"Met","Breached"))</f>
        <v>Met</v>
      </c>
    </row>
    <row r="6752" ht="19" customHeight="1" spans="1:14" x14ac:dyDescent="0.25">
      <c r="A6752" s="19" t="s">
        <v>6866</v>
      </c>
      <c r="B6752" s="33">
        <v>45891.410416666666</v>
      </c>
      <c r="C6752" s="33">
        <v>45891.57847222222</v>
      </c>
      <c r="D6752" s="19" t="s">
        <v>36</v>
      </c>
      <c r="E6752" s="19" t="s">
        <v>61</v>
      </c>
      <c r="F6752" s="19" t="s">
        <v>34</v>
      </c>
      <c r="G6752" s="19" t="s">
        <v>121</v>
      </c>
      <c r="H6752" s="19" t="s">
        <v>59</v>
      </c>
      <c r="I6752" s="19" t="s">
        <v>117</v>
      </c>
      <c r="J6752" s="20">
        <v>12</v>
      </c>
      <c r="K6752" s="34">
        <v>0</v>
      </c>
      <c r="L6752" s="34">
        <v>1</v>
      </c>
      <c r="M6752" s="19">
        <f>IF(OR(ISBLANK(C6752),C6752=""),"",ROUND((C6752-B6752)*24,2))</f>
        <v>4.03</v>
      </c>
      <c r="N6752" s="35" t="str">
        <f>IF(OR(ISBLANK(C6752),C6752="",M6752=""),"In Progress",IF(M6752&lt;=J6752,"Met","Breached"))</f>
        <v>Met</v>
      </c>
    </row>
    <row r="6753" ht="19" customHeight="1" spans="1:14" x14ac:dyDescent="0.25">
      <c r="A6753" s="22" t="s">
        <v>6867</v>
      </c>
      <c r="B6753" s="36">
        <v>46156.81875</v>
      </c>
      <c r="C6753" s="36">
        <v>46159.21319444444</v>
      </c>
      <c r="D6753" s="22" t="s">
        <v>33</v>
      </c>
      <c r="E6753" s="22" t="s">
        <v>65</v>
      </c>
      <c r="F6753" s="22" t="s">
        <v>37</v>
      </c>
      <c r="G6753" s="22" t="s">
        <v>110</v>
      </c>
      <c r="H6753" s="22" t="s">
        <v>59</v>
      </c>
      <c r="I6753" s="22" t="s">
        <v>147</v>
      </c>
      <c r="J6753" s="23">
        <v>48</v>
      </c>
      <c r="K6753" s="37">
        <v>0</v>
      </c>
      <c r="L6753" s="37">
        <v>1</v>
      </c>
      <c r="M6753" s="22">
        <f>IF(OR(ISBLANK(C6753),C6753=""),"",ROUND((C6753-B6753)*24,2))</f>
        <v>57.47</v>
      </c>
      <c r="N6753" s="38" t="str">
        <f>IF(OR(ISBLANK(C6753),C6753="",M6753=""),"In Progress",IF(M6753&lt;=J6753,"Met","Breached"))</f>
        <v>Breached</v>
      </c>
    </row>
    <row r="6754" ht="19" customHeight="1" spans="1:14" x14ac:dyDescent="0.25">
      <c r="A6754" s="19" t="s">
        <v>6868</v>
      </c>
      <c r="B6754" s="33">
        <v>46257.680555555555</v>
      </c>
      <c r="C6754" s="33">
        <v>46260.46666666667</v>
      </c>
      <c r="D6754" s="19" t="s">
        <v>36</v>
      </c>
      <c r="E6754" s="19" t="s">
        <v>65</v>
      </c>
      <c r="F6754" s="19" t="s">
        <v>45</v>
      </c>
      <c r="G6754" s="19" t="s">
        <v>63</v>
      </c>
      <c r="H6754" s="19" t="s">
        <v>59</v>
      </c>
      <c r="I6754" s="19" t="s">
        <v>117</v>
      </c>
      <c r="J6754" s="20">
        <v>48</v>
      </c>
      <c r="K6754" s="34">
        <v>0</v>
      </c>
      <c r="M6754" s="19">
        <f>IF(OR(ISBLANK(C6754),C6754=""),"",ROUND((C6754-B6754)*24,2))</f>
        <v>66.87</v>
      </c>
      <c r="N6754" s="39" t="str">
        <f>IF(OR(ISBLANK(C6754),C6754="",M6754=""),"In Progress",IF(M6754&lt;=J6754,"Met","Breached"))</f>
        <v>Breached</v>
      </c>
    </row>
    <row r="6755" ht="19" customHeight="1" spans="1:14" x14ac:dyDescent="0.25">
      <c r="A6755" s="22" t="s">
        <v>6869</v>
      </c>
      <c r="B6755" s="36">
        <v>45859.384722222225</v>
      </c>
      <c r="D6755" s="22" t="s">
        <v>42</v>
      </c>
      <c r="E6755" s="22" t="s">
        <v>61</v>
      </c>
      <c r="F6755" s="22" t="s">
        <v>40</v>
      </c>
      <c r="G6755" s="22" t="s">
        <v>126</v>
      </c>
      <c r="H6755" s="22" t="s">
        <v>59</v>
      </c>
      <c r="I6755" s="22" t="s">
        <v>111</v>
      </c>
      <c r="J6755" s="23">
        <v>12</v>
      </c>
      <c r="K6755" s="37">
        <v>0</v>
      </c>
      <c r="M6755" s="22" t="str">
        <f>IF(OR(ISBLANK(C6755),C6755=""),"",ROUND((C6755-B6755)*24,2))</f>
        <v/>
      </c>
      <c r="N6755" s="22" t="str">
        <f>IF(OR(ISBLANK(C6755),C6755="",M6755=""),"In Progress",IF(M6755&lt;=J6755,"Met","Breached"))</f>
        <v>In Progress</v>
      </c>
    </row>
    <row r="6756" ht="19" customHeight="1" spans="1:14" x14ac:dyDescent="0.25">
      <c r="A6756" s="19" t="s">
        <v>6870</v>
      </c>
      <c r="B6756" s="33">
        <v>45948.36875</v>
      </c>
      <c r="C6756" s="33">
        <v>45949.004166666666</v>
      </c>
      <c r="D6756" s="19" t="s">
        <v>33</v>
      </c>
      <c r="E6756" s="19" t="s">
        <v>61</v>
      </c>
      <c r="F6756" s="19" t="s">
        <v>45</v>
      </c>
      <c r="G6756" s="19" t="s">
        <v>63</v>
      </c>
      <c r="H6756" s="19" t="s">
        <v>59</v>
      </c>
      <c r="I6756" s="19" t="s">
        <v>111</v>
      </c>
      <c r="J6756" s="20">
        <v>12</v>
      </c>
      <c r="K6756" s="34">
        <v>0</v>
      </c>
      <c r="L6756" s="34">
        <v>5</v>
      </c>
      <c r="M6756" s="19">
        <f>IF(OR(ISBLANK(C6756),C6756=""),"",ROUND((C6756-B6756)*24,2))</f>
        <v>15.25</v>
      </c>
      <c r="N6756" s="39" t="str">
        <f>IF(OR(ISBLANK(C6756),C6756="",M6756=""),"In Progress",IF(M6756&lt;=J6756,"Met","Breached"))</f>
        <v>Breached</v>
      </c>
    </row>
    <row r="6757" ht="19" customHeight="1" spans="1:14" x14ac:dyDescent="0.25">
      <c r="A6757" s="22" t="s">
        <v>6871</v>
      </c>
      <c r="B6757" s="36">
        <v>45684.11875</v>
      </c>
      <c r="C6757" s="36">
        <v>45686.97708333333</v>
      </c>
      <c r="D6757" s="22" t="s">
        <v>33</v>
      </c>
      <c r="E6757" s="22" t="s">
        <v>65</v>
      </c>
      <c r="F6757" s="22" t="s">
        <v>45</v>
      </c>
      <c r="G6757" s="22" t="s">
        <v>110</v>
      </c>
      <c r="H6757" s="22" t="s">
        <v>71</v>
      </c>
      <c r="I6757" s="22" t="s">
        <v>114</v>
      </c>
      <c r="J6757" s="23">
        <v>48</v>
      </c>
      <c r="K6757" s="37">
        <v>0</v>
      </c>
      <c r="L6757" s="37">
        <v>2</v>
      </c>
      <c r="M6757" s="22">
        <f>IF(OR(ISBLANK(C6757),C6757=""),"",ROUND((C6757-B6757)*24,2))</f>
        <v>68.6</v>
      </c>
      <c r="N6757" s="38" t="str">
        <f>IF(OR(ISBLANK(C6757),C6757="",M6757=""),"In Progress",IF(M6757&lt;=J6757,"Met","Breached"))</f>
        <v>Breached</v>
      </c>
    </row>
    <row r="6758" ht="19" customHeight="1" spans="1:14" x14ac:dyDescent="0.25">
      <c r="A6758" s="19" t="s">
        <v>6872</v>
      </c>
      <c r="B6758" s="33">
        <v>45710.486805555556</v>
      </c>
      <c r="D6758" s="19" t="s">
        <v>39</v>
      </c>
      <c r="E6758" s="19" t="s">
        <v>65</v>
      </c>
      <c r="F6758" s="19" t="s">
        <v>37</v>
      </c>
      <c r="G6758" s="19" t="s">
        <v>63</v>
      </c>
      <c r="H6758" s="19" t="s">
        <v>71</v>
      </c>
      <c r="I6758" s="19" t="s">
        <v>117</v>
      </c>
      <c r="J6758" s="20">
        <v>48</v>
      </c>
      <c r="K6758" s="34">
        <v>0</v>
      </c>
      <c r="M6758" s="19" t="str">
        <f>IF(OR(ISBLANK(C6758),C6758=""),"",ROUND((C6758-B6758)*24,2))</f>
        <v/>
      </c>
      <c r="N6758" s="19" t="str">
        <f>IF(OR(ISBLANK(C6758),C6758="",M6758=""),"In Progress",IF(M6758&lt;=J6758,"Met","Breached"))</f>
        <v>In Progress</v>
      </c>
    </row>
    <row r="6759" ht="19" customHeight="1" spans="1:14" x14ac:dyDescent="0.25">
      <c r="A6759" s="22" t="s">
        <v>6873</v>
      </c>
      <c r="B6759" s="36">
        <v>45855.77777777778</v>
      </c>
      <c r="D6759" s="22" t="s">
        <v>39</v>
      </c>
      <c r="E6759" s="22" t="s">
        <v>61</v>
      </c>
      <c r="F6759" s="22" t="s">
        <v>40</v>
      </c>
      <c r="G6759" s="22" t="s">
        <v>63</v>
      </c>
      <c r="H6759" s="22" t="s">
        <v>63</v>
      </c>
      <c r="I6759" s="22" t="s">
        <v>117</v>
      </c>
      <c r="J6759" s="23">
        <v>12</v>
      </c>
      <c r="K6759" s="37">
        <v>0</v>
      </c>
      <c r="M6759" s="22" t="str">
        <f>IF(OR(ISBLANK(C6759),C6759=""),"",ROUND((C6759-B6759)*24,2))</f>
        <v/>
      </c>
      <c r="N6759" s="22" t="str">
        <f>IF(OR(ISBLANK(C6759),C6759="",M6759=""),"In Progress",IF(M6759&lt;=J6759,"Met","Breached"))</f>
        <v>In Progress</v>
      </c>
    </row>
    <row r="6760" ht="19" customHeight="1" spans="1:14" x14ac:dyDescent="0.25">
      <c r="A6760" s="19" t="s">
        <v>6874</v>
      </c>
      <c r="B6760" s="33">
        <v>46247.0875</v>
      </c>
      <c r="C6760" s="33">
        <v>46247.70277777778</v>
      </c>
      <c r="D6760" s="19" t="s">
        <v>33</v>
      </c>
      <c r="E6760" s="19" t="s">
        <v>61</v>
      </c>
      <c r="F6760" s="19" t="s">
        <v>43</v>
      </c>
      <c r="G6760" s="19" t="s">
        <v>63</v>
      </c>
      <c r="H6760" s="19" t="s">
        <v>63</v>
      </c>
      <c r="I6760" s="19" t="s">
        <v>114</v>
      </c>
      <c r="J6760" s="20">
        <v>12</v>
      </c>
      <c r="K6760" s="34">
        <v>0</v>
      </c>
      <c r="L6760" s="34">
        <v>5</v>
      </c>
      <c r="M6760" s="19">
        <f>IF(OR(ISBLANK(C6760),C6760=""),"",ROUND((C6760-B6760)*24,2))</f>
        <v>14.77</v>
      </c>
      <c r="N6760" s="39" t="str">
        <f>IF(OR(ISBLANK(C6760),C6760="",M6760=""),"In Progress",IF(M6760&lt;=J6760,"Met","Breached"))</f>
        <v>Breached</v>
      </c>
    </row>
    <row r="6761" ht="19" customHeight="1" spans="1:14" x14ac:dyDescent="0.25">
      <c r="A6761" s="22" t="s">
        <v>6875</v>
      </c>
      <c r="B6761" s="36">
        <v>45772.18680555555</v>
      </c>
      <c r="C6761" s="36">
        <v>45772.83472222222</v>
      </c>
      <c r="D6761" s="22" t="s">
        <v>33</v>
      </c>
      <c r="E6761" s="22" t="s">
        <v>61</v>
      </c>
      <c r="F6761" s="22" t="s">
        <v>43</v>
      </c>
      <c r="G6761" s="22" t="s">
        <v>63</v>
      </c>
      <c r="H6761" s="22" t="s">
        <v>59</v>
      </c>
      <c r="I6761" s="22" t="s">
        <v>108</v>
      </c>
      <c r="J6761" s="23">
        <v>12</v>
      </c>
      <c r="K6761" s="37">
        <v>0</v>
      </c>
      <c r="M6761" s="22">
        <f>IF(OR(ISBLANK(C6761),C6761=""),"",ROUND((C6761-B6761)*24,2))</f>
        <v>15.55</v>
      </c>
      <c r="N6761" s="38" t="str">
        <f>IF(OR(ISBLANK(C6761),C6761="",M6761=""),"In Progress",IF(M6761&lt;=J6761,"Met","Breached"))</f>
        <v>Breached</v>
      </c>
    </row>
    <row r="6762" ht="19" customHeight="1" spans="1:14" x14ac:dyDescent="0.25">
      <c r="A6762" s="19" t="s">
        <v>6876</v>
      </c>
      <c r="B6762" s="33">
        <v>45932.211111111115</v>
      </c>
      <c r="C6762" s="33">
        <v>45934.097916666666</v>
      </c>
      <c r="D6762" s="19" t="s">
        <v>33</v>
      </c>
      <c r="E6762" s="19" t="s">
        <v>65</v>
      </c>
      <c r="F6762" s="19" t="s">
        <v>37</v>
      </c>
      <c r="G6762" s="19" t="s">
        <v>113</v>
      </c>
      <c r="H6762" s="19" t="s">
        <v>67</v>
      </c>
      <c r="I6762" s="19" t="s">
        <v>147</v>
      </c>
      <c r="J6762" s="20">
        <v>48</v>
      </c>
      <c r="K6762" s="34">
        <v>0</v>
      </c>
      <c r="M6762" s="19">
        <f>IF(OR(ISBLANK(C6762),C6762=""),"",ROUND((C6762-B6762)*24,2))</f>
        <v>45.28</v>
      </c>
      <c r="N6762" s="35" t="str">
        <f>IF(OR(ISBLANK(C6762),C6762="",M6762=""),"In Progress",IF(M6762&lt;=J6762,"Met","Breached"))</f>
        <v>Met</v>
      </c>
    </row>
    <row r="6763" ht="19" customHeight="1" spans="1:14" x14ac:dyDescent="0.25">
      <c r="A6763" s="22" t="s">
        <v>6877</v>
      </c>
      <c r="B6763" s="36">
        <v>45714.15763888889</v>
      </c>
      <c r="C6763" s="36">
        <v>45714.32083333333</v>
      </c>
      <c r="D6763" s="22" t="s">
        <v>36</v>
      </c>
      <c r="E6763" s="22" t="s">
        <v>57</v>
      </c>
      <c r="F6763" s="22" t="s">
        <v>37</v>
      </c>
      <c r="G6763" s="22" t="s">
        <v>113</v>
      </c>
      <c r="H6763" s="22" t="s">
        <v>59</v>
      </c>
      <c r="I6763" s="22" t="s">
        <v>123</v>
      </c>
      <c r="J6763" s="23">
        <v>4</v>
      </c>
      <c r="K6763" s="37">
        <v>0</v>
      </c>
      <c r="L6763" s="37">
        <v>5</v>
      </c>
      <c r="M6763" s="22">
        <f>IF(OR(ISBLANK(C6763),C6763=""),"",ROUND((C6763-B6763)*24,2))</f>
        <v>3.92</v>
      </c>
      <c r="N6763" s="40" t="str">
        <f>IF(OR(ISBLANK(C6763),C6763="",M6763=""),"In Progress",IF(M6763&lt;=J6763,"Met","Breached"))</f>
        <v>Met</v>
      </c>
    </row>
    <row r="6764" ht="19" customHeight="1" spans="1:14" x14ac:dyDescent="0.25">
      <c r="A6764" s="19" t="s">
        <v>6878</v>
      </c>
      <c r="B6764" s="33">
        <v>45941.084027777775</v>
      </c>
      <c r="C6764" s="33">
        <v>45941.138194444444</v>
      </c>
      <c r="D6764" s="19" t="s">
        <v>36</v>
      </c>
      <c r="E6764" s="19" t="s">
        <v>57</v>
      </c>
      <c r="F6764" s="19" t="s">
        <v>40</v>
      </c>
      <c r="G6764" s="19" t="s">
        <v>110</v>
      </c>
      <c r="H6764" s="19" t="s">
        <v>59</v>
      </c>
      <c r="I6764" s="19" t="s">
        <v>114</v>
      </c>
      <c r="J6764" s="20">
        <v>4</v>
      </c>
      <c r="K6764" s="34">
        <v>0</v>
      </c>
      <c r="M6764" s="19">
        <f>IF(OR(ISBLANK(C6764),C6764=""),"",ROUND((C6764-B6764)*24,2))</f>
        <v>1.3</v>
      </c>
      <c r="N6764" s="35" t="str">
        <f>IF(OR(ISBLANK(C6764),C6764="",M6764=""),"In Progress",IF(M6764&lt;=J6764,"Met","Breached"))</f>
        <v>Met</v>
      </c>
    </row>
    <row r="6765" ht="19" customHeight="1" spans="1:14" x14ac:dyDescent="0.25">
      <c r="A6765" s="22" t="s">
        <v>6879</v>
      </c>
      <c r="B6765" s="36">
        <v>46177.930555555555</v>
      </c>
      <c r="D6765" s="22" t="s">
        <v>39</v>
      </c>
      <c r="E6765" s="22" t="s">
        <v>65</v>
      </c>
      <c r="F6765" s="22" t="s">
        <v>37</v>
      </c>
      <c r="G6765" s="22" t="s">
        <v>121</v>
      </c>
      <c r="H6765" s="22" t="s">
        <v>59</v>
      </c>
      <c r="I6765" s="22" t="s">
        <v>114</v>
      </c>
      <c r="J6765" s="23">
        <v>48</v>
      </c>
      <c r="K6765" s="37">
        <v>0</v>
      </c>
      <c r="M6765" s="22" t="str">
        <f>IF(OR(ISBLANK(C6765),C6765=""),"",ROUND((C6765-B6765)*24,2))</f>
        <v/>
      </c>
      <c r="N6765" s="22" t="str">
        <f>IF(OR(ISBLANK(C6765),C6765="",M6765=""),"In Progress",IF(M6765&lt;=J6765,"Met","Breached"))</f>
        <v>In Progress</v>
      </c>
    </row>
    <row r="6766" ht="19" customHeight="1" spans="1:14" x14ac:dyDescent="0.25">
      <c r="A6766" s="19" t="s">
        <v>6880</v>
      </c>
      <c r="B6766" s="33">
        <v>45852.745833333334</v>
      </c>
      <c r="D6766" s="19" t="s">
        <v>39</v>
      </c>
      <c r="E6766" s="19" t="s">
        <v>65</v>
      </c>
      <c r="F6766" s="19" t="s">
        <v>45</v>
      </c>
      <c r="G6766" s="19" t="s">
        <v>121</v>
      </c>
      <c r="H6766" s="19" t="s">
        <v>59</v>
      </c>
      <c r="I6766" s="19" t="s">
        <v>111</v>
      </c>
      <c r="J6766" s="20">
        <v>48</v>
      </c>
      <c r="K6766" s="34">
        <v>0</v>
      </c>
      <c r="M6766" s="19" t="str">
        <f>IF(OR(ISBLANK(C6766),C6766=""),"",ROUND((C6766-B6766)*24,2))</f>
        <v/>
      </c>
      <c r="N6766" s="19" t="str">
        <f>IF(OR(ISBLANK(C6766),C6766="",M6766=""),"In Progress",IF(M6766&lt;=J6766,"Met","Breached"))</f>
        <v>In Progress</v>
      </c>
    </row>
    <row r="6767" ht="19" customHeight="1" spans="1:14" x14ac:dyDescent="0.25">
      <c r="A6767" s="22" t="s">
        <v>6881</v>
      </c>
      <c r="B6767" s="36">
        <v>45867.87708333333</v>
      </c>
      <c r="D6767" s="22" t="s">
        <v>39</v>
      </c>
      <c r="E6767" s="22" t="s">
        <v>61</v>
      </c>
      <c r="F6767" s="22" t="s">
        <v>34</v>
      </c>
      <c r="G6767" s="22" t="s">
        <v>63</v>
      </c>
      <c r="H6767" s="22" t="s">
        <v>63</v>
      </c>
      <c r="I6767" s="22" t="s">
        <v>117</v>
      </c>
      <c r="J6767" s="23">
        <v>12</v>
      </c>
      <c r="K6767" s="37">
        <v>0</v>
      </c>
      <c r="M6767" s="22" t="str">
        <f>IF(OR(ISBLANK(C6767),C6767=""),"",ROUND((C6767-B6767)*24,2))</f>
        <v/>
      </c>
      <c r="N6767" s="22" t="str">
        <f>IF(OR(ISBLANK(C6767),C6767="",M6767=""),"In Progress",IF(M6767&lt;=J6767,"Met","Breached"))</f>
        <v>In Progress</v>
      </c>
    </row>
    <row r="6768" ht="19" customHeight="1" spans="1:14" x14ac:dyDescent="0.25">
      <c r="A6768" s="19" t="s">
        <v>6882</v>
      </c>
      <c r="B6768" s="33">
        <v>45673.51041666667</v>
      </c>
      <c r="C6768" s="33">
        <v>45674.23055555555</v>
      </c>
      <c r="D6768" s="19" t="s">
        <v>36</v>
      </c>
      <c r="E6768" s="19" t="s">
        <v>61</v>
      </c>
      <c r="F6768" s="19" t="s">
        <v>45</v>
      </c>
      <c r="G6768" s="19" t="s">
        <v>113</v>
      </c>
      <c r="H6768" s="19" t="s">
        <v>59</v>
      </c>
      <c r="I6768" s="19" t="s">
        <v>147</v>
      </c>
      <c r="J6768" s="20">
        <v>12</v>
      </c>
      <c r="K6768" s="34">
        <v>0</v>
      </c>
      <c r="L6768" s="34">
        <v>2</v>
      </c>
      <c r="M6768" s="19">
        <f>IF(OR(ISBLANK(C6768),C6768=""),"",ROUND((C6768-B6768)*24,2))</f>
        <v>17.28</v>
      </c>
      <c r="N6768" s="39" t="str">
        <f>IF(OR(ISBLANK(C6768),C6768="",M6768=""),"In Progress",IF(M6768&lt;=J6768,"Met","Breached"))</f>
        <v>Breached</v>
      </c>
    </row>
    <row r="6769" ht="19" customHeight="1" spans="1:14" x14ac:dyDescent="0.25">
      <c r="A6769" s="22" t="s">
        <v>6883</v>
      </c>
      <c r="B6769" s="36">
        <v>46193.01944444445</v>
      </c>
      <c r="C6769" s="36">
        <v>46196.44930555555</v>
      </c>
      <c r="D6769" s="22" t="s">
        <v>33</v>
      </c>
      <c r="E6769" s="22" t="s">
        <v>69</v>
      </c>
      <c r="F6769" s="22" t="s">
        <v>45</v>
      </c>
      <c r="G6769" s="22" t="s">
        <v>121</v>
      </c>
      <c r="H6769" s="22" t="s">
        <v>59</v>
      </c>
      <c r="I6769" s="22" t="s">
        <v>147</v>
      </c>
      <c r="J6769" s="23">
        <v>120</v>
      </c>
      <c r="K6769" s="37">
        <v>0</v>
      </c>
      <c r="M6769" s="22">
        <f>IF(OR(ISBLANK(C6769),C6769=""),"",ROUND((C6769-B6769)*24,2))</f>
        <v>82.32</v>
      </c>
      <c r="N6769" s="40" t="str">
        <f>IF(OR(ISBLANK(C6769),C6769="",M6769=""),"In Progress",IF(M6769&lt;=J6769,"Met","Breached"))</f>
        <v>Met</v>
      </c>
    </row>
    <row r="6770" ht="19" customHeight="1" spans="1:14" x14ac:dyDescent="0.25">
      <c r="A6770" s="19" t="s">
        <v>6884</v>
      </c>
      <c r="B6770" s="33">
        <v>46100.325</v>
      </c>
      <c r="D6770" s="19" t="s">
        <v>39</v>
      </c>
      <c r="E6770" s="19" t="s">
        <v>61</v>
      </c>
      <c r="F6770" s="19" t="s">
        <v>37</v>
      </c>
      <c r="G6770" s="19" t="s">
        <v>63</v>
      </c>
      <c r="H6770" s="19" t="s">
        <v>63</v>
      </c>
      <c r="I6770" s="19" t="s">
        <v>108</v>
      </c>
      <c r="J6770" s="20">
        <v>12</v>
      </c>
      <c r="K6770" s="34">
        <v>0</v>
      </c>
      <c r="M6770" s="19" t="str">
        <f>IF(OR(ISBLANK(C6770),C6770=""),"",ROUND((C6770-B6770)*24,2))</f>
        <v/>
      </c>
      <c r="N6770" s="19" t="str">
        <f>IF(OR(ISBLANK(C6770),C6770="",M6770=""),"In Progress",IF(M6770&lt;=J6770,"Met","Breached"))</f>
        <v>In Progress</v>
      </c>
    </row>
    <row r="6771" ht="19" customHeight="1" spans="1:14" x14ac:dyDescent="0.25">
      <c r="A6771" s="22" t="s">
        <v>6885</v>
      </c>
      <c r="B6771" s="36">
        <v>46219.38055555556</v>
      </c>
      <c r="D6771" s="22" t="s">
        <v>39</v>
      </c>
      <c r="E6771" s="22" t="s">
        <v>65</v>
      </c>
      <c r="F6771" s="22" t="s">
        <v>43</v>
      </c>
      <c r="G6771" s="22" t="s">
        <v>126</v>
      </c>
      <c r="H6771" s="22" t="s">
        <v>59</v>
      </c>
      <c r="I6771" s="22" t="s">
        <v>108</v>
      </c>
      <c r="J6771" s="23">
        <v>48</v>
      </c>
      <c r="K6771" s="37">
        <v>0</v>
      </c>
      <c r="M6771" s="22" t="str">
        <f>IF(OR(ISBLANK(C6771),C6771=""),"",ROUND((C6771-B6771)*24,2))</f>
        <v/>
      </c>
      <c r="N6771" s="22" t="str">
        <f>IF(OR(ISBLANK(C6771),C6771="",M6771=""),"In Progress",IF(M6771&lt;=J6771,"Met","Breached"))</f>
        <v>In Progress</v>
      </c>
    </row>
    <row r="6772" ht="19" customHeight="1" spans="1:14" x14ac:dyDescent="0.25">
      <c r="A6772" s="19" t="s">
        <v>6886</v>
      </c>
      <c r="B6772" s="33">
        <v>46194.63541666667</v>
      </c>
      <c r="C6772" s="33">
        <v>46196.25347222222</v>
      </c>
      <c r="D6772" s="19" t="s">
        <v>36</v>
      </c>
      <c r="E6772" s="19" t="s">
        <v>65</v>
      </c>
      <c r="F6772" s="19" t="s">
        <v>43</v>
      </c>
      <c r="G6772" s="19" t="s">
        <v>116</v>
      </c>
      <c r="H6772" s="19" t="s">
        <v>59</v>
      </c>
      <c r="I6772" s="19" t="s">
        <v>114</v>
      </c>
      <c r="J6772" s="20">
        <v>48</v>
      </c>
      <c r="K6772" s="34">
        <v>0</v>
      </c>
      <c r="L6772" s="34">
        <v>3</v>
      </c>
      <c r="M6772" s="19">
        <f>IF(OR(ISBLANK(C6772),C6772=""),"",ROUND((C6772-B6772)*24,2))</f>
        <v>38.83</v>
      </c>
      <c r="N6772" s="35" t="str">
        <f>IF(OR(ISBLANK(C6772),C6772="",M6772=""),"In Progress",IF(M6772&lt;=J6772,"Met","Breached"))</f>
        <v>Met</v>
      </c>
    </row>
    <row r="6773" ht="19" customHeight="1" spans="1:14" x14ac:dyDescent="0.25">
      <c r="A6773" s="22" t="s">
        <v>6887</v>
      </c>
      <c r="B6773" s="36">
        <v>46282.273611111115</v>
      </c>
      <c r="D6773" s="22" t="s">
        <v>42</v>
      </c>
      <c r="E6773" s="22" t="s">
        <v>69</v>
      </c>
      <c r="F6773" s="22" t="s">
        <v>45</v>
      </c>
      <c r="G6773" s="22" t="s">
        <v>121</v>
      </c>
      <c r="H6773" s="22" t="s">
        <v>59</v>
      </c>
      <c r="I6773" s="22" t="s">
        <v>147</v>
      </c>
      <c r="J6773" s="23">
        <v>120</v>
      </c>
      <c r="K6773" s="37">
        <v>0</v>
      </c>
      <c r="M6773" s="22" t="str">
        <f>IF(OR(ISBLANK(C6773),C6773=""),"",ROUND((C6773-B6773)*24,2))</f>
        <v/>
      </c>
      <c r="N6773" s="22" t="str">
        <f>IF(OR(ISBLANK(C6773),C6773="",M6773=""),"In Progress",IF(M6773&lt;=J6773,"Met","Breached"))</f>
        <v>In Progress</v>
      </c>
    </row>
    <row r="6774" ht="19" customHeight="1" spans="1:14" x14ac:dyDescent="0.25">
      <c r="A6774" s="19" t="s">
        <v>6888</v>
      </c>
      <c r="B6774" s="33">
        <v>46164.36666666667</v>
      </c>
      <c r="C6774" s="33">
        <v>46167.677777777775</v>
      </c>
      <c r="D6774" s="19" t="s">
        <v>33</v>
      </c>
      <c r="E6774" s="19" t="s">
        <v>65</v>
      </c>
      <c r="F6774" s="19" t="s">
        <v>43</v>
      </c>
      <c r="G6774" s="19" t="s">
        <v>110</v>
      </c>
      <c r="H6774" s="19" t="s">
        <v>67</v>
      </c>
      <c r="I6774" s="19" t="s">
        <v>114</v>
      </c>
      <c r="J6774" s="20">
        <v>48</v>
      </c>
      <c r="K6774" s="34">
        <v>0</v>
      </c>
      <c r="L6774" s="34">
        <v>5</v>
      </c>
      <c r="M6774" s="19">
        <f>IF(OR(ISBLANK(C6774),C6774=""),"",ROUND((C6774-B6774)*24,2))</f>
        <v>79.47</v>
      </c>
      <c r="N6774" s="39" t="str">
        <f>IF(OR(ISBLANK(C6774),C6774="",M6774=""),"In Progress",IF(M6774&lt;=J6774,"Met","Breached"))</f>
        <v>Breached</v>
      </c>
    </row>
    <row r="6775" ht="19" customHeight="1" spans="1:14" x14ac:dyDescent="0.25">
      <c r="A6775" s="22" t="s">
        <v>6889</v>
      </c>
      <c r="B6775" s="36">
        <v>46188.441666666666</v>
      </c>
      <c r="C6775" s="36">
        <v>46189.3375</v>
      </c>
      <c r="D6775" s="22" t="s">
        <v>36</v>
      </c>
      <c r="E6775" s="22" t="s">
        <v>61</v>
      </c>
      <c r="F6775" s="22" t="s">
        <v>34</v>
      </c>
      <c r="G6775" s="22" t="s">
        <v>126</v>
      </c>
      <c r="H6775" s="22" t="s">
        <v>59</v>
      </c>
      <c r="I6775" s="22" t="s">
        <v>114</v>
      </c>
      <c r="J6775" s="23">
        <v>12</v>
      </c>
      <c r="K6775" s="37">
        <v>0</v>
      </c>
      <c r="M6775" s="22">
        <f>IF(OR(ISBLANK(C6775),C6775=""),"",ROUND((C6775-B6775)*24,2))</f>
        <v>21.5</v>
      </c>
      <c r="N6775" s="38" t="str">
        <f>IF(OR(ISBLANK(C6775),C6775="",M6775=""),"In Progress",IF(M6775&lt;=J6775,"Met","Breached"))</f>
        <v>Breached</v>
      </c>
    </row>
    <row r="6776" ht="19" customHeight="1" spans="1:14" x14ac:dyDescent="0.25">
      <c r="A6776" s="19" t="s">
        <v>6890</v>
      </c>
      <c r="B6776" s="33">
        <v>45680.14097222222</v>
      </c>
      <c r="C6776" s="33">
        <v>45683.275</v>
      </c>
      <c r="D6776" s="19" t="s">
        <v>36</v>
      </c>
      <c r="E6776" s="19" t="s">
        <v>65</v>
      </c>
      <c r="F6776" s="19" t="s">
        <v>45</v>
      </c>
      <c r="G6776" s="19" t="s">
        <v>63</v>
      </c>
      <c r="H6776" s="19" t="s">
        <v>67</v>
      </c>
      <c r="I6776" s="19" t="s">
        <v>117</v>
      </c>
      <c r="J6776" s="20">
        <v>48</v>
      </c>
      <c r="K6776" s="34">
        <v>0</v>
      </c>
      <c r="M6776" s="19">
        <f>IF(OR(ISBLANK(C6776),C6776=""),"",ROUND((C6776-B6776)*24,2))</f>
        <v>75.22</v>
      </c>
      <c r="N6776" s="39" t="str">
        <f>IF(OR(ISBLANK(C6776),C6776="",M6776=""),"In Progress",IF(M6776&lt;=J6776,"Met","Breached"))</f>
        <v>Breached</v>
      </c>
    </row>
    <row r="6777" ht="19" customHeight="1" spans="1:14" x14ac:dyDescent="0.25">
      <c r="A6777" s="22" t="s">
        <v>6891</v>
      </c>
      <c r="B6777" s="36">
        <v>45957.77916666667</v>
      </c>
      <c r="C6777" s="36">
        <v>45960.75347222222</v>
      </c>
      <c r="D6777" s="22" t="s">
        <v>33</v>
      </c>
      <c r="E6777" s="22" t="s">
        <v>65</v>
      </c>
      <c r="F6777" s="22" t="s">
        <v>40</v>
      </c>
      <c r="G6777" s="22" t="s">
        <v>113</v>
      </c>
      <c r="H6777" s="22" t="s">
        <v>67</v>
      </c>
      <c r="I6777" s="22" t="s">
        <v>123</v>
      </c>
      <c r="J6777" s="23">
        <v>48</v>
      </c>
      <c r="K6777" s="37">
        <v>0</v>
      </c>
      <c r="M6777" s="22">
        <f>IF(OR(ISBLANK(C6777),C6777=""),"",ROUND((C6777-B6777)*24,2))</f>
        <v>71.38</v>
      </c>
      <c r="N6777" s="38" t="str">
        <f>IF(OR(ISBLANK(C6777),C6777="",M6777=""),"In Progress",IF(M6777&lt;=J6777,"Met","Breached"))</f>
        <v>Breached</v>
      </c>
    </row>
    <row r="6778" ht="19" customHeight="1" spans="1:14" x14ac:dyDescent="0.25">
      <c r="A6778" s="19" t="s">
        <v>6892</v>
      </c>
      <c r="B6778" s="33">
        <v>46111.40763888889</v>
      </c>
      <c r="C6778" s="33">
        <v>46111.62638888889</v>
      </c>
      <c r="D6778" s="19" t="s">
        <v>33</v>
      </c>
      <c r="E6778" s="19" t="s">
        <v>57</v>
      </c>
      <c r="F6778" s="19" t="s">
        <v>45</v>
      </c>
      <c r="G6778" s="19" t="s">
        <v>121</v>
      </c>
      <c r="H6778" s="19" t="s">
        <v>59</v>
      </c>
      <c r="I6778" s="19" t="s">
        <v>108</v>
      </c>
      <c r="J6778" s="20">
        <v>4</v>
      </c>
      <c r="K6778" s="34">
        <v>0</v>
      </c>
      <c r="L6778" s="34">
        <v>2</v>
      </c>
      <c r="M6778" s="19">
        <f>IF(OR(ISBLANK(C6778),C6778=""),"",ROUND((C6778-B6778)*24,2))</f>
        <v>5.25</v>
      </c>
      <c r="N6778" s="39" t="str">
        <f>IF(OR(ISBLANK(C6778),C6778="",M6778=""),"In Progress",IF(M6778&lt;=J6778,"Met","Breached"))</f>
        <v>Breached</v>
      </c>
    </row>
    <row r="6779" ht="19" customHeight="1" spans="1:14" x14ac:dyDescent="0.25">
      <c r="A6779" s="22" t="s">
        <v>6893</v>
      </c>
      <c r="B6779" s="36">
        <v>45753.02638888889</v>
      </c>
      <c r="C6779" s="36">
        <v>45753.368055555555</v>
      </c>
      <c r="D6779" s="22" t="s">
        <v>33</v>
      </c>
      <c r="E6779" s="22" t="s">
        <v>61</v>
      </c>
      <c r="F6779" s="22" t="s">
        <v>34</v>
      </c>
      <c r="G6779" s="22" t="s">
        <v>113</v>
      </c>
      <c r="H6779" s="22" t="s">
        <v>67</v>
      </c>
      <c r="I6779" s="22" t="s">
        <v>114</v>
      </c>
      <c r="J6779" s="23">
        <v>12</v>
      </c>
      <c r="K6779" s="37">
        <v>0</v>
      </c>
      <c r="L6779" s="37">
        <v>5</v>
      </c>
      <c r="M6779" s="22">
        <f>IF(OR(ISBLANK(C6779),C6779=""),"",ROUND((C6779-B6779)*24,2))</f>
        <v>8.2</v>
      </c>
      <c r="N6779" s="40" t="str">
        <f>IF(OR(ISBLANK(C6779),C6779="",M6779=""),"In Progress",IF(M6779&lt;=J6779,"Met","Breached"))</f>
        <v>Met</v>
      </c>
    </row>
    <row r="6780" ht="19" customHeight="1" spans="1:14" x14ac:dyDescent="0.25">
      <c r="A6780" s="19" t="s">
        <v>6894</v>
      </c>
      <c r="B6780" s="33">
        <v>45992.63888888889</v>
      </c>
      <c r="C6780" s="33">
        <v>45992.80625</v>
      </c>
      <c r="D6780" s="19" t="s">
        <v>33</v>
      </c>
      <c r="E6780" s="19" t="s">
        <v>61</v>
      </c>
      <c r="F6780" s="19" t="s">
        <v>40</v>
      </c>
      <c r="G6780" s="19" t="s">
        <v>116</v>
      </c>
      <c r="H6780" s="19" t="s">
        <v>59</v>
      </c>
      <c r="I6780" s="19" t="s">
        <v>114</v>
      </c>
      <c r="J6780" s="20">
        <v>12</v>
      </c>
      <c r="K6780" s="34">
        <v>0</v>
      </c>
      <c r="L6780" s="34">
        <v>2</v>
      </c>
      <c r="M6780" s="19">
        <f>IF(OR(ISBLANK(C6780),C6780=""),"",ROUND((C6780-B6780)*24,2))</f>
        <v>4.02</v>
      </c>
      <c r="N6780" s="35" t="str">
        <f>IF(OR(ISBLANK(C6780),C6780="",M6780=""),"In Progress",IF(M6780&lt;=J6780,"Met","Breached"))</f>
        <v>Met</v>
      </c>
    </row>
    <row r="6781" ht="19" customHeight="1" spans="1:14" x14ac:dyDescent="0.25">
      <c r="A6781" s="22" t="s">
        <v>6895</v>
      </c>
      <c r="B6781" s="36">
        <v>46185.68402777778</v>
      </c>
      <c r="C6781" s="36">
        <v>46186.822222222225</v>
      </c>
      <c r="D6781" s="22" t="s">
        <v>33</v>
      </c>
      <c r="E6781" s="22" t="s">
        <v>65</v>
      </c>
      <c r="F6781" s="22" t="s">
        <v>40</v>
      </c>
      <c r="G6781" s="22" t="s">
        <v>63</v>
      </c>
      <c r="H6781" s="22" t="s">
        <v>63</v>
      </c>
      <c r="I6781" s="22" t="s">
        <v>114</v>
      </c>
      <c r="J6781" s="23">
        <v>48</v>
      </c>
      <c r="K6781" s="37">
        <v>1</v>
      </c>
      <c r="L6781" s="37">
        <v>3</v>
      </c>
      <c r="M6781" s="22">
        <f>IF(OR(ISBLANK(C6781),C6781=""),"",ROUND((C6781-B6781)*24,2))</f>
        <v>27.32</v>
      </c>
      <c r="N6781" s="40" t="str">
        <f>IF(OR(ISBLANK(C6781),C6781="",M6781=""),"In Progress",IF(M6781&lt;=J6781,"Met","Breached"))</f>
        <v>Met</v>
      </c>
    </row>
    <row r="6782" ht="19" customHeight="1" spans="1:14" x14ac:dyDescent="0.25">
      <c r="A6782" s="19" t="s">
        <v>6896</v>
      </c>
      <c r="B6782" s="33">
        <v>45847.64444444445</v>
      </c>
      <c r="D6782" s="19" t="s">
        <v>39</v>
      </c>
      <c r="E6782" s="19" t="s">
        <v>65</v>
      </c>
      <c r="F6782" s="19" t="s">
        <v>34</v>
      </c>
      <c r="G6782" s="19" t="s">
        <v>63</v>
      </c>
      <c r="H6782" s="19" t="s">
        <v>71</v>
      </c>
      <c r="I6782" s="19" t="s">
        <v>123</v>
      </c>
      <c r="J6782" s="20">
        <v>48</v>
      </c>
      <c r="K6782" s="34">
        <v>0</v>
      </c>
      <c r="M6782" s="19" t="str">
        <f>IF(OR(ISBLANK(C6782),C6782=""),"",ROUND((C6782-B6782)*24,2))</f>
        <v/>
      </c>
      <c r="N6782" s="19" t="str">
        <f>IF(OR(ISBLANK(C6782),C6782="",M6782=""),"In Progress",IF(M6782&lt;=J6782,"Met","Breached"))</f>
        <v>In Progress</v>
      </c>
    </row>
    <row r="6783" ht="19" customHeight="1" spans="1:14" x14ac:dyDescent="0.25">
      <c r="A6783" s="22" t="s">
        <v>6897</v>
      </c>
      <c r="B6783" s="36">
        <v>45700.14375</v>
      </c>
      <c r="D6783" s="22" t="s">
        <v>42</v>
      </c>
      <c r="E6783" s="22" t="s">
        <v>69</v>
      </c>
      <c r="F6783" s="22" t="s">
        <v>40</v>
      </c>
      <c r="G6783" s="22" t="s">
        <v>116</v>
      </c>
      <c r="H6783" s="22" t="s">
        <v>71</v>
      </c>
      <c r="I6783" s="22" t="s">
        <v>114</v>
      </c>
      <c r="J6783" s="23">
        <v>120</v>
      </c>
      <c r="K6783" s="37">
        <v>0</v>
      </c>
      <c r="M6783" s="22" t="str">
        <f>IF(OR(ISBLANK(C6783),C6783=""),"",ROUND((C6783-B6783)*24,2))</f>
        <v/>
      </c>
      <c r="N6783" s="22" t="str">
        <f>IF(OR(ISBLANK(C6783),C6783="",M6783=""),"In Progress",IF(M6783&lt;=J6783,"Met","Breached"))</f>
        <v>In Progress</v>
      </c>
    </row>
    <row r="6784" ht="19" customHeight="1" spans="1:14" x14ac:dyDescent="0.25">
      <c r="A6784" s="19" t="s">
        <v>6898</v>
      </c>
      <c r="B6784" s="33">
        <v>46085.69027777778</v>
      </c>
      <c r="C6784" s="33">
        <v>46088.52986111111</v>
      </c>
      <c r="D6784" s="19" t="s">
        <v>33</v>
      </c>
      <c r="E6784" s="19" t="s">
        <v>65</v>
      </c>
      <c r="F6784" s="19" t="s">
        <v>40</v>
      </c>
      <c r="G6784" s="19" t="s">
        <v>116</v>
      </c>
      <c r="H6784" s="19" t="s">
        <v>67</v>
      </c>
      <c r="I6784" s="19" t="s">
        <v>111</v>
      </c>
      <c r="J6784" s="20">
        <v>48</v>
      </c>
      <c r="K6784" s="34">
        <v>0</v>
      </c>
      <c r="M6784" s="19">
        <f>IF(OR(ISBLANK(C6784),C6784=""),"",ROUND((C6784-B6784)*24,2))</f>
        <v>68.15</v>
      </c>
      <c r="N6784" s="39" t="str">
        <f>IF(OR(ISBLANK(C6784),C6784="",M6784=""),"In Progress",IF(M6784&lt;=J6784,"Met","Breached"))</f>
        <v>Breached</v>
      </c>
    </row>
    <row r="6785" ht="19" customHeight="1" spans="1:14" x14ac:dyDescent="0.25">
      <c r="A6785" s="22" t="s">
        <v>6899</v>
      </c>
      <c r="B6785" s="36">
        <v>45725.25833333333</v>
      </c>
      <c r="D6785" s="22" t="s">
        <v>39</v>
      </c>
      <c r="E6785" s="22" t="s">
        <v>65</v>
      </c>
      <c r="F6785" s="22" t="s">
        <v>45</v>
      </c>
      <c r="G6785" s="22" t="s">
        <v>116</v>
      </c>
      <c r="H6785" s="22" t="s">
        <v>63</v>
      </c>
      <c r="I6785" s="22" t="s">
        <v>123</v>
      </c>
      <c r="J6785" s="23">
        <v>48</v>
      </c>
      <c r="K6785" s="37">
        <v>0</v>
      </c>
      <c r="M6785" s="22" t="str">
        <f>IF(OR(ISBLANK(C6785),C6785=""),"",ROUND((C6785-B6785)*24,2))</f>
        <v/>
      </c>
      <c r="N6785" s="22" t="str">
        <f>IF(OR(ISBLANK(C6785),C6785="",M6785=""),"In Progress",IF(M6785&lt;=J6785,"Met","Breached"))</f>
        <v>In Progress</v>
      </c>
    </row>
    <row r="6786" ht="19" customHeight="1" spans="1:14" x14ac:dyDescent="0.25">
      <c r="A6786" s="19" t="s">
        <v>6900</v>
      </c>
      <c r="B6786" s="33">
        <v>45956.78125</v>
      </c>
      <c r="C6786" s="33">
        <v>45958.13611111111</v>
      </c>
      <c r="D6786" s="19" t="s">
        <v>33</v>
      </c>
      <c r="E6786" s="19" t="s">
        <v>65</v>
      </c>
      <c r="F6786" s="19" t="s">
        <v>34</v>
      </c>
      <c r="G6786" s="19" t="s">
        <v>126</v>
      </c>
      <c r="H6786" s="19" t="s">
        <v>71</v>
      </c>
      <c r="I6786" s="19" t="s">
        <v>123</v>
      </c>
      <c r="J6786" s="20">
        <v>48</v>
      </c>
      <c r="K6786" s="34">
        <v>0</v>
      </c>
      <c r="L6786" s="34">
        <v>5</v>
      </c>
      <c r="M6786" s="19">
        <f>IF(OR(ISBLANK(C6786),C6786=""),"",ROUND((C6786-B6786)*24,2))</f>
        <v>32.52</v>
      </c>
      <c r="N6786" s="35" t="str">
        <f>IF(OR(ISBLANK(C6786),C6786="",M6786=""),"In Progress",IF(M6786&lt;=J6786,"Met","Breached"))</f>
        <v>Met</v>
      </c>
    </row>
    <row r="6787" ht="19" customHeight="1" spans="1:14" x14ac:dyDescent="0.25">
      <c r="A6787" s="22" t="s">
        <v>6901</v>
      </c>
      <c r="B6787" s="36">
        <v>46089.679861111115</v>
      </c>
      <c r="C6787" s="36">
        <v>46093.18402777778</v>
      </c>
      <c r="D6787" s="22" t="s">
        <v>33</v>
      </c>
      <c r="E6787" s="22" t="s">
        <v>69</v>
      </c>
      <c r="F6787" s="22" t="s">
        <v>45</v>
      </c>
      <c r="G6787" s="22" t="s">
        <v>116</v>
      </c>
      <c r="H6787" s="22" t="s">
        <v>63</v>
      </c>
      <c r="I6787" s="22" t="s">
        <v>111</v>
      </c>
      <c r="J6787" s="23">
        <v>120</v>
      </c>
      <c r="K6787" s="37">
        <v>0</v>
      </c>
      <c r="L6787" s="37">
        <v>5</v>
      </c>
      <c r="M6787" s="22">
        <f>IF(OR(ISBLANK(C6787),C6787=""),"",ROUND((C6787-B6787)*24,2))</f>
        <v>84.1</v>
      </c>
      <c r="N6787" s="40" t="str">
        <f>IF(OR(ISBLANK(C6787),C6787="",M6787=""),"In Progress",IF(M6787&lt;=J6787,"Met","Breached"))</f>
        <v>Met</v>
      </c>
    </row>
    <row r="6788" ht="19" customHeight="1" spans="1:14" x14ac:dyDescent="0.25">
      <c r="A6788" s="19" t="s">
        <v>6902</v>
      </c>
      <c r="B6788" s="33">
        <v>45809.70416666666</v>
      </c>
      <c r="D6788" s="19" t="s">
        <v>39</v>
      </c>
      <c r="E6788" s="19" t="s">
        <v>65</v>
      </c>
      <c r="F6788" s="19" t="s">
        <v>34</v>
      </c>
      <c r="G6788" s="19" t="s">
        <v>110</v>
      </c>
      <c r="H6788" s="19" t="s">
        <v>71</v>
      </c>
      <c r="I6788" s="19" t="s">
        <v>111</v>
      </c>
      <c r="J6788" s="20">
        <v>48</v>
      </c>
      <c r="K6788" s="34">
        <v>0</v>
      </c>
      <c r="M6788" s="19" t="str">
        <f>IF(OR(ISBLANK(C6788),C6788=""),"",ROUND((C6788-B6788)*24,2))</f>
        <v/>
      </c>
      <c r="N6788" s="19" t="str">
        <f>IF(OR(ISBLANK(C6788),C6788="",M6788=""),"In Progress",IF(M6788&lt;=J6788,"Met","Breached"))</f>
        <v>In Progress</v>
      </c>
    </row>
    <row r="6789" ht="19" customHeight="1" spans="1:14" x14ac:dyDescent="0.25">
      <c r="A6789" s="22" t="s">
        <v>6903</v>
      </c>
      <c r="B6789" s="36">
        <v>46130.27569444444</v>
      </c>
      <c r="C6789" s="36">
        <v>46136.92152777778</v>
      </c>
      <c r="D6789" s="22" t="s">
        <v>33</v>
      </c>
      <c r="E6789" s="22" t="s">
        <v>69</v>
      </c>
      <c r="F6789" s="22" t="s">
        <v>40</v>
      </c>
      <c r="G6789" s="22" t="s">
        <v>63</v>
      </c>
      <c r="H6789" s="22" t="s">
        <v>59</v>
      </c>
      <c r="I6789" s="22" t="s">
        <v>147</v>
      </c>
      <c r="J6789" s="23">
        <v>120</v>
      </c>
      <c r="K6789" s="37">
        <v>0</v>
      </c>
      <c r="L6789" s="37">
        <v>1</v>
      </c>
      <c r="M6789" s="22">
        <f>IF(OR(ISBLANK(C6789),C6789=""),"",ROUND((C6789-B6789)*24,2))</f>
        <v>159.5</v>
      </c>
      <c r="N6789" s="38" t="str">
        <f>IF(OR(ISBLANK(C6789),C6789="",M6789=""),"In Progress",IF(M6789&lt;=J6789,"Met","Breached"))</f>
        <v>Breached</v>
      </c>
    </row>
    <row r="6790" ht="19" customHeight="1" spans="1:14" x14ac:dyDescent="0.25">
      <c r="A6790" s="19" t="s">
        <v>6904</v>
      </c>
      <c r="B6790" s="33">
        <v>46014.554861111115</v>
      </c>
      <c r="C6790" s="33">
        <v>46021.46597222222</v>
      </c>
      <c r="D6790" s="19" t="s">
        <v>33</v>
      </c>
      <c r="E6790" s="19" t="s">
        <v>69</v>
      </c>
      <c r="F6790" s="19" t="s">
        <v>45</v>
      </c>
      <c r="G6790" s="19" t="s">
        <v>110</v>
      </c>
      <c r="H6790" s="19" t="s">
        <v>59</v>
      </c>
      <c r="I6790" s="19" t="s">
        <v>117</v>
      </c>
      <c r="J6790" s="20">
        <v>120</v>
      </c>
      <c r="K6790" s="34">
        <v>1</v>
      </c>
      <c r="M6790" s="19">
        <f>IF(OR(ISBLANK(C6790),C6790=""),"",ROUND((C6790-B6790)*24,2))</f>
        <v>165.87</v>
      </c>
      <c r="N6790" s="39" t="str">
        <f>IF(OR(ISBLANK(C6790),C6790="",M6790=""),"In Progress",IF(M6790&lt;=J6790,"Met","Breached"))</f>
        <v>Breached</v>
      </c>
    </row>
    <row r="6791" ht="19" customHeight="1" spans="1:14" x14ac:dyDescent="0.25">
      <c r="A6791" s="22" t="s">
        <v>6905</v>
      </c>
      <c r="B6791" s="36">
        <v>45705.26527777778</v>
      </c>
      <c r="D6791" s="22" t="s">
        <v>42</v>
      </c>
      <c r="E6791" s="22" t="s">
        <v>65</v>
      </c>
      <c r="F6791" s="22" t="s">
        <v>37</v>
      </c>
      <c r="G6791" s="22" t="s">
        <v>126</v>
      </c>
      <c r="H6791" s="22" t="s">
        <v>67</v>
      </c>
      <c r="I6791" s="22" t="s">
        <v>108</v>
      </c>
      <c r="J6791" s="23">
        <v>48</v>
      </c>
      <c r="K6791" s="37">
        <v>0</v>
      </c>
      <c r="M6791" s="22" t="str">
        <f>IF(OR(ISBLANK(C6791),C6791=""),"",ROUND((C6791-B6791)*24,2))</f>
        <v/>
      </c>
      <c r="N6791" s="22" t="str">
        <f>IF(OR(ISBLANK(C6791),C6791="",M6791=""),"In Progress",IF(M6791&lt;=J6791,"Met","Breached"))</f>
        <v>In Progress</v>
      </c>
    </row>
    <row r="6792" ht="19" customHeight="1" spans="1:14" x14ac:dyDescent="0.25">
      <c r="A6792" s="19" t="s">
        <v>6906</v>
      </c>
      <c r="B6792" s="33">
        <v>45999.540972222225</v>
      </c>
      <c r="C6792" s="33">
        <v>46001.17361111111</v>
      </c>
      <c r="D6792" s="19" t="s">
        <v>36</v>
      </c>
      <c r="E6792" s="19" t="s">
        <v>69</v>
      </c>
      <c r="F6792" s="19" t="s">
        <v>40</v>
      </c>
      <c r="G6792" s="19" t="s">
        <v>63</v>
      </c>
      <c r="H6792" s="19" t="s">
        <v>59</v>
      </c>
      <c r="I6792" s="19" t="s">
        <v>108</v>
      </c>
      <c r="J6792" s="20">
        <v>120</v>
      </c>
      <c r="K6792" s="34">
        <v>0</v>
      </c>
      <c r="L6792" s="34">
        <v>4</v>
      </c>
      <c r="M6792" s="19">
        <f>IF(OR(ISBLANK(C6792),C6792=""),"",ROUND((C6792-B6792)*24,2))</f>
        <v>39.18</v>
      </c>
      <c r="N6792" s="35" t="str">
        <f>IF(OR(ISBLANK(C6792),C6792="",M6792=""),"In Progress",IF(M6792&lt;=J6792,"Met","Breached"))</f>
        <v>Met</v>
      </c>
    </row>
    <row r="6793" ht="19" customHeight="1" spans="1:14" x14ac:dyDescent="0.25">
      <c r="A6793" s="22" t="s">
        <v>6907</v>
      </c>
      <c r="B6793" s="36">
        <v>46241.554861111115</v>
      </c>
      <c r="C6793" s="36">
        <v>46241.75555555556</v>
      </c>
      <c r="D6793" s="22" t="s">
        <v>36</v>
      </c>
      <c r="E6793" s="22" t="s">
        <v>61</v>
      </c>
      <c r="F6793" s="22" t="s">
        <v>40</v>
      </c>
      <c r="G6793" s="22" t="s">
        <v>116</v>
      </c>
      <c r="H6793" s="22" t="s">
        <v>63</v>
      </c>
      <c r="I6793" s="22" t="s">
        <v>111</v>
      </c>
      <c r="J6793" s="23">
        <v>12</v>
      </c>
      <c r="K6793" s="37">
        <v>0</v>
      </c>
      <c r="L6793" s="37">
        <v>5</v>
      </c>
      <c r="M6793" s="22">
        <f>IF(OR(ISBLANK(C6793),C6793=""),"",ROUND((C6793-B6793)*24,2))</f>
        <v>4.82</v>
      </c>
      <c r="N6793" s="40" t="str">
        <f>IF(OR(ISBLANK(C6793),C6793="",M6793=""),"In Progress",IF(M6793&lt;=J6793,"Met","Breached"))</f>
        <v>Met</v>
      </c>
    </row>
    <row r="6794" ht="19" customHeight="1" spans="1:14" x14ac:dyDescent="0.25">
      <c r="A6794" s="19" t="s">
        <v>6908</v>
      </c>
      <c r="B6794" s="33">
        <v>45900.69236111111</v>
      </c>
      <c r="C6794" s="33">
        <v>45903.95833333333</v>
      </c>
      <c r="D6794" s="19" t="s">
        <v>33</v>
      </c>
      <c r="E6794" s="19" t="s">
        <v>65</v>
      </c>
      <c r="F6794" s="19" t="s">
        <v>37</v>
      </c>
      <c r="G6794" s="19" t="s">
        <v>110</v>
      </c>
      <c r="H6794" s="19" t="s">
        <v>67</v>
      </c>
      <c r="I6794" s="19" t="s">
        <v>117</v>
      </c>
      <c r="J6794" s="20">
        <v>48</v>
      </c>
      <c r="K6794" s="34">
        <v>0</v>
      </c>
      <c r="L6794" s="34">
        <v>3</v>
      </c>
      <c r="M6794" s="19">
        <f>IF(OR(ISBLANK(C6794),C6794=""),"",ROUND((C6794-B6794)*24,2))</f>
        <v>78.38</v>
      </c>
      <c r="N6794" s="39" t="str">
        <f>IF(OR(ISBLANK(C6794),C6794="",M6794=""),"In Progress",IF(M6794&lt;=J6794,"Met","Breached"))</f>
        <v>Breached</v>
      </c>
    </row>
    <row r="6795" ht="19" customHeight="1" spans="1:14" x14ac:dyDescent="0.25">
      <c r="A6795" s="22" t="s">
        <v>6909</v>
      </c>
      <c r="B6795" s="36">
        <v>46251.87708333333</v>
      </c>
      <c r="C6795" s="36">
        <v>46253.544444444444</v>
      </c>
      <c r="D6795" s="22" t="s">
        <v>33</v>
      </c>
      <c r="E6795" s="22" t="s">
        <v>65</v>
      </c>
      <c r="F6795" s="22" t="s">
        <v>37</v>
      </c>
      <c r="G6795" s="22" t="s">
        <v>126</v>
      </c>
      <c r="H6795" s="22" t="s">
        <v>67</v>
      </c>
      <c r="I6795" s="22" t="s">
        <v>108</v>
      </c>
      <c r="J6795" s="23">
        <v>48</v>
      </c>
      <c r="K6795" s="37">
        <v>0</v>
      </c>
      <c r="L6795" s="37">
        <v>2</v>
      </c>
      <c r="M6795" s="22">
        <f>IF(OR(ISBLANK(C6795),C6795=""),"",ROUND((C6795-B6795)*24,2))</f>
        <v>40.02</v>
      </c>
      <c r="N6795" s="40" t="str">
        <f>IF(OR(ISBLANK(C6795),C6795="",M6795=""),"In Progress",IF(M6795&lt;=J6795,"Met","Breached"))</f>
        <v>Met</v>
      </c>
    </row>
    <row r="6796" ht="19" customHeight="1" spans="1:14" x14ac:dyDescent="0.25">
      <c r="A6796" s="19" t="s">
        <v>6910</v>
      </c>
      <c r="B6796" s="33">
        <v>46050.54791666666</v>
      </c>
      <c r="C6796" s="33">
        <v>46052.294444444444</v>
      </c>
      <c r="D6796" s="19" t="s">
        <v>33</v>
      </c>
      <c r="E6796" s="19" t="s">
        <v>65</v>
      </c>
      <c r="F6796" s="19" t="s">
        <v>37</v>
      </c>
      <c r="G6796" s="19" t="s">
        <v>121</v>
      </c>
      <c r="H6796" s="19" t="s">
        <v>63</v>
      </c>
      <c r="I6796" s="19" t="s">
        <v>114</v>
      </c>
      <c r="J6796" s="20">
        <v>48</v>
      </c>
      <c r="K6796" s="34">
        <v>0</v>
      </c>
      <c r="M6796" s="19">
        <f>IF(OR(ISBLANK(C6796),C6796=""),"",ROUND((C6796-B6796)*24,2))</f>
        <v>41.92</v>
      </c>
      <c r="N6796" s="35" t="str">
        <f>IF(OR(ISBLANK(C6796),C6796="",M6796=""),"In Progress",IF(M6796&lt;=J6796,"Met","Breached"))</f>
        <v>Met</v>
      </c>
    </row>
    <row r="6797" ht="19" customHeight="1" spans="1:14" x14ac:dyDescent="0.25">
      <c r="A6797" s="22" t="s">
        <v>6911</v>
      </c>
      <c r="B6797" s="36">
        <v>45863.01180555555</v>
      </c>
      <c r="C6797" s="36">
        <v>45866.32083333333</v>
      </c>
      <c r="D6797" s="22" t="s">
        <v>33</v>
      </c>
      <c r="E6797" s="22" t="s">
        <v>69</v>
      </c>
      <c r="F6797" s="22" t="s">
        <v>43</v>
      </c>
      <c r="G6797" s="22" t="s">
        <v>126</v>
      </c>
      <c r="H6797" s="22" t="s">
        <v>59</v>
      </c>
      <c r="I6797" s="22" t="s">
        <v>114</v>
      </c>
      <c r="J6797" s="23">
        <v>120</v>
      </c>
      <c r="K6797" s="37">
        <v>1</v>
      </c>
      <c r="L6797" s="37">
        <v>1</v>
      </c>
      <c r="M6797" s="22">
        <f>IF(OR(ISBLANK(C6797),C6797=""),"",ROUND((C6797-B6797)*24,2))</f>
        <v>79.42</v>
      </c>
      <c r="N6797" s="40" t="str">
        <f>IF(OR(ISBLANK(C6797),C6797="",M6797=""),"In Progress",IF(M6797&lt;=J6797,"Met","Breached"))</f>
        <v>Met</v>
      </c>
    </row>
    <row r="6798" ht="19" customHeight="1" spans="1:14" x14ac:dyDescent="0.25">
      <c r="A6798" s="19" t="s">
        <v>6912</v>
      </c>
      <c r="B6798" s="33">
        <v>46079.48958333333</v>
      </c>
      <c r="D6798" s="19" t="s">
        <v>39</v>
      </c>
      <c r="E6798" s="19" t="s">
        <v>61</v>
      </c>
      <c r="F6798" s="19" t="s">
        <v>37</v>
      </c>
      <c r="G6798" s="19" t="s">
        <v>63</v>
      </c>
      <c r="H6798" s="19" t="s">
        <v>63</v>
      </c>
      <c r="I6798" s="19" t="s">
        <v>114</v>
      </c>
      <c r="J6798" s="20">
        <v>12</v>
      </c>
      <c r="K6798" s="34">
        <v>0</v>
      </c>
      <c r="M6798" s="19" t="str">
        <f>IF(OR(ISBLANK(C6798),C6798=""),"",ROUND((C6798-B6798)*24,2))</f>
        <v/>
      </c>
      <c r="N6798" s="19" t="str">
        <f>IF(OR(ISBLANK(C6798),C6798="",M6798=""),"In Progress",IF(M6798&lt;=J6798,"Met","Breached"))</f>
        <v>In Progress</v>
      </c>
    </row>
    <row r="6799" ht="19" customHeight="1" spans="1:14" x14ac:dyDescent="0.25">
      <c r="A6799" s="22" t="s">
        <v>6913</v>
      </c>
      <c r="B6799" s="36">
        <v>46238.78472222222</v>
      </c>
      <c r="D6799" s="22" t="s">
        <v>42</v>
      </c>
      <c r="E6799" s="22" t="s">
        <v>61</v>
      </c>
      <c r="F6799" s="22" t="s">
        <v>37</v>
      </c>
      <c r="G6799" s="22" t="s">
        <v>116</v>
      </c>
      <c r="H6799" s="22" t="s">
        <v>59</v>
      </c>
      <c r="I6799" s="22" t="s">
        <v>123</v>
      </c>
      <c r="J6799" s="23">
        <v>12</v>
      </c>
      <c r="K6799" s="37">
        <v>0</v>
      </c>
      <c r="M6799" s="22" t="str">
        <f>IF(OR(ISBLANK(C6799),C6799=""),"",ROUND((C6799-B6799)*24,2))</f>
        <v/>
      </c>
      <c r="N6799" s="22" t="str">
        <f>IF(OR(ISBLANK(C6799),C6799="",M6799=""),"In Progress",IF(M6799&lt;=J6799,"Met","Breached"))</f>
        <v>In Progress</v>
      </c>
    </row>
    <row r="6800" ht="19" customHeight="1" spans="1:14" x14ac:dyDescent="0.25">
      <c r="A6800" s="19" t="s">
        <v>6914</v>
      </c>
      <c r="B6800" s="33">
        <v>45922.17569444445</v>
      </c>
      <c r="C6800" s="33">
        <v>45929.45138888889</v>
      </c>
      <c r="D6800" s="19" t="s">
        <v>33</v>
      </c>
      <c r="E6800" s="19" t="s">
        <v>69</v>
      </c>
      <c r="F6800" s="19" t="s">
        <v>43</v>
      </c>
      <c r="G6800" s="19" t="s">
        <v>110</v>
      </c>
      <c r="H6800" s="19" t="s">
        <v>59</v>
      </c>
      <c r="I6800" s="19" t="s">
        <v>117</v>
      </c>
      <c r="J6800" s="20">
        <v>120</v>
      </c>
      <c r="K6800" s="34">
        <v>0</v>
      </c>
      <c r="M6800" s="19">
        <f>IF(OR(ISBLANK(C6800),C6800=""),"",ROUND((C6800-B6800)*24,2))</f>
        <v>174.62</v>
      </c>
      <c r="N6800" s="39" t="str">
        <f>IF(OR(ISBLANK(C6800),C6800="",M6800=""),"In Progress",IF(M6800&lt;=J6800,"Met","Breached"))</f>
        <v>Breached</v>
      </c>
    </row>
    <row r="6801" ht="19" customHeight="1" spans="1:14" x14ac:dyDescent="0.25">
      <c r="A6801" s="22" t="s">
        <v>6915</v>
      </c>
      <c r="B6801" s="36">
        <v>46206.71666666667</v>
      </c>
      <c r="C6801" s="36">
        <v>46206.87152777778</v>
      </c>
      <c r="D6801" s="22" t="s">
        <v>33</v>
      </c>
      <c r="E6801" s="22" t="s">
        <v>57</v>
      </c>
      <c r="F6801" s="22" t="s">
        <v>40</v>
      </c>
      <c r="G6801" s="22" t="s">
        <v>126</v>
      </c>
      <c r="H6801" s="22" t="s">
        <v>59</v>
      </c>
      <c r="I6801" s="22" t="s">
        <v>108</v>
      </c>
      <c r="J6801" s="23">
        <v>4</v>
      </c>
      <c r="K6801" s="37">
        <v>0</v>
      </c>
      <c r="L6801" s="37">
        <v>2</v>
      </c>
      <c r="M6801" s="22">
        <f>IF(OR(ISBLANK(C6801),C6801=""),"",ROUND((C6801-B6801)*24,2))</f>
        <v>3.72</v>
      </c>
      <c r="N6801" s="40" t="str">
        <f>IF(OR(ISBLANK(C6801),C6801="",M6801=""),"In Progress",IF(M6801&lt;=J6801,"Met","Breached"))</f>
        <v>Met</v>
      </c>
    </row>
    <row r="6802" ht="19" customHeight="1" spans="1:14" x14ac:dyDescent="0.25">
      <c r="A6802" s="19" t="s">
        <v>6916</v>
      </c>
      <c r="B6802" s="33">
        <v>45687.30694444444</v>
      </c>
      <c r="C6802" s="33">
        <v>45688.17916666667</v>
      </c>
      <c r="D6802" s="19" t="s">
        <v>36</v>
      </c>
      <c r="E6802" s="19" t="s">
        <v>65</v>
      </c>
      <c r="F6802" s="19" t="s">
        <v>34</v>
      </c>
      <c r="G6802" s="19" t="s">
        <v>63</v>
      </c>
      <c r="H6802" s="19" t="s">
        <v>59</v>
      </c>
      <c r="I6802" s="19" t="s">
        <v>123</v>
      </c>
      <c r="J6802" s="20">
        <v>48</v>
      </c>
      <c r="K6802" s="34">
        <v>0</v>
      </c>
      <c r="L6802" s="34">
        <v>5</v>
      </c>
      <c r="M6802" s="19">
        <f>IF(OR(ISBLANK(C6802),C6802=""),"",ROUND((C6802-B6802)*24,2))</f>
        <v>20.93</v>
      </c>
      <c r="N6802" s="35" t="str">
        <f>IF(OR(ISBLANK(C6802),C6802="",M6802=""),"In Progress",IF(M6802&lt;=J6802,"Met","Breached"))</f>
        <v>Met</v>
      </c>
    </row>
    <row r="6803" ht="19" customHeight="1" spans="1:14" x14ac:dyDescent="0.25">
      <c r="A6803" s="22" t="s">
        <v>6917</v>
      </c>
      <c r="B6803" s="36">
        <v>46083.50277777778</v>
      </c>
      <c r="D6803" s="22" t="s">
        <v>42</v>
      </c>
      <c r="E6803" s="22" t="s">
        <v>61</v>
      </c>
      <c r="F6803" s="22" t="s">
        <v>43</v>
      </c>
      <c r="G6803" s="22" t="s">
        <v>116</v>
      </c>
      <c r="H6803" s="22" t="s">
        <v>59</v>
      </c>
      <c r="I6803" s="22" t="s">
        <v>117</v>
      </c>
      <c r="J6803" s="23">
        <v>12</v>
      </c>
      <c r="K6803" s="37">
        <v>0</v>
      </c>
      <c r="M6803" s="22" t="str">
        <f>IF(OR(ISBLANK(C6803),C6803=""),"",ROUND((C6803-B6803)*24,2))</f>
        <v/>
      </c>
      <c r="N6803" s="22" t="str">
        <f>IF(OR(ISBLANK(C6803),C6803="",M6803=""),"In Progress",IF(M6803&lt;=J6803,"Met","Breached"))</f>
        <v>In Progress</v>
      </c>
    </row>
    <row r="6804" ht="19" customHeight="1" spans="1:14" x14ac:dyDescent="0.25">
      <c r="A6804" s="19" t="s">
        <v>6918</v>
      </c>
      <c r="B6804" s="33">
        <v>46051.92569444445</v>
      </c>
      <c r="C6804" s="33">
        <v>46054.73333333334</v>
      </c>
      <c r="D6804" s="19" t="s">
        <v>33</v>
      </c>
      <c r="E6804" s="19" t="s">
        <v>65</v>
      </c>
      <c r="F6804" s="19" t="s">
        <v>45</v>
      </c>
      <c r="G6804" s="19" t="s">
        <v>121</v>
      </c>
      <c r="H6804" s="19" t="s">
        <v>59</v>
      </c>
      <c r="I6804" s="19" t="s">
        <v>117</v>
      </c>
      <c r="J6804" s="20">
        <v>48</v>
      </c>
      <c r="K6804" s="34">
        <v>0</v>
      </c>
      <c r="M6804" s="19">
        <f>IF(OR(ISBLANK(C6804),C6804=""),"",ROUND((C6804-B6804)*24,2))</f>
        <v>67.38</v>
      </c>
      <c r="N6804" s="39" t="str">
        <f>IF(OR(ISBLANK(C6804),C6804="",M6804=""),"In Progress",IF(M6804&lt;=J6804,"Met","Breached"))</f>
        <v>Breached</v>
      </c>
    </row>
    <row r="6805" ht="19" customHeight="1" spans="1:14" x14ac:dyDescent="0.25">
      <c r="A6805" s="22" t="s">
        <v>6919</v>
      </c>
      <c r="B6805" s="36">
        <v>45792.209027777775</v>
      </c>
      <c r="C6805" s="36">
        <v>45793.038194444445</v>
      </c>
      <c r="D6805" s="22" t="s">
        <v>33</v>
      </c>
      <c r="E6805" s="22" t="s">
        <v>61</v>
      </c>
      <c r="F6805" s="22" t="s">
        <v>37</v>
      </c>
      <c r="G6805" s="22" t="s">
        <v>110</v>
      </c>
      <c r="H6805" s="22" t="s">
        <v>59</v>
      </c>
      <c r="I6805" s="22" t="s">
        <v>117</v>
      </c>
      <c r="J6805" s="23">
        <v>12</v>
      </c>
      <c r="K6805" s="37">
        <v>0</v>
      </c>
      <c r="M6805" s="22">
        <f>IF(OR(ISBLANK(C6805),C6805=""),"",ROUND((C6805-B6805)*24,2))</f>
        <v>19.9</v>
      </c>
      <c r="N6805" s="38" t="str">
        <f>IF(OR(ISBLANK(C6805),C6805="",M6805=""),"In Progress",IF(M6805&lt;=J6805,"Met","Breached"))</f>
        <v>Breached</v>
      </c>
    </row>
    <row r="6806" ht="19" customHeight="1" spans="1:14" x14ac:dyDescent="0.25">
      <c r="A6806" s="19" t="s">
        <v>6920</v>
      </c>
      <c r="B6806" s="33">
        <v>45949.42152777778</v>
      </c>
      <c r="D6806" s="19" t="s">
        <v>42</v>
      </c>
      <c r="E6806" s="19" t="s">
        <v>65</v>
      </c>
      <c r="F6806" s="19" t="s">
        <v>40</v>
      </c>
      <c r="G6806" s="19" t="s">
        <v>63</v>
      </c>
      <c r="H6806" s="19" t="s">
        <v>67</v>
      </c>
      <c r="I6806" s="19" t="s">
        <v>147</v>
      </c>
      <c r="J6806" s="20">
        <v>48</v>
      </c>
      <c r="K6806" s="34">
        <v>0</v>
      </c>
      <c r="M6806" s="19" t="str">
        <f>IF(OR(ISBLANK(C6806),C6806=""),"",ROUND((C6806-B6806)*24,2))</f>
        <v/>
      </c>
      <c r="N6806" s="19" t="str">
        <f>IF(OR(ISBLANK(C6806),C6806="",M6806=""),"In Progress",IF(M6806&lt;=J6806,"Met","Breached"))</f>
        <v>In Progress</v>
      </c>
    </row>
    <row r="6807" ht="19" customHeight="1" spans="1:14" x14ac:dyDescent="0.25">
      <c r="A6807" s="22" t="s">
        <v>6921</v>
      </c>
      <c r="B6807" s="36">
        <v>45919.80208333333</v>
      </c>
      <c r="C6807" s="36">
        <v>45923.13333333333</v>
      </c>
      <c r="D6807" s="22" t="s">
        <v>36</v>
      </c>
      <c r="E6807" s="22" t="s">
        <v>65</v>
      </c>
      <c r="F6807" s="22" t="s">
        <v>34</v>
      </c>
      <c r="G6807" s="22" t="s">
        <v>113</v>
      </c>
      <c r="H6807" s="22" t="s">
        <v>67</v>
      </c>
      <c r="I6807" s="22" t="s">
        <v>108</v>
      </c>
      <c r="J6807" s="23">
        <v>48</v>
      </c>
      <c r="K6807" s="37">
        <v>0</v>
      </c>
      <c r="L6807" s="37">
        <v>1</v>
      </c>
      <c r="M6807" s="22">
        <f>IF(OR(ISBLANK(C6807),C6807=""),"",ROUND((C6807-B6807)*24,2))</f>
        <v>79.95</v>
      </c>
      <c r="N6807" s="38" t="str">
        <f>IF(OR(ISBLANK(C6807),C6807="",M6807=""),"In Progress",IF(M6807&lt;=J6807,"Met","Breached"))</f>
        <v>Breached</v>
      </c>
    </row>
    <row r="6808" ht="19" customHeight="1" spans="1:14" x14ac:dyDescent="0.25">
      <c r="A6808" s="19" t="s">
        <v>6922</v>
      </c>
      <c r="B6808" s="33">
        <v>46058.92291666666</v>
      </c>
      <c r="C6808" s="33">
        <v>46062.08125</v>
      </c>
      <c r="D6808" s="19" t="s">
        <v>33</v>
      </c>
      <c r="E6808" s="19" t="s">
        <v>65</v>
      </c>
      <c r="F6808" s="19" t="s">
        <v>37</v>
      </c>
      <c r="G6808" s="19" t="s">
        <v>63</v>
      </c>
      <c r="H6808" s="19" t="s">
        <v>63</v>
      </c>
      <c r="I6808" s="19" t="s">
        <v>147</v>
      </c>
      <c r="J6808" s="20">
        <v>48</v>
      </c>
      <c r="K6808" s="34">
        <v>0</v>
      </c>
      <c r="M6808" s="19">
        <f>IF(OR(ISBLANK(C6808),C6808=""),"",ROUND((C6808-B6808)*24,2))</f>
        <v>75.8</v>
      </c>
      <c r="N6808" s="39" t="str">
        <f>IF(OR(ISBLANK(C6808),C6808="",M6808=""),"In Progress",IF(M6808&lt;=J6808,"Met","Breached"))</f>
        <v>Breached</v>
      </c>
    </row>
    <row r="6809" ht="19" customHeight="1" spans="1:14" x14ac:dyDescent="0.25">
      <c r="A6809" s="22" t="s">
        <v>6923</v>
      </c>
      <c r="B6809" s="36">
        <v>45810.04027777778</v>
      </c>
      <c r="C6809" s="36">
        <v>45810.28958333333</v>
      </c>
      <c r="D6809" s="22" t="s">
        <v>33</v>
      </c>
      <c r="E6809" s="22" t="s">
        <v>61</v>
      </c>
      <c r="F6809" s="22" t="s">
        <v>40</v>
      </c>
      <c r="G6809" s="22" t="s">
        <v>126</v>
      </c>
      <c r="H6809" s="22" t="s">
        <v>59</v>
      </c>
      <c r="I6809" s="22" t="s">
        <v>108</v>
      </c>
      <c r="J6809" s="23">
        <v>12</v>
      </c>
      <c r="K6809" s="37">
        <v>0</v>
      </c>
      <c r="L6809" s="37">
        <v>5</v>
      </c>
      <c r="M6809" s="22">
        <f>IF(OR(ISBLANK(C6809),C6809=""),"",ROUND((C6809-B6809)*24,2))</f>
        <v>5.98</v>
      </c>
      <c r="N6809" s="40" t="str">
        <f>IF(OR(ISBLANK(C6809),C6809="",M6809=""),"In Progress",IF(M6809&lt;=J6809,"Met","Breached"))</f>
        <v>Met</v>
      </c>
    </row>
    <row r="6810" ht="19" customHeight="1" spans="1:14" x14ac:dyDescent="0.25">
      <c r="A6810" s="19" t="s">
        <v>6924</v>
      </c>
      <c r="B6810" s="33">
        <v>46051.42291666666</v>
      </c>
      <c r="C6810" s="33">
        <v>46052.64375</v>
      </c>
      <c r="D6810" s="19" t="s">
        <v>33</v>
      </c>
      <c r="E6810" s="19" t="s">
        <v>65</v>
      </c>
      <c r="F6810" s="19" t="s">
        <v>37</v>
      </c>
      <c r="G6810" s="19" t="s">
        <v>126</v>
      </c>
      <c r="H6810" s="19" t="s">
        <v>67</v>
      </c>
      <c r="I6810" s="19" t="s">
        <v>108</v>
      </c>
      <c r="J6810" s="20">
        <v>48</v>
      </c>
      <c r="K6810" s="34">
        <v>0</v>
      </c>
      <c r="L6810" s="34">
        <v>2</v>
      </c>
      <c r="M6810" s="19">
        <f>IF(OR(ISBLANK(C6810),C6810=""),"",ROUND((C6810-B6810)*24,2))</f>
        <v>29.3</v>
      </c>
      <c r="N6810" s="35" t="str">
        <f>IF(OR(ISBLANK(C6810),C6810="",M6810=""),"In Progress",IF(M6810&lt;=J6810,"Met","Breached"))</f>
        <v>Met</v>
      </c>
    </row>
    <row r="6811" ht="19" customHeight="1" spans="1:14" x14ac:dyDescent="0.25">
      <c r="A6811" s="22" t="s">
        <v>6925</v>
      </c>
      <c r="B6811" s="36">
        <v>45993.04722222222</v>
      </c>
      <c r="C6811" s="36">
        <v>45993.68888888889</v>
      </c>
      <c r="D6811" s="22" t="s">
        <v>33</v>
      </c>
      <c r="E6811" s="22" t="s">
        <v>61</v>
      </c>
      <c r="F6811" s="22" t="s">
        <v>34</v>
      </c>
      <c r="G6811" s="22" t="s">
        <v>113</v>
      </c>
      <c r="H6811" s="22" t="s">
        <v>63</v>
      </c>
      <c r="I6811" s="22" t="s">
        <v>117</v>
      </c>
      <c r="J6811" s="23">
        <v>12</v>
      </c>
      <c r="K6811" s="37">
        <v>0</v>
      </c>
      <c r="L6811" s="37">
        <v>3</v>
      </c>
      <c r="M6811" s="22">
        <f>IF(OR(ISBLANK(C6811),C6811=""),"",ROUND((C6811-B6811)*24,2))</f>
        <v>15.4</v>
      </c>
      <c r="N6811" s="38" t="str">
        <f>IF(OR(ISBLANK(C6811),C6811="",M6811=""),"In Progress",IF(M6811&lt;=J6811,"Met","Breached"))</f>
        <v>Breached</v>
      </c>
    </row>
    <row r="6812" ht="19" customHeight="1" spans="1:14" x14ac:dyDescent="0.25">
      <c r="A6812" s="19" t="s">
        <v>6926</v>
      </c>
      <c r="B6812" s="33">
        <v>46275.675</v>
      </c>
      <c r="D6812" s="19" t="s">
        <v>39</v>
      </c>
      <c r="E6812" s="19" t="s">
        <v>69</v>
      </c>
      <c r="F6812" s="19" t="s">
        <v>34</v>
      </c>
      <c r="G6812" s="19" t="s">
        <v>113</v>
      </c>
      <c r="H6812" s="19" t="s">
        <v>63</v>
      </c>
      <c r="I6812" s="19" t="s">
        <v>108</v>
      </c>
      <c r="J6812" s="20">
        <v>120</v>
      </c>
      <c r="K6812" s="34">
        <v>0</v>
      </c>
      <c r="M6812" s="19" t="str">
        <f>IF(OR(ISBLANK(C6812),C6812=""),"",ROUND((C6812-B6812)*24,2))</f>
        <v/>
      </c>
      <c r="N6812" s="19" t="str">
        <f>IF(OR(ISBLANK(C6812),C6812="",M6812=""),"In Progress",IF(M6812&lt;=J6812,"Met","Breached"))</f>
        <v>In Progress</v>
      </c>
    </row>
    <row r="6813" ht="19" customHeight="1" spans="1:14" x14ac:dyDescent="0.25">
      <c r="A6813" s="22" t="s">
        <v>6927</v>
      </c>
      <c r="B6813" s="36">
        <v>46223.53958333333</v>
      </c>
      <c r="C6813" s="36">
        <v>46224.81736111111</v>
      </c>
      <c r="D6813" s="22" t="s">
        <v>33</v>
      </c>
      <c r="E6813" s="22" t="s">
        <v>65</v>
      </c>
      <c r="F6813" s="22" t="s">
        <v>37</v>
      </c>
      <c r="G6813" s="22" t="s">
        <v>110</v>
      </c>
      <c r="H6813" s="22" t="s">
        <v>59</v>
      </c>
      <c r="I6813" s="22" t="s">
        <v>114</v>
      </c>
      <c r="J6813" s="23">
        <v>48</v>
      </c>
      <c r="K6813" s="37">
        <v>0</v>
      </c>
      <c r="L6813" s="37">
        <v>2</v>
      </c>
      <c r="M6813" s="22">
        <f>IF(OR(ISBLANK(C6813),C6813=""),"",ROUND((C6813-B6813)*24,2))</f>
        <v>30.67</v>
      </c>
      <c r="N6813" s="40" t="str">
        <f>IF(OR(ISBLANK(C6813),C6813="",M6813=""),"In Progress",IF(M6813&lt;=J6813,"Met","Breached"))</f>
        <v>Met</v>
      </c>
    </row>
    <row r="6814" ht="19" customHeight="1" spans="1:14" x14ac:dyDescent="0.25">
      <c r="A6814" s="19" t="s">
        <v>6928</v>
      </c>
      <c r="B6814" s="33">
        <v>45791.038194444445</v>
      </c>
      <c r="D6814" s="19" t="s">
        <v>39</v>
      </c>
      <c r="E6814" s="19" t="s">
        <v>65</v>
      </c>
      <c r="F6814" s="19" t="s">
        <v>43</v>
      </c>
      <c r="G6814" s="19" t="s">
        <v>121</v>
      </c>
      <c r="H6814" s="19" t="s">
        <v>63</v>
      </c>
      <c r="I6814" s="19" t="s">
        <v>117</v>
      </c>
      <c r="J6814" s="20">
        <v>48</v>
      </c>
      <c r="K6814" s="34">
        <v>0</v>
      </c>
      <c r="M6814" s="19" t="str">
        <f>IF(OR(ISBLANK(C6814),C6814=""),"",ROUND((C6814-B6814)*24,2))</f>
        <v/>
      </c>
      <c r="N6814" s="19" t="str">
        <f>IF(OR(ISBLANK(C6814),C6814="",M6814=""),"In Progress",IF(M6814&lt;=J6814,"Met","Breached"))</f>
        <v>In Progress</v>
      </c>
    </row>
    <row r="6815" ht="19" customHeight="1" spans="1:14" x14ac:dyDescent="0.25">
      <c r="A6815" s="22" t="s">
        <v>6929</v>
      </c>
      <c r="B6815" s="36">
        <v>46141.11388888889</v>
      </c>
      <c r="D6815" s="22" t="s">
        <v>39</v>
      </c>
      <c r="E6815" s="22" t="s">
        <v>65</v>
      </c>
      <c r="F6815" s="22" t="s">
        <v>37</v>
      </c>
      <c r="G6815" s="22" t="s">
        <v>121</v>
      </c>
      <c r="H6815" s="22" t="s">
        <v>59</v>
      </c>
      <c r="I6815" s="22" t="s">
        <v>111</v>
      </c>
      <c r="J6815" s="23">
        <v>48</v>
      </c>
      <c r="K6815" s="37">
        <v>0</v>
      </c>
      <c r="M6815" s="22" t="str">
        <f>IF(OR(ISBLANK(C6815),C6815=""),"",ROUND((C6815-B6815)*24,2))</f>
        <v/>
      </c>
      <c r="N6815" s="22" t="str">
        <f>IF(OR(ISBLANK(C6815),C6815="",M6815=""),"In Progress",IF(M6815&lt;=J6815,"Met","Breached"))</f>
        <v>In Progress</v>
      </c>
    </row>
    <row r="6816" ht="19" customHeight="1" spans="1:14" x14ac:dyDescent="0.25">
      <c r="A6816" s="19" t="s">
        <v>6930</v>
      </c>
      <c r="B6816" s="33">
        <v>46019.71944444445</v>
      </c>
      <c r="D6816" s="19" t="s">
        <v>39</v>
      </c>
      <c r="E6816" s="19" t="s">
        <v>69</v>
      </c>
      <c r="F6816" s="19" t="s">
        <v>37</v>
      </c>
      <c r="G6816" s="19" t="s">
        <v>116</v>
      </c>
      <c r="H6816" s="19" t="s">
        <v>59</v>
      </c>
      <c r="I6816" s="19" t="s">
        <v>117</v>
      </c>
      <c r="J6816" s="20">
        <v>120</v>
      </c>
      <c r="K6816" s="34">
        <v>0</v>
      </c>
      <c r="M6816" s="19" t="str">
        <f>IF(OR(ISBLANK(C6816),C6816=""),"",ROUND((C6816-B6816)*24,2))</f>
        <v/>
      </c>
      <c r="N6816" s="19" t="str">
        <f>IF(OR(ISBLANK(C6816),C6816="",M6816=""),"In Progress",IF(M6816&lt;=J6816,"Met","Breached"))</f>
        <v>In Progress</v>
      </c>
    </row>
    <row r="6817" ht="19" customHeight="1" spans="1:14" x14ac:dyDescent="0.25">
      <c r="A6817" s="22" t="s">
        <v>6931</v>
      </c>
      <c r="B6817" s="36">
        <v>45787.24097222222</v>
      </c>
      <c r="C6817" s="36">
        <v>45790.572222222225</v>
      </c>
      <c r="D6817" s="22" t="s">
        <v>36</v>
      </c>
      <c r="E6817" s="22" t="s">
        <v>65</v>
      </c>
      <c r="F6817" s="22" t="s">
        <v>45</v>
      </c>
      <c r="G6817" s="22" t="s">
        <v>110</v>
      </c>
      <c r="H6817" s="22" t="s">
        <v>63</v>
      </c>
      <c r="I6817" s="22" t="s">
        <v>123</v>
      </c>
      <c r="J6817" s="23">
        <v>48</v>
      </c>
      <c r="K6817" s="37">
        <v>0</v>
      </c>
      <c r="L6817" s="37">
        <v>2</v>
      </c>
      <c r="M6817" s="22">
        <f>IF(OR(ISBLANK(C6817),C6817=""),"",ROUND((C6817-B6817)*24,2))</f>
        <v>79.95</v>
      </c>
      <c r="N6817" s="38" t="str">
        <f>IF(OR(ISBLANK(C6817),C6817="",M6817=""),"In Progress",IF(M6817&lt;=J6817,"Met","Breached"))</f>
        <v>Breached</v>
      </c>
    </row>
    <row r="6818" ht="19" customHeight="1" spans="1:14" x14ac:dyDescent="0.25">
      <c r="A6818" s="19" t="s">
        <v>6932</v>
      </c>
      <c r="B6818" s="33">
        <v>46138.99375</v>
      </c>
      <c r="D6818" s="19" t="s">
        <v>39</v>
      </c>
      <c r="E6818" s="19" t="s">
        <v>65</v>
      </c>
      <c r="F6818" s="19" t="s">
        <v>37</v>
      </c>
      <c r="G6818" s="19" t="s">
        <v>116</v>
      </c>
      <c r="H6818" s="19" t="s">
        <v>59</v>
      </c>
      <c r="I6818" s="19" t="s">
        <v>111</v>
      </c>
      <c r="J6818" s="20">
        <v>48</v>
      </c>
      <c r="K6818" s="34">
        <v>0</v>
      </c>
      <c r="M6818" s="19" t="str">
        <f>IF(OR(ISBLANK(C6818),C6818=""),"",ROUND((C6818-B6818)*24,2))</f>
        <v/>
      </c>
      <c r="N6818" s="19" t="str">
        <f>IF(OR(ISBLANK(C6818),C6818="",M6818=""),"In Progress",IF(M6818&lt;=J6818,"Met","Breached"))</f>
        <v>In Progress</v>
      </c>
    </row>
    <row r="6819" ht="19" customHeight="1" spans="1:14" x14ac:dyDescent="0.25">
      <c r="A6819" s="22" t="s">
        <v>6933</v>
      </c>
      <c r="B6819" s="36">
        <v>46013.89166666666</v>
      </c>
      <c r="C6819" s="36">
        <v>46014.11319444445</v>
      </c>
      <c r="D6819" s="22" t="s">
        <v>36</v>
      </c>
      <c r="E6819" s="22" t="s">
        <v>57</v>
      </c>
      <c r="F6819" s="22" t="s">
        <v>40</v>
      </c>
      <c r="G6819" s="22" t="s">
        <v>116</v>
      </c>
      <c r="H6819" s="22" t="s">
        <v>63</v>
      </c>
      <c r="I6819" s="22" t="s">
        <v>147</v>
      </c>
      <c r="J6819" s="23">
        <v>4</v>
      </c>
      <c r="K6819" s="37">
        <v>0</v>
      </c>
      <c r="L6819" s="37">
        <v>1</v>
      </c>
      <c r="M6819" s="22">
        <f>IF(OR(ISBLANK(C6819),C6819=""),"",ROUND((C6819-B6819)*24,2))</f>
        <v>5.32</v>
      </c>
      <c r="N6819" s="38" t="str">
        <f>IF(OR(ISBLANK(C6819),C6819="",M6819=""),"In Progress",IF(M6819&lt;=J6819,"Met","Breached"))</f>
        <v>Breached</v>
      </c>
    </row>
    <row r="6820" ht="19" customHeight="1" spans="1:14" x14ac:dyDescent="0.25">
      <c r="A6820" s="19" t="s">
        <v>6934</v>
      </c>
      <c r="B6820" s="33">
        <v>46221.45972222222</v>
      </c>
      <c r="C6820" s="33">
        <v>46222.993055555555</v>
      </c>
      <c r="D6820" s="19" t="s">
        <v>36</v>
      </c>
      <c r="E6820" s="19" t="s">
        <v>65</v>
      </c>
      <c r="F6820" s="19" t="s">
        <v>40</v>
      </c>
      <c r="G6820" s="19" t="s">
        <v>116</v>
      </c>
      <c r="H6820" s="19" t="s">
        <v>63</v>
      </c>
      <c r="I6820" s="19" t="s">
        <v>114</v>
      </c>
      <c r="J6820" s="20">
        <v>48</v>
      </c>
      <c r="K6820" s="34">
        <v>0</v>
      </c>
      <c r="L6820" s="34">
        <v>4</v>
      </c>
      <c r="M6820" s="19">
        <f>IF(OR(ISBLANK(C6820),C6820=""),"",ROUND((C6820-B6820)*24,2))</f>
        <v>36.8</v>
      </c>
      <c r="N6820" s="35" t="str">
        <f>IF(OR(ISBLANK(C6820),C6820="",M6820=""),"In Progress",IF(M6820&lt;=J6820,"Met","Breached"))</f>
        <v>Met</v>
      </c>
    </row>
    <row r="6821" ht="19" customHeight="1" spans="1:14" x14ac:dyDescent="0.25">
      <c r="A6821" s="22" t="s">
        <v>6935</v>
      </c>
      <c r="B6821" s="36">
        <v>45959.80694444444</v>
      </c>
      <c r="C6821" s="36">
        <v>45962.50069444445</v>
      </c>
      <c r="D6821" s="22" t="s">
        <v>33</v>
      </c>
      <c r="E6821" s="22" t="s">
        <v>65</v>
      </c>
      <c r="F6821" s="22" t="s">
        <v>43</v>
      </c>
      <c r="G6821" s="22" t="s">
        <v>113</v>
      </c>
      <c r="H6821" s="22" t="s">
        <v>63</v>
      </c>
      <c r="I6821" s="22" t="s">
        <v>117</v>
      </c>
      <c r="J6821" s="23">
        <v>48</v>
      </c>
      <c r="K6821" s="37">
        <v>0</v>
      </c>
      <c r="L6821" s="37">
        <v>3</v>
      </c>
      <c r="M6821" s="22">
        <f>IF(OR(ISBLANK(C6821),C6821=""),"",ROUND((C6821-B6821)*24,2))</f>
        <v>64.65</v>
      </c>
      <c r="N6821" s="38" t="str">
        <f>IF(OR(ISBLANK(C6821),C6821="",M6821=""),"In Progress",IF(M6821&lt;=J6821,"Met","Breached"))</f>
        <v>Breached</v>
      </c>
    </row>
    <row r="6822" ht="19" customHeight="1" spans="1:14" x14ac:dyDescent="0.25">
      <c r="A6822" s="19" t="s">
        <v>6936</v>
      </c>
      <c r="B6822" s="33">
        <v>46096.39444444445</v>
      </c>
      <c r="C6822" s="33">
        <v>46099.23819444445</v>
      </c>
      <c r="D6822" s="19" t="s">
        <v>33</v>
      </c>
      <c r="E6822" s="19" t="s">
        <v>69</v>
      </c>
      <c r="F6822" s="19" t="s">
        <v>45</v>
      </c>
      <c r="G6822" s="19" t="s">
        <v>63</v>
      </c>
      <c r="H6822" s="19" t="s">
        <v>71</v>
      </c>
      <c r="I6822" s="19" t="s">
        <v>147</v>
      </c>
      <c r="J6822" s="20">
        <v>120</v>
      </c>
      <c r="K6822" s="34">
        <v>0</v>
      </c>
      <c r="L6822" s="34">
        <v>3</v>
      </c>
      <c r="M6822" s="19">
        <f>IF(OR(ISBLANK(C6822),C6822=""),"",ROUND((C6822-B6822)*24,2))</f>
        <v>68.25</v>
      </c>
      <c r="N6822" s="35" t="str">
        <f>IF(OR(ISBLANK(C6822),C6822="",M6822=""),"In Progress",IF(M6822&lt;=J6822,"Met","Breached"))</f>
        <v>Met</v>
      </c>
    </row>
    <row r="6823" ht="19" customHeight="1" spans="1:14" x14ac:dyDescent="0.25">
      <c r="A6823" s="22" t="s">
        <v>6937</v>
      </c>
      <c r="B6823" s="36">
        <v>45764.95416666666</v>
      </c>
      <c r="C6823" s="36">
        <v>45767.75902777778</v>
      </c>
      <c r="D6823" s="22" t="s">
        <v>33</v>
      </c>
      <c r="E6823" s="22" t="s">
        <v>65</v>
      </c>
      <c r="F6823" s="22" t="s">
        <v>37</v>
      </c>
      <c r="G6823" s="22" t="s">
        <v>126</v>
      </c>
      <c r="H6823" s="22" t="s">
        <v>63</v>
      </c>
      <c r="I6823" s="22" t="s">
        <v>111</v>
      </c>
      <c r="J6823" s="23">
        <v>48</v>
      </c>
      <c r="K6823" s="37">
        <v>0</v>
      </c>
      <c r="L6823" s="37">
        <v>3</v>
      </c>
      <c r="M6823" s="22">
        <f>IF(OR(ISBLANK(C6823),C6823=""),"",ROUND((C6823-B6823)*24,2))</f>
        <v>67.32</v>
      </c>
      <c r="N6823" s="38" t="str">
        <f>IF(OR(ISBLANK(C6823),C6823="",M6823=""),"In Progress",IF(M6823&lt;=J6823,"Met","Breached"))</f>
        <v>Breached</v>
      </c>
    </row>
    <row r="6824" ht="19" customHeight="1" spans="1:14" x14ac:dyDescent="0.25">
      <c r="A6824" s="19" t="s">
        <v>6938</v>
      </c>
      <c r="B6824" s="33">
        <v>45881.20972222222</v>
      </c>
      <c r="D6824" s="19" t="s">
        <v>39</v>
      </c>
      <c r="E6824" s="19" t="s">
        <v>65</v>
      </c>
      <c r="F6824" s="19" t="s">
        <v>40</v>
      </c>
      <c r="G6824" s="19" t="s">
        <v>113</v>
      </c>
      <c r="H6824" s="19" t="s">
        <v>63</v>
      </c>
      <c r="I6824" s="19" t="s">
        <v>123</v>
      </c>
      <c r="J6824" s="20">
        <v>48</v>
      </c>
      <c r="K6824" s="34">
        <v>0</v>
      </c>
      <c r="M6824" s="19" t="str">
        <f>IF(OR(ISBLANK(C6824),C6824=""),"",ROUND((C6824-B6824)*24,2))</f>
        <v/>
      </c>
      <c r="N6824" s="19" t="str">
        <f>IF(OR(ISBLANK(C6824),C6824="",M6824=""),"In Progress",IF(M6824&lt;=J6824,"Met","Breached"))</f>
        <v>In Progress</v>
      </c>
    </row>
    <row r="6825" ht="19" customHeight="1" spans="1:14" x14ac:dyDescent="0.25">
      <c r="A6825" s="22" t="s">
        <v>6939</v>
      </c>
      <c r="B6825" s="36">
        <v>45739.16875</v>
      </c>
      <c r="C6825" s="36">
        <v>45739.30208333333</v>
      </c>
      <c r="D6825" s="22" t="s">
        <v>33</v>
      </c>
      <c r="E6825" s="22" t="s">
        <v>57</v>
      </c>
      <c r="F6825" s="22" t="s">
        <v>37</v>
      </c>
      <c r="G6825" s="22" t="s">
        <v>116</v>
      </c>
      <c r="H6825" s="22" t="s">
        <v>63</v>
      </c>
      <c r="I6825" s="22" t="s">
        <v>111</v>
      </c>
      <c r="J6825" s="23">
        <v>4</v>
      </c>
      <c r="K6825" s="37">
        <v>0</v>
      </c>
      <c r="L6825" s="37">
        <v>3</v>
      </c>
      <c r="M6825" s="22">
        <f>IF(OR(ISBLANK(C6825),C6825=""),"",ROUND((C6825-B6825)*24,2))</f>
        <v>3.2</v>
      </c>
      <c r="N6825" s="40" t="str">
        <f>IF(OR(ISBLANK(C6825),C6825="",M6825=""),"In Progress",IF(M6825&lt;=J6825,"Met","Breached"))</f>
        <v>Met</v>
      </c>
    </row>
    <row r="6826" ht="19" customHeight="1" spans="1:14" x14ac:dyDescent="0.25">
      <c r="A6826" s="19" t="s">
        <v>6940</v>
      </c>
      <c r="B6826" s="33">
        <v>45840.40555555555</v>
      </c>
      <c r="C6826" s="33">
        <v>45841.08125</v>
      </c>
      <c r="D6826" s="19" t="s">
        <v>33</v>
      </c>
      <c r="E6826" s="19" t="s">
        <v>65</v>
      </c>
      <c r="F6826" s="19" t="s">
        <v>45</v>
      </c>
      <c r="G6826" s="19" t="s">
        <v>110</v>
      </c>
      <c r="H6826" s="19" t="s">
        <v>67</v>
      </c>
      <c r="I6826" s="19" t="s">
        <v>108</v>
      </c>
      <c r="J6826" s="20">
        <v>48</v>
      </c>
      <c r="K6826" s="34">
        <v>0</v>
      </c>
      <c r="L6826" s="34">
        <v>1</v>
      </c>
      <c r="M6826" s="19">
        <f>IF(OR(ISBLANK(C6826),C6826=""),"",ROUND((C6826-B6826)*24,2))</f>
        <v>16.22</v>
      </c>
      <c r="N6826" s="35" t="str">
        <f>IF(OR(ISBLANK(C6826),C6826="",M6826=""),"In Progress",IF(M6826&lt;=J6826,"Met","Breached"))</f>
        <v>Met</v>
      </c>
    </row>
    <row r="6827" ht="19" customHeight="1" spans="1:14" x14ac:dyDescent="0.25">
      <c r="A6827" s="22" t="s">
        <v>6941</v>
      </c>
      <c r="B6827" s="36">
        <v>46132.427777777775</v>
      </c>
      <c r="C6827" s="36">
        <v>46134.14722222222</v>
      </c>
      <c r="D6827" s="22" t="s">
        <v>33</v>
      </c>
      <c r="E6827" s="22" t="s">
        <v>69</v>
      </c>
      <c r="F6827" s="22" t="s">
        <v>37</v>
      </c>
      <c r="G6827" s="22" t="s">
        <v>126</v>
      </c>
      <c r="H6827" s="22" t="s">
        <v>67</v>
      </c>
      <c r="I6827" s="22" t="s">
        <v>111</v>
      </c>
      <c r="J6827" s="23">
        <v>120</v>
      </c>
      <c r="K6827" s="37">
        <v>0</v>
      </c>
      <c r="M6827" s="22">
        <f>IF(OR(ISBLANK(C6827),C6827=""),"",ROUND((C6827-B6827)*24,2))</f>
        <v>41.27</v>
      </c>
      <c r="N6827" s="40" t="str">
        <f>IF(OR(ISBLANK(C6827),C6827="",M6827=""),"In Progress",IF(M6827&lt;=J6827,"Met","Breached"))</f>
        <v>Met</v>
      </c>
    </row>
    <row r="6828" ht="19" customHeight="1" spans="1:14" x14ac:dyDescent="0.25">
      <c r="A6828" s="19" t="s">
        <v>6942</v>
      </c>
      <c r="B6828" s="33">
        <v>45950.05763888889</v>
      </c>
      <c r="C6828" s="33">
        <v>45953.865277777775</v>
      </c>
      <c r="D6828" s="19" t="s">
        <v>36</v>
      </c>
      <c r="E6828" s="19" t="s">
        <v>69</v>
      </c>
      <c r="F6828" s="19" t="s">
        <v>43</v>
      </c>
      <c r="G6828" s="19" t="s">
        <v>110</v>
      </c>
      <c r="H6828" s="19" t="s">
        <v>63</v>
      </c>
      <c r="I6828" s="19" t="s">
        <v>123</v>
      </c>
      <c r="J6828" s="20">
        <v>120</v>
      </c>
      <c r="K6828" s="34">
        <v>0</v>
      </c>
      <c r="M6828" s="19">
        <f>IF(OR(ISBLANK(C6828),C6828=""),"",ROUND((C6828-B6828)*24,2))</f>
        <v>91.38</v>
      </c>
      <c r="N6828" s="35" t="str">
        <f>IF(OR(ISBLANK(C6828),C6828="",M6828=""),"In Progress",IF(M6828&lt;=J6828,"Met","Breached"))</f>
        <v>Met</v>
      </c>
    </row>
    <row r="6829" ht="19" customHeight="1" spans="1:14" x14ac:dyDescent="0.25">
      <c r="A6829" s="22" t="s">
        <v>6943</v>
      </c>
      <c r="B6829" s="36">
        <v>46157.46041666667</v>
      </c>
      <c r="C6829" s="36">
        <v>46161.023611111115</v>
      </c>
      <c r="D6829" s="22" t="s">
        <v>36</v>
      </c>
      <c r="E6829" s="22" t="s">
        <v>65</v>
      </c>
      <c r="F6829" s="22" t="s">
        <v>37</v>
      </c>
      <c r="G6829" s="22" t="s">
        <v>110</v>
      </c>
      <c r="H6829" s="22" t="s">
        <v>67</v>
      </c>
      <c r="I6829" s="22" t="s">
        <v>117</v>
      </c>
      <c r="J6829" s="23">
        <v>48</v>
      </c>
      <c r="K6829" s="37">
        <v>0</v>
      </c>
      <c r="L6829" s="37">
        <v>3</v>
      </c>
      <c r="M6829" s="22">
        <f>IF(OR(ISBLANK(C6829),C6829=""),"",ROUND((C6829-B6829)*24,2))</f>
        <v>85.52</v>
      </c>
      <c r="N6829" s="38" t="str">
        <f>IF(OR(ISBLANK(C6829),C6829="",M6829=""),"In Progress",IF(M6829&lt;=J6829,"Met","Breached"))</f>
        <v>Breached</v>
      </c>
    </row>
    <row r="6830" ht="19" customHeight="1" spans="1:14" x14ac:dyDescent="0.25">
      <c r="A6830" s="19" t="s">
        <v>6944</v>
      </c>
      <c r="B6830" s="33">
        <v>46052.79375</v>
      </c>
      <c r="C6830" s="33">
        <v>46056.36111111111</v>
      </c>
      <c r="D6830" s="19" t="s">
        <v>33</v>
      </c>
      <c r="E6830" s="19" t="s">
        <v>69</v>
      </c>
      <c r="F6830" s="19" t="s">
        <v>43</v>
      </c>
      <c r="G6830" s="19" t="s">
        <v>121</v>
      </c>
      <c r="H6830" s="19" t="s">
        <v>71</v>
      </c>
      <c r="I6830" s="19" t="s">
        <v>111</v>
      </c>
      <c r="J6830" s="20">
        <v>120</v>
      </c>
      <c r="K6830" s="34">
        <v>0</v>
      </c>
      <c r="L6830" s="34">
        <v>4</v>
      </c>
      <c r="M6830" s="19">
        <f>IF(OR(ISBLANK(C6830),C6830=""),"",ROUND((C6830-B6830)*24,2))</f>
        <v>85.62</v>
      </c>
      <c r="N6830" s="35" t="str">
        <f>IF(OR(ISBLANK(C6830),C6830="",M6830=""),"In Progress",IF(M6830&lt;=J6830,"Met","Breached"))</f>
        <v>Met</v>
      </c>
    </row>
    <row r="6831" ht="19" customHeight="1" spans="1:14" x14ac:dyDescent="0.25">
      <c r="A6831" s="22" t="s">
        <v>6945</v>
      </c>
      <c r="B6831" s="36">
        <v>46050.16666666667</v>
      </c>
      <c r="C6831" s="36">
        <v>46050.805555555555</v>
      </c>
      <c r="D6831" s="22" t="s">
        <v>33</v>
      </c>
      <c r="E6831" s="22" t="s">
        <v>61</v>
      </c>
      <c r="F6831" s="22" t="s">
        <v>34</v>
      </c>
      <c r="G6831" s="22" t="s">
        <v>63</v>
      </c>
      <c r="H6831" s="22" t="s">
        <v>59</v>
      </c>
      <c r="I6831" s="22" t="s">
        <v>108</v>
      </c>
      <c r="J6831" s="23">
        <v>12</v>
      </c>
      <c r="K6831" s="37">
        <v>0</v>
      </c>
      <c r="L6831" s="37">
        <v>2</v>
      </c>
      <c r="M6831" s="22">
        <f>IF(OR(ISBLANK(C6831),C6831=""),"",ROUND((C6831-B6831)*24,2))</f>
        <v>15.33</v>
      </c>
      <c r="N6831" s="38" t="str">
        <f>IF(OR(ISBLANK(C6831),C6831="",M6831=""),"In Progress",IF(M6831&lt;=J6831,"Met","Breached"))</f>
        <v>Breached</v>
      </c>
    </row>
    <row r="6832" ht="19" customHeight="1" spans="1:14" x14ac:dyDescent="0.25">
      <c r="A6832" s="19" t="s">
        <v>6946</v>
      </c>
      <c r="B6832" s="33">
        <v>46014.01458333334</v>
      </c>
      <c r="C6832" s="33">
        <v>46017.10763888889</v>
      </c>
      <c r="D6832" s="19" t="s">
        <v>33</v>
      </c>
      <c r="E6832" s="19" t="s">
        <v>65</v>
      </c>
      <c r="F6832" s="19" t="s">
        <v>45</v>
      </c>
      <c r="G6832" s="19" t="s">
        <v>110</v>
      </c>
      <c r="H6832" s="19" t="s">
        <v>59</v>
      </c>
      <c r="I6832" s="19" t="s">
        <v>123</v>
      </c>
      <c r="J6832" s="20">
        <v>48</v>
      </c>
      <c r="K6832" s="34">
        <v>0</v>
      </c>
      <c r="M6832" s="19">
        <f>IF(OR(ISBLANK(C6832),C6832=""),"",ROUND((C6832-B6832)*24,2))</f>
        <v>74.23</v>
      </c>
      <c r="N6832" s="39" t="str">
        <f>IF(OR(ISBLANK(C6832),C6832="",M6832=""),"In Progress",IF(M6832&lt;=J6832,"Met","Breached"))</f>
        <v>Breached</v>
      </c>
    </row>
    <row r="6833" ht="19" customHeight="1" spans="1:14" x14ac:dyDescent="0.25">
      <c r="A6833" s="22" t="s">
        <v>6947</v>
      </c>
      <c r="B6833" s="36">
        <v>45824.611805555556</v>
      </c>
      <c r="C6833" s="36">
        <v>45832.91805555555</v>
      </c>
      <c r="D6833" s="22" t="s">
        <v>33</v>
      </c>
      <c r="E6833" s="22" t="s">
        <v>69</v>
      </c>
      <c r="F6833" s="22" t="s">
        <v>37</v>
      </c>
      <c r="G6833" s="22" t="s">
        <v>110</v>
      </c>
      <c r="H6833" s="22" t="s">
        <v>59</v>
      </c>
      <c r="I6833" s="22" t="s">
        <v>114</v>
      </c>
      <c r="J6833" s="23">
        <v>120</v>
      </c>
      <c r="K6833" s="37">
        <v>0</v>
      </c>
      <c r="L6833" s="37">
        <v>2</v>
      </c>
      <c r="M6833" s="22">
        <f>IF(OR(ISBLANK(C6833),C6833=""),"",ROUND((C6833-B6833)*24,2))</f>
        <v>199.35</v>
      </c>
      <c r="N6833" s="38" t="str">
        <f>IF(OR(ISBLANK(C6833),C6833="",M6833=""),"In Progress",IF(M6833&lt;=J6833,"Met","Breached"))</f>
        <v>Breached</v>
      </c>
    </row>
    <row r="6834" ht="19" customHeight="1" spans="1:14" x14ac:dyDescent="0.25">
      <c r="A6834" s="19" t="s">
        <v>6948</v>
      </c>
      <c r="B6834" s="33">
        <v>46072.27222222222</v>
      </c>
      <c r="C6834" s="33">
        <v>46079.180555555555</v>
      </c>
      <c r="D6834" s="19" t="s">
        <v>33</v>
      </c>
      <c r="E6834" s="19" t="s">
        <v>69</v>
      </c>
      <c r="F6834" s="19" t="s">
        <v>43</v>
      </c>
      <c r="G6834" s="19" t="s">
        <v>121</v>
      </c>
      <c r="H6834" s="19" t="s">
        <v>59</v>
      </c>
      <c r="I6834" s="19" t="s">
        <v>114</v>
      </c>
      <c r="J6834" s="20">
        <v>120</v>
      </c>
      <c r="K6834" s="34">
        <v>0</v>
      </c>
      <c r="M6834" s="19">
        <f>IF(OR(ISBLANK(C6834),C6834=""),"",ROUND((C6834-B6834)*24,2))</f>
        <v>165.8</v>
      </c>
      <c r="N6834" s="39" t="str">
        <f>IF(OR(ISBLANK(C6834),C6834="",M6834=""),"In Progress",IF(M6834&lt;=J6834,"Met","Breached"))</f>
        <v>Breached</v>
      </c>
    </row>
    <row r="6835" ht="19" customHeight="1" spans="1:14" x14ac:dyDescent="0.25">
      <c r="A6835" s="22" t="s">
        <v>6949</v>
      </c>
      <c r="B6835" s="36">
        <v>45735.80069444445</v>
      </c>
      <c r="C6835" s="36">
        <v>45735.90277777778</v>
      </c>
      <c r="D6835" s="22" t="s">
        <v>33</v>
      </c>
      <c r="E6835" s="22" t="s">
        <v>57</v>
      </c>
      <c r="F6835" s="22" t="s">
        <v>45</v>
      </c>
      <c r="G6835" s="22" t="s">
        <v>63</v>
      </c>
      <c r="H6835" s="22" t="s">
        <v>59</v>
      </c>
      <c r="I6835" s="22" t="s">
        <v>114</v>
      </c>
      <c r="J6835" s="23">
        <v>4</v>
      </c>
      <c r="K6835" s="37">
        <v>0</v>
      </c>
      <c r="L6835" s="37">
        <v>4</v>
      </c>
      <c r="M6835" s="22">
        <f>IF(OR(ISBLANK(C6835),C6835=""),"",ROUND((C6835-B6835)*24,2))</f>
        <v>2.45</v>
      </c>
      <c r="N6835" s="40" t="str">
        <f>IF(OR(ISBLANK(C6835),C6835="",M6835=""),"In Progress",IF(M6835&lt;=J6835,"Met","Breached"))</f>
        <v>Met</v>
      </c>
    </row>
    <row r="6836" ht="19" customHeight="1" spans="1:14" x14ac:dyDescent="0.25">
      <c r="A6836" s="19" t="s">
        <v>6950</v>
      </c>
      <c r="B6836" s="33">
        <v>46146.01458333334</v>
      </c>
      <c r="C6836" s="33">
        <v>46146.56041666667</v>
      </c>
      <c r="D6836" s="19" t="s">
        <v>36</v>
      </c>
      <c r="E6836" s="19" t="s">
        <v>61</v>
      </c>
      <c r="F6836" s="19" t="s">
        <v>43</v>
      </c>
      <c r="G6836" s="19" t="s">
        <v>63</v>
      </c>
      <c r="H6836" s="19" t="s">
        <v>71</v>
      </c>
      <c r="I6836" s="19" t="s">
        <v>117</v>
      </c>
      <c r="J6836" s="20">
        <v>12</v>
      </c>
      <c r="K6836" s="34">
        <v>0</v>
      </c>
      <c r="M6836" s="19">
        <f>IF(OR(ISBLANK(C6836),C6836=""),"",ROUND((C6836-B6836)*24,2))</f>
        <v>13.1</v>
      </c>
      <c r="N6836" s="39" t="str">
        <f>IF(OR(ISBLANK(C6836),C6836="",M6836=""),"In Progress",IF(M6836&lt;=J6836,"Met","Breached"))</f>
        <v>Breached</v>
      </c>
    </row>
    <row r="6837" ht="19" customHeight="1" spans="1:14" x14ac:dyDescent="0.25">
      <c r="A6837" s="22" t="s">
        <v>6951</v>
      </c>
      <c r="B6837" s="36">
        <v>46215.13958333334</v>
      </c>
      <c r="C6837" s="36">
        <v>46216.31041666667</v>
      </c>
      <c r="D6837" s="22" t="s">
        <v>33</v>
      </c>
      <c r="E6837" s="22" t="s">
        <v>65</v>
      </c>
      <c r="F6837" s="22" t="s">
        <v>40</v>
      </c>
      <c r="G6837" s="22" t="s">
        <v>110</v>
      </c>
      <c r="H6837" s="22" t="s">
        <v>63</v>
      </c>
      <c r="I6837" s="22" t="s">
        <v>114</v>
      </c>
      <c r="J6837" s="23">
        <v>48</v>
      </c>
      <c r="K6837" s="37">
        <v>0</v>
      </c>
      <c r="L6837" s="37">
        <v>1</v>
      </c>
      <c r="M6837" s="22">
        <f>IF(OR(ISBLANK(C6837),C6837=""),"",ROUND((C6837-B6837)*24,2))</f>
        <v>28.1</v>
      </c>
      <c r="N6837" s="40" t="str">
        <f>IF(OR(ISBLANK(C6837),C6837="",M6837=""),"In Progress",IF(M6837&lt;=J6837,"Met","Breached"))</f>
        <v>Met</v>
      </c>
    </row>
    <row r="6838" ht="19" customHeight="1" spans="1:14" x14ac:dyDescent="0.25">
      <c r="A6838" s="19" t="s">
        <v>6952</v>
      </c>
      <c r="B6838" s="33">
        <v>46200.80763888889</v>
      </c>
      <c r="C6838" s="33">
        <v>46203.336111111115</v>
      </c>
      <c r="D6838" s="19" t="s">
        <v>33</v>
      </c>
      <c r="E6838" s="19" t="s">
        <v>65</v>
      </c>
      <c r="F6838" s="19" t="s">
        <v>34</v>
      </c>
      <c r="G6838" s="19" t="s">
        <v>116</v>
      </c>
      <c r="H6838" s="19" t="s">
        <v>59</v>
      </c>
      <c r="I6838" s="19" t="s">
        <v>114</v>
      </c>
      <c r="J6838" s="20">
        <v>48</v>
      </c>
      <c r="K6838" s="34">
        <v>1</v>
      </c>
      <c r="L6838" s="34">
        <v>2</v>
      </c>
      <c r="M6838" s="19">
        <f>IF(OR(ISBLANK(C6838),C6838=""),"",ROUND((C6838-B6838)*24,2))</f>
        <v>60.68</v>
      </c>
      <c r="N6838" s="39" t="str">
        <f>IF(OR(ISBLANK(C6838),C6838="",M6838=""),"In Progress",IF(M6838&lt;=J6838,"Met","Breached"))</f>
        <v>Breached</v>
      </c>
    </row>
    <row r="6839" ht="19" customHeight="1" spans="1:14" x14ac:dyDescent="0.25">
      <c r="A6839" s="22" t="s">
        <v>6953</v>
      </c>
      <c r="B6839" s="36">
        <v>46157.174305555556</v>
      </c>
      <c r="C6839" s="36">
        <v>46161.55347222222</v>
      </c>
      <c r="D6839" s="22" t="s">
        <v>36</v>
      </c>
      <c r="E6839" s="22" t="s">
        <v>69</v>
      </c>
      <c r="F6839" s="22" t="s">
        <v>34</v>
      </c>
      <c r="G6839" s="22" t="s">
        <v>116</v>
      </c>
      <c r="H6839" s="22" t="s">
        <v>59</v>
      </c>
      <c r="I6839" s="22" t="s">
        <v>123</v>
      </c>
      <c r="J6839" s="23">
        <v>120</v>
      </c>
      <c r="K6839" s="37">
        <v>0</v>
      </c>
      <c r="M6839" s="22">
        <f>IF(OR(ISBLANK(C6839),C6839=""),"",ROUND((C6839-B6839)*24,2))</f>
        <v>105.1</v>
      </c>
      <c r="N6839" s="40" t="str">
        <f>IF(OR(ISBLANK(C6839),C6839="",M6839=""),"In Progress",IF(M6839&lt;=J6839,"Met","Breached"))</f>
        <v>Met</v>
      </c>
    </row>
    <row r="6840" ht="19" customHeight="1" spans="1:14" x14ac:dyDescent="0.25">
      <c r="A6840" s="19" t="s">
        <v>6954</v>
      </c>
      <c r="B6840" s="33">
        <v>45896.03125</v>
      </c>
      <c r="C6840" s="33">
        <v>45901.95486111111</v>
      </c>
      <c r="D6840" s="19" t="s">
        <v>33</v>
      </c>
      <c r="E6840" s="19" t="s">
        <v>69</v>
      </c>
      <c r="F6840" s="19" t="s">
        <v>34</v>
      </c>
      <c r="G6840" s="19" t="s">
        <v>113</v>
      </c>
      <c r="H6840" s="19" t="s">
        <v>59</v>
      </c>
      <c r="I6840" s="19" t="s">
        <v>123</v>
      </c>
      <c r="J6840" s="20">
        <v>120</v>
      </c>
      <c r="K6840" s="34">
        <v>0</v>
      </c>
      <c r="L6840" s="34">
        <v>1</v>
      </c>
      <c r="M6840" s="19">
        <f>IF(OR(ISBLANK(C6840),C6840=""),"",ROUND((C6840-B6840)*24,2))</f>
        <v>142.17</v>
      </c>
      <c r="N6840" s="39" t="str">
        <f>IF(OR(ISBLANK(C6840),C6840="",M6840=""),"In Progress",IF(M6840&lt;=J6840,"Met","Breached"))</f>
        <v>Breached</v>
      </c>
    </row>
    <row r="6841" ht="19" customHeight="1" spans="1:14" x14ac:dyDescent="0.25">
      <c r="A6841" s="22" t="s">
        <v>6955</v>
      </c>
      <c r="B6841" s="36">
        <v>45817.59722222222</v>
      </c>
      <c r="D6841" s="22" t="s">
        <v>42</v>
      </c>
      <c r="E6841" s="22" t="s">
        <v>57</v>
      </c>
      <c r="F6841" s="22" t="s">
        <v>40</v>
      </c>
      <c r="G6841" s="22" t="s">
        <v>63</v>
      </c>
      <c r="H6841" s="22" t="s">
        <v>59</v>
      </c>
      <c r="I6841" s="22" t="s">
        <v>111</v>
      </c>
      <c r="J6841" s="23">
        <v>4</v>
      </c>
      <c r="K6841" s="37">
        <v>0</v>
      </c>
      <c r="M6841" s="22" t="str">
        <f>IF(OR(ISBLANK(C6841),C6841=""),"",ROUND((C6841-B6841)*24,2))</f>
        <v/>
      </c>
      <c r="N6841" s="22" t="str">
        <f>IF(OR(ISBLANK(C6841),C6841="",M6841=""),"In Progress",IF(M6841&lt;=J6841,"Met","Breached"))</f>
        <v>In Progress</v>
      </c>
    </row>
    <row r="6842" ht="19" customHeight="1" spans="1:14" x14ac:dyDescent="0.25">
      <c r="A6842" s="19" t="s">
        <v>6956</v>
      </c>
      <c r="B6842" s="33">
        <v>45890.57847222222</v>
      </c>
      <c r="C6842" s="33">
        <v>45897.816666666666</v>
      </c>
      <c r="D6842" s="19" t="s">
        <v>36</v>
      </c>
      <c r="E6842" s="19" t="s">
        <v>69</v>
      </c>
      <c r="F6842" s="19" t="s">
        <v>40</v>
      </c>
      <c r="G6842" s="19" t="s">
        <v>113</v>
      </c>
      <c r="H6842" s="19" t="s">
        <v>59</v>
      </c>
      <c r="I6842" s="19" t="s">
        <v>111</v>
      </c>
      <c r="J6842" s="20">
        <v>120</v>
      </c>
      <c r="K6842" s="34">
        <v>0</v>
      </c>
      <c r="L6842" s="34">
        <v>3</v>
      </c>
      <c r="M6842" s="19">
        <f>IF(OR(ISBLANK(C6842),C6842=""),"",ROUND((C6842-B6842)*24,2))</f>
        <v>173.72</v>
      </c>
      <c r="N6842" s="39" t="str">
        <f>IF(OR(ISBLANK(C6842),C6842="",M6842=""),"In Progress",IF(M6842&lt;=J6842,"Met","Breached"))</f>
        <v>Breached</v>
      </c>
    </row>
    <row r="6843" ht="19" customHeight="1" spans="1:14" x14ac:dyDescent="0.25">
      <c r="A6843" s="22" t="s">
        <v>6957</v>
      </c>
      <c r="B6843" s="36">
        <v>45735.76736111111</v>
      </c>
      <c r="D6843" s="22" t="s">
        <v>39</v>
      </c>
      <c r="E6843" s="22" t="s">
        <v>61</v>
      </c>
      <c r="F6843" s="22" t="s">
        <v>34</v>
      </c>
      <c r="G6843" s="22" t="s">
        <v>63</v>
      </c>
      <c r="H6843" s="22" t="s">
        <v>63</v>
      </c>
      <c r="I6843" s="22" t="s">
        <v>147</v>
      </c>
      <c r="J6843" s="23">
        <v>12</v>
      </c>
      <c r="K6843" s="37">
        <v>0</v>
      </c>
      <c r="M6843" s="22" t="str">
        <f>IF(OR(ISBLANK(C6843),C6843=""),"",ROUND((C6843-B6843)*24,2))</f>
        <v/>
      </c>
      <c r="N6843" s="22" t="str">
        <f>IF(OR(ISBLANK(C6843),C6843="",M6843=""),"In Progress",IF(M6843&lt;=J6843,"Met","Breached"))</f>
        <v>In Progress</v>
      </c>
    </row>
    <row r="6844" ht="19" customHeight="1" spans="1:14" x14ac:dyDescent="0.25">
      <c r="A6844" s="19" t="s">
        <v>6958</v>
      </c>
      <c r="B6844" s="33">
        <v>46082.34930555556</v>
      </c>
      <c r="D6844" s="19" t="s">
        <v>39</v>
      </c>
      <c r="E6844" s="19" t="s">
        <v>61</v>
      </c>
      <c r="F6844" s="19" t="s">
        <v>37</v>
      </c>
      <c r="G6844" s="19" t="s">
        <v>110</v>
      </c>
      <c r="H6844" s="19" t="s">
        <v>63</v>
      </c>
      <c r="I6844" s="19" t="s">
        <v>111</v>
      </c>
      <c r="J6844" s="20">
        <v>12</v>
      </c>
      <c r="K6844" s="34">
        <v>0</v>
      </c>
      <c r="M6844" s="19" t="str">
        <f>IF(OR(ISBLANK(C6844),C6844=""),"",ROUND((C6844-B6844)*24,2))</f>
        <v/>
      </c>
      <c r="N6844" s="19" t="str">
        <f>IF(OR(ISBLANK(C6844),C6844="",M6844=""),"In Progress",IF(M6844&lt;=J6844,"Met","Breached"))</f>
        <v>In Progress</v>
      </c>
    </row>
    <row r="6845" ht="19" customHeight="1" spans="1:14" x14ac:dyDescent="0.25">
      <c r="A6845" s="22" t="s">
        <v>6959</v>
      </c>
      <c r="B6845" s="36">
        <v>45853.52638888889</v>
      </c>
      <c r="C6845" s="36">
        <v>45856.29513888889</v>
      </c>
      <c r="D6845" s="22" t="s">
        <v>33</v>
      </c>
      <c r="E6845" s="22" t="s">
        <v>65</v>
      </c>
      <c r="F6845" s="22" t="s">
        <v>45</v>
      </c>
      <c r="G6845" s="22" t="s">
        <v>110</v>
      </c>
      <c r="H6845" s="22" t="s">
        <v>63</v>
      </c>
      <c r="I6845" s="22" t="s">
        <v>114</v>
      </c>
      <c r="J6845" s="23">
        <v>48</v>
      </c>
      <c r="K6845" s="37">
        <v>0</v>
      </c>
      <c r="L6845" s="37">
        <v>5</v>
      </c>
      <c r="M6845" s="22">
        <f>IF(OR(ISBLANK(C6845),C6845=""),"",ROUND((C6845-B6845)*24,2))</f>
        <v>66.45</v>
      </c>
      <c r="N6845" s="38" t="str">
        <f>IF(OR(ISBLANK(C6845),C6845="",M6845=""),"In Progress",IF(M6845&lt;=J6845,"Met","Breached"))</f>
        <v>Breached</v>
      </c>
    </row>
    <row r="6846" ht="19" customHeight="1" spans="1:14" x14ac:dyDescent="0.25">
      <c r="A6846" s="19" t="s">
        <v>6960</v>
      </c>
      <c r="B6846" s="33">
        <v>45947.61875</v>
      </c>
      <c r="C6846" s="33">
        <v>45950.70763888889</v>
      </c>
      <c r="D6846" s="19" t="s">
        <v>33</v>
      </c>
      <c r="E6846" s="19" t="s">
        <v>65</v>
      </c>
      <c r="F6846" s="19" t="s">
        <v>34</v>
      </c>
      <c r="G6846" s="19" t="s">
        <v>121</v>
      </c>
      <c r="H6846" s="19" t="s">
        <v>63</v>
      </c>
      <c r="I6846" s="19" t="s">
        <v>108</v>
      </c>
      <c r="J6846" s="20">
        <v>48</v>
      </c>
      <c r="K6846" s="34">
        <v>0</v>
      </c>
      <c r="L6846" s="34">
        <v>4</v>
      </c>
      <c r="M6846" s="19">
        <f>IF(OR(ISBLANK(C6846),C6846=""),"",ROUND((C6846-B6846)*24,2))</f>
        <v>74.13</v>
      </c>
      <c r="N6846" s="39" t="str">
        <f>IF(OR(ISBLANK(C6846),C6846="",M6846=""),"In Progress",IF(M6846&lt;=J6846,"Met","Breached"))</f>
        <v>Breached</v>
      </c>
    </row>
    <row r="6847" ht="19" customHeight="1" spans="1:14" x14ac:dyDescent="0.25">
      <c r="A6847" s="22" t="s">
        <v>6961</v>
      </c>
      <c r="B6847" s="36">
        <v>45697.1625</v>
      </c>
      <c r="C6847" s="36">
        <v>45697.44375</v>
      </c>
      <c r="D6847" s="22" t="s">
        <v>33</v>
      </c>
      <c r="E6847" s="22" t="s">
        <v>61</v>
      </c>
      <c r="F6847" s="22" t="s">
        <v>34</v>
      </c>
      <c r="G6847" s="22" t="s">
        <v>126</v>
      </c>
      <c r="H6847" s="22" t="s">
        <v>59</v>
      </c>
      <c r="I6847" s="22" t="s">
        <v>108</v>
      </c>
      <c r="J6847" s="23">
        <v>12</v>
      </c>
      <c r="K6847" s="37">
        <v>0</v>
      </c>
      <c r="L6847" s="37">
        <v>4</v>
      </c>
      <c r="M6847" s="22">
        <f>IF(OR(ISBLANK(C6847),C6847=""),"",ROUND((C6847-B6847)*24,2))</f>
        <v>6.75</v>
      </c>
      <c r="N6847" s="40" t="str">
        <f>IF(OR(ISBLANK(C6847),C6847="",M6847=""),"In Progress",IF(M6847&lt;=J6847,"Met","Breached"))</f>
        <v>Met</v>
      </c>
    </row>
    <row r="6848" ht="19" customHeight="1" spans="1:14" x14ac:dyDescent="0.25">
      <c r="A6848" s="19" t="s">
        <v>6962</v>
      </c>
      <c r="B6848" s="33">
        <v>46208.2</v>
      </c>
      <c r="C6848" s="33">
        <v>46216.20694444445</v>
      </c>
      <c r="D6848" s="19" t="s">
        <v>33</v>
      </c>
      <c r="E6848" s="19" t="s">
        <v>69</v>
      </c>
      <c r="F6848" s="19" t="s">
        <v>37</v>
      </c>
      <c r="G6848" s="19" t="s">
        <v>113</v>
      </c>
      <c r="H6848" s="19" t="s">
        <v>59</v>
      </c>
      <c r="I6848" s="19" t="s">
        <v>111</v>
      </c>
      <c r="J6848" s="20">
        <v>120</v>
      </c>
      <c r="K6848" s="34">
        <v>0</v>
      </c>
      <c r="L6848" s="34">
        <v>4</v>
      </c>
      <c r="M6848" s="19">
        <f>IF(OR(ISBLANK(C6848),C6848=""),"",ROUND((C6848-B6848)*24,2))</f>
        <v>192.17</v>
      </c>
      <c r="N6848" s="39" t="str">
        <f>IF(OR(ISBLANK(C6848),C6848="",M6848=""),"In Progress",IF(M6848&lt;=J6848,"Met","Breached"))</f>
        <v>Breached</v>
      </c>
    </row>
    <row r="6849" ht="19" customHeight="1" spans="1:14" x14ac:dyDescent="0.25">
      <c r="A6849" s="22" t="s">
        <v>6963</v>
      </c>
      <c r="B6849" s="36">
        <v>45915.165972222225</v>
      </c>
      <c r="C6849" s="36">
        <v>45917.43819444445</v>
      </c>
      <c r="D6849" s="22" t="s">
        <v>36</v>
      </c>
      <c r="E6849" s="22" t="s">
        <v>65</v>
      </c>
      <c r="F6849" s="22" t="s">
        <v>40</v>
      </c>
      <c r="G6849" s="22" t="s">
        <v>116</v>
      </c>
      <c r="H6849" s="22" t="s">
        <v>59</v>
      </c>
      <c r="I6849" s="22" t="s">
        <v>117</v>
      </c>
      <c r="J6849" s="23">
        <v>48</v>
      </c>
      <c r="K6849" s="37">
        <v>0</v>
      </c>
      <c r="L6849" s="37">
        <v>1</v>
      </c>
      <c r="M6849" s="22">
        <f>IF(OR(ISBLANK(C6849),C6849=""),"",ROUND((C6849-B6849)*24,2))</f>
        <v>54.53</v>
      </c>
      <c r="N6849" s="38" t="str">
        <f>IF(OR(ISBLANK(C6849),C6849="",M6849=""),"In Progress",IF(M6849&lt;=J6849,"Met","Breached"))</f>
        <v>Breached</v>
      </c>
    </row>
    <row r="6850" ht="19" customHeight="1" spans="1:14" x14ac:dyDescent="0.25">
      <c r="A6850" s="19" t="s">
        <v>6964</v>
      </c>
      <c r="B6850" s="33">
        <v>46146.50208333333</v>
      </c>
      <c r="D6850" s="19" t="s">
        <v>39</v>
      </c>
      <c r="E6850" s="19" t="s">
        <v>65</v>
      </c>
      <c r="F6850" s="19" t="s">
        <v>34</v>
      </c>
      <c r="G6850" s="19" t="s">
        <v>121</v>
      </c>
      <c r="H6850" s="19" t="s">
        <v>63</v>
      </c>
      <c r="I6850" s="19" t="s">
        <v>108</v>
      </c>
      <c r="J6850" s="20">
        <v>48</v>
      </c>
      <c r="K6850" s="34">
        <v>0</v>
      </c>
      <c r="M6850" s="19" t="str">
        <f>IF(OR(ISBLANK(C6850),C6850=""),"",ROUND((C6850-B6850)*24,2))</f>
        <v/>
      </c>
      <c r="N6850" s="19" t="str">
        <f>IF(OR(ISBLANK(C6850),C6850="",M6850=""),"In Progress",IF(M6850&lt;=J6850,"Met","Breached"))</f>
        <v>In Progress</v>
      </c>
    </row>
    <row r="6851" ht="19" customHeight="1" spans="1:14" x14ac:dyDescent="0.25">
      <c r="A6851" s="22" t="s">
        <v>6965</v>
      </c>
      <c r="B6851" s="36">
        <v>46003.25833333333</v>
      </c>
      <c r="C6851" s="36">
        <v>46005.28958333333</v>
      </c>
      <c r="D6851" s="22" t="s">
        <v>33</v>
      </c>
      <c r="E6851" s="22" t="s">
        <v>65</v>
      </c>
      <c r="F6851" s="22" t="s">
        <v>40</v>
      </c>
      <c r="G6851" s="22" t="s">
        <v>110</v>
      </c>
      <c r="H6851" s="22" t="s">
        <v>59</v>
      </c>
      <c r="I6851" s="22" t="s">
        <v>114</v>
      </c>
      <c r="J6851" s="23">
        <v>48</v>
      </c>
      <c r="K6851" s="37">
        <v>0</v>
      </c>
      <c r="L6851" s="37">
        <v>1</v>
      </c>
      <c r="M6851" s="22">
        <f>IF(OR(ISBLANK(C6851),C6851=""),"",ROUND((C6851-B6851)*24,2))</f>
        <v>48.75</v>
      </c>
      <c r="N6851" s="38" t="str">
        <f>IF(OR(ISBLANK(C6851),C6851="",M6851=""),"In Progress",IF(M6851&lt;=J6851,"Met","Breached"))</f>
        <v>Breached</v>
      </c>
    </row>
    <row r="6852" ht="19" customHeight="1" spans="1:14" x14ac:dyDescent="0.25">
      <c r="A6852" s="19" t="s">
        <v>6966</v>
      </c>
      <c r="B6852" s="33">
        <v>45943.18263888889</v>
      </c>
      <c r="C6852" s="33">
        <v>45943.82083333333</v>
      </c>
      <c r="D6852" s="19" t="s">
        <v>33</v>
      </c>
      <c r="E6852" s="19" t="s">
        <v>61</v>
      </c>
      <c r="F6852" s="19" t="s">
        <v>34</v>
      </c>
      <c r="G6852" s="19" t="s">
        <v>63</v>
      </c>
      <c r="H6852" s="19" t="s">
        <v>63</v>
      </c>
      <c r="I6852" s="19" t="s">
        <v>147</v>
      </c>
      <c r="J6852" s="20">
        <v>12</v>
      </c>
      <c r="K6852" s="34">
        <v>1</v>
      </c>
      <c r="L6852" s="34">
        <v>3</v>
      </c>
      <c r="M6852" s="19">
        <f>IF(OR(ISBLANK(C6852),C6852=""),"",ROUND((C6852-B6852)*24,2))</f>
        <v>15.32</v>
      </c>
      <c r="N6852" s="39" t="str">
        <f>IF(OR(ISBLANK(C6852),C6852="",M6852=""),"In Progress",IF(M6852&lt;=J6852,"Met","Breached"))</f>
        <v>Breached</v>
      </c>
    </row>
    <row r="6853" ht="19" customHeight="1" spans="1:14" x14ac:dyDescent="0.25">
      <c r="A6853" s="22" t="s">
        <v>6967</v>
      </c>
      <c r="B6853" s="36">
        <v>45886.68958333333</v>
      </c>
      <c r="C6853" s="36">
        <v>45887.77847222222</v>
      </c>
      <c r="D6853" s="22" t="s">
        <v>36</v>
      </c>
      <c r="E6853" s="22" t="s">
        <v>65</v>
      </c>
      <c r="F6853" s="22" t="s">
        <v>34</v>
      </c>
      <c r="G6853" s="22" t="s">
        <v>126</v>
      </c>
      <c r="H6853" s="22" t="s">
        <v>71</v>
      </c>
      <c r="I6853" s="22" t="s">
        <v>117</v>
      </c>
      <c r="J6853" s="23">
        <v>48</v>
      </c>
      <c r="K6853" s="37">
        <v>0</v>
      </c>
      <c r="L6853" s="37">
        <v>2</v>
      </c>
      <c r="M6853" s="22">
        <f>IF(OR(ISBLANK(C6853),C6853=""),"",ROUND((C6853-B6853)*24,2))</f>
        <v>26.13</v>
      </c>
      <c r="N6853" s="40" t="str">
        <f>IF(OR(ISBLANK(C6853),C6853="",M6853=""),"In Progress",IF(M6853&lt;=J6853,"Met","Breached"))</f>
        <v>Met</v>
      </c>
    </row>
    <row r="6854" ht="19" customHeight="1" spans="1:14" x14ac:dyDescent="0.25">
      <c r="A6854" s="19" t="s">
        <v>6968</v>
      </c>
      <c r="B6854" s="33">
        <v>45813.91458333333</v>
      </c>
      <c r="C6854" s="33">
        <v>45814.978472222225</v>
      </c>
      <c r="D6854" s="19" t="s">
        <v>33</v>
      </c>
      <c r="E6854" s="19" t="s">
        <v>65</v>
      </c>
      <c r="F6854" s="19" t="s">
        <v>45</v>
      </c>
      <c r="G6854" s="19" t="s">
        <v>126</v>
      </c>
      <c r="H6854" s="19" t="s">
        <v>67</v>
      </c>
      <c r="I6854" s="19" t="s">
        <v>114</v>
      </c>
      <c r="J6854" s="20">
        <v>48</v>
      </c>
      <c r="K6854" s="34">
        <v>0</v>
      </c>
      <c r="M6854" s="19">
        <f>IF(OR(ISBLANK(C6854),C6854=""),"",ROUND((C6854-B6854)*24,2))</f>
        <v>25.53</v>
      </c>
      <c r="N6854" s="35" t="str">
        <f>IF(OR(ISBLANK(C6854),C6854="",M6854=""),"In Progress",IF(M6854&lt;=J6854,"Met","Breached"))</f>
        <v>Met</v>
      </c>
    </row>
    <row r="6855" ht="19" customHeight="1" spans="1:14" x14ac:dyDescent="0.25">
      <c r="A6855" s="22" t="s">
        <v>6969</v>
      </c>
      <c r="B6855" s="36">
        <v>45774.06736111111</v>
      </c>
      <c r="C6855" s="36">
        <v>45777.30972222222</v>
      </c>
      <c r="D6855" s="22" t="s">
        <v>33</v>
      </c>
      <c r="E6855" s="22" t="s">
        <v>65</v>
      </c>
      <c r="F6855" s="22" t="s">
        <v>37</v>
      </c>
      <c r="G6855" s="22" t="s">
        <v>63</v>
      </c>
      <c r="H6855" s="22" t="s">
        <v>59</v>
      </c>
      <c r="I6855" s="22" t="s">
        <v>114</v>
      </c>
      <c r="J6855" s="23">
        <v>48</v>
      </c>
      <c r="K6855" s="37">
        <v>0</v>
      </c>
      <c r="L6855" s="37">
        <v>4</v>
      </c>
      <c r="M6855" s="22">
        <f>IF(OR(ISBLANK(C6855),C6855=""),"",ROUND((C6855-B6855)*24,2))</f>
        <v>77.82</v>
      </c>
      <c r="N6855" s="38" t="str">
        <f>IF(OR(ISBLANK(C6855),C6855="",M6855=""),"In Progress",IF(M6855&lt;=J6855,"Met","Breached"))</f>
        <v>Breached</v>
      </c>
    </row>
    <row r="6856" ht="19" customHeight="1" spans="1:14" x14ac:dyDescent="0.25">
      <c r="A6856" s="19" t="s">
        <v>6970</v>
      </c>
      <c r="B6856" s="33">
        <v>46254.36458333333</v>
      </c>
      <c r="C6856" s="33">
        <v>46258.308333333334</v>
      </c>
      <c r="D6856" s="19" t="s">
        <v>33</v>
      </c>
      <c r="E6856" s="19" t="s">
        <v>69</v>
      </c>
      <c r="F6856" s="19" t="s">
        <v>40</v>
      </c>
      <c r="G6856" s="19" t="s">
        <v>110</v>
      </c>
      <c r="H6856" s="19" t="s">
        <v>59</v>
      </c>
      <c r="I6856" s="19" t="s">
        <v>111</v>
      </c>
      <c r="J6856" s="20">
        <v>120</v>
      </c>
      <c r="K6856" s="34">
        <v>0</v>
      </c>
      <c r="L6856" s="34">
        <v>5</v>
      </c>
      <c r="M6856" s="19">
        <f>IF(OR(ISBLANK(C6856),C6856=""),"",ROUND((C6856-B6856)*24,2))</f>
        <v>94.65</v>
      </c>
      <c r="N6856" s="35" t="str">
        <f>IF(OR(ISBLANK(C6856),C6856="",M6856=""),"In Progress",IF(M6856&lt;=J6856,"Met","Breached"))</f>
        <v>Met</v>
      </c>
    </row>
    <row r="6857" ht="19" customHeight="1" spans="1:14" x14ac:dyDescent="0.25">
      <c r="A6857" s="22" t="s">
        <v>6971</v>
      </c>
      <c r="B6857" s="36">
        <v>46075.23263888889</v>
      </c>
      <c r="C6857" s="36">
        <v>46076.31180555555</v>
      </c>
      <c r="D6857" s="22" t="s">
        <v>36</v>
      </c>
      <c r="E6857" s="22" t="s">
        <v>65</v>
      </c>
      <c r="F6857" s="22" t="s">
        <v>37</v>
      </c>
      <c r="G6857" s="22" t="s">
        <v>126</v>
      </c>
      <c r="H6857" s="22" t="s">
        <v>63</v>
      </c>
      <c r="I6857" s="22" t="s">
        <v>147</v>
      </c>
      <c r="J6857" s="23">
        <v>48</v>
      </c>
      <c r="K6857" s="37">
        <v>1</v>
      </c>
      <c r="L6857" s="37">
        <v>2</v>
      </c>
      <c r="M6857" s="22">
        <f>IF(OR(ISBLANK(C6857),C6857=""),"",ROUND((C6857-B6857)*24,2))</f>
        <v>25.9</v>
      </c>
      <c r="N6857" s="40" t="str">
        <f>IF(OR(ISBLANK(C6857),C6857="",M6857=""),"In Progress",IF(M6857&lt;=J6857,"Met","Breached"))</f>
        <v>Met</v>
      </c>
    </row>
    <row r="6858" ht="19" customHeight="1" spans="1:14" x14ac:dyDescent="0.25">
      <c r="A6858" s="19" t="s">
        <v>6972</v>
      </c>
      <c r="B6858" s="33">
        <v>45774.52847222222</v>
      </c>
      <c r="C6858" s="33">
        <v>45779.106944444444</v>
      </c>
      <c r="D6858" s="19" t="s">
        <v>33</v>
      </c>
      <c r="E6858" s="19" t="s">
        <v>69</v>
      </c>
      <c r="F6858" s="19" t="s">
        <v>37</v>
      </c>
      <c r="G6858" s="19" t="s">
        <v>126</v>
      </c>
      <c r="H6858" s="19" t="s">
        <v>63</v>
      </c>
      <c r="I6858" s="19" t="s">
        <v>114</v>
      </c>
      <c r="J6858" s="20">
        <v>120</v>
      </c>
      <c r="K6858" s="34">
        <v>0</v>
      </c>
      <c r="L6858" s="34">
        <v>1</v>
      </c>
      <c r="M6858" s="19">
        <f>IF(OR(ISBLANK(C6858),C6858=""),"",ROUND((C6858-B6858)*24,2))</f>
        <v>109.88</v>
      </c>
      <c r="N6858" s="35" t="str">
        <f>IF(OR(ISBLANK(C6858),C6858="",M6858=""),"In Progress",IF(M6858&lt;=J6858,"Met","Breached"))</f>
        <v>Met</v>
      </c>
    </row>
    <row r="6859" ht="19" customHeight="1" spans="1:14" x14ac:dyDescent="0.25">
      <c r="A6859" s="22" t="s">
        <v>6973</v>
      </c>
      <c r="B6859" s="36">
        <v>46125.97361111111</v>
      </c>
      <c r="C6859" s="36">
        <v>46126.13402777778</v>
      </c>
      <c r="D6859" s="22" t="s">
        <v>36</v>
      </c>
      <c r="E6859" s="22" t="s">
        <v>57</v>
      </c>
      <c r="F6859" s="22" t="s">
        <v>40</v>
      </c>
      <c r="G6859" s="22" t="s">
        <v>113</v>
      </c>
      <c r="H6859" s="22" t="s">
        <v>59</v>
      </c>
      <c r="I6859" s="22" t="s">
        <v>147</v>
      </c>
      <c r="J6859" s="23">
        <v>4</v>
      </c>
      <c r="K6859" s="37">
        <v>0</v>
      </c>
      <c r="M6859" s="22">
        <f>IF(OR(ISBLANK(C6859),C6859=""),"",ROUND((C6859-B6859)*24,2))</f>
        <v>3.85</v>
      </c>
      <c r="N6859" s="40" t="str">
        <f>IF(OR(ISBLANK(C6859),C6859="",M6859=""),"In Progress",IF(M6859&lt;=J6859,"Met","Breached"))</f>
        <v>Met</v>
      </c>
    </row>
    <row r="6860" ht="19" customHeight="1" spans="1:14" x14ac:dyDescent="0.25">
      <c r="A6860" s="19" t="s">
        <v>6974</v>
      </c>
      <c r="B6860" s="33">
        <v>45679.42638888889</v>
      </c>
      <c r="C6860" s="33">
        <v>45680.30694444444</v>
      </c>
      <c r="D6860" s="19" t="s">
        <v>36</v>
      </c>
      <c r="E6860" s="19" t="s">
        <v>61</v>
      </c>
      <c r="F6860" s="19" t="s">
        <v>34</v>
      </c>
      <c r="G6860" s="19" t="s">
        <v>113</v>
      </c>
      <c r="H6860" s="19" t="s">
        <v>59</v>
      </c>
      <c r="I6860" s="19" t="s">
        <v>117</v>
      </c>
      <c r="J6860" s="20">
        <v>12</v>
      </c>
      <c r="K6860" s="34">
        <v>0</v>
      </c>
      <c r="M6860" s="19">
        <f>IF(OR(ISBLANK(C6860),C6860=""),"",ROUND((C6860-B6860)*24,2))</f>
        <v>21.13</v>
      </c>
      <c r="N6860" s="39" t="str">
        <f>IF(OR(ISBLANK(C6860),C6860="",M6860=""),"In Progress",IF(M6860&lt;=J6860,"Met","Breached"))</f>
        <v>Breached</v>
      </c>
    </row>
    <row r="6861" ht="19" customHeight="1" spans="1:14" x14ac:dyDescent="0.25">
      <c r="A6861" s="22" t="s">
        <v>6975</v>
      </c>
      <c r="B6861" s="36">
        <v>46234.41111111111</v>
      </c>
      <c r="D6861" s="22" t="s">
        <v>39</v>
      </c>
      <c r="E6861" s="22" t="s">
        <v>65</v>
      </c>
      <c r="F6861" s="22" t="s">
        <v>43</v>
      </c>
      <c r="G6861" s="22" t="s">
        <v>126</v>
      </c>
      <c r="H6861" s="22" t="s">
        <v>71</v>
      </c>
      <c r="I6861" s="22" t="s">
        <v>108</v>
      </c>
      <c r="J6861" s="23">
        <v>48</v>
      </c>
      <c r="K6861" s="37">
        <v>0</v>
      </c>
      <c r="M6861" s="22" t="str">
        <f>IF(OR(ISBLANK(C6861),C6861=""),"",ROUND((C6861-B6861)*24,2))</f>
        <v/>
      </c>
      <c r="N6861" s="22" t="str">
        <f>IF(OR(ISBLANK(C6861),C6861="",M6861=""),"In Progress",IF(M6861&lt;=J6861,"Met","Breached"))</f>
        <v>In Progress</v>
      </c>
    </row>
    <row r="6862" ht="19" customHeight="1" spans="1:14" x14ac:dyDescent="0.25">
      <c r="A6862" s="19" t="s">
        <v>6976</v>
      </c>
      <c r="B6862" s="33">
        <v>45666.44583333333</v>
      </c>
      <c r="C6862" s="33">
        <v>45667.01597222222</v>
      </c>
      <c r="D6862" s="19" t="s">
        <v>36</v>
      </c>
      <c r="E6862" s="19" t="s">
        <v>61</v>
      </c>
      <c r="F6862" s="19" t="s">
        <v>40</v>
      </c>
      <c r="G6862" s="19" t="s">
        <v>121</v>
      </c>
      <c r="H6862" s="19" t="s">
        <v>63</v>
      </c>
      <c r="I6862" s="19" t="s">
        <v>108</v>
      </c>
      <c r="J6862" s="20">
        <v>12</v>
      </c>
      <c r="K6862" s="34">
        <v>0</v>
      </c>
      <c r="L6862" s="34">
        <v>3</v>
      </c>
      <c r="M6862" s="19">
        <f>IF(OR(ISBLANK(C6862),C6862=""),"",ROUND((C6862-B6862)*24,2))</f>
        <v>13.68</v>
      </c>
      <c r="N6862" s="39" t="str">
        <f>IF(OR(ISBLANK(C6862),C6862="",M6862=""),"In Progress",IF(M6862&lt;=J6862,"Met","Breached"))</f>
        <v>Breached</v>
      </c>
    </row>
    <row r="6863" ht="19" customHeight="1" spans="1:14" x14ac:dyDescent="0.25">
      <c r="A6863" s="22" t="s">
        <v>6977</v>
      </c>
      <c r="B6863" s="36">
        <v>46221.836111111115</v>
      </c>
      <c r="C6863" s="36">
        <v>46223.941666666666</v>
      </c>
      <c r="D6863" s="22" t="s">
        <v>36</v>
      </c>
      <c r="E6863" s="22" t="s">
        <v>65</v>
      </c>
      <c r="F6863" s="22" t="s">
        <v>40</v>
      </c>
      <c r="G6863" s="22" t="s">
        <v>63</v>
      </c>
      <c r="H6863" s="22" t="s">
        <v>59</v>
      </c>
      <c r="I6863" s="22" t="s">
        <v>123</v>
      </c>
      <c r="J6863" s="23">
        <v>48</v>
      </c>
      <c r="K6863" s="37">
        <v>0</v>
      </c>
      <c r="M6863" s="22">
        <f>IF(OR(ISBLANK(C6863),C6863=""),"",ROUND((C6863-B6863)*24,2))</f>
        <v>50.53</v>
      </c>
      <c r="N6863" s="38" t="str">
        <f>IF(OR(ISBLANK(C6863),C6863="",M6863=""),"In Progress",IF(M6863&lt;=J6863,"Met","Breached"))</f>
        <v>Breached</v>
      </c>
    </row>
    <row r="6864" ht="19" customHeight="1" spans="1:14" x14ac:dyDescent="0.25">
      <c r="A6864" s="19" t="s">
        <v>6978</v>
      </c>
      <c r="B6864" s="33">
        <v>45939.12638888889</v>
      </c>
      <c r="C6864" s="33">
        <v>45942.54027777778</v>
      </c>
      <c r="D6864" s="19" t="s">
        <v>33</v>
      </c>
      <c r="E6864" s="19" t="s">
        <v>65</v>
      </c>
      <c r="F6864" s="19" t="s">
        <v>34</v>
      </c>
      <c r="G6864" s="19" t="s">
        <v>116</v>
      </c>
      <c r="H6864" s="19" t="s">
        <v>67</v>
      </c>
      <c r="I6864" s="19" t="s">
        <v>108</v>
      </c>
      <c r="J6864" s="20">
        <v>48</v>
      </c>
      <c r="K6864" s="34">
        <v>0</v>
      </c>
      <c r="L6864" s="34">
        <v>2</v>
      </c>
      <c r="M6864" s="19">
        <f>IF(OR(ISBLANK(C6864),C6864=""),"",ROUND((C6864-B6864)*24,2))</f>
        <v>81.93</v>
      </c>
      <c r="N6864" s="39" t="str">
        <f>IF(OR(ISBLANK(C6864),C6864="",M6864=""),"In Progress",IF(M6864&lt;=J6864,"Met","Breached"))</f>
        <v>Breached</v>
      </c>
    </row>
    <row r="6865" ht="19" customHeight="1" spans="1:14" x14ac:dyDescent="0.25">
      <c r="A6865" s="22" t="s">
        <v>6979</v>
      </c>
      <c r="B6865" s="36">
        <v>46165.84930555556</v>
      </c>
      <c r="D6865" s="22" t="s">
        <v>39</v>
      </c>
      <c r="E6865" s="22" t="s">
        <v>69</v>
      </c>
      <c r="F6865" s="22" t="s">
        <v>34</v>
      </c>
      <c r="G6865" s="22" t="s">
        <v>63</v>
      </c>
      <c r="H6865" s="22" t="s">
        <v>59</v>
      </c>
      <c r="I6865" s="22" t="s">
        <v>147</v>
      </c>
      <c r="J6865" s="23">
        <v>120</v>
      </c>
      <c r="K6865" s="37">
        <v>0</v>
      </c>
      <c r="M6865" s="22" t="str">
        <f>IF(OR(ISBLANK(C6865),C6865=""),"",ROUND((C6865-B6865)*24,2))</f>
        <v/>
      </c>
      <c r="N6865" s="22" t="str">
        <f>IF(OR(ISBLANK(C6865),C6865="",M6865=""),"In Progress",IF(M6865&lt;=J6865,"Met","Breached"))</f>
        <v>In Progress</v>
      </c>
    </row>
    <row r="6866" ht="19" customHeight="1" spans="1:14" x14ac:dyDescent="0.25">
      <c r="A6866" s="19" t="s">
        <v>6980</v>
      </c>
      <c r="B6866" s="33">
        <v>45789.04166666667</v>
      </c>
      <c r="C6866" s="33">
        <v>45793.85486111111</v>
      </c>
      <c r="D6866" s="19" t="s">
        <v>33</v>
      </c>
      <c r="E6866" s="19" t="s">
        <v>69</v>
      </c>
      <c r="F6866" s="19" t="s">
        <v>45</v>
      </c>
      <c r="G6866" s="19" t="s">
        <v>63</v>
      </c>
      <c r="H6866" s="19" t="s">
        <v>71</v>
      </c>
      <c r="I6866" s="19" t="s">
        <v>111</v>
      </c>
      <c r="J6866" s="20">
        <v>120</v>
      </c>
      <c r="K6866" s="34">
        <v>0</v>
      </c>
      <c r="L6866" s="34">
        <v>4</v>
      </c>
      <c r="M6866" s="19">
        <f>IF(OR(ISBLANK(C6866),C6866=""),"",ROUND((C6866-B6866)*24,2))</f>
        <v>115.52</v>
      </c>
      <c r="N6866" s="35" t="str">
        <f>IF(OR(ISBLANK(C6866),C6866="",M6866=""),"In Progress",IF(M6866&lt;=J6866,"Met","Breached"))</f>
        <v>Met</v>
      </c>
    </row>
    <row r="6867" ht="19" customHeight="1" spans="1:14" x14ac:dyDescent="0.25">
      <c r="A6867" s="22" t="s">
        <v>6981</v>
      </c>
      <c r="B6867" s="36">
        <v>46288.075</v>
      </c>
      <c r="C6867" s="36">
        <v>46290.06527777778</v>
      </c>
      <c r="D6867" s="22" t="s">
        <v>36</v>
      </c>
      <c r="E6867" s="22" t="s">
        <v>65</v>
      </c>
      <c r="F6867" s="22" t="s">
        <v>45</v>
      </c>
      <c r="G6867" s="22" t="s">
        <v>121</v>
      </c>
      <c r="H6867" s="22" t="s">
        <v>63</v>
      </c>
      <c r="I6867" s="22" t="s">
        <v>111</v>
      </c>
      <c r="J6867" s="23">
        <v>48</v>
      </c>
      <c r="K6867" s="37">
        <v>0</v>
      </c>
      <c r="M6867" s="22">
        <f>IF(OR(ISBLANK(C6867),C6867=""),"",ROUND((C6867-B6867)*24,2))</f>
        <v>47.77</v>
      </c>
      <c r="N6867" s="40" t="str">
        <f>IF(OR(ISBLANK(C6867),C6867="",M6867=""),"In Progress",IF(M6867&lt;=J6867,"Met","Breached"))</f>
        <v>Met</v>
      </c>
    </row>
    <row r="6868" ht="19" customHeight="1" spans="1:14" x14ac:dyDescent="0.25">
      <c r="A6868" s="19" t="s">
        <v>6982</v>
      </c>
      <c r="B6868" s="33">
        <v>45677.66527777778</v>
      </c>
      <c r="C6868" s="33">
        <v>45677.86041666666</v>
      </c>
      <c r="D6868" s="19" t="s">
        <v>33</v>
      </c>
      <c r="E6868" s="19" t="s">
        <v>61</v>
      </c>
      <c r="F6868" s="19" t="s">
        <v>40</v>
      </c>
      <c r="G6868" s="19" t="s">
        <v>113</v>
      </c>
      <c r="H6868" s="19" t="s">
        <v>59</v>
      </c>
      <c r="I6868" s="19" t="s">
        <v>114</v>
      </c>
      <c r="J6868" s="20">
        <v>12</v>
      </c>
      <c r="K6868" s="34">
        <v>1</v>
      </c>
      <c r="L6868" s="34">
        <v>5</v>
      </c>
      <c r="M6868" s="19">
        <f>IF(OR(ISBLANK(C6868),C6868=""),"",ROUND((C6868-B6868)*24,2))</f>
        <v>4.68</v>
      </c>
      <c r="N6868" s="35" t="str">
        <f>IF(OR(ISBLANK(C6868),C6868="",M6868=""),"In Progress",IF(M6868&lt;=J6868,"Met","Breached"))</f>
        <v>Met</v>
      </c>
    </row>
    <row r="6869" ht="19" customHeight="1" spans="1:14" x14ac:dyDescent="0.25">
      <c r="A6869" s="22" t="s">
        <v>6983</v>
      </c>
      <c r="B6869" s="36">
        <v>45846.26666666666</v>
      </c>
      <c r="C6869" s="36">
        <v>45847.00277777778</v>
      </c>
      <c r="D6869" s="22" t="s">
        <v>33</v>
      </c>
      <c r="E6869" s="22" t="s">
        <v>65</v>
      </c>
      <c r="F6869" s="22" t="s">
        <v>43</v>
      </c>
      <c r="G6869" s="22" t="s">
        <v>110</v>
      </c>
      <c r="H6869" s="22" t="s">
        <v>67</v>
      </c>
      <c r="I6869" s="22" t="s">
        <v>111</v>
      </c>
      <c r="J6869" s="23">
        <v>48</v>
      </c>
      <c r="K6869" s="37">
        <v>0</v>
      </c>
      <c r="L6869" s="37">
        <v>2</v>
      </c>
      <c r="M6869" s="22">
        <f>IF(OR(ISBLANK(C6869),C6869=""),"",ROUND((C6869-B6869)*24,2))</f>
        <v>17.67</v>
      </c>
      <c r="N6869" s="40" t="str">
        <f>IF(OR(ISBLANK(C6869),C6869="",M6869=""),"In Progress",IF(M6869&lt;=J6869,"Met","Breached"))</f>
        <v>Met</v>
      </c>
    </row>
    <row r="6870" ht="19" customHeight="1" spans="1:14" x14ac:dyDescent="0.25">
      <c r="A6870" s="19" t="s">
        <v>6984</v>
      </c>
      <c r="B6870" s="33">
        <v>45915.225694444445</v>
      </c>
      <c r="C6870" s="33">
        <v>45915.92013888889</v>
      </c>
      <c r="D6870" s="19" t="s">
        <v>33</v>
      </c>
      <c r="E6870" s="19" t="s">
        <v>65</v>
      </c>
      <c r="F6870" s="19" t="s">
        <v>45</v>
      </c>
      <c r="G6870" s="19" t="s">
        <v>126</v>
      </c>
      <c r="H6870" s="19" t="s">
        <v>59</v>
      </c>
      <c r="I6870" s="19" t="s">
        <v>111</v>
      </c>
      <c r="J6870" s="20">
        <v>48</v>
      </c>
      <c r="K6870" s="34">
        <v>0</v>
      </c>
      <c r="L6870" s="34">
        <v>1</v>
      </c>
      <c r="M6870" s="19">
        <f>IF(OR(ISBLANK(C6870),C6870=""),"",ROUND((C6870-B6870)*24,2))</f>
        <v>16.67</v>
      </c>
      <c r="N6870" s="35" t="str">
        <f>IF(OR(ISBLANK(C6870),C6870="",M6870=""),"In Progress",IF(M6870&lt;=J6870,"Met","Breached"))</f>
        <v>Met</v>
      </c>
    </row>
    <row r="6871" ht="19" customHeight="1" spans="1:14" x14ac:dyDescent="0.25">
      <c r="A6871" s="22" t="s">
        <v>6985</v>
      </c>
      <c r="B6871" s="36">
        <v>45993.25555555556</v>
      </c>
      <c r="D6871" s="22" t="s">
        <v>39</v>
      </c>
      <c r="E6871" s="22" t="s">
        <v>65</v>
      </c>
      <c r="F6871" s="22" t="s">
        <v>40</v>
      </c>
      <c r="G6871" s="22" t="s">
        <v>63</v>
      </c>
      <c r="H6871" s="22" t="s">
        <v>63</v>
      </c>
      <c r="I6871" s="22" t="s">
        <v>108</v>
      </c>
      <c r="J6871" s="23">
        <v>48</v>
      </c>
      <c r="K6871" s="37">
        <v>0</v>
      </c>
      <c r="M6871" s="22" t="str">
        <f>IF(OR(ISBLANK(C6871),C6871=""),"",ROUND((C6871-B6871)*24,2))</f>
        <v/>
      </c>
      <c r="N6871" s="22" t="str">
        <f>IF(OR(ISBLANK(C6871),C6871="",M6871=""),"In Progress",IF(M6871&lt;=J6871,"Met","Breached"))</f>
        <v>In Progress</v>
      </c>
    </row>
    <row r="6872" ht="19" customHeight="1" spans="1:14" x14ac:dyDescent="0.25">
      <c r="A6872" s="19" t="s">
        <v>6986</v>
      </c>
      <c r="B6872" s="33">
        <v>46086.97083333333</v>
      </c>
      <c r="D6872" s="19" t="s">
        <v>39</v>
      </c>
      <c r="E6872" s="19" t="s">
        <v>69</v>
      </c>
      <c r="F6872" s="19" t="s">
        <v>40</v>
      </c>
      <c r="G6872" s="19" t="s">
        <v>116</v>
      </c>
      <c r="H6872" s="19" t="s">
        <v>59</v>
      </c>
      <c r="I6872" s="19" t="s">
        <v>114</v>
      </c>
      <c r="J6872" s="20">
        <v>120</v>
      </c>
      <c r="K6872" s="34">
        <v>0</v>
      </c>
      <c r="M6872" s="19" t="str">
        <f>IF(OR(ISBLANK(C6872),C6872=""),"",ROUND((C6872-B6872)*24,2))</f>
        <v/>
      </c>
      <c r="N6872" s="19" t="str">
        <f>IF(OR(ISBLANK(C6872),C6872="",M6872=""),"In Progress",IF(M6872&lt;=J6872,"Met","Breached"))</f>
        <v>In Progress</v>
      </c>
    </row>
    <row r="6873" ht="19" customHeight="1" spans="1:14" x14ac:dyDescent="0.25">
      <c r="A6873" s="22" t="s">
        <v>6987</v>
      </c>
      <c r="B6873" s="36">
        <v>46053.94375</v>
      </c>
      <c r="D6873" s="22" t="s">
        <v>42</v>
      </c>
      <c r="E6873" s="22" t="s">
        <v>65</v>
      </c>
      <c r="F6873" s="22" t="s">
        <v>45</v>
      </c>
      <c r="G6873" s="22" t="s">
        <v>116</v>
      </c>
      <c r="H6873" s="22" t="s">
        <v>67</v>
      </c>
      <c r="I6873" s="22" t="s">
        <v>114</v>
      </c>
      <c r="J6873" s="23">
        <v>48</v>
      </c>
      <c r="K6873" s="37">
        <v>0</v>
      </c>
      <c r="M6873" s="22" t="str">
        <f>IF(OR(ISBLANK(C6873),C6873=""),"",ROUND((C6873-B6873)*24,2))</f>
        <v/>
      </c>
      <c r="N6873" s="22" t="str">
        <f>IF(OR(ISBLANK(C6873),C6873="",M6873=""),"In Progress",IF(M6873&lt;=J6873,"Met","Breached"))</f>
        <v>In Progress</v>
      </c>
    </row>
    <row r="6874" ht="19" customHeight="1" spans="1:14" x14ac:dyDescent="0.25">
      <c r="A6874" s="19" t="s">
        <v>6988</v>
      </c>
      <c r="B6874" s="33">
        <v>46128.02013888889</v>
      </c>
      <c r="C6874" s="33">
        <v>46129.080555555556</v>
      </c>
      <c r="D6874" s="19" t="s">
        <v>33</v>
      </c>
      <c r="E6874" s="19" t="s">
        <v>65</v>
      </c>
      <c r="F6874" s="19" t="s">
        <v>40</v>
      </c>
      <c r="G6874" s="19" t="s">
        <v>113</v>
      </c>
      <c r="H6874" s="19" t="s">
        <v>63</v>
      </c>
      <c r="I6874" s="19" t="s">
        <v>108</v>
      </c>
      <c r="J6874" s="20">
        <v>48</v>
      </c>
      <c r="K6874" s="34">
        <v>0</v>
      </c>
      <c r="L6874" s="34">
        <v>5</v>
      </c>
      <c r="M6874" s="19">
        <f>IF(OR(ISBLANK(C6874),C6874=""),"",ROUND((C6874-B6874)*24,2))</f>
        <v>25.45</v>
      </c>
      <c r="N6874" s="35" t="str">
        <f>IF(OR(ISBLANK(C6874),C6874="",M6874=""),"In Progress",IF(M6874&lt;=J6874,"Met","Breached"))</f>
        <v>Met</v>
      </c>
    </row>
    <row r="6875" ht="19" customHeight="1" spans="1:14" x14ac:dyDescent="0.25">
      <c r="A6875" s="22" t="s">
        <v>6989</v>
      </c>
      <c r="B6875" s="36">
        <v>45837.399305555555</v>
      </c>
      <c r="D6875" s="22" t="s">
        <v>39</v>
      </c>
      <c r="E6875" s="22" t="s">
        <v>61</v>
      </c>
      <c r="F6875" s="22" t="s">
        <v>43</v>
      </c>
      <c r="G6875" s="22" t="s">
        <v>121</v>
      </c>
      <c r="H6875" s="22" t="s">
        <v>59</v>
      </c>
      <c r="I6875" s="22" t="s">
        <v>123</v>
      </c>
      <c r="J6875" s="23">
        <v>12</v>
      </c>
      <c r="K6875" s="37">
        <v>0</v>
      </c>
      <c r="M6875" s="22" t="str">
        <f>IF(OR(ISBLANK(C6875),C6875=""),"",ROUND((C6875-B6875)*24,2))</f>
        <v/>
      </c>
      <c r="N6875" s="22" t="str">
        <f>IF(OR(ISBLANK(C6875),C6875="",M6875=""),"In Progress",IF(M6875&lt;=J6875,"Met","Breached"))</f>
        <v>In Progress</v>
      </c>
    </row>
    <row r="6876" ht="19" customHeight="1" spans="1:14" x14ac:dyDescent="0.25">
      <c r="A6876" s="19" t="s">
        <v>6990</v>
      </c>
      <c r="B6876" s="33">
        <v>45869.59375</v>
      </c>
      <c r="C6876" s="33">
        <v>45873.410416666666</v>
      </c>
      <c r="D6876" s="19" t="s">
        <v>36</v>
      </c>
      <c r="E6876" s="19" t="s">
        <v>69</v>
      </c>
      <c r="F6876" s="19" t="s">
        <v>45</v>
      </c>
      <c r="G6876" s="19" t="s">
        <v>110</v>
      </c>
      <c r="H6876" s="19" t="s">
        <v>71</v>
      </c>
      <c r="I6876" s="19" t="s">
        <v>111</v>
      </c>
      <c r="J6876" s="20">
        <v>120</v>
      </c>
      <c r="K6876" s="34">
        <v>0</v>
      </c>
      <c r="L6876" s="34">
        <v>2</v>
      </c>
      <c r="M6876" s="19">
        <f>IF(OR(ISBLANK(C6876),C6876=""),"",ROUND((C6876-B6876)*24,2))</f>
        <v>91.6</v>
      </c>
      <c r="N6876" s="35" t="str">
        <f>IF(OR(ISBLANK(C6876),C6876="",M6876=""),"In Progress",IF(M6876&lt;=J6876,"Met","Breached"))</f>
        <v>Met</v>
      </c>
    </row>
    <row r="6877" ht="19" customHeight="1" spans="1:14" x14ac:dyDescent="0.25">
      <c r="A6877" s="22" t="s">
        <v>6991</v>
      </c>
      <c r="B6877" s="36">
        <v>45699.856944444444</v>
      </c>
      <c r="C6877" s="36">
        <v>45702.92361111111</v>
      </c>
      <c r="D6877" s="22" t="s">
        <v>33</v>
      </c>
      <c r="E6877" s="22" t="s">
        <v>69</v>
      </c>
      <c r="F6877" s="22" t="s">
        <v>45</v>
      </c>
      <c r="G6877" s="22" t="s">
        <v>63</v>
      </c>
      <c r="H6877" s="22" t="s">
        <v>67</v>
      </c>
      <c r="I6877" s="22" t="s">
        <v>114</v>
      </c>
      <c r="J6877" s="23">
        <v>120</v>
      </c>
      <c r="K6877" s="37">
        <v>0</v>
      </c>
      <c r="L6877" s="37">
        <v>2</v>
      </c>
      <c r="M6877" s="22">
        <f>IF(OR(ISBLANK(C6877),C6877=""),"",ROUND((C6877-B6877)*24,2))</f>
        <v>73.6</v>
      </c>
      <c r="N6877" s="40" t="str">
        <f>IF(OR(ISBLANK(C6877),C6877="",M6877=""),"In Progress",IF(M6877&lt;=J6877,"Met","Breached"))</f>
        <v>Met</v>
      </c>
    </row>
    <row r="6878" ht="19" customHeight="1" spans="1:14" x14ac:dyDescent="0.25">
      <c r="A6878" s="19" t="s">
        <v>6992</v>
      </c>
      <c r="B6878" s="33">
        <v>46073.54027777778</v>
      </c>
      <c r="D6878" s="19" t="s">
        <v>42</v>
      </c>
      <c r="E6878" s="19" t="s">
        <v>65</v>
      </c>
      <c r="F6878" s="19" t="s">
        <v>34</v>
      </c>
      <c r="G6878" s="19" t="s">
        <v>110</v>
      </c>
      <c r="H6878" s="19" t="s">
        <v>67</v>
      </c>
      <c r="I6878" s="19" t="s">
        <v>111</v>
      </c>
      <c r="J6878" s="20">
        <v>48</v>
      </c>
      <c r="K6878" s="34">
        <v>0</v>
      </c>
      <c r="M6878" s="19" t="str">
        <f>IF(OR(ISBLANK(C6878),C6878=""),"",ROUND((C6878-B6878)*24,2))</f>
        <v/>
      </c>
      <c r="N6878" s="19" t="str">
        <f>IF(OR(ISBLANK(C6878),C6878="",M6878=""),"In Progress",IF(M6878&lt;=J6878,"Met","Breached"))</f>
        <v>In Progress</v>
      </c>
    </row>
    <row r="6879" ht="19" customHeight="1" spans="1:14" x14ac:dyDescent="0.25">
      <c r="A6879" s="22" t="s">
        <v>6993</v>
      </c>
      <c r="B6879" s="36">
        <v>46156.58541666667</v>
      </c>
      <c r="C6879" s="36">
        <v>46159.95277777778</v>
      </c>
      <c r="D6879" s="22" t="s">
        <v>36</v>
      </c>
      <c r="E6879" s="22" t="s">
        <v>69</v>
      </c>
      <c r="F6879" s="22" t="s">
        <v>37</v>
      </c>
      <c r="G6879" s="22" t="s">
        <v>126</v>
      </c>
      <c r="H6879" s="22" t="s">
        <v>59</v>
      </c>
      <c r="I6879" s="22" t="s">
        <v>111</v>
      </c>
      <c r="J6879" s="23">
        <v>120</v>
      </c>
      <c r="K6879" s="37">
        <v>0</v>
      </c>
      <c r="M6879" s="22">
        <f>IF(OR(ISBLANK(C6879),C6879=""),"",ROUND((C6879-B6879)*24,2))</f>
        <v>80.82</v>
      </c>
      <c r="N6879" s="40" t="str">
        <f>IF(OR(ISBLANK(C6879),C6879="",M6879=""),"In Progress",IF(M6879&lt;=J6879,"Met","Breached"))</f>
        <v>Met</v>
      </c>
    </row>
    <row r="6880" ht="19" customHeight="1" spans="1:14" x14ac:dyDescent="0.25">
      <c r="A6880" s="19" t="s">
        <v>6994</v>
      </c>
      <c r="B6880" s="33">
        <v>45951.743055555555</v>
      </c>
      <c r="C6880" s="33">
        <v>45954.0875</v>
      </c>
      <c r="D6880" s="19" t="s">
        <v>36</v>
      </c>
      <c r="E6880" s="19" t="s">
        <v>65</v>
      </c>
      <c r="F6880" s="19" t="s">
        <v>40</v>
      </c>
      <c r="G6880" s="19" t="s">
        <v>63</v>
      </c>
      <c r="H6880" s="19" t="s">
        <v>63</v>
      </c>
      <c r="I6880" s="19" t="s">
        <v>108</v>
      </c>
      <c r="J6880" s="20">
        <v>48</v>
      </c>
      <c r="K6880" s="34">
        <v>0</v>
      </c>
      <c r="L6880" s="34">
        <v>2</v>
      </c>
      <c r="M6880" s="19">
        <f>IF(OR(ISBLANK(C6880),C6880=""),"",ROUND((C6880-B6880)*24,2))</f>
        <v>56.27</v>
      </c>
      <c r="N6880" s="39" t="str">
        <f>IF(OR(ISBLANK(C6880),C6880="",M6880=""),"In Progress",IF(M6880&lt;=J6880,"Met","Breached"))</f>
        <v>Breached</v>
      </c>
    </row>
    <row r="6881" ht="19" customHeight="1" spans="1:14" x14ac:dyDescent="0.25">
      <c r="A6881" s="22" t="s">
        <v>6995</v>
      </c>
      <c r="B6881" s="36">
        <v>45697.93125</v>
      </c>
      <c r="C6881" s="36">
        <v>45698.30625</v>
      </c>
      <c r="D6881" s="22" t="s">
        <v>36</v>
      </c>
      <c r="E6881" s="22" t="s">
        <v>61</v>
      </c>
      <c r="F6881" s="22" t="s">
        <v>45</v>
      </c>
      <c r="G6881" s="22" t="s">
        <v>113</v>
      </c>
      <c r="H6881" s="22" t="s">
        <v>71</v>
      </c>
      <c r="I6881" s="22" t="s">
        <v>147</v>
      </c>
      <c r="J6881" s="23">
        <v>12</v>
      </c>
      <c r="K6881" s="37">
        <v>0</v>
      </c>
      <c r="L6881" s="37">
        <v>5</v>
      </c>
      <c r="M6881" s="22">
        <f>IF(OR(ISBLANK(C6881),C6881=""),"",ROUND((C6881-B6881)*24,2))</f>
        <v>9</v>
      </c>
      <c r="N6881" s="40" t="str">
        <f>IF(OR(ISBLANK(C6881),C6881="",M6881=""),"In Progress",IF(M6881&lt;=J6881,"Met","Breached"))</f>
        <v>Met</v>
      </c>
    </row>
    <row r="6882" ht="19" customHeight="1" spans="1:14" x14ac:dyDescent="0.25">
      <c r="A6882" s="19" t="s">
        <v>6996</v>
      </c>
      <c r="B6882" s="33">
        <v>45790.61458333333</v>
      </c>
      <c r="C6882" s="33">
        <v>45794.36944444444</v>
      </c>
      <c r="D6882" s="19" t="s">
        <v>36</v>
      </c>
      <c r="E6882" s="19" t="s">
        <v>69</v>
      </c>
      <c r="F6882" s="19" t="s">
        <v>43</v>
      </c>
      <c r="G6882" s="19" t="s">
        <v>121</v>
      </c>
      <c r="H6882" s="19" t="s">
        <v>63</v>
      </c>
      <c r="I6882" s="19" t="s">
        <v>117</v>
      </c>
      <c r="J6882" s="20">
        <v>120</v>
      </c>
      <c r="K6882" s="34">
        <v>0</v>
      </c>
      <c r="L6882" s="34">
        <v>4</v>
      </c>
      <c r="M6882" s="19">
        <f>IF(OR(ISBLANK(C6882),C6882=""),"",ROUND((C6882-B6882)*24,2))</f>
        <v>90.12</v>
      </c>
      <c r="N6882" s="35" t="str">
        <f>IF(OR(ISBLANK(C6882),C6882="",M6882=""),"In Progress",IF(M6882&lt;=J6882,"Met","Breached"))</f>
        <v>Met</v>
      </c>
    </row>
    <row r="6883" ht="19" customHeight="1" spans="1:14" x14ac:dyDescent="0.25">
      <c r="A6883" s="22" t="s">
        <v>6997</v>
      </c>
      <c r="B6883" s="36">
        <v>45973.646527777775</v>
      </c>
      <c r="C6883" s="36">
        <v>45978.86597222222</v>
      </c>
      <c r="D6883" s="22" t="s">
        <v>33</v>
      </c>
      <c r="E6883" s="22" t="s">
        <v>69</v>
      </c>
      <c r="F6883" s="22" t="s">
        <v>45</v>
      </c>
      <c r="G6883" s="22" t="s">
        <v>126</v>
      </c>
      <c r="H6883" s="22" t="s">
        <v>59</v>
      </c>
      <c r="I6883" s="22" t="s">
        <v>147</v>
      </c>
      <c r="J6883" s="23">
        <v>120</v>
      </c>
      <c r="K6883" s="37">
        <v>0</v>
      </c>
      <c r="M6883" s="22">
        <f>IF(OR(ISBLANK(C6883),C6883=""),"",ROUND((C6883-B6883)*24,2))</f>
        <v>125.27</v>
      </c>
      <c r="N6883" s="38" t="str">
        <f>IF(OR(ISBLANK(C6883),C6883="",M6883=""),"In Progress",IF(M6883&lt;=J6883,"Met","Breached"))</f>
        <v>Breached</v>
      </c>
    </row>
    <row r="6884" ht="19" customHeight="1" spans="1:14" x14ac:dyDescent="0.25">
      <c r="A6884" s="19" t="s">
        <v>6998</v>
      </c>
      <c r="B6884" s="33">
        <v>45998.961805555555</v>
      </c>
      <c r="D6884" s="19" t="s">
        <v>39</v>
      </c>
      <c r="E6884" s="19" t="s">
        <v>61</v>
      </c>
      <c r="F6884" s="19" t="s">
        <v>40</v>
      </c>
      <c r="G6884" s="19" t="s">
        <v>63</v>
      </c>
      <c r="H6884" s="19" t="s">
        <v>67</v>
      </c>
      <c r="I6884" s="19" t="s">
        <v>111</v>
      </c>
      <c r="J6884" s="20">
        <v>12</v>
      </c>
      <c r="K6884" s="34">
        <v>0</v>
      </c>
      <c r="M6884" s="19" t="str">
        <f>IF(OR(ISBLANK(C6884),C6884=""),"",ROUND((C6884-B6884)*24,2))</f>
        <v/>
      </c>
      <c r="N6884" s="19" t="str">
        <f>IF(OR(ISBLANK(C6884),C6884="",M6884=""),"In Progress",IF(M6884&lt;=J6884,"Met","Breached"))</f>
        <v>In Progress</v>
      </c>
    </row>
    <row r="6885" ht="19" customHeight="1" spans="1:14" x14ac:dyDescent="0.25">
      <c r="A6885" s="22" t="s">
        <v>6999</v>
      </c>
      <c r="B6885" s="36">
        <v>45933.21944444445</v>
      </c>
      <c r="C6885" s="36">
        <v>45935.93402777778</v>
      </c>
      <c r="D6885" s="22" t="s">
        <v>33</v>
      </c>
      <c r="E6885" s="22" t="s">
        <v>69</v>
      </c>
      <c r="F6885" s="22" t="s">
        <v>45</v>
      </c>
      <c r="G6885" s="22" t="s">
        <v>110</v>
      </c>
      <c r="H6885" s="22" t="s">
        <v>67</v>
      </c>
      <c r="I6885" s="22" t="s">
        <v>117</v>
      </c>
      <c r="J6885" s="23">
        <v>120</v>
      </c>
      <c r="K6885" s="37">
        <v>0</v>
      </c>
      <c r="M6885" s="22">
        <f>IF(OR(ISBLANK(C6885),C6885=""),"",ROUND((C6885-B6885)*24,2))</f>
        <v>65.15</v>
      </c>
      <c r="N6885" s="40" t="str">
        <f>IF(OR(ISBLANK(C6885),C6885="",M6885=""),"In Progress",IF(M6885&lt;=J6885,"Met","Breached"))</f>
        <v>Met</v>
      </c>
    </row>
    <row r="6886" ht="19" customHeight="1" spans="1:14" x14ac:dyDescent="0.25">
      <c r="A6886" s="19" t="s">
        <v>7000</v>
      </c>
      <c r="B6886" s="33">
        <v>45754.861805555556</v>
      </c>
      <c r="C6886" s="33">
        <v>45755.06388888889</v>
      </c>
      <c r="D6886" s="19" t="s">
        <v>33</v>
      </c>
      <c r="E6886" s="19" t="s">
        <v>61</v>
      </c>
      <c r="F6886" s="19" t="s">
        <v>45</v>
      </c>
      <c r="G6886" s="19" t="s">
        <v>121</v>
      </c>
      <c r="H6886" s="19" t="s">
        <v>59</v>
      </c>
      <c r="I6886" s="19" t="s">
        <v>114</v>
      </c>
      <c r="J6886" s="20">
        <v>12</v>
      </c>
      <c r="K6886" s="34">
        <v>1</v>
      </c>
      <c r="L6886" s="34">
        <v>4</v>
      </c>
      <c r="M6886" s="19">
        <f>IF(OR(ISBLANK(C6886),C6886=""),"",ROUND((C6886-B6886)*24,2))</f>
        <v>4.85</v>
      </c>
      <c r="N6886" s="35" t="str">
        <f>IF(OR(ISBLANK(C6886),C6886="",M6886=""),"In Progress",IF(M6886&lt;=J6886,"Met","Breached"))</f>
        <v>Met</v>
      </c>
    </row>
    <row r="6887" ht="19" customHeight="1" spans="1:14" x14ac:dyDescent="0.25">
      <c r="A6887" s="22" t="s">
        <v>7001</v>
      </c>
      <c r="B6887" s="36">
        <v>45773.63125</v>
      </c>
      <c r="C6887" s="36">
        <v>45776.486805555556</v>
      </c>
      <c r="D6887" s="22" t="s">
        <v>33</v>
      </c>
      <c r="E6887" s="22" t="s">
        <v>65</v>
      </c>
      <c r="F6887" s="22" t="s">
        <v>43</v>
      </c>
      <c r="G6887" s="22" t="s">
        <v>110</v>
      </c>
      <c r="H6887" s="22" t="s">
        <v>59</v>
      </c>
      <c r="I6887" s="22" t="s">
        <v>111</v>
      </c>
      <c r="J6887" s="23">
        <v>48</v>
      </c>
      <c r="K6887" s="37">
        <v>0</v>
      </c>
      <c r="M6887" s="22">
        <f>IF(OR(ISBLANK(C6887),C6887=""),"",ROUND((C6887-B6887)*24,2))</f>
        <v>68.53</v>
      </c>
      <c r="N6887" s="38" t="str">
        <f>IF(OR(ISBLANK(C6887),C6887="",M6887=""),"In Progress",IF(M6887&lt;=J6887,"Met","Breached"))</f>
        <v>Breached</v>
      </c>
    </row>
    <row r="6888" ht="19" customHeight="1" spans="1:14" x14ac:dyDescent="0.25">
      <c r="A6888" s="19" t="s">
        <v>7002</v>
      </c>
      <c r="B6888" s="33">
        <v>46012.25347222222</v>
      </c>
      <c r="C6888" s="33">
        <v>46012.44305555556</v>
      </c>
      <c r="D6888" s="19" t="s">
        <v>36</v>
      </c>
      <c r="E6888" s="19" t="s">
        <v>61</v>
      </c>
      <c r="F6888" s="19" t="s">
        <v>37</v>
      </c>
      <c r="G6888" s="19" t="s">
        <v>126</v>
      </c>
      <c r="H6888" s="19" t="s">
        <v>63</v>
      </c>
      <c r="I6888" s="19" t="s">
        <v>117</v>
      </c>
      <c r="J6888" s="20">
        <v>12</v>
      </c>
      <c r="K6888" s="34">
        <v>0</v>
      </c>
      <c r="L6888" s="34">
        <v>1</v>
      </c>
      <c r="M6888" s="19">
        <f>IF(OR(ISBLANK(C6888),C6888=""),"",ROUND((C6888-B6888)*24,2))</f>
        <v>4.55</v>
      </c>
      <c r="N6888" s="35" t="str">
        <f>IF(OR(ISBLANK(C6888),C6888="",M6888=""),"In Progress",IF(M6888&lt;=J6888,"Met","Breached"))</f>
        <v>Met</v>
      </c>
    </row>
    <row r="6889" ht="19" customHeight="1" spans="1:14" x14ac:dyDescent="0.25">
      <c r="A6889" s="22" t="s">
        <v>7003</v>
      </c>
      <c r="B6889" s="36">
        <v>45723.90902777778</v>
      </c>
      <c r="C6889" s="36">
        <v>45724.20486111111</v>
      </c>
      <c r="D6889" s="22" t="s">
        <v>33</v>
      </c>
      <c r="E6889" s="22" t="s">
        <v>57</v>
      </c>
      <c r="F6889" s="22" t="s">
        <v>45</v>
      </c>
      <c r="G6889" s="22" t="s">
        <v>116</v>
      </c>
      <c r="H6889" s="22" t="s">
        <v>63</v>
      </c>
      <c r="I6889" s="22" t="s">
        <v>108</v>
      </c>
      <c r="J6889" s="23">
        <v>4</v>
      </c>
      <c r="K6889" s="37">
        <v>0</v>
      </c>
      <c r="L6889" s="37">
        <v>2</v>
      </c>
      <c r="M6889" s="22">
        <f>IF(OR(ISBLANK(C6889),C6889=""),"",ROUND((C6889-B6889)*24,2))</f>
        <v>7.1</v>
      </c>
      <c r="N6889" s="38" t="str">
        <f>IF(OR(ISBLANK(C6889),C6889="",M6889=""),"In Progress",IF(M6889&lt;=J6889,"Met","Breached"))</f>
        <v>Breached</v>
      </c>
    </row>
    <row r="6890" ht="19" customHeight="1" spans="1:14" x14ac:dyDescent="0.25">
      <c r="A6890" s="19" t="s">
        <v>7004</v>
      </c>
      <c r="B6890" s="33">
        <v>45918.95277777778</v>
      </c>
      <c r="C6890" s="33">
        <v>45921.67638888889</v>
      </c>
      <c r="D6890" s="19" t="s">
        <v>33</v>
      </c>
      <c r="E6890" s="19" t="s">
        <v>65</v>
      </c>
      <c r="F6890" s="19" t="s">
        <v>40</v>
      </c>
      <c r="G6890" s="19" t="s">
        <v>113</v>
      </c>
      <c r="H6890" s="19" t="s">
        <v>67</v>
      </c>
      <c r="I6890" s="19" t="s">
        <v>111</v>
      </c>
      <c r="J6890" s="20">
        <v>48</v>
      </c>
      <c r="K6890" s="34">
        <v>0</v>
      </c>
      <c r="M6890" s="19">
        <f>IF(OR(ISBLANK(C6890),C6890=""),"",ROUND((C6890-B6890)*24,2))</f>
        <v>65.37</v>
      </c>
      <c r="N6890" s="39" t="str">
        <f>IF(OR(ISBLANK(C6890),C6890="",M6890=""),"In Progress",IF(M6890&lt;=J6890,"Met","Breached"))</f>
        <v>Breached</v>
      </c>
    </row>
    <row r="6891" ht="19" customHeight="1" spans="1:14" x14ac:dyDescent="0.25">
      <c r="A6891" s="22" t="s">
        <v>7005</v>
      </c>
      <c r="B6891" s="36">
        <v>45940.629166666666</v>
      </c>
      <c r="C6891" s="36">
        <v>45941.49375</v>
      </c>
      <c r="D6891" s="22" t="s">
        <v>36</v>
      </c>
      <c r="E6891" s="22" t="s">
        <v>61</v>
      </c>
      <c r="F6891" s="22" t="s">
        <v>37</v>
      </c>
      <c r="G6891" s="22" t="s">
        <v>113</v>
      </c>
      <c r="H6891" s="22" t="s">
        <v>59</v>
      </c>
      <c r="I6891" s="22" t="s">
        <v>147</v>
      </c>
      <c r="J6891" s="23">
        <v>12</v>
      </c>
      <c r="K6891" s="37">
        <v>0</v>
      </c>
      <c r="L6891" s="37">
        <v>4</v>
      </c>
      <c r="M6891" s="22">
        <f>IF(OR(ISBLANK(C6891),C6891=""),"",ROUND((C6891-B6891)*24,2))</f>
        <v>20.75</v>
      </c>
      <c r="N6891" s="38" t="str">
        <f>IF(OR(ISBLANK(C6891),C6891="",M6891=""),"In Progress",IF(M6891&lt;=J6891,"Met","Breached"))</f>
        <v>Breached</v>
      </c>
    </row>
    <row r="6892" ht="19" customHeight="1" spans="1:14" x14ac:dyDescent="0.25">
      <c r="A6892" s="19" t="s">
        <v>7006</v>
      </c>
      <c r="B6892" s="33">
        <v>45765.01527777778</v>
      </c>
      <c r="C6892" s="33">
        <v>45765.64513888889</v>
      </c>
      <c r="D6892" s="19" t="s">
        <v>33</v>
      </c>
      <c r="E6892" s="19" t="s">
        <v>61</v>
      </c>
      <c r="F6892" s="19" t="s">
        <v>43</v>
      </c>
      <c r="G6892" s="19" t="s">
        <v>110</v>
      </c>
      <c r="H6892" s="19" t="s">
        <v>71</v>
      </c>
      <c r="I6892" s="19" t="s">
        <v>123</v>
      </c>
      <c r="J6892" s="20">
        <v>12</v>
      </c>
      <c r="K6892" s="34">
        <v>0</v>
      </c>
      <c r="M6892" s="19">
        <f>IF(OR(ISBLANK(C6892),C6892=""),"",ROUND((C6892-B6892)*24,2))</f>
        <v>15.12</v>
      </c>
      <c r="N6892" s="39" t="str">
        <f>IF(OR(ISBLANK(C6892),C6892="",M6892=""),"In Progress",IF(M6892&lt;=J6892,"Met","Breached"))</f>
        <v>Breached</v>
      </c>
    </row>
    <row r="6893" ht="19" customHeight="1" spans="1:14" x14ac:dyDescent="0.25">
      <c r="A6893" s="22" t="s">
        <v>7007</v>
      </c>
      <c r="B6893" s="36">
        <v>46086.34722222222</v>
      </c>
      <c r="C6893" s="36">
        <v>46087.10486111111</v>
      </c>
      <c r="D6893" s="22" t="s">
        <v>33</v>
      </c>
      <c r="E6893" s="22" t="s">
        <v>61</v>
      </c>
      <c r="F6893" s="22" t="s">
        <v>37</v>
      </c>
      <c r="G6893" s="22" t="s">
        <v>63</v>
      </c>
      <c r="H6893" s="22" t="s">
        <v>59</v>
      </c>
      <c r="I6893" s="22" t="s">
        <v>111</v>
      </c>
      <c r="J6893" s="23">
        <v>12</v>
      </c>
      <c r="K6893" s="37">
        <v>0</v>
      </c>
      <c r="L6893" s="37">
        <v>1</v>
      </c>
      <c r="M6893" s="22">
        <f>IF(OR(ISBLANK(C6893),C6893=""),"",ROUND((C6893-B6893)*24,2))</f>
        <v>18.18</v>
      </c>
      <c r="N6893" s="38" t="str">
        <f>IF(OR(ISBLANK(C6893),C6893="",M6893=""),"In Progress",IF(M6893&lt;=J6893,"Met","Breached"))</f>
        <v>Breached</v>
      </c>
    </row>
    <row r="6894" ht="19" customHeight="1" spans="1:14" x14ac:dyDescent="0.25">
      <c r="A6894" s="19" t="s">
        <v>7008</v>
      </c>
      <c r="B6894" s="33">
        <v>46175.76180555555</v>
      </c>
      <c r="C6894" s="33">
        <v>46182.879166666666</v>
      </c>
      <c r="D6894" s="19" t="s">
        <v>33</v>
      </c>
      <c r="E6894" s="19" t="s">
        <v>69</v>
      </c>
      <c r="F6894" s="19" t="s">
        <v>40</v>
      </c>
      <c r="G6894" s="19" t="s">
        <v>113</v>
      </c>
      <c r="H6894" s="19" t="s">
        <v>63</v>
      </c>
      <c r="I6894" s="19" t="s">
        <v>117</v>
      </c>
      <c r="J6894" s="20">
        <v>120</v>
      </c>
      <c r="K6894" s="34">
        <v>0</v>
      </c>
      <c r="L6894" s="34">
        <v>2</v>
      </c>
      <c r="M6894" s="19">
        <f>IF(OR(ISBLANK(C6894),C6894=""),"",ROUND((C6894-B6894)*24,2))</f>
        <v>170.82</v>
      </c>
      <c r="N6894" s="39" t="str">
        <f>IF(OR(ISBLANK(C6894),C6894="",M6894=""),"In Progress",IF(M6894&lt;=J6894,"Met","Breached"))</f>
        <v>Breached</v>
      </c>
    </row>
    <row r="6895" ht="19" customHeight="1" spans="1:14" x14ac:dyDescent="0.25">
      <c r="A6895" s="22" t="s">
        <v>7009</v>
      </c>
      <c r="B6895" s="36">
        <v>46107.68819444445</v>
      </c>
      <c r="C6895" s="36">
        <v>46108.70694444445</v>
      </c>
      <c r="D6895" s="22" t="s">
        <v>36</v>
      </c>
      <c r="E6895" s="22" t="s">
        <v>65</v>
      </c>
      <c r="F6895" s="22" t="s">
        <v>43</v>
      </c>
      <c r="G6895" s="22" t="s">
        <v>63</v>
      </c>
      <c r="H6895" s="22" t="s">
        <v>63</v>
      </c>
      <c r="I6895" s="22" t="s">
        <v>123</v>
      </c>
      <c r="J6895" s="23">
        <v>48</v>
      </c>
      <c r="K6895" s="37">
        <v>0</v>
      </c>
      <c r="L6895" s="37">
        <v>4</v>
      </c>
      <c r="M6895" s="22">
        <f>IF(OR(ISBLANK(C6895),C6895=""),"",ROUND((C6895-B6895)*24,2))</f>
        <v>24.45</v>
      </c>
      <c r="N6895" s="40" t="str">
        <f>IF(OR(ISBLANK(C6895),C6895="",M6895=""),"In Progress",IF(M6895&lt;=J6895,"Met","Breached"))</f>
        <v>Met</v>
      </c>
    </row>
    <row r="6896" ht="19" customHeight="1" spans="1:14" x14ac:dyDescent="0.25">
      <c r="A6896" s="19" t="s">
        <v>7010</v>
      </c>
      <c r="B6896" s="33">
        <v>45842.8875</v>
      </c>
      <c r="C6896" s="33">
        <v>45847.12430555555</v>
      </c>
      <c r="D6896" s="19" t="s">
        <v>36</v>
      </c>
      <c r="E6896" s="19" t="s">
        <v>69</v>
      </c>
      <c r="F6896" s="19" t="s">
        <v>34</v>
      </c>
      <c r="G6896" s="19" t="s">
        <v>116</v>
      </c>
      <c r="H6896" s="19" t="s">
        <v>63</v>
      </c>
      <c r="I6896" s="19" t="s">
        <v>117</v>
      </c>
      <c r="J6896" s="20">
        <v>120</v>
      </c>
      <c r="K6896" s="34">
        <v>0</v>
      </c>
      <c r="L6896" s="34">
        <v>5</v>
      </c>
      <c r="M6896" s="19">
        <f>IF(OR(ISBLANK(C6896),C6896=""),"",ROUND((C6896-B6896)*24,2))</f>
        <v>101.68</v>
      </c>
      <c r="N6896" s="35" t="str">
        <f>IF(OR(ISBLANK(C6896),C6896="",M6896=""),"In Progress",IF(M6896&lt;=J6896,"Met","Breached"))</f>
        <v>Met</v>
      </c>
    </row>
    <row r="6897" ht="19" customHeight="1" spans="1:14" x14ac:dyDescent="0.25">
      <c r="A6897" s="22" t="s">
        <v>7011</v>
      </c>
      <c r="B6897" s="36">
        <v>45788.08819444444</v>
      </c>
      <c r="C6897" s="36">
        <v>45788.382638888885</v>
      </c>
      <c r="D6897" s="22" t="s">
        <v>36</v>
      </c>
      <c r="E6897" s="22" t="s">
        <v>61</v>
      </c>
      <c r="F6897" s="22" t="s">
        <v>45</v>
      </c>
      <c r="G6897" s="22" t="s">
        <v>63</v>
      </c>
      <c r="H6897" s="22" t="s">
        <v>71</v>
      </c>
      <c r="I6897" s="22" t="s">
        <v>111</v>
      </c>
      <c r="J6897" s="23">
        <v>12</v>
      </c>
      <c r="K6897" s="37">
        <v>0</v>
      </c>
      <c r="L6897" s="37">
        <v>5</v>
      </c>
      <c r="M6897" s="22">
        <f>IF(OR(ISBLANK(C6897),C6897=""),"",ROUND((C6897-B6897)*24,2))</f>
        <v>7.07</v>
      </c>
      <c r="N6897" s="40" t="str">
        <f>IF(OR(ISBLANK(C6897),C6897="",M6897=""),"In Progress",IF(M6897&lt;=J6897,"Met","Breached"))</f>
        <v>Met</v>
      </c>
    </row>
    <row r="6898" ht="19" customHeight="1" spans="1:14" x14ac:dyDescent="0.25">
      <c r="A6898" s="19" t="s">
        <v>7012</v>
      </c>
      <c r="B6898" s="33">
        <v>46051.15902777778</v>
      </c>
      <c r="C6898" s="33">
        <v>46053.34930555556</v>
      </c>
      <c r="D6898" s="19" t="s">
        <v>33</v>
      </c>
      <c r="E6898" s="19" t="s">
        <v>65</v>
      </c>
      <c r="F6898" s="19" t="s">
        <v>34</v>
      </c>
      <c r="G6898" s="19" t="s">
        <v>110</v>
      </c>
      <c r="H6898" s="19" t="s">
        <v>59</v>
      </c>
      <c r="I6898" s="19" t="s">
        <v>123</v>
      </c>
      <c r="J6898" s="20">
        <v>48</v>
      </c>
      <c r="K6898" s="34">
        <v>0</v>
      </c>
      <c r="M6898" s="19">
        <f>IF(OR(ISBLANK(C6898),C6898=""),"",ROUND((C6898-B6898)*24,2))</f>
        <v>52.57</v>
      </c>
      <c r="N6898" s="39" t="str">
        <f>IF(OR(ISBLANK(C6898),C6898="",M6898=""),"In Progress",IF(M6898&lt;=J6898,"Met","Breached"))</f>
        <v>Breached</v>
      </c>
    </row>
    <row r="6899" ht="19" customHeight="1" spans="1:14" x14ac:dyDescent="0.25">
      <c r="A6899" s="22" t="s">
        <v>7013</v>
      </c>
      <c r="B6899" s="36">
        <v>45665.74652777778</v>
      </c>
      <c r="C6899" s="36">
        <v>45666.28194444445</v>
      </c>
      <c r="D6899" s="22" t="s">
        <v>33</v>
      </c>
      <c r="E6899" s="22" t="s">
        <v>61</v>
      </c>
      <c r="F6899" s="22" t="s">
        <v>40</v>
      </c>
      <c r="G6899" s="22" t="s">
        <v>63</v>
      </c>
      <c r="H6899" s="22" t="s">
        <v>59</v>
      </c>
      <c r="I6899" s="22" t="s">
        <v>123</v>
      </c>
      <c r="J6899" s="23">
        <v>12</v>
      </c>
      <c r="K6899" s="37">
        <v>0</v>
      </c>
      <c r="L6899" s="37">
        <v>5</v>
      </c>
      <c r="M6899" s="22">
        <f>IF(OR(ISBLANK(C6899),C6899=""),"",ROUND((C6899-B6899)*24,2))</f>
        <v>12.85</v>
      </c>
      <c r="N6899" s="38" t="str">
        <f>IF(OR(ISBLANK(C6899),C6899="",M6899=""),"In Progress",IF(M6899&lt;=J6899,"Met","Breached"))</f>
        <v>Breached</v>
      </c>
    </row>
    <row r="6900" ht="19" customHeight="1" spans="1:14" x14ac:dyDescent="0.25">
      <c r="A6900" s="19" t="s">
        <v>7014</v>
      </c>
      <c r="B6900" s="33">
        <v>46284.256944444445</v>
      </c>
      <c r="C6900" s="33">
        <v>46292.83333333333</v>
      </c>
      <c r="D6900" s="19" t="s">
        <v>36</v>
      </c>
      <c r="E6900" s="19" t="s">
        <v>69</v>
      </c>
      <c r="F6900" s="19" t="s">
        <v>40</v>
      </c>
      <c r="G6900" s="19" t="s">
        <v>121</v>
      </c>
      <c r="H6900" s="19" t="s">
        <v>63</v>
      </c>
      <c r="I6900" s="19" t="s">
        <v>117</v>
      </c>
      <c r="J6900" s="20">
        <v>120</v>
      </c>
      <c r="K6900" s="34">
        <v>0</v>
      </c>
      <c r="L6900" s="34">
        <v>2</v>
      </c>
      <c r="M6900" s="19">
        <f>IF(OR(ISBLANK(C6900),C6900=""),"",ROUND((C6900-B6900)*24,2))</f>
        <v>205.83</v>
      </c>
      <c r="N6900" s="39" t="str">
        <f>IF(OR(ISBLANK(C6900),C6900="",M6900=""),"In Progress",IF(M6900&lt;=J6900,"Met","Breached"))</f>
        <v>Breached</v>
      </c>
    </row>
    <row r="6901" ht="19" customHeight="1" spans="1:14" x14ac:dyDescent="0.25">
      <c r="A6901" s="22" t="s">
        <v>7015</v>
      </c>
      <c r="B6901" s="36">
        <v>46256.57847222222</v>
      </c>
      <c r="C6901" s="36">
        <v>46260.17361111111</v>
      </c>
      <c r="D6901" s="22" t="s">
        <v>33</v>
      </c>
      <c r="E6901" s="22" t="s">
        <v>65</v>
      </c>
      <c r="F6901" s="22" t="s">
        <v>45</v>
      </c>
      <c r="G6901" s="22" t="s">
        <v>113</v>
      </c>
      <c r="H6901" s="22" t="s">
        <v>67</v>
      </c>
      <c r="I6901" s="22" t="s">
        <v>108</v>
      </c>
      <c r="J6901" s="23">
        <v>48</v>
      </c>
      <c r="K6901" s="37">
        <v>0</v>
      </c>
      <c r="L6901" s="37">
        <v>2</v>
      </c>
      <c r="M6901" s="22">
        <f>IF(OR(ISBLANK(C6901),C6901=""),"",ROUND((C6901-B6901)*24,2))</f>
        <v>86.28</v>
      </c>
      <c r="N6901" s="38" t="str">
        <f>IF(OR(ISBLANK(C6901),C6901="",M6901=""),"In Progress",IF(M6901&lt;=J6901,"Met","Breached"))</f>
        <v>Breached</v>
      </c>
    </row>
    <row r="6902" ht="19" customHeight="1" spans="1:14" x14ac:dyDescent="0.25">
      <c r="A6902" s="19" t="s">
        <v>7016</v>
      </c>
      <c r="B6902" s="33">
        <v>46105.32152777778</v>
      </c>
      <c r="D6902" s="19" t="s">
        <v>39</v>
      </c>
      <c r="E6902" s="19" t="s">
        <v>65</v>
      </c>
      <c r="F6902" s="19" t="s">
        <v>43</v>
      </c>
      <c r="G6902" s="19" t="s">
        <v>113</v>
      </c>
      <c r="H6902" s="19" t="s">
        <v>63</v>
      </c>
      <c r="I6902" s="19" t="s">
        <v>108</v>
      </c>
      <c r="J6902" s="20">
        <v>48</v>
      </c>
      <c r="K6902" s="34">
        <v>0</v>
      </c>
      <c r="M6902" s="19" t="str">
        <f>IF(OR(ISBLANK(C6902),C6902=""),"",ROUND((C6902-B6902)*24,2))</f>
        <v/>
      </c>
      <c r="N6902" s="19" t="str">
        <f>IF(OR(ISBLANK(C6902),C6902="",M6902=""),"In Progress",IF(M6902&lt;=J6902,"Met","Breached"))</f>
        <v>In Progress</v>
      </c>
    </row>
    <row r="6903" ht="19" customHeight="1" spans="1:14" x14ac:dyDescent="0.25">
      <c r="A6903" s="22" t="s">
        <v>7017</v>
      </c>
      <c r="B6903" s="36">
        <v>46094.99722222222</v>
      </c>
      <c r="C6903" s="36">
        <v>46095.629166666666</v>
      </c>
      <c r="D6903" s="22" t="s">
        <v>36</v>
      </c>
      <c r="E6903" s="22" t="s">
        <v>61</v>
      </c>
      <c r="F6903" s="22" t="s">
        <v>43</v>
      </c>
      <c r="G6903" s="22" t="s">
        <v>110</v>
      </c>
      <c r="H6903" s="22" t="s">
        <v>71</v>
      </c>
      <c r="I6903" s="22" t="s">
        <v>114</v>
      </c>
      <c r="J6903" s="23">
        <v>12</v>
      </c>
      <c r="K6903" s="37">
        <v>0</v>
      </c>
      <c r="M6903" s="22">
        <f>IF(OR(ISBLANK(C6903),C6903=""),"",ROUND((C6903-B6903)*24,2))</f>
        <v>15.17</v>
      </c>
      <c r="N6903" s="38" t="str">
        <f>IF(OR(ISBLANK(C6903),C6903="",M6903=""),"In Progress",IF(M6903&lt;=J6903,"Met","Breached"))</f>
        <v>Breached</v>
      </c>
    </row>
    <row r="6904" ht="19" customHeight="1" spans="1:14" x14ac:dyDescent="0.25">
      <c r="A6904" s="19" t="s">
        <v>7018</v>
      </c>
      <c r="B6904" s="33">
        <v>46036.98472222222</v>
      </c>
      <c r="D6904" s="19" t="s">
        <v>39</v>
      </c>
      <c r="E6904" s="19" t="s">
        <v>65</v>
      </c>
      <c r="F6904" s="19" t="s">
        <v>40</v>
      </c>
      <c r="G6904" s="19" t="s">
        <v>113</v>
      </c>
      <c r="H6904" s="19" t="s">
        <v>63</v>
      </c>
      <c r="I6904" s="19" t="s">
        <v>108</v>
      </c>
      <c r="J6904" s="20">
        <v>48</v>
      </c>
      <c r="K6904" s="34">
        <v>0</v>
      </c>
      <c r="M6904" s="19" t="str">
        <f>IF(OR(ISBLANK(C6904),C6904=""),"",ROUND((C6904-B6904)*24,2))</f>
        <v/>
      </c>
      <c r="N6904" s="19" t="str">
        <f>IF(OR(ISBLANK(C6904),C6904="",M6904=""),"In Progress",IF(M6904&lt;=J6904,"Met","Breached"))</f>
        <v>In Progress</v>
      </c>
    </row>
    <row r="6905" ht="19" customHeight="1" spans="1:14" x14ac:dyDescent="0.25">
      <c r="A6905" s="22" t="s">
        <v>7019</v>
      </c>
      <c r="B6905" s="36">
        <v>46228.48888888889</v>
      </c>
      <c r="D6905" s="22" t="s">
        <v>39</v>
      </c>
      <c r="E6905" s="22" t="s">
        <v>65</v>
      </c>
      <c r="F6905" s="22" t="s">
        <v>40</v>
      </c>
      <c r="G6905" s="22" t="s">
        <v>121</v>
      </c>
      <c r="H6905" s="22" t="s">
        <v>71</v>
      </c>
      <c r="I6905" s="22" t="s">
        <v>114</v>
      </c>
      <c r="J6905" s="23">
        <v>48</v>
      </c>
      <c r="K6905" s="37">
        <v>0</v>
      </c>
      <c r="M6905" s="22" t="str">
        <f>IF(OR(ISBLANK(C6905),C6905=""),"",ROUND((C6905-B6905)*24,2))</f>
        <v/>
      </c>
      <c r="N6905" s="22" t="str">
        <f>IF(OR(ISBLANK(C6905),C6905="",M6905=""),"In Progress",IF(M6905&lt;=J6905,"Met","Breached"))</f>
        <v>In Progress</v>
      </c>
    </row>
    <row r="6906" ht="19" customHeight="1" spans="1:14" x14ac:dyDescent="0.25">
      <c r="A6906" s="19" t="s">
        <v>7020</v>
      </c>
      <c r="B6906" s="33">
        <v>45968.85763888889</v>
      </c>
      <c r="C6906" s="33">
        <v>45972.875</v>
      </c>
      <c r="D6906" s="19" t="s">
        <v>36</v>
      </c>
      <c r="E6906" s="19" t="s">
        <v>69</v>
      </c>
      <c r="F6906" s="19" t="s">
        <v>34</v>
      </c>
      <c r="G6906" s="19" t="s">
        <v>113</v>
      </c>
      <c r="H6906" s="19" t="s">
        <v>67</v>
      </c>
      <c r="I6906" s="19" t="s">
        <v>114</v>
      </c>
      <c r="J6906" s="20">
        <v>120</v>
      </c>
      <c r="K6906" s="34">
        <v>0</v>
      </c>
      <c r="L6906" s="34">
        <v>1</v>
      </c>
      <c r="M6906" s="19">
        <f>IF(OR(ISBLANK(C6906),C6906=""),"",ROUND((C6906-B6906)*24,2))</f>
        <v>96.42</v>
      </c>
      <c r="N6906" s="35" t="str">
        <f>IF(OR(ISBLANK(C6906),C6906="",M6906=""),"In Progress",IF(M6906&lt;=J6906,"Met","Breached"))</f>
        <v>Met</v>
      </c>
    </row>
    <row r="6907" ht="19" customHeight="1" spans="1:14" x14ac:dyDescent="0.25">
      <c r="A6907" s="22" t="s">
        <v>7021</v>
      </c>
      <c r="B6907" s="36">
        <v>45958.72083333333</v>
      </c>
      <c r="C6907" s="36">
        <v>45961.64375</v>
      </c>
      <c r="D6907" s="22" t="s">
        <v>33</v>
      </c>
      <c r="E6907" s="22" t="s">
        <v>65</v>
      </c>
      <c r="F6907" s="22" t="s">
        <v>45</v>
      </c>
      <c r="G6907" s="22" t="s">
        <v>126</v>
      </c>
      <c r="H6907" s="22" t="s">
        <v>59</v>
      </c>
      <c r="I6907" s="22" t="s">
        <v>111</v>
      </c>
      <c r="J6907" s="23">
        <v>48</v>
      </c>
      <c r="K6907" s="37">
        <v>0</v>
      </c>
      <c r="L6907" s="37">
        <v>2</v>
      </c>
      <c r="M6907" s="22">
        <f>IF(OR(ISBLANK(C6907),C6907=""),"",ROUND((C6907-B6907)*24,2))</f>
        <v>70.15</v>
      </c>
      <c r="N6907" s="38" t="str">
        <f>IF(OR(ISBLANK(C6907),C6907="",M6907=""),"In Progress",IF(M6907&lt;=J6907,"Met","Breached"))</f>
        <v>Breached</v>
      </c>
    </row>
    <row r="6908" ht="19" customHeight="1" spans="1:14" x14ac:dyDescent="0.25">
      <c r="A6908" s="19" t="s">
        <v>7022</v>
      </c>
      <c r="B6908" s="33">
        <v>46198.07777777778</v>
      </c>
      <c r="C6908" s="33">
        <v>46199.850694444445</v>
      </c>
      <c r="D6908" s="19" t="s">
        <v>36</v>
      </c>
      <c r="E6908" s="19" t="s">
        <v>65</v>
      </c>
      <c r="F6908" s="19" t="s">
        <v>43</v>
      </c>
      <c r="G6908" s="19" t="s">
        <v>116</v>
      </c>
      <c r="H6908" s="19" t="s">
        <v>59</v>
      </c>
      <c r="I6908" s="19" t="s">
        <v>114</v>
      </c>
      <c r="J6908" s="20">
        <v>48</v>
      </c>
      <c r="K6908" s="34">
        <v>0</v>
      </c>
      <c r="L6908" s="34">
        <v>2</v>
      </c>
      <c r="M6908" s="19">
        <f>IF(OR(ISBLANK(C6908),C6908=""),"",ROUND((C6908-B6908)*24,2))</f>
        <v>42.55</v>
      </c>
      <c r="N6908" s="35" t="str">
        <f>IF(OR(ISBLANK(C6908),C6908="",M6908=""),"In Progress",IF(M6908&lt;=J6908,"Met","Breached"))</f>
        <v>Met</v>
      </c>
    </row>
    <row r="6909" ht="19" customHeight="1" spans="1:14" x14ac:dyDescent="0.25">
      <c r="A6909" s="22" t="s">
        <v>7023</v>
      </c>
      <c r="B6909" s="36">
        <v>46242.08472222222</v>
      </c>
      <c r="D6909" s="22" t="s">
        <v>39</v>
      </c>
      <c r="E6909" s="22" t="s">
        <v>61</v>
      </c>
      <c r="F6909" s="22" t="s">
        <v>34</v>
      </c>
      <c r="G6909" s="22" t="s">
        <v>116</v>
      </c>
      <c r="H6909" s="22" t="s">
        <v>59</v>
      </c>
      <c r="I6909" s="22" t="s">
        <v>108</v>
      </c>
      <c r="J6909" s="23">
        <v>12</v>
      </c>
      <c r="K6909" s="37">
        <v>0</v>
      </c>
      <c r="M6909" s="22" t="str">
        <f>IF(OR(ISBLANK(C6909),C6909=""),"",ROUND((C6909-B6909)*24,2))</f>
        <v/>
      </c>
      <c r="N6909" s="22" t="str">
        <f>IF(OR(ISBLANK(C6909),C6909="",M6909=""),"In Progress",IF(M6909&lt;=J6909,"Met","Breached"))</f>
        <v>In Progress</v>
      </c>
    </row>
    <row r="6910" ht="19" customHeight="1" spans="1:14" x14ac:dyDescent="0.25">
      <c r="A6910" s="19" t="s">
        <v>7024</v>
      </c>
      <c r="B6910" s="33">
        <v>45828.24166666667</v>
      </c>
      <c r="D6910" s="19" t="s">
        <v>39</v>
      </c>
      <c r="E6910" s="19" t="s">
        <v>65</v>
      </c>
      <c r="F6910" s="19" t="s">
        <v>40</v>
      </c>
      <c r="G6910" s="19" t="s">
        <v>121</v>
      </c>
      <c r="H6910" s="19" t="s">
        <v>63</v>
      </c>
      <c r="I6910" s="19" t="s">
        <v>114</v>
      </c>
      <c r="J6910" s="20">
        <v>48</v>
      </c>
      <c r="K6910" s="34">
        <v>0</v>
      </c>
      <c r="M6910" s="19" t="str">
        <f>IF(OR(ISBLANK(C6910),C6910=""),"",ROUND((C6910-B6910)*24,2))</f>
        <v/>
      </c>
      <c r="N6910" s="19" t="str">
        <f>IF(OR(ISBLANK(C6910),C6910="",M6910=""),"In Progress",IF(M6910&lt;=J6910,"Met","Breached"))</f>
        <v>In Progress</v>
      </c>
    </row>
    <row r="6911" ht="19" customHeight="1" spans="1:14" x14ac:dyDescent="0.25">
      <c r="A6911" s="22" t="s">
        <v>7025</v>
      </c>
      <c r="B6911" s="36">
        <v>46030.65486111111</v>
      </c>
      <c r="C6911" s="36">
        <v>46031.71597222222</v>
      </c>
      <c r="D6911" s="22" t="s">
        <v>33</v>
      </c>
      <c r="E6911" s="22" t="s">
        <v>65</v>
      </c>
      <c r="F6911" s="22" t="s">
        <v>45</v>
      </c>
      <c r="G6911" s="22" t="s">
        <v>116</v>
      </c>
      <c r="H6911" s="22" t="s">
        <v>63</v>
      </c>
      <c r="I6911" s="22" t="s">
        <v>114</v>
      </c>
      <c r="J6911" s="23">
        <v>48</v>
      </c>
      <c r="K6911" s="37">
        <v>0</v>
      </c>
      <c r="L6911" s="37">
        <v>2</v>
      </c>
      <c r="M6911" s="22">
        <f>IF(OR(ISBLANK(C6911),C6911=""),"",ROUND((C6911-B6911)*24,2))</f>
        <v>25.47</v>
      </c>
      <c r="N6911" s="40" t="str">
        <f>IF(OR(ISBLANK(C6911),C6911="",M6911=""),"In Progress",IF(M6911&lt;=J6911,"Met","Breached"))</f>
        <v>Met</v>
      </c>
    </row>
    <row r="6912" ht="19" customHeight="1" spans="1:14" x14ac:dyDescent="0.25">
      <c r="A6912" s="19" t="s">
        <v>7026</v>
      </c>
      <c r="B6912" s="33">
        <v>45937.02222222222</v>
      </c>
      <c r="C6912" s="33">
        <v>45940.13055555556</v>
      </c>
      <c r="D6912" s="19" t="s">
        <v>33</v>
      </c>
      <c r="E6912" s="19" t="s">
        <v>69</v>
      </c>
      <c r="F6912" s="19" t="s">
        <v>43</v>
      </c>
      <c r="G6912" s="19" t="s">
        <v>110</v>
      </c>
      <c r="H6912" s="19" t="s">
        <v>59</v>
      </c>
      <c r="I6912" s="19" t="s">
        <v>108</v>
      </c>
      <c r="J6912" s="20">
        <v>120</v>
      </c>
      <c r="K6912" s="34">
        <v>0</v>
      </c>
      <c r="M6912" s="19">
        <f>IF(OR(ISBLANK(C6912),C6912=""),"",ROUND((C6912-B6912)*24,2))</f>
        <v>74.6</v>
      </c>
      <c r="N6912" s="35" t="str">
        <f>IF(OR(ISBLANK(C6912),C6912="",M6912=""),"In Progress",IF(M6912&lt;=J6912,"Met","Breached"))</f>
        <v>Met</v>
      </c>
    </row>
    <row r="6913" ht="19" customHeight="1" spans="1:14" x14ac:dyDescent="0.25">
      <c r="A6913" s="22" t="s">
        <v>7027</v>
      </c>
      <c r="B6913" s="36">
        <v>46148.379166666666</v>
      </c>
      <c r="C6913" s="36">
        <v>46148.86944444444</v>
      </c>
      <c r="D6913" s="22" t="s">
        <v>33</v>
      </c>
      <c r="E6913" s="22" t="s">
        <v>61</v>
      </c>
      <c r="F6913" s="22" t="s">
        <v>34</v>
      </c>
      <c r="G6913" s="22" t="s">
        <v>116</v>
      </c>
      <c r="H6913" s="22" t="s">
        <v>59</v>
      </c>
      <c r="I6913" s="22" t="s">
        <v>114</v>
      </c>
      <c r="J6913" s="23">
        <v>12</v>
      </c>
      <c r="K6913" s="37">
        <v>0</v>
      </c>
      <c r="L6913" s="37">
        <v>2</v>
      </c>
      <c r="M6913" s="22">
        <f>IF(OR(ISBLANK(C6913),C6913=""),"",ROUND((C6913-B6913)*24,2))</f>
        <v>11.77</v>
      </c>
      <c r="N6913" s="40" t="str">
        <f>IF(OR(ISBLANK(C6913),C6913="",M6913=""),"In Progress",IF(M6913&lt;=J6913,"Met","Breached"))</f>
        <v>Met</v>
      </c>
    </row>
    <row r="6914" ht="19" customHeight="1" spans="1:14" x14ac:dyDescent="0.25">
      <c r="A6914" s="19" t="s">
        <v>7028</v>
      </c>
      <c r="B6914" s="33">
        <v>46177.23333333334</v>
      </c>
      <c r="C6914" s="33">
        <v>46177.65902777778</v>
      </c>
      <c r="D6914" s="19" t="s">
        <v>36</v>
      </c>
      <c r="E6914" s="19" t="s">
        <v>61</v>
      </c>
      <c r="F6914" s="19" t="s">
        <v>34</v>
      </c>
      <c r="G6914" s="19" t="s">
        <v>63</v>
      </c>
      <c r="H6914" s="19" t="s">
        <v>67</v>
      </c>
      <c r="I6914" s="19" t="s">
        <v>111</v>
      </c>
      <c r="J6914" s="20">
        <v>12</v>
      </c>
      <c r="K6914" s="34">
        <v>0</v>
      </c>
      <c r="M6914" s="19">
        <f>IF(OR(ISBLANK(C6914),C6914=""),"",ROUND((C6914-B6914)*24,2))</f>
        <v>10.22</v>
      </c>
      <c r="N6914" s="35" t="str">
        <f>IF(OR(ISBLANK(C6914),C6914="",M6914=""),"In Progress",IF(M6914&lt;=J6914,"Met","Breached"))</f>
        <v>Met</v>
      </c>
    </row>
    <row r="6915" ht="19" customHeight="1" spans="1:14" x14ac:dyDescent="0.25">
      <c r="A6915" s="22" t="s">
        <v>7029</v>
      </c>
      <c r="B6915" s="36">
        <v>46108.518055555556</v>
      </c>
      <c r="C6915" s="36">
        <v>46116.45763888889</v>
      </c>
      <c r="D6915" s="22" t="s">
        <v>33</v>
      </c>
      <c r="E6915" s="22" t="s">
        <v>69</v>
      </c>
      <c r="F6915" s="22" t="s">
        <v>37</v>
      </c>
      <c r="G6915" s="22" t="s">
        <v>63</v>
      </c>
      <c r="H6915" s="22" t="s">
        <v>59</v>
      </c>
      <c r="I6915" s="22" t="s">
        <v>108</v>
      </c>
      <c r="J6915" s="23">
        <v>120</v>
      </c>
      <c r="K6915" s="37">
        <v>0</v>
      </c>
      <c r="L6915" s="37">
        <v>2</v>
      </c>
      <c r="M6915" s="22">
        <f>IF(OR(ISBLANK(C6915),C6915=""),"",ROUND((C6915-B6915)*24,2))</f>
        <v>190.55</v>
      </c>
      <c r="N6915" s="38" t="str">
        <f>IF(OR(ISBLANK(C6915),C6915="",M6915=""),"In Progress",IF(M6915&lt;=J6915,"Met","Breached"))</f>
        <v>Breached</v>
      </c>
    </row>
    <row r="6916" ht="19" customHeight="1" spans="1:14" x14ac:dyDescent="0.25">
      <c r="A6916" s="19" t="s">
        <v>7030</v>
      </c>
      <c r="B6916" s="33">
        <v>46109.53333333333</v>
      </c>
      <c r="C6916" s="33">
        <v>46117.22916666667</v>
      </c>
      <c r="D6916" s="19" t="s">
        <v>33</v>
      </c>
      <c r="E6916" s="19" t="s">
        <v>69</v>
      </c>
      <c r="F6916" s="19" t="s">
        <v>43</v>
      </c>
      <c r="G6916" s="19" t="s">
        <v>126</v>
      </c>
      <c r="H6916" s="19" t="s">
        <v>59</v>
      </c>
      <c r="I6916" s="19" t="s">
        <v>108</v>
      </c>
      <c r="J6916" s="20">
        <v>120</v>
      </c>
      <c r="K6916" s="34">
        <v>0</v>
      </c>
      <c r="L6916" s="34">
        <v>3</v>
      </c>
      <c r="M6916" s="19">
        <f>IF(OR(ISBLANK(C6916),C6916=""),"",ROUND((C6916-B6916)*24,2))</f>
        <v>184.7</v>
      </c>
      <c r="N6916" s="39" t="str">
        <f>IF(OR(ISBLANK(C6916),C6916="",M6916=""),"In Progress",IF(M6916&lt;=J6916,"Met","Breached"))</f>
        <v>Breached</v>
      </c>
    </row>
    <row r="6917" ht="19" customHeight="1" spans="1:14" x14ac:dyDescent="0.25">
      <c r="A6917" s="22" t="s">
        <v>7031</v>
      </c>
      <c r="B6917" s="36">
        <v>46026.34513888889</v>
      </c>
      <c r="C6917" s="36">
        <v>46033.393055555556</v>
      </c>
      <c r="D6917" s="22" t="s">
        <v>36</v>
      </c>
      <c r="E6917" s="22" t="s">
        <v>69</v>
      </c>
      <c r="F6917" s="22" t="s">
        <v>34</v>
      </c>
      <c r="G6917" s="22" t="s">
        <v>110</v>
      </c>
      <c r="H6917" s="22" t="s">
        <v>59</v>
      </c>
      <c r="I6917" s="22" t="s">
        <v>114</v>
      </c>
      <c r="J6917" s="23">
        <v>120</v>
      </c>
      <c r="K6917" s="37">
        <v>0</v>
      </c>
      <c r="L6917" s="37">
        <v>3</v>
      </c>
      <c r="M6917" s="22">
        <f>IF(OR(ISBLANK(C6917),C6917=""),"",ROUND((C6917-B6917)*24,2))</f>
        <v>169.15</v>
      </c>
      <c r="N6917" s="38" t="str">
        <f>IF(OR(ISBLANK(C6917),C6917="",M6917=""),"In Progress",IF(M6917&lt;=J6917,"Met","Breached"))</f>
        <v>Breached</v>
      </c>
    </row>
    <row r="6918" ht="19" customHeight="1" spans="1:14" x14ac:dyDescent="0.25">
      <c r="A6918" s="19" t="s">
        <v>7032</v>
      </c>
      <c r="B6918" s="33">
        <v>46042.27569444444</v>
      </c>
      <c r="D6918" s="19" t="s">
        <v>39</v>
      </c>
      <c r="E6918" s="19" t="s">
        <v>69</v>
      </c>
      <c r="F6918" s="19" t="s">
        <v>40</v>
      </c>
      <c r="G6918" s="19" t="s">
        <v>116</v>
      </c>
      <c r="H6918" s="19" t="s">
        <v>71</v>
      </c>
      <c r="I6918" s="19" t="s">
        <v>114</v>
      </c>
      <c r="J6918" s="20">
        <v>120</v>
      </c>
      <c r="K6918" s="34">
        <v>0</v>
      </c>
      <c r="M6918" s="19" t="str">
        <f>IF(OR(ISBLANK(C6918),C6918=""),"",ROUND((C6918-B6918)*24,2))</f>
        <v/>
      </c>
      <c r="N6918" s="19" t="str">
        <f>IF(OR(ISBLANK(C6918),C6918="",M6918=""),"In Progress",IF(M6918&lt;=J6918,"Met","Breached"))</f>
        <v>In Progress</v>
      </c>
    </row>
    <row r="6919" ht="19" customHeight="1" spans="1:14" x14ac:dyDescent="0.25">
      <c r="A6919" s="22" t="s">
        <v>7033</v>
      </c>
      <c r="B6919" s="36">
        <v>46135.81875</v>
      </c>
      <c r="D6919" s="22" t="s">
        <v>39</v>
      </c>
      <c r="E6919" s="22" t="s">
        <v>61</v>
      </c>
      <c r="F6919" s="22" t="s">
        <v>37</v>
      </c>
      <c r="G6919" s="22" t="s">
        <v>113</v>
      </c>
      <c r="H6919" s="22" t="s">
        <v>67</v>
      </c>
      <c r="I6919" s="22" t="s">
        <v>108</v>
      </c>
      <c r="J6919" s="23">
        <v>12</v>
      </c>
      <c r="K6919" s="37">
        <v>0</v>
      </c>
      <c r="M6919" s="22" t="str">
        <f>IF(OR(ISBLANK(C6919),C6919=""),"",ROUND((C6919-B6919)*24,2))</f>
        <v/>
      </c>
      <c r="N6919" s="22" t="str">
        <f>IF(OR(ISBLANK(C6919),C6919="",M6919=""),"In Progress",IF(M6919&lt;=J6919,"Met","Breached"))</f>
        <v>In Progress</v>
      </c>
    </row>
    <row r="6920" ht="19" customHeight="1" spans="1:14" x14ac:dyDescent="0.25">
      <c r="A6920" s="19" t="s">
        <v>7034</v>
      </c>
      <c r="B6920" s="33">
        <v>46231.697222222225</v>
      </c>
      <c r="C6920" s="33">
        <v>46234.88333333333</v>
      </c>
      <c r="D6920" s="19" t="s">
        <v>33</v>
      </c>
      <c r="E6920" s="19" t="s">
        <v>65</v>
      </c>
      <c r="F6920" s="19" t="s">
        <v>43</v>
      </c>
      <c r="G6920" s="19" t="s">
        <v>110</v>
      </c>
      <c r="H6920" s="19" t="s">
        <v>63</v>
      </c>
      <c r="I6920" s="19" t="s">
        <v>147</v>
      </c>
      <c r="J6920" s="20">
        <v>48</v>
      </c>
      <c r="K6920" s="34">
        <v>0</v>
      </c>
      <c r="L6920" s="34">
        <v>4</v>
      </c>
      <c r="M6920" s="19">
        <f>IF(OR(ISBLANK(C6920),C6920=""),"",ROUND((C6920-B6920)*24,2))</f>
        <v>76.47</v>
      </c>
      <c r="N6920" s="39" t="str">
        <f>IF(OR(ISBLANK(C6920),C6920="",M6920=""),"In Progress",IF(M6920&lt;=J6920,"Met","Breached"))</f>
        <v>Breached</v>
      </c>
    </row>
    <row r="6921" ht="19" customHeight="1" spans="1:14" x14ac:dyDescent="0.25">
      <c r="A6921" s="22" t="s">
        <v>7035</v>
      </c>
      <c r="B6921" s="36">
        <v>45919.01944444445</v>
      </c>
      <c r="C6921" s="36">
        <v>45919.82708333334</v>
      </c>
      <c r="D6921" s="22" t="s">
        <v>36</v>
      </c>
      <c r="E6921" s="22" t="s">
        <v>61</v>
      </c>
      <c r="F6921" s="22" t="s">
        <v>43</v>
      </c>
      <c r="G6921" s="22" t="s">
        <v>110</v>
      </c>
      <c r="H6921" s="22" t="s">
        <v>67</v>
      </c>
      <c r="I6921" s="22" t="s">
        <v>117</v>
      </c>
      <c r="J6921" s="23">
        <v>12</v>
      </c>
      <c r="K6921" s="37">
        <v>0</v>
      </c>
      <c r="L6921" s="37">
        <v>4</v>
      </c>
      <c r="M6921" s="22">
        <f>IF(OR(ISBLANK(C6921),C6921=""),"",ROUND((C6921-B6921)*24,2))</f>
        <v>19.38</v>
      </c>
      <c r="N6921" s="38" t="str">
        <f>IF(OR(ISBLANK(C6921),C6921="",M6921=""),"In Progress",IF(M6921&lt;=J6921,"Met","Breached"))</f>
        <v>Breached</v>
      </c>
    </row>
    <row r="6922" ht="19" customHeight="1" spans="1:14" x14ac:dyDescent="0.25">
      <c r="A6922" s="19" t="s">
        <v>7036</v>
      </c>
      <c r="B6922" s="33">
        <v>46011.05694444444</v>
      </c>
      <c r="D6922" s="19" t="s">
        <v>42</v>
      </c>
      <c r="E6922" s="19" t="s">
        <v>69</v>
      </c>
      <c r="F6922" s="19" t="s">
        <v>45</v>
      </c>
      <c r="G6922" s="19" t="s">
        <v>116</v>
      </c>
      <c r="H6922" s="19" t="s">
        <v>59</v>
      </c>
      <c r="I6922" s="19" t="s">
        <v>117</v>
      </c>
      <c r="J6922" s="20">
        <v>120</v>
      </c>
      <c r="K6922" s="34">
        <v>0</v>
      </c>
      <c r="M6922" s="19" t="str">
        <f>IF(OR(ISBLANK(C6922),C6922=""),"",ROUND((C6922-B6922)*24,2))</f>
        <v/>
      </c>
      <c r="N6922" s="19" t="str">
        <f>IF(OR(ISBLANK(C6922),C6922="",M6922=""),"In Progress",IF(M6922&lt;=J6922,"Met","Breached"))</f>
        <v>In Progress</v>
      </c>
    </row>
    <row r="6923" ht="19" customHeight="1" spans="1:14" x14ac:dyDescent="0.25">
      <c r="A6923" s="22" t="s">
        <v>7037</v>
      </c>
      <c r="B6923" s="36">
        <v>45995.65347222222</v>
      </c>
      <c r="C6923" s="36">
        <v>45997.27916666667</v>
      </c>
      <c r="D6923" s="22" t="s">
        <v>33</v>
      </c>
      <c r="E6923" s="22" t="s">
        <v>65</v>
      </c>
      <c r="F6923" s="22" t="s">
        <v>45</v>
      </c>
      <c r="G6923" s="22" t="s">
        <v>121</v>
      </c>
      <c r="H6923" s="22" t="s">
        <v>59</v>
      </c>
      <c r="I6923" s="22" t="s">
        <v>111</v>
      </c>
      <c r="J6923" s="23">
        <v>48</v>
      </c>
      <c r="K6923" s="37">
        <v>0</v>
      </c>
      <c r="M6923" s="22">
        <f>IF(OR(ISBLANK(C6923),C6923=""),"",ROUND((C6923-B6923)*24,2))</f>
        <v>39.02</v>
      </c>
      <c r="N6923" s="40" t="str">
        <f>IF(OR(ISBLANK(C6923),C6923="",M6923=""),"In Progress",IF(M6923&lt;=J6923,"Met","Breached"))</f>
        <v>Met</v>
      </c>
    </row>
    <row r="6924" ht="19" customHeight="1" spans="1:14" x14ac:dyDescent="0.25">
      <c r="A6924" s="19" t="s">
        <v>7038</v>
      </c>
      <c r="B6924" s="33">
        <v>46026.49444444444</v>
      </c>
      <c r="C6924" s="33">
        <v>46033.464583333334</v>
      </c>
      <c r="D6924" s="19" t="s">
        <v>33</v>
      </c>
      <c r="E6924" s="19" t="s">
        <v>69</v>
      </c>
      <c r="F6924" s="19" t="s">
        <v>40</v>
      </c>
      <c r="G6924" s="19" t="s">
        <v>126</v>
      </c>
      <c r="H6924" s="19" t="s">
        <v>63</v>
      </c>
      <c r="I6924" s="19" t="s">
        <v>111</v>
      </c>
      <c r="J6924" s="20">
        <v>120</v>
      </c>
      <c r="K6924" s="34">
        <v>0</v>
      </c>
      <c r="L6924" s="34">
        <v>3</v>
      </c>
      <c r="M6924" s="19">
        <f>IF(OR(ISBLANK(C6924),C6924=""),"",ROUND((C6924-B6924)*24,2))</f>
        <v>167.28</v>
      </c>
      <c r="N6924" s="39" t="str">
        <f>IF(OR(ISBLANK(C6924),C6924="",M6924=""),"In Progress",IF(M6924&lt;=J6924,"Met","Breached"))</f>
        <v>Breached</v>
      </c>
    </row>
    <row r="6925" ht="19" customHeight="1" spans="1:14" x14ac:dyDescent="0.25">
      <c r="A6925" s="22" t="s">
        <v>7039</v>
      </c>
      <c r="B6925" s="36">
        <v>45936.12986111111</v>
      </c>
      <c r="D6925" s="22" t="s">
        <v>39</v>
      </c>
      <c r="E6925" s="22" t="s">
        <v>57</v>
      </c>
      <c r="F6925" s="22" t="s">
        <v>40</v>
      </c>
      <c r="G6925" s="22" t="s">
        <v>63</v>
      </c>
      <c r="H6925" s="22" t="s">
        <v>67</v>
      </c>
      <c r="I6925" s="22" t="s">
        <v>114</v>
      </c>
      <c r="J6925" s="23">
        <v>4</v>
      </c>
      <c r="K6925" s="37">
        <v>0</v>
      </c>
      <c r="M6925" s="22" t="str">
        <f>IF(OR(ISBLANK(C6925),C6925=""),"",ROUND((C6925-B6925)*24,2))</f>
        <v/>
      </c>
      <c r="N6925" s="22" t="str">
        <f>IF(OR(ISBLANK(C6925),C6925="",M6925=""),"In Progress",IF(M6925&lt;=J6925,"Met","Breached"))</f>
        <v>In Progress</v>
      </c>
    </row>
    <row r="6926" ht="19" customHeight="1" spans="1:14" x14ac:dyDescent="0.25">
      <c r="A6926" s="19" t="s">
        <v>7040</v>
      </c>
      <c r="B6926" s="33">
        <v>45729.60555555555</v>
      </c>
      <c r="C6926" s="33">
        <v>45737.59097222222</v>
      </c>
      <c r="D6926" s="19" t="s">
        <v>33</v>
      </c>
      <c r="E6926" s="19" t="s">
        <v>69</v>
      </c>
      <c r="F6926" s="19" t="s">
        <v>40</v>
      </c>
      <c r="G6926" s="19" t="s">
        <v>63</v>
      </c>
      <c r="H6926" s="19" t="s">
        <v>59</v>
      </c>
      <c r="I6926" s="19" t="s">
        <v>147</v>
      </c>
      <c r="J6926" s="20">
        <v>120</v>
      </c>
      <c r="K6926" s="34">
        <v>0</v>
      </c>
      <c r="L6926" s="34">
        <v>1</v>
      </c>
      <c r="M6926" s="19">
        <f>IF(OR(ISBLANK(C6926),C6926=""),"",ROUND((C6926-B6926)*24,2))</f>
        <v>191.65</v>
      </c>
      <c r="N6926" s="39" t="str">
        <f>IF(OR(ISBLANK(C6926),C6926="",M6926=""),"In Progress",IF(M6926&lt;=J6926,"Met","Breached"))</f>
        <v>Breached</v>
      </c>
    </row>
    <row r="6927" ht="19" customHeight="1" spans="1:14" x14ac:dyDescent="0.25">
      <c r="A6927" s="22" t="s">
        <v>7041</v>
      </c>
      <c r="B6927" s="36">
        <v>46241.14722222222</v>
      </c>
      <c r="C6927" s="36">
        <v>46243.69791666667</v>
      </c>
      <c r="D6927" s="22" t="s">
        <v>36</v>
      </c>
      <c r="E6927" s="22" t="s">
        <v>65</v>
      </c>
      <c r="F6927" s="22" t="s">
        <v>37</v>
      </c>
      <c r="G6927" s="22" t="s">
        <v>116</v>
      </c>
      <c r="H6927" s="22" t="s">
        <v>63</v>
      </c>
      <c r="I6927" s="22" t="s">
        <v>108</v>
      </c>
      <c r="J6927" s="23">
        <v>48</v>
      </c>
      <c r="K6927" s="37">
        <v>0</v>
      </c>
      <c r="M6927" s="22">
        <f>IF(OR(ISBLANK(C6927),C6927=""),"",ROUND((C6927-B6927)*24,2))</f>
        <v>61.22</v>
      </c>
      <c r="N6927" s="38" t="str">
        <f>IF(OR(ISBLANK(C6927),C6927="",M6927=""),"In Progress",IF(M6927&lt;=J6927,"Met","Breached"))</f>
        <v>Breached</v>
      </c>
    </row>
    <row r="6928" ht="19" customHeight="1" spans="1:14" x14ac:dyDescent="0.25">
      <c r="A6928" s="19" t="s">
        <v>7042</v>
      </c>
      <c r="B6928" s="33">
        <v>46057.90763888889</v>
      </c>
      <c r="C6928" s="33">
        <v>46060.94583333333</v>
      </c>
      <c r="D6928" s="19" t="s">
        <v>36</v>
      </c>
      <c r="E6928" s="19" t="s">
        <v>65</v>
      </c>
      <c r="F6928" s="19" t="s">
        <v>40</v>
      </c>
      <c r="G6928" s="19" t="s">
        <v>63</v>
      </c>
      <c r="H6928" s="19" t="s">
        <v>63</v>
      </c>
      <c r="I6928" s="19" t="s">
        <v>108</v>
      </c>
      <c r="J6928" s="20">
        <v>48</v>
      </c>
      <c r="K6928" s="34">
        <v>0</v>
      </c>
      <c r="M6928" s="19">
        <f>IF(OR(ISBLANK(C6928),C6928=""),"",ROUND((C6928-B6928)*24,2))</f>
        <v>72.92</v>
      </c>
      <c r="N6928" s="39" t="str">
        <f>IF(OR(ISBLANK(C6928),C6928="",M6928=""),"In Progress",IF(M6928&lt;=J6928,"Met","Breached"))</f>
        <v>Breached</v>
      </c>
    </row>
    <row r="6929" ht="19" customHeight="1" spans="1:14" x14ac:dyDescent="0.25">
      <c r="A6929" s="22" t="s">
        <v>7043</v>
      </c>
      <c r="B6929" s="36">
        <v>46023.17708333333</v>
      </c>
      <c r="D6929" s="22" t="s">
        <v>39</v>
      </c>
      <c r="E6929" s="22" t="s">
        <v>65</v>
      </c>
      <c r="F6929" s="22" t="s">
        <v>45</v>
      </c>
      <c r="G6929" s="22" t="s">
        <v>126</v>
      </c>
      <c r="H6929" s="22" t="s">
        <v>59</v>
      </c>
      <c r="I6929" s="22" t="s">
        <v>117</v>
      </c>
      <c r="J6929" s="23">
        <v>48</v>
      </c>
      <c r="K6929" s="37">
        <v>0</v>
      </c>
      <c r="M6929" s="22" t="str">
        <f>IF(OR(ISBLANK(C6929),C6929=""),"",ROUND((C6929-B6929)*24,2))</f>
        <v/>
      </c>
      <c r="N6929" s="22" t="str">
        <f>IF(OR(ISBLANK(C6929),C6929="",M6929=""),"In Progress",IF(M6929&lt;=J6929,"Met","Breached"))</f>
        <v>In Progress</v>
      </c>
    </row>
    <row r="6930" ht="19" customHeight="1" spans="1:14" x14ac:dyDescent="0.25">
      <c r="A6930" s="19" t="s">
        <v>7044</v>
      </c>
      <c r="B6930" s="33">
        <v>45694.92847222222</v>
      </c>
      <c r="C6930" s="33">
        <v>45696.72708333333</v>
      </c>
      <c r="D6930" s="19" t="s">
        <v>33</v>
      </c>
      <c r="E6930" s="19" t="s">
        <v>65</v>
      </c>
      <c r="F6930" s="19" t="s">
        <v>45</v>
      </c>
      <c r="G6930" s="19" t="s">
        <v>121</v>
      </c>
      <c r="H6930" s="19" t="s">
        <v>59</v>
      </c>
      <c r="I6930" s="19" t="s">
        <v>114</v>
      </c>
      <c r="J6930" s="20">
        <v>48</v>
      </c>
      <c r="K6930" s="34">
        <v>0</v>
      </c>
      <c r="M6930" s="19">
        <f>IF(OR(ISBLANK(C6930),C6930=""),"",ROUND((C6930-B6930)*24,2))</f>
        <v>43.17</v>
      </c>
      <c r="N6930" s="35" t="str">
        <f>IF(OR(ISBLANK(C6930),C6930="",M6930=""),"In Progress",IF(M6930&lt;=J6930,"Met","Breached"))</f>
        <v>Met</v>
      </c>
    </row>
    <row r="6931" ht="19" customHeight="1" spans="1:14" x14ac:dyDescent="0.25">
      <c r="A6931" s="22" t="s">
        <v>7045</v>
      </c>
      <c r="B6931" s="36">
        <v>46262.64166666666</v>
      </c>
      <c r="D6931" s="22" t="s">
        <v>42</v>
      </c>
      <c r="E6931" s="22" t="s">
        <v>65</v>
      </c>
      <c r="F6931" s="22" t="s">
        <v>40</v>
      </c>
      <c r="G6931" s="22" t="s">
        <v>113</v>
      </c>
      <c r="H6931" s="22" t="s">
        <v>63</v>
      </c>
      <c r="I6931" s="22" t="s">
        <v>147</v>
      </c>
      <c r="J6931" s="23">
        <v>48</v>
      </c>
      <c r="K6931" s="37">
        <v>0</v>
      </c>
      <c r="M6931" s="22" t="str">
        <f>IF(OR(ISBLANK(C6931),C6931=""),"",ROUND((C6931-B6931)*24,2))</f>
        <v/>
      </c>
      <c r="N6931" s="22" t="str">
        <f>IF(OR(ISBLANK(C6931),C6931="",M6931=""),"In Progress",IF(M6931&lt;=J6931,"Met","Breached"))</f>
        <v>In Progress</v>
      </c>
    </row>
    <row r="6932" ht="19" customHeight="1" spans="1:14" x14ac:dyDescent="0.25">
      <c r="A6932" s="19" t="s">
        <v>7046</v>
      </c>
      <c r="B6932" s="33">
        <v>46117.40486111111</v>
      </c>
      <c r="C6932" s="33">
        <v>46125.23263888889</v>
      </c>
      <c r="D6932" s="19" t="s">
        <v>33</v>
      </c>
      <c r="E6932" s="19" t="s">
        <v>69</v>
      </c>
      <c r="F6932" s="19" t="s">
        <v>37</v>
      </c>
      <c r="G6932" s="19" t="s">
        <v>126</v>
      </c>
      <c r="H6932" s="19" t="s">
        <v>63</v>
      </c>
      <c r="I6932" s="19" t="s">
        <v>123</v>
      </c>
      <c r="J6932" s="20">
        <v>120</v>
      </c>
      <c r="K6932" s="34">
        <v>0</v>
      </c>
      <c r="M6932" s="19">
        <f>IF(OR(ISBLANK(C6932),C6932=""),"",ROUND((C6932-B6932)*24,2))</f>
        <v>187.87</v>
      </c>
      <c r="N6932" s="39" t="str">
        <f>IF(OR(ISBLANK(C6932),C6932="",M6932=""),"In Progress",IF(M6932&lt;=J6932,"Met","Breached"))</f>
        <v>Breached</v>
      </c>
    </row>
    <row r="6933" ht="19" customHeight="1" spans="1:14" x14ac:dyDescent="0.25">
      <c r="A6933" s="22" t="s">
        <v>7047</v>
      </c>
      <c r="B6933" s="36">
        <v>46178.007638888885</v>
      </c>
      <c r="C6933" s="36">
        <v>46180.12013888889</v>
      </c>
      <c r="D6933" s="22" t="s">
        <v>33</v>
      </c>
      <c r="E6933" s="22" t="s">
        <v>65</v>
      </c>
      <c r="F6933" s="22" t="s">
        <v>40</v>
      </c>
      <c r="G6933" s="22" t="s">
        <v>116</v>
      </c>
      <c r="H6933" s="22" t="s">
        <v>59</v>
      </c>
      <c r="I6933" s="22" t="s">
        <v>117</v>
      </c>
      <c r="J6933" s="23">
        <v>48</v>
      </c>
      <c r="K6933" s="37">
        <v>1</v>
      </c>
      <c r="L6933" s="37">
        <v>4</v>
      </c>
      <c r="M6933" s="22">
        <f>IF(OR(ISBLANK(C6933),C6933=""),"",ROUND((C6933-B6933)*24,2))</f>
        <v>50.7</v>
      </c>
      <c r="N6933" s="38" t="str">
        <f>IF(OR(ISBLANK(C6933),C6933="",M6933=""),"In Progress",IF(M6933&lt;=J6933,"Met","Breached"))</f>
        <v>Breached</v>
      </c>
    </row>
    <row r="6934" ht="19" customHeight="1" spans="1:14" x14ac:dyDescent="0.25">
      <c r="A6934" s="19" t="s">
        <v>7048</v>
      </c>
      <c r="B6934" s="33">
        <v>46079.20277777778</v>
      </c>
      <c r="C6934" s="33">
        <v>46080.62222222222</v>
      </c>
      <c r="D6934" s="19" t="s">
        <v>33</v>
      </c>
      <c r="E6934" s="19" t="s">
        <v>65</v>
      </c>
      <c r="F6934" s="19" t="s">
        <v>40</v>
      </c>
      <c r="G6934" s="19" t="s">
        <v>113</v>
      </c>
      <c r="H6934" s="19" t="s">
        <v>67</v>
      </c>
      <c r="I6934" s="19" t="s">
        <v>147</v>
      </c>
      <c r="J6934" s="20">
        <v>48</v>
      </c>
      <c r="K6934" s="34">
        <v>1</v>
      </c>
      <c r="M6934" s="19">
        <f>IF(OR(ISBLANK(C6934),C6934=""),"",ROUND((C6934-B6934)*24,2))</f>
        <v>34.07</v>
      </c>
      <c r="N6934" s="35" t="str">
        <f>IF(OR(ISBLANK(C6934),C6934="",M6934=""),"In Progress",IF(M6934&lt;=J6934,"Met","Breached"))</f>
        <v>Met</v>
      </c>
    </row>
    <row r="6935" ht="19" customHeight="1" spans="1:14" x14ac:dyDescent="0.25">
      <c r="A6935" s="22" t="s">
        <v>7049</v>
      </c>
      <c r="B6935" s="36">
        <v>45755.09305555555</v>
      </c>
      <c r="C6935" s="36">
        <v>45755.898611111115</v>
      </c>
      <c r="D6935" s="22" t="s">
        <v>33</v>
      </c>
      <c r="E6935" s="22" t="s">
        <v>61</v>
      </c>
      <c r="F6935" s="22" t="s">
        <v>45</v>
      </c>
      <c r="G6935" s="22" t="s">
        <v>126</v>
      </c>
      <c r="H6935" s="22" t="s">
        <v>67</v>
      </c>
      <c r="I6935" s="22" t="s">
        <v>114</v>
      </c>
      <c r="J6935" s="23">
        <v>12</v>
      </c>
      <c r="K6935" s="37">
        <v>0</v>
      </c>
      <c r="L6935" s="37">
        <v>1</v>
      </c>
      <c r="M6935" s="22">
        <f>IF(OR(ISBLANK(C6935),C6935=""),"",ROUND((C6935-B6935)*24,2))</f>
        <v>19.33</v>
      </c>
      <c r="N6935" s="38" t="str">
        <f>IF(OR(ISBLANK(C6935),C6935="",M6935=""),"In Progress",IF(M6935&lt;=J6935,"Met","Breached"))</f>
        <v>Breached</v>
      </c>
    </row>
    <row r="6936" ht="19" customHeight="1" spans="1:14" x14ac:dyDescent="0.25">
      <c r="A6936" s="19" t="s">
        <v>7050</v>
      </c>
      <c r="B6936" s="33">
        <v>46252.00277777778</v>
      </c>
      <c r="C6936" s="33">
        <v>46252.86666666667</v>
      </c>
      <c r="D6936" s="19" t="s">
        <v>33</v>
      </c>
      <c r="E6936" s="19" t="s">
        <v>61</v>
      </c>
      <c r="F6936" s="19" t="s">
        <v>37</v>
      </c>
      <c r="G6936" s="19" t="s">
        <v>126</v>
      </c>
      <c r="H6936" s="19" t="s">
        <v>63</v>
      </c>
      <c r="I6936" s="19" t="s">
        <v>123</v>
      </c>
      <c r="J6936" s="20">
        <v>12</v>
      </c>
      <c r="K6936" s="34">
        <v>0</v>
      </c>
      <c r="M6936" s="19">
        <f>IF(OR(ISBLANK(C6936),C6936=""),"",ROUND((C6936-B6936)*24,2))</f>
        <v>20.73</v>
      </c>
      <c r="N6936" s="39" t="str">
        <f>IF(OR(ISBLANK(C6936),C6936="",M6936=""),"In Progress",IF(M6936&lt;=J6936,"Met","Breached"))</f>
        <v>Breached</v>
      </c>
    </row>
    <row r="6937" ht="19" customHeight="1" spans="1:14" x14ac:dyDescent="0.25">
      <c r="A6937" s="22" t="s">
        <v>7051</v>
      </c>
      <c r="B6937" s="36">
        <v>45922.32708333334</v>
      </c>
      <c r="C6937" s="36">
        <v>45925.90277777778</v>
      </c>
      <c r="D6937" s="22" t="s">
        <v>33</v>
      </c>
      <c r="E6937" s="22" t="s">
        <v>65</v>
      </c>
      <c r="F6937" s="22" t="s">
        <v>43</v>
      </c>
      <c r="G6937" s="22" t="s">
        <v>126</v>
      </c>
      <c r="H6937" s="22" t="s">
        <v>71</v>
      </c>
      <c r="I6937" s="22" t="s">
        <v>111</v>
      </c>
      <c r="J6937" s="23">
        <v>48</v>
      </c>
      <c r="K6937" s="37">
        <v>0</v>
      </c>
      <c r="L6937" s="37">
        <v>4</v>
      </c>
      <c r="M6937" s="22">
        <f>IF(OR(ISBLANK(C6937),C6937=""),"",ROUND((C6937-B6937)*24,2))</f>
        <v>85.82</v>
      </c>
      <c r="N6937" s="38" t="str">
        <f>IF(OR(ISBLANK(C6937),C6937="",M6937=""),"In Progress",IF(M6937&lt;=J6937,"Met","Breached"))</f>
        <v>Breached</v>
      </c>
    </row>
    <row r="6938" ht="19" customHeight="1" spans="1:14" x14ac:dyDescent="0.25">
      <c r="A6938" s="19" t="s">
        <v>7052</v>
      </c>
      <c r="B6938" s="33">
        <v>46047.59166666667</v>
      </c>
      <c r="D6938" s="19" t="s">
        <v>42</v>
      </c>
      <c r="E6938" s="19" t="s">
        <v>61</v>
      </c>
      <c r="F6938" s="19" t="s">
        <v>45</v>
      </c>
      <c r="G6938" s="19" t="s">
        <v>63</v>
      </c>
      <c r="H6938" s="19" t="s">
        <v>63</v>
      </c>
      <c r="I6938" s="19" t="s">
        <v>117</v>
      </c>
      <c r="J6938" s="20">
        <v>12</v>
      </c>
      <c r="K6938" s="34">
        <v>0</v>
      </c>
      <c r="M6938" s="19" t="str">
        <f>IF(OR(ISBLANK(C6938),C6938=""),"",ROUND((C6938-B6938)*24,2))</f>
        <v/>
      </c>
      <c r="N6938" s="19" t="str">
        <f>IF(OR(ISBLANK(C6938),C6938="",M6938=""),"In Progress",IF(M6938&lt;=J6938,"Met","Breached"))</f>
        <v>In Progress</v>
      </c>
    </row>
    <row r="6939" ht="19" customHeight="1" spans="1:14" x14ac:dyDescent="0.25">
      <c r="A6939" s="22" t="s">
        <v>7053</v>
      </c>
      <c r="B6939" s="36">
        <v>46036.23472222222</v>
      </c>
      <c r="C6939" s="36">
        <v>46040.021527777775</v>
      </c>
      <c r="D6939" s="22" t="s">
        <v>33</v>
      </c>
      <c r="E6939" s="22" t="s">
        <v>69</v>
      </c>
      <c r="F6939" s="22" t="s">
        <v>37</v>
      </c>
      <c r="G6939" s="22" t="s">
        <v>63</v>
      </c>
      <c r="H6939" s="22" t="s">
        <v>59</v>
      </c>
      <c r="I6939" s="22" t="s">
        <v>117</v>
      </c>
      <c r="J6939" s="23">
        <v>120</v>
      </c>
      <c r="K6939" s="37">
        <v>0</v>
      </c>
      <c r="L6939" s="37">
        <v>1</v>
      </c>
      <c r="M6939" s="22">
        <f>IF(OR(ISBLANK(C6939),C6939=""),"",ROUND((C6939-B6939)*24,2))</f>
        <v>90.88</v>
      </c>
      <c r="N6939" s="40" t="str">
        <f>IF(OR(ISBLANK(C6939),C6939="",M6939=""),"In Progress",IF(M6939&lt;=J6939,"Met","Breached"))</f>
        <v>Met</v>
      </c>
    </row>
    <row r="6940" ht="19" customHeight="1" spans="1:14" x14ac:dyDescent="0.25">
      <c r="A6940" s="19" t="s">
        <v>7054</v>
      </c>
      <c r="B6940" s="33">
        <v>45702.22083333333</v>
      </c>
      <c r="C6940" s="33">
        <v>45704.245833333334</v>
      </c>
      <c r="D6940" s="19" t="s">
        <v>33</v>
      </c>
      <c r="E6940" s="19" t="s">
        <v>65</v>
      </c>
      <c r="F6940" s="19" t="s">
        <v>43</v>
      </c>
      <c r="G6940" s="19" t="s">
        <v>121</v>
      </c>
      <c r="H6940" s="19" t="s">
        <v>59</v>
      </c>
      <c r="I6940" s="19" t="s">
        <v>108</v>
      </c>
      <c r="J6940" s="20">
        <v>48</v>
      </c>
      <c r="K6940" s="34">
        <v>0</v>
      </c>
      <c r="L6940" s="34">
        <v>5</v>
      </c>
      <c r="M6940" s="19">
        <f>IF(OR(ISBLANK(C6940),C6940=""),"",ROUND((C6940-B6940)*24,2))</f>
        <v>48.6</v>
      </c>
      <c r="N6940" s="39" t="str">
        <f>IF(OR(ISBLANK(C6940),C6940="",M6940=""),"In Progress",IF(M6940&lt;=J6940,"Met","Breached"))</f>
        <v>Breached</v>
      </c>
    </row>
    <row r="6941" ht="19" customHeight="1" spans="1:14" x14ac:dyDescent="0.25">
      <c r="A6941" s="22" t="s">
        <v>7055</v>
      </c>
      <c r="B6941" s="36">
        <v>46282.55138888889</v>
      </c>
      <c r="C6941" s="36">
        <v>46283.16875</v>
      </c>
      <c r="D6941" s="22" t="s">
        <v>33</v>
      </c>
      <c r="E6941" s="22" t="s">
        <v>61</v>
      </c>
      <c r="F6941" s="22" t="s">
        <v>45</v>
      </c>
      <c r="G6941" s="22" t="s">
        <v>113</v>
      </c>
      <c r="H6941" s="22" t="s">
        <v>63</v>
      </c>
      <c r="I6941" s="22" t="s">
        <v>111</v>
      </c>
      <c r="J6941" s="23">
        <v>12</v>
      </c>
      <c r="K6941" s="37">
        <v>0</v>
      </c>
      <c r="M6941" s="22">
        <f>IF(OR(ISBLANK(C6941),C6941=""),"",ROUND((C6941-B6941)*24,2))</f>
        <v>14.82</v>
      </c>
      <c r="N6941" s="38" t="str">
        <f>IF(OR(ISBLANK(C6941),C6941="",M6941=""),"In Progress",IF(M6941&lt;=J6941,"Met","Breached"))</f>
        <v>Breached</v>
      </c>
    </row>
    <row r="6942" ht="19" customHeight="1" spans="1:14" x14ac:dyDescent="0.25">
      <c r="A6942" s="19" t="s">
        <v>7056</v>
      </c>
      <c r="B6942" s="33">
        <v>45822.76458333334</v>
      </c>
      <c r="D6942" s="19" t="s">
        <v>42</v>
      </c>
      <c r="E6942" s="19" t="s">
        <v>69</v>
      </c>
      <c r="F6942" s="19" t="s">
        <v>37</v>
      </c>
      <c r="G6942" s="19" t="s">
        <v>116</v>
      </c>
      <c r="H6942" s="19" t="s">
        <v>59</v>
      </c>
      <c r="I6942" s="19" t="s">
        <v>111</v>
      </c>
      <c r="J6942" s="20">
        <v>120</v>
      </c>
      <c r="K6942" s="34">
        <v>0</v>
      </c>
      <c r="M6942" s="19" t="str">
        <f>IF(OR(ISBLANK(C6942),C6942=""),"",ROUND((C6942-B6942)*24,2))</f>
        <v/>
      </c>
      <c r="N6942" s="19" t="str">
        <f>IF(OR(ISBLANK(C6942),C6942="",M6942=""),"In Progress",IF(M6942&lt;=J6942,"Met","Breached"))</f>
        <v>In Progress</v>
      </c>
    </row>
    <row r="6943" ht="19" customHeight="1" spans="1:14" x14ac:dyDescent="0.25">
      <c r="A6943" s="22" t="s">
        <v>7057</v>
      </c>
      <c r="B6943" s="36">
        <v>45860.65416666667</v>
      </c>
      <c r="C6943" s="36">
        <v>45862.410416666666</v>
      </c>
      <c r="D6943" s="22" t="s">
        <v>36</v>
      </c>
      <c r="E6943" s="22" t="s">
        <v>69</v>
      </c>
      <c r="F6943" s="22" t="s">
        <v>37</v>
      </c>
      <c r="G6943" s="22" t="s">
        <v>126</v>
      </c>
      <c r="H6943" s="22" t="s">
        <v>59</v>
      </c>
      <c r="I6943" s="22" t="s">
        <v>123</v>
      </c>
      <c r="J6943" s="23">
        <v>120</v>
      </c>
      <c r="K6943" s="37">
        <v>0</v>
      </c>
      <c r="L6943" s="37">
        <v>1</v>
      </c>
      <c r="M6943" s="22">
        <f>IF(OR(ISBLANK(C6943),C6943=""),"",ROUND((C6943-B6943)*24,2))</f>
        <v>42.15</v>
      </c>
      <c r="N6943" s="40" t="str">
        <f>IF(OR(ISBLANK(C6943),C6943="",M6943=""),"In Progress",IF(M6943&lt;=J6943,"Met","Breached"))</f>
        <v>Met</v>
      </c>
    </row>
    <row r="6944" ht="19" customHeight="1" spans="1:14" x14ac:dyDescent="0.25">
      <c r="A6944" s="19" t="s">
        <v>7058</v>
      </c>
      <c r="B6944" s="33">
        <v>45733.16527777778</v>
      </c>
      <c r="C6944" s="33">
        <v>45735.459027777775</v>
      </c>
      <c r="D6944" s="19" t="s">
        <v>36</v>
      </c>
      <c r="E6944" s="19" t="s">
        <v>65</v>
      </c>
      <c r="F6944" s="19" t="s">
        <v>40</v>
      </c>
      <c r="G6944" s="19" t="s">
        <v>126</v>
      </c>
      <c r="H6944" s="19" t="s">
        <v>67</v>
      </c>
      <c r="I6944" s="19" t="s">
        <v>147</v>
      </c>
      <c r="J6944" s="20">
        <v>48</v>
      </c>
      <c r="K6944" s="34">
        <v>0</v>
      </c>
      <c r="L6944" s="34">
        <v>5</v>
      </c>
      <c r="M6944" s="19">
        <f>IF(OR(ISBLANK(C6944),C6944=""),"",ROUND((C6944-B6944)*24,2))</f>
        <v>55.05</v>
      </c>
      <c r="N6944" s="39" t="str">
        <f>IF(OR(ISBLANK(C6944),C6944="",M6944=""),"In Progress",IF(M6944&lt;=J6944,"Met","Breached"))</f>
        <v>Breached</v>
      </c>
    </row>
    <row r="6945" ht="19" customHeight="1" spans="1:14" x14ac:dyDescent="0.25">
      <c r="A6945" s="22" t="s">
        <v>7059</v>
      </c>
      <c r="B6945" s="36">
        <v>46025.44027777778</v>
      </c>
      <c r="D6945" s="22" t="s">
        <v>42</v>
      </c>
      <c r="E6945" s="22" t="s">
        <v>61</v>
      </c>
      <c r="F6945" s="22" t="s">
        <v>45</v>
      </c>
      <c r="G6945" s="22" t="s">
        <v>126</v>
      </c>
      <c r="H6945" s="22" t="s">
        <v>59</v>
      </c>
      <c r="I6945" s="22" t="s">
        <v>117</v>
      </c>
      <c r="J6945" s="23">
        <v>12</v>
      </c>
      <c r="K6945" s="37">
        <v>0</v>
      </c>
      <c r="M6945" s="22" t="str">
        <f>IF(OR(ISBLANK(C6945),C6945=""),"",ROUND((C6945-B6945)*24,2))</f>
        <v/>
      </c>
      <c r="N6945" s="22" t="str">
        <f>IF(OR(ISBLANK(C6945),C6945="",M6945=""),"In Progress",IF(M6945&lt;=J6945,"Met","Breached"))</f>
        <v>In Progress</v>
      </c>
    </row>
    <row r="6946" ht="19" customHeight="1" spans="1:14" x14ac:dyDescent="0.25">
      <c r="A6946" s="19" t="s">
        <v>7060</v>
      </c>
      <c r="B6946" s="33">
        <v>46230.65972222222</v>
      </c>
      <c r="D6946" s="19" t="s">
        <v>39</v>
      </c>
      <c r="E6946" s="19" t="s">
        <v>65</v>
      </c>
      <c r="F6946" s="19" t="s">
        <v>43</v>
      </c>
      <c r="G6946" s="19" t="s">
        <v>126</v>
      </c>
      <c r="H6946" s="19" t="s">
        <v>59</v>
      </c>
      <c r="I6946" s="19" t="s">
        <v>117</v>
      </c>
      <c r="J6946" s="20">
        <v>48</v>
      </c>
      <c r="K6946" s="34">
        <v>0</v>
      </c>
      <c r="M6946" s="19" t="str">
        <f>IF(OR(ISBLANK(C6946),C6946=""),"",ROUND((C6946-B6946)*24,2))</f>
        <v/>
      </c>
      <c r="N6946" s="19" t="str">
        <f>IF(OR(ISBLANK(C6946),C6946="",M6946=""),"In Progress",IF(M6946&lt;=J6946,"Met","Breached"))</f>
        <v>In Progress</v>
      </c>
    </row>
    <row r="6947" ht="19" customHeight="1" spans="1:14" x14ac:dyDescent="0.25">
      <c r="A6947" s="22" t="s">
        <v>7061</v>
      </c>
      <c r="B6947" s="36">
        <v>45966.06388888889</v>
      </c>
      <c r="D6947" s="22" t="s">
        <v>39</v>
      </c>
      <c r="E6947" s="22" t="s">
        <v>69</v>
      </c>
      <c r="F6947" s="22" t="s">
        <v>34</v>
      </c>
      <c r="G6947" s="22" t="s">
        <v>121</v>
      </c>
      <c r="H6947" s="22" t="s">
        <v>63</v>
      </c>
      <c r="I6947" s="22" t="s">
        <v>114</v>
      </c>
      <c r="J6947" s="23">
        <v>120</v>
      </c>
      <c r="K6947" s="37">
        <v>0</v>
      </c>
      <c r="M6947" s="22" t="str">
        <f>IF(OR(ISBLANK(C6947),C6947=""),"",ROUND((C6947-B6947)*24,2))</f>
        <v/>
      </c>
      <c r="N6947" s="22" t="str">
        <f>IF(OR(ISBLANK(C6947),C6947="",M6947=""),"In Progress",IF(M6947&lt;=J6947,"Met","Breached"))</f>
        <v>In Progress</v>
      </c>
    </row>
    <row r="6948" ht="19" customHeight="1" spans="1:14" x14ac:dyDescent="0.25">
      <c r="A6948" s="19" t="s">
        <v>7062</v>
      </c>
      <c r="B6948" s="33">
        <v>45669.149305555555</v>
      </c>
      <c r="C6948" s="33">
        <v>45669.38055555556</v>
      </c>
      <c r="D6948" s="19" t="s">
        <v>33</v>
      </c>
      <c r="E6948" s="19" t="s">
        <v>57</v>
      </c>
      <c r="F6948" s="19" t="s">
        <v>43</v>
      </c>
      <c r="G6948" s="19" t="s">
        <v>110</v>
      </c>
      <c r="H6948" s="19" t="s">
        <v>59</v>
      </c>
      <c r="I6948" s="19" t="s">
        <v>114</v>
      </c>
      <c r="J6948" s="20">
        <v>4</v>
      </c>
      <c r="K6948" s="34">
        <v>0</v>
      </c>
      <c r="M6948" s="19">
        <f>IF(OR(ISBLANK(C6948),C6948=""),"",ROUND((C6948-B6948)*24,2))</f>
        <v>5.55</v>
      </c>
      <c r="N6948" s="39" t="str">
        <f>IF(OR(ISBLANK(C6948),C6948="",M6948=""),"In Progress",IF(M6948&lt;=J6948,"Met","Breached"))</f>
        <v>Breached</v>
      </c>
    </row>
    <row r="6949" ht="19" customHeight="1" spans="1:14" x14ac:dyDescent="0.25">
      <c r="A6949" s="22" t="s">
        <v>7063</v>
      </c>
      <c r="B6949" s="36">
        <v>46121.47777777778</v>
      </c>
      <c r="C6949" s="36">
        <v>46123.22222222222</v>
      </c>
      <c r="D6949" s="22" t="s">
        <v>36</v>
      </c>
      <c r="E6949" s="22" t="s">
        <v>65</v>
      </c>
      <c r="F6949" s="22" t="s">
        <v>40</v>
      </c>
      <c r="G6949" s="22" t="s">
        <v>63</v>
      </c>
      <c r="H6949" s="22" t="s">
        <v>63</v>
      </c>
      <c r="I6949" s="22" t="s">
        <v>108</v>
      </c>
      <c r="J6949" s="23">
        <v>48</v>
      </c>
      <c r="K6949" s="37">
        <v>0</v>
      </c>
      <c r="L6949" s="37">
        <v>1</v>
      </c>
      <c r="M6949" s="22">
        <f>IF(OR(ISBLANK(C6949),C6949=""),"",ROUND((C6949-B6949)*24,2))</f>
        <v>41.87</v>
      </c>
      <c r="N6949" s="40" t="str">
        <f>IF(OR(ISBLANK(C6949),C6949="",M6949=""),"In Progress",IF(M6949&lt;=J6949,"Met","Breached"))</f>
        <v>Met</v>
      </c>
    </row>
    <row r="6950" ht="19" customHeight="1" spans="1:14" x14ac:dyDescent="0.25">
      <c r="A6950" s="19" t="s">
        <v>7064</v>
      </c>
      <c r="B6950" s="33">
        <v>46202.146527777775</v>
      </c>
      <c r="D6950" s="19" t="s">
        <v>39</v>
      </c>
      <c r="E6950" s="19" t="s">
        <v>65</v>
      </c>
      <c r="F6950" s="19" t="s">
        <v>43</v>
      </c>
      <c r="G6950" s="19" t="s">
        <v>63</v>
      </c>
      <c r="H6950" s="19" t="s">
        <v>59</v>
      </c>
      <c r="I6950" s="19" t="s">
        <v>111</v>
      </c>
      <c r="J6950" s="20">
        <v>48</v>
      </c>
      <c r="K6950" s="34">
        <v>0</v>
      </c>
      <c r="M6950" s="19" t="str">
        <f>IF(OR(ISBLANK(C6950),C6950=""),"",ROUND((C6950-B6950)*24,2))</f>
        <v/>
      </c>
      <c r="N6950" s="19" t="str">
        <f>IF(OR(ISBLANK(C6950),C6950="",M6950=""),"In Progress",IF(M6950&lt;=J6950,"Met","Breached"))</f>
        <v>In Progress</v>
      </c>
    </row>
    <row r="6951" ht="19" customHeight="1" spans="1:14" x14ac:dyDescent="0.25">
      <c r="A6951" s="22" t="s">
        <v>7065</v>
      </c>
      <c r="B6951" s="36">
        <v>45690.445138888885</v>
      </c>
      <c r="C6951" s="36">
        <v>45690.86458333333</v>
      </c>
      <c r="D6951" s="22" t="s">
        <v>33</v>
      </c>
      <c r="E6951" s="22" t="s">
        <v>61</v>
      </c>
      <c r="F6951" s="22" t="s">
        <v>34</v>
      </c>
      <c r="G6951" s="22" t="s">
        <v>126</v>
      </c>
      <c r="H6951" s="22" t="s">
        <v>67</v>
      </c>
      <c r="I6951" s="22" t="s">
        <v>117</v>
      </c>
      <c r="J6951" s="23">
        <v>12</v>
      </c>
      <c r="K6951" s="37">
        <v>0</v>
      </c>
      <c r="L6951" s="37">
        <v>2</v>
      </c>
      <c r="M6951" s="22">
        <f>IF(OR(ISBLANK(C6951),C6951=""),"",ROUND((C6951-B6951)*24,2))</f>
        <v>10.07</v>
      </c>
      <c r="N6951" s="40" t="str">
        <f>IF(OR(ISBLANK(C6951),C6951="",M6951=""),"In Progress",IF(M6951&lt;=J6951,"Met","Breached"))</f>
        <v>Met</v>
      </c>
    </row>
    <row r="6952" ht="19" customHeight="1" spans="1:14" x14ac:dyDescent="0.25">
      <c r="A6952" s="19" t="s">
        <v>7066</v>
      </c>
      <c r="B6952" s="33">
        <v>45822.09513888889</v>
      </c>
      <c r="D6952" s="19" t="s">
        <v>39</v>
      </c>
      <c r="E6952" s="19" t="s">
        <v>57</v>
      </c>
      <c r="F6952" s="19" t="s">
        <v>43</v>
      </c>
      <c r="G6952" s="19" t="s">
        <v>121</v>
      </c>
      <c r="H6952" s="19" t="s">
        <v>71</v>
      </c>
      <c r="I6952" s="19" t="s">
        <v>114</v>
      </c>
      <c r="J6952" s="20">
        <v>4</v>
      </c>
      <c r="K6952" s="34">
        <v>0</v>
      </c>
      <c r="M6952" s="19" t="str">
        <f>IF(OR(ISBLANK(C6952),C6952=""),"",ROUND((C6952-B6952)*24,2))</f>
        <v/>
      </c>
      <c r="N6952" s="19" t="str">
        <f>IF(OR(ISBLANK(C6952),C6952="",M6952=""),"In Progress",IF(M6952&lt;=J6952,"Met","Breached"))</f>
        <v>In Progress</v>
      </c>
    </row>
    <row r="6953" ht="19" customHeight="1" spans="1:14" x14ac:dyDescent="0.25">
      <c r="A6953" s="22" t="s">
        <v>7067</v>
      </c>
      <c r="B6953" s="36">
        <v>45897.79652777778</v>
      </c>
      <c r="C6953" s="36">
        <v>45905.79305555555</v>
      </c>
      <c r="D6953" s="22" t="s">
        <v>33</v>
      </c>
      <c r="E6953" s="22" t="s">
        <v>69</v>
      </c>
      <c r="F6953" s="22" t="s">
        <v>34</v>
      </c>
      <c r="G6953" s="22" t="s">
        <v>113</v>
      </c>
      <c r="H6953" s="22" t="s">
        <v>59</v>
      </c>
      <c r="I6953" s="22" t="s">
        <v>108</v>
      </c>
      <c r="J6953" s="23">
        <v>120</v>
      </c>
      <c r="K6953" s="37">
        <v>0</v>
      </c>
      <c r="L6953" s="37">
        <v>3</v>
      </c>
      <c r="M6953" s="22">
        <f>IF(OR(ISBLANK(C6953),C6953=""),"",ROUND((C6953-B6953)*24,2))</f>
        <v>191.92</v>
      </c>
      <c r="N6953" s="38" t="str">
        <f>IF(OR(ISBLANK(C6953),C6953="",M6953=""),"In Progress",IF(M6953&lt;=J6953,"Met","Breached"))</f>
        <v>Breached</v>
      </c>
    </row>
    <row r="6954" ht="19" customHeight="1" spans="1:14" x14ac:dyDescent="0.25">
      <c r="A6954" s="19" t="s">
        <v>7068</v>
      </c>
      <c r="B6954" s="33">
        <v>46079.92291666666</v>
      </c>
      <c r="C6954" s="33">
        <v>46080.15625</v>
      </c>
      <c r="D6954" s="19" t="s">
        <v>33</v>
      </c>
      <c r="E6954" s="19" t="s">
        <v>61</v>
      </c>
      <c r="F6954" s="19" t="s">
        <v>34</v>
      </c>
      <c r="G6954" s="19" t="s">
        <v>126</v>
      </c>
      <c r="H6954" s="19" t="s">
        <v>63</v>
      </c>
      <c r="I6954" s="19" t="s">
        <v>114</v>
      </c>
      <c r="J6954" s="20">
        <v>12</v>
      </c>
      <c r="K6954" s="34">
        <v>0</v>
      </c>
      <c r="L6954" s="34">
        <v>3</v>
      </c>
      <c r="M6954" s="19">
        <f>IF(OR(ISBLANK(C6954),C6954=""),"",ROUND((C6954-B6954)*24,2))</f>
        <v>5.6</v>
      </c>
      <c r="N6954" s="35" t="str">
        <f>IF(OR(ISBLANK(C6954),C6954="",M6954=""),"In Progress",IF(M6954&lt;=J6954,"Met","Breached"))</f>
        <v>Met</v>
      </c>
    </row>
    <row r="6955" ht="19" customHeight="1" spans="1:14" x14ac:dyDescent="0.25">
      <c r="A6955" s="22" t="s">
        <v>7069</v>
      </c>
      <c r="B6955" s="36">
        <v>45763.55694444444</v>
      </c>
      <c r="D6955" s="22" t="s">
        <v>39</v>
      </c>
      <c r="E6955" s="22" t="s">
        <v>69</v>
      </c>
      <c r="F6955" s="22" t="s">
        <v>45</v>
      </c>
      <c r="G6955" s="22" t="s">
        <v>63</v>
      </c>
      <c r="H6955" s="22" t="s">
        <v>67</v>
      </c>
      <c r="I6955" s="22" t="s">
        <v>147</v>
      </c>
      <c r="J6955" s="23">
        <v>120</v>
      </c>
      <c r="K6955" s="37">
        <v>0</v>
      </c>
      <c r="M6955" s="22" t="str">
        <f>IF(OR(ISBLANK(C6955),C6955=""),"",ROUND((C6955-B6955)*24,2))</f>
        <v/>
      </c>
      <c r="N6955" s="22" t="str">
        <f>IF(OR(ISBLANK(C6955),C6955="",M6955=""),"In Progress",IF(M6955&lt;=J6955,"Met","Breached"))</f>
        <v>In Progress</v>
      </c>
    </row>
    <row r="6956" ht="19" customHeight="1" spans="1:14" x14ac:dyDescent="0.25">
      <c r="A6956" s="19" t="s">
        <v>7070</v>
      </c>
      <c r="B6956" s="33">
        <v>46011.13958333334</v>
      </c>
      <c r="C6956" s="33">
        <v>46011.61597222222</v>
      </c>
      <c r="D6956" s="19" t="s">
        <v>33</v>
      </c>
      <c r="E6956" s="19" t="s">
        <v>61</v>
      </c>
      <c r="F6956" s="19" t="s">
        <v>37</v>
      </c>
      <c r="G6956" s="19" t="s">
        <v>63</v>
      </c>
      <c r="H6956" s="19" t="s">
        <v>59</v>
      </c>
      <c r="I6956" s="19" t="s">
        <v>108</v>
      </c>
      <c r="J6956" s="20">
        <v>12</v>
      </c>
      <c r="K6956" s="34">
        <v>0</v>
      </c>
      <c r="L6956" s="34">
        <v>2</v>
      </c>
      <c r="M6956" s="19">
        <f>IF(OR(ISBLANK(C6956),C6956=""),"",ROUND((C6956-B6956)*24,2))</f>
        <v>11.43</v>
      </c>
      <c r="N6956" s="35" t="str">
        <f>IF(OR(ISBLANK(C6956),C6956="",M6956=""),"In Progress",IF(M6956&lt;=J6956,"Met","Breached"))</f>
        <v>Met</v>
      </c>
    </row>
    <row r="6957" ht="19" customHeight="1" spans="1:14" x14ac:dyDescent="0.25">
      <c r="A6957" s="22" t="s">
        <v>7071</v>
      </c>
      <c r="B6957" s="36">
        <v>46021.64513888889</v>
      </c>
      <c r="D6957" s="22" t="s">
        <v>42</v>
      </c>
      <c r="E6957" s="22" t="s">
        <v>65</v>
      </c>
      <c r="F6957" s="22" t="s">
        <v>37</v>
      </c>
      <c r="G6957" s="22" t="s">
        <v>113</v>
      </c>
      <c r="H6957" s="22" t="s">
        <v>63</v>
      </c>
      <c r="I6957" s="22" t="s">
        <v>114</v>
      </c>
      <c r="J6957" s="23">
        <v>48</v>
      </c>
      <c r="K6957" s="37">
        <v>0</v>
      </c>
      <c r="M6957" s="22" t="str">
        <f>IF(OR(ISBLANK(C6957),C6957=""),"",ROUND((C6957-B6957)*24,2))</f>
        <v/>
      </c>
      <c r="N6957" s="22" t="str">
        <f>IF(OR(ISBLANK(C6957),C6957="",M6957=""),"In Progress",IF(M6957&lt;=J6957,"Met","Breached"))</f>
        <v>In Progress</v>
      </c>
    </row>
    <row r="6958" ht="19" customHeight="1" spans="1:14" x14ac:dyDescent="0.25">
      <c r="A6958" s="19" t="s">
        <v>7072</v>
      </c>
      <c r="B6958" s="33">
        <v>46208.57986111111</v>
      </c>
      <c r="C6958" s="33">
        <v>46208.82986111111</v>
      </c>
      <c r="D6958" s="19" t="s">
        <v>33</v>
      </c>
      <c r="E6958" s="19" t="s">
        <v>61</v>
      </c>
      <c r="F6958" s="19" t="s">
        <v>37</v>
      </c>
      <c r="G6958" s="19" t="s">
        <v>121</v>
      </c>
      <c r="H6958" s="19" t="s">
        <v>63</v>
      </c>
      <c r="I6958" s="19" t="s">
        <v>123</v>
      </c>
      <c r="J6958" s="20">
        <v>12</v>
      </c>
      <c r="K6958" s="34">
        <v>0</v>
      </c>
      <c r="L6958" s="34">
        <v>1</v>
      </c>
      <c r="M6958" s="19">
        <f>IF(OR(ISBLANK(C6958),C6958=""),"",ROUND((C6958-B6958)*24,2))</f>
        <v>6</v>
      </c>
      <c r="N6958" s="35" t="str">
        <f>IF(OR(ISBLANK(C6958),C6958="",M6958=""),"In Progress",IF(M6958&lt;=J6958,"Met","Breached"))</f>
        <v>Met</v>
      </c>
    </row>
    <row r="6959" ht="19" customHeight="1" spans="1:14" x14ac:dyDescent="0.25">
      <c r="A6959" s="22" t="s">
        <v>7073</v>
      </c>
      <c r="B6959" s="36">
        <v>45741.288888888885</v>
      </c>
      <c r="D6959" s="22" t="s">
        <v>39</v>
      </c>
      <c r="E6959" s="22" t="s">
        <v>61</v>
      </c>
      <c r="F6959" s="22" t="s">
        <v>45</v>
      </c>
      <c r="G6959" s="22" t="s">
        <v>126</v>
      </c>
      <c r="H6959" s="22" t="s">
        <v>59</v>
      </c>
      <c r="I6959" s="22" t="s">
        <v>111</v>
      </c>
      <c r="J6959" s="23">
        <v>12</v>
      </c>
      <c r="K6959" s="37">
        <v>0</v>
      </c>
      <c r="M6959" s="22" t="str">
        <f>IF(OR(ISBLANK(C6959),C6959=""),"",ROUND((C6959-B6959)*24,2))</f>
        <v/>
      </c>
      <c r="N6959" s="22" t="str">
        <f>IF(OR(ISBLANK(C6959),C6959="",M6959=""),"In Progress",IF(M6959&lt;=J6959,"Met","Breached"))</f>
        <v>In Progress</v>
      </c>
    </row>
    <row r="6960" ht="19" customHeight="1" spans="1:14" x14ac:dyDescent="0.25">
      <c r="A6960" s="19" t="s">
        <v>7074</v>
      </c>
      <c r="B6960" s="33">
        <v>45929.101388888885</v>
      </c>
      <c r="D6960" s="19" t="s">
        <v>39</v>
      </c>
      <c r="E6960" s="19" t="s">
        <v>65</v>
      </c>
      <c r="F6960" s="19" t="s">
        <v>43</v>
      </c>
      <c r="G6960" s="19" t="s">
        <v>63</v>
      </c>
      <c r="H6960" s="19" t="s">
        <v>63</v>
      </c>
      <c r="I6960" s="19" t="s">
        <v>147</v>
      </c>
      <c r="J6960" s="20">
        <v>48</v>
      </c>
      <c r="K6960" s="34">
        <v>0</v>
      </c>
      <c r="M6960" s="19" t="str">
        <f>IF(OR(ISBLANK(C6960),C6960=""),"",ROUND((C6960-B6960)*24,2))</f>
        <v/>
      </c>
      <c r="N6960" s="19" t="str">
        <f>IF(OR(ISBLANK(C6960),C6960="",M6960=""),"In Progress",IF(M6960&lt;=J6960,"Met","Breached"))</f>
        <v>In Progress</v>
      </c>
    </row>
    <row r="6961" ht="19" customHeight="1" spans="1:14" x14ac:dyDescent="0.25">
      <c r="A6961" s="22" t="s">
        <v>7075</v>
      </c>
      <c r="B6961" s="36">
        <v>46286.82708333334</v>
      </c>
      <c r="C6961" s="36">
        <v>46287.22083333333</v>
      </c>
      <c r="D6961" s="22" t="s">
        <v>36</v>
      </c>
      <c r="E6961" s="22" t="s">
        <v>61</v>
      </c>
      <c r="F6961" s="22" t="s">
        <v>43</v>
      </c>
      <c r="G6961" s="22" t="s">
        <v>110</v>
      </c>
      <c r="H6961" s="22" t="s">
        <v>71</v>
      </c>
      <c r="I6961" s="22" t="s">
        <v>111</v>
      </c>
      <c r="J6961" s="23">
        <v>12</v>
      </c>
      <c r="K6961" s="37">
        <v>0</v>
      </c>
      <c r="L6961" s="37">
        <v>1</v>
      </c>
      <c r="M6961" s="22">
        <f>IF(OR(ISBLANK(C6961),C6961=""),"",ROUND((C6961-B6961)*24,2))</f>
        <v>9.45</v>
      </c>
      <c r="N6961" s="40" t="str">
        <f>IF(OR(ISBLANK(C6961),C6961="",M6961=""),"In Progress",IF(M6961&lt;=J6961,"Met","Breached"))</f>
        <v>Met</v>
      </c>
    </row>
    <row r="6962" ht="19" customHeight="1" spans="1:14" x14ac:dyDescent="0.25">
      <c r="A6962" s="19" t="s">
        <v>7076</v>
      </c>
      <c r="B6962" s="33">
        <v>46286.788888888885</v>
      </c>
      <c r="C6962" s="33">
        <v>46292.535416666666</v>
      </c>
      <c r="D6962" s="19" t="s">
        <v>36</v>
      </c>
      <c r="E6962" s="19" t="s">
        <v>69</v>
      </c>
      <c r="F6962" s="19" t="s">
        <v>43</v>
      </c>
      <c r="G6962" s="19" t="s">
        <v>121</v>
      </c>
      <c r="H6962" s="19" t="s">
        <v>59</v>
      </c>
      <c r="I6962" s="19" t="s">
        <v>123</v>
      </c>
      <c r="J6962" s="20">
        <v>120</v>
      </c>
      <c r="K6962" s="34">
        <v>1</v>
      </c>
      <c r="M6962" s="19">
        <f>IF(OR(ISBLANK(C6962),C6962=""),"",ROUND((C6962-B6962)*24,2))</f>
        <v>137.92</v>
      </c>
      <c r="N6962" s="39" t="str">
        <f>IF(OR(ISBLANK(C6962),C6962="",M6962=""),"In Progress",IF(M6962&lt;=J6962,"Met","Breached"))</f>
        <v>Breached</v>
      </c>
    </row>
    <row r="6963" ht="19" customHeight="1" spans="1:14" x14ac:dyDescent="0.25">
      <c r="A6963" s="22" t="s">
        <v>7077</v>
      </c>
      <c r="B6963" s="36">
        <v>45918.32708333334</v>
      </c>
      <c r="D6963" s="22" t="s">
        <v>39</v>
      </c>
      <c r="E6963" s="22" t="s">
        <v>69</v>
      </c>
      <c r="F6963" s="22" t="s">
        <v>45</v>
      </c>
      <c r="G6963" s="22" t="s">
        <v>116</v>
      </c>
      <c r="H6963" s="22" t="s">
        <v>63</v>
      </c>
      <c r="I6963" s="22" t="s">
        <v>108</v>
      </c>
      <c r="J6963" s="23">
        <v>120</v>
      </c>
      <c r="K6963" s="37">
        <v>0</v>
      </c>
      <c r="M6963" s="22" t="str">
        <f>IF(OR(ISBLANK(C6963),C6963=""),"",ROUND((C6963-B6963)*24,2))</f>
        <v/>
      </c>
      <c r="N6963" s="22" t="str">
        <f>IF(OR(ISBLANK(C6963),C6963="",M6963=""),"In Progress",IF(M6963&lt;=J6963,"Met","Breached"))</f>
        <v>In Progress</v>
      </c>
    </row>
    <row r="6964" ht="19" customHeight="1" spans="1:14" x14ac:dyDescent="0.25">
      <c r="A6964" s="19" t="s">
        <v>7078</v>
      </c>
      <c r="B6964" s="33">
        <v>46053.111805555556</v>
      </c>
      <c r="D6964" s="19" t="s">
        <v>42</v>
      </c>
      <c r="E6964" s="19" t="s">
        <v>69</v>
      </c>
      <c r="F6964" s="19" t="s">
        <v>45</v>
      </c>
      <c r="G6964" s="19" t="s">
        <v>121</v>
      </c>
      <c r="H6964" s="19" t="s">
        <v>63</v>
      </c>
      <c r="I6964" s="19" t="s">
        <v>111</v>
      </c>
      <c r="J6964" s="20">
        <v>120</v>
      </c>
      <c r="K6964" s="34">
        <v>0</v>
      </c>
      <c r="M6964" s="19" t="str">
        <f>IF(OR(ISBLANK(C6964),C6964=""),"",ROUND((C6964-B6964)*24,2))</f>
        <v/>
      </c>
      <c r="N6964" s="19" t="str">
        <f>IF(OR(ISBLANK(C6964),C6964="",M6964=""),"In Progress",IF(M6964&lt;=J6964,"Met","Breached"))</f>
        <v>In Progress</v>
      </c>
    </row>
    <row r="6965" ht="19" customHeight="1" spans="1:14" x14ac:dyDescent="0.25">
      <c r="A6965" s="22" t="s">
        <v>7079</v>
      </c>
      <c r="B6965" s="36">
        <v>45714.12013888889</v>
      </c>
      <c r="D6965" s="22" t="s">
        <v>39</v>
      </c>
      <c r="E6965" s="22" t="s">
        <v>69</v>
      </c>
      <c r="F6965" s="22" t="s">
        <v>40</v>
      </c>
      <c r="G6965" s="22" t="s">
        <v>113</v>
      </c>
      <c r="H6965" s="22" t="s">
        <v>59</v>
      </c>
      <c r="I6965" s="22" t="s">
        <v>117</v>
      </c>
      <c r="J6965" s="23">
        <v>120</v>
      </c>
      <c r="K6965" s="37">
        <v>0</v>
      </c>
      <c r="M6965" s="22" t="str">
        <f>IF(OR(ISBLANK(C6965),C6965=""),"",ROUND((C6965-B6965)*24,2))</f>
        <v/>
      </c>
      <c r="N6965" s="22" t="str">
        <f>IF(OR(ISBLANK(C6965),C6965="",M6965=""),"In Progress",IF(M6965&lt;=J6965,"Met","Breached"))</f>
        <v>In Progress</v>
      </c>
    </row>
    <row r="6966" ht="19" customHeight="1" spans="1:14" x14ac:dyDescent="0.25">
      <c r="A6966" s="19" t="s">
        <v>7080</v>
      </c>
      <c r="B6966" s="33">
        <v>45903.48541666666</v>
      </c>
      <c r="C6966" s="33">
        <v>45906.8875</v>
      </c>
      <c r="D6966" s="19" t="s">
        <v>33</v>
      </c>
      <c r="E6966" s="19" t="s">
        <v>65</v>
      </c>
      <c r="F6966" s="19" t="s">
        <v>45</v>
      </c>
      <c r="G6966" s="19" t="s">
        <v>110</v>
      </c>
      <c r="H6966" s="19" t="s">
        <v>59</v>
      </c>
      <c r="I6966" s="19" t="s">
        <v>111</v>
      </c>
      <c r="J6966" s="20">
        <v>48</v>
      </c>
      <c r="K6966" s="34">
        <v>0</v>
      </c>
      <c r="L6966" s="34">
        <v>5</v>
      </c>
      <c r="M6966" s="19">
        <f>IF(OR(ISBLANK(C6966),C6966=""),"",ROUND((C6966-B6966)*24,2))</f>
        <v>81.65</v>
      </c>
      <c r="N6966" s="39" t="str">
        <f>IF(OR(ISBLANK(C6966),C6966="",M6966=""),"In Progress",IF(M6966&lt;=J6966,"Met","Breached"))</f>
        <v>Breached</v>
      </c>
    </row>
    <row r="6967" ht="19" customHeight="1" spans="1:14" x14ac:dyDescent="0.25">
      <c r="A6967" s="22" t="s">
        <v>7081</v>
      </c>
      <c r="B6967" s="36">
        <v>45777</v>
      </c>
      <c r="C6967" s="36">
        <v>45783.79236111111</v>
      </c>
      <c r="D6967" s="22" t="s">
        <v>33</v>
      </c>
      <c r="E6967" s="22" t="s">
        <v>69</v>
      </c>
      <c r="F6967" s="22" t="s">
        <v>34</v>
      </c>
      <c r="G6967" s="22" t="s">
        <v>126</v>
      </c>
      <c r="H6967" s="22" t="s">
        <v>67</v>
      </c>
      <c r="I6967" s="22" t="s">
        <v>108</v>
      </c>
      <c r="J6967" s="23">
        <v>120</v>
      </c>
      <c r="K6967" s="37">
        <v>0</v>
      </c>
      <c r="L6967" s="37">
        <v>3</v>
      </c>
      <c r="M6967" s="22">
        <f>IF(OR(ISBLANK(C6967),C6967=""),"",ROUND((C6967-B6967)*24,2))</f>
        <v>163.02</v>
      </c>
      <c r="N6967" s="38" t="str">
        <f>IF(OR(ISBLANK(C6967),C6967="",M6967=""),"In Progress",IF(M6967&lt;=J6967,"Met","Breached"))</f>
        <v>Breached</v>
      </c>
    </row>
    <row r="6968" ht="19" customHeight="1" spans="1:14" x14ac:dyDescent="0.25">
      <c r="A6968" s="19" t="s">
        <v>7082</v>
      </c>
      <c r="B6968" s="33">
        <v>45843.23055555555</v>
      </c>
      <c r="C6968" s="33">
        <v>45846.29791666666</v>
      </c>
      <c r="D6968" s="19" t="s">
        <v>36</v>
      </c>
      <c r="E6968" s="19" t="s">
        <v>65</v>
      </c>
      <c r="F6968" s="19" t="s">
        <v>43</v>
      </c>
      <c r="G6968" s="19" t="s">
        <v>126</v>
      </c>
      <c r="H6968" s="19" t="s">
        <v>63</v>
      </c>
      <c r="I6968" s="19" t="s">
        <v>117</v>
      </c>
      <c r="J6968" s="20">
        <v>48</v>
      </c>
      <c r="K6968" s="34">
        <v>0</v>
      </c>
      <c r="L6968" s="34">
        <v>3</v>
      </c>
      <c r="M6968" s="19">
        <f>IF(OR(ISBLANK(C6968),C6968=""),"",ROUND((C6968-B6968)*24,2))</f>
        <v>73.62</v>
      </c>
      <c r="N6968" s="39" t="str">
        <f>IF(OR(ISBLANK(C6968),C6968="",M6968=""),"In Progress",IF(M6968&lt;=J6968,"Met","Breached"))</f>
        <v>Breached</v>
      </c>
    </row>
    <row r="6969" ht="19" customHeight="1" spans="1:14" x14ac:dyDescent="0.25">
      <c r="A6969" s="22" t="s">
        <v>7083</v>
      </c>
      <c r="B6969" s="36">
        <v>46126.56319444445</v>
      </c>
      <c r="C6969" s="36">
        <v>46134.59305555555</v>
      </c>
      <c r="D6969" s="22" t="s">
        <v>33</v>
      </c>
      <c r="E6969" s="22" t="s">
        <v>69</v>
      </c>
      <c r="F6969" s="22" t="s">
        <v>40</v>
      </c>
      <c r="G6969" s="22" t="s">
        <v>113</v>
      </c>
      <c r="H6969" s="22" t="s">
        <v>63</v>
      </c>
      <c r="I6969" s="22" t="s">
        <v>114</v>
      </c>
      <c r="J6969" s="23">
        <v>120</v>
      </c>
      <c r="K6969" s="37">
        <v>0</v>
      </c>
      <c r="L6969" s="37">
        <v>4</v>
      </c>
      <c r="M6969" s="22">
        <f>IF(OR(ISBLANK(C6969),C6969=""),"",ROUND((C6969-B6969)*24,2))</f>
        <v>192.72</v>
      </c>
      <c r="N6969" s="38" t="str">
        <f>IF(OR(ISBLANK(C6969),C6969="",M6969=""),"In Progress",IF(M6969&lt;=J6969,"Met","Breached"))</f>
        <v>Breached</v>
      </c>
    </row>
    <row r="6970" ht="19" customHeight="1" spans="1:14" x14ac:dyDescent="0.25">
      <c r="A6970" s="19" t="s">
        <v>7084</v>
      </c>
      <c r="B6970" s="33">
        <v>46166.929861111115</v>
      </c>
      <c r="C6970" s="33">
        <v>46168.05972222222</v>
      </c>
      <c r="D6970" s="19" t="s">
        <v>36</v>
      </c>
      <c r="E6970" s="19" t="s">
        <v>65</v>
      </c>
      <c r="F6970" s="19" t="s">
        <v>40</v>
      </c>
      <c r="G6970" s="19" t="s">
        <v>116</v>
      </c>
      <c r="H6970" s="19" t="s">
        <v>59</v>
      </c>
      <c r="I6970" s="19" t="s">
        <v>123</v>
      </c>
      <c r="J6970" s="20">
        <v>48</v>
      </c>
      <c r="K6970" s="34">
        <v>0</v>
      </c>
      <c r="L6970" s="34">
        <v>1</v>
      </c>
      <c r="M6970" s="19">
        <f>IF(OR(ISBLANK(C6970),C6970=""),"",ROUND((C6970-B6970)*24,2))</f>
        <v>27.12</v>
      </c>
      <c r="N6970" s="35" t="str">
        <f>IF(OR(ISBLANK(C6970),C6970="",M6970=""),"In Progress",IF(M6970&lt;=J6970,"Met","Breached"))</f>
        <v>Met</v>
      </c>
    </row>
    <row r="6971" ht="19" customHeight="1" spans="1:14" x14ac:dyDescent="0.25">
      <c r="A6971" s="22" t="s">
        <v>7085</v>
      </c>
      <c r="B6971" s="36">
        <v>45888.9</v>
      </c>
      <c r="C6971" s="36">
        <v>45890.16458333333</v>
      </c>
      <c r="D6971" s="22" t="s">
        <v>33</v>
      </c>
      <c r="E6971" s="22" t="s">
        <v>65</v>
      </c>
      <c r="F6971" s="22" t="s">
        <v>40</v>
      </c>
      <c r="G6971" s="22" t="s">
        <v>121</v>
      </c>
      <c r="H6971" s="22" t="s">
        <v>59</v>
      </c>
      <c r="I6971" s="22" t="s">
        <v>123</v>
      </c>
      <c r="J6971" s="23">
        <v>48</v>
      </c>
      <c r="K6971" s="37">
        <v>1</v>
      </c>
      <c r="M6971" s="22">
        <f>IF(OR(ISBLANK(C6971),C6971=""),"",ROUND((C6971-B6971)*24,2))</f>
        <v>30.35</v>
      </c>
      <c r="N6971" s="40" t="str">
        <f>IF(OR(ISBLANK(C6971),C6971="",M6971=""),"In Progress",IF(M6971&lt;=J6971,"Met","Breached"))</f>
        <v>Met</v>
      </c>
    </row>
    <row r="6972" ht="19" customHeight="1" spans="1:14" x14ac:dyDescent="0.25">
      <c r="A6972" s="19" t="s">
        <v>7086</v>
      </c>
      <c r="B6972" s="33">
        <v>45967.68472222222</v>
      </c>
      <c r="C6972" s="33">
        <v>45970.464583333334</v>
      </c>
      <c r="D6972" s="19" t="s">
        <v>33</v>
      </c>
      <c r="E6972" s="19" t="s">
        <v>65</v>
      </c>
      <c r="F6972" s="19" t="s">
        <v>40</v>
      </c>
      <c r="G6972" s="19" t="s">
        <v>63</v>
      </c>
      <c r="H6972" s="19" t="s">
        <v>59</v>
      </c>
      <c r="I6972" s="19" t="s">
        <v>117</v>
      </c>
      <c r="J6972" s="20">
        <v>48</v>
      </c>
      <c r="K6972" s="34">
        <v>0</v>
      </c>
      <c r="M6972" s="19">
        <f>IF(OR(ISBLANK(C6972),C6972=""),"",ROUND((C6972-B6972)*24,2))</f>
        <v>66.72</v>
      </c>
      <c r="N6972" s="39" t="str">
        <f>IF(OR(ISBLANK(C6972),C6972="",M6972=""),"In Progress",IF(M6972&lt;=J6972,"Met","Breached"))</f>
        <v>Breached</v>
      </c>
    </row>
    <row r="6973" ht="19" customHeight="1" spans="1:14" x14ac:dyDescent="0.25">
      <c r="A6973" s="22" t="s">
        <v>7087</v>
      </c>
      <c r="B6973" s="36">
        <v>46030.76527777778</v>
      </c>
      <c r="C6973" s="36">
        <v>46031.47986111111</v>
      </c>
      <c r="D6973" s="22" t="s">
        <v>36</v>
      </c>
      <c r="E6973" s="22" t="s">
        <v>61</v>
      </c>
      <c r="F6973" s="22" t="s">
        <v>34</v>
      </c>
      <c r="G6973" s="22" t="s">
        <v>121</v>
      </c>
      <c r="H6973" s="22" t="s">
        <v>59</v>
      </c>
      <c r="I6973" s="22" t="s">
        <v>147</v>
      </c>
      <c r="J6973" s="23">
        <v>12</v>
      </c>
      <c r="K6973" s="37">
        <v>0</v>
      </c>
      <c r="L6973" s="37">
        <v>3</v>
      </c>
      <c r="M6973" s="22">
        <f>IF(OR(ISBLANK(C6973),C6973=""),"",ROUND((C6973-B6973)*24,2))</f>
        <v>17.15</v>
      </c>
      <c r="N6973" s="38" t="str">
        <f>IF(OR(ISBLANK(C6973),C6973="",M6973=""),"In Progress",IF(M6973&lt;=J6973,"Met","Breached"))</f>
        <v>Breached</v>
      </c>
    </row>
    <row r="6974" ht="19" customHeight="1" spans="1:14" x14ac:dyDescent="0.25">
      <c r="A6974" s="19" t="s">
        <v>7088</v>
      </c>
      <c r="B6974" s="33">
        <v>46188.61944444444</v>
      </c>
      <c r="D6974" s="19" t="s">
        <v>42</v>
      </c>
      <c r="E6974" s="19" t="s">
        <v>65</v>
      </c>
      <c r="F6974" s="19" t="s">
        <v>45</v>
      </c>
      <c r="G6974" s="19" t="s">
        <v>116</v>
      </c>
      <c r="H6974" s="19" t="s">
        <v>59</v>
      </c>
      <c r="I6974" s="19" t="s">
        <v>108</v>
      </c>
      <c r="J6974" s="20">
        <v>48</v>
      </c>
      <c r="K6974" s="34">
        <v>0</v>
      </c>
      <c r="M6974" s="19" t="str">
        <f>IF(OR(ISBLANK(C6974),C6974=""),"",ROUND((C6974-B6974)*24,2))</f>
        <v/>
      </c>
      <c r="N6974" s="19" t="str">
        <f>IF(OR(ISBLANK(C6974),C6974="",M6974=""),"In Progress",IF(M6974&lt;=J6974,"Met","Breached"))</f>
        <v>In Progress</v>
      </c>
    </row>
    <row r="6975" ht="19" customHeight="1" spans="1:14" x14ac:dyDescent="0.25">
      <c r="A6975" s="22" t="s">
        <v>7089</v>
      </c>
      <c r="B6975" s="36">
        <v>46057.69791666667</v>
      </c>
      <c r="D6975" s="22" t="s">
        <v>42</v>
      </c>
      <c r="E6975" s="22" t="s">
        <v>65</v>
      </c>
      <c r="F6975" s="22" t="s">
        <v>40</v>
      </c>
      <c r="G6975" s="22" t="s">
        <v>63</v>
      </c>
      <c r="H6975" s="22" t="s">
        <v>59</v>
      </c>
      <c r="I6975" s="22" t="s">
        <v>108</v>
      </c>
      <c r="J6975" s="23">
        <v>48</v>
      </c>
      <c r="K6975" s="37">
        <v>0</v>
      </c>
      <c r="M6975" s="22" t="str">
        <f>IF(OR(ISBLANK(C6975),C6975=""),"",ROUND((C6975-B6975)*24,2))</f>
        <v/>
      </c>
      <c r="N6975" s="22" t="str">
        <f>IF(OR(ISBLANK(C6975),C6975="",M6975=""),"In Progress",IF(M6975&lt;=J6975,"Met","Breached"))</f>
        <v>In Progress</v>
      </c>
    </row>
    <row r="6976" ht="19" customHeight="1" spans="1:14" x14ac:dyDescent="0.25">
      <c r="A6976" s="19" t="s">
        <v>7090</v>
      </c>
      <c r="B6976" s="33">
        <v>46053.71944444445</v>
      </c>
      <c r="D6976" s="19" t="s">
        <v>39</v>
      </c>
      <c r="E6976" s="19" t="s">
        <v>65</v>
      </c>
      <c r="F6976" s="19" t="s">
        <v>34</v>
      </c>
      <c r="G6976" s="19" t="s">
        <v>110</v>
      </c>
      <c r="H6976" s="19" t="s">
        <v>67</v>
      </c>
      <c r="I6976" s="19" t="s">
        <v>147</v>
      </c>
      <c r="J6976" s="20">
        <v>48</v>
      </c>
      <c r="K6976" s="34">
        <v>0</v>
      </c>
      <c r="M6976" s="19" t="str">
        <f>IF(OR(ISBLANK(C6976),C6976=""),"",ROUND((C6976-B6976)*24,2))</f>
        <v/>
      </c>
      <c r="N6976" s="19" t="str">
        <f>IF(OR(ISBLANK(C6976),C6976="",M6976=""),"In Progress",IF(M6976&lt;=J6976,"Met","Breached"))</f>
        <v>In Progress</v>
      </c>
    </row>
    <row r="6977" ht="19" customHeight="1" spans="1:14" x14ac:dyDescent="0.25">
      <c r="A6977" s="22" t="s">
        <v>7091</v>
      </c>
      <c r="B6977" s="36">
        <v>46170.09722222222</v>
      </c>
      <c r="C6977" s="36">
        <v>46173.63541666667</v>
      </c>
      <c r="D6977" s="22" t="s">
        <v>33</v>
      </c>
      <c r="E6977" s="22" t="s">
        <v>65</v>
      </c>
      <c r="F6977" s="22" t="s">
        <v>43</v>
      </c>
      <c r="G6977" s="22" t="s">
        <v>110</v>
      </c>
      <c r="H6977" s="22" t="s">
        <v>59</v>
      </c>
      <c r="I6977" s="22" t="s">
        <v>108</v>
      </c>
      <c r="J6977" s="23">
        <v>48</v>
      </c>
      <c r="K6977" s="37">
        <v>0</v>
      </c>
      <c r="L6977" s="37">
        <v>2</v>
      </c>
      <c r="M6977" s="22">
        <f>IF(OR(ISBLANK(C6977),C6977=""),"",ROUND((C6977-B6977)*24,2))</f>
        <v>84.92</v>
      </c>
      <c r="N6977" s="38" t="str">
        <f>IF(OR(ISBLANK(C6977),C6977="",M6977=""),"In Progress",IF(M6977&lt;=J6977,"Met","Breached"))</f>
        <v>Breached</v>
      </c>
    </row>
    <row r="6978" ht="19" customHeight="1" spans="1:14" x14ac:dyDescent="0.25">
      <c r="A6978" s="19" t="s">
        <v>7092</v>
      </c>
      <c r="B6978" s="33">
        <v>46143.17847222222</v>
      </c>
      <c r="D6978" s="19" t="s">
        <v>42</v>
      </c>
      <c r="E6978" s="19" t="s">
        <v>57</v>
      </c>
      <c r="F6978" s="19" t="s">
        <v>45</v>
      </c>
      <c r="G6978" s="19" t="s">
        <v>110</v>
      </c>
      <c r="H6978" s="19" t="s">
        <v>59</v>
      </c>
      <c r="I6978" s="19" t="s">
        <v>111</v>
      </c>
      <c r="J6978" s="20">
        <v>4</v>
      </c>
      <c r="K6978" s="34">
        <v>0</v>
      </c>
      <c r="M6978" s="19" t="str">
        <f>IF(OR(ISBLANK(C6978),C6978=""),"",ROUND((C6978-B6978)*24,2))</f>
        <v/>
      </c>
      <c r="N6978" s="19" t="str">
        <f>IF(OR(ISBLANK(C6978),C6978="",M6978=""),"In Progress",IF(M6978&lt;=J6978,"Met","Breached"))</f>
        <v>In Progress</v>
      </c>
    </row>
    <row r="6979" ht="19" customHeight="1" spans="1:14" x14ac:dyDescent="0.25">
      <c r="A6979" s="22" t="s">
        <v>7093</v>
      </c>
      <c r="B6979" s="36">
        <v>45833.01180555555</v>
      </c>
      <c r="C6979" s="36">
        <v>45834.60625</v>
      </c>
      <c r="D6979" s="22" t="s">
        <v>36</v>
      </c>
      <c r="E6979" s="22" t="s">
        <v>69</v>
      </c>
      <c r="F6979" s="22" t="s">
        <v>43</v>
      </c>
      <c r="G6979" s="22" t="s">
        <v>113</v>
      </c>
      <c r="H6979" s="22" t="s">
        <v>59</v>
      </c>
      <c r="I6979" s="22" t="s">
        <v>111</v>
      </c>
      <c r="J6979" s="23">
        <v>120</v>
      </c>
      <c r="K6979" s="37">
        <v>0</v>
      </c>
      <c r="M6979" s="22">
        <f>IF(OR(ISBLANK(C6979),C6979=""),"",ROUND((C6979-B6979)*24,2))</f>
        <v>38.27</v>
      </c>
      <c r="N6979" s="40" t="str">
        <f>IF(OR(ISBLANK(C6979),C6979="",M6979=""),"In Progress",IF(M6979&lt;=J6979,"Met","Breached"))</f>
        <v>Met</v>
      </c>
    </row>
    <row r="6980" ht="19" customHeight="1" spans="1:14" x14ac:dyDescent="0.25">
      <c r="A6980" s="19" t="s">
        <v>7094</v>
      </c>
      <c r="B6980" s="33">
        <v>45710.94930555555</v>
      </c>
      <c r="C6980" s="33">
        <v>45715.9875</v>
      </c>
      <c r="D6980" s="19" t="s">
        <v>33</v>
      </c>
      <c r="E6980" s="19" t="s">
        <v>69</v>
      </c>
      <c r="F6980" s="19" t="s">
        <v>37</v>
      </c>
      <c r="G6980" s="19" t="s">
        <v>116</v>
      </c>
      <c r="H6980" s="19" t="s">
        <v>71</v>
      </c>
      <c r="I6980" s="19" t="s">
        <v>111</v>
      </c>
      <c r="J6980" s="20">
        <v>120</v>
      </c>
      <c r="K6980" s="34">
        <v>0</v>
      </c>
      <c r="M6980" s="19">
        <f>IF(OR(ISBLANK(C6980),C6980=""),"",ROUND((C6980-B6980)*24,2))</f>
        <v>120.92</v>
      </c>
      <c r="N6980" s="39" t="str">
        <f>IF(OR(ISBLANK(C6980),C6980="",M6980=""),"In Progress",IF(M6980&lt;=J6980,"Met","Breached"))</f>
        <v>Breached</v>
      </c>
    </row>
    <row r="6981" ht="19" customHeight="1" spans="1:14" x14ac:dyDescent="0.25">
      <c r="A6981" s="22" t="s">
        <v>7095</v>
      </c>
      <c r="B6981" s="36">
        <v>46006.19652777778</v>
      </c>
      <c r="C6981" s="36">
        <v>46009.51458333334</v>
      </c>
      <c r="D6981" s="22" t="s">
        <v>36</v>
      </c>
      <c r="E6981" s="22" t="s">
        <v>65</v>
      </c>
      <c r="F6981" s="22" t="s">
        <v>43</v>
      </c>
      <c r="G6981" s="22" t="s">
        <v>110</v>
      </c>
      <c r="H6981" s="22" t="s">
        <v>71</v>
      </c>
      <c r="I6981" s="22" t="s">
        <v>123</v>
      </c>
      <c r="J6981" s="23">
        <v>48</v>
      </c>
      <c r="K6981" s="37">
        <v>0</v>
      </c>
      <c r="L6981" s="37">
        <v>4</v>
      </c>
      <c r="M6981" s="22">
        <f>IF(OR(ISBLANK(C6981),C6981=""),"",ROUND((C6981-B6981)*24,2))</f>
        <v>79.63</v>
      </c>
      <c r="N6981" s="38" t="str">
        <f>IF(OR(ISBLANK(C6981),C6981="",M6981=""),"In Progress",IF(M6981&lt;=J6981,"Met","Breached"))</f>
        <v>Breached</v>
      </c>
    </row>
    <row r="6982" ht="19" customHeight="1" spans="1:14" x14ac:dyDescent="0.25">
      <c r="A6982" s="19" t="s">
        <v>7096</v>
      </c>
      <c r="B6982" s="33">
        <v>45803.03472222222</v>
      </c>
      <c r="C6982" s="33">
        <v>45803.955555555556</v>
      </c>
      <c r="D6982" s="19" t="s">
        <v>33</v>
      </c>
      <c r="E6982" s="19" t="s">
        <v>65</v>
      </c>
      <c r="F6982" s="19" t="s">
        <v>37</v>
      </c>
      <c r="G6982" s="19" t="s">
        <v>113</v>
      </c>
      <c r="H6982" s="19" t="s">
        <v>63</v>
      </c>
      <c r="I6982" s="19" t="s">
        <v>114</v>
      </c>
      <c r="J6982" s="20">
        <v>48</v>
      </c>
      <c r="K6982" s="34">
        <v>0</v>
      </c>
      <c r="L6982" s="34">
        <v>5</v>
      </c>
      <c r="M6982" s="19">
        <f>IF(OR(ISBLANK(C6982),C6982=""),"",ROUND((C6982-B6982)*24,2))</f>
        <v>22.1</v>
      </c>
      <c r="N6982" s="35" t="str">
        <f>IF(OR(ISBLANK(C6982),C6982="",M6982=""),"In Progress",IF(M6982&lt;=J6982,"Met","Breached"))</f>
        <v>Met</v>
      </c>
    </row>
    <row r="6983" ht="19" customHeight="1" spans="1:14" x14ac:dyDescent="0.25">
      <c r="A6983" s="22" t="s">
        <v>7097</v>
      </c>
      <c r="B6983" s="36">
        <v>45834.44375</v>
      </c>
      <c r="C6983" s="36">
        <v>45839.18402777778</v>
      </c>
      <c r="D6983" s="22" t="s">
        <v>33</v>
      </c>
      <c r="E6983" s="22" t="s">
        <v>69</v>
      </c>
      <c r="F6983" s="22" t="s">
        <v>45</v>
      </c>
      <c r="G6983" s="22" t="s">
        <v>63</v>
      </c>
      <c r="H6983" s="22" t="s">
        <v>63</v>
      </c>
      <c r="I6983" s="22" t="s">
        <v>114</v>
      </c>
      <c r="J6983" s="23">
        <v>120</v>
      </c>
      <c r="K6983" s="37">
        <v>0</v>
      </c>
      <c r="L6983" s="37">
        <v>4</v>
      </c>
      <c r="M6983" s="22">
        <f>IF(OR(ISBLANK(C6983),C6983=""),"",ROUND((C6983-B6983)*24,2))</f>
        <v>113.77</v>
      </c>
      <c r="N6983" s="40" t="str">
        <f>IF(OR(ISBLANK(C6983),C6983="",M6983=""),"In Progress",IF(M6983&lt;=J6983,"Met","Breached"))</f>
        <v>Met</v>
      </c>
    </row>
    <row r="6984" ht="19" customHeight="1" spans="1:14" x14ac:dyDescent="0.25">
      <c r="A6984" s="19" t="s">
        <v>7098</v>
      </c>
      <c r="B6984" s="33">
        <v>46106.10833333334</v>
      </c>
      <c r="C6984" s="33">
        <v>46106.69236111111</v>
      </c>
      <c r="D6984" s="19" t="s">
        <v>36</v>
      </c>
      <c r="E6984" s="19" t="s">
        <v>61</v>
      </c>
      <c r="F6984" s="19" t="s">
        <v>34</v>
      </c>
      <c r="G6984" s="19" t="s">
        <v>116</v>
      </c>
      <c r="H6984" s="19" t="s">
        <v>59</v>
      </c>
      <c r="I6984" s="19" t="s">
        <v>114</v>
      </c>
      <c r="J6984" s="20">
        <v>12</v>
      </c>
      <c r="K6984" s="34">
        <v>0</v>
      </c>
      <c r="L6984" s="34">
        <v>4</v>
      </c>
      <c r="M6984" s="19">
        <f>IF(OR(ISBLANK(C6984),C6984=""),"",ROUND((C6984-B6984)*24,2))</f>
        <v>14.02</v>
      </c>
      <c r="N6984" s="39" t="str">
        <f>IF(OR(ISBLANK(C6984),C6984="",M6984=""),"In Progress",IF(M6984&lt;=J6984,"Met","Breached"))</f>
        <v>Breached</v>
      </c>
    </row>
    <row r="6985" ht="19" customHeight="1" spans="1:14" x14ac:dyDescent="0.25">
      <c r="A6985" s="22" t="s">
        <v>7099</v>
      </c>
      <c r="B6985" s="36">
        <v>45989.236805555556</v>
      </c>
      <c r="C6985" s="36">
        <v>45990.870833333334</v>
      </c>
      <c r="D6985" s="22" t="s">
        <v>33</v>
      </c>
      <c r="E6985" s="22" t="s">
        <v>65</v>
      </c>
      <c r="F6985" s="22" t="s">
        <v>43</v>
      </c>
      <c r="G6985" s="22" t="s">
        <v>121</v>
      </c>
      <c r="H6985" s="22" t="s">
        <v>63</v>
      </c>
      <c r="I6985" s="22" t="s">
        <v>111</v>
      </c>
      <c r="J6985" s="23">
        <v>48</v>
      </c>
      <c r="K6985" s="37">
        <v>0</v>
      </c>
      <c r="L6985" s="37">
        <v>2</v>
      </c>
      <c r="M6985" s="22">
        <f>IF(OR(ISBLANK(C6985),C6985=""),"",ROUND((C6985-B6985)*24,2))</f>
        <v>39.22</v>
      </c>
      <c r="N6985" s="40" t="str">
        <f>IF(OR(ISBLANK(C6985),C6985="",M6985=""),"In Progress",IF(M6985&lt;=J6985,"Met","Breached"))</f>
        <v>Met</v>
      </c>
    </row>
    <row r="6986" ht="19" customHeight="1" spans="1:14" x14ac:dyDescent="0.25">
      <c r="A6986" s="19" t="s">
        <v>7100</v>
      </c>
      <c r="B6986" s="33">
        <v>45802.70972222222</v>
      </c>
      <c r="C6986" s="33">
        <v>45805.44791666667</v>
      </c>
      <c r="D6986" s="19" t="s">
        <v>33</v>
      </c>
      <c r="E6986" s="19" t="s">
        <v>65</v>
      </c>
      <c r="F6986" s="19" t="s">
        <v>43</v>
      </c>
      <c r="G6986" s="19" t="s">
        <v>110</v>
      </c>
      <c r="H6986" s="19" t="s">
        <v>71</v>
      </c>
      <c r="I6986" s="19" t="s">
        <v>147</v>
      </c>
      <c r="J6986" s="20">
        <v>48</v>
      </c>
      <c r="K6986" s="34">
        <v>0</v>
      </c>
      <c r="L6986" s="34">
        <v>4</v>
      </c>
      <c r="M6986" s="19">
        <f>IF(OR(ISBLANK(C6986),C6986=""),"",ROUND((C6986-B6986)*24,2))</f>
        <v>65.72</v>
      </c>
      <c r="N6986" s="39" t="str">
        <f>IF(OR(ISBLANK(C6986),C6986="",M6986=""),"In Progress",IF(M6986&lt;=J6986,"Met","Breached"))</f>
        <v>Breached</v>
      </c>
    </row>
    <row r="6987" ht="19" customHeight="1" spans="1:14" x14ac:dyDescent="0.25">
      <c r="A6987" s="22" t="s">
        <v>7101</v>
      </c>
      <c r="B6987" s="36">
        <v>46182.94305555556</v>
      </c>
      <c r="C6987" s="36">
        <v>46184.43194444444</v>
      </c>
      <c r="D6987" s="22" t="s">
        <v>33</v>
      </c>
      <c r="E6987" s="22" t="s">
        <v>65</v>
      </c>
      <c r="F6987" s="22" t="s">
        <v>43</v>
      </c>
      <c r="G6987" s="22" t="s">
        <v>126</v>
      </c>
      <c r="H6987" s="22" t="s">
        <v>59</v>
      </c>
      <c r="I6987" s="22" t="s">
        <v>117</v>
      </c>
      <c r="J6987" s="23">
        <v>48</v>
      </c>
      <c r="K6987" s="37">
        <v>0</v>
      </c>
      <c r="M6987" s="22">
        <f>IF(OR(ISBLANK(C6987),C6987=""),"",ROUND((C6987-B6987)*24,2))</f>
        <v>35.73</v>
      </c>
      <c r="N6987" s="40" t="str">
        <f>IF(OR(ISBLANK(C6987),C6987="",M6987=""),"In Progress",IF(M6987&lt;=J6987,"Met","Breached"))</f>
        <v>Met</v>
      </c>
    </row>
    <row r="6988" ht="19" customHeight="1" spans="1:14" x14ac:dyDescent="0.25">
      <c r="A6988" s="19" t="s">
        <v>7102</v>
      </c>
      <c r="B6988" s="33">
        <v>46207.896527777775</v>
      </c>
      <c r="D6988" s="19" t="s">
        <v>39</v>
      </c>
      <c r="E6988" s="19" t="s">
        <v>61</v>
      </c>
      <c r="F6988" s="19" t="s">
        <v>43</v>
      </c>
      <c r="G6988" s="19" t="s">
        <v>110</v>
      </c>
      <c r="H6988" s="19" t="s">
        <v>63</v>
      </c>
      <c r="I6988" s="19" t="s">
        <v>111</v>
      </c>
      <c r="J6988" s="20">
        <v>12</v>
      </c>
      <c r="K6988" s="34">
        <v>0</v>
      </c>
      <c r="M6988" s="19" t="str">
        <f>IF(OR(ISBLANK(C6988),C6988=""),"",ROUND((C6988-B6988)*24,2))</f>
        <v/>
      </c>
      <c r="N6988" s="19" t="str">
        <f>IF(OR(ISBLANK(C6988),C6988="",M6988=""),"In Progress",IF(M6988&lt;=J6988,"Met","Breached"))</f>
        <v>In Progress</v>
      </c>
    </row>
    <row r="6989" ht="19" customHeight="1" spans="1:14" x14ac:dyDescent="0.25">
      <c r="A6989" s="22" t="s">
        <v>7103</v>
      </c>
      <c r="B6989" s="36">
        <v>46217.58263888889</v>
      </c>
      <c r="C6989" s="36">
        <v>46219.77916666667</v>
      </c>
      <c r="D6989" s="22" t="s">
        <v>36</v>
      </c>
      <c r="E6989" s="22" t="s">
        <v>65</v>
      </c>
      <c r="F6989" s="22" t="s">
        <v>43</v>
      </c>
      <c r="G6989" s="22" t="s">
        <v>116</v>
      </c>
      <c r="H6989" s="22" t="s">
        <v>59</v>
      </c>
      <c r="I6989" s="22" t="s">
        <v>108</v>
      </c>
      <c r="J6989" s="23">
        <v>48</v>
      </c>
      <c r="K6989" s="37">
        <v>0</v>
      </c>
      <c r="L6989" s="37">
        <v>1</v>
      </c>
      <c r="M6989" s="22">
        <f>IF(OR(ISBLANK(C6989),C6989=""),"",ROUND((C6989-B6989)*24,2))</f>
        <v>52.72</v>
      </c>
      <c r="N6989" s="38" t="str">
        <f>IF(OR(ISBLANK(C6989),C6989="",M6989=""),"In Progress",IF(M6989&lt;=J6989,"Met","Breached"))</f>
        <v>Breached</v>
      </c>
    </row>
    <row r="6990" ht="19" customHeight="1" spans="1:14" x14ac:dyDescent="0.25">
      <c r="A6990" s="19" t="s">
        <v>7104</v>
      </c>
      <c r="B6990" s="33">
        <v>46074.92361111111</v>
      </c>
      <c r="C6990" s="33">
        <v>46076.7625</v>
      </c>
      <c r="D6990" s="19" t="s">
        <v>36</v>
      </c>
      <c r="E6990" s="19" t="s">
        <v>65</v>
      </c>
      <c r="F6990" s="19" t="s">
        <v>45</v>
      </c>
      <c r="G6990" s="19" t="s">
        <v>63</v>
      </c>
      <c r="H6990" s="19" t="s">
        <v>63</v>
      </c>
      <c r="I6990" s="19" t="s">
        <v>147</v>
      </c>
      <c r="J6990" s="20">
        <v>48</v>
      </c>
      <c r="K6990" s="34">
        <v>0</v>
      </c>
      <c r="M6990" s="19">
        <f>IF(OR(ISBLANK(C6990),C6990=""),"",ROUND((C6990-B6990)*24,2))</f>
        <v>44.13</v>
      </c>
      <c r="N6990" s="35" t="str">
        <f>IF(OR(ISBLANK(C6990),C6990="",M6990=""),"In Progress",IF(M6990&lt;=J6990,"Met","Breached"))</f>
        <v>Met</v>
      </c>
    </row>
    <row r="6991" ht="19" customHeight="1" spans="1:14" x14ac:dyDescent="0.25">
      <c r="A6991" s="22" t="s">
        <v>7105</v>
      </c>
      <c r="B6991" s="36">
        <v>45999.361805555556</v>
      </c>
      <c r="C6991" s="36">
        <v>46000.50277777778</v>
      </c>
      <c r="D6991" s="22" t="s">
        <v>33</v>
      </c>
      <c r="E6991" s="22" t="s">
        <v>65</v>
      </c>
      <c r="F6991" s="22" t="s">
        <v>37</v>
      </c>
      <c r="G6991" s="22" t="s">
        <v>110</v>
      </c>
      <c r="H6991" s="22" t="s">
        <v>59</v>
      </c>
      <c r="I6991" s="22" t="s">
        <v>114</v>
      </c>
      <c r="J6991" s="23">
        <v>48</v>
      </c>
      <c r="K6991" s="37">
        <v>0</v>
      </c>
      <c r="L6991" s="37">
        <v>4</v>
      </c>
      <c r="M6991" s="22">
        <f>IF(OR(ISBLANK(C6991),C6991=""),"",ROUND((C6991-B6991)*24,2))</f>
        <v>27.38</v>
      </c>
      <c r="N6991" s="40" t="str">
        <f>IF(OR(ISBLANK(C6991),C6991="",M6991=""),"In Progress",IF(M6991&lt;=J6991,"Met","Breached"))</f>
        <v>Met</v>
      </c>
    </row>
    <row r="6992" ht="19" customHeight="1" spans="1:14" x14ac:dyDescent="0.25">
      <c r="A6992" s="19" t="s">
        <v>7106</v>
      </c>
      <c r="B6992" s="33">
        <v>46146.37152777778</v>
      </c>
      <c r="C6992" s="33">
        <v>46147.00555555556</v>
      </c>
      <c r="D6992" s="19" t="s">
        <v>36</v>
      </c>
      <c r="E6992" s="19" t="s">
        <v>61</v>
      </c>
      <c r="F6992" s="19" t="s">
        <v>34</v>
      </c>
      <c r="G6992" s="19" t="s">
        <v>121</v>
      </c>
      <c r="H6992" s="19" t="s">
        <v>63</v>
      </c>
      <c r="I6992" s="19" t="s">
        <v>123</v>
      </c>
      <c r="J6992" s="20">
        <v>12</v>
      </c>
      <c r="K6992" s="34">
        <v>0</v>
      </c>
      <c r="L6992" s="34">
        <v>5</v>
      </c>
      <c r="M6992" s="19">
        <f>IF(OR(ISBLANK(C6992),C6992=""),"",ROUND((C6992-B6992)*24,2))</f>
        <v>15.22</v>
      </c>
      <c r="N6992" s="39" t="str">
        <f>IF(OR(ISBLANK(C6992),C6992="",M6992=""),"In Progress",IF(M6992&lt;=J6992,"Met","Breached"))</f>
        <v>Breached</v>
      </c>
    </row>
    <row r="6993" ht="19" customHeight="1" spans="1:14" x14ac:dyDescent="0.25">
      <c r="A6993" s="22" t="s">
        <v>7107</v>
      </c>
      <c r="B6993" s="36">
        <v>45827.1125</v>
      </c>
      <c r="C6993" s="36">
        <v>45827.194444444445</v>
      </c>
      <c r="D6993" s="22" t="s">
        <v>33</v>
      </c>
      <c r="E6993" s="22" t="s">
        <v>57</v>
      </c>
      <c r="F6993" s="22" t="s">
        <v>45</v>
      </c>
      <c r="G6993" s="22" t="s">
        <v>63</v>
      </c>
      <c r="H6993" s="22" t="s">
        <v>63</v>
      </c>
      <c r="I6993" s="22" t="s">
        <v>123</v>
      </c>
      <c r="J6993" s="23">
        <v>4</v>
      </c>
      <c r="K6993" s="37">
        <v>0</v>
      </c>
      <c r="L6993" s="37">
        <v>4</v>
      </c>
      <c r="M6993" s="22">
        <f>IF(OR(ISBLANK(C6993),C6993=""),"",ROUND((C6993-B6993)*24,2))</f>
        <v>1.97</v>
      </c>
      <c r="N6993" s="40" t="str">
        <f>IF(OR(ISBLANK(C6993),C6993="",M6993=""),"In Progress",IF(M6993&lt;=J6993,"Met","Breached"))</f>
        <v>Met</v>
      </c>
    </row>
    <row r="6994" ht="19" customHeight="1" spans="1:14" x14ac:dyDescent="0.25">
      <c r="A6994" s="19" t="s">
        <v>7108</v>
      </c>
      <c r="B6994" s="33">
        <v>45988.06597222222</v>
      </c>
      <c r="C6994" s="33">
        <v>45989.30694444444</v>
      </c>
      <c r="D6994" s="19" t="s">
        <v>33</v>
      </c>
      <c r="E6994" s="19" t="s">
        <v>65</v>
      </c>
      <c r="F6994" s="19" t="s">
        <v>45</v>
      </c>
      <c r="G6994" s="19" t="s">
        <v>116</v>
      </c>
      <c r="H6994" s="19" t="s">
        <v>67</v>
      </c>
      <c r="I6994" s="19" t="s">
        <v>123</v>
      </c>
      <c r="J6994" s="20">
        <v>48</v>
      </c>
      <c r="K6994" s="34">
        <v>0</v>
      </c>
      <c r="L6994" s="34">
        <v>1</v>
      </c>
      <c r="M6994" s="19">
        <f>IF(OR(ISBLANK(C6994),C6994=""),"",ROUND((C6994-B6994)*24,2))</f>
        <v>29.78</v>
      </c>
      <c r="N6994" s="35" t="str">
        <f>IF(OR(ISBLANK(C6994),C6994="",M6994=""),"In Progress",IF(M6994&lt;=J6994,"Met","Breached"))</f>
        <v>Met</v>
      </c>
    </row>
    <row r="6995" ht="19" customHeight="1" spans="1:14" x14ac:dyDescent="0.25">
      <c r="A6995" s="22" t="s">
        <v>7109</v>
      </c>
      <c r="B6995" s="36">
        <v>45832.74513888889</v>
      </c>
      <c r="C6995" s="36">
        <v>45834.85</v>
      </c>
      <c r="D6995" s="22" t="s">
        <v>33</v>
      </c>
      <c r="E6995" s="22" t="s">
        <v>65</v>
      </c>
      <c r="F6995" s="22" t="s">
        <v>37</v>
      </c>
      <c r="G6995" s="22" t="s">
        <v>110</v>
      </c>
      <c r="H6995" s="22" t="s">
        <v>59</v>
      </c>
      <c r="I6995" s="22" t="s">
        <v>123</v>
      </c>
      <c r="J6995" s="23">
        <v>48</v>
      </c>
      <c r="K6995" s="37">
        <v>0</v>
      </c>
      <c r="L6995" s="37">
        <v>2</v>
      </c>
      <c r="M6995" s="22">
        <f>IF(OR(ISBLANK(C6995),C6995=""),"",ROUND((C6995-B6995)*24,2))</f>
        <v>50.52</v>
      </c>
      <c r="N6995" s="38" t="str">
        <f>IF(OR(ISBLANK(C6995),C6995="",M6995=""),"In Progress",IF(M6995&lt;=J6995,"Met","Breached"))</f>
        <v>Breached</v>
      </c>
    </row>
    <row r="6996" ht="19" customHeight="1" spans="1:14" x14ac:dyDescent="0.25">
      <c r="A6996" s="19" t="s">
        <v>7110</v>
      </c>
      <c r="B6996" s="33">
        <v>46017.94375</v>
      </c>
      <c r="D6996" s="19" t="s">
        <v>39</v>
      </c>
      <c r="E6996" s="19" t="s">
        <v>69</v>
      </c>
      <c r="F6996" s="19" t="s">
        <v>40</v>
      </c>
      <c r="G6996" s="19" t="s">
        <v>110</v>
      </c>
      <c r="H6996" s="19" t="s">
        <v>59</v>
      </c>
      <c r="I6996" s="19" t="s">
        <v>108</v>
      </c>
      <c r="J6996" s="20">
        <v>120</v>
      </c>
      <c r="K6996" s="34">
        <v>0</v>
      </c>
      <c r="M6996" s="19" t="str">
        <f>IF(OR(ISBLANK(C6996),C6996=""),"",ROUND((C6996-B6996)*24,2))</f>
        <v/>
      </c>
      <c r="N6996" s="19" t="str">
        <f>IF(OR(ISBLANK(C6996),C6996="",M6996=""),"In Progress",IF(M6996&lt;=J6996,"Met","Breached"))</f>
        <v>In Progress</v>
      </c>
    </row>
    <row r="6997" ht="19" customHeight="1" spans="1:14" x14ac:dyDescent="0.25">
      <c r="A6997" s="22" t="s">
        <v>7111</v>
      </c>
      <c r="B6997" s="36">
        <v>45659.25555555556</v>
      </c>
      <c r="C6997" s="36">
        <v>45661.68958333333</v>
      </c>
      <c r="D6997" s="22" t="s">
        <v>36</v>
      </c>
      <c r="E6997" s="22" t="s">
        <v>65</v>
      </c>
      <c r="F6997" s="22" t="s">
        <v>37</v>
      </c>
      <c r="G6997" s="22" t="s">
        <v>63</v>
      </c>
      <c r="H6997" s="22" t="s">
        <v>59</v>
      </c>
      <c r="I6997" s="22" t="s">
        <v>147</v>
      </c>
      <c r="J6997" s="23">
        <v>48</v>
      </c>
      <c r="K6997" s="37">
        <v>0</v>
      </c>
      <c r="L6997" s="37">
        <v>5</v>
      </c>
      <c r="M6997" s="22">
        <f>IF(OR(ISBLANK(C6997),C6997=""),"",ROUND((C6997-B6997)*24,2))</f>
        <v>58.42</v>
      </c>
      <c r="N6997" s="38" t="str">
        <f>IF(OR(ISBLANK(C6997),C6997="",M6997=""),"In Progress",IF(M6997&lt;=J6997,"Met","Breached"))</f>
        <v>Breached</v>
      </c>
    </row>
    <row r="6998" ht="19" customHeight="1" spans="1:14" x14ac:dyDescent="0.25">
      <c r="A6998" s="19" t="s">
        <v>7112</v>
      </c>
      <c r="B6998" s="33">
        <v>45944.20625</v>
      </c>
      <c r="C6998" s="33">
        <v>45946.96875</v>
      </c>
      <c r="D6998" s="19" t="s">
        <v>36</v>
      </c>
      <c r="E6998" s="19" t="s">
        <v>69</v>
      </c>
      <c r="F6998" s="19" t="s">
        <v>43</v>
      </c>
      <c r="G6998" s="19" t="s">
        <v>113</v>
      </c>
      <c r="H6998" s="19" t="s">
        <v>59</v>
      </c>
      <c r="I6998" s="19" t="s">
        <v>108</v>
      </c>
      <c r="J6998" s="20">
        <v>120</v>
      </c>
      <c r="K6998" s="34">
        <v>0</v>
      </c>
      <c r="L6998" s="34">
        <v>1</v>
      </c>
      <c r="M6998" s="19">
        <f>IF(OR(ISBLANK(C6998),C6998=""),"",ROUND((C6998-B6998)*24,2))</f>
        <v>66.3</v>
      </c>
      <c r="N6998" s="35" t="str">
        <f>IF(OR(ISBLANK(C6998),C6998="",M6998=""),"In Progress",IF(M6998&lt;=J6998,"Met","Breached"))</f>
        <v>Met</v>
      </c>
    </row>
    <row r="6999" ht="19" customHeight="1" spans="1:14" x14ac:dyDescent="0.25">
      <c r="A6999" s="22" t="s">
        <v>7113</v>
      </c>
      <c r="B6999" s="36">
        <v>46283.83541666667</v>
      </c>
      <c r="D6999" s="22" t="s">
        <v>42</v>
      </c>
      <c r="E6999" s="22" t="s">
        <v>61</v>
      </c>
      <c r="F6999" s="22" t="s">
        <v>45</v>
      </c>
      <c r="G6999" s="22" t="s">
        <v>116</v>
      </c>
      <c r="H6999" s="22" t="s">
        <v>63</v>
      </c>
      <c r="I6999" s="22" t="s">
        <v>117</v>
      </c>
      <c r="J6999" s="23">
        <v>12</v>
      </c>
      <c r="K6999" s="37">
        <v>0</v>
      </c>
      <c r="M6999" s="22" t="str">
        <f>IF(OR(ISBLANK(C6999),C6999=""),"",ROUND((C6999-B6999)*24,2))</f>
        <v/>
      </c>
      <c r="N6999" s="22" t="str">
        <f>IF(OR(ISBLANK(C6999),C6999="",M6999=""),"In Progress",IF(M6999&lt;=J6999,"Met","Breached"))</f>
        <v>In Progress</v>
      </c>
    </row>
    <row r="7000" ht="19" customHeight="1" spans="1:14" x14ac:dyDescent="0.25">
      <c r="A7000" s="19" t="s">
        <v>7114</v>
      </c>
      <c r="B7000" s="33">
        <v>46231.51875</v>
      </c>
      <c r="D7000" s="19" t="s">
        <v>39</v>
      </c>
      <c r="E7000" s="19" t="s">
        <v>69</v>
      </c>
      <c r="F7000" s="19" t="s">
        <v>40</v>
      </c>
      <c r="G7000" s="19" t="s">
        <v>116</v>
      </c>
      <c r="H7000" s="19" t="s">
        <v>63</v>
      </c>
      <c r="I7000" s="19" t="s">
        <v>147</v>
      </c>
      <c r="J7000" s="20">
        <v>120</v>
      </c>
      <c r="K7000" s="34">
        <v>0</v>
      </c>
      <c r="M7000" s="19" t="str">
        <f>IF(OR(ISBLANK(C7000),C7000=""),"",ROUND((C7000-B7000)*24,2))</f>
        <v/>
      </c>
      <c r="N7000" s="19" t="str">
        <f>IF(OR(ISBLANK(C7000),C7000="",M7000=""),"In Progress",IF(M7000&lt;=J7000,"Met","Breached"))</f>
        <v>In Progress</v>
      </c>
    </row>
    <row r="7001" ht="19" customHeight="1" spans="1:14" x14ac:dyDescent="0.25">
      <c r="A7001" s="22" t="s">
        <v>7115</v>
      </c>
      <c r="B7001" s="36">
        <v>46173.29583333334</v>
      </c>
      <c r="C7001" s="36">
        <v>46180.77986111111</v>
      </c>
      <c r="D7001" s="22" t="s">
        <v>33</v>
      </c>
      <c r="E7001" s="22" t="s">
        <v>69</v>
      </c>
      <c r="F7001" s="22" t="s">
        <v>43</v>
      </c>
      <c r="G7001" s="22" t="s">
        <v>110</v>
      </c>
      <c r="H7001" s="22" t="s">
        <v>59</v>
      </c>
      <c r="I7001" s="22" t="s">
        <v>117</v>
      </c>
      <c r="J7001" s="23">
        <v>120</v>
      </c>
      <c r="K7001" s="37">
        <v>0</v>
      </c>
      <c r="M7001" s="22">
        <f>IF(OR(ISBLANK(C7001),C7001=""),"",ROUND((C7001-B7001)*24,2))</f>
        <v>179.62</v>
      </c>
      <c r="N7001" s="38" t="str">
        <f>IF(OR(ISBLANK(C7001),C7001="",M7001=""),"In Progress",IF(M7001&lt;=J7001,"Met","Breached"))</f>
        <v>Breached</v>
      </c>
    </row>
    <row r="7002" ht="19" customHeight="1" spans="1:14" x14ac:dyDescent="0.25">
      <c r="A7002" s="19" t="s">
        <v>7116</v>
      </c>
      <c r="B7002" s="33">
        <v>45865.33888888889</v>
      </c>
      <c r="C7002" s="33">
        <v>45870.45277777778</v>
      </c>
      <c r="D7002" s="19" t="s">
        <v>33</v>
      </c>
      <c r="E7002" s="19" t="s">
        <v>69</v>
      </c>
      <c r="F7002" s="19" t="s">
        <v>40</v>
      </c>
      <c r="G7002" s="19" t="s">
        <v>63</v>
      </c>
      <c r="H7002" s="19" t="s">
        <v>63</v>
      </c>
      <c r="I7002" s="19" t="s">
        <v>123</v>
      </c>
      <c r="J7002" s="20">
        <v>120</v>
      </c>
      <c r="K7002" s="34">
        <v>0</v>
      </c>
      <c r="L7002" s="34">
        <v>3</v>
      </c>
      <c r="M7002" s="19">
        <f>IF(OR(ISBLANK(C7002),C7002=""),"",ROUND((C7002-B7002)*24,2))</f>
        <v>122.73</v>
      </c>
      <c r="N7002" s="39" t="str">
        <f>IF(OR(ISBLANK(C7002),C7002="",M7002=""),"In Progress",IF(M7002&lt;=J7002,"Met","Breached"))</f>
        <v>Breached</v>
      </c>
    </row>
    <row r="7003" ht="19" customHeight="1" spans="1:14" x14ac:dyDescent="0.25">
      <c r="A7003" s="22" t="s">
        <v>7117</v>
      </c>
      <c r="B7003" s="36">
        <v>45703.75277777778</v>
      </c>
      <c r="D7003" s="22" t="s">
        <v>42</v>
      </c>
      <c r="E7003" s="22" t="s">
        <v>69</v>
      </c>
      <c r="F7003" s="22" t="s">
        <v>37</v>
      </c>
      <c r="G7003" s="22" t="s">
        <v>116</v>
      </c>
      <c r="H7003" s="22" t="s">
        <v>63</v>
      </c>
      <c r="I7003" s="22" t="s">
        <v>117</v>
      </c>
      <c r="J7003" s="23">
        <v>120</v>
      </c>
      <c r="K7003" s="37">
        <v>0</v>
      </c>
      <c r="M7003" s="22" t="str">
        <f>IF(OR(ISBLANK(C7003),C7003=""),"",ROUND((C7003-B7003)*24,2))</f>
        <v/>
      </c>
      <c r="N7003" s="22" t="str">
        <f>IF(OR(ISBLANK(C7003),C7003="",M7003=""),"In Progress",IF(M7003&lt;=J7003,"Met","Breached"))</f>
        <v>In Progress</v>
      </c>
    </row>
    <row r="7004" ht="19" customHeight="1" spans="1:14" x14ac:dyDescent="0.25">
      <c r="A7004" s="19" t="s">
        <v>7118</v>
      </c>
      <c r="B7004" s="33">
        <v>46270.726388888885</v>
      </c>
      <c r="C7004" s="33">
        <v>46273.51666666666</v>
      </c>
      <c r="D7004" s="19" t="s">
        <v>33</v>
      </c>
      <c r="E7004" s="19" t="s">
        <v>69</v>
      </c>
      <c r="F7004" s="19" t="s">
        <v>45</v>
      </c>
      <c r="G7004" s="19" t="s">
        <v>113</v>
      </c>
      <c r="H7004" s="19" t="s">
        <v>59</v>
      </c>
      <c r="I7004" s="19" t="s">
        <v>111</v>
      </c>
      <c r="J7004" s="20">
        <v>120</v>
      </c>
      <c r="K7004" s="34">
        <v>0</v>
      </c>
      <c r="L7004" s="34">
        <v>2</v>
      </c>
      <c r="M7004" s="19">
        <f>IF(OR(ISBLANK(C7004),C7004=""),"",ROUND((C7004-B7004)*24,2))</f>
        <v>66.97</v>
      </c>
      <c r="N7004" s="35" t="str">
        <f>IF(OR(ISBLANK(C7004),C7004="",M7004=""),"In Progress",IF(M7004&lt;=J7004,"Met","Breached"))</f>
        <v>Met</v>
      </c>
    </row>
    <row r="7005" ht="19" customHeight="1" spans="1:14" x14ac:dyDescent="0.25">
      <c r="A7005" s="22" t="s">
        <v>7119</v>
      </c>
      <c r="B7005" s="36">
        <v>45836.80972222222</v>
      </c>
      <c r="C7005" s="36">
        <v>45840.32708333334</v>
      </c>
      <c r="D7005" s="22" t="s">
        <v>33</v>
      </c>
      <c r="E7005" s="22" t="s">
        <v>65</v>
      </c>
      <c r="F7005" s="22" t="s">
        <v>34</v>
      </c>
      <c r="G7005" s="22" t="s">
        <v>121</v>
      </c>
      <c r="H7005" s="22" t="s">
        <v>59</v>
      </c>
      <c r="I7005" s="22" t="s">
        <v>114</v>
      </c>
      <c r="J7005" s="23">
        <v>48</v>
      </c>
      <c r="K7005" s="37">
        <v>0</v>
      </c>
      <c r="L7005" s="37">
        <v>2</v>
      </c>
      <c r="M7005" s="22">
        <f>IF(OR(ISBLANK(C7005),C7005=""),"",ROUND((C7005-B7005)*24,2))</f>
        <v>84.42</v>
      </c>
      <c r="N7005" s="38" t="str">
        <f>IF(OR(ISBLANK(C7005),C7005="",M7005=""),"In Progress",IF(M7005&lt;=J7005,"Met","Breached"))</f>
        <v>Breached</v>
      </c>
    </row>
    <row r="7006" ht="19" customHeight="1" spans="1:14" x14ac:dyDescent="0.25">
      <c r="A7006" s="19" t="s">
        <v>7120</v>
      </c>
      <c r="B7006" s="33">
        <v>46185.92569444445</v>
      </c>
      <c r="C7006" s="33">
        <v>46187.90763888889</v>
      </c>
      <c r="D7006" s="19" t="s">
        <v>33</v>
      </c>
      <c r="E7006" s="19" t="s">
        <v>65</v>
      </c>
      <c r="F7006" s="19" t="s">
        <v>43</v>
      </c>
      <c r="G7006" s="19" t="s">
        <v>126</v>
      </c>
      <c r="H7006" s="19" t="s">
        <v>63</v>
      </c>
      <c r="I7006" s="19" t="s">
        <v>123</v>
      </c>
      <c r="J7006" s="20">
        <v>48</v>
      </c>
      <c r="K7006" s="34">
        <v>0</v>
      </c>
      <c r="L7006" s="34">
        <v>5</v>
      </c>
      <c r="M7006" s="19">
        <f>IF(OR(ISBLANK(C7006),C7006=""),"",ROUND((C7006-B7006)*24,2))</f>
        <v>47.57</v>
      </c>
      <c r="N7006" s="35" t="str">
        <f>IF(OR(ISBLANK(C7006),C7006="",M7006=""),"In Progress",IF(M7006&lt;=J7006,"Met","Breached"))</f>
        <v>Met</v>
      </c>
    </row>
    <row r="7007" ht="19" customHeight="1" spans="1:14" x14ac:dyDescent="0.25">
      <c r="A7007" s="22" t="s">
        <v>7121</v>
      </c>
      <c r="B7007" s="36">
        <v>45999.69930555555</v>
      </c>
      <c r="C7007" s="36">
        <v>46001.32916666666</v>
      </c>
      <c r="D7007" s="22" t="s">
        <v>33</v>
      </c>
      <c r="E7007" s="22" t="s">
        <v>65</v>
      </c>
      <c r="F7007" s="22" t="s">
        <v>37</v>
      </c>
      <c r="G7007" s="22" t="s">
        <v>110</v>
      </c>
      <c r="H7007" s="22" t="s">
        <v>71</v>
      </c>
      <c r="I7007" s="22" t="s">
        <v>108</v>
      </c>
      <c r="J7007" s="23">
        <v>48</v>
      </c>
      <c r="K7007" s="37">
        <v>0</v>
      </c>
      <c r="L7007" s="37">
        <v>3</v>
      </c>
      <c r="M7007" s="22">
        <f>IF(OR(ISBLANK(C7007),C7007=""),"",ROUND((C7007-B7007)*24,2))</f>
        <v>39.12</v>
      </c>
      <c r="N7007" s="40" t="str">
        <f>IF(OR(ISBLANK(C7007),C7007="",M7007=""),"In Progress",IF(M7007&lt;=J7007,"Met","Breached"))</f>
        <v>Met</v>
      </c>
    </row>
    <row r="7008" ht="19" customHeight="1" spans="1:14" x14ac:dyDescent="0.25">
      <c r="A7008" s="19" t="s">
        <v>7122</v>
      </c>
      <c r="B7008" s="33">
        <v>46053.55763888889</v>
      </c>
      <c r="D7008" s="19" t="s">
        <v>39</v>
      </c>
      <c r="E7008" s="19" t="s">
        <v>65</v>
      </c>
      <c r="F7008" s="19" t="s">
        <v>37</v>
      </c>
      <c r="G7008" s="19" t="s">
        <v>110</v>
      </c>
      <c r="H7008" s="19" t="s">
        <v>63</v>
      </c>
      <c r="I7008" s="19" t="s">
        <v>108</v>
      </c>
      <c r="J7008" s="20">
        <v>48</v>
      </c>
      <c r="K7008" s="34">
        <v>0</v>
      </c>
      <c r="M7008" s="19" t="str">
        <f>IF(OR(ISBLANK(C7008),C7008=""),"",ROUND((C7008-B7008)*24,2))</f>
        <v/>
      </c>
      <c r="N7008" s="19" t="str">
        <f>IF(OR(ISBLANK(C7008),C7008="",M7008=""),"In Progress",IF(M7008&lt;=J7008,"Met","Breached"))</f>
        <v>In Progress</v>
      </c>
    </row>
    <row r="7009" ht="19" customHeight="1" spans="1:14" x14ac:dyDescent="0.25">
      <c r="A7009" s="22" t="s">
        <v>7123</v>
      </c>
      <c r="B7009" s="36">
        <v>46285.19027777778</v>
      </c>
      <c r="D7009" s="22" t="s">
        <v>42</v>
      </c>
      <c r="E7009" s="22" t="s">
        <v>65</v>
      </c>
      <c r="F7009" s="22" t="s">
        <v>37</v>
      </c>
      <c r="G7009" s="22" t="s">
        <v>121</v>
      </c>
      <c r="H7009" s="22" t="s">
        <v>67</v>
      </c>
      <c r="I7009" s="22" t="s">
        <v>117</v>
      </c>
      <c r="J7009" s="23">
        <v>48</v>
      </c>
      <c r="K7009" s="37">
        <v>0</v>
      </c>
      <c r="M7009" s="22" t="str">
        <f>IF(OR(ISBLANK(C7009),C7009=""),"",ROUND((C7009-B7009)*24,2))</f>
        <v/>
      </c>
      <c r="N7009" s="22" t="str">
        <f>IF(OR(ISBLANK(C7009),C7009="",M7009=""),"In Progress",IF(M7009&lt;=J7009,"Met","Breached"))</f>
        <v>In Progress</v>
      </c>
    </row>
    <row r="7010" ht="19" customHeight="1" spans="1:14" x14ac:dyDescent="0.25">
      <c r="A7010" s="19" t="s">
        <v>7124</v>
      </c>
      <c r="B7010" s="33">
        <v>46170.07083333333</v>
      </c>
      <c r="D7010" s="19" t="s">
        <v>39</v>
      </c>
      <c r="E7010" s="19" t="s">
        <v>69</v>
      </c>
      <c r="F7010" s="19" t="s">
        <v>37</v>
      </c>
      <c r="G7010" s="19" t="s">
        <v>63</v>
      </c>
      <c r="H7010" s="19" t="s">
        <v>71</v>
      </c>
      <c r="I7010" s="19" t="s">
        <v>108</v>
      </c>
      <c r="J7010" s="20">
        <v>120</v>
      </c>
      <c r="K7010" s="34">
        <v>0</v>
      </c>
      <c r="M7010" s="19" t="str">
        <f>IF(OR(ISBLANK(C7010),C7010=""),"",ROUND((C7010-B7010)*24,2))</f>
        <v/>
      </c>
      <c r="N7010" s="19" t="str">
        <f>IF(OR(ISBLANK(C7010),C7010="",M7010=""),"In Progress",IF(M7010&lt;=J7010,"Met","Breached"))</f>
        <v>In Progress</v>
      </c>
    </row>
    <row r="7011" ht="19" customHeight="1" spans="1:14" x14ac:dyDescent="0.25">
      <c r="A7011" s="22" t="s">
        <v>7125</v>
      </c>
      <c r="B7011" s="36">
        <v>45815.665972222225</v>
      </c>
      <c r="D7011" s="22" t="s">
        <v>39</v>
      </c>
      <c r="E7011" s="22" t="s">
        <v>57</v>
      </c>
      <c r="F7011" s="22" t="s">
        <v>45</v>
      </c>
      <c r="G7011" s="22" t="s">
        <v>121</v>
      </c>
      <c r="H7011" s="22" t="s">
        <v>59</v>
      </c>
      <c r="I7011" s="22" t="s">
        <v>147</v>
      </c>
      <c r="J7011" s="23">
        <v>4</v>
      </c>
      <c r="K7011" s="37">
        <v>0</v>
      </c>
      <c r="M7011" s="22" t="str">
        <f>IF(OR(ISBLANK(C7011),C7011=""),"",ROUND((C7011-B7011)*24,2))</f>
        <v/>
      </c>
      <c r="N7011" s="22" t="str">
        <f>IF(OR(ISBLANK(C7011),C7011="",M7011=""),"In Progress",IF(M7011&lt;=J7011,"Met","Breached"))</f>
        <v>In Progress</v>
      </c>
    </row>
    <row r="7012" ht="19" customHeight="1" spans="1:14" x14ac:dyDescent="0.25">
      <c r="A7012" s="19" t="s">
        <v>7126</v>
      </c>
      <c r="B7012" s="33">
        <v>45820.12777777778</v>
      </c>
      <c r="C7012" s="33">
        <v>45821.82986111111</v>
      </c>
      <c r="D7012" s="19" t="s">
        <v>36</v>
      </c>
      <c r="E7012" s="19" t="s">
        <v>65</v>
      </c>
      <c r="F7012" s="19" t="s">
        <v>40</v>
      </c>
      <c r="G7012" s="19" t="s">
        <v>126</v>
      </c>
      <c r="H7012" s="19" t="s">
        <v>59</v>
      </c>
      <c r="I7012" s="19" t="s">
        <v>147</v>
      </c>
      <c r="J7012" s="20">
        <v>48</v>
      </c>
      <c r="K7012" s="34">
        <v>0</v>
      </c>
      <c r="M7012" s="19">
        <f>IF(OR(ISBLANK(C7012),C7012=""),"",ROUND((C7012-B7012)*24,2))</f>
        <v>40.85</v>
      </c>
      <c r="N7012" s="35" t="str">
        <f>IF(OR(ISBLANK(C7012),C7012="",M7012=""),"In Progress",IF(M7012&lt;=J7012,"Met","Breached"))</f>
        <v>Met</v>
      </c>
    </row>
    <row r="7013" ht="19" customHeight="1" spans="1:14" x14ac:dyDescent="0.25">
      <c r="A7013" s="22" t="s">
        <v>7127</v>
      </c>
      <c r="B7013" s="36">
        <v>46085.12361111111</v>
      </c>
      <c r="C7013" s="36">
        <v>46085.73263888889</v>
      </c>
      <c r="D7013" s="22" t="s">
        <v>33</v>
      </c>
      <c r="E7013" s="22" t="s">
        <v>61</v>
      </c>
      <c r="F7013" s="22" t="s">
        <v>34</v>
      </c>
      <c r="G7013" s="22" t="s">
        <v>113</v>
      </c>
      <c r="H7013" s="22" t="s">
        <v>59</v>
      </c>
      <c r="I7013" s="22" t="s">
        <v>108</v>
      </c>
      <c r="J7013" s="23">
        <v>12</v>
      </c>
      <c r="K7013" s="37">
        <v>0</v>
      </c>
      <c r="M7013" s="22">
        <f>IF(OR(ISBLANK(C7013),C7013=""),"",ROUND((C7013-B7013)*24,2))</f>
        <v>14.62</v>
      </c>
      <c r="N7013" s="38" t="str">
        <f>IF(OR(ISBLANK(C7013),C7013="",M7013=""),"In Progress",IF(M7013&lt;=J7013,"Met","Breached"))</f>
        <v>Breached</v>
      </c>
    </row>
    <row r="7014" ht="19" customHeight="1" spans="1:14" x14ac:dyDescent="0.25">
      <c r="A7014" s="19" t="s">
        <v>7128</v>
      </c>
      <c r="B7014" s="33">
        <v>46179.68402777778</v>
      </c>
      <c r="C7014" s="33">
        <v>46179.85625</v>
      </c>
      <c r="D7014" s="19" t="s">
        <v>36</v>
      </c>
      <c r="E7014" s="19" t="s">
        <v>61</v>
      </c>
      <c r="F7014" s="19" t="s">
        <v>45</v>
      </c>
      <c r="G7014" s="19" t="s">
        <v>116</v>
      </c>
      <c r="H7014" s="19" t="s">
        <v>59</v>
      </c>
      <c r="I7014" s="19" t="s">
        <v>114</v>
      </c>
      <c r="J7014" s="20">
        <v>12</v>
      </c>
      <c r="K7014" s="34">
        <v>1</v>
      </c>
      <c r="L7014" s="34">
        <v>4</v>
      </c>
      <c r="M7014" s="19">
        <f>IF(OR(ISBLANK(C7014),C7014=""),"",ROUND((C7014-B7014)*24,2))</f>
        <v>4.13</v>
      </c>
      <c r="N7014" s="35" t="str">
        <f>IF(OR(ISBLANK(C7014),C7014="",M7014=""),"In Progress",IF(M7014&lt;=J7014,"Met","Breached"))</f>
        <v>Met</v>
      </c>
    </row>
    <row r="7015" ht="19" customHeight="1" spans="1:14" x14ac:dyDescent="0.25">
      <c r="A7015" s="22" t="s">
        <v>7129</v>
      </c>
      <c r="B7015" s="36">
        <v>46284.21736111111</v>
      </c>
      <c r="C7015" s="36">
        <v>46288.68125</v>
      </c>
      <c r="D7015" s="22" t="s">
        <v>33</v>
      </c>
      <c r="E7015" s="22" t="s">
        <v>69</v>
      </c>
      <c r="F7015" s="22" t="s">
        <v>45</v>
      </c>
      <c r="G7015" s="22" t="s">
        <v>63</v>
      </c>
      <c r="H7015" s="22" t="s">
        <v>59</v>
      </c>
      <c r="I7015" s="22" t="s">
        <v>147</v>
      </c>
      <c r="J7015" s="23">
        <v>120</v>
      </c>
      <c r="K7015" s="37">
        <v>0</v>
      </c>
      <c r="M7015" s="22">
        <f>IF(OR(ISBLANK(C7015),C7015=""),"",ROUND((C7015-B7015)*24,2))</f>
        <v>107.13</v>
      </c>
      <c r="N7015" s="40" t="str">
        <f>IF(OR(ISBLANK(C7015),C7015="",M7015=""),"In Progress",IF(M7015&lt;=J7015,"Met","Breached"))</f>
        <v>Met</v>
      </c>
    </row>
    <row r="7016" ht="19" customHeight="1" spans="1:14" x14ac:dyDescent="0.25">
      <c r="A7016" s="19" t="s">
        <v>7130</v>
      </c>
      <c r="B7016" s="33">
        <v>46098.861805555556</v>
      </c>
      <c r="C7016" s="33">
        <v>46100.11319444445</v>
      </c>
      <c r="D7016" s="19" t="s">
        <v>33</v>
      </c>
      <c r="E7016" s="19" t="s">
        <v>65</v>
      </c>
      <c r="F7016" s="19" t="s">
        <v>40</v>
      </c>
      <c r="G7016" s="19" t="s">
        <v>116</v>
      </c>
      <c r="H7016" s="19" t="s">
        <v>59</v>
      </c>
      <c r="I7016" s="19" t="s">
        <v>108</v>
      </c>
      <c r="J7016" s="20">
        <v>48</v>
      </c>
      <c r="K7016" s="34">
        <v>0</v>
      </c>
      <c r="L7016" s="34">
        <v>5</v>
      </c>
      <c r="M7016" s="19">
        <f>IF(OR(ISBLANK(C7016),C7016=""),"",ROUND((C7016-B7016)*24,2))</f>
        <v>30.03</v>
      </c>
      <c r="N7016" s="35" t="str">
        <f>IF(OR(ISBLANK(C7016),C7016="",M7016=""),"In Progress",IF(M7016&lt;=J7016,"Met","Breached"))</f>
        <v>Met</v>
      </c>
    </row>
    <row r="7017" ht="19" customHeight="1" spans="1:14" x14ac:dyDescent="0.25">
      <c r="A7017" s="22" t="s">
        <v>7131</v>
      </c>
      <c r="B7017" s="36">
        <v>46081.867361111115</v>
      </c>
      <c r="C7017" s="36">
        <v>46082.288194444445</v>
      </c>
      <c r="D7017" s="22" t="s">
        <v>36</v>
      </c>
      <c r="E7017" s="22" t="s">
        <v>61</v>
      </c>
      <c r="F7017" s="22" t="s">
        <v>40</v>
      </c>
      <c r="G7017" s="22" t="s">
        <v>126</v>
      </c>
      <c r="H7017" s="22" t="s">
        <v>59</v>
      </c>
      <c r="I7017" s="22" t="s">
        <v>123</v>
      </c>
      <c r="J7017" s="23">
        <v>12</v>
      </c>
      <c r="K7017" s="37">
        <v>0</v>
      </c>
      <c r="L7017" s="37">
        <v>2</v>
      </c>
      <c r="M7017" s="22">
        <f>IF(OR(ISBLANK(C7017),C7017=""),"",ROUND((C7017-B7017)*24,2))</f>
        <v>10.1</v>
      </c>
      <c r="N7017" s="40" t="str">
        <f>IF(OR(ISBLANK(C7017),C7017="",M7017=""),"In Progress",IF(M7017&lt;=J7017,"Met","Breached"))</f>
        <v>Met</v>
      </c>
    </row>
    <row r="7018" ht="19" customHeight="1" spans="1:14" x14ac:dyDescent="0.25">
      <c r="A7018" s="19" t="s">
        <v>7132</v>
      </c>
      <c r="B7018" s="33">
        <v>45762.59652777778</v>
      </c>
      <c r="C7018" s="33">
        <v>45763.87847222222</v>
      </c>
      <c r="D7018" s="19" t="s">
        <v>33</v>
      </c>
      <c r="E7018" s="19" t="s">
        <v>65</v>
      </c>
      <c r="F7018" s="19" t="s">
        <v>45</v>
      </c>
      <c r="G7018" s="19" t="s">
        <v>116</v>
      </c>
      <c r="H7018" s="19" t="s">
        <v>63</v>
      </c>
      <c r="I7018" s="19" t="s">
        <v>123</v>
      </c>
      <c r="J7018" s="20">
        <v>48</v>
      </c>
      <c r="K7018" s="34">
        <v>0</v>
      </c>
      <c r="L7018" s="34">
        <v>3</v>
      </c>
      <c r="M7018" s="19">
        <f>IF(OR(ISBLANK(C7018),C7018=""),"",ROUND((C7018-B7018)*24,2))</f>
        <v>30.77</v>
      </c>
      <c r="N7018" s="35" t="str">
        <f>IF(OR(ISBLANK(C7018),C7018="",M7018=""),"In Progress",IF(M7018&lt;=J7018,"Met","Breached"))</f>
        <v>Met</v>
      </c>
    </row>
    <row r="7019" ht="19" customHeight="1" spans="1:14" x14ac:dyDescent="0.25">
      <c r="A7019" s="22" t="s">
        <v>7133</v>
      </c>
      <c r="B7019" s="36">
        <v>46118.36111111111</v>
      </c>
      <c r="D7019" s="22" t="s">
        <v>39</v>
      </c>
      <c r="E7019" s="22" t="s">
        <v>69</v>
      </c>
      <c r="F7019" s="22" t="s">
        <v>40</v>
      </c>
      <c r="G7019" s="22" t="s">
        <v>126</v>
      </c>
      <c r="H7019" s="22" t="s">
        <v>59</v>
      </c>
      <c r="I7019" s="22" t="s">
        <v>147</v>
      </c>
      <c r="J7019" s="23">
        <v>120</v>
      </c>
      <c r="K7019" s="37">
        <v>0</v>
      </c>
      <c r="M7019" s="22" t="str">
        <f>IF(OR(ISBLANK(C7019),C7019=""),"",ROUND((C7019-B7019)*24,2))</f>
        <v/>
      </c>
      <c r="N7019" s="22" t="str">
        <f>IF(OR(ISBLANK(C7019),C7019="",M7019=""),"In Progress",IF(M7019&lt;=J7019,"Met","Breached"))</f>
        <v>In Progress</v>
      </c>
    </row>
    <row r="7020" ht="19" customHeight="1" spans="1:14" x14ac:dyDescent="0.25">
      <c r="A7020" s="19" t="s">
        <v>7134</v>
      </c>
      <c r="B7020" s="33">
        <v>46089.07638888889</v>
      </c>
      <c r="C7020" s="33">
        <v>46092.59930555556</v>
      </c>
      <c r="D7020" s="19" t="s">
        <v>33</v>
      </c>
      <c r="E7020" s="19" t="s">
        <v>69</v>
      </c>
      <c r="F7020" s="19" t="s">
        <v>43</v>
      </c>
      <c r="G7020" s="19" t="s">
        <v>110</v>
      </c>
      <c r="H7020" s="19" t="s">
        <v>59</v>
      </c>
      <c r="I7020" s="19" t="s">
        <v>117</v>
      </c>
      <c r="J7020" s="20">
        <v>120</v>
      </c>
      <c r="K7020" s="34">
        <v>0</v>
      </c>
      <c r="M7020" s="19">
        <f>IF(OR(ISBLANK(C7020),C7020=""),"",ROUND((C7020-B7020)*24,2))</f>
        <v>84.55</v>
      </c>
      <c r="N7020" s="35" t="str">
        <f>IF(OR(ISBLANK(C7020),C7020="",M7020=""),"In Progress",IF(M7020&lt;=J7020,"Met","Breached"))</f>
        <v>Met</v>
      </c>
    </row>
    <row r="7021" ht="19" customHeight="1" spans="1:14" x14ac:dyDescent="0.25">
      <c r="A7021" s="22" t="s">
        <v>7135</v>
      </c>
      <c r="B7021" s="36">
        <v>45899.5375</v>
      </c>
      <c r="C7021" s="36">
        <v>45903.34930555556</v>
      </c>
      <c r="D7021" s="22" t="s">
        <v>33</v>
      </c>
      <c r="E7021" s="22" t="s">
        <v>69</v>
      </c>
      <c r="F7021" s="22" t="s">
        <v>45</v>
      </c>
      <c r="G7021" s="22" t="s">
        <v>113</v>
      </c>
      <c r="H7021" s="22" t="s">
        <v>67</v>
      </c>
      <c r="I7021" s="22" t="s">
        <v>114</v>
      </c>
      <c r="J7021" s="23">
        <v>120</v>
      </c>
      <c r="K7021" s="37">
        <v>0</v>
      </c>
      <c r="M7021" s="22">
        <f>IF(OR(ISBLANK(C7021),C7021=""),"",ROUND((C7021-B7021)*24,2))</f>
        <v>91.48</v>
      </c>
      <c r="N7021" s="40" t="str">
        <f>IF(OR(ISBLANK(C7021),C7021="",M7021=""),"In Progress",IF(M7021&lt;=J7021,"Met","Breached"))</f>
        <v>Met</v>
      </c>
    </row>
    <row r="7022" ht="19" customHeight="1" spans="1:14" x14ac:dyDescent="0.25">
      <c r="A7022" s="19" t="s">
        <v>7136</v>
      </c>
      <c r="B7022" s="33">
        <v>46143.78263888889</v>
      </c>
      <c r="C7022" s="33">
        <v>46146.89097222222</v>
      </c>
      <c r="D7022" s="19" t="s">
        <v>33</v>
      </c>
      <c r="E7022" s="19" t="s">
        <v>65</v>
      </c>
      <c r="F7022" s="19" t="s">
        <v>37</v>
      </c>
      <c r="G7022" s="19" t="s">
        <v>121</v>
      </c>
      <c r="H7022" s="19" t="s">
        <v>71</v>
      </c>
      <c r="I7022" s="19" t="s">
        <v>114</v>
      </c>
      <c r="J7022" s="20">
        <v>48</v>
      </c>
      <c r="K7022" s="34">
        <v>0</v>
      </c>
      <c r="L7022" s="34">
        <v>5</v>
      </c>
      <c r="M7022" s="19">
        <f>IF(OR(ISBLANK(C7022),C7022=""),"",ROUND((C7022-B7022)*24,2))</f>
        <v>74.6</v>
      </c>
      <c r="N7022" s="39" t="str">
        <f>IF(OR(ISBLANK(C7022),C7022="",M7022=""),"In Progress",IF(M7022&lt;=J7022,"Met","Breached"))</f>
        <v>Breached</v>
      </c>
    </row>
    <row r="7023" ht="19" customHeight="1" spans="1:14" x14ac:dyDescent="0.25">
      <c r="A7023" s="22" t="s">
        <v>7137</v>
      </c>
      <c r="B7023" s="36">
        <v>46039.47986111111</v>
      </c>
      <c r="C7023" s="36">
        <v>46040.118055555555</v>
      </c>
      <c r="D7023" s="22" t="s">
        <v>33</v>
      </c>
      <c r="E7023" s="22" t="s">
        <v>61</v>
      </c>
      <c r="F7023" s="22" t="s">
        <v>37</v>
      </c>
      <c r="G7023" s="22" t="s">
        <v>126</v>
      </c>
      <c r="H7023" s="22" t="s">
        <v>59</v>
      </c>
      <c r="I7023" s="22" t="s">
        <v>123</v>
      </c>
      <c r="J7023" s="23">
        <v>12</v>
      </c>
      <c r="K7023" s="37">
        <v>0</v>
      </c>
      <c r="M7023" s="22">
        <f>IF(OR(ISBLANK(C7023),C7023=""),"",ROUND((C7023-B7023)*24,2))</f>
        <v>15.32</v>
      </c>
      <c r="N7023" s="38" t="str">
        <f>IF(OR(ISBLANK(C7023),C7023="",M7023=""),"In Progress",IF(M7023&lt;=J7023,"Met","Breached"))</f>
        <v>Breached</v>
      </c>
    </row>
    <row r="7024" ht="19" customHeight="1" spans="1:14" x14ac:dyDescent="0.25">
      <c r="A7024" s="19" t="s">
        <v>7138</v>
      </c>
      <c r="B7024" s="33">
        <v>46268.56875</v>
      </c>
      <c r="D7024" s="19" t="s">
        <v>42</v>
      </c>
      <c r="E7024" s="19" t="s">
        <v>69</v>
      </c>
      <c r="F7024" s="19" t="s">
        <v>37</v>
      </c>
      <c r="G7024" s="19" t="s">
        <v>110</v>
      </c>
      <c r="H7024" s="19" t="s">
        <v>59</v>
      </c>
      <c r="I7024" s="19" t="s">
        <v>114</v>
      </c>
      <c r="J7024" s="20">
        <v>120</v>
      </c>
      <c r="K7024" s="34">
        <v>0</v>
      </c>
      <c r="M7024" s="19" t="str">
        <f>IF(OR(ISBLANK(C7024),C7024=""),"",ROUND((C7024-B7024)*24,2))</f>
        <v/>
      </c>
      <c r="N7024" s="19" t="str">
        <f>IF(OR(ISBLANK(C7024),C7024="",M7024=""),"In Progress",IF(M7024&lt;=J7024,"Met","Breached"))</f>
        <v>In Progress</v>
      </c>
    </row>
    <row r="7025" ht="19" customHeight="1" spans="1:14" x14ac:dyDescent="0.25">
      <c r="A7025" s="22" t="s">
        <v>7139</v>
      </c>
      <c r="B7025" s="36">
        <v>46184.74166666667</v>
      </c>
      <c r="C7025" s="36">
        <v>46187.19861111111</v>
      </c>
      <c r="D7025" s="22" t="s">
        <v>33</v>
      </c>
      <c r="E7025" s="22" t="s">
        <v>69</v>
      </c>
      <c r="F7025" s="22" t="s">
        <v>45</v>
      </c>
      <c r="G7025" s="22" t="s">
        <v>63</v>
      </c>
      <c r="H7025" s="22" t="s">
        <v>59</v>
      </c>
      <c r="I7025" s="22" t="s">
        <v>111</v>
      </c>
      <c r="J7025" s="23">
        <v>120</v>
      </c>
      <c r="K7025" s="37">
        <v>0</v>
      </c>
      <c r="L7025" s="37">
        <v>4</v>
      </c>
      <c r="M7025" s="22">
        <f>IF(OR(ISBLANK(C7025),C7025=""),"",ROUND((C7025-B7025)*24,2))</f>
        <v>58.97</v>
      </c>
      <c r="N7025" s="40" t="str">
        <f>IF(OR(ISBLANK(C7025),C7025="",M7025=""),"In Progress",IF(M7025&lt;=J7025,"Met","Breached"))</f>
        <v>Met</v>
      </c>
    </row>
    <row r="7026" ht="19" customHeight="1" spans="1:14" x14ac:dyDescent="0.25">
      <c r="A7026" s="19" t="s">
        <v>7140</v>
      </c>
      <c r="B7026" s="33">
        <v>46288.26527777778</v>
      </c>
      <c r="C7026" s="33">
        <v>46291.15347222222</v>
      </c>
      <c r="D7026" s="19" t="s">
        <v>33</v>
      </c>
      <c r="E7026" s="19" t="s">
        <v>69</v>
      </c>
      <c r="F7026" s="19" t="s">
        <v>43</v>
      </c>
      <c r="G7026" s="19" t="s">
        <v>63</v>
      </c>
      <c r="H7026" s="19" t="s">
        <v>59</v>
      </c>
      <c r="I7026" s="19" t="s">
        <v>117</v>
      </c>
      <c r="J7026" s="20">
        <v>120</v>
      </c>
      <c r="K7026" s="34">
        <v>0</v>
      </c>
      <c r="L7026" s="34">
        <v>2</v>
      </c>
      <c r="M7026" s="19">
        <f>IF(OR(ISBLANK(C7026),C7026=""),"",ROUND((C7026-B7026)*24,2))</f>
        <v>69.32</v>
      </c>
      <c r="N7026" s="35" t="str">
        <f>IF(OR(ISBLANK(C7026),C7026="",M7026=""),"In Progress",IF(M7026&lt;=J7026,"Met","Breached"))</f>
        <v>Met</v>
      </c>
    </row>
    <row r="7027" ht="19" customHeight="1" spans="1:14" x14ac:dyDescent="0.25">
      <c r="A7027" s="22" t="s">
        <v>7141</v>
      </c>
      <c r="B7027" s="36">
        <v>46171.29305555555</v>
      </c>
      <c r="C7027" s="36">
        <v>46171.72013888889</v>
      </c>
      <c r="D7027" s="22" t="s">
        <v>33</v>
      </c>
      <c r="E7027" s="22" t="s">
        <v>61</v>
      </c>
      <c r="F7027" s="22" t="s">
        <v>40</v>
      </c>
      <c r="G7027" s="22" t="s">
        <v>110</v>
      </c>
      <c r="H7027" s="22" t="s">
        <v>59</v>
      </c>
      <c r="I7027" s="22" t="s">
        <v>114</v>
      </c>
      <c r="J7027" s="23">
        <v>12</v>
      </c>
      <c r="K7027" s="37">
        <v>0</v>
      </c>
      <c r="L7027" s="37">
        <v>4</v>
      </c>
      <c r="M7027" s="22">
        <f>IF(OR(ISBLANK(C7027),C7027=""),"",ROUND((C7027-B7027)*24,2))</f>
        <v>10.25</v>
      </c>
      <c r="N7027" s="40" t="str">
        <f>IF(OR(ISBLANK(C7027),C7027="",M7027=""),"In Progress",IF(M7027&lt;=J7027,"Met","Breached"))</f>
        <v>Met</v>
      </c>
    </row>
    <row r="7028" ht="19" customHeight="1" spans="1:14" x14ac:dyDescent="0.25">
      <c r="A7028" s="19" t="s">
        <v>7142</v>
      </c>
      <c r="B7028" s="33">
        <v>46001.08263888889</v>
      </c>
      <c r="C7028" s="33">
        <v>46003.73958333333</v>
      </c>
      <c r="D7028" s="19" t="s">
        <v>36</v>
      </c>
      <c r="E7028" s="19" t="s">
        <v>65</v>
      </c>
      <c r="F7028" s="19" t="s">
        <v>43</v>
      </c>
      <c r="G7028" s="19" t="s">
        <v>63</v>
      </c>
      <c r="H7028" s="19" t="s">
        <v>59</v>
      </c>
      <c r="I7028" s="19" t="s">
        <v>117</v>
      </c>
      <c r="J7028" s="20">
        <v>48</v>
      </c>
      <c r="K7028" s="34">
        <v>0</v>
      </c>
      <c r="L7028" s="34">
        <v>3</v>
      </c>
      <c r="M7028" s="19">
        <f>IF(OR(ISBLANK(C7028),C7028=""),"",ROUND((C7028-B7028)*24,2))</f>
        <v>63.77</v>
      </c>
      <c r="N7028" s="39" t="str">
        <f>IF(OR(ISBLANK(C7028),C7028="",M7028=""),"In Progress",IF(M7028&lt;=J7028,"Met","Breached"))</f>
        <v>Breached</v>
      </c>
    </row>
    <row r="7029" ht="19" customHeight="1" spans="1:14" x14ac:dyDescent="0.25">
      <c r="A7029" s="22" t="s">
        <v>7143</v>
      </c>
      <c r="B7029" s="36">
        <v>45702.86875</v>
      </c>
      <c r="D7029" s="22" t="s">
        <v>42</v>
      </c>
      <c r="E7029" s="22" t="s">
        <v>65</v>
      </c>
      <c r="F7029" s="22" t="s">
        <v>43</v>
      </c>
      <c r="G7029" s="22" t="s">
        <v>126</v>
      </c>
      <c r="H7029" s="22" t="s">
        <v>59</v>
      </c>
      <c r="I7029" s="22" t="s">
        <v>108</v>
      </c>
      <c r="J7029" s="23">
        <v>48</v>
      </c>
      <c r="K7029" s="37">
        <v>0</v>
      </c>
      <c r="M7029" s="22" t="str">
        <f>IF(OR(ISBLANK(C7029),C7029=""),"",ROUND((C7029-B7029)*24,2))</f>
        <v/>
      </c>
      <c r="N7029" s="22" t="str">
        <f>IF(OR(ISBLANK(C7029),C7029="",M7029=""),"In Progress",IF(M7029&lt;=J7029,"Met","Breached"))</f>
        <v>In Progress</v>
      </c>
    </row>
    <row r="7030" ht="19" customHeight="1" spans="1:14" x14ac:dyDescent="0.25">
      <c r="A7030" s="19" t="s">
        <v>7144</v>
      </c>
      <c r="B7030" s="33">
        <v>45807.625</v>
      </c>
      <c r="D7030" s="19" t="s">
        <v>39</v>
      </c>
      <c r="E7030" s="19" t="s">
        <v>69</v>
      </c>
      <c r="F7030" s="19" t="s">
        <v>34</v>
      </c>
      <c r="G7030" s="19" t="s">
        <v>113</v>
      </c>
      <c r="H7030" s="19" t="s">
        <v>63</v>
      </c>
      <c r="I7030" s="19" t="s">
        <v>147</v>
      </c>
      <c r="J7030" s="20">
        <v>120</v>
      </c>
      <c r="K7030" s="34">
        <v>0</v>
      </c>
      <c r="M7030" s="19" t="str">
        <f>IF(OR(ISBLANK(C7030),C7030=""),"",ROUND((C7030-B7030)*24,2))</f>
        <v/>
      </c>
      <c r="N7030" s="19" t="str">
        <f>IF(OR(ISBLANK(C7030),C7030="",M7030=""),"In Progress",IF(M7030&lt;=J7030,"Met","Breached"))</f>
        <v>In Progress</v>
      </c>
    </row>
    <row r="7031" ht="19" customHeight="1" spans="1:14" x14ac:dyDescent="0.25">
      <c r="A7031" s="22" t="s">
        <v>7145</v>
      </c>
      <c r="B7031" s="36">
        <v>46021.35902777778</v>
      </c>
      <c r="D7031" s="22" t="s">
        <v>39</v>
      </c>
      <c r="E7031" s="22" t="s">
        <v>57</v>
      </c>
      <c r="F7031" s="22" t="s">
        <v>43</v>
      </c>
      <c r="G7031" s="22" t="s">
        <v>113</v>
      </c>
      <c r="H7031" s="22" t="s">
        <v>59</v>
      </c>
      <c r="I7031" s="22" t="s">
        <v>108</v>
      </c>
      <c r="J7031" s="23">
        <v>4</v>
      </c>
      <c r="K7031" s="37">
        <v>0</v>
      </c>
      <c r="M7031" s="22" t="str">
        <f>IF(OR(ISBLANK(C7031),C7031=""),"",ROUND((C7031-B7031)*24,2))</f>
        <v/>
      </c>
      <c r="N7031" s="22" t="str">
        <f>IF(OR(ISBLANK(C7031),C7031="",M7031=""),"In Progress",IF(M7031&lt;=J7031,"Met","Breached"))</f>
        <v>In Progress</v>
      </c>
    </row>
    <row r="7032" ht="19" customHeight="1" spans="1:14" x14ac:dyDescent="0.25">
      <c r="A7032" s="19" t="s">
        <v>7146</v>
      </c>
      <c r="B7032" s="33">
        <v>45974.822222222225</v>
      </c>
      <c r="C7032" s="33">
        <v>45975.43472222222</v>
      </c>
      <c r="D7032" s="19" t="s">
        <v>36</v>
      </c>
      <c r="E7032" s="19" t="s">
        <v>61</v>
      </c>
      <c r="F7032" s="19" t="s">
        <v>37</v>
      </c>
      <c r="G7032" s="19" t="s">
        <v>113</v>
      </c>
      <c r="H7032" s="19" t="s">
        <v>67</v>
      </c>
      <c r="I7032" s="19" t="s">
        <v>114</v>
      </c>
      <c r="J7032" s="20">
        <v>12</v>
      </c>
      <c r="K7032" s="34">
        <v>0</v>
      </c>
      <c r="M7032" s="19">
        <f>IF(OR(ISBLANK(C7032),C7032=""),"",ROUND((C7032-B7032)*24,2))</f>
        <v>14.7</v>
      </c>
      <c r="N7032" s="39" t="str">
        <f>IF(OR(ISBLANK(C7032),C7032="",M7032=""),"In Progress",IF(M7032&lt;=J7032,"Met","Breached"))</f>
        <v>Breached</v>
      </c>
    </row>
    <row r="7033" ht="19" customHeight="1" spans="1:14" x14ac:dyDescent="0.25">
      <c r="A7033" s="22" t="s">
        <v>7147</v>
      </c>
      <c r="B7033" s="36">
        <v>46272.81111111111</v>
      </c>
      <c r="C7033" s="36">
        <v>46274.19375</v>
      </c>
      <c r="D7033" s="22" t="s">
        <v>33</v>
      </c>
      <c r="E7033" s="22" t="s">
        <v>65</v>
      </c>
      <c r="F7033" s="22" t="s">
        <v>40</v>
      </c>
      <c r="G7033" s="22" t="s">
        <v>110</v>
      </c>
      <c r="H7033" s="22" t="s">
        <v>71</v>
      </c>
      <c r="I7033" s="22" t="s">
        <v>111</v>
      </c>
      <c r="J7033" s="23">
        <v>48</v>
      </c>
      <c r="K7033" s="37">
        <v>0</v>
      </c>
      <c r="M7033" s="22">
        <f>IF(OR(ISBLANK(C7033),C7033=""),"",ROUND((C7033-B7033)*24,2))</f>
        <v>33.18</v>
      </c>
      <c r="N7033" s="40" t="str">
        <f>IF(OR(ISBLANK(C7033),C7033="",M7033=""),"In Progress",IF(M7033&lt;=J7033,"Met","Breached"))</f>
        <v>Met</v>
      </c>
    </row>
    <row r="7034" ht="19" customHeight="1" spans="1:14" x14ac:dyDescent="0.25">
      <c r="A7034" s="19" t="s">
        <v>7148</v>
      </c>
      <c r="B7034" s="33">
        <v>46017.881944444445</v>
      </c>
      <c r="C7034" s="33">
        <v>46020.78611111111</v>
      </c>
      <c r="D7034" s="19" t="s">
        <v>33</v>
      </c>
      <c r="E7034" s="19" t="s">
        <v>65</v>
      </c>
      <c r="F7034" s="19" t="s">
        <v>45</v>
      </c>
      <c r="G7034" s="19" t="s">
        <v>126</v>
      </c>
      <c r="H7034" s="19" t="s">
        <v>59</v>
      </c>
      <c r="I7034" s="19" t="s">
        <v>114</v>
      </c>
      <c r="J7034" s="20">
        <v>48</v>
      </c>
      <c r="K7034" s="34">
        <v>0</v>
      </c>
      <c r="L7034" s="34">
        <v>2</v>
      </c>
      <c r="M7034" s="19">
        <f>IF(OR(ISBLANK(C7034),C7034=""),"",ROUND((C7034-B7034)*24,2))</f>
        <v>69.7</v>
      </c>
      <c r="N7034" s="39" t="str">
        <f>IF(OR(ISBLANK(C7034),C7034="",M7034=""),"In Progress",IF(M7034&lt;=J7034,"Met","Breached"))</f>
        <v>Breached</v>
      </c>
    </row>
    <row r="7035" ht="19" customHeight="1" spans="1:14" x14ac:dyDescent="0.25">
      <c r="A7035" s="22" t="s">
        <v>7149</v>
      </c>
      <c r="B7035" s="36">
        <v>45872.71319444444</v>
      </c>
      <c r="C7035" s="36">
        <v>45873.555555555555</v>
      </c>
      <c r="D7035" s="22" t="s">
        <v>36</v>
      </c>
      <c r="E7035" s="22" t="s">
        <v>61</v>
      </c>
      <c r="F7035" s="22" t="s">
        <v>40</v>
      </c>
      <c r="G7035" s="22" t="s">
        <v>126</v>
      </c>
      <c r="H7035" s="22" t="s">
        <v>59</v>
      </c>
      <c r="I7035" s="22" t="s">
        <v>123</v>
      </c>
      <c r="J7035" s="23">
        <v>12</v>
      </c>
      <c r="K7035" s="37">
        <v>1</v>
      </c>
      <c r="M7035" s="22">
        <f>IF(OR(ISBLANK(C7035),C7035=""),"",ROUND((C7035-B7035)*24,2))</f>
        <v>20.22</v>
      </c>
      <c r="N7035" s="38" t="str">
        <f>IF(OR(ISBLANK(C7035),C7035="",M7035=""),"In Progress",IF(M7035&lt;=J7035,"Met","Breached"))</f>
        <v>Breached</v>
      </c>
    </row>
    <row r="7036" ht="19" customHeight="1" spans="1:14" x14ac:dyDescent="0.25">
      <c r="A7036" s="19" t="s">
        <v>7150</v>
      </c>
      <c r="B7036" s="33">
        <v>45965.76388888889</v>
      </c>
      <c r="C7036" s="33">
        <v>45969.242361111115</v>
      </c>
      <c r="D7036" s="19" t="s">
        <v>36</v>
      </c>
      <c r="E7036" s="19" t="s">
        <v>65</v>
      </c>
      <c r="F7036" s="19" t="s">
        <v>40</v>
      </c>
      <c r="G7036" s="19" t="s">
        <v>63</v>
      </c>
      <c r="H7036" s="19" t="s">
        <v>63</v>
      </c>
      <c r="I7036" s="19" t="s">
        <v>114</v>
      </c>
      <c r="J7036" s="20">
        <v>48</v>
      </c>
      <c r="K7036" s="34">
        <v>0</v>
      </c>
      <c r="L7036" s="34">
        <v>4</v>
      </c>
      <c r="M7036" s="19">
        <f>IF(OR(ISBLANK(C7036),C7036=""),"",ROUND((C7036-B7036)*24,2))</f>
        <v>83.48</v>
      </c>
      <c r="N7036" s="39" t="str">
        <f>IF(OR(ISBLANK(C7036),C7036="",M7036=""),"In Progress",IF(M7036&lt;=J7036,"Met","Breached"))</f>
        <v>Breached</v>
      </c>
    </row>
    <row r="7037" ht="19" customHeight="1" spans="1:14" x14ac:dyDescent="0.25">
      <c r="A7037" s="22" t="s">
        <v>7151</v>
      </c>
      <c r="B7037" s="36">
        <v>45849.36041666666</v>
      </c>
      <c r="C7037" s="36">
        <v>45852.57430555555</v>
      </c>
      <c r="D7037" s="22" t="s">
        <v>36</v>
      </c>
      <c r="E7037" s="22" t="s">
        <v>65</v>
      </c>
      <c r="F7037" s="22" t="s">
        <v>43</v>
      </c>
      <c r="G7037" s="22" t="s">
        <v>113</v>
      </c>
      <c r="H7037" s="22" t="s">
        <v>63</v>
      </c>
      <c r="I7037" s="22" t="s">
        <v>108</v>
      </c>
      <c r="J7037" s="23">
        <v>48</v>
      </c>
      <c r="K7037" s="37">
        <v>0</v>
      </c>
      <c r="L7037" s="37">
        <v>3</v>
      </c>
      <c r="M7037" s="22">
        <f>IF(OR(ISBLANK(C7037),C7037=""),"",ROUND((C7037-B7037)*24,2))</f>
        <v>77.13</v>
      </c>
      <c r="N7037" s="38" t="str">
        <f>IF(OR(ISBLANK(C7037),C7037="",M7037=""),"In Progress",IF(M7037&lt;=J7037,"Met","Breached"))</f>
        <v>Breached</v>
      </c>
    </row>
    <row r="7038" ht="19" customHeight="1" spans="1:14" x14ac:dyDescent="0.25">
      <c r="A7038" s="19" t="s">
        <v>7152</v>
      </c>
      <c r="B7038" s="33">
        <v>46221.32152777778</v>
      </c>
      <c r="C7038" s="33">
        <v>46222.20486111111</v>
      </c>
      <c r="D7038" s="19" t="s">
        <v>33</v>
      </c>
      <c r="E7038" s="19" t="s">
        <v>61</v>
      </c>
      <c r="F7038" s="19" t="s">
        <v>40</v>
      </c>
      <c r="G7038" s="19" t="s">
        <v>116</v>
      </c>
      <c r="H7038" s="19" t="s">
        <v>67</v>
      </c>
      <c r="I7038" s="19" t="s">
        <v>147</v>
      </c>
      <c r="J7038" s="20">
        <v>12</v>
      </c>
      <c r="K7038" s="34">
        <v>0</v>
      </c>
      <c r="L7038" s="34">
        <v>3</v>
      </c>
      <c r="M7038" s="19">
        <f>IF(OR(ISBLANK(C7038),C7038=""),"",ROUND((C7038-B7038)*24,2))</f>
        <v>21.2</v>
      </c>
      <c r="N7038" s="39" t="str">
        <f>IF(OR(ISBLANK(C7038),C7038="",M7038=""),"In Progress",IF(M7038&lt;=J7038,"Met","Breached"))</f>
        <v>Breached</v>
      </c>
    </row>
    <row r="7039" ht="19" customHeight="1" spans="1:14" x14ac:dyDescent="0.25">
      <c r="A7039" s="22" t="s">
        <v>7153</v>
      </c>
      <c r="B7039" s="36">
        <v>45744.025</v>
      </c>
      <c r="C7039" s="36">
        <v>45745.42708333333</v>
      </c>
      <c r="D7039" s="22" t="s">
        <v>36</v>
      </c>
      <c r="E7039" s="22" t="s">
        <v>65</v>
      </c>
      <c r="F7039" s="22" t="s">
        <v>37</v>
      </c>
      <c r="G7039" s="22" t="s">
        <v>63</v>
      </c>
      <c r="H7039" s="22" t="s">
        <v>67</v>
      </c>
      <c r="I7039" s="22" t="s">
        <v>147</v>
      </c>
      <c r="J7039" s="23">
        <v>48</v>
      </c>
      <c r="K7039" s="37">
        <v>0</v>
      </c>
      <c r="M7039" s="22">
        <f>IF(OR(ISBLANK(C7039),C7039=""),"",ROUND((C7039-B7039)*24,2))</f>
        <v>33.65</v>
      </c>
      <c r="N7039" s="40" t="str">
        <f>IF(OR(ISBLANK(C7039),C7039="",M7039=""),"In Progress",IF(M7039&lt;=J7039,"Met","Breached"))</f>
        <v>Met</v>
      </c>
    </row>
    <row r="7040" ht="19" customHeight="1" spans="1:14" x14ac:dyDescent="0.25">
      <c r="A7040" s="19" t="s">
        <v>7154</v>
      </c>
      <c r="B7040" s="33">
        <v>45812.17013888889</v>
      </c>
      <c r="C7040" s="33">
        <v>45812.76041666667</v>
      </c>
      <c r="D7040" s="19" t="s">
        <v>33</v>
      </c>
      <c r="E7040" s="19" t="s">
        <v>61</v>
      </c>
      <c r="F7040" s="19" t="s">
        <v>45</v>
      </c>
      <c r="G7040" s="19" t="s">
        <v>110</v>
      </c>
      <c r="H7040" s="19" t="s">
        <v>67</v>
      </c>
      <c r="I7040" s="19" t="s">
        <v>108</v>
      </c>
      <c r="J7040" s="20">
        <v>12</v>
      </c>
      <c r="K7040" s="34">
        <v>0</v>
      </c>
      <c r="L7040" s="34">
        <v>1</v>
      </c>
      <c r="M7040" s="19">
        <f>IF(OR(ISBLANK(C7040),C7040=""),"",ROUND((C7040-B7040)*24,2))</f>
        <v>14.17</v>
      </c>
      <c r="N7040" s="39" t="str">
        <f>IF(OR(ISBLANK(C7040),C7040="",M7040=""),"In Progress",IF(M7040&lt;=J7040,"Met","Breached"))</f>
        <v>Breached</v>
      </c>
    </row>
    <row r="7041" ht="19" customHeight="1" spans="1:14" x14ac:dyDescent="0.25">
      <c r="A7041" s="22" t="s">
        <v>7155</v>
      </c>
      <c r="B7041" s="36">
        <v>45934.205555555556</v>
      </c>
      <c r="D7041" s="22" t="s">
        <v>42</v>
      </c>
      <c r="E7041" s="22" t="s">
        <v>65</v>
      </c>
      <c r="F7041" s="22" t="s">
        <v>34</v>
      </c>
      <c r="G7041" s="22" t="s">
        <v>110</v>
      </c>
      <c r="H7041" s="22" t="s">
        <v>59</v>
      </c>
      <c r="I7041" s="22" t="s">
        <v>117</v>
      </c>
      <c r="J7041" s="23">
        <v>48</v>
      </c>
      <c r="K7041" s="37">
        <v>0</v>
      </c>
      <c r="M7041" s="22" t="str">
        <f>IF(OR(ISBLANK(C7041),C7041=""),"",ROUND((C7041-B7041)*24,2))</f>
        <v/>
      </c>
      <c r="N7041" s="22" t="str">
        <f>IF(OR(ISBLANK(C7041),C7041="",M7041=""),"In Progress",IF(M7041&lt;=J7041,"Met","Breached"))</f>
        <v>In Progress</v>
      </c>
    </row>
    <row r="7042" ht="19" customHeight="1" spans="1:14" x14ac:dyDescent="0.25">
      <c r="A7042" s="19" t="s">
        <v>7156</v>
      </c>
      <c r="B7042" s="33">
        <v>45862.64444444445</v>
      </c>
      <c r="C7042" s="33">
        <v>45862.850694444445</v>
      </c>
      <c r="D7042" s="19" t="s">
        <v>33</v>
      </c>
      <c r="E7042" s="19" t="s">
        <v>57</v>
      </c>
      <c r="F7042" s="19" t="s">
        <v>45</v>
      </c>
      <c r="G7042" s="19" t="s">
        <v>113</v>
      </c>
      <c r="H7042" s="19" t="s">
        <v>63</v>
      </c>
      <c r="I7042" s="19" t="s">
        <v>117</v>
      </c>
      <c r="J7042" s="20">
        <v>4</v>
      </c>
      <c r="K7042" s="34">
        <v>1</v>
      </c>
      <c r="L7042" s="34">
        <v>5</v>
      </c>
      <c r="M7042" s="19">
        <f>IF(OR(ISBLANK(C7042),C7042=""),"",ROUND((C7042-B7042)*24,2))</f>
        <v>4.95</v>
      </c>
      <c r="N7042" s="39" t="str">
        <f>IF(OR(ISBLANK(C7042),C7042="",M7042=""),"In Progress",IF(M7042&lt;=J7042,"Met","Breached"))</f>
        <v>Breached</v>
      </c>
    </row>
    <row r="7043" ht="19" customHeight="1" spans="1:14" x14ac:dyDescent="0.25">
      <c r="A7043" s="22" t="s">
        <v>7157</v>
      </c>
      <c r="B7043" s="36">
        <v>46276.88333333333</v>
      </c>
      <c r="C7043" s="36">
        <v>46277.5</v>
      </c>
      <c r="D7043" s="22" t="s">
        <v>33</v>
      </c>
      <c r="E7043" s="22" t="s">
        <v>65</v>
      </c>
      <c r="F7043" s="22" t="s">
        <v>37</v>
      </c>
      <c r="G7043" s="22" t="s">
        <v>121</v>
      </c>
      <c r="H7043" s="22" t="s">
        <v>59</v>
      </c>
      <c r="I7043" s="22" t="s">
        <v>114</v>
      </c>
      <c r="J7043" s="23">
        <v>48</v>
      </c>
      <c r="K7043" s="37">
        <v>0</v>
      </c>
      <c r="L7043" s="37">
        <v>3</v>
      </c>
      <c r="M7043" s="22">
        <f>IF(OR(ISBLANK(C7043),C7043=""),"",ROUND((C7043-B7043)*24,2))</f>
        <v>14.8</v>
      </c>
      <c r="N7043" s="40" t="str">
        <f>IF(OR(ISBLANK(C7043),C7043="",M7043=""),"In Progress",IF(M7043&lt;=J7043,"Met","Breached"))</f>
        <v>Met</v>
      </c>
    </row>
    <row r="7044" ht="19" customHeight="1" spans="1:14" x14ac:dyDescent="0.25">
      <c r="A7044" s="19" t="s">
        <v>7158</v>
      </c>
      <c r="B7044" s="33">
        <v>45963.58888888889</v>
      </c>
      <c r="D7044" s="19" t="s">
        <v>42</v>
      </c>
      <c r="E7044" s="19" t="s">
        <v>69</v>
      </c>
      <c r="F7044" s="19" t="s">
        <v>34</v>
      </c>
      <c r="G7044" s="19" t="s">
        <v>116</v>
      </c>
      <c r="H7044" s="19" t="s">
        <v>59</v>
      </c>
      <c r="I7044" s="19" t="s">
        <v>111</v>
      </c>
      <c r="J7044" s="20">
        <v>120</v>
      </c>
      <c r="K7044" s="34">
        <v>0</v>
      </c>
      <c r="M7044" s="19" t="str">
        <f>IF(OR(ISBLANK(C7044),C7044=""),"",ROUND((C7044-B7044)*24,2))</f>
        <v/>
      </c>
      <c r="N7044" s="19" t="str">
        <f>IF(OR(ISBLANK(C7044),C7044="",M7044=""),"In Progress",IF(M7044&lt;=J7044,"Met","Breached"))</f>
        <v>In Progress</v>
      </c>
    </row>
    <row r="7045" ht="19" customHeight="1" spans="1:14" x14ac:dyDescent="0.25">
      <c r="A7045" s="22" t="s">
        <v>7159</v>
      </c>
      <c r="B7045" s="36">
        <v>46107.68611111111</v>
      </c>
      <c r="D7045" s="22" t="s">
        <v>39</v>
      </c>
      <c r="E7045" s="22" t="s">
        <v>65</v>
      </c>
      <c r="F7045" s="22" t="s">
        <v>37</v>
      </c>
      <c r="G7045" s="22" t="s">
        <v>126</v>
      </c>
      <c r="H7045" s="22" t="s">
        <v>59</v>
      </c>
      <c r="I7045" s="22" t="s">
        <v>117</v>
      </c>
      <c r="J7045" s="23">
        <v>48</v>
      </c>
      <c r="K7045" s="37">
        <v>0</v>
      </c>
      <c r="M7045" s="22" t="str">
        <f>IF(OR(ISBLANK(C7045),C7045=""),"",ROUND((C7045-B7045)*24,2))</f>
        <v/>
      </c>
      <c r="N7045" s="22" t="str">
        <f>IF(OR(ISBLANK(C7045),C7045="",M7045=""),"In Progress",IF(M7045&lt;=J7045,"Met","Breached"))</f>
        <v>In Progress</v>
      </c>
    </row>
    <row r="7046" ht="19" customHeight="1" spans="1:14" x14ac:dyDescent="0.25">
      <c r="A7046" s="19" t="s">
        <v>7160</v>
      </c>
      <c r="B7046" s="33">
        <v>45732.058333333334</v>
      </c>
      <c r="C7046" s="33">
        <v>45732.49930555555</v>
      </c>
      <c r="D7046" s="19" t="s">
        <v>33</v>
      </c>
      <c r="E7046" s="19" t="s">
        <v>61</v>
      </c>
      <c r="F7046" s="19" t="s">
        <v>34</v>
      </c>
      <c r="G7046" s="19" t="s">
        <v>121</v>
      </c>
      <c r="H7046" s="19" t="s">
        <v>59</v>
      </c>
      <c r="I7046" s="19" t="s">
        <v>111</v>
      </c>
      <c r="J7046" s="20">
        <v>12</v>
      </c>
      <c r="K7046" s="34">
        <v>0</v>
      </c>
      <c r="L7046" s="34">
        <v>3</v>
      </c>
      <c r="M7046" s="19">
        <f>IF(OR(ISBLANK(C7046),C7046=""),"",ROUND((C7046-B7046)*24,2))</f>
        <v>10.58</v>
      </c>
      <c r="N7046" s="35" t="str">
        <f>IF(OR(ISBLANK(C7046),C7046="",M7046=""),"In Progress",IF(M7046&lt;=J7046,"Met","Breached"))</f>
        <v>Met</v>
      </c>
    </row>
    <row r="7047" ht="19" customHeight="1" spans="1:14" x14ac:dyDescent="0.25">
      <c r="A7047" s="22" t="s">
        <v>7161</v>
      </c>
      <c r="B7047" s="36">
        <v>46119.17847222222</v>
      </c>
      <c r="D7047" s="22" t="s">
        <v>39</v>
      </c>
      <c r="E7047" s="22" t="s">
        <v>57</v>
      </c>
      <c r="F7047" s="22" t="s">
        <v>45</v>
      </c>
      <c r="G7047" s="22" t="s">
        <v>113</v>
      </c>
      <c r="H7047" s="22" t="s">
        <v>67</v>
      </c>
      <c r="I7047" s="22" t="s">
        <v>147</v>
      </c>
      <c r="J7047" s="23">
        <v>4</v>
      </c>
      <c r="K7047" s="37">
        <v>0</v>
      </c>
      <c r="M7047" s="22" t="str">
        <f>IF(OR(ISBLANK(C7047),C7047=""),"",ROUND((C7047-B7047)*24,2))</f>
        <v/>
      </c>
      <c r="N7047" s="22" t="str">
        <f>IF(OR(ISBLANK(C7047),C7047="",M7047=""),"In Progress",IF(M7047&lt;=J7047,"Met","Breached"))</f>
        <v>In Progress</v>
      </c>
    </row>
    <row r="7048" ht="19" customHeight="1" spans="1:14" x14ac:dyDescent="0.25">
      <c r="A7048" s="19" t="s">
        <v>7162</v>
      </c>
      <c r="B7048" s="33">
        <v>45774.88611111111</v>
      </c>
      <c r="C7048" s="33">
        <v>45774.95763888889</v>
      </c>
      <c r="D7048" s="19" t="s">
        <v>36</v>
      </c>
      <c r="E7048" s="19" t="s">
        <v>57</v>
      </c>
      <c r="F7048" s="19" t="s">
        <v>40</v>
      </c>
      <c r="G7048" s="19" t="s">
        <v>121</v>
      </c>
      <c r="H7048" s="19" t="s">
        <v>71</v>
      </c>
      <c r="I7048" s="19" t="s">
        <v>114</v>
      </c>
      <c r="J7048" s="20">
        <v>4</v>
      </c>
      <c r="K7048" s="34">
        <v>0</v>
      </c>
      <c r="L7048" s="34">
        <v>4</v>
      </c>
      <c r="M7048" s="19">
        <f>IF(OR(ISBLANK(C7048),C7048=""),"",ROUND((C7048-B7048)*24,2))</f>
        <v>1.72</v>
      </c>
      <c r="N7048" s="35" t="str">
        <f>IF(OR(ISBLANK(C7048),C7048="",M7048=""),"In Progress",IF(M7048&lt;=J7048,"Met","Breached"))</f>
        <v>Met</v>
      </c>
    </row>
    <row r="7049" ht="19" customHeight="1" spans="1:14" x14ac:dyDescent="0.25">
      <c r="A7049" s="22" t="s">
        <v>7163</v>
      </c>
      <c r="B7049" s="36">
        <v>45776.15763888889</v>
      </c>
      <c r="C7049" s="36">
        <v>45785.09097222222</v>
      </c>
      <c r="D7049" s="22" t="s">
        <v>36</v>
      </c>
      <c r="E7049" s="22" t="s">
        <v>69</v>
      </c>
      <c r="F7049" s="22" t="s">
        <v>34</v>
      </c>
      <c r="G7049" s="22" t="s">
        <v>121</v>
      </c>
      <c r="H7049" s="22" t="s">
        <v>59</v>
      </c>
      <c r="I7049" s="22" t="s">
        <v>123</v>
      </c>
      <c r="J7049" s="23">
        <v>120</v>
      </c>
      <c r="K7049" s="37">
        <v>0</v>
      </c>
      <c r="L7049" s="37">
        <v>4</v>
      </c>
      <c r="M7049" s="22">
        <f>IF(OR(ISBLANK(C7049),C7049=""),"",ROUND((C7049-B7049)*24,2))</f>
        <v>214.4</v>
      </c>
      <c r="N7049" s="38" t="str">
        <f>IF(OR(ISBLANK(C7049),C7049="",M7049=""),"In Progress",IF(M7049&lt;=J7049,"Met","Breached"))</f>
        <v>Breached</v>
      </c>
    </row>
    <row r="7050" ht="19" customHeight="1" spans="1:14" x14ac:dyDescent="0.25">
      <c r="A7050" s="19" t="s">
        <v>7164</v>
      </c>
      <c r="B7050" s="33">
        <v>45760.23055555555</v>
      </c>
      <c r="D7050" s="19" t="s">
        <v>39</v>
      </c>
      <c r="E7050" s="19" t="s">
        <v>65</v>
      </c>
      <c r="F7050" s="19" t="s">
        <v>43</v>
      </c>
      <c r="G7050" s="19" t="s">
        <v>113</v>
      </c>
      <c r="H7050" s="19" t="s">
        <v>63</v>
      </c>
      <c r="I7050" s="19" t="s">
        <v>114</v>
      </c>
      <c r="J7050" s="20">
        <v>48</v>
      </c>
      <c r="K7050" s="34">
        <v>0</v>
      </c>
      <c r="M7050" s="19" t="str">
        <f>IF(OR(ISBLANK(C7050),C7050=""),"",ROUND((C7050-B7050)*24,2))</f>
        <v/>
      </c>
      <c r="N7050" s="19" t="str">
        <f>IF(OR(ISBLANK(C7050),C7050="",M7050=""),"In Progress",IF(M7050&lt;=J7050,"Met","Breached"))</f>
        <v>In Progress</v>
      </c>
    </row>
    <row r="7051" ht="19" customHeight="1" spans="1:14" x14ac:dyDescent="0.25">
      <c r="A7051" s="22" t="s">
        <v>7165</v>
      </c>
      <c r="B7051" s="36">
        <v>46028.42638888889</v>
      </c>
      <c r="C7051" s="36">
        <v>46028.51041666667</v>
      </c>
      <c r="D7051" s="22" t="s">
        <v>33</v>
      </c>
      <c r="E7051" s="22" t="s">
        <v>57</v>
      </c>
      <c r="F7051" s="22" t="s">
        <v>45</v>
      </c>
      <c r="G7051" s="22" t="s">
        <v>126</v>
      </c>
      <c r="H7051" s="22" t="s">
        <v>71</v>
      </c>
      <c r="I7051" s="22" t="s">
        <v>123</v>
      </c>
      <c r="J7051" s="23">
        <v>4</v>
      </c>
      <c r="K7051" s="37">
        <v>0</v>
      </c>
      <c r="M7051" s="22">
        <f>IF(OR(ISBLANK(C7051),C7051=""),"",ROUND((C7051-B7051)*24,2))</f>
        <v>2.02</v>
      </c>
      <c r="N7051" s="40" t="str">
        <f>IF(OR(ISBLANK(C7051),C7051="",M7051=""),"In Progress",IF(M7051&lt;=J7051,"Met","Breached"))</f>
        <v>Met</v>
      </c>
    </row>
    <row r="7052" ht="19" customHeight="1" spans="1:14" x14ac:dyDescent="0.25">
      <c r="A7052" s="19" t="s">
        <v>7166</v>
      </c>
      <c r="B7052" s="33">
        <v>46156.21527777778</v>
      </c>
      <c r="C7052" s="33">
        <v>46156.43680555555</v>
      </c>
      <c r="D7052" s="19" t="s">
        <v>33</v>
      </c>
      <c r="E7052" s="19" t="s">
        <v>57</v>
      </c>
      <c r="F7052" s="19" t="s">
        <v>34</v>
      </c>
      <c r="G7052" s="19" t="s">
        <v>110</v>
      </c>
      <c r="H7052" s="19" t="s">
        <v>59</v>
      </c>
      <c r="I7052" s="19" t="s">
        <v>114</v>
      </c>
      <c r="J7052" s="20">
        <v>4</v>
      </c>
      <c r="K7052" s="34">
        <v>0</v>
      </c>
      <c r="L7052" s="34">
        <v>3</v>
      </c>
      <c r="M7052" s="19">
        <f>IF(OR(ISBLANK(C7052),C7052=""),"",ROUND((C7052-B7052)*24,2))</f>
        <v>5.32</v>
      </c>
      <c r="N7052" s="39" t="str">
        <f>IF(OR(ISBLANK(C7052),C7052="",M7052=""),"In Progress",IF(M7052&lt;=J7052,"Met","Breached"))</f>
        <v>Breached</v>
      </c>
    </row>
    <row r="7053" ht="19" customHeight="1" spans="1:14" x14ac:dyDescent="0.25">
      <c r="A7053" s="22" t="s">
        <v>7167</v>
      </c>
      <c r="B7053" s="36">
        <v>45860.95694444445</v>
      </c>
      <c r="C7053" s="36">
        <v>45861.347916666666</v>
      </c>
      <c r="D7053" s="22" t="s">
        <v>36</v>
      </c>
      <c r="E7053" s="22" t="s">
        <v>61</v>
      </c>
      <c r="F7053" s="22" t="s">
        <v>43</v>
      </c>
      <c r="G7053" s="22" t="s">
        <v>63</v>
      </c>
      <c r="H7053" s="22" t="s">
        <v>59</v>
      </c>
      <c r="I7053" s="22" t="s">
        <v>123</v>
      </c>
      <c r="J7053" s="23">
        <v>12</v>
      </c>
      <c r="K7053" s="37">
        <v>0</v>
      </c>
      <c r="L7053" s="37">
        <v>2</v>
      </c>
      <c r="M7053" s="22">
        <f>IF(OR(ISBLANK(C7053),C7053=""),"",ROUND((C7053-B7053)*24,2))</f>
        <v>9.38</v>
      </c>
      <c r="N7053" s="40" t="str">
        <f>IF(OR(ISBLANK(C7053),C7053="",M7053=""),"In Progress",IF(M7053&lt;=J7053,"Met","Breached"))</f>
        <v>Met</v>
      </c>
    </row>
    <row r="7054" ht="19" customHeight="1" spans="1:14" x14ac:dyDescent="0.25">
      <c r="A7054" s="19" t="s">
        <v>7168</v>
      </c>
      <c r="B7054" s="33">
        <v>45965.115277777775</v>
      </c>
      <c r="C7054" s="33">
        <v>45965.85486111111</v>
      </c>
      <c r="D7054" s="19" t="s">
        <v>33</v>
      </c>
      <c r="E7054" s="19" t="s">
        <v>61</v>
      </c>
      <c r="F7054" s="19" t="s">
        <v>40</v>
      </c>
      <c r="G7054" s="19" t="s">
        <v>116</v>
      </c>
      <c r="H7054" s="19" t="s">
        <v>63</v>
      </c>
      <c r="I7054" s="19" t="s">
        <v>114</v>
      </c>
      <c r="J7054" s="20">
        <v>12</v>
      </c>
      <c r="K7054" s="34">
        <v>0</v>
      </c>
      <c r="M7054" s="19">
        <f>IF(OR(ISBLANK(C7054),C7054=""),"",ROUND((C7054-B7054)*24,2))</f>
        <v>17.75</v>
      </c>
      <c r="N7054" s="39" t="str">
        <f>IF(OR(ISBLANK(C7054),C7054="",M7054=""),"In Progress",IF(M7054&lt;=J7054,"Met","Breached"))</f>
        <v>Breached</v>
      </c>
    </row>
    <row r="7055" ht="19" customHeight="1" spans="1:14" x14ac:dyDescent="0.25">
      <c r="A7055" s="22" t="s">
        <v>7169</v>
      </c>
      <c r="B7055" s="36">
        <v>45738.42569444445</v>
      </c>
      <c r="D7055" s="22" t="s">
        <v>39</v>
      </c>
      <c r="E7055" s="22" t="s">
        <v>65</v>
      </c>
      <c r="F7055" s="22" t="s">
        <v>43</v>
      </c>
      <c r="G7055" s="22" t="s">
        <v>116</v>
      </c>
      <c r="H7055" s="22" t="s">
        <v>59</v>
      </c>
      <c r="I7055" s="22" t="s">
        <v>108</v>
      </c>
      <c r="J7055" s="23">
        <v>48</v>
      </c>
      <c r="K7055" s="37">
        <v>0</v>
      </c>
      <c r="M7055" s="22" t="str">
        <f>IF(OR(ISBLANK(C7055),C7055=""),"",ROUND((C7055-B7055)*24,2))</f>
        <v/>
      </c>
      <c r="N7055" s="22" t="str">
        <f>IF(OR(ISBLANK(C7055),C7055="",M7055=""),"In Progress",IF(M7055&lt;=J7055,"Met","Breached"))</f>
        <v>In Progress</v>
      </c>
    </row>
    <row r="7056" ht="19" customHeight="1" spans="1:14" x14ac:dyDescent="0.25">
      <c r="A7056" s="19" t="s">
        <v>7170</v>
      </c>
      <c r="B7056" s="33">
        <v>45814.51041666667</v>
      </c>
      <c r="C7056" s="33">
        <v>45820.674305555556</v>
      </c>
      <c r="D7056" s="19" t="s">
        <v>33</v>
      </c>
      <c r="E7056" s="19" t="s">
        <v>69</v>
      </c>
      <c r="F7056" s="19" t="s">
        <v>37</v>
      </c>
      <c r="G7056" s="19" t="s">
        <v>116</v>
      </c>
      <c r="H7056" s="19" t="s">
        <v>59</v>
      </c>
      <c r="I7056" s="19" t="s">
        <v>111</v>
      </c>
      <c r="J7056" s="20">
        <v>120</v>
      </c>
      <c r="K7056" s="34">
        <v>0</v>
      </c>
      <c r="L7056" s="34">
        <v>2</v>
      </c>
      <c r="M7056" s="19">
        <f>IF(OR(ISBLANK(C7056),C7056=""),"",ROUND((C7056-B7056)*24,2))</f>
        <v>147.93</v>
      </c>
      <c r="N7056" s="39" t="str">
        <f>IF(OR(ISBLANK(C7056),C7056="",M7056=""),"In Progress",IF(M7056&lt;=J7056,"Met","Breached"))</f>
        <v>Breached</v>
      </c>
    </row>
    <row r="7057" ht="19" customHeight="1" spans="1:14" x14ac:dyDescent="0.25">
      <c r="A7057" s="22" t="s">
        <v>7171</v>
      </c>
      <c r="B7057" s="36">
        <v>45716.447222222225</v>
      </c>
      <c r="C7057" s="36">
        <v>45718.0625</v>
      </c>
      <c r="D7057" s="22" t="s">
        <v>36</v>
      </c>
      <c r="E7057" s="22" t="s">
        <v>69</v>
      </c>
      <c r="F7057" s="22" t="s">
        <v>37</v>
      </c>
      <c r="G7057" s="22" t="s">
        <v>113</v>
      </c>
      <c r="H7057" s="22" t="s">
        <v>59</v>
      </c>
      <c r="I7057" s="22" t="s">
        <v>114</v>
      </c>
      <c r="J7057" s="23">
        <v>120</v>
      </c>
      <c r="K7057" s="37">
        <v>0</v>
      </c>
      <c r="L7057" s="37">
        <v>5</v>
      </c>
      <c r="M7057" s="22">
        <f>IF(OR(ISBLANK(C7057),C7057=""),"",ROUND((C7057-B7057)*24,2))</f>
        <v>38.77</v>
      </c>
      <c r="N7057" s="40" t="str">
        <f>IF(OR(ISBLANK(C7057),C7057="",M7057=""),"In Progress",IF(M7057&lt;=J7057,"Met","Breached"))</f>
        <v>Met</v>
      </c>
    </row>
    <row r="7058" ht="19" customHeight="1" spans="1:14" x14ac:dyDescent="0.25">
      <c r="A7058" s="19" t="s">
        <v>7172</v>
      </c>
      <c r="B7058" s="33">
        <v>45943.96875</v>
      </c>
      <c r="C7058" s="33">
        <v>45945.544444444444</v>
      </c>
      <c r="D7058" s="19" t="s">
        <v>33</v>
      </c>
      <c r="E7058" s="19" t="s">
        <v>65</v>
      </c>
      <c r="F7058" s="19" t="s">
        <v>45</v>
      </c>
      <c r="G7058" s="19" t="s">
        <v>113</v>
      </c>
      <c r="H7058" s="19" t="s">
        <v>63</v>
      </c>
      <c r="I7058" s="19" t="s">
        <v>114</v>
      </c>
      <c r="J7058" s="20">
        <v>48</v>
      </c>
      <c r="K7058" s="34">
        <v>0</v>
      </c>
      <c r="M7058" s="19">
        <f>IF(OR(ISBLANK(C7058),C7058=""),"",ROUND((C7058-B7058)*24,2))</f>
        <v>37.82</v>
      </c>
      <c r="N7058" s="35" t="str">
        <f>IF(OR(ISBLANK(C7058),C7058="",M7058=""),"In Progress",IF(M7058&lt;=J7058,"Met","Breached"))</f>
        <v>Met</v>
      </c>
    </row>
    <row r="7059" ht="19" customHeight="1" spans="1:14" x14ac:dyDescent="0.25">
      <c r="A7059" s="22" t="s">
        <v>7173</v>
      </c>
      <c r="B7059" s="36">
        <v>45663.85972222222</v>
      </c>
      <c r="D7059" s="22" t="s">
        <v>39</v>
      </c>
      <c r="E7059" s="22" t="s">
        <v>69</v>
      </c>
      <c r="F7059" s="22" t="s">
        <v>40</v>
      </c>
      <c r="G7059" s="22" t="s">
        <v>126</v>
      </c>
      <c r="H7059" s="22" t="s">
        <v>63</v>
      </c>
      <c r="I7059" s="22" t="s">
        <v>114</v>
      </c>
      <c r="J7059" s="23">
        <v>120</v>
      </c>
      <c r="K7059" s="37">
        <v>0</v>
      </c>
      <c r="M7059" s="22" t="str">
        <f>IF(OR(ISBLANK(C7059),C7059=""),"",ROUND((C7059-B7059)*24,2))</f>
        <v/>
      </c>
      <c r="N7059" s="22" t="str">
        <f>IF(OR(ISBLANK(C7059),C7059="",M7059=""),"In Progress",IF(M7059&lt;=J7059,"Met","Breached"))</f>
        <v>In Progress</v>
      </c>
    </row>
    <row r="7060" ht="19" customHeight="1" spans="1:14" x14ac:dyDescent="0.25">
      <c r="A7060" s="19" t="s">
        <v>7174</v>
      </c>
      <c r="B7060" s="33">
        <v>45764.18263888889</v>
      </c>
      <c r="C7060" s="33">
        <v>45767.17638888889</v>
      </c>
      <c r="D7060" s="19" t="s">
        <v>33</v>
      </c>
      <c r="E7060" s="19" t="s">
        <v>65</v>
      </c>
      <c r="F7060" s="19" t="s">
        <v>37</v>
      </c>
      <c r="G7060" s="19" t="s">
        <v>113</v>
      </c>
      <c r="H7060" s="19" t="s">
        <v>63</v>
      </c>
      <c r="I7060" s="19" t="s">
        <v>114</v>
      </c>
      <c r="J7060" s="20">
        <v>48</v>
      </c>
      <c r="K7060" s="34">
        <v>0</v>
      </c>
      <c r="L7060" s="34">
        <v>5</v>
      </c>
      <c r="M7060" s="19">
        <f>IF(OR(ISBLANK(C7060),C7060=""),"",ROUND((C7060-B7060)*24,2))</f>
        <v>71.85</v>
      </c>
      <c r="N7060" s="39" t="str">
        <f>IF(OR(ISBLANK(C7060),C7060="",M7060=""),"In Progress",IF(M7060&lt;=J7060,"Met","Breached"))</f>
        <v>Breached</v>
      </c>
    </row>
    <row r="7061" ht="19" customHeight="1" spans="1:14" x14ac:dyDescent="0.25">
      <c r="A7061" s="22" t="s">
        <v>7175</v>
      </c>
      <c r="B7061" s="36">
        <v>46274.74722222222</v>
      </c>
      <c r="C7061" s="36">
        <v>46277.94027777778</v>
      </c>
      <c r="D7061" s="22" t="s">
        <v>33</v>
      </c>
      <c r="E7061" s="22" t="s">
        <v>65</v>
      </c>
      <c r="F7061" s="22" t="s">
        <v>43</v>
      </c>
      <c r="G7061" s="22" t="s">
        <v>116</v>
      </c>
      <c r="H7061" s="22" t="s">
        <v>59</v>
      </c>
      <c r="I7061" s="22" t="s">
        <v>117</v>
      </c>
      <c r="J7061" s="23">
        <v>48</v>
      </c>
      <c r="K7061" s="37">
        <v>0</v>
      </c>
      <c r="M7061" s="22">
        <f>IF(OR(ISBLANK(C7061),C7061=""),"",ROUND((C7061-B7061)*24,2))</f>
        <v>76.63</v>
      </c>
      <c r="N7061" s="38" t="str">
        <f>IF(OR(ISBLANK(C7061),C7061="",M7061=""),"In Progress",IF(M7061&lt;=J7061,"Met","Breached"))</f>
        <v>Breached</v>
      </c>
    </row>
    <row r="7062" ht="19" customHeight="1" spans="1:14" x14ac:dyDescent="0.25">
      <c r="A7062" s="19" t="s">
        <v>7176</v>
      </c>
      <c r="B7062" s="33">
        <v>46177.84305555555</v>
      </c>
      <c r="C7062" s="33">
        <v>46178.43541666667</v>
      </c>
      <c r="D7062" s="19" t="s">
        <v>33</v>
      </c>
      <c r="E7062" s="19" t="s">
        <v>61</v>
      </c>
      <c r="F7062" s="19" t="s">
        <v>43</v>
      </c>
      <c r="G7062" s="19" t="s">
        <v>126</v>
      </c>
      <c r="H7062" s="19" t="s">
        <v>59</v>
      </c>
      <c r="I7062" s="19" t="s">
        <v>114</v>
      </c>
      <c r="J7062" s="20">
        <v>12</v>
      </c>
      <c r="K7062" s="34">
        <v>0</v>
      </c>
      <c r="L7062" s="34">
        <v>3</v>
      </c>
      <c r="M7062" s="19">
        <f>IF(OR(ISBLANK(C7062),C7062=""),"",ROUND((C7062-B7062)*24,2))</f>
        <v>14.22</v>
      </c>
      <c r="N7062" s="39" t="str">
        <f>IF(OR(ISBLANK(C7062),C7062="",M7062=""),"In Progress",IF(M7062&lt;=J7062,"Met","Breached"))</f>
        <v>Breached</v>
      </c>
    </row>
    <row r="7063" ht="19" customHeight="1" spans="1:14" x14ac:dyDescent="0.25">
      <c r="A7063" s="22" t="s">
        <v>7177</v>
      </c>
      <c r="B7063" s="36">
        <v>46090.12638888889</v>
      </c>
      <c r="C7063" s="36">
        <v>46090.33888888889</v>
      </c>
      <c r="D7063" s="22" t="s">
        <v>33</v>
      </c>
      <c r="E7063" s="22" t="s">
        <v>61</v>
      </c>
      <c r="F7063" s="22" t="s">
        <v>43</v>
      </c>
      <c r="G7063" s="22" t="s">
        <v>113</v>
      </c>
      <c r="H7063" s="22" t="s">
        <v>59</v>
      </c>
      <c r="I7063" s="22" t="s">
        <v>108</v>
      </c>
      <c r="J7063" s="23">
        <v>12</v>
      </c>
      <c r="K7063" s="37">
        <v>0</v>
      </c>
      <c r="L7063" s="37">
        <v>4</v>
      </c>
      <c r="M7063" s="22">
        <f>IF(OR(ISBLANK(C7063),C7063=""),"",ROUND((C7063-B7063)*24,2))</f>
        <v>5.1</v>
      </c>
      <c r="N7063" s="40" t="str">
        <f>IF(OR(ISBLANK(C7063),C7063="",M7063=""),"In Progress",IF(M7063&lt;=J7063,"Met","Breached"))</f>
        <v>Met</v>
      </c>
    </row>
    <row r="7064" ht="19" customHeight="1" spans="1:14" x14ac:dyDescent="0.25">
      <c r="A7064" s="19" t="s">
        <v>7178</v>
      </c>
      <c r="B7064" s="33">
        <v>46169.37013888889</v>
      </c>
      <c r="C7064" s="33">
        <v>46170.06458333333</v>
      </c>
      <c r="D7064" s="19" t="s">
        <v>33</v>
      </c>
      <c r="E7064" s="19" t="s">
        <v>65</v>
      </c>
      <c r="F7064" s="19" t="s">
        <v>40</v>
      </c>
      <c r="G7064" s="19" t="s">
        <v>116</v>
      </c>
      <c r="H7064" s="19" t="s">
        <v>63</v>
      </c>
      <c r="I7064" s="19" t="s">
        <v>117</v>
      </c>
      <c r="J7064" s="20">
        <v>48</v>
      </c>
      <c r="K7064" s="34">
        <v>0</v>
      </c>
      <c r="M7064" s="19">
        <f>IF(OR(ISBLANK(C7064),C7064=""),"",ROUND((C7064-B7064)*24,2))</f>
        <v>16.67</v>
      </c>
      <c r="N7064" s="35" t="str">
        <f>IF(OR(ISBLANK(C7064),C7064="",M7064=""),"In Progress",IF(M7064&lt;=J7064,"Met","Breached"))</f>
        <v>Met</v>
      </c>
    </row>
    <row r="7065" ht="19" customHeight="1" spans="1:14" x14ac:dyDescent="0.25">
      <c r="A7065" s="22" t="s">
        <v>7179</v>
      </c>
      <c r="B7065" s="36">
        <v>45866.552777777775</v>
      </c>
      <c r="C7065" s="36">
        <v>45869.97083333333</v>
      </c>
      <c r="D7065" s="22" t="s">
        <v>36</v>
      </c>
      <c r="E7065" s="22" t="s">
        <v>65</v>
      </c>
      <c r="F7065" s="22" t="s">
        <v>37</v>
      </c>
      <c r="G7065" s="22" t="s">
        <v>116</v>
      </c>
      <c r="H7065" s="22" t="s">
        <v>63</v>
      </c>
      <c r="I7065" s="22" t="s">
        <v>114</v>
      </c>
      <c r="J7065" s="23">
        <v>48</v>
      </c>
      <c r="K7065" s="37">
        <v>0</v>
      </c>
      <c r="M7065" s="22">
        <f>IF(OR(ISBLANK(C7065),C7065=""),"",ROUND((C7065-B7065)*24,2))</f>
        <v>82.03</v>
      </c>
      <c r="N7065" s="38" t="str">
        <f>IF(OR(ISBLANK(C7065),C7065="",M7065=""),"In Progress",IF(M7065&lt;=J7065,"Met","Breached"))</f>
        <v>Breached</v>
      </c>
    </row>
    <row r="7066" ht="19" customHeight="1" spans="1:14" x14ac:dyDescent="0.25">
      <c r="A7066" s="19" t="s">
        <v>7180</v>
      </c>
      <c r="B7066" s="33">
        <v>45893.509722222225</v>
      </c>
      <c r="C7066" s="33">
        <v>45896.83888888889</v>
      </c>
      <c r="D7066" s="19" t="s">
        <v>33</v>
      </c>
      <c r="E7066" s="19" t="s">
        <v>65</v>
      </c>
      <c r="F7066" s="19" t="s">
        <v>37</v>
      </c>
      <c r="G7066" s="19" t="s">
        <v>116</v>
      </c>
      <c r="H7066" s="19" t="s">
        <v>59</v>
      </c>
      <c r="I7066" s="19" t="s">
        <v>114</v>
      </c>
      <c r="J7066" s="20">
        <v>48</v>
      </c>
      <c r="K7066" s="34">
        <v>0</v>
      </c>
      <c r="L7066" s="34">
        <v>2</v>
      </c>
      <c r="M7066" s="19">
        <f>IF(OR(ISBLANK(C7066),C7066=""),"",ROUND((C7066-B7066)*24,2))</f>
        <v>79.9</v>
      </c>
      <c r="N7066" s="39" t="str">
        <f>IF(OR(ISBLANK(C7066),C7066="",M7066=""),"In Progress",IF(M7066&lt;=J7066,"Met","Breached"))</f>
        <v>Breached</v>
      </c>
    </row>
    <row r="7067" ht="19" customHeight="1" spans="1:14" x14ac:dyDescent="0.25">
      <c r="A7067" s="22" t="s">
        <v>7181</v>
      </c>
      <c r="B7067" s="36">
        <v>45700.788194444445</v>
      </c>
      <c r="C7067" s="36">
        <v>45701.83819444444</v>
      </c>
      <c r="D7067" s="22" t="s">
        <v>36</v>
      </c>
      <c r="E7067" s="22" t="s">
        <v>65</v>
      </c>
      <c r="F7067" s="22" t="s">
        <v>37</v>
      </c>
      <c r="G7067" s="22" t="s">
        <v>110</v>
      </c>
      <c r="H7067" s="22" t="s">
        <v>67</v>
      </c>
      <c r="I7067" s="22" t="s">
        <v>114</v>
      </c>
      <c r="J7067" s="23">
        <v>48</v>
      </c>
      <c r="K7067" s="37">
        <v>0</v>
      </c>
      <c r="L7067" s="37">
        <v>1</v>
      </c>
      <c r="M7067" s="22">
        <f>IF(OR(ISBLANK(C7067),C7067=""),"",ROUND((C7067-B7067)*24,2))</f>
        <v>25.2</v>
      </c>
      <c r="N7067" s="40" t="str">
        <f>IF(OR(ISBLANK(C7067),C7067="",M7067=""),"In Progress",IF(M7067&lt;=J7067,"Met","Breached"))</f>
        <v>Met</v>
      </c>
    </row>
    <row r="7068" ht="19" customHeight="1" spans="1:14" x14ac:dyDescent="0.25">
      <c r="A7068" s="19" t="s">
        <v>7182</v>
      </c>
      <c r="B7068" s="33">
        <v>45890.99444444444</v>
      </c>
      <c r="C7068" s="33">
        <v>45893.52083333333</v>
      </c>
      <c r="D7068" s="19" t="s">
        <v>36</v>
      </c>
      <c r="E7068" s="19" t="s">
        <v>65</v>
      </c>
      <c r="F7068" s="19" t="s">
        <v>45</v>
      </c>
      <c r="G7068" s="19" t="s">
        <v>126</v>
      </c>
      <c r="H7068" s="19" t="s">
        <v>67</v>
      </c>
      <c r="I7068" s="19" t="s">
        <v>108</v>
      </c>
      <c r="J7068" s="20">
        <v>48</v>
      </c>
      <c r="K7068" s="34">
        <v>0</v>
      </c>
      <c r="L7068" s="34">
        <v>1</v>
      </c>
      <c r="M7068" s="19">
        <f>IF(OR(ISBLANK(C7068),C7068=""),"",ROUND((C7068-B7068)*24,2))</f>
        <v>60.63</v>
      </c>
      <c r="N7068" s="39" t="str">
        <f>IF(OR(ISBLANK(C7068),C7068="",M7068=""),"In Progress",IF(M7068&lt;=J7068,"Met","Breached"))</f>
        <v>Breached</v>
      </c>
    </row>
    <row r="7069" ht="19" customHeight="1" spans="1:14" x14ac:dyDescent="0.25">
      <c r="A7069" s="22" t="s">
        <v>7183</v>
      </c>
      <c r="B7069" s="36">
        <v>46170.77916666667</v>
      </c>
      <c r="D7069" s="22" t="s">
        <v>39</v>
      </c>
      <c r="E7069" s="22" t="s">
        <v>69</v>
      </c>
      <c r="F7069" s="22" t="s">
        <v>43</v>
      </c>
      <c r="G7069" s="22" t="s">
        <v>126</v>
      </c>
      <c r="H7069" s="22" t="s">
        <v>63</v>
      </c>
      <c r="I7069" s="22" t="s">
        <v>117</v>
      </c>
      <c r="J7069" s="23">
        <v>120</v>
      </c>
      <c r="K7069" s="37">
        <v>0</v>
      </c>
      <c r="M7069" s="22" t="str">
        <f>IF(OR(ISBLANK(C7069),C7069=""),"",ROUND((C7069-B7069)*24,2))</f>
        <v/>
      </c>
      <c r="N7069" s="22" t="str">
        <f>IF(OR(ISBLANK(C7069),C7069="",M7069=""),"In Progress",IF(M7069&lt;=J7069,"Met","Breached"))</f>
        <v>In Progress</v>
      </c>
    </row>
    <row r="7070" ht="19" customHeight="1" spans="1:14" x14ac:dyDescent="0.25">
      <c r="A7070" s="19" t="s">
        <v>7184</v>
      </c>
      <c r="B7070" s="33">
        <v>45826.32291666667</v>
      </c>
      <c r="C7070" s="33">
        <v>45830.160416666666</v>
      </c>
      <c r="D7070" s="19" t="s">
        <v>36</v>
      </c>
      <c r="E7070" s="19" t="s">
        <v>69</v>
      </c>
      <c r="F7070" s="19" t="s">
        <v>40</v>
      </c>
      <c r="G7070" s="19" t="s">
        <v>113</v>
      </c>
      <c r="H7070" s="19" t="s">
        <v>63</v>
      </c>
      <c r="I7070" s="19" t="s">
        <v>147</v>
      </c>
      <c r="J7070" s="20">
        <v>120</v>
      </c>
      <c r="K7070" s="34">
        <v>0</v>
      </c>
      <c r="M7070" s="19">
        <f>IF(OR(ISBLANK(C7070),C7070=""),"",ROUND((C7070-B7070)*24,2))</f>
        <v>92.1</v>
      </c>
      <c r="N7070" s="35" t="str">
        <f>IF(OR(ISBLANK(C7070),C7070="",M7070=""),"In Progress",IF(M7070&lt;=J7070,"Met","Breached"))</f>
        <v>Met</v>
      </c>
    </row>
    <row r="7071" ht="19" customHeight="1" spans="1:14" x14ac:dyDescent="0.25">
      <c r="A7071" s="22" t="s">
        <v>7185</v>
      </c>
      <c r="B7071" s="36">
        <v>46283.51875</v>
      </c>
      <c r="D7071" s="22" t="s">
        <v>39</v>
      </c>
      <c r="E7071" s="22" t="s">
        <v>69</v>
      </c>
      <c r="F7071" s="22" t="s">
        <v>37</v>
      </c>
      <c r="G7071" s="22" t="s">
        <v>110</v>
      </c>
      <c r="H7071" s="22" t="s">
        <v>71</v>
      </c>
      <c r="I7071" s="22" t="s">
        <v>117</v>
      </c>
      <c r="J7071" s="23">
        <v>120</v>
      </c>
      <c r="K7071" s="37">
        <v>0</v>
      </c>
      <c r="M7071" s="22" t="str">
        <f>IF(OR(ISBLANK(C7071),C7071=""),"",ROUND((C7071-B7071)*24,2))</f>
        <v/>
      </c>
      <c r="N7071" s="22" t="str">
        <f>IF(OR(ISBLANK(C7071),C7071="",M7071=""),"In Progress",IF(M7071&lt;=J7071,"Met","Breached"))</f>
        <v>In Progress</v>
      </c>
    </row>
    <row r="7072" ht="19" customHeight="1" spans="1:14" x14ac:dyDescent="0.25">
      <c r="A7072" s="19" t="s">
        <v>7186</v>
      </c>
      <c r="B7072" s="33">
        <v>46230.69791666667</v>
      </c>
      <c r="C7072" s="33">
        <v>46231.330555555556</v>
      </c>
      <c r="D7072" s="19" t="s">
        <v>33</v>
      </c>
      <c r="E7072" s="19" t="s">
        <v>65</v>
      </c>
      <c r="F7072" s="19" t="s">
        <v>40</v>
      </c>
      <c r="G7072" s="19" t="s">
        <v>110</v>
      </c>
      <c r="H7072" s="19" t="s">
        <v>63</v>
      </c>
      <c r="I7072" s="19" t="s">
        <v>108</v>
      </c>
      <c r="J7072" s="20">
        <v>48</v>
      </c>
      <c r="K7072" s="34">
        <v>0</v>
      </c>
      <c r="M7072" s="19">
        <f>IF(OR(ISBLANK(C7072),C7072=""),"",ROUND((C7072-B7072)*24,2))</f>
        <v>15.18</v>
      </c>
      <c r="N7072" s="35" t="str">
        <f>IF(OR(ISBLANK(C7072),C7072="",M7072=""),"In Progress",IF(M7072&lt;=J7072,"Met","Breached"))</f>
        <v>Met</v>
      </c>
    </row>
    <row r="7073" ht="19" customHeight="1" spans="1:14" x14ac:dyDescent="0.25">
      <c r="A7073" s="22" t="s">
        <v>7187</v>
      </c>
      <c r="B7073" s="36">
        <v>46006.16180555556</v>
      </c>
      <c r="D7073" s="22" t="s">
        <v>42</v>
      </c>
      <c r="E7073" s="22" t="s">
        <v>57</v>
      </c>
      <c r="F7073" s="22" t="s">
        <v>45</v>
      </c>
      <c r="G7073" s="22" t="s">
        <v>113</v>
      </c>
      <c r="H7073" s="22" t="s">
        <v>59</v>
      </c>
      <c r="I7073" s="22" t="s">
        <v>123</v>
      </c>
      <c r="J7073" s="23">
        <v>4</v>
      </c>
      <c r="K7073" s="37">
        <v>0</v>
      </c>
      <c r="M7073" s="22" t="str">
        <f>IF(OR(ISBLANK(C7073),C7073=""),"",ROUND((C7073-B7073)*24,2))</f>
        <v/>
      </c>
      <c r="N7073" s="22" t="str">
        <f>IF(OR(ISBLANK(C7073),C7073="",M7073=""),"In Progress",IF(M7073&lt;=J7073,"Met","Breached"))</f>
        <v>In Progress</v>
      </c>
    </row>
    <row r="7074" ht="19" customHeight="1" spans="1:14" x14ac:dyDescent="0.25">
      <c r="A7074" s="19" t="s">
        <v>7188</v>
      </c>
      <c r="B7074" s="33">
        <v>46164.40694444445</v>
      </c>
      <c r="C7074" s="33">
        <v>46164.71597222222</v>
      </c>
      <c r="D7074" s="19" t="s">
        <v>33</v>
      </c>
      <c r="E7074" s="19" t="s">
        <v>61</v>
      </c>
      <c r="F7074" s="19" t="s">
        <v>43</v>
      </c>
      <c r="G7074" s="19" t="s">
        <v>63</v>
      </c>
      <c r="H7074" s="19" t="s">
        <v>63</v>
      </c>
      <c r="I7074" s="19" t="s">
        <v>111</v>
      </c>
      <c r="J7074" s="20">
        <v>12</v>
      </c>
      <c r="K7074" s="34">
        <v>0</v>
      </c>
      <c r="M7074" s="19">
        <f>IF(OR(ISBLANK(C7074),C7074=""),"",ROUND((C7074-B7074)*24,2))</f>
        <v>7.42</v>
      </c>
      <c r="N7074" s="35" t="str">
        <f>IF(OR(ISBLANK(C7074),C7074="",M7074=""),"In Progress",IF(M7074&lt;=J7074,"Met","Breached"))</f>
        <v>Met</v>
      </c>
    </row>
    <row r="7075" ht="19" customHeight="1" spans="1:14" x14ac:dyDescent="0.25">
      <c r="A7075" s="22" t="s">
        <v>7189</v>
      </c>
      <c r="B7075" s="36">
        <v>45819.85277777778</v>
      </c>
      <c r="C7075" s="36">
        <v>45820.59097222222</v>
      </c>
      <c r="D7075" s="22" t="s">
        <v>33</v>
      </c>
      <c r="E7075" s="22" t="s">
        <v>61</v>
      </c>
      <c r="F7075" s="22" t="s">
        <v>37</v>
      </c>
      <c r="G7075" s="22" t="s">
        <v>113</v>
      </c>
      <c r="H7075" s="22" t="s">
        <v>63</v>
      </c>
      <c r="I7075" s="22" t="s">
        <v>114</v>
      </c>
      <c r="J7075" s="23">
        <v>12</v>
      </c>
      <c r="K7075" s="37">
        <v>0</v>
      </c>
      <c r="L7075" s="37">
        <v>1</v>
      </c>
      <c r="M7075" s="22">
        <f>IF(OR(ISBLANK(C7075),C7075=""),"",ROUND((C7075-B7075)*24,2))</f>
        <v>17.72</v>
      </c>
      <c r="N7075" s="38" t="str">
        <f>IF(OR(ISBLANK(C7075),C7075="",M7075=""),"In Progress",IF(M7075&lt;=J7075,"Met","Breached"))</f>
        <v>Breached</v>
      </c>
    </row>
    <row r="7076" ht="19" customHeight="1" spans="1:14" x14ac:dyDescent="0.25">
      <c r="A7076" s="19" t="s">
        <v>7190</v>
      </c>
      <c r="B7076" s="33">
        <v>45849.32916666666</v>
      </c>
      <c r="C7076" s="33">
        <v>45858.02083333333</v>
      </c>
      <c r="D7076" s="19" t="s">
        <v>36</v>
      </c>
      <c r="E7076" s="19" t="s">
        <v>69</v>
      </c>
      <c r="F7076" s="19" t="s">
        <v>45</v>
      </c>
      <c r="G7076" s="19" t="s">
        <v>63</v>
      </c>
      <c r="H7076" s="19" t="s">
        <v>67</v>
      </c>
      <c r="I7076" s="19" t="s">
        <v>108</v>
      </c>
      <c r="J7076" s="20">
        <v>120</v>
      </c>
      <c r="K7076" s="34">
        <v>0</v>
      </c>
      <c r="M7076" s="19">
        <f>IF(OR(ISBLANK(C7076),C7076=""),"",ROUND((C7076-B7076)*24,2))</f>
        <v>208.6</v>
      </c>
      <c r="N7076" s="39" t="str">
        <f>IF(OR(ISBLANK(C7076),C7076="",M7076=""),"In Progress",IF(M7076&lt;=J7076,"Met","Breached"))</f>
        <v>Breached</v>
      </c>
    </row>
    <row r="7077" ht="19" customHeight="1" spans="1:14" x14ac:dyDescent="0.25">
      <c r="A7077" s="22" t="s">
        <v>7191</v>
      </c>
      <c r="B7077" s="36">
        <v>46285.73263888889</v>
      </c>
      <c r="C7077" s="36">
        <v>46287.697222222225</v>
      </c>
      <c r="D7077" s="22" t="s">
        <v>36</v>
      </c>
      <c r="E7077" s="22" t="s">
        <v>65</v>
      </c>
      <c r="F7077" s="22" t="s">
        <v>45</v>
      </c>
      <c r="G7077" s="22" t="s">
        <v>113</v>
      </c>
      <c r="H7077" s="22" t="s">
        <v>71</v>
      </c>
      <c r="I7077" s="22" t="s">
        <v>111</v>
      </c>
      <c r="J7077" s="23">
        <v>48</v>
      </c>
      <c r="K7077" s="37">
        <v>0</v>
      </c>
      <c r="L7077" s="37">
        <v>1</v>
      </c>
      <c r="M7077" s="22">
        <f>IF(OR(ISBLANK(C7077),C7077=""),"",ROUND((C7077-B7077)*24,2))</f>
        <v>47.15</v>
      </c>
      <c r="N7077" s="40" t="str">
        <f>IF(OR(ISBLANK(C7077),C7077="",M7077=""),"In Progress",IF(M7077&lt;=J7077,"Met","Breached"))</f>
        <v>Met</v>
      </c>
    </row>
    <row r="7078" ht="19" customHeight="1" spans="1:14" x14ac:dyDescent="0.25">
      <c r="A7078" s="19" t="s">
        <v>7192</v>
      </c>
      <c r="B7078" s="33">
        <v>46209.225</v>
      </c>
      <c r="D7078" s="19" t="s">
        <v>42</v>
      </c>
      <c r="E7078" s="19" t="s">
        <v>65</v>
      </c>
      <c r="F7078" s="19" t="s">
        <v>43</v>
      </c>
      <c r="G7078" s="19" t="s">
        <v>113</v>
      </c>
      <c r="H7078" s="19" t="s">
        <v>63</v>
      </c>
      <c r="I7078" s="19" t="s">
        <v>111</v>
      </c>
      <c r="J7078" s="20">
        <v>48</v>
      </c>
      <c r="K7078" s="34">
        <v>0</v>
      </c>
      <c r="M7078" s="19" t="str">
        <f>IF(OR(ISBLANK(C7078),C7078=""),"",ROUND((C7078-B7078)*24,2))</f>
        <v/>
      </c>
      <c r="N7078" s="19" t="str">
        <f>IF(OR(ISBLANK(C7078),C7078="",M7078=""),"In Progress",IF(M7078&lt;=J7078,"Met","Breached"))</f>
        <v>In Progress</v>
      </c>
    </row>
    <row r="7079" ht="19" customHeight="1" spans="1:14" x14ac:dyDescent="0.25">
      <c r="A7079" s="22" t="s">
        <v>7193</v>
      </c>
      <c r="B7079" s="36">
        <v>45673.14027777778</v>
      </c>
      <c r="C7079" s="36">
        <v>45674.021527777775</v>
      </c>
      <c r="D7079" s="22" t="s">
        <v>33</v>
      </c>
      <c r="E7079" s="22" t="s">
        <v>61</v>
      </c>
      <c r="F7079" s="22" t="s">
        <v>45</v>
      </c>
      <c r="G7079" s="22" t="s">
        <v>63</v>
      </c>
      <c r="H7079" s="22" t="s">
        <v>71</v>
      </c>
      <c r="I7079" s="22" t="s">
        <v>117</v>
      </c>
      <c r="J7079" s="23">
        <v>12</v>
      </c>
      <c r="K7079" s="37">
        <v>0</v>
      </c>
      <c r="L7079" s="37">
        <v>2</v>
      </c>
      <c r="M7079" s="22">
        <f>IF(OR(ISBLANK(C7079),C7079=""),"",ROUND((C7079-B7079)*24,2))</f>
        <v>21.15</v>
      </c>
      <c r="N7079" s="38" t="str">
        <f>IF(OR(ISBLANK(C7079),C7079="",M7079=""),"In Progress",IF(M7079&lt;=J7079,"Met","Breached"))</f>
        <v>Breached</v>
      </c>
    </row>
    <row r="7080" ht="19" customHeight="1" spans="1:14" x14ac:dyDescent="0.25">
      <c r="A7080" s="19" t="s">
        <v>7194</v>
      </c>
      <c r="B7080" s="33">
        <v>46195.09930555556</v>
      </c>
      <c r="C7080" s="33">
        <v>46198.52083333333</v>
      </c>
      <c r="D7080" s="19" t="s">
        <v>33</v>
      </c>
      <c r="E7080" s="19" t="s">
        <v>65</v>
      </c>
      <c r="F7080" s="19" t="s">
        <v>34</v>
      </c>
      <c r="G7080" s="19" t="s">
        <v>113</v>
      </c>
      <c r="H7080" s="19" t="s">
        <v>59</v>
      </c>
      <c r="I7080" s="19" t="s">
        <v>111</v>
      </c>
      <c r="J7080" s="20">
        <v>48</v>
      </c>
      <c r="K7080" s="34">
        <v>0</v>
      </c>
      <c r="L7080" s="34">
        <v>1</v>
      </c>
      <c r="M7080" s="19">
        <f>IF(OR(ISBLANK(C7080),C7080=""),"",ROUND((C7080-B7080)*24,2))</f>
        <v>82.12</v>
      </c>
      <c r="N7080" s="39" t="str">
        <f>IF(OR(ISBLANK(C7080),C7080="",M7080=""),"In Progress",IF(M7080&lt;=J7080,"Met","Breached"))</f>
        <v>Breached</v>
      </c>
    </row>
    <row r="7081" ht="19" customHeight="1" spans="1:14" x14ac:dyDescent="0.25">
      <c r="A7081" s="22" t="s">
        <v>7195</v>
      </c>
      <c r="B7081" s="36">
        <v>45673.88888888889</v>
      </c>
      <c r="D7081" s="22" t="s">
        <v>39</v>
      </c>
      <c r="E7081" s="22" t="s">
        <v>69</v>
      </c>
      <c r="F7081" s="22" t="s">
        <v>37</v>
      </c>
      <c r="G7081" s="22" t="s">
        <v>110</v>
      </c>
      <c r="H7081" s="22" t="s">
        <v>59</v>
      </c>
      <c r="I7081" s="22" t="s">
        <v>147</v>
      </c>
      <c r="J7081" s="23">
        <v>120</v>
      </c>
      <c r="K7081" s="37">
        <v>0</v>
      </c>
      <c r="M7081" s="22" t="str">
        <f>IF(OR(ISBLANK(C7081),C7081=""),"",ROUND((C7081-B7081)*24,2))</f>
        <v/>
      </c>
      <c r="N7081" s="22" t="str">
        <f>IF(OR(ISBLANK(C7081),C7081="",M7081=""),"In Progress",IF(M7081&lt;=J7081,"Met","Breached"))</f>
        <v>In Progress</v>
      </c>
    </row>
    <row r="7082" ht="19" customHeight="1" spans="1:14" x14ac:dyDescent="0.25">
      <c r="A7082" s="19" t="s">
        <v>7196</v>
      </c>
      <c r="B7082" s="33">
        <v>46244.4625</v>
      </c>
      <c r="C7082" s="33">
        <v>46245.43611111111</v>
      </c>
      <c r="D7082" s="19" t="s">
        <v>33</v>
      </c>
      <c r="E7082" s="19" t="s">
        <v>65</v>
      </c>
      <c r="F7082" s="19" t="s">
        <v>43</v>
      </c>
      <c r="G7082" s="19" t="s">
        <v>113</v>
      </c>
      <c r="H7082" s="19" t="s">
        <v>59</v>
      </c>
      <c r="I7082" s="19" t="s">
        <v>111</v>
      </c>
      <c r="J7082" s="20">
        <v>48</v>
      </c>
      <c r="K7082" s="34">
        <v>0</v>
      </c>
      <c r="L7082" s="34">
        <v>2</v>
      </c>
      <c r="M7082" s="19">
        <f>IF(OR(ISBLANK(C7082),C7082=""),"",ROUND((C7082-B7082)*24,2))</f>
        <v>23.37</v>
      </c>
      <c r="N7082" s="35" t="str">
        <f>IF(OR(ISBLANK(C7082),C7082="",M7082=""),"In Progress",IF(M7082&lt;=J7082,"Met","Breached"))</f>
        <v>Met</v>
      </c>
    </row>
    <row r="7083" ht="19" customHeight="1" spans="1:14" x14ac:dyDescent="0.25">
      <c r="A7083" s="22" t="s">
        <v>7197</v>
      </c>
      <c r="B7083" s="36">
        <v>46099.50347222222</v>
      </c>
      <c r="D7083" s="22" t="s">
        <v>42</v>
      </c>
      <c r="E7083" s="22" t="s">
        <v>69</v>
      </c>
      <c r="F7083" s="22" t="s">
        <v>34</v>
      </c>
      <c r="G7083" s="22" t="s">
        <v>63</v>
      </c>
      <c r="H7083" s="22" t="s">
        <v>59</v>
      </c>
      <c r="I7083" s="22" t="s">
        <v>114</v>
      </c>
      <c r="J7083" s="23">
        <v>120</v>
      </c>
      <c r="K7083" s="37">
        <v>0</v>
      </c>
      <c r="M7083" s="22" t="str">
        <f>IF(OR(ISBLANK(C7083),C7083=""),"",ROUND((C7083-B7083)*24,2))</f>
        <v/>
      </c>
      <c r="N7083" s="22" t="str">
        <f>IF(OR(ISBLANK(C7083),C7083="",M7083=""),"In Progress",IF(M7083&lt;=J7083,"Met","Breached"))</f>
        <v>In Progress</v>
      </c>
    </row>
    <row r="7084" ht="19" customHeight="1" spans="1:14" x14ac:dyDescent="0.25">
      <c r="A7084" s="19" t="s">
        <v>7198</v>
      </c>
      <c r="B7084" s="33">
        <v>45973.19305555556</v>
      </c>
      <c r="C7084" s="33">
        <v>45977.43611111111</v>
      </c>
      <c r="D7084" s="19" t="s">
        <v>36</v>
      </c>
      <c r="E7084" s="19" t="s">
        <v>69</v>
      </c>
      <c r="F7084" s="19" t="s">
        <v>37</v>
      </c>
      <c r="G7084" s="19" t="s">
        <v>116</v>
      </c>
      <c r="H7084" s="19" t="s">
        <v>59</v>
      </c>
      <c r="I7084" s="19" t="s">
        <v>117</v>
      </c>
      <c r="J7084" s="20">
        <v>120</v>
      </c>
      <c r="K7084" s="34">
        <v>0</v>
      </c>
      <c r="M7084" s="19">
        <f>IF(OR(ISBLANK(C7084),C7084=""),"",ROUND((C7084-B7084)*24,2))</f>
        <v>101.83</v>
      </c>
      <c r="N7084" s="35" t="str">
        <f>IF(OR(ISBLANK(C7084),C7084="",M7084=""),"In Progress",IF(M7084&lt;=J7084,"Met","Breached"))</f>
        <v>Met</v>
      </c>
    </row>
    <row r="7085" ht="19" customHeight="1" spans="1:14" x14ac:dyDescent="0.25">
      <c r="A7085" s="22" t="s">
        <v>7199</v>
      </c>
      <c r="B7085" s="36">
        <v>46216.47986111111</v>
      </c>
      <c r="C7085" s="36">
        <v>46216.55416666667</v>
      </c>
      <c r="D7085" s="22" t="s">
        <v>33</v>
      </c>
      <c r="E7085" s="22" t="s">
        <v>57</v>
      </c>
      <c r="F7085" s="22" t="s">
        <v>34</v>
      </c>
      <c r="G7085" s="22" t="s">
        <v>63</v>
      </c>
      <c r="H7085" s="22" t="s">
        <v>63</v>
      </c>
      <c r="I7085" s="22" t="s">
        <v>108</v>
      </c>
      <c r="J7085" s="23">
        <v>4</v>
      </c>
      <c r="K7085" s="37">
        <v>0</v>
      </c>
      <c r="L7085" s="37">
        <v>3</v>
      </c>
      <c r="M7085" s="22">
        <f>IF(OR(ISBLANK(C7085),C7085=""),"",ROUND((C7085-B7085)*24,2))</f>
        <v>1.78</v>
      </c>
      <c r="N7085" s="40" t="str">
        <f>IF(OR(ISBLANK(C7085),C7085="",M7085=""),"In Progress",IF(M7085&lt;=J7085,"Met","Breached"))</f>
        <v>Met</v>
      </c>
    </row>
    <row r="7086" ht="19" customHeight="1" spans="1:14" x14ac:dyDescent="0.25">
      <c r="A7086" s="19" t="s">
        <v>7200</v>
      </c>
      <c r="B7086" s="33">
        <v>45732.00902777778</v>
      </c>
      <c r="C7086" s="33">
        <v>45732.24930555555</v>
      </c>
      <c r="D7086" s="19" t="s">
        <v>33</v>
      </c>
      <c r="E7086" s="19" t="s">
        <v>57</v>
      </c>
      <c r="F7086" s="19" t="s">
        <v>43</v>
      </c>
      <c r="G7086" s="19" t="s">
        <v>63</v>
      </c>
      <c r="H7086" s="19" t="s">
        <v>59</v>
      </c>
      <c r="I7086" s="19" t="s">
        <v>114</v>
      </c>
      <c r="J7086" s="20">
        <v>4</v>
      </c>
      <c r="K7086" s="34">
        <v>0</v>
      </c>
      <c r="L7086" s="34">
        <v>1</v>
      </c>
      <c r="M7086" s="19">
        <f>IF(OR(ISBLANK(C7086),C7086=""),"",ROUND((C7086-B7086)*24,2))</f>
        <v>5.77</v>
      </c>
      <c r="N7086" s="39" t="str">
        <f>IF(OR(ISBLANK(C7086),C7086="",M7086=""),"In Progress",IF(M7086&lt;=J7086,"Met","Breached"))</f>
        <v>Breached</v>
      </c>
    </row>
    <row r="7087" ht="19" customHeight="1" spans="1:14" x14ac:dyDescent="0.25">
      <c r="A7087" s="22" t="s">
        <v>7201</v>
      </c>
      <c r="B7087" s="36">
        <v>46180.84375</v>
      </c>
      <c r="C7087" s="36">
        <v>46183.78680555556</v>
      </c>
      <c r="D7087" s="22" t="s">
        <v>33</v>
      </c>
      <c r="E7087" s="22" t="s">
        <v>69</v>
      </c>
      <c r="F7087" s="22" t="s">
        <v>37</v>
      </c>
      <c r="G7087" s="22" t="s">
        <v>126</v>
      </c>
      <c r="H7087" s="22" t="s">
        <v>67</v>
      </c>
      <c r="I7087" s="22" t="s">
        <v>117</v>
      </c>
      <c r="J7087" s="23">
        <v>120</v>
      </c>
      <c r="K7087" s="37">
        <v>1</v>
      </c>
      <c r="L7087" s="37">
        <v>1</v>
      </c>
      <c r="M7087" s="22">
        <f>IF(OR(ISBLANK(C7087),C7087=""),"",ROUND((C7087-B7087)*24,2))</f>
        <v>70.63</v>
      </c>
      <c r="N7087" s="40" t="str">
        <f>IF(OR(ISBLANK(C7087),C7087="",M7087=""),"In Progress",IF(M7087&lt;=J7087,"Met","Breached"))</f>
        <v>Met</v>
      </c>
    </row>
    <row r="7088" ht="19" customHeight="1" spans="1:14" x14ac:dyDescent="0.25">
      <c r="A7088" s="19" t="s">
        <v>7202</v>
      </c>
      <c r="B7088" s="33">
        <v>46275.294444444444</v>
      </c>
      <c r="C7088" s="33">
        <v>46278.07361111111</v>
      </c>
      <c r="D7088" s="19" t="s">
        <v>33</v>
      </c>
      <c r="E7088" s="19" t="s">
        <v>69</v>
      </c>
      <c r="F7088" s="19" t="s">
        <v>40</v>
      </c>
      <c r="G7088" s="19" t="s">
        <v>121</v>
      </c>
      <c r="H7088" s="19" t="s">
        <v>63</v>
      </c>
      <c r="I7088" s="19" t="s">
        <v>117</v>
      </c>
      <c r="J7088" s="20">
        <v>120</v>
      </c>
      <c r="K7088" s="34">
        <v>0</v>
      </c>
      <c r="M7088" s="19">
        <f>IF(OR(ISBLANK(C7088),C7088=""),"",ROUND((C7088-B7088)*24,2))</f>
        <v>66.7</v>
      </c>
      <c r="N7088" s="35" t="str">
        <f>IF(OR(ISBLANK(C7088),C7088="",M7088=""),"In Progress",IF(M7088&lt;=J7088,"Met","Breached"))</f>
        <v>Met</v>
      </c>
    </row>
    <row r="7089" ht="19" customHeight="1" spans="1:14" x14ac:dyDescent="0.25">
      <c r="A7089" s="22" t="s">
        <v>7203</v>
      </c>
      <c r="B7089" s="36">
        <v>45757.447222222225</v>
      </c>
      <c r="C7089" s="36">
        <v>45757.68888888889</v>
      </c>
      <c r="D7089" s="22" t="s">
        <v>33</v>
      </c>
      <c r="E7089" s="22" t="s">
        <v>57</v>
      </c>
      <c r="F7089" s="22" t="s">
        <v>43</v>
      </c>
      <c r="G7089" s="22" t="s">
        <v>126</v>
      </c>
      <c r="H7089" s="22" t="s">
        <v>67</v>
      </c>
      <c r="I7089" s="22" t="s">
        <v>123</v>
      </c>
      <c r="J7089" s="23">
        <v>4</v>
      </c>
      <c r="K7089" s="37">
        <v>0</v>
      </c>
      <c r="L7089" s="37">
        <v>2</v>
      </c>
      <c r="M7089" s="22">
        <f>IF(OR(ISBLANK(C7089),C7089=""),"",ROUND((C7089-B7089)*24,2))</f>
        <v>5.8</v>
      </c>
      <c r="N7089" s="38" t="str">
        <f>IF(OR(ISBLANK(C7089),C7089="",M7089=""),"In Progress",IF(M7089&lt;=J7089,"Met","Breached"))</f>
        <v>Breached</v>
      </c>
    </row>
    <row r="7090" ht="19" customHeight="1" spans="1:14" x14ac:dyDescent="0.25">
      <c r="A7090" s="19" t="s">
        <v>7204</v>
      </c>
      <c r="B7090" s="33">
        <v>46256.725694444445</v>
      </c>
      <c r="C7090" s="33">
        <v>46256.881944444445</v>
      </c>
      <c r="D7090" s="19" t="s">
        <v>36</v>
      </c>
      <c r="E7090" s="19" t="s">
        <v>57</v>
      </c>
      <c r="F7090" s="19" t="s">
        <v>34</v>
      </c>
      <c r="G7090" s="19" t="s">
        <v>110</v>
      </c>
      <c r="H7090" s="19" t="s">
        <v>59</v>
      </c>
      <c r="I7090" s="19" t="s">
        <v>108</v>
      </c>
      <c r="J7090" s="20">
        <v>4</v>
      </c>
      <c r="K7090" s="34">
        <v>0</v>
      </c>
      <c r="L7090" s="34">
        <v>2</v>
      </c>
      <c r="M7090" s="19">
        <f>IF(OR(ISBLANK(C7090),C7090=""),"",ROUND((C7090-B7090)*24,2))</f>
        <v>3.75</v>
      </c>
      <c r="N7090" s="35" t="str">
        <f>IF(OR(ISBLANK(C7090),C7090="",M7090=""),"In Progress",IF(M7090&lt;=J7090,"Met","Breached"))</f>
        <v>Met</v>
      </c>
    </row>
    <row r="7091" ht="19" customHeight="1" spans="1:14" x14ac:dyDescent="0.25">
      <c r="A7091" s="22" t="s">
        <v>7205</v>
      </c>
      <c r="B7091" s="36">
        <v>45775.84236111111</v>
      </c>
      <c r="C7091" s="36">
        <v>45778.330555555556</v>
      </c>
      <c r="D7091" s="22" t="s">
        <v>33</v>
      </c>
      <c r="E7091" s="22" t="s">
        <v>65</v>
      </c>
      <c r="F7091" s="22" t="s">
        <v>37</v>
      </c>
      <c r="G7091" s="22" t="s">
        <v>113</v>
      </c>
      <c r="H7091" s="22" t="s">
        <v>59</v>
      </c>
      <c r="I7091" s="22" t="s">
        <v>108</v>
      </c>
      <c r="J7091" s="23">
        <v>48</v>
      </c>
      <c r="K7091" s="37">
        <v>0</v>
      </c>
      <c r="L7091" s="37">
        <v>2</v>
      </c>
      <c r="M7091" s="22">
        <f>IF(OR(ISBLANK(C7091),C7091=""),"",ROUND((C7091-B7091)*24,2))</f>
        <v>59.72</v>
      </c>
      <c r="N7091" s="38" t="str">
        <f>IF(OR(ISBLANK(C7091),C7091="",M7091=""),"In Progress",IF(M7091&lt;=J7091,"Met","Breached"))</f>
        <v>Breached</v>
      </c>
    </row>
    <row r="7092" ht="19" customHeight="1" spans="1:14" x14ac:dyDescent="0.25">
      <c r="A7092" s="19" t="s">
        <v>7206</v>
      </c>
      <c r="B7092" s="33">
        <v>46043.54861111111</v>
      </c>
      <c r="C7092" s="33">
        <v>46047.12986111111</v>
      </c>
      <c r="D7092" s="19" t="s">
        <v>33</v>
      </c>
      <c r="E7092" s="19" t="s">
        <v>65</v>
      </c>
      <c r="F7092" s="19" t="s">
        <v>34</v>
      </c>
      <c r="G7092" s="19" t="s">
        <v>63</v>
      </c>
      <c r="H7092" s="19" t="s">
        <v>67</v>
      </c>
      <c r="I7092" s="19" t="s">
        <v>111</v>
      </c>
      <c r="J7092" s="20">
        <v>48</v>
      </c>
      <c r="K7092" s="34">
        <v>0</v>
      </c>
      <c r="L7092" s="34">
        <v>1</v>
      </c>
      <c r="M7092" s="19">
        <f>IF(OR(ISBLANK(C7092),C7092=""),"",ROUND((C7092-B7092)*24,2))</f>
        <v>85.95</v>
      </c>
      <c r="N7092" s="39" t="str">
        <f>IF(OR(ISBLANK(C7092),C7092="",M7092=""),"In Progress",IF(M7092&lt;=J7092,"Met","Breached"))</f>
        <v>Breached</v>
      </c>
    </row>
    <row r="7093" ht="19" customHeight="1" spans="1:14" x14ac:dyDescent="0.25">
      <c r="A7093" s="22" t="s">
        <v>7207</v>
      </c>
      <c r="B7093" s="36">
        <v>46186.288888888885</v>
      </c>
      <c r="D7093" s="22" t="s">
        <v>42</v>
      </c>
      <c r="E7093" s="22" t="s">
        <v>65</v>
      </c>
      <c r="F7093" s="22" t="s">
        <v>40</v>
      </c>
      <c r="G7093" s="22" t="s">
        <v>63</v>
      </c>
      <c r="H7093" s="22" t="s">
        <v>63</v>
      </c>
      <c r="I7093" s="22" t="s">
        <v>147</v>
      </c>
      <c r="J7093" s="23">
        <v>48</v>
      </c>
      <c r="K7093" s="37">
        <v>0</v>
      </c>
      <c r="M7093" s="22" t="str">
        <f>IF(OR(ISBLANK(C7093),C7093=""),"",ROUND((C7093-B7093)*24,2))</f>
        <v/>
      </c>
      <c r="N7093" s="22" t="str">
        <f>IF(OR(ISBLANK(C7093),C7093="",M7093=""),"In Progress",IF(M7093&lt;=J7093,"Met","Breached"))</f>
        <v>In Progress</v>
      </c>
    </row>
    <row r="7094" ht="19" customHeight="1" spans="1:14" x14ac:dyDescent="0.25">
      <c r="A7094" s="19" t="s">
        <v>7208</v>
      </c>
      <c r="B7094" s="33">
        <v>46274.17291666666</v>
      </c>
      <c r="C7094" s="33">
        <v>46277.68611111111</v>
      </c>
      <c r="D7094" s="19" t="s">
        <v>33</v>
      </c>
      <c r="E7094" s="19" t="s">
        <v>65</v>
      </c>
      <c r="F7094" s="19" t="s">
        <v>45</v>
      </c>
      <c r="G7094" s="19" t="s">
        <v>116</v>
      </c>
      <c r="H7094" s="19" t="s">
        <v>59</v>
      </c>
      <c r="I7094" s="19" t="s">
        <v>123</v>
      </c>
      <c r="J7094" s="20">
        <v>48</v>
      </c>
      <c r="K7094" s="34">
        <v>0</v>
      </c>
      <c r="M7094" s="19">
        <f>IF(OR(ISBLANK(C7094),C7094=""),"",ROUND((C7094-B7094)*24,2))</f>
        <v>84.32</v>
      </c>
      <c r="N7094" s="39" t="str">
        <f>IF(OR(ISBLANK(C7094),C7094="",M7094=""),"In Progress",IF(M7094&lt;=J7094,"Met","Breached"))</f>
        <v>Breached</v>
      </c>
    </row>
    <row r="7095" ht="19" customHeight="1" spans="1:14" x14ac:dyDescent="0.25">
      <c r="A7095" s="22" t="s">
        <v>7209</v>
      </c>
      <c r="B7095" s="36">
        <v>46212.29861111111</v>
      </c>
      <c r="C7095" s="36">
        <v>46218.91111111111</v>
      </c>
      <c r="D7095" s="22" t="s">
        <v>36</v>
      </c>
      <c r="E7095" s="22" t="s">
        <v>69</v>
      </c>
      <c r="F7095" s="22" t="s">
        <v>37</v>
      </c>
      <c r="G7095" s="22" t="s">
        <v>126</v>
      </c>
      <c r="H7095" s="22" t="s">
        <v>67</v>
      </c>
      <c r="I7095" s="22" t="s">
        <v>123</v>
      </c>
      <c r="J7095" s="23">
        <v>120</v>
      </c>
      <c r="K7095" s="37">
        <v>0</v>
      </c>
      <c r="M7095" s="22">
        <f>IF(OR(ISBLANK(C7095),C7095=""),"",ROUND((C7095-B7095)*24,2))</f>
        <v>158.7</v>
      </c>
      <c r="N7095" s="38" t="str">
        <f>IF(OR(ISBLANK(C7095),C7095="",M7095=""),"In Progress",IF(M7095&lt;=J7095,"Met","Breached"))</f>
        <v>Breached</v>
      </c>
    </row>
    <row r="7096" ht="19" customHeight="1" spans="1:14" x14ac:dyDescent="0.25">
      <c r="A7096" s="19" t="s">
        <v>7210</v>
      </c>
      <c r="B7096" s="33">
        <v>46029.211805555555</v>
      </c>
      <c r="C7096" s="33">
        <v>46032.785416666666</v>
      </c>
      <c r="D7096" s="19" t="s">
        <v>36</v>
      </c>
      <c r="E7096" s="19" t="s">
        <v>65</v>
      </c>
      <c r="F7096" s="19" t="s">
        <v>34</v>
      </c>
      <c r="G7096" s="19" t="s">
        <v>116</v>
      </c>
      <c r="H7096" s="19" t="s">
        <v>67</v>
      </c>
      <c r="I7096" s="19" t="s">
        <v>123</v>
      </c>
      <c r="J7096" s="20">
        <v>48</v>
      </c>
      <c r="K7096" s="34">
        <v>0</v>
      </c>
      <c r="L7096" s="34">
        <v>2</v>
      </c>
      <c r="M7096" s="19">
        <f>IF(OR(ISBLANK(C7096),C7096=""),"",ROUND((C7096-B7096)*24,2))</f>
        <v>85.77</v>
      </c>
      <c r="N7096" s="39" t="str">
        <f>IF(OR(ISBLANK(C7096),C7096="",M7096=""),"In Progress",IF(M7096&lt;=J7096,"Met","Breached"))</f>
        <v>Breached</v>
      </c>
    </row>
    <row r="7097" ht="19" customHeight="1" spans="1:14" x14ac:dyDescent="0.25">
      <c r="A7097" s="22" t="s">
        <v>7211</v>
      </c>
      <c r="B7097" s="36">
        <v>46282.243055555555</v>
      </c>
      <c r="C7097" s="36">
        <v>46282.65277777778</v>
      </c>
      <c r="D7097" s="22" t="s">
        <v>36</v>
      </c>
      <c r="E7097" s="22" t="s">
        <v>61</v>
      </c>
      <c r="F7097" s="22" t="s">
        <v>37</v>
      </c>
      <c r="G7097" s="22" t="s">
        <v>110</v>
      </c>
      <c r="H7097" s="22" t="s">
        <v>63</v>
      </c>
      <c r="I7097" s="22" t="s">
        <v>147</v>
      </c>
      <c r="J7097" s="23">
        <v>12</v>
      </c>
      <c r="K7097" s="37">
        <v>1</v>
      </c>
      <c r="L7097" s="37">
        <v>1</v>
      </c>
      <c r="M7097" s="22">
        <f>IF(OR(ISBLANK(C7097),C7097=""),"",ROUND((C7097-B7097)*24,2))</f>
        <v>9.83</v>
      </c>
      <c r="N7097" s="40" t="str">
        <f>IF(OR(ISBLANK(C7097),C7097="",M7097=""),"In Progress",IF(M7097&lt;=J7097,"Met","Breached"))</f>
        <v>Met</v>
      </c>
    </row>
    <row r="7098" ht="19" customHeight="1" spans="1:14" x14ac:dyDescent="0.25">
      <c r="A7098" s="19" t="s">
        <v>7212</v>
      </c>
      <c r="B7098" s="33">
        <v>45877.36458333333</v>
      </c>
      <c r="C7098" s="33">
        <v>45877.64444444445</v>
      </c>
      <c r="D7098" s="19" t="s">
        <v>36</v>
      </c>
      <c r="E7098" s="19" t="s">
        <v>57</v>
      </c>
      <c r="F7098" s="19" t="s">
        <v>40</v>
      </c>
      <c r="G7098" s="19" t="s">
        <v>110</v>
      </c>
      <c r="H7098" s="19" t="s">
        <v>67</v>
      </c>
      <c r="I7098" s="19" t="s">
        <v>114</v>
      </c>
      <c r="J7098" s="20">
        <v>4</v>
      </c>
      <c r="K7098" s="34">
        <v>0</v>
      </c>
      <c r="L7098" s="34">
        <v>2</v>
      </c>
      <c r="M7098" s="19">
        <f>IF(OR(ISBLANK(C7098),C7098=""),"",ROUND((C7098-B7098)*24,2))</f>
        <v>6.72</v>
      </c>
      <c r="N7098" s="39" t="str">
        <f>IF(OR(ISBLANK(C7098),C7098="",M7098=""),"In Progress",IF(M7098&lt;=J7098,"Met","Breached"))</f>
        <v>Breached</v>
      </c>
    </row>
    <row r="7099" ht="19" customHeight="1" spans="1:14" x14ac:dyDescent="0.25">
      <c r="A7099" s="22" t="s">
        <v>7213</v>
      </c>
      <c r="B7099" s="36">
        <v>46026.75555555556</v>
      </c>
      <c r="C7099" s="36">
        <v>46035.674305555556</v>
      </c>
      <c r="D7099" s="22" t="s">
        <v>33</v>
      </c>
      <c r="E7099" s="22" t="s">
        <v>69</v>
      </c>
      <c r="F7099" s="22" t="s">
        <v>43</v>
      </c>
      <c r="G7099" s="22" t="s">
        <v>121</v>
      </c>
      <c r="H7099" s="22" t="s">
        <v>59</v>
      </c>
      <c r="I7099" s="22" t="s">
        <v>108</v>
      </c>
      <c r="J7099" s="23">
        <v>120</v>
      </c>
      <c r="K7099" s="37">
        <v>0</v>
      </c>
      <c r="M7099" s="22">
        <f>IF(OR(ISBLANK(C7099),C7099=""),"",ROUND((C7099-B7099)*24,2))</f>
        <v>214.05</v>
      </c>
      <c r="N7099" s="38" t="str">
        <f>IF(OR(ISBLANK(C7099),C7099="",M7099=""),"In Progress",IF(M7099&lt;=J7099,"Met","Breached"))</f>
        <v>Breached</v>
      </c>
    </row>
    <row r="7100" ht="19" customHeight="1" spans="1:14" x14ac:dyDescent="0.25">
      <c r="A7100" s="19" t="s">
        <v>7214</v>
      </c>
      <c r="B7100" s="33">
        <v>45858.37569444445</v>
      </c>
      <c r="C7100" s="33">
        <v>45858.625</v>
      </c>
      <c r="D7100" s="19" t="s">
        <v>36</v>
      </c>
      <c r="E7100" s="19" t="s">
        <v>57</v>
      </c>
      <c r="F7100" s="19" t="s">
        <v>43</v>
      </c>
      <c r="G7100" s="19" t="s">
        <v>121</v>
      </c>
      <c r="H7100" s="19" t="s">
        <v>63</v>
      </c>
      <c r="I7100" s="19" t="s">
        <v>114</v>
      </c>
      <c r="J7100" s="20">
        <v>4</v>
      </c>
      <c r="K7100" s="34">
        <v>0</v>
      </c>
      <c r="M7100" s="19">
        <f>IF(OR(ISBLANK(C7100),C7100=""),"",ROUND((C7100-B7100)*24,2))</f>
        <v>5.98</v>
      </c>
      <c r="N7100" s="39" t="str">
        <f>IF(OR(ISBLANK(C7100),C7100="",M7100=""),"In Progress",IF(M7100&lt;=J7100,"Met","Breached"))</f>
        <v>Breached</v>
      </c>
    </row>
    <row r="7101" ht="19" customHeight="1" spans="1:14" x14ac:dyDescent="0.25">
      <c r="A7101" s="22" t="s">
        <v>7215</v>
      </c>
      <c r="B7101" s="36">
        <v>46229.0375</v>
      </c>
      <c r="C7101" s="36">
        <v>46230.99861111111</v>
      </c>
      <c r="D7101" s="22" t="s">
        <v>36</v>
      </c>
      <c r="E7101" s="22" t="s">
        <v>65</v>
      </c>
      <c r="F7101" s="22" t="s">
        <v>37</v>
      </c>
      <c r="G7101" s="22" t="s">
        <v>63</v>
      </c>
      <c r="H7101" s="22" t="s">
        <v>63</v>
      </c>
      <c r="I7101" s="22" t="s">
        <v>123</v>
      </c>
      <c r="J7101" s="23">
        <v>48</v>
      </c>
      <c r="K7101" s="37">
        <v>0</v>
      </c>
      <c r="M7101" s="22">
        <f>IF(OR(ISBLANK(C7101),C7101=""),"",ROUND((C7101-B7101)*24,2))</f>
        <v>47.07</v>
      </c>
      <c r="N7101" s="40" t="str">
        <f>IF(OR(ISBLANK(C7101),C7101="",M7101=""),"In Progress",IF(M7101&lt;=J7101,"Met","Breached"))</f>
        <v>Met</v>
      </c>
    </row>
    <row r="7102" ht="19" customHeight="1" spans="1:14" x14ac:dyDescent="0.25">
      <c r="A7102" s="19" t="s">
        <v>7216</v>
      </c>
      <c r="B7102" s="33">
        <v>46188.01041666667</v>
      </c>
      <c r="C7102" s="33">
        <v>46189.76736111111</v>
      </c>
      <c r="D7102" s="19" t="s">
        <v>33</v>
      </c>
      <c r="E7102" s="19" t="s">
        <v>69</v>
      </c>
      <c r="F7102" s="19" t="s">
        <v>37</v>
      </c>
      <c r="G7102" s="19" t="s">
        <v>116</v>
      </c>
      <c r="H7102" s="19" t="s">
        <v>63</v>
      </c>
      <c r="I7102" s="19" t="s">
        <v>108</v>
      </c>
      <c r="J7102" s="20">
        <v>120</v>
      </c>
      <c r="K7102" s="34">
        <v>0</v>
      </c>
      <c r="L7102" s="34">
        <v>2</v>
      </c>
      <c r="M7102" s="19">
        <f>IF(OR(ISBLANK(C7102),C7102=""),"",ROUND((C7102-B7102)*24,2))</f>
        <v>42.17</v>
      </c>
      <c r="N7102" s="35" t="str">
        <f>IF(OR(ISBLANK(C7102),C7102="",M7102=""),"In Progress",IF(M7102&lt;=J7102,"Met","Breached"))</f>
        <v>Met</v>
      </c>
    </row>
    <row r="7103" ht="19" customHeight="1" spans="1:14" x14ac:dyDescent="0.25">
      <c r="A7103" s="22" t="s">
        <v>7217</v>
      </c>
      <c r="B7103" s="36">
        <v>45991.34861111111</v>
      </c>
      <c r="D7103" s="22" t="s">
        <v>39</v>
      </c>
      <c r="E7103" s="22" t="s">
        <v>69</v>
      </c>
      <c r="F7103" s="22" t="s">
        <v>34</v>
      </c>
      <c r="G7103" s="22" t="s">
        <v>126</v>
      </c>
      <c r="H7103" s="22" t="s">
        <v>59</v>
      </c>
      <c r="I7103" s="22" t="s">
        <v>117</v>
      </c>
      <c r="J7103" s="23">
        <v>120</v>
      </c>
      <c r="K7103" s="37">
        <v>0</v>
      </c>
      <c r="M7103" s="22" t="str">
        <f>IF(OR(ISBLANK(C7103),C7103=""),"",ROUND((C7103-B7103)*24,2))</f>
        <v/>
      </c>
      <c r="N7103" s="22" t="str">
        <f>IF(OR(ISBLANK(C7103),C7103="",M7103=""),"In Progress",IF(M7103&lt;=J7103,"Met","Breached"))</f>
        <v>In Progress</v>
      </c>
    </row>
    <row r="7104" ht="19" customHeight="1" spans="1:14" x14ac:dyDescent="0.25">
      <c r="A7104" s="19" t="s">
        <v>7218</v>
      </c>
      <c r="B7104" s="33">
        <v>46070.17638888889</v>
      </c>
      <c r="C7104" s="33">
        <v>46070.82638888889</v>
      </c>
      <c r="D7104" s="19" t="s">
        <v>33</v>
      </c>
      <c r="E7104" s="19" t="s">
        <v>61</v>
      </c>
      <c r="F7104" s="19" t="s">
        <v>45</v>
      </c>
      <c r="G7104" s="19" t="s">
        <v>126</v>
      </c>
      <c r="H7104" s="19" t="s">
        <v>67</v>
      </c>
      <c r="I7104" s="19" t="s">
        <v>108</v>
      </c>
      <c r="J7104" s="20">
        <v>12</v>
      </c>
      <c r="K7104" s="34">
        <v>0</v>
      </c>
      <c r="M7104" s="19">
        <f>IF(OR(ISBLANK(C7104),C7104=""),"",ROUND((C7104-B7104)*24,2))</f>
        <v>15.6</v>
      </c>
      <c r="N7104" s="39" t="str">
        <f>IF(OR(ISBLANK(C7104),C7104="",M7104=""),"In Progress",IF(M7104&lt;=J7104,"Met","Breached"))</f>
        <v>Breached</v>
      </c>
    </row>
    <row r="7105" ht="19" customHeight="1" spans="1:14" x14ac:dyDescent="0.25">
      <c r="A7105" s="22" t="s">
        <v>7219</v>
      </c>
      <c r="B7105" s="36">
        <v>45812.72222222222</v>
      </c>
      <c r="C7105" s="36">
        <v>45812.89583333333</v>
      </c>
      <c r="D7105" s="22" t="s">
        <v>33</v>
      </c>
      <c r="E7105" s="22" t="s">
        <v>57</v>
      </c>
      <c r="F7105" s="22" t="s">
        <v>43</v>
      </c>
      <c r="G7105" s="22" t="s">
        <v>63</v>
      </c>
      <c r="H7105" s="22" t="s">
        <v>59</v>
      </c>
      <c r="I7105" s="22" t="s">
        <v>117</v>
      </c>
      <c r="J7105" s="23">
        <v>4</v>
      </c>
      <c r="K7105" s="37">
        <v>0</v>
      </c>
      <c r="L7105" s="37">
        <v>5</v>
      </c>
      <c r="M7105" s="22">
        <f>IF(OR(ISBLANK(C7105),C7105=""),"",ROUND((C7105-B7105)*24,2))</f>
        <v>4.17</v>
      </c>
      <c r="N7105" s="38" t="str">
        <f>IF(OR(ISBLANK(C7105),C7105="",M7105=""),"In Progress",IF(M7105&lt;=J7105,"Met","Breached"))</f>
        <v>Breached</v>
      </c>
    </row>
    <row r="7106" ht="19" customHeight="1" spans="1:14" x14ac:dyDescent="0.25">
      <c r="A7106" s="19" t="s">
        <v>7220</v>
      </c>
      <c r="B7106" s="33">
        <v>46164.04166666667</v>
      </c>
      <c r="C7106" s="33">
        <v>46166.85486111111</v>
      </c>
      <c r="D7106" s="19" t="s">
        <v>36</v>
      </c>
      <c r="E7106" s="19" t="s">
        <v>65</v>
      </c>
      <c r="F7106" s="19" t="s">
        <v>43</v>
      </c>
      <c r="G7106" s="19" t="s">
        <v>110</v>
      </c>
      <c r="H7106" s="19" t="s">
        <v>63</v>
      </c>
      <c r="I7106" s="19" t="s">
        <v>114</v>
      </c>
      <c r="J7106" s="20">
        <v>48</v>
      </c>
      <c r="K7106" s="34">
        <v>0</v>
      </c>
      <c r="L7106" s="34">
        <v>2</v>
      </c>
      <c r="M7106" s="19">
        <f>IF(OR(ISBLANK(C7106),C7106=""),"",ROUND((C7106-B7106)*24,2))</f>
        <v>67.52</v>
      </c>
      <c r="N7106" s="39" t="str">
        <f>IF(OR(ISBLANK(C7106),C7106="",M7106=""),"In Progress",IF(M7106&lt;=J7106,"Met","Breached"))</f>
        <v>Breached</v>
      </c>
    </row>
    <row r="7107" ht="19" customHeight="1" spans="1:14" x14ac:dyDescent="0.25">
      <c r="A7107" s="22" t="s">
        <v>7221</v>
      </c>
      <c r="B7107" s="36">
        <v>46153.66875</v>
      </c>
      <c r="C7107" s="36">
        <v>46157.14097222222</v>
      </c>
      <c r="D7107" s="22" t="s">
        <v>33</v>
      </c>
      <c r="E7107" s="22" t="s">
        <v>65</v>
      </c>
      <c r="F7107" s="22" t="s">
        <v>45</v>
      </c>
      <c r="G7107" s="22" t="s">
        <v>121</v>
      </c>
      <c r="H7107" s="22" t="s">
        <v>63</v>
      </c>
      <c r="I7107" s="22" t="s">
        <v>147</v>
      </c>
      <c r="J7107" s="23">
        <v>48</v>
      </c>
      <c r="K7107" s="37">
        <v>0</v>
      </c>
      <c r="L7107" s="37">
        <v>2</v>
      </c>
      <c r="M7107" s="22">
        <f>IF(OR(ISBLANK(C7107),C7107=""),"",ROUND((C7107-B7107)*24,2))</f>
        <v>83.33</v>
      </c>
      <c r="N7107" s="38" t="str">
        <f>IF(OR(ISBLANK(C7107),C7107="",M7107=""),"In Progress",IF(M7107&lt;=J7107,"Met","Breached"))</f>
        <v>Breached</v>
      </c>
    </row>
    <row r="7108" ht="19" customHeight="1" spans="1:14" x14ac:dyDescent="0.25">
      <c r="A7108" s="19" t="s">
        <v>7222</v>
      </c>
      <c r="B7108" s="33">
        <v>45660.37777777778</v>
      </c>
      <c r="C7108" s="33">
        <v>45663.93263888889</v>
      </c>
      <c r="D7108" s="19" t="s">
        <v>33</v>
      </c>
      <c r="E7108" s="19" t="s">
        <v>65</v>
      </c>
      <c r="F7108" s="19" t="s">
        <v>43</v>
      </c>
      <c r="G7108" s="19" t="s">
        <v>110</v>
      </c>
      <c r="H7108" s="19" t="s">
        <v>59</v>
      </c>
      <c r="I7108" s="19" t="s">
        <v>123</v>
      </c>
      <c r="J7108" s="20">
        <v>48</v>
      </c>
      <c r="K7108" s="34">
        <v>0</v>
      </c>
      <c r="L7108" s="34">
        <v>4</v>
      </c>
      <c r="M7108" s="19">
        <f>IF(OR(ISBLANK(C7108),C7108=""),"",ROUND((C7108-B7108)*24,2))</f>
        <v>85.32</v>
      </c>
      <c r="N7108" s="39" t="str">
        <f>IF(OR(ISBLANK(C7108),C7108="",M7108=""),"In Progress",IF(M7108&lt;=J7108,"Met","Breached"))</f>
        <v>Breached</v>
      </c>
    </row>
    <row r="7109" ht="19" customHeight="1" spans="1:14" x14ac:dyDescent="0.25">
      <c r="A7109" s="22" t="s">
        <v>7223</v>
      </c>
      <c r="B7109" s="36">
        <v>46097.853472222225</v>
      </c>
      <c r="C7109" s="36">
        <v>46100.200694444444</v>
      </c>
      <c r="D7109" s="22" t="s">
        <v>33</v>
      </c>
      <c r="E7109" s="22" t="s">
        <v>65</v>
      </c>
      <c r="F7109" s="22" t="s">
        <v>34</v>
      </c>
      <c r="G7109" s="22" t="s">
        <v>110</v>
      </c>
      <c r="H7109" s="22" t="s">
        <v>59</v>
      </c>
      <c r="I7109" s="22" t="s">
        <v>108</v>
      </c>
      <c r="J7109" s="23">
        <v>48</v>
      </c>
      <c r="K7109" s="37">
        <v>0</v>
      </c>
      <c r="L7109" s="37">
        <v>2</v>
      </c>
      <c r="M7109" s="22">
        <f>IF(OR(ISBLANK(C7109),C7109=""),"",ROUND((C7109-B7109)*24,2))</f>
        <v>56.33</v>
      </c>
      <c r="N7109" s="38" t="str">
        <f>IF(OR(ISBLANK(C7109),C7109="",M7109=""),"In Progress",IF(M7109&lt;=J7109,"Met","Breached"))</f>
        <v>Breached</v>
      </c>
    </row>
    <row r="7110" ht="19" customHeight="1" spans="1:14" x14ac:dyDescent="0.25">
      <c r="A7110" s="19" t="s">
        <v>7224</v>
      </c>
      <c r="B7110" s="33">
        <v>46263.91111111111</v>
      </c>
      <c r="C7110" s="33">
        <v>46264.066666666666</v>
      </c>
      <c r="D7110" s="19" t="s">
        <v>33</v>
      </c>
      <c r="E7110" s="19" t="s">
        <v>57</v>
      </c>
      <c r="F7110" s="19" t="s">
        <v>45</v>
      </c>
      <c r="G7110" s="19" t="s">
        <v>126</v>
      </c>
      <c r="H7110" s="19" t="s">
        <v>59</v>
      </c>
      <c r="I7110" s="19" t="s">
        <v>114</v>
      </c>
      <c r="J7110" s="20">
        <v>4</v>
      </c>
      <c r="K7110" s="34">
        <v>0</v>
      </c>
      <c r="L7110" s="34">
        <v>5</v>
      </c>
      <c r="M7110" s="19">
        <f>IF(OR(ISBLANK(C7110),C7110=""),"",ROUND((C7110-B7110)*24,2))</f>
        <v>3.73</v>
      </c>
      <c r="N7110" s="35" t="str">
        <f>IF(OR(ISBLANK(C7110),C7110="",M7110=""),"In Progress",IF(M7110&lt;=J7110,"Met","Breached"))</f>
        <v>Met</v>
      </c>
    </row>
    <row r="7111" ht="19" customHeight="1" spans="1:14" x14ac:dyDescent="0.25">
      <c r="A7111" s="22" t="s">
        <v>7225</v>
      </c>
      <c r="B7111" s="36">
        <v>45913.19652777778</v>
      </c>
      <c r="C7111" s="36">
        <v>45916.33819444444</v>
      </c>
      <c r="D7111" s="22" t="s">
        <v>36</v>
      </c>
      <c r="E7111" s="22" t="s">
        <v>65</v>
      </c>
      <c r="F7111" s="22" t="s">
        <v>34</v>
      </c>
      <c r="G7111" s="22" t="s">
        <v>126</v>
      </c>
      <c r="H7111" s="22" t="s">
        <v>63</v>
      </c>
      <c r="I7111" s="22" t="s">
        <v>114</v>
      </c>
      <c r="J7111" s="23">
        <v>48</v>
      </c>
      <c r="K7111" s="37">
        <v>0</v>
      </c>
      <c r="L7111" s="37">
        <v>4</v>
      </c>
      <c r="M7111" s="22">
        <f>IF(OR(ISBLANK(C7111),C7111=""),"",ROUND((C7111-B7111)*24,2))</f>
        <v>75.4</v>
      </c>
      <c r="N7111" s="38" t="str">
        <f>IF(OR(ISBLANK(C7111),C7111="",M7111=""),"In Progress",IF(M7111&lt;=J7111,"Met","Breached"))</f>
        <v>Breached</v>
      </c>
    </row>
    <row r="7112" ht="19" customHeight="1" spans="1:14" x14ac:dyDescent="0.25">
      <c r="A7112" s="19" t="s">
        <v>7226</v>
      </c>
      <c r="B7112" s="33">
        <v>45921.72222222222</v>
      </c>
      <c r="C7112" s="33">
        <v>45929.08472222222</v>
      </c>
      <c r="D7112" s="19" t="s">
        <v>33</v>
      </c>
      <c r="E7112" s="19" t="s">
        <v>69</v>
      </c>
      <c r="F7112" s="19" t="s">
        <v>40</v>
      </c>
      <c r="G7112" s="19" t="s">
        <v>63</v>
      </c>
      <c r="H7112" s="19" t="s">
        <v>63</v>
      </c>
      <c r="I7112" s="19" t="s">
        <v>123</v>
      </c>
      <c r="J7112" s="20">
        <v>120</v>
      </c>
      <c r="K7112" s="34">
        <v>0</v>
      </c>
      <c r="L7112" s="34">
        <v>3</v>
      </c>
      <c r="M7112" s="19">
        <f>IF(OR(ISBLANK(C7112),C7112=""),"",ROUND((C7112-B7112)*24,2))</f>
        <v>176.7</v>
      </c>
      <c r="N7112" s="39" t="str">
        <f>IF(OR(ISBLANK(C7112),C7112="",M7112=""),"In Progress",IF(M7112&lt;=J7112,"Met","Breached"))</f>
        <v>Breached</v>
      </c>
    </row>
    <row r="7113" ht="19" customHeight="1" spans="1:14" x14ac:dyDescent="0.25">
      <c r="A7113" s="22" t="s">
        <v>7227</v>
      </c>
      <c r="B7113" s="36">
        <v>46042.36319444445</v>
      </c>
      <c r="C7113" s="36">
        <v>46044.78611111111</v>
      </c>
      <c r="D7113" s="22" t="s">
        <v>33</v>
      </c>
      <c r="E7113" s="22" t="s">
        <v>65</v>
      </c>
      <c r="F7113" s="22" t="s">
        <v>40</v>
      </c>
      <c r="G7113" s="22" t="s">
        <v>110</v>
      </c>
      <c r="H7113" s="22" t="s">
        <v>59</v>
      </c>
      <c r="I7113" s="22" t="s">
        <v>123</v>
      </c>
      <c r="J7113" s="23">
        <v>48</v>
      </c>
      <c r="K7113" s="37">
        <v>0</v>
      </c>
      <c r="M7113" s="22">
        <f>IF(OR(ISBLANK(C7113),C7113=""),"",ROUND((C7113-B7113)*24,2))</f>
        <v>58.15</v>
      </c>
      <c r="N7113" s="38" t="str">
        <f>IF(OR(ISBLANK(C7113),C7113="",M7113=""),"In Progress",IF(M7113&lt;=J7113,"Met","Breached"))</f>
        <v>Breached</v>
      </c>
    </row>
    <row r="7114" ht="19" customHeight="1" spans="1:14" x14ac:dyDescent="0.25">
      <c r="A7114" s="19" t="s">
        <v>7228</v>
      </c>
      <c r="B7114" s="33">
        <v>46016.43194444444</v>
      </c>
      <c r="C7114" s="33">
        <v>46018.805555555555</v>
      </c>
      <c r="D7114" s="19" t="s">
        <v>36</v>
      </c>
      <c r="E7114" s="19" t="s">
        <v>69</v>
      </c>
      <c r="F7114" s="19" t="s">
        <v>34</v>
      </c>
      <c r="G7114" s="19" t="s">
        <v>126</v>
      </c>
      <c r="H7114" s="19" t="s">
        <v>71</v>
      </c>
      <c r="I7114" s="19" t="s">
        <v>123</v>
      </c>
      <c r="J7114" s="20">
        <v>120</v>
      </c>
      <c r="K7114" s="34">
        <v>0</v>
      </c>
      <c r="L7114" s="34">
        <v>2</v>
      </c>
      <c r="M7114" s="19">
        <f>IF(OR(ISBLANK(C7114),C7114=""),"",ROUND((C7114-B7114)*24,2))</f>
        <v>56.97</v>
      </c>
      <c r="N7114" s="35" t="str">
        <f>IF(OR(ISBLANK(C7114),C7114="",M7114=""),"In Progress",IF(M7114&lt;=J7114,"Met","Breached"))</f>
        <v>Met</v>
      </c>
    </row>
    <row r="7115" ht="19" customHeight="1" spans="1:14" x14ac:dyDescent="0.25">
      <c r="A7115" s="22" t="s">
        <v>7229</v>
      </c>
      <c r="B7115" s="36">
        <v>45864.85555555555</v>
      </c>
      <c r="C7115" s="36">
        <v>45867.59097222222</v>
      </c>
      <c r="D7115" s="22" t="s">
        <v>33</v>
      </c>
      <c r="E7115" s="22" t="s">
        <v>69</v>
      </c>
      <c r="F7115" s="22" t="s">
        <v>34</v>
      </c>
      <c r="G7115" s="22" t="s">
        <v>126</v>
      </c>
      <c r="H7115" s="22" t="s">
        <v>63</v>
      </c>
      <c r="I7115" s="22" t="s">
        <v>111</v>
      </c>
      <c r="J7115" s="23">
        <v>120</v>
      </c>
      <c r="K7115" s="37">
        <v>0</v>
      </c>
      <c r="L7115" s="37">
        <v>5</v>
      </c>
      <c r="M7115" s="22">
        <f>IF(OR(ISBLANK(C7115),C7115=""),"",ROUND((C7115-B7115)*24,2))</f>
        <v>65.65</v>
      </c>
      <c r="N7115" s="40" t="str">
        <f>IF(OR(ISBLANK(C7115),C7115="",M7115=""),"In Progress",IF(M7115&lt;=J7115,"Met","Breached"))</f>
        <v>Met</v>
      </c>
    </row>
    <row r="7116" ht="19" customHeight="1" spans="1:14" x14ac:dyDescent="0.25">
      <c r="A7116" s="19" t="s">
        <v>7230</v>
      </c>
      <c r="B7116" s="33">
        <v>45963.08125</v>
      </c>
      <c r="C7116" s="33">
        <v>45963.44791666667</v>
      </c>
      <c r="D7116" s="19" t="s">
        <v>33</v>
      </c>
      <c r="E7116" s="19" t="s">
        <v>61</v>
      </c>
      <c r="F7116" s="19" t="s">
        <v>34</v>
      </c>
      <c r="G7116" s="19" t="s">
        <v>113</v>
      </c>
      <c r="H7116" s="19" t="s">
        <v>59</v>
      </c>
      <c r="I7116" s="19" t="s">
        <v>114</v>
      </c>
      <c r="J7116" s="20">
        <v>12</v>
      </c>
      <c r="K7116" s="34">
        <v>0</v>
      </c>
      <c r="L7116" s="34">
        <v>3</v>
      </c>
      <c r="M7116" s="19">
        <f>IF(OR(ISBLANK(C7116),C7116=""),"",ROUND((C7116-B7116)*24,2))</f>
        <v>8.8</v>
      </c>
      <c r="N7116" s="35" t="str">
        <f>IF(OR(ISBLANK(C7116),C7116="",M7116=""),"In Progress",IF(M7116&lt;=J7116,"Met","Breached"))</f>
        <v>Met</v>
      </c>
    </row>
    <row r="7117" ht="19" customHeight="1" spans="1:14" x14ac:dyDescent="0.25">
      <c r="A7117" s="22" t="s">
        <v>7231</v>
      </c>
      <c r="B7117" s="36">
        <v>45882.64444444445</v>
      </c>
      <c r="C7117" s="36">
        <v>45889.99930555555</v>
      </c>
      <c r="D7117" s="22" t="s">
        <v>36</v>
      </c>
      <c r="E7117" s="22" t="s">
        <v>69</v>
      </c>
      <c r="F7117" s="22" t="s">
        <v>43</v>
      </c>
      <c r="G7117" s="22" t="s">
        <v>110</v>
      </c>
      <c r="H7117" s="22" t="s">
        <v>59</v>
      </c>
      <c r="I7117" s="22" t="s">
        <v>114</v>
      </c>
      <c r="J7117" s="23">
        <v>120</v>
      </c>
      <c r="K7117" s="37">
        <v>0</v>
      </c>
      <c r="L7117" s="37">
        <v>1</v>
      </c>
      <c r="M7117" s="22">
        <f>IF(OR(ISBLANK(C7117),C7117=""),"",ROUND((C7117-B7117)*24,2))</f>
        <v>176.52</v>
      </c>
      <c r="N7117" s="38" t="str">
        <f>IF(OR(ISBLANK(C7117),C7117="",M7117=""),"In Progress",IF(M7117&lt;=J7117,"Met","Breached"))</f>
        <v>Breached</v>
      </c>
    </row>
    <row r="7118" ht="19" customHeight="1" spans="1:14" x14ac:dyDescent="0.25">
      <c r="A7118" s="19" t="s">
        <v>7232</v>
      </c>
      <c r="B7118" s="33">
        <v>45751.620833333334</v>
      </c>
      <c r="C7118" s="33">
        <v>45751.89791666667</v>
      </c>
      <c r="D7118" s="19" t="s">
        <v>33</v>
      </c>
      <c r="E7118" s="19" t="s">
        <v>61</v>
      </c>
      <c r="F7118" s="19" t="s">
        <v>45</v>
      </c>
      <c r="G7118" s="19" t="s">
        <v>113</v>
      </c>
      <c r="H7118" s="19" t="s">
        <v>67</v>
      </c>
      <c r="I7118" s="19" t="s">
        <v>117</v>
      </c>
      <c r="J7118" s="20">
        <v>12</v>
      </c>
      <c r="K7118" s="34">
        <v>0</v>
      </c>
      <c r="L7118" s="34">
        <v>1</v>
      </c>
      <c r="M7118" s="19">
        <f>IF(OR(ISBLANK(C7118),C7118=""),"",ROUND((C7118-B7118)*24,2))</f>
        <v>6.65</v>
      </c>
      <c r="N7118" s="35" t="str">
        <f>IF(OR(ISBLANK(C7118),C7118="",M7118=""),"In Progress",IF(M7118&lt;=J7118,"Met","Breached"))</f>
        <v>Met</v>
      </c>
    </row>
    <row r="7119" ht="19" customHeight="1" spans="1:14" x14ac:dyDescent="0.25">
      <c r="A7119" s="22" t="s">
        <v>7233</v>
      </c>
      <c r="B7119" s="36">
        <v>45897.214583333334</v>
      </c>
      <c r="C7119" s="36">
        <v>45898.31875</v>
      </c>
      <c r="D7119" s="22" t="s">
        <v>33</v>
      </c>
      <c r="E7119" s="22" t="s">
        <v>65</v>
      </c>
      <c r="F7119" s="22" t="s">
        <v>45</v>
      </c>
      <c r="G7119" s="22" t="s">
        <v>63</v>
      </c>
      <c r="H7119" s="22" t="s">
        <v>59</v>
      </c>
      <c r="I7119" s="22" t="s">
        <v>117</v>
      </c>
      <c r="J7119" s="23">
        <v>48</v>
      </c>
      <c r="K7119" s="37">
        <v>0</v>
      </c>
      <c r="M7119" s="22">
        <f>IF(OR(ISBLANK(C7119),C7119=""),"",ROUND((C7119-B7119)*24,2))</f>
        <v>26.5</v>
      </c>
      <c r="N7119" s="40" t="str">
        <f>IF(OR(ISBLANK(C7119),C7119="",M7119=""),"In Progress",IF(M7119&lt;=J7119,"Met","Breached"))</f>
        <v>Met</v>
      </c>
    </row>
    <row r="7120" ht="19" customHeight="1" spans="1:14" x14ac:dyDescent="0.25">
      <c r="A7120" s="19" t="s">
        <v>7234</v>
      </c>
      <c r="B7120" s="33">
        <v>46044.47361111111</v>
      </c>
      <c r="C7120" s="33">
        <v>46047.53263888889</v>
      </c>
      <c r="D7120" s="19" t="s">
        <v>36</v>
      </c>
      <c r="E7120" s="19" t="s">
        <v>65</v>
      </c>
      <c r="F7120" s="19" t="s">
        <v>40</v>
      </c>
      <c r="G7120" s="19" t="s">
        <v>110</v>
      </c>
      <c r="H7120" s="19" t="s">
        <v>59</v>
      </c>
      <c r="I7120" s="19" t="s">
        <v>117</v>
      </c>
      <c r="J7120" s="20">
        <v>48</v>
      </c>
      <c r="K7120" s="34">
        <v>0</v>
      </c>
      <c r="L7120" s="34">
        <v>1</v>
      </c>
      <c r="M7120" s="19">
        <f>IF(OR(ISBLANK(C7120),C7120=""),"",ROUND((C7120-B7120)*24,2))</f>
        <v>73.42</v>
      </c>
      <c r="N7120" s="39" t="str">
        <f>IF(OR(ISBLANK(C7120),C7120="",M7120=""),"In Progress",IF(M7120&lt;=J7120,"Met","Breached"))</f>
        <v>Breached</v>
      </c>
    </row>
    <row r="7121" ht="19" customHeight="1" spans="1:14" x14ac:dyDescent="0.25">
      <c r="A7121" s="22" t="s">
        <v>7235</v>
      </c>
      <c r="B7121" s="36">
        <v>45807.99791666667</v>
      </c>
      <c r="C7121" s="36">
        <v>45815.540972222225</v>
      </c>
      <c r="D7121" s="22" t="s">
        <v>33</v>
      </c>
      <c r="E7121" s="22" t="s">
        <v>69</v>
      </c>
      <c r="F7121" s="22" t="s">
        <v>34</v>
      </c>
      <c r="G7121" s="22" t="s">
        <v>116</v>
      </c>
      <c r="H7121" s="22" t="s">
        <v>63</v>
      </c>
      <c r="I7121" s="22" t="s">
        <v>114</v>
      </c>
      <c r="J7121" s="23">
        <v>120</v>
      </c>
      <c r="K7121" s="37">
        <v>0</v>
      </c>
      <c r="L7121" s="37">
        <v>2</v>
      </c>
      <c r="M7121" s="22">
        <f>IF(OR(ISBLANK(C7121),C7121=""),"",ROUND((C7121-B7121)*24,2))</f>
        <v>181.03</v>
      </c>
      <c r="N7121" s="38" t="str">
        <f>IF(OR(ISBLANK(C7121),C7121="",M7121=""),"In Progress",IF(M7121&lt;=J7121,"Met","Breached"))</f>
        <v>Breached</v>
      </c>
    </row>
    <row r="7122" ht="19" customHeight="1" spans="1:14" x14ac:dyDescent="0.25">
      <c r="A7122" s="19" t="s">
        <v>7236</v>
      </c>
      <c r="B7122" s="33">
        <v>45737.163888888885</v>
      </c>
      <c r="C7122" s="33">
        <v>45738.299305555556</v>
      </c>
      <c r="D7122" s="19" t="s">
        <v>33</v>
      </c>
      <c r="E7122" s="19" t="s">
        <v>65</v>
      </c>
      <c r="F7122" s="19" t="s">
        <v>45</v>
      </c>
      <c r="G7122" s="19" t="s">
        <v>121</v>
      </c>
      <c r="H7122" s="19" t="s">
        <v>59</v>
      </c>
      <c r="I7122" s="19" t="s">
        <v>108</v>
      </c>
      <c r="J7122" s="20">
        <v>48</v>
      </c>
      <c r="K7122" s="34">
        <v>0</v>
      </c>
      <c r="M7122" s="19">
        <f>IF(OR(ISBLANK(C7122),C7122=""),"",ROUND((C7122-B7122)*24,2))</f>
        <v>27.25</v>
      </c>
      <c r="N7122" s="35" t="str">
        <f>IF(OR(ISBLANK(C7122),C7122="",M7122=""),"In Progress",IF(M7122&lt;=J7122,"Met","Breached"))</f>
        <v>Met</v>
      </c>
    </row>
    <row r="7123" ht="19" customHeight="1" spans="1:14" x14ac:dyDescent="0.25">
      <c r="A7123" s="22" t="s">
        <v>7237</v>
      </c>
      <c r="B7123" s="36">
        <v>45886.1375</v>
      </c>
      <c r="C7123" s="36">
        <v>45886.82916666666</v>
      </c>
      <c r="D7123" s="22" t="s">
        <v>33</v>
      </c>
      <c r="E7123" s="22" t="s">
        <v>61</v>
      </c>
      <c r="F7123" s="22" t="s">
        <v>40</v>
      </c>
      <c r="G7123" s="22" t="s">
        <v>113</v>
      </c>
      <c r="H7123" s="22" t="s">
        <v>71</v>
      </c>
      <c r="I7123" s="22" t="s">
        <v>111</v>
      </c>
      <c r="J7123" s="23">
        <v>12</v>
      </c>
      <c r="K7123" s="37">
        <v>0</v>
      </c>
      <c r="L7123" s="37">
        <v>1</v>
      </c>
      <c r="M7123" s="22">
        <f>IF(OR(ISBLANK(C7123),C7123=""),"",ROUND((C7123-B7123)*24,2))</f>
        <v>16.6</v>
      </c>
      <c r="N7123" s="38" t="str">
        <f>IF(OR(ISBLANK(C7123),C7123="",M7123=""),"In Progress",IF(M7123&lt;=J7123,"Met","Breached"))</f>
        <v>Breached</v>
      </c>
    </row>
    <row r="7124" ht="19" customHeight="1" spans="1:14" x14ac:dyDescent="0.25">
      <c r="A7124" s="19" t="s">
        <v>7238</v>
      </c>
      <c r="B7124" s="33">
        <v>45679.27013888889</v>
      </c>
      <c r="C7124" s="33">
        <v>45681.214583333334</v>
      </c>
      <c r="D7124" s="19" t="s">
        <v>33</v>
      </c>
      <c r="E7124" s="19" t="s">
        <v>65</v>
      </c>
      <c r="F7124" s="19" t="s">
        <v>43</v>
      </c>
      <c r="G7124" s="19" t="s">
        <v>116</v>
      </c>
      <c r="H7124" s="19" t="s">
        <v>59</v>
      </c>
      <c r="I7124" s="19" t="s">
        <v>147</v>
      </c>
      <c r="J7124" s="20">
        <v>48</v>
      </c>
      <c r="K7124" s="34">
        <v>0</v>
      </c>
      <c r="L7124" s="34">
        <v>5</v>
      </c>
      <c r="M7124" s="19">
        <f>IF(OR(ISBLANK(C7124),C7124=""),"",ROUND((C7124-B7124)*24,2))</f>
        <v>46.67</v>
      </c>
      <c r="N7124" s="35" t="str">
        <f>IF(OR(ISBLANK(C7124),C7124="",M7124=""),"In Progress",IF(M7124&lt;=J7124,"Met","Breached"))</f>
        <v>Met</v>
      </c>
    </row>
    <row r="7125" ht="19" customHeight="1" spans="1:14" x14ac:dyDescent="0.25">
      <c r="A7125" s="22" t="s">
        <v>7239</v>
      </c>
      <c r="B7125" s="36">
        <v>46086.91527777778</v>
      </c>
      <c r="C7125" s="36">
        <v>46089.57638888889</v>
      </c>
      <c r="D7125" s="22" t="s">
        <v>36</v>
      </c>
      <c r="E7125" s="22" t="s">
        <v>65</v>
      </c>
      <c r="F7125" s="22" t="s">
        <v>37</v>
      </c>
      <c r="G7125" s="22" t="s">
        <v>116</v>
      </c>
      <c r="H7125" s="22" t="s">
        <v>67</v>
      </c>
      <c r="I7125" s="22" t="s">
        <v>111</v>
      </c>
      <c r="J7125" s="23">
        <v>48</v>
      </c>
      <c r="K7125" s="37">
        <v>1</v>
      </c>
      <c r="L7125" s="37">
        <v>3</v>
      </c>
      <c r="M7125" s="22">
        <f>IF(OR(ISBLANK(C7125),C7125=""),"",ROUND((C7125-B7125)*24,2))</f>
        <v>63.87</v>
      </c>
      <c r="N7125" s="38" t="str">
        <f>IF(OR(ISBLANK(C7125),C7125="",M7125=""),"In Progress",IF(M7125&lt;=J7125,"Met","Breached"))</f>
        <v>Breached</v>
      </c>
    </row>
    <row r="7126" ht="19" customHeight="1" spans="1:14" x14ac:dyDescent="0.25">
      <c r="A7126" s="19" t="s">
        <v>7240</v>
      </c>
      <c r="B7126" s="33">
        <v>45875.64583333333</v>
      </c>
      <c r="C7126" s="33">
        <v>45878.97083333333</v>
      </c>
      <c r="D7126" s="19" t="s">
        <v>33</v>
      </c>
      <c r="E7126" s="19" t="s">
        <v>65</v>
      </c>
      <c r="F7126" s="19" t="s">
        <v>40</v>
      </c>
      <c r="G7126" s="19" t="s">
        <v>110</v>
      </c>
      <c r="H7126" s="19" t="s">
        <v>63</v>
      </c>
      <c r="I7126" s="19" t="s">
        <v>147</v>
      </c>
      <c r="J7126" s="20">
        <v>48</v>
      </c>
      <c r="K7126" s="34">
        <v>0</v>
      </c>
      <c r="L7126" s="34">
        <v>5</v>
      </c>
      <c r="M7126" s="19">
        <f>IF(OR(ISBLANK(C7126),C7126=""),"",ROUND((C7126-B7126)*24,2))</f>
        <v>79.8</v>
      </c>
      <c r="N7126" s="39" t="str">
        <f>IF(OR(ISBLANK(C7126),C7126="",M7126=""),"In Progress",IF(M7126&lt;=J7126,"Met","Breached"))</f>
        <v>Breached</v>
      </c>
    </row>
    <row r="7127" ht="19" customHeight="1" spans="1:14" x14ac:dyDescent="0.25">
      <c r="A7127" s="22" t="s">
        <v>7241</v>
      </c>
      <c r="B7127" s="36">
        <v>46076.99513888889</v>
      </c>
      <c r="C7127" s="36">
        <v>46078.73055555555</v>
      </c>
      <c r="D7127" s="22" t="s">
        <v>36</v>
      </c>
      <c r="E7127" s="22" t="s">
        <v>65</v>
      </c>
      <c r="F7127" s="22" t="s">
        <v>45</v>
      </c>
      <c r="G7127" s="22" t="s">
        <v>126</v>
      </c>
      <c r="H7127" s="22" t="s">
        <v>63</v>
      </c>
      <c r="I7127" s="22" t="s">
        <v>117</v>
      </c>
      <c r="J7127" s="23">
        <v>48</v>
      </c>
      <c r="K7127" s="37">
        <v>0</v>
      </c>
      <c r="L7127" s="37">
        <v>3</v>
      </c>
      <c r="M7127" s="22">
        <f>IF(OR(ISBLANK(C7127),C7127=""),"",ROUND((C7127-B7127)*24,2))</f>
        <v>41.65</v>
      </c>
      <c r="N7127" s="40" t="str">
        <f>IF(OR(ISBLANK(C7127),C7127="",M7127=""),"In Progress",IF(M7127&lt;=J7127,"Met","Breached"))</f>
        <v>Met</v>
      </c>
    </row>
    <row r="7128" ht="19" customHeight="1" spans="1:14" x14ac:dyDescent="0.25">
      <c r="A7128" s="19" t="s">
        <v>7242</v>
      </c>
      <c r="B7128" s="33">
        <v>45823.152083333334</v>
      </c>
      <c r="C7128" s="33">
        <v>45826.56875</v>
      </c>
      <c r="D7128" s="19" t="s">
        <v>33</v>
      </c>
      <c r="E7128" s="19" t="s">
        <v>65</v>
      </c>
      <c r="F7128" s="19" t="s">
        <v>45</v>
      </c>
      <c r="G7128" s="19" t="s">
        <v>110</v>
      </c>
      <c r="H7128" s="19" t="s">
        <v>59</v>
      </c>
      <c r="I7128" s="19" t="s">
        <v>123</v>
      </c>
      <c r="J7128" s="20">
        <v>48</v>
      </c>
      <c r="K7128" s="34">
        <v>0</v>
      </c>
      <c r="M7128" s="19">
        <f>IF(OR(ISBLANK(C7128),C7128=""),"",ROUND((C7128-B7128)*24,2))</f>
        <v>82</v>
      </c>
      <c r="N7128" s="39" t="str">
        <f>IF(OR(ISBLANK(C7128),C7128="",M7128=""),"In Progress",IF(M7128&lt;=J7128,"Met","Breached"))</f>
        <v>Breached</v>
      </c>
    </row>
    <row r="7129" ht="19" customHeight="1" spans="1:14" x14ac:dyDescent="0.25">
      <c r="A7129" s="22" t="s">
        <v>7243</v>
      </c>
      <c r="B7129" s="36">
        <v>45746.525</v>
      </c>
      <c r="C7129" s="36">
        <v>45750.103472222225</v>
      </c>
      <c r="D7129" s="22" t="s">
        <v>36</v>
      </c>
      <c r="E7129" s="22" t="s">
        <v>65</v>
      </c>
      <c r="F7129" s="22" t="s">
        <v>34</v>
      </c>
      <c r="G7129" s="22" t="s">
        <v>121</v>
      </c>
      <c r="H7129" s="22" t="s">
        <v>59</v>
      </c>
      <c r="I7129" s="22" t="s">
        <v>117</v>
      </c>
      <c r="J7129" s="23">
        <v>48</v>
      </c>
      <c r="K7129" s="37">
        <v>0</v>
      </c>
      <c r="M7129" s="22">
        <f>IF(OR(ISBLANK(C7129),C7129=""),"",ROUND((C7129-B7129)*24,2))</f>
        <v>85.88</v>
      </c>
      <c r="N7129" s="38" t="str">
        <f>IF(OR(ISBLANK(C7129),C7129="",M7129=""),"In Progress",IF(M7129&lt;=J7129,"Met","Breached"))</f>
        <v>Breached</v>
      </c>
    </row>
    <row r="7130" ht="19" customHeight="1" spans="1:14" x14ac:dyDescent="0.25">
      <c r="A7130" s="19" t="s">
        <v>7244</v>
      </c>
      <c r="B7130" s="33">
        <v>45885.21805555555</v>
      </c>
      <c r="C7130" s="33">
        <v>45885.71388888889</v>
      </c>
      <c r="D7130" s="19" t="s">
        <v>33</v>
      </c>
      <c r="E7130" s="19" t="s">
        <v>61</v>
      </c>
      <c r="F7130" s="19" t="s">
        <v>34</v>
      </c>
      <c r="G7130" s="19" t="s">
        <v>63</v>
      </c>
      <c r="H7130" s="19" t="s">
        <v>59</v>
      </c>
      <c r="I7130" s="19" t="s">
        <v>111</v>
      </c>
      <c r="J7130" s="20">
        <v>12</v>
      </c>
      <c r="K7130" s="34">
        <v>1</v>
      </c>
      <c r="M7130" s="19">
        <f>IF(OR(ISBLANK(C7130),C7130=""),"",ROUND((C7130-B7130)*24,2))</f>
        <v>11.9</v>
      </c>
      <c r="N7130" s="35" t="str">
        <f>IF(OR(ISBLANK(C7130),C7130="",M7130=""),"In Progress",IF(M7130&lt;=J7130,"Met","Breached"))</f>
        <v>Met</v>
      </c>
    </row>
    <row r="7131" ht="19" customHeight="1" spans="1:14" x14ac:dyDescent="0.25">
      <c r="A7131" s="22" t="s">
        <v>7245</v>
      </c>
      <c r="B7131" s="36">
        <v>45998.72430555556</v>
      </c>
      <c r="C7131" s="36">
        <v>45999.50069444445</v>
      </c>
      <c r="D7131" s="22" t="s">
        <v>33</v>
      </c>
      <c r="E7131" s="22" t="s">
        <v>61</v>
      </c>
      <c r="F7131" s="22" t="s">
        <v>43</v>
      </c>
      <c r="G7131" s="22" t="s">
        <v>126</v>
      </c>
      <c r="H7131" s="22" t="s">
        <v>63</v>
      </c>
      <c r="I7131" s="22" t="s">
        <v>147</v>
      </c>
      <c r="J7131" s="23">
        <v>12</v>
      </c>
      <c r="K7131" s="37">
        <v>0</v>
      </c>
      <c r="L7131" s="37">
        <v>2</v>
      </c>
      <c r="M7131" s="22">
        <f>IF(OR(ISBLANK(C7131),C7131=""),"",ROUND((C7131-B7131)*24,2))</f>
        <v>18.63</v>
      </c>
      <c r="N7131" s="38" t="str">
        <f>IF(OR(ISBLANK(C7131),C7131="",M7131=""),"In Progress",IF(M7131&lt;=J7131,"Met","Breached"))</f>
        <v>Breached</v>
      </c>
    </row>
    <row r="7132" ht="19" customHeight="1" spans="1:14" x14ac:dyDescent="0.25">
      <c r="A7132" s="19" t="s">
        <v>7246</v>
      </c>
      <c r="B7132" s="33">
        <v>46091.7125</v>
      </c>
      <c r="D7132" s="19" t="s">
        <v>39</v>
      </c>
      <c r="E7132" s="19" t="s">
        <v>69</v>
      </c>
      <c r="F7132" s="19" t="s">
        <v>40</v>
      </c>
      <c r="G7132" s="19" t="s">
        <v>116</v>
      </c>
      <c r="H7132" s="19" t="s">
        <v>59</v>
      </c>
      <c r="I7132" s="19" t="s">
        <v>114</v>
      </c>
      <c r="J7132" s="20">
        <v>120</v>
      </c>
      <c r="K7132" s="34">
        <v>0</v>
      </c>
      <c r="M7132" s="19" t="str">
        <f>IF(OR(ISBLANK(C7132),C7132=""),"",ROUND((C7132-B7132)*24,2))</f>
        <v/>
      </c>
      <c r="N7132" s="19" t="str">
        <f>IF(OR(ISBLANK(C7132),C7132="",M7132=""),"In Progress",IF(M7132&lt;=J7132,"Met","Breached"))</f>
        <v>In Progress</v>
      </c>
    </row>
    <row r="7133" ht="19" customHeight="1" spans="1:14" x14ac:dyDescent="0.25">
      <c r="A7133" s="22" t="s">
        <v>7247</v>
      </c>
      <c r="B7133" s="36">
        <v>45793.575694444444</v>
      </c>
      <c r="C7133" s="36">
        <v>45794.40763888889</v>
      </c>
      <c r="D7133" s="22" t="s">
        <v>36</v>
      </c>
      <c r="E7133" s="22" t="s">
        <v>65</v>
      </c>
      <c r="F7133" s="22" t="s">
        <v>37</v>
      </c>
      <c r="G7133" s="22" t="s">
        <v>113</v>
      </c>
      <c r="H7133" s="22" t="s">
        <v>63</v>
      </c>
      <c r="I7133" s="22" t="s">
        <v>114</v>
      </c>
      <c r="J7133" s="23">
        <v>48</v>
      </c>
      <c r="K7133" s="37">
        <v>0</v>
      </c>
      <c r="M7133" s="22">
        <f>IF(OR(ISBLANK(C7133),C7133=""),"",ROUND((C7133-B7133)*24,2))</f>
        <v>19.97</v>
      </c>
      <c r="N7133" s="40" t="str">
        <f>IF(OR(ISBLANK(C7133),C7133="",M7133=""),"In Progress",IF(M7133&lt;=J7133,"Met","Breached"))</f>
        <v>Met</v>
      </c>
    </row>
    <row r="7134" ht="19" customHeight="1" spans="1:14" x14ac:dyDescent="0.25">
      <c r="A7134" s="19" t="s">
        <v>7248</v>
      </c>
      <c r="B7134" s="33">
        <v>45733.21666666667</v>
      </c>
      <c r="C7134" s="33">
        <v>45738.90833333333</v>
      </c>
      <c r="D7134" s="19" t="s">
        <v>36</v>
      </c>
      <c r="E7134" s="19" t="s">
        <v>69</v>
      </c>
      <c r="F7134" s="19" t="s">
        <v>45</v>
      </c>
      <c r="G7134" s="19" t="s">
        <v>113</v>
      </c>
      <c r="H7134" s="19" t="s">
        <v>67</v>
      </c>
      <c r="I7134" s="19" t="s">
        <v>147</v>
      </c>
      <c r="J7134" s="20">
        <v>120</v>
      </c>
      <c r="K7134" s="34">
        <v>0</v>
      </c>
      <c r="L7134" s="34">
        <v>3</v>
      </c>
      <c r="M7134" s="19">
        <f>IF(OR(ISBLANK(C7134),C7134=""),"",ROUND((C7134-B7134)*24,2))</f>
        <v>136.6</v>
      </c>
      <c r="N7134" s="39" t="str">
        <f>IF(OR(ISBLANK(C7134),C7134="",M7134=""),"In Progress",IF(M7134&lt;=J7134,"Met","Breached"))</f>
        <v>Breached</v>
      </c>
    </row>
    <row r="7135" ht="19" customHeight="1" spans="1:14" x14ac:dyDescent="0.25">
      <c r="A7135" s="22" t="s">
        <v>7249</v>
      </c>
      <c r="B7135" s="36">
        <v>46137.31875</v>
      </c>
      <c r="C7135" s="36">
        <v>46143.910416666666</v>
      </c>
      <c r="D7135" s="22" t="s">
        <v>36</v>
      </c>
      <c r="E7135" s="22" t="s">
        <v>69</v>
      </c>
      <c r="F7135" s="22" t="s">
        <v>34</v>
      </c>
      <c r="G7135" s="22" t="s">
        <v>116</v>
      </c>
      <c r="H7135" s="22" t="s">
        <v>59</v>
      </c>
      <c r="I7135" s="22" t="s">
        <v>117</v>
      </c>
      <c r="J7135" s="23">
        <v>120</v>
      </c>
      <c r="K7135" s="37">
        <v>0</v>
      </c>
      <c r="L7135" s="37">
        <v>4</v>
      </c>
      <c r="M7135" s="22">
        <f>IF(OR(ISBLANK(C7135),C7135=""),"",ROUND((C7135-B7135)*24,2))</f>
        <v>158.2</v>
      </c>
      <c r="N7135" s="38" t="str">
        <f>IF(OR(ISBLANK(C7135),C7135="",M7135=""),"In Progress",IF(M7135&lt;=J7135,"Met","Breached"))</f>
        <v>Breached</v>
      </c>
    </row>
    <row r="7136" ht="19" customHeight="1" spans="1:14" x14ac:dyDescent="0.25">
      <c r="A7136" s="19" t="s">
        <v>7250</v>
      </c>
      <c r="B7136" s="33">
        <v>46168.58888888889</v>
      </c>
      <c r="C7136" s="33">
        <v>46171.96805555555</v>
      </c>
      <c r="D7136" s="19" t="s">
        <v>33</v>
      </c>
      <c r="E7136" s="19" t="s">
        <v>65</v>
      </c>
      <c r="F7136" s="19" t="s">
        <v>43</v>
      </c>
      <c r="G7136" s="19" t="s">
        <v>63</v>
      </c>
      <c r="H7136" s="19" t="s">
        <v>67</v>
      </c>
      <c r="I7136" s="19" t="s">
        <v>147</v>
      </c>
      <c r="J7136" s="20">
        <v>48</v>
      </c>
      <c r="K7136" s="34">
        <v>0</v>
      </c>
      <c r="L7136" s="34">
        <v>1</v>
      </c>
      <c r="M7136" s="19">
        <f>IF(OR(ISBLANK(C7136),C7136=""),"",ROUND((C7136-B7136)*24,2))</f>
        <v>81.1</v>
      </c>
      <c r="N7136" s="39" t="str">
        <f>IF(OR(ISBLANK(C7136),C7136="",M7136=""),"In Progress",IF(M7136&lt;=J7136,"Met","Breached"))</f>
        <v>Breached</v>
      </c>
    </row>
    <row r="7137" ht="19" customHeight="1" spans="1:14" x14ac:dyDescent="0.25">
      <c r="A7137" s="22" t="s">
        <v>7251</v>
      </c>
      <c r="B7137" s="36">
        <v>46047.5875</v>
      </c>
      <c r="C7137" s="36">
        <v>46049.506944444445</v>
      </c>
      <c r="D7137" s="22" t="s">
        <v>36</v>
      </c>
      <c r="E7137" s="22" t="s">
        <v>65</v>
      </c>
      <c r="F7137" s="22" t="s">
        <v>40</v>
      </c>
      <c r="G7137" s="22" t="s">
        <v>113</v>
      </c>
      <c r="H7137" s="22" t="s">
        <v>59</v>
      </c>
      <c r="I7137" s="22" t="s">
        <v>147</v>
      </c>
      <c r="J7137" s="23">
        <v>48</v>
      </c>
      <c r="K7137" s="37">
        <v>0</v>
      </c>
      <c r="M7137" s="22">
        <f>IF(OR(ISBLANK(C7137),C7137=""),"",ROUND((C7137-B7137)*24,2))</f>
        <v>46.07</v>
      </c>
      <c r="N7137" s="40" t="str">
        <f>IF(OR(ISBLANK(C7137),C7137="",M7137=""),"In Progress",IF(M7137&lt;=J7137,"Met","Breached"))</f>
        <v>Met</v>
      </c>
    </row>
    <row r="7138" ht="19" customHeight="1" spans="1:14" x14ac:dyDescent="0.25">
      <c r="A7138" s="19" t="s">
        <v>7252</v>
      </c>
      <c r="B7138" s="33">
        <v>45769.72013888889</v>
      </c>
      <c r="C7138" s="33">
        <v>45771.40625</v>
      </c>
      <c r="D7138" s="19" t="s">
        <v>36</v>
      </c>
      <c r="E7138" s="19" t="s">
        <v>65</v>
      </c>
      <c r="F7138" s="19" t="s">
        <v>45</v>
      </c>
      <c r="G7138" s="19" t="s">
        <v>110</v>
      </c>
      <c r="H7138" s="19" t="s">
        <v>59</v>
      </c>
      <c r="I7138" s="19" t="s">
        <v>114</v>
      </c>
      <c r="J7138" s="20">
        <v>48</v>
      </c>
      <c r="K7138" s="34">
        <v>0</v>
      </c>
      <c r="L7138" s="34">
        <v>1</v>
      </c>
      <c r="M7138" s="19">
        <f>IF(OR(ISBLANK(C7138),C7138=""),"",ROUND((C7138-B7138)*24,2))</f>
        <v>40.47</v>
      </c>
      <c r="N7138" s="35" t="str">
        <f>IF(OR(ISBLANK(C7138),C7138="",M7138=""),"In Progress",IF(M7138&lt;=J7138,"Met","Breached"))</f>
        <v>Met</v>
      </c>
    </row>
    <row r="7139" ht="19" customHeight="1" spans="1:14" x14ac:dyDescent="0.25">
      <c r="A7139" s="22" t="s">
        <v>7253</v>
      </c>
      <c r="B7139" s="36">
        <v>45711.88125</v>
      </c>
      <c r="C7139" s="36">
        <v>45714.535416666666</v>
      </c>
      <c r="D7139" s="22" t="s">
        <v>33</v>
      </c>
      <c r="E7139" s="22" t="s">
        <v>65</v>
      </c>
      <c r="F7139" s="22" t="s">
        <v>43</v>
      </c>
      <c r="G7139" s="22" t="s">
        <v>63</v>
      </c>
      <c r="H7139" s="22" t="s">
        <v>63</v>
      </c>
      <c r="I7139" s="22" t="s">
        <v>114</v>
      </c>
      <c r="J7139" s="23">
        <v>48</v>
      </c>
      <c r="K7139" s="37">
        <v>0</v>
      </c>
      <c r="L7139" s="37">
        <v>4</v>
      </c>
      <c r="M7139" s="22">
        <f>IF(OR(ISBLANK(C7139),C7139=""),"",ROUND((C7139-B7139)*24,2))</f>
        <v>63.7</v>
      </c>
      <c r="N7139" s="38" t="str">
        <f>IF(OR(ISBLANK(C7139),C7139="",M7139=""),"In Progress",IF(M7139&lt;=J7139,"Met","Breached"))</f>
        <v>Breached</v>
      </c>
    </row>
    <row r="7140" ht="19" customHeight="1" spans="1:14" x14ac:dyDescent="0.25">
      <c r="A7140" s="19" t="s">
        <v>7254</v>
      </c>
      <c r="B7140" s="33">
        <v>46073.132638888885</v>
      </c>
      <c r="C7140" s="33">
        <v>46076.566666666666</v>
      </c>
      <c r="D7140" s="19" t="s">
        <v>36</v>
      </c>
      <c r="E7140" s="19" t="s">
        <v>65</v>
      </c>
      <c r="F7140" s="19" t="s">
        <v>34</v>
      </c>
      <c r="G7140" s="19" t="s">
        <v>126</v>
      </c>
      <c r="H7140" s="19" t="s">
        <v>67</v>
      </c>
      <c r="I7140" s="19" t="s">
        <v>114</v>
      </c>
      <c r="J7140" s="20">
        <v>48</v>
      </c>
      <c r="K7140" s="34">
        <v>0</v>
      </c>
      <c r="M7140" s="19">
        <f>IF(OR(ISBLANK(C7140),C7140=""),"",ROUND((C7140-B7140)*24,2))</f>
        <v>82.42</v>
      </c>
      <c r="N7140" s="39" t="str">
        <f>IF(OR(ISBLANK(C7140),C7140="",M7140=""),"In Progress",IF(M7140&lt;=J7140,"Met","Breached"))</f>
        <v>Breached</v>
      </c>
    </row>
    <row r="7141" ht="19" customHeight="1" spans="1:14" x14ac:dyDescent="0.25">
      <c r="A7141" s="22" t="s">
        <v>7255</v>
      </c>
      <c r="B7141" s="36">
        <v>46198.472916666666</v>
      </c>
      <c r="D7141" s="22" t="s">
        <v>39</v>
      </c>
      <c r="E7141" s="22" t="s">
        <v>65</v>
      </c>
      <c r="F7141" s="22" t="s">
        <v>34</v>
      </c>
      <c r="G7141" s="22" t="s">
        <v>121</v>
      </c>
      <c r="H7141" s="22" t="s">
        <v>63</v>
      </c>
      <c r="I7141" s="22" t="s">
        <v>117</v>
      </c>
      <c r="J7141" s="23">
        <v>48</v>
      </c>
      <c r="K7141" s="37">
        <v>0</v>
      </c>
      <c r="M7141" s="22" t="str">
        <f>IF(OR(ISBLANK(C7141),C7141=""),"",ROUND((C7141-B7141)*24,2))</f>
        <v/>
      </c>
      <c r="N7141" s="22" t="str">
        <f>IF(OR(ISBLANK(C7141),C7141="",M7141=""),"In Progress",IF(M7141&lt;=J7141,"Met","Breached"))</f>
        <v>In Progress</v>
      </c>
    </row>
    <row r="7142" ht="19" customHeight="1" spans="1:14" x14ac:dyDescent="0.25">
      <c r="A7142" s="19" t="s">
        <v>7256</v>
      </c>
      <c r="B7142" s="33">
        <v>46159.59097222222</v>
      </c>
      <c r="C7142" s="33">
        <v>46161.25902777778</v>
      </c>
      <c r="D7142" s="19" t="s">
        <v>33</v>
      </c>
      <c r="E7142" s="19" t="s">
        <v>69</v>
      </c>
      <c r="F7142" s="19" t="s">
        <v>40</v>
      </c>
      <c r="G7142" s="19" t="s">
        <v>116</v>
      </c>
      <c r="H7142" s="19" t="s">
        <v>63</v>
      </c>
      <c r="I7142" s="19" t="s">
        <v>123</v>
      </c>
      <c r="J7142" s="20">
        <v>120</v>
      </c>
      <c r="K7142" s="34">
        <v>0</v>
      </c>
      <c r="M7142" s="19">
        <f>IF(OR(ISBLANK(C7142),C7142=""),"",ROUND((C7142-B7142)*24,2))</f>
        <v>40.03</v>
      </c>
      <c r="N7142" s="35" t="str">
        <f>IF(OR(ISBLANK(C7142),C7142="",M7142=""),"In Progress",IF(M7142&lt;=J7142,"Met","Breached"))</f>
        <v>Met</v>
      </c>
    </row>
    <row r="7143" ht="19" customHeight="1" spans="1:14" x14ac:dyDescent="0.25">
      <c r="A7143" s="22" t="s">
        <v>7257</v>
      </c>
      <c r="B7143" s="36">
        <v>45734.961805555555</v>
      </c>
      <c r="D7143" s="22" t="s">
        <v>39</v>
      </c>
      <c r="E7143" s="22" t="s">
        <v>65</v>
      </c>
      <c r="F7143" s="22" t="s">
        <v>43</v>
      </c>
      <c r="G7143" s="22" t="s">
        <v>126</v>
      </c>
      <c r="H7143" s="22" t="s">
        <v>59</v>
      </c>
      <c r="I7143" s="22" t="s">
        <v>108</v>
      </c>
      <c r="J7143" s="23">
        <v>48</v>
      </c>
      <c r="K7143" s="37">
        <v>0</v>
      </c>
      <c r="M7143" s="22" t="str">
        <f>IF(OR(ISBLANK(C7143),C7143=""),"",ROUND((C7143-B7143)*24,2))</f>
        <v/>
      </c>
      <c r="N7143" s="22" t="str">
        <f>IF(OR(ISBLANK(C7143),C7143="",M7143=""),"In Progress",IF(M7143&lt;=J7143,"Met","Breached"))</f>
        <v>In Progress</v>
      </c>
    </row>
    <row r="7144" ht="19" customHeight="1" spans="1:14" x14ac:dyDescent="0.25">
      <c r="A7144" s="19" t="s">
        <v>7258</v>
      </c>
      <c r="B7144" s="33">
        <v>45908.169444444444</v>
      </c>
      <c r="C7144" s="33">
        <v>45916.63402777778</v>
      </c>
      <c r="D7144" s="19" t="s">
        <v>33</v>
      </c>
      <c r="E7144" s="19" t="s">
        <v>69</v>
      </c>
      <c r="F7144" s="19" t="s">
        <v>34</v>
      </c>
      <c r="G7144" s="19" t="s">
        <v>110</v>
      </c>
      <c r="H7144" s="19" t="s">
        <v>59</v>
      </c>
      <c r="I7144" s="19" t="s">
        <v>111</v>
      </c>
      <c r="J7144" s="20">
        <v>120</v>
      </c>
      <c r="K7144" s="34">
        <v>0</v>
      </c>
      <c r="M7144" s="19">
        <f>IF(OR(ISBLANK(C7144),C7144=""),"",ROUND((C7144-B7144)*24,2))</f>
        <v>203.15</v>
      </c>
      <c r="N7144" s="39" t="str">
        <f>IF(OR(ISBLANK(C7144),C7144="",M7144=""),"In Progress",IF(M7144&lt;=J7144,"Met","Breached"))</f>
        <v>Breached</v>
      </c>
    </row>
    <row r="7145" ht="19" customHeight="1" spans="1:14" x14ac:dyDescent="0.25">
      <c r="A7145" s="22" t="s">
        <v>7259</v>
      </c>
      <c r="B7145" s="36">
        <v>46091.03125</v>
      </c>
      <c r="C7145" s="36">
        <v>46091.19652777778</v>
      </c>
      <c r="D7145" s="22" t="s">
        <v>33</v>
      </c>
      <c r="E7145" s="22" t="s">
        <v>57</v>
      </c>
      <c r="F7145" s="22" t="s">
        <v>34</v>
      </c>
      <c r="G7145" s="22" t="s">
        <v>121</v>
      </c>
      <c r="H7145" s="22" t="s">
        <v>59</v>
      </c>
      <c r="I7145" s="22" t="s">
        <v>111</v>
      </c>
      <c r="J7145" s="23">
        <v>4</v>
      </c>
      <c r="K7145" s="37">
        <v>0</v>
      </c>
      <c r="L7145" s="37">
        <v>5</v>
      </c>
      <c r="M7145" s="22">
        <f>IF(OR(ISBLANK(C7145),C7145=""),"",ROUND((C7145-B7145)*24,2))</f>
        <v>3.97</v>
      </c>
      <c r="N7145" s="40" t="str">
        <f>IF(OR(ISBLANK(C7145),C7145="",M7145=""),"In Progress",IF(M7145&lt;=J7145,"Met","Breached"))</f>
        <v>Met</v>
      </c>
    </row>
    <row r="7146" ht="19" customHeight="1" spans="1:14" x14ac:dyDescent="0.25">
      <c r="A7146" s="19" t="s">
        <v>7260</v>
      </c>
      <c r="B7146" s="33">
        <v>46262.67916666667</v>
      </c>
      <c r="C7146" s="33">
        <v>46268.61319444445</v>
      </c>
      <c r="D7146" s="19" t="s">
        <v>36</v>
      </c>
      <c r="E7146" s="19" t="s">
        <v>69</v>
      </c>
      <c r="F7146" s="19" t="s">
        <v>37</v>
      </c>
      <c r="G7146" s="19" t="s">
        <v>126</v>
      </c>
      <c r="H7146" s="19" t="s">
        <v>59</v>
      </c>
      <c r="I7146" s="19" t="s">
        <v>123</v>
      </c>
      <c r="J7146" s="20">
        <v>120</v>
      </c>
      <c r="K7146" s="34">
        <v>0</v>
      </c>
      <c r="L7146" s="34">
        <v>3</v>
      </c>
      <c r="M7146" s="19">
        <f>IF(OR(ISBLANK(C7146),C7146=""),"",ROUND((C7146-B7146)*24,2))</f>
        <v>142.42</v>
      </c>
      <c r="N7146" s="39" t="str">
        <f>IF(OR(ISBLANK(C7146),C7146="",M7146=""),"In Progress",IF(M7146&lt;=J7146,"Met","Breached"))</f>
        <v>Breached</v>
      </c>
    </row>
    <row r="7147" ht="19" customHeight="1" spans="1:14" x14ac:dyDescent="0.25">
      <c r="A7147" s="22" t="s">
        <v>7261</v>
      </c>
      <c r="B7147" s="36">
        <v>46114.24861111111</v>
      </c>
      <c r="C7147" s="36">
        <v>46114.757638888885</v>
      </c>
      <c r="D7147" s="22" t="s">
        <v>33</v>
      </c>
      <c r="E7147" s="22" t="s">
        <v>61</v>
      </c>
      <c r="F7147" s="22" t="s">
        <v>37</v>
      </c>
      <c r="G7147" s="22" t="s">
        <v>116</v>
      </c>
      <c r="H7147" s="22" t="s">
        <v>71</v>
      </c>
      <c r="I7147" s="22" t="s">
        <v>117</v>
      </c>
      <c r="J7147" s="23">
        <v>12</v>
      </c>
      <c r="K7147" s="37">
        <v>0</v>
      </c>
      <c r="L7147" s="37">
        <v>2</v>
      </c>
      <c r="M7147" s="22">
        <f>IF(OR(ISBLANK(C7147),C7147=""),"",ROUND((C7147-B7147)*24,2))</f>
        <v>12.22</v>
      </c>
      <c r="N7147" s="38" t="str">
        <f>IF(OR(ISBLANK(C7147),C7147="",M7147=""),"In Progress",IF(M7147&lt;=J7147,"Met","Breached"))</f>
        <v>Breached</v>
      </c>
    </row>
    <row r="7148" ht="19" customHeight="1" spans="1:14" x14ac:dyDescent="0.25">
      <c r="A7148" s="19" t="s">
        <v>7262</v>
      </c>
      <c r="B7148" s="33">
        <v>45828.23472222222</v>
      </c>
      <c r="C7148" s="33">
        <v>45836.861805555556</v>
      </c>
      <c r="D7148" s="19" t="s">
        <v>33</v>
      </c>
      <c r="E7148" s="19" t="s">
        <v>69</v>
      </c>
      <c r="F7148" s="19" t="s">
        <v>37</v>
      </c>
      <c r="G7148" s="19" t="s">
        <v>113</v>
      </c>
      <c r="H7148" s="19" t="s">
        <v>67</v>
      </c>
      <c r="I7148" s="19" t="s">
        <v>114</v>
      </c>
      <c r="J7148" s="20">
        <v>120</v>
      </c>
      <c r="K7148" s="34">
        <v>0</v>
      </c>
      <c r="M7148" s="19">
        <f>IF(OR(ISBLANK(C7148),C7148=""),"",ROUND((C7148-B7148)*24,2))</f>
        <v>207.05</v>
      </c>
      <c r="N7148" s="39" t="str">
        <f>IF(OR(ISBLANK(C7148),C7148="",M7148=""),"In Progress",IF(M7148&lt;=J7148,"Met","Breached"))</f>
        <v>Breached</v>
      </c>
    </row>
    <row r="7149" ht="19" customHeight="1" spans="1:14" x14ac:dyDescent="0.25">
      <c r="A7149" s="22" t="s">
        <v>7263</v>
      </c>
      <c r="B7149" s="36">
        <v>45949.28680555556</v>
      </c>
      <c r="C7149" s="36">
        <v>45952.322222222225</v>
      </c>
      <c r="D7149" s="22" t="s">
        <v>36</v>
      </c>
      <c r="E7149" s="22" t="s">
        <v>65</v>
      </c>
      <c r="F7149" s="22" t="s">
        <v>40</v>
      </c>
      <c r="G7149" s="22" t="s">
        <v>113</v>
      </c>
      <c r="H7149" s="22" t="s">
        <v>71</v>
      </c>
      <c r="I7149" s="22" t="s">
        <v>111</v>
      </c>
      <c r="J7149" s="23">
        <v>48</v>
      </c>
      <c r="K7149" s="37">
        <v>0</v>
      </c>
      <c r="M7149" s="22">
        <f>IF(OR(ISBLANK(C7149),C7149=""),"",ROUND((C7149-B7149)*24,2))</f>
        <v>72.85</v>
      </c>
      <c r="N7149" s="38" t="str">
        <f>IF(OR(ISBLANK(C7149),C7149="",M7149=""),"In Progress",IF(M7149&lt;=J7149,"Met","Breached"))</f>
        <v>Breached</v>
      </c>
    </row>
    <row r="7150" ht="19" customHeight="1" spans="1:14" x14ac:dyDescent="0.25">
      <c r="A7150" s="19" t="s">
        <v>7264</v>
      </c>
      <c r="B7150" s="33">
        <v>45854.663194444445</v>
      </c>
      <c r="D7150" s="19" t="s">
        <v>39</v>
      </c>
      <c r="E7150" s="19" t="s">
        <v>65</v>
      </c>
      <c r="F7150" s="19" t="s">
        <v>37</v>
      </c>
      <c r="G7150" s="19" t="s">
        <v>126</v>
      </c>
      <c r="H7150" s="19" t="s">
        <v>59</v>
      </c>
      <c r="I7150" s="19" t="s">
        <v>117</v>
      </c>
      <c r="J7150" s="20">
        <v>48</v>
      </c>
      <c r="K7150" s="34">
        <v>0</v>
      </c>
      <c r="M7150" s="19" t="str">
        <f>IF(OR(ISBLANK(C7150),C7150=""),"",ROUND((C7150-B7150)*24,2))</f>
        <v/>
      </c>
      <c r="N7150" s="19" t="str">
        <f>IF(OR(ISBLANK(C7150),C7150="",M7150=""),"In Progress",IF(M7150&lt;=J7150,"Met","Breached"))</f>
        <v>In Progress</v>
      </c>
    </row>
    <row r="7151" ht="19" customHeight="1" spans="1:14" x14ac:dyDescent="0.25">
      <c r="A7151" s="22" t="s">
        <v>7265</v>
      </c>
      <c r="B7151" s="36">
        <v>46249.97916666667</v>
      </c>
      <c r="C7151" s="36">
        <v>46251.71736111111</v>
      </c>
      <c r="D7151" s="22" t="s">
        <v>33</v>
      </c>
      <c r="E7151" s="22" t="s">
        <v>65</v>
      </c>
      <c r="F7151" s="22" t="s">
        <v>40</v>
      </c>
      <c r="G7151" s="22" t="s">
        <v>113</v>
      </c>
      <c r="H7151" s="22" t="s">
        <v>59</v>
      </c>
      <c r="I7151" s="22" t="s">
        <v>111</v>
      </c>
      <c r="J7151" s="23">
        <v>48</v>
      </c>
      <c r="K7151" s="37">
        <v>0</v>
      </c>
      <c r="L7151" s="37">
        <v>4</v>
      </c>
      <c r="M7151" s="22">
        <f>IF(OR(ISBLANK(C7151),C7151=""),"",ROUND((C7151-B7151)*24,2))</f>
        <v>41.72</v>
      </c>
      <c r="N7151" s="40" t="str">
        <f>IF(OR(ISBLANK(C7151),C7151="",M7151=""),"In Progress",IF(M7151&lt;=J7151,"Met","Breached"))</f>
        <v>Met</v>
      </c>
    </row>
    <row r="7152" ht="19" customHeight="1" spans="1:14" x14ac:dyDescent="0.25">
      <c r="A7152" s="19" t="s">
        <v>7266</v>
      </c>
      <c r="B7152" s="33">
        <v>45730.76388888889</v>
      </c>
      <c r="C7152" s="33">
        <v>45738.10902777778</v>
      </c>
      <c r="D7152" s="19" t="s">
        <v>33</v>
      </c>
      <c r="E7152" s="19" t="s">
        <v>69</v>
      </c>
      <c r="F7152" s="19" t="s">
        <v>45</v>
      </c>
      <c r="G7152" s="19" t="s">
        <v>113</v>
      </c>
      <c r="H7152" s="19" t="s">
        <v>63</v>
      </c>
      <c r="I7152" s="19" t="s">
        <v>114</v>
      </c>
      <c r="J7152" s="20">
        <v>120</v>
      </c>
      <c r="K7152" s="34">
        <v>0</v>
      </c>
      <c r="M7152" s="19">
        <f>IF(OR(ISBLANK(C7152),C7152=""),"",ROUND((C7152-B7152)*24,2))</f>
        <v>176.28</v>
      </c>
      <c r="N7152" s="39" t="str">
        <f>IF(OR(ISBLANK(C7152),C7152="",M7152=""),"In Progress",IF(M7152&lt;=J7152,"Met","Breached"))</f>
        <v>Breached</v>
      </c>
    </row>
    <row r="7153" ht="19" customHeight="1" spans="1:14" x14ac:dyDescent="0.25">
      <c r="A7153" s="22" t="s">
        <v>7267</v>
      </c>
      <c r="B7153" s="36">
        <v>45954.53402777778</v>
      </c>
      <c r="C7153" s="36">
        <v>45955.19583333333</v>
      </c>
      <c r="D7153" s="22" t="s">
        <v>33</v>
      </c>
      <c r="E7153" s="22" t="s">
        <v>61</v>
      </c>
      <c r="F7153" s="22" t="s">
        <v>37</v>
      </c>
      <c r="G7153" s="22" t="s">
        <v>63</v>
      </c>
      <c r="H7153" s="22" t="s">
        <v>63</v>
      </c>
      <c r="I7153" s="22" t="s">
        <v>108</v>
      </c>
      <c r="J7153" s="23">
        <v>12</v>
      </c>
      <c r="K7153" s="37">
        <v>0</v>
      </c>
      <c r="L7153" s="37">
        <v>4</v>
      </c>
      <c r="M7153" s="22">
        <f>IF(OR(ISBLANK(C7153),C7153=""),"",ROUND((C7153-B7153)*24,2))</f>
        <v>15.88</v>
      </c>
      <c r="N7153" s="38" t="str">
        <f>IF(OR(ISBLANK(C7153),C7153="",M7153=""),"In Progress",IF(M7153&lt;=J7153,"Met","Breached"))</f>
        <v>Breached</v>
      </c>
    </row>
    <row r="7154" ht="19" customHeight="1" spans="1:14" x14ac:dyDescent="0.25">
      <c r="A7154" s="19" t="s">
        <v>7268</v>
      </c>
      <c r="B7154" s="33">
        <v>45927.76388888889</v>
      </c>
      <c r="D7154" s="19" t="s">
        <v>42</v>
      </c>
      <c r="E7154" s="19" t="s">
        <v>65</v>
      </c>
      <c r="F7154" s="19" t="s">
        <v>45</v>
      </c>
      <c r="G7154" s="19" t="s">
        <v>116</v>
      </c>
      <c r="H7154" s="19" t="s">
        <v>71</v>
      </c>
      <c r="I7154" s="19" t="s">
        <v>117</v>
      </c>
      <c r="J7154" s="20">
        <v>48</v>
      </c>
      <c r="K7154" s="34">
        <v>0</v>
      </c>
      <c r="M7154" s="19" t="str">
        <f>IF(OR(ISBLANK(C7154),C7154=""),"",ROUND((C7154-B7154)*24,2))</f>
        <v/>
      </c>
      <c r="N7154" s="19" t="str">
        <f>IF(OR(ISBLANK(C7154),C7154="",M7154=""),"In Progress",IF(M7154&lt;=J7154,"Met","Breached"))</f>
        <v>In Progress</v>
      </c>
    </row>
    <row r="7155" ht="19" customHeight="1" spans="1:14" x14ac:dyDescent="0.25">
      <c r="A7155" s="22" t="s">
        <v>7269</v>
      </c>
      <c r="B7155" s="36">
        <v>45701.7625</v>
      </c>
      <c r="D7155" s="22" t="s">
        <v>39</v>
      </c>
      <c r="E7155" s="22" t="s">
        <v>61</v>
      </c>
      <c r="F7155" s="22" t="s">
        <v>37</v>
      </c>
      <c r="G7155" s="22" t="s">
        <v>110</v>
      </c>
      <c r="H7155" s="22" t="s">
        <v>67</v>
      </c>
      <c r="I7155" s="22" t="s">
        <v>123</v>
      </c>
      <c r="J7155" s="23">
        <v>12</v>
      </c>
      <c r="K7155" s="37">
        <v>0</v>
      </c>
      <c r="M7155" s="22" t="str">
        <f>IF(OR(ISBLANK(C7155),C7155=""),"",ROUND((C7155-B7155)*24,2))</f>
        <v/>
      </c>
      <c r="N7155" s="22" t="str">
        <f>IF(OR(ISBLANK(C7155),C7155="",M7155=""),"In Progress",IF(M7155&lt;=J7155,"Met","Breached"))</f>
        <v>In Progress</v>
      </c>
    </row>
    <row r="7156" ht="19" customHeight="1" spans="1:14" x14ac:dyDescent="0.25">
      <c r="A7156" s="19" t="s">
        <v>7270</v>
      </c>
      <c r="B7156" s="33">
        <v>46066.40694444445</v>
      </c>
      <c r="C7156" s="33">
        <v>46067.08888888889</v>
      </c>
      <c r="D7156" s="19" t="s">
        <v>33</v>
      </c>
      <c r="E7156" s="19" t="s">
        <v>61</v>
      </c>
      <c r="F7156" s="19" t="s">
        <v>37</v>
      </c>
      <c r="G7156" s="19" t="s">
        <v>121</v>
      </c>
      <c r="H7156" s="19" t="s">
        <v>59</v>
      </c>
      <c r="I7156" s="19" t="s">
        <v>117</v>
      </c>
      <c r="J7156" s="20">
        <v>12</v>
      </c>
      <c r="K7156" s="34">
        <v>0</v>
      </c>
      <c r="L7156" s="34">
        <v>2</v>
      </c>
      <c r="M7156" s="19">
        <f>IF(OR(ISBLANK(C7156),C7156=""),"",ROUND((C7156-B7156)*24,2))</f>
        <v>16.37</v>
      </c>
      <c r="N7156" s="39" t="str">
        <f>IF(OR(ISBLANK(C7156),C7156="",M7156=""),"In Progress",IF(M7156&lt;=J7156,"Met","Breached"))</f>
        <v>Breached</v>
      </c>
    </row>
    <row r="7157" ht="19" customHeight="1" spans="1:14" x14ac:dyDescent="0.25">
      <c r="A7157" s="22" t="s">
        <v>7271</v>
      </c>
      <c r="B7157" s="36">
        <v>45985.06388888889</v>
      </c>
      <c r="D7157" s="22" t="s">
        <v>39</v>
      </c>
      <c r="E7157" s="22" t="s">
        <v>69</v>
      </c>
      <c r="F7157" s="22" t="s">
        <v>37</v>
      </c>
      <c r="G7157" s="22" t="s">
        <v>110</v>
      </c>
      <c r="H7157" s="22" t="s">
        <v>63</v>
      </c>
      <c r="I7157" s="22" t="s">
        <v>123</v>
      </c>
      <c r="J7157" s="23">
        <v>120</v>
      </c>
      <c r="K7157" s="37">
        <v>0</v>
      </c>
      <c r="M7157" s="22" t="str">
        <f>IF(OR(ISBLANK(C7157),C7157=""),"",ROUND((C7157-B7157)*24,2))</f>
        <v/>
      </c>
      <c r="N7157" s="22" t="str">
        <f>IF(OR(ISBLANK(C7157),C7157="",M7157=""),"In Progress",IF(M7157&lt;=J7157,"Met","Breached"))</f>
        <v>In Progress</v>
      </c>
    </row>
    <row r="7158" ht="19" customHeight="1" spans="1:14" x14ac:dyDescent="0.25">
      <c r="A7158" s="19" t="s">
        <v>7272</v>
      </c>
      <c r="B7158" s="33">
        <v>45929.90972222222</v>
      </c>
      <c r="C7158" s="33">
        <v>45931.67847222222</v>
      </c>
      <c r="D7158" s="19" t="s">
        <v>33</v>
      </c>
      <c r="E7158" s="19" t="s">
        <v>65</v>
      </c>
      <c r="F7158" s="19" t="s">
        <v>45</v>
      </c>
      <c r="G7158" s="19" t="s">
        <v>63</v>
      </c>
      <c r="H7158" s="19" t="s">
        <v>59</v>
      </c>
      <c r="I7158" s="19" t="s">
        <v>123</v>
      </c>
      <c r="J7158" s="20">
        <v>48</v>
      </c>
      <c r="K7158" s="34">
        <v>0</v>
      </c>
      <c r="L7158" s="34">
        <v>1</v>
      </c>
      <c r="M7158" s="19">
        <f>IF(OR(ISBLANK(C7158),C7158=""),"",ROUND((C7158-B7158)*24,2))</f>
        <v>42.45</v>
      </c>
      <c r="N7158" s="35" t="str">
        <f>IF(OR(ISBLANK(C7158),C7158="",M7158=""),"In Progress",IF(M7158&lt;=J7158,"Met","Breached"))</f>
        <v>Met</v>
      </c>
    </row>
    <row r="7159" ht="19" customHeight="1" spans="1:14" x14ac:dyDescent="0.25">
      <c r="A7159" s="22" t="s">
        <v>7273</v>
      </c>
      <c r="B7159" s="36">
        <v>46206.67361111111</v>
      </c>
      <c r="C7159" s="36">
        <v>46209.60625</v>
      </c>
      <c r="D7159" s="22" t="s">
        <v>33</v>
      </c>
      <c r="E7159" s="22" t="s">
        <v>65</v>
      </c>
      <c r="F7159" s="22" t="s">
        <v>34</v>
      </c>
      <c r="G7159" s="22" t="s">
        <v>121</v>
      </c>
      <c r="H7159" s="22" t="s">
        <v>59</v>
      </c>
      <c r="I7159" s="22" t="s">
        <v>123</v>
      </c>
      <c r="J7159" s="23">
        <v>48</v>
      </c>
      <c r="K7159" s="37">
        <v>0</v>
      </c>
      <c r="L7159" s="37">
        <v>3</v>
      </c>
      <c r="M7159" s="22">
        <f>IF(OR(ISBLANK(C7159),C7159=""),"",ROUND((C7159-B7159)*24,2))</f>
        <v>70.38</v>
      </c>
      <c r="N7159" s="38" t="str">
        <f>IF(OR(ISBLANK(C7159),C7159="",M7159=""),"In Progress",IF(M7159&lt;=J7159,"Met","Breached"))</f>
        <v>Breached</v>
      </c>
    </row>
    <row r="7160" ht="19" customHeight="1" spans="1:14" x14ac:dyDescent="0.25">
      <c r="A7160" s="19" t="s">
        <v>7274</v>
      </c>
      <c r="B7160" s="33">
        <v>46204.89513888889</v>
      </c>
      <c r="D7160" s="19" t="s">
        <v>42</v>
      </c>
      <c r="E7160" s="19" t="s">
        <v>61</v>
      </c>
      <c r="F7160" s="19" t="s">
        <v>43</v>
      </c>
      <c r="G7160" s="19" t="s">
        <v>126</v>
      </c>
      <c r="H7160" s="19" t="s">
        <v>63</v>
      </c>
      <c r="I7160" s="19" t="s">
        <v>108</v>
      </c>
      <c r="J7160" s="20">
        <v>12</v>
      </c>
      <c r="K7160" s="34">
        <v>0</v>
      </c>
      <c r="M7160" s="19" t="str">
        <f>IF(OR(ISBLANK(C7160),C7160=""),"",ROUND((C7160-B7160)*24,2))</f>
        <v/>
      </c>
      <c r="N7160" s="19" t="str">
        <f>IF(OR(ISBLANK(C7160),C7160="",M7160=""),"In Progress",IF(M7160&lt;=J7160,"Met","Breached"))</f>
        <v>In Progress</v>
      </c>
    </row>
    <row r="7161" ht="19" customHeight="1" spans="1:14" x14ac:dyDescent="0.25">
      <c r="A7161" s="22" t="s">
        <v>7275</v>
      </c>
      <c r="B7161" s="36">
        <v>46037.200694444444</v>
      </c>
      <c r="C7161" s="36">
        <v>46040.82152777778</v>
      </c>
      <c r="D7161" s="22" t="s">
        <v>33</v>
      </c>
      <c r="E7161" s="22" t="s">
        <v>69</v>
      </c>
      <c r="F7161" s="22" t="s">
        <v>34</v>
      </c>
      <c r="G7161" s="22" t="s">
        <v>113</v>
      </c>
      <c r="H7161" s="22" t="s">
        <v>63</v>
      </c>
      <c r="I7161" s="22" t="s">
        <v>147</v>
      </c>
      <c r="J7161" s="23">
        <v>120</v>
      </c>
      <c r="K7161" s="37">
        <v>0</v>
      </c>
      <c r="M7161" s="22">
        <f>IF(OR(ISBLANK(C7161),C7161=""),"",ROUND((C7161-B7161)*24,2))</f>
        <v>86.9</v>
      </c>
      <c r="N7161" s="40" t="str">
        <f>IF(OR(ISBLANK(C7161),C7161="",M7161=""),"In Progress",IF(M7161&lt;=J7161,"Met","Breached"))</f>
        <v>Met</v>
      </c>
    </row>
    <row r="7162" ht="19" customHeight="1" spans="1:14" x14ac:dyDescent="0.25">
      <c r="A7162" s="19" t="s">
        <v>7276</v>
      </c>
      <c r="B7162" s="33">
        <v>45660.388194444444</v>
      </c>
      <c r="C7162" s="33">
        <v>45666.58194444445</v>
      </c>
      <c r="D7162" s="19" t="s">
        <v>36</v>
      </c>
      <c r="E7162" s="19" t="s">
        <v>69</v>
      </c>
      <c r="F7162" s="19" t="s">
        <v>45</v>
      </c>
      <c r="G7162" s="19" t="s">
        <v>110</v>
      </c>
      <c r="H7162" s="19" t="s">
        <v>59</v>
      </c>
      <c r="I7162" s="19" t="s">
        <v>108</v>
      </c>
      <c r="J7162" s="20">
        <v>120</v>
      </c>
      <c r="K7162" s="34">
        <v>0</v>
      </c>
      <c r="L7162" s="34">
        <v>4</v>
      </c>
      <c r="M7162" s="19">
        <f>IF(OR(ISBLANK(C7162),C7162=""),"",ROUND((C7162-B7162)*24,2))</f>
        <v>148.65</v>
      </c>
      <c r="N7162" s="39" t="str">
        <f>IF(OR(ISBLANK(C7162),C7162="",M7162=""),"In Progress",IF(M7162&lt;=J7162,"Met","Breached"))</f>
        <v>Breached</v>
      </c>
    </row>
    <row r="7163" ht="19" customHeight="1" spans="1:14" x14ac:dyDescent="0.25">
      <c r="A7163" s="22" t="s">
        <v>7277</v>
      </c>
      <c r="B7163" s="36">
        <v>45674.39375</v>
      </c>
      <c r="C7163" s="36">
        <v>45677.08194444445</v>
      </c>
      <c r="D7163" s="22" t="s">
        <v>33</v>
      </c>
      <c r="E7163" s="22" t="s">
        <v>65</v>
      </c>
      <c r="F7163" s="22" t="s">
        <v>40</v>
      </c>
      <c r="G7163" s="22" t="s">
        <v>63</v>
      </c>
      <c r="H7163" s="22" t="s">
        <v>63</v>
      </c>
      <c r="I7163" s="22" t="s">
        <v>114</v>
      </c>
      <c r="J7163" s="23">
        <v>48</v>
      </c>
      <c r="K7163" s="37">
        <v>0</v>
      </c>
      <c r="L7163" s="37">
        <v>5</v>
      </c>
      <c r="M7163" s="22">
        <f>IF(OR(ISBLANK(C7163),C7163=""),"",ROUND((C7163-B7163)*24,2))</f>
        <v>64.52</v>
      </c>
      <c r="N7163" s="38" t="str">
        <f>IF(OR(ISBLANK(C7163),C7163="",M7163=""),"In Progress",IF(M7163&lt;=J7163,"Met","Breached"))</f>
        <v>Breached</v>
      </c>
    </row>
    <row r="7164" ht="19" customHeight="1" spans="1:14" x14ac:dyDescent="0.25">
      <c r="A7164" s="19" t="s">
        <v>7278</v>
      </c>
      <c r="B7164" s="33">
        <v>46011.78680555556</v>
      </c>
      <c r="C7164" s="33">
        <v>46012.76666666666</v>
      </c>
      <c r="D7164" s="19" t="s">
        <v>33</v>
      </c>
      <c r="E7164" s="19" t="s">
        <v>65</v>
      </c>
      <c r="F7164" s="19" t="s">
        <v>34</v>
      </c>
      <c r="G7164" s="19" t="s">
        <v>121</v>
      </c>
      <c r="H7164" s="19" t="s">
        <v>59</v>
      </c>
      <c r="I7164" s="19" t="s">
        <v>111</v>
      </c>
      <c r="J7164" s="20">
        <v>48</v>
      </c>
      <c r="K7164" s="34">
        <v>0</v>
      </c>
      <c r="M7164" s="19">
        <f>IF(OR(ISBLANK(C7164),C7164=""),"",ROUND((C7164-B7164)*24,2))</f>
        <v>23.52</v>
      </c>
      <c r="N7164" s="35" t="str">
        <f>IF(OR(ISBLANK(C7164),C7164="",M7164=""),"In Progress",IF(M7164&lt;=J7164,"Met","Breached"))</f>
        <v>Met</v>
      </c>
    </row>
    <row r="7165" ht="19" customHeight="1" spans="1:14" x14ac:dyDescent="0.25">
      <c r="A7165" s="22" t="s">
        <v>7279</v>
      </c>
      <c r="B7165" s="36">
        <v>46188.03611111111</v>
      </c>
      <c r="C7165" s="36">
        <v>46190.77986111111</v>
      </c>
      <c r="D7165" s="22" t="s">
        <v>33</v>
      </c>
      <c r="E7165" s="22" t="s">
        <v>69</v>
      </c>
      <c r="F7165" s="22" t="s">
        <v>45</v>
      </c>
      <c r="G7165" s="22" t="s">
        <v>63</v>
      </c>
      <c r="H7165" s="22" t="s">
        <v>59</v>
      </c>
      <c r="I7165" s="22" t="s">
        <v>147</v>
      </c>
      <c r="J7165" s="23">
        <v>120</v>
      </c>
      <c r="K7165" s="37">
        <v>0</v>
      </c>
      <c r="L7165" s="37">
        <v>4</v>
      </c>
      <c r="M7165" s="22">
        <f>IF(OR(ISBLANK(C7165),C7165=""),"",ROUND((C7165-B7165)*24,2))</f>
        <v>65.85</v>
      </c>
      <c r="N7165" s="40" t="str">
        <f>IF(OR(ISBLANK(C7165),C7165="",M7165=""),"In Progress",IF(M7165&lt;=J7165,"Met","Breached"))</f>
        <v>Met</v>
      </c>
    </row>
    <row r="7166" ht="19" customHeight="1" spans="1:14" x14ac:dyDescent="0.25">
      <c r="A7166" s="19" t="s">
        <v>7280</v>
      </c>
      <c r="B7166" s="33">
        <v>46185.98958333333</v>
      </c>
      <c r="C7166" s="33">
        <v>46186.48333333334</v>
      </c>
      <c r="D7166" s="19" t="s">
        <v>33</v>
      </c>
      <c r="E7166" s="19" t="s">
        <v>61</v>
      </c>
      <c r="F7166" s="19" t="s">
        <v>34</v>
      </c>
      <c r="G7166" s="19" t="s">
        <v>116</v>
      </c>
      <c r="H7166" s="19" t="s">
        <v>71</v>
      </c>
      <c r="I7166" s="19" t="s">
        <v>123</v>
      </c>
      <c r="J7166" s="20">
        <v>12</v>
      </c>
      <c r="K7166" s="34">
        <v>0</v>
      </c>
      <c r="M7166" s="19">
        <f>IF(OR(ISBLANK(C7166),C7166=""),"",ROUND((C7166-B7166)*24,2))</f>
        <v>11.85</v>
      </c>
      <c r="N7166" s="35" t="str">
        <f>IF(OR(ISBLANK(C7166),C7166="",M7166=""),"In Progress",IF(M7166&lt;=J7166,"Met","Breached"))</f>
        <v>Met</v>
      </c>
    </row>
    <row r="7167" ht="19" customHeight="1" spans="1:14" x14ac:dyDescent="0.25">
      <c r="A7167" s="22" t="s">
        <v>7281</v>
      </c>
      <c r="B7167" s="36">
        <v>46260.40277777778</v>
      </c>
      <c r="C7167" s="36">
        <v>46262.268055555556</v>
      </c>
      <c r="D7167" s="22" t="s">
        <v>33</v>
      </c>
      <c r="E7167" s="22" t="s">
        <v>65</v>
      </c>
      <c r="F7167" s="22" t="s">
        <v>34</v>
      </c>
      <c r="G7167" s="22" t="s">
        <v>63</v>
      </c>
      <c r="H7167" s="22" t="s">
        <v>71</v>
      </c>
      <c r="I7167" s="22" t="s">
        <v>111</v>
      </c>
      <c r="J7167" s="23">
        <v>48</v>
      </c>
      <c r="K7167" s="37">
        <v>0</v>
      </c>
      <c r="L7167" s="37">
        <v>4</v>
      </c>
      <c r="M7167" s="22">
        <f>IF(OR(ISBLANK(C7167),C7167=""),"",ROUND((C7167-B7167)*24,2))</f>
        <v>44.77</v>
      </c>
      <c r="N7167" s="40" t="str">
        <f>IF(OR(ISBLANK(C7167),C7167="",M7167=""),"In Progress",IF(M7167&lt;=J7167,"Met","Breached"))</f>
        <v>Met</v>
      </c>
    </row>
    <row r="7168" ht="19" customHeight="1" spans="1:14" x14ac:dyDescent="0.25">
      <c r="A7168" s="19" t="s">
        <v>7282</v>
      </c>
      <c r="B7168" s="33">
        <v>46005.49097222222</v>
      </c>
      <c r="C7168" s="33">
        <v>46006.59097222222</v>
      </c>
      <c r="D7168" s="19" t="s">
        <v>33</v>
      </c>
      <c r="E7168" s="19" t="s">
        <v>65</v>
      </c>
      <c r="F7168" s="19" t="s">
        <v>34</v>
      </c>
      <c r="G7168" s="19" t="s">
        <v>116</v>
      </c>
      <c r="H7168" s="19" t="s">
        <v>63</v>
      </c>
      <c r="I7168" s="19" t="s">
        <v>117</v>
      </c>
      <c r="J7168" s="20">
        <v>48</v>
      </c>
      <c r="K7168" s="34">
        <v>0</v>
      </c>
      <c r="L7168" s="34">
        <v>3</v>
      </c>
      <c r="M7168" s="19">
        <f>IF(OR(ISBLANK(C7168),C7168=""),"",ROUND((C7168-B7168)*24,2))</f>
        <v>26.4</v>
      </c>
      <c r="N7168" s="35" t="str">
        <f>IF(OR(ISBLANK(C7168),C7168="",M7168=""),"In Progress",IF(M7168&lt;=J7168,"Met","Breached"))</f>
        <v>Met</v>
      </c>
    </row>
    <row r="7169" ht="19" customHeight="1" spans="1:14" x14ac:dyDescent="0.25">
      <c r="A7169" s="22" t="s">
        <v>7283</v>
      </c>
      <c r="B7169" s="36">
        <v>46187.368055555555</v>
      </c>
      <c r="D7169" s="22" t="s">
        <v>39</v>
      </c>
      <c r="E7169" s="22" t="s">
        <v>65</v>
      </c>
      <c r="F7169" s="22" t="s">
        <v>34</v>
      </c>
      <c r="G7169" s="22" t="s">
        <v>63</v>
      </c>
      <c r="H7169" s="22" t="s">
        <v>67</v>
      </c>
      <c r="I7169" s="22" t="s">
        <v>111</v>
      </c>
      <c r="J7169" s="23">
        <v>48</v>
      </c>
      <c r="K7169" s="37">
        <v>0</v>
      </c>
      <c r="M7169" s="22" t="str">
        <f>IF(OR(ISBLANK(C7169),C7169=""),"",ROUND((C7169-B7169)*24,2))</f>
        <v/>
      </c>
      <c r="N7169" s="22" t="str">
        <f>IF(OR(ISBLANK(C7169),C7169="",M7169=""),"In Progress",IF(M7169&lt;=J7169,"Met","Breached"))</f>
        <v>In Progress</v>
      </c>
    </row>
    <row r="7170" ht="19" customHeight="1" spans="1:14" x14ac:dyDescent="0.25">
      <c r="A7170" s="19" t="s">
        <v>7284</v>
      </c>
      <c r="B7170" s="33">
        <v>46229.26944444445</v>
      </c>
      <c r="D7170" s="19" t="s">
        <v>39</v>
      </c>
      <c r="E7170" s="19" t="s">
        <v>61</v>
      </c>
      <c r="F7170" s="19" t="s">
        <v>34</v>
      </c>
      <c r="G7170" s="19" t="s">
        <v>63</v>
      </c>
      <c r="H7170" s="19" t="s">
        <v>63</v>
      </c>
      <c r="I7170" s="19" t="s">
        <v>117</v>
      </c>
      <c r="J7170" s="20">
        <v>12</v>
      </c>
      <c r="K7170" s="34">
        <v>0</v>
      </c>
      <c r="M7170" s="19" t="str">
        <f>IF(OR(ISBLANK(C7170),C7170=""),"",ROUND((C7170-B7170)*24,2))</f>
        <v/>
      </c>
      <c r="N7170" s="19" t="str">
        <f>IF(OR(ISBLANK(C7170),C7170="",M7170=""),"In Progress",IF(M7170&lt;=J7170,"Met","Breached"))</f>
        <v>In Progress</v>
      </c>
    </row>
    <row r="7171" ht="19" customHeight="1" spans="1:14" x14ac:dyDescent="0.25">
      <c r="A7171" s="22" t="s">
        <v>7285</v>
      </c>
      <c r="B7171" s="36">
        <v>45948.09722222222</v>
      </c>
      <c r="C7171" s="36">
        <v>45950.48541666666</v>
      </c>
      <c r="D7171" s="22" t="s">
        <v>33</v>
      </c>
      <c r="E7171" s="22" t="s">
        <v>65</v>
      </c>
      <c r="F7171" s="22" t="s">
        <v>40</v>
      </c>
      <c r="G7171" s="22" t="s">
        <v>121</v>
      </c>
      <c r="H7171" s="22" t="s">
        <v>59</v>
      </c>
      <c r="I7171" s="22" t="s">
        <v>114</v>
      </c>
      <c r="J7171" s="23">
        <v>48</v>
      </c>
      <c r="K7171" s="37">
        <v>0</v>
      </c>
      <c r="M7171" s="22">
        <f>IF(OR(ISBLANK(C7171),C7171=""),"",ROUND((C7171-B7171)*24,2))</f>
        <v>57.32</v>
      </c>
      <c r="N7171" s="38" t="str">
        <f>IF(OR(ISBLANK(C7171),C7171="",M7171=""),"In Progress",IF(M7171&lt;=J7171,"Met","Breached"))</f>
        <v>Breached</v>
      </c>
    </row>
    <row r="7172" ht="19" customHeight="1" spans="1:14" x14ac:dyDescent="0.25">
      <c r="A7172" s="19" t="s">
        <v>7286</v>
      </c>
      <c r="B7172" s="33">
        <v>45933.88055555556</v>
      </c>
      <c r="C7172" s="33">
        <v>45936.85625</v>
      </c>
      <c r="D7172" s="19" t="s">
        <v>33</v>
      </c>
      <c r="E7172" s="19" t="s">
        <v>65</v>
      </c>
      <c r="F7172" s="19" t="s">
        <v>45</v>
      </c>
      <c r="G7172" s="19" t="s">
        <v>113</v>
      </c>
      <c r="H7172" s="19" t="s">
        <v>63</v>
      </c>
      <c r="I7172" s="19" t="s">
        <v>114</v>
      </c>
      <c r="J7172" s="20">
        <v>48</v>
      </c>
      <c r="K7172" s="34">
        <v>1</v>
      </c>
      <c r="L7172" s="34">
        <v>5</v>
      </c>
      <c r="M7172" s="19">
        <f>IF(OR(ISBLANK(C7172),C7172=""),"",ROUND((C7172-B7172)*24,2))</f>
        <v>71.42</v>
      </c>
      <c r="N7172" s="39" t="str">
        <f>IF(OR(ISBLANK(C7172),C7172="",M7172=""),"In Progress",IF(M7172&lt;=J7172,"Met","Breached"))</f>
        <v>Breached</v>
      </c>
    </row>
    <row r="7173" ht="19" customHeight="1" spans="1:14" x14ac:dyDescent="0.25">
      <c r="A7173" s="22" t="s">
        <v>7287</v>
      </c>
      <c r="B7173" s="36">
        <v>46193.12361111111</v>
      </c>
      <c r="C7173" s="36">
        <v>46194.44583333333</v>
      </c>
      <c r="D7173" s="22" t="s">
        <v>36</v>
      </c>
      <c r="E7173" s="22" t="s">
        <v>65</v>
      </c>
      <c r="F7173" s="22" t="s">
        <v>40</v>
      </c>
      <c r="G7173" s="22" t="s">
        <v>116</v>
      </c>
      <c r="H7173" s="22" t="s">
        <v>67</v>
      </c>
      <c r="I7173" s="22" t="s">
        <v>117</v>
      </c>
      <c r="J7173" s="23">
        <v>48</v>
      </c>
      <c r="K7173" s="37">
        <v>0</v>
      </c>
      <c r="L7173" s="37">
        <v>1</v>
      </c>
      <c r="M7173" s="22">
        <f>IF(OR(ISBLANK(C7173),C7173=""),"",ROUND((C7173-B7173)*24,2))</f>
        <v>31.73</v>
      </c>
      <c r="N7173" s="40" t="str">
        <f>IF(OR(ISBLANK(C7173),C7173="",M7173=""),"In Progress",IF(M7173&lt;=J7173,"Met","Breached"))</f>
        <v>Met</v>
      </c>
    </row>
    <row r="7174" ht="19" customHeight="1" spans="1:14" x14ac:dyDescent="0.25">
      <c r="A7174" s="19" t="s">
        <v>7288</v>
      </c>
      <c r="B7174" s="33">
        <v>45691.53263888889</v>
      </c>
      <c r="C7174" s="33">
        <v>45692.1625</v>
      </c>
      <c r="D7174" s="19" t="s">
        <v>33</v>
      </c>
      <c r="E7174" s="19" t="s">
        <v>61</v>
      </c>
      <c r="F7174" s="19" t="s">
        <v>45</v>
      </c>
      <c r="G7174" s="19" t="s">
        <v>63</v>
      </c>
      <c r="H7174" s="19" t="s">
        <v>59</v>
      </c>
      <c r="I7174" s="19" t="s">
        <v>114</v>
      </c>
      <c r="J7174" s="20">
        <v>12</v>
      </c>
      <c r="K7174" s="34">
        <v>0</v>
      </c>
      <c r="L7174" s="34">
        <v>2</v>
      </c>
      <c r="M7174" s="19">
        <f>IF(OR(ISBLANK(C7174),C7174=""),"",ROUND((C7174-B7174)*24,2))</f>
        <v>15.12</v>
      </c>
      <c r="N7174" s="39" t="str">
        <f>IF(OR(ISBLANK(C7174),C7174="",M7174=""),"In Progress",IF(M7174&lt;=J7174,"Met","Breached"))</f>
        <v>Breached</v>
      </c>
    </row>
    <row r="7175" ht="19" customHeight="1" spans="1:14" x14ac:dyDescent="0.25">
      <c r="A7175" s="22" t="s">
        <v>7289</v>
      </c>
      <c r="B7175" s="36">
        <v>46059.55972222222</v>
      </c>
      <c r="C7175" s="36">
        <v>46059.64791666667</v>
      </c>
      <c r="D7175" s="22" t="s">
        <v>36</v>
      </c>
      <c r="E7175" s="22" t="s">
        <v>57</v>
      </c>
      <c r="F7175" s="22" t="s">
        <v>40</v>
      </c>
      <c r="G7175" s="22" t="s">
        <v>116</v>
      </c>
      <c r="H7175" s="22" t="s">
        <v>63</v>
      </c>
      <c r="I7175" s="22" t="s">
        <v>117</v>
      </c>
      <c r="J7175" s="23">
        <v>4</v>
      </c>
      <c r="K7175" s="37">
        <v>0</v>
      </c>
      <c r="L7175" s="37">
        <v>3</v>
      </c>
      <c r="M7175" s="22">
        <f>IF(OR(ISBLANK(C7175),C7175=""),"",ROUND((C7175-B7175)*24,2))</f>
        <v>2.12</v>
      </c>
      <c r="N7175" s="40" t="str">
        <f>IF(OR(ISBLANK(C7175),C7175="",M7175=""),"In Progress",IF(M7175&lt;=J7175,"Met","Breached"))</f>
        <v>Met</v>
      </c>
    </row>
    <row r="7176" ht="19" customHeight="1" spans="1:14" x14ac:dyDescent="0.25">
      <c r="A7176" s="19" t="s">
        <v>7290</v>
      </c>
      <c r="B7176" s="33">
        <v>46275.63125</v>
      </c>
      <c r="D7176" s="19" t="s">
        <v>42</v>
      </c>
      <c r="E7176" s="19" t="s">
        <v>57</v>
      </c>
      <c r="F7176" s="19" t="s">
        <v>34</v>
      </c>
      <c r="G7176" s="19" t="s">
        <v>63</v>
      </c>
      <c r="H7176" s="19" t="s">
        <v>67</v>
      </c>
      <c r="I7176" s="19" t="s">
        <v>111</v>
      </c>
      <c r="J7176" s="20">
        <v>4</v>
      </c>
      <c r="K7176" s="34">
        <v>0</v>
      </c>
      <c r="M7176" s="19" t="str">
        <f>IF(OR(ISBLANK(C7176),C7176=""),"",ROUND((C7176-B7176)*24,2))</f>
        <v/>
      </c>
      <c r="N7176" s="19" t="str">
        <f>IF(OR(ISBLANK(C7176),C7176="",M7176=""),"In Progress",IF(M7176&lt;=J7176,"Met","Breached"))</f>
        <v>In Progress</v>
      </c>
    </row>
    <row r="7177" ht="19" customHeight="1" spans="1:14" x14ac:dyDescent="0.25">
      <c r="A7177" s="22" t="s">
        <v>7291</v>
      </c>
      <c r="B7177" s="36">
        <v>46170.67638888889</v>
      </c>
      <c r="C7177" s="36">
        <v>46171.78611111111</v>
      </c>
      <c r="D7177" s="22" t="s">
        <v>33</v>
      </c>
      <c r="E7177" s="22" t="s">
        <v>65</v>
      </c>
      <c r="F7177" s="22" t="s">
        <v>45</v>
      </c>
      <c r="G7177" s="22" t="s">
        <v>121</v>
      </c>
      <c r="H7177" s="22" t="s">
        <v>71</v>
      </c>
      <c r="I7177" s="22" t="s">
        <v>117</v>
      </c>
      <c r="J7177" s="23">
        <v>48</v>
      </c>
      <c r="K7177" s="37">
        <v>0</v>
      </c>
      <c r="M7177" s="22">
        <f>IF(OR(ISBLANK(C7177),C7177=""),"",ROUND((C7177-B7177)*24,2))</f>
        <v>26.63</v>
      </c>
      <c r="N7177" s="40" t="str">
        <f>IF(OR(ISBLANK(C7177),C7177="",M7177=""),"In Progress",IF(M7177&lt;=J7177,"Met","Breached"))</f>
        <v>Met</v>
      </c>
    </row>
    <row r="7178" ht="19" customHeight="1" spans="1:14" x14ac:dyDescent="0.25">
      <c r="A7178" s="19" t="s">
        <v>7292</v>
      </c>
      <c r="B7178" s="33">
        <v>45940.98055555555</v>
      </c>
      <c r="C7178" s="33">
        <v>45944.40833333333</v>
      </c>
      <c r="D7178" s="19" t="s">
        <v>33</v>
      </c>
      <c r="E7178" s="19" t="s">
        <v>65</v>
      </c>
      <c r="F7178" s="19" t="s">
        <v>34</v>
      </c>
      <c r="G7178" s="19" t="s">
        <v>63</v>
      </c>
      <c r="H7178" s="19" t="s">
        <v>59</v>
      </c>
      <c r="I7178" s="19" t="s">
        <v>117</v>
      </c>
      <c r="J7178" s="20">
        <v>48</v>
      </c>
      <c r="K7178" s="34">
        <v>1</v>
      </c>
      <c r="L7178" s="34">
        <v>3</v>
      </c>
      <c r="M7178" s="19">
        <f>IF(OR(ISBLANK(C7178),C7178=""),"",ROUND((C7178-B7178)*24,2))</f>
        <v>82.27</v>
      </c>
      <c r="N7178" s="39" t="str">
        <f>IF(OR(ISBLANK(C7178),C7178="",M7178=""),"In Progress",IF(M7178&lt;=J7178,"Met","Breached"))</f>
        <v>Breached</v>
      </c>
    </row>
    <row r="7179" ht="19" customHeight="1" spans="1:14" x14ac:dyDescent="0.25">
      <c r="A7179" s="22" t="s">
        <v>7293</v>
      </c>
      <c r="B7179" s="36">
        <v>46273.975694444445</v>
      </c>
      <c r="C7179" s="36">
        <v>46277.04236111111</v>
      </c>
      <c r="D7179" s="22" t="s">
        <v>36</v>
      </c>
      <c r="E7179" s="22" t="s">
        <v>65</v>
      </c>
      <c r="F7179" s="22" t="s">
        <v>37</v>
      </c>
      <c r="G7179" s="22" t="s">
        <v>110</v>
      </c>
      <c r="H7179" s="22" t="s">
        <v>59</v>
      </c>
      <c r="I7179" s="22" t="s">
        <v>123</v>
      </c>
      <c r="J7179" s="23">
        <v>48</v>
      </c>
      <c r="K7179" s="37">
        <v>0</v>
      </c>
      <c r="L7179" s="37">
        <v>4</v>
      </c>
      <c r="M7179" s="22">
        <f>IF(OR(ISBLANK(C7179),C7179=""),"",ROUND((C7179-B7179)*24,2))</f>
        <v>73.6</v>
      </c>
      <c r="N7179" s="38" t="str">
        <f>IF(OR(ISBLANK(C7179),C7179="",M7179=""),"In Progress",IF(M7179&lt;=J7179,"Met","Breached"))</f>
        <v>Breached</v>
      </c>
    </row>
    <row r="7180" ht="19" customHeight="1" spans="1:14" x14ac:dyDescent="0.25">
      <c r="A7180" s="19" t="s">
        <v>7294</v>
      </c>
      <c r="B7180" s="33">
        <v>46094.39375</v>
      </c>
      <c r="C7180" s="33">
        <v>46097.89097222222</v>
      </c>
      <c r="D7180" s="19" t="s">
        <v>33</v>
      </c>
      <c r="E7180" s="19" t="s">
        <v>65</v>
      </c>
      <c r="F7180" s="19" t="s">
        <v>34</v>
      </c>
      <c r="G7180" s="19" t="s">
        <v>110</v>
      </c>
      <c r="H7180" s="19" t="s">
        <v>67</v>
      </c>
      <c r="I7180" s="19" t="s">
        <v>117</v>
      </c>
      <c r="J7180" s="20">
        <v>48</v>
      </c>
      <c r="K7180" s="34">
        <v>0</v>
      </c>
      <c r="M7180" s="19">
        <f>IF(OR(ISBLANK(C7180),C7180=""),"",ROUND((C7180-B7180)*24,2))</f>
        <v>83.93</v>
      </c>
      <c r="N7180" s="39" t="str">
        <f>IF(OR(ISBLANK(C7180),C7180="",M7180=""),"In Progress",IF(M7180&lt;=J7180,"Met","Breached"))</f>
        <v>Breached</v>
      </c>
    </row>
    <row r="7181" ht="19" customHeight="1" spans="1:14" x14ac:dyDescent="0.25">
      <c r="A7181" s="22" t="s">
        <v>7295</v>
      </c>
      <c r="B7181" s="36">
        <v>46114.44652777778</v>
      </c>
      <c r="C7181" s="36">
        <v>46114.65902777778</v>
      </c>
      <c r="D7181" s="22" t="s">
        <v>36</v>
      </c>
      <c r="E7181" s="22" t="s">
        <v>57</v>
      </c>
      <c r="F7181" s="22" t="s">
        <v>37</v>
      </c>
      <c r="G7181" s="22" t="s">
        <v>116</v>
      </c>
      <c r="H7181" s="22" t="s">
        <v>59</v>
      </c>
      <c r="I7181" s="22" t="s">
        <v>147</v>
      </c>
      <c r="J7181" s="23">
        <v>4</v>
      </c>
      <c r="K7181" s="37">
        <v>0</v>
      </c>
      <c r="L7181" s="37">
        <v>4</v>
      </c>
      <c r="M7181" s="22">
        <f>IF(OR(ISBLANK(C7181),C7181=""),"",ROUND((C7181-B7181)*24,2))</f>
        <v>5.1</v>
      </c>
      <c r="N7181" s="38" t="str">
        <f>IF(OR(ISBLANK(C7181),C7181="",M7181=""),"In Progress",IF(M7181&lt;=J7181,"Met","Breached"))</f>
        <v>Breached</v>
      </c>
    </row>
    <row r="7182" ht="19" customHeight="1" spans="1:14" x14ac:dyDescent="0.25">
      <c r="A7182" s="19" t="s">
        <v>7296</v>
      </c>
      <c r="B7182" s="33">
        <v>45890.21944444445</v>
      </c>
      <c r="D7182" s="19" t="s">
        <v>39</v>
      </c>
      <c r="E7182" s="19" t="s">
        <v>61</v>
      </c>
      <c r="F7182" s="19" t="s">
        <v>37</v>
      </c>
      <c r="G7182" s="19" t="s">
        <v>116</v>
      </c>
      <c r="H7182" s="19" t="s">
        <v>59</v>
      </c>
      <c r="I7182" s="19" t="s">
        <v>108</v>
      </c>
      <c r="J7182" s="20">
        <v>12</v>
      </c>
      <c r="K7182" s="34">
        <v>0</v>
      </c>
      <c r="M7182" s="19" t="str">
        <f>IF(OR(ISBLANK(C7182),C7182=""),"",ROUND((C7182-B7182)*24,2))</f>
        <v/>
      </c>
      <c r="N7182" s="19" t="str">
        <f>IF(OR(ISBLANK(C7182),C7182="",M7182=""),"In Progress",IF(M7182&lt;=J7182,"Met","Breached"))</f>
        <v>In Progress</v>
      </c>
    </row>
    <row r="7183" ht="19" customHeight="1" spans="1:14" x14ac:dyDescent="0.25">
      <c r="A7183" s="22" t="s">
        <v>7297</v>
      </c>
      <c r="B7183" s="36">
        <v>46078.49652777778</v>
      </c>
      <c r="D7183" s="22" t="s">
        <v>39</v>
      </c>
      <c r="E7183" s="22" t="s">
        <v>61</v>
      </c>
      <c r="F7183" s="22" t="s">
        <v>37</v>
      </c>
      <c r="G7183" s="22" t="s">
        <v>113</v>
      </c>
      <c r="H7183" s="22" t="s">
        <v>63</v>
      </c>
      <c r="I7183" s="22" t="s">
        <v>147</v>
      </c>
      <c r="J7183" s="23">
        <v>12</v>
      </c>
      <c r="K7183" s="37">
        <v>0</v>
      </c>
      <c r="M7183" s="22" t="str">
        <f>IF(OR(ISBLANK(C7183),C7183=""),"",ROUND((C7183-B7183)*24,2))</f>
        <v/>
      </c>
      <c r="N7183" s="22" t="str">
        <f>IF(OR(ISBLANK(C7183),C7183="",M7183=""),"In Progress",IF(M7183&lt;=J7183,"Met","Breached"))</f>
        <v>In Progress</v>
      </c>
    </row>
    <row r="7184" ht="19" customHeight="1" spans="1:14" x14ac:dyDescent="0.25">
      <c r="A7184" s="19" t="s">
        <v>7298</v>
      </c>
      <c r="B7184" s="33">
        <v>46175.46041666667</v>
      </c>
      <c r="C7184" s="33">
        <v>46181.93194444444</v>
      </c>
      <c r="D7184" s="19" t="s">
        <v>36</v>
      </c>
      <c r="E7184" s="19" t="s">
        <v>69</v>
      </c>
      <c r="F7184" s="19" t="s">
        <v>45</v>
      </c>
      <c r="G7184" s="19" t="s">
        <v>63</v>
      </c>
      <c r="H7184" s="19" t="s">
        <v>67</v>
      </c>
      <c r="I7184" s="19" t="s">
        <v>123</v>
      </c>
      <c r="J7184" s="20">
        <v>120</v>
      </c>
      <c r="K7184" s="34">
        <v>0</v>
      </c>
      <c r="L7184" s="34">
        <v>2</v>
      </c>
      <c r="M7184" s="19">
        <f>IF(OR(ISBLANK(C7184),C7184=""),"",ROUND((C7184-B7184)*24,2))</f>
        <v>155.32</v>
      </c>
      <c r="N7184" s="39" t="str">
        <f>IF(OR(ISBLANK(C7184),C7184="",M7184=""),"In Progress",IF(M7184&lt;=J7184,"Met","Breached"))</f>
        <v>Breached</v>
      </c>
    </row>
    <row r="7185" ht="19" customHeight="1" spans="1:14" x14ac:dyDescent="0.25">
      <c r="A7185" s="22" t="s">
        <v>7299</v>
      </c>
      <c r="B7185" s="36">
        <v>45923.20208333334</v>
      </c>
      <c r="D7185" s="22" t="s">
        <v>39</v>
      </c>
      <c r="E7185" s="22" t="s">
        <v>57</v>
      </c>
      <c r="F7185" s="22" t="s">
        <v>45</v>
      </c>
      <c r="G7185" s="22" t="s">
        <v>113</v>
      </c>
      <c r="H7185" s="22" t="s">
        <v>63</v>
      </c>
      <c r="I7185" s="22" t="s">
        <v>108</v>
      </c>
      <c r="J7185" s="23">
        <v>4</v>
      </c>
      <c r="K7185" s="37">
        <v>0</v>
      </c>
      <c r="M7185" s="22" t="str">
        <f>IF(OR(ISBLANK(C7185),C7185=""),"",ROUND((C7185-B7185)*24,2))</f>
        <v/>
      </c>
      <c r="N7185" s="22" t="str">
        <f>IF(OR(ISBLANK(C7185),C7185="",M7185=""),"In Progress",IF(M7185&lt;=J7185,"Met","Breached"))</f>
        <v>In Progress</v>
      </c>
    </row>
    <row r="7186" ht="19" customHeight="1" spans="1:14" x14ac:dyDescent="0.25">
      <c r="A7186" s="19" t="s">
        <v>7300</v>
      </c>
      <c r="B7186" s="33">
        <v>45877.57916666666</v>
      </c>
      <c r="D7186" s="19" t="s">
        <v>42</v>
      </c>
      <c r="E7186" s="19" t="s">
        <v>65</v>
      </c>
      <c r="F7186" s="19" t="s">
        <v>45</v>
      </c>
      <c r="G7186" s="19" t="s">
        <v>63</v>
      </c>
      <c r="H7186" s="19" t="s">
        <v>71</v>
      </c>
      <c r="I7186" s="19" t="s">
        <v>108</v>
      </c>
      <c r="J7186" s="20">
        <v>48</v>
      </c>
      <c r="K7186" s="34">
        <v>0</v>
      </c>
      <c r="M7186" s="19" t="str">
        <f>IF(OR(ISBLANK(C7186),C7186=""),"",ROUND((C7186-B7186)*24,2))</f>
        <v/>
      </c>
      <c r="N7186" s="19" t="str">
        <f>IF(OR(ISBLANK(C7186),C7186="",M7186=""),"In Progress",IF(M7186&lt;=J7186,"Met","Breached"))</f>
        <v>In Progress</v>
      </c>
    </row>
    <row r="7187" ht="19" customHeight="1" spans="1:14" x14ac:dyDescent="0.25">
      <c r="A7187" s="22" t="s">
        <v>7301</v>
      </c>
      <c r="B7187" s="36">
        <v>46033.50347222222</v>
      </c>
      <c r="C7187" s="36">
        <v>46034.175</v>
      </c>
      <c r="D7187" s="22" t="s">
        <v>33</v>
      </c>
      <c r="E7187" s="22" t="s">
        <v>65</v>
      </c>
      <c r="F7187" s="22" t="s">
        <v>40</v>
      </c>
      <c r="G7187" s="22" t="s">
        <v>113</v>
      </c>
      <c r="H7187" s="22" t="s">
        <v>63</v>
      </c>
      <c r="I7187" s="22" t="s">
        <v>117</v>
      </c>
      <c r="J7187" s="23">
        <v>48</v>
      </c>
      <c r="K7187" s="37">
        <v>0</v>
      </c>
      <c r="M7187" s="22">
        <f>IF(OR(ISBLANK(C7187),C7187=""),"",ROUND((C7187-B7187)*24,2))</f>
        <v>16.12</v>
      </c>
      <c r="N7187" s="40" t="str">
        <f>IF(OR(ISBLANK(C7187),C7187="",M7187=""),"In Progress",IF(M7187&lt;=J7187,"Met","Breached"))</f>
        <v>Met</v>
      </c>
    </row>
    <row r="7188" ht="19" customHeight="1" spans="1:14" x14ac:dyDescent="0.25">
      <c r="A7188" s="19" t="s">
        <v>7302</v>
      </c>
      <c r="B7188" s="33">
        <v>45994.82361111111</v>
      </c>
      <c r="D7188" s="19" t="s">
        <v>42</v>
      </c>
      <c r="E7188" s="19" t="s">
        <v>57</v>
      </c>
      <c r="F7188" s="19" t="s">
        <v>45</v>
      </c>
      <c r="G7188" s="19" t="s">
        <v>110</v>
      </c>
      <c r="H7188" s="19" t="s">
        <v>67</v>
      </c>
      <c r="I7188" s="19" t="s">
        <v>123</v>
      </c>
      <c r="J7188" s="20">
        <v>4</v>
      </c>
      <c r="K7188" s="34">
        <v>0</v>
      </c>
      <c r="M7188" s="19" t="str">
        <f>IF(OR(ISBLANK(C7188),C7188=""),"",ROUND((C7188-B7188)*24,2))</f>
        <v/>
      </c>
      <c r="N7188" s="19" t="str">
        <f>IF(OR(ISBLANK(C7188),C7188="",M7188=""),"In Progress",IF(M7188&lt;=J7188,"Met","Breached"))</f>
        <v>In Progress</v>
      </c>
    </row>
    <row r="7189" ht="19" customHeight="1" spans="1:14" x14ac:dyDescent="0.25">
      <c r="A7189" s="22" t="s">
        <v>7303</v>
      </c>
      <c r="B7189" s="36">
        <v>45734.02083333333</v>
      </c>
      <c r="C7189" s="36">
        <v>45735.05069444445</v>
      </c>
      <c r="D7189" s="22" t="s">
        <v>33</v>
      </c>
      <c r="E7189" s="22" t="s">
        <v>65</v>
      </c>
      <c r="F7189" s="22" t="s">
        <v>34</v>
      </c>
      <c r="G7189" s="22" t="s">
        <v>116</v>
      </c>
      <c r="H7189" s="22" t="s">
        <v>63</v>
      </c>
      <c r="I7189" s="22" t="s">
        <v>117</v>
      </c>
      <c r="J7189" s="23">
        <v>48</v>
      </c>
      <c r="K7189" s="37">
        <v>0</v>
      </c>
      <c r="L7189" s="37">
        <v>3</v>
      </c>
      <c r="M7189" s="22">
        <f>IF(OR(ISBLANK(C7189),C7189=""),"",ROUND((C7189-B7189)*24,2))</f>
        <v>24.72</v>
      </c>
      <c r="N7189" s="40" t="str">
        <f>IF(OR(ISBLANK(C7189),C7189="",M7189=""),"In Progress",IF(M7189&lt;=J7189,"Met","Breached"))</f>
        <v>Met</v>
      </c>
    </row>
    <row r="7190" ht="19" customHeight="1" spans="1:14" x14ac:dyDescent="0.25">
      <c r="A7190" s="19" t="s">
        <v>7304</v>
      </c>
      <c r="B7190" s="33">
        <v>45964.21319444444</v>
      </c>
      <c r="C7190" s="33">
        <v>45967.226388888885</v>
      </c>
      <c r="D7190" s="19" t="s">
        <v>33</v>
      </c>
      <c r="E7190" s="19" t="s">
        <v>65</v>
      </c>
      <c r="F7190" s="19" t="s">
        <v>34</v>
      </c>
      <c r="G7190" s="19" t="s">
        <v>110</v>
      </c>
      <c r="H7190" s="19" t="s">
        <v>71</v>
      </c>
      <c r="I7190" s="19" t="s">
        <v>111</v>
      </c>
      <c r="J7190" s="20">
        <v>48</v>
      </c>
      <c r="K7190" s="34">
        <v>0</v>
      </c>
      <c r="M7190" s="19">
        <f>IF(OR(ISBLANK(C7190),C7190=""),"",ROUND((C7190-B7190)*24,2))</f>
        <v>72.32</v>
      </c>
      <c r="N7190" s="39" t="str">
        <f>IF(OR(ISBLANK(C7190),C7190="",M7190=""),"In Progress",IF(M7190&lt;=J7190,"Met","Breached"))</f>
        <v>Breached</v>
      </c>
    </row>
    <row r="7191" ht="19" customHeight="1" spans="1:14" x14ac:dyDescent="0.25">
      <c r="A7191" s="22" t="s">
        <v>7305</v>
      </c>
      <c r="B7191" s="36">
        <v>45940.475</v>
      </c>
      <c r="C7191" s="36">
        <v>45943.03472222222</v>
      </c>
      <c r="D7191" s="22" t="s">
        <v>33</v>
      </c>
      <c r="E7191" s="22" t="s">
        <v>65</v>
      </c>
      <c r="F7191" s="22" t="s">
        <v>43</v>
      </c>
      <c r="G7191" s="22" t="s">
        <v>126</v>
      </c>
      <c r="H7191" s="22" t="s">
        <v>59</v>
      </c>
      <c r="I7191" s="22" t="s">
        <v>147</v>
      </c>
      <c r="J7191" s="23">
        <v>48</v>
      </c>
      <c r="K7191" s="37">
        <v>0</v>
      </c>
      <c r="M7191" s="22">
        <f>IF(OR(ISBLANK(C7191),C7191=""),"",ROUND((C7191-B7191)*24,2))</f>
        <v>61.43</v>
      </c>
      <c r="N7191" s="38" t="str">
        <f>IF(OR(ISBLANK(C7191),C7191="",M7191=""),"In Progress",IF(M7191&lt;=J7191,"Met","Breached"))</f>
        <v>Breached</v>
      </c>
    </row>
    <row r="7192" ht="19" customHeight="1" spans="1:14" x14ac:dyDescent="0.25">
      <c r="A7192" s="19" t="s">
        <v>7306</v>
      </c>
      <c r="B7192" s="33">
        <v>45848.09930555556</v>
      </c>
      <c r="C7192" s="33">
        <v>45857.089583333334</v>
      </c>
      <c r="D7192" s="19" t="s">
        <v>33</v>
      </c>
      <c r="E7192" s="19" t="s">
        <v>69</v>
      </c>
      <c r="F7192" s="19" t="s">
        <v>45</v>
      </c>
      <c r="G7192" s="19" t="s">
        <v>110</v>
      </c>
      <c r="H7192" s="19" t="s">
        <v>63</v>
      </c>
      <c r="I7192" s="19" t="s">
        <v>108</v>
      </c>
      <c r="J7192" s="20">
        <v>120</v>
      </c>
      <c r="K7192" s="34">
        <v>0</v>
      </c>
      <c r="L7192" s="34">
        <v>3</v>
      </c>
      <c r="M7192" s="19">
        <f>IF(OR(ISBLANK(C7192),C7192=""),"",ROUND((C7192-B7192)*24,2))</f>
        <v>215.77</v>
      </c>
      <c r="N7192" s="39" t="str">
        <f>IF(OR(ISBLANK(C7192),C7192="",M7192=""),"In Progress",IF(M7192&lt;=J7192,"Met","Breached"))</f>
        <v>Breached</v>
      </c>
    </row>
    <row r="7193" ht="19" customHeight="1" spans="1:14" x14ac:dyDescent="0.25">
      <c r="A7193" s="22" t="s">
        <v>7307</v>
      </c>
      <c r="B7193" s="36">
        <v>45751.33125</v>
      </c>
      <c r="D7193" s="22" t="s">
        <v>42</v>
      </c>
      <c r="E7193" s="22" t="s">
        <v>61</v>
      </c>
      <c r="F7193" s="22" t="s">
        <v>37</v>
      </c>
      <c r="G7193" s="22" t="s">
        <v>63</v>
      </c>
      <c r="H7193" s="22" t="s">
        <v>59</v>
      </c>
      <c r="I7193" s="22" t="s">
        <v>114</v>
      </c>
      <c r="J7193" s="23">
        <v>12</v>
      </c>
      <c r="K7193" s="37">
        <v>0</v>
      </c>
      <c r="M7193" s="22" t="str">
        <f>IF(OR(ISBLANK(C7193),C7193=""),"",ROUND((C7193-B7193)*24,2))</f>
        <v/>
      </c>
      <c r="N7193" s="22" t="str">
        <f>IF(OR(ISBLANK(C7193),C7193="",M7193=""),"In Progress",IF(M7193&lt;=J7193,"Met","Breached"))</f>
        <v>In Progress</v>
      </c>
    </row>
    <row r="7194" ht="19" customHeight="1" spans="1:14" x14ac:dyDescent="0.25">
      <c r="A7194" s="19" t="s">
        <v>7308</v>
      </c>
      <c r="B7194" s="33">
        <v>46129.1875</v>
      </c>
      <c r="C7194" s="33">
        <v>46129.90277777778</v>
      </c>
      <c r="D7194" s="19" t="s">
        <v>36</v>
      </c>
      <c r="E7194" s="19" t="s">
        <v>61</v>
      </c>
      <c r="F7194" s="19" t="s">
        <v>34</v>
      </c>
      <c r="G7194" s="19" t="s">
        <v>110</v>
      </c>
      <c r="H7194" s="19" t="s">
        <v>63</v>
      </c>
      <c r="I7194" s="19" t="s">
        <v>108</v>
      </c>
      <c r="J7194" s="20">
        <v>12</v>
      </c>
      <c r="K7194" s="34">
        <v>0</v>
      </c>
      <c r="L7194" s="34">
        <v>1</v>
      </c>
      <c r="M7194" s="19">
        <f>IF(OR(ISBLANK(C7194),C7194=""),"",ROUND((C7194-B7194)*24,2))</f>
        <v>17.17</v>
      </c>
      <c r="N7194" s="39" t="str">
        <f>IF(OR(ISBLANK(C7194),C7194="",M7194=""),"In Progress",IF(M7194&lt;=J7194,"Met","Breached"))</f>
        <v>Breached</v>
      </c>
    </row>
    <row r="7195" ht="19" customHeight="1" spans="1:14" x14ac:dyDescent="0.25">
      <c r="A7195" s="22" t="s">
        <v>7309</v>
      </c>
      <c r="B7195" s="36">
        <v>46092.50555555556</v>
      </c>
      <c r="D7195" s="22" t="s">
        <v>39</v>
      </c>
      <c r="E7195" s="22" t="s">
        <v>65</v>
      </c>
      <c r="F7195" s="22" t="s">
        <v>45</v>
      </c>
      <c r="G7195" s="22" t="s">
        <v>126</v>
      </c>
      <c r="H7195" s="22" t="s">
        <v>59</v>
      </c>
      <c r="I7195" s="22" t="s">
        <v>111</v>
      </c>
      <c r="J7195" s="23">
        <v>48</v>
      </c>
      <c r="K7195" s="37">
        <v>0</v>
      </c>
      <c r="M7195" s="22" t="str">
        <f>IF(OR(ISBLANK(C7195),C7195=""),"",ROUND((C7195-B7195)*24,2))</f>
        <v/>
      </c>
      <c r="N7195" s="22" t="str">
        <f>IF(OR(ISBLANK(C7195),C7195="",M7195=""),"In Progress",IF(M7195&lt;=J7195,"Met","Breached"))</f>
        <v>In Progress</v>
      </c>
    </row>
    <row r="7196" ht="19" customHeight="1" spans="1:14" x14ac:dyDescent="0.25">
      <c r="A7196" s="19" t="s">
        <v>7310</v>
      </c>
      <c r="B7196" s="33">
        <v>46196.88125</v>
      </c>
      <c r="C7196" s="33">
        <v>46199.138194444444</v>
      </c>
      <c r="D7196" s="19" t="s">
        <v>33</v>
      </c>
      <c r="E7196" s="19" t="s">
        <v>65</v>
      </c>
      <c r="F7196" s="19" t="s">
        <v>34</v>
      </c>
      <c r="G7196" s="19" t="s">
        <v>110</v>
      </c>
      <c r="H7196" s="19" t="s">
        <v>67</v>
      </c>
      <c r="I7196" s="19" t="s">
        <v>117</v>
      </c>
      <c r="J7196" s="20">
        <v>48</v>
      </c>
      <c r="K7196" s="34">
        <v>0</v>
      </c>
      <c r="L7196" s="34">
        <v>5</v>
      </c>
      <c r="M7196" s="19">
        <f>IF(OR(ISBLANK(C7196),C7196=""),"",ROUND((C7196-B7196)*24,2))</f>
        <v>54.17</v>
      </c>
      <c r="N7196" s="39" t="str">
        <f>IF(OR(ISBLANK(C7196),C7196="",M7196=""),"In Progress",IF(M7196&lt;=J7196,"Met","Breached"))</f>
        <v>Breached</v>
      </c>
    </row>
    <row r="7197" ht="19" customHeight="1" spans="1:14" x14ac:dyDescent="0.25">
      <c r="A7197" s="22" t="s">
        <v>7311</v>
      </c>
      <c r="B7197" s="36">
        <v>46065.39236111111</v>
      </c>
      <c r="C7197" s="36">
        <v>46066.191666666666</v>
      </c>
      <c r="D7197" s="22" t="s">
        <v>33</v>
      </c>
      <c r="E7197" s="22" t="s">
        <v>65</v>
      </c>
      <c r="F7197" s="22" t="s">
        <v>43</v>
      </c>
      <c r="G7197" s="22" t="s">
        <v>110</v>
      </c>
      <c r="H7197" s="22" t="s">
        <v>63</v>
      </c>
      <c r="I7197" s="22" t="s">
        <v>114</v>
      </c>
      <c r="J7197" s="23">
        <v>48</v>
      </c>
      <c r="K7197" s="37">
        <v>0</v>
      </c>
      <c r="L7197" s="37">
        <v>5</v>
      </c>
      <c r="M7197" s="22">
        <f>IF(OR(ISBLANK(C7197),C7197=""),"",ROUND((C7197-B7197)*24,2))</f>
        <v>19.18</v>
      </c>
      <c r="N7197" s="40" t="str">
        <f>IF(OR(ISBLANK(C7197),C7197="",M7197=""),"In Progress",IF(M7197&lt;=J7197,"Met","Breached"))</f>
        <v>Met</v>
      </c>
    </row>
    <row r="7198" ht="19" customHeight="1" spans="1:14" x14ac:dyDescent="0.25">
      <c r="A7198" s="19" t="s">
        <v>7312</v>
      </c>
      <c r="B7198" s="33">
        <v>45696.79236111111</v>
      </c>
      <c r="C7198" s="33">
        <v>45699.12777777778</v>
      </c>
      <c r="D7198" s="19" t="s">
        <v>33</v>
      </c>
      <c r="E7198" s="19" t="s">
        <v>65</v>
      </c>
      <c r="F7198" s="19" t="s">
        <v>34</v>
      </c>
      <c r="G7198" s="19" t="s">
        <v>116</v>
      </c>
      <c r="H7198" s="19" t="s">
        <v>63</v>
      </c>
      <c r="I7198" s="19" t="s">
        <v>111</v>
      </c>
      <c r="J7198" s="20">
        <v>48</v>
      </c>
      <c r="K7198" s="34">
        <v>0</v>
      </c>
      <c r="L7198" s="34">
        <v>2</v>
      </c>
      <c r="M7198" s="19">
        <f>IF(OR(ISBLANK(C7198),C7198=""),"",ROUND((C7198-B7198)*24,2))</f>
        <v>56.05</v>
      </c>
      <c r="N7198" s="39" t="str">
        <f>IF(OR(ISBLANK(C7198),C7198="",M7198=""),"In Progress",IF(M7198&lt;=J7198,"Met","Breached"))</f>
        <v>Breached</v>
      </c>
    </row>
    <row r="7199" ht="19" customHeight="1" spans="1:14" x14ac:dyDescent="0.25">
      <c r="A7199" s="22" t="s">
        <v>7313</v>
      </c>
      <c r="B7199" s="36">
        <v>46160.74166666667</v>
      </c>
      <c r="C7199" s="36">
        <v>46166.33125</v>
      </c>
      <c r="D7199" s="22" t="s">
        <v>33</v>
      </c>
      <c r="E7199" s="22" t="s">
        <v>69</v>
      </c>
      <c r="F7199" s="22" t="s">
        <v>34</v>
      </c>
      <c r="G7199" s="22" t="s">
        <v>110</v>
      </c>
      <c r="H7199" s="22" t="s">
        <v>59</v>
      </c>
      <c r="I7199" s="22" t="s">
        <v>111</v>
      </c>
      <c r="J7199" s="23">
        <v>120</v>
      </c>
      <c r="K7199" s="37">
        <v>0</v>
      </c>
      <c r="M7199" s="22">
        <f>IF(OR(ISBLANK(C7199),C7199=""),"",ROUND((C7199-B7199)*24,2))</f>
        <v>134.15</v>
      </c>
      <c r="N7199" s="38" t="str">
        <f>IF(OR(ISBLANK(C7199),C7199="",M7199=""),"In Progress",IF(M7199&lt;=J7199,"Met","Breached"))</f>
        <v>Breached</v>
      </c>
    </row>
    <row r="7200" ht="19" customHeight="1" spans="1:14" x14ac:dyDescent="0.25">
      <c r="A7200" s="19" t="s">
        <v>7314</v>
      </c>
      <c r="B7200" s="33">
        <v>46205.98472222222</v>
      </c>
      <c r="C7200" s="33">
        <v>46212.02916666667</v>
      </c>
      <c r="D7200" s="19" t="s">
        <v>33</v>
      </c>
      <c r="E7200" s="19" t="s">
        <v>69</v>
      </c>
      <c r="F7200" s="19" t="s">
        <v>43</v>
      </c>
      <c r="G7200" s="19" t="s">
        <v>110</v>
      </c>
      <c r="H7200" s="19" t="s">
        <v>67</v>
      </c>
      <c r="I7200" s="19" t="s">
        <v>111</v>
      </c>
      <c r="J7200" s="20">
        <v>120</v>
      </c>
      <c r="K7200" s="34">
        <v>0</v>
      </c>
      <c r="M7200" s="19">
        <f>IF(OR(ISBLANK(C7200),C7200=""),"",ROUND((C7200-B7200)*24,2))</f>
        <v>145.07</v>
      </c>
      <c r="N7200" s="39" t="str">
        <f>IF(OR(ISBLANK(C7200),C7200="",M7200=""),"In Progress",IF(M7200&lt;=J7200,"Met","Breached"))</f>
        <v>Breached</v>
      </c>
    </row>
    <row r="7201" ht="19" customHeight="1" spans="1:14" x14ac:dyDescent="0.25">
      <c r="A7201" s="22" t="s">
        <v>7315</v>
      </c>
      <c r="B7201" s="36">
        <v>45680.777083333334</v>
      </c>
      <c r="C7201" s="36">
        <v>45684.09583333333</v>
      </c>
      <c r="D7201" s="22" t="s">
        <v>33</v>
      </c>
      <c r="E7201" s="22" t="s">
        <v>65</v>
      </c>
      <c r="F7201" s="22" t="s">
        <v>34</v>
      </c>
      <c r="G7201" s="22" t="s">
        <v>110</v>
      </c>
      <c r="H7201" s="22" t="s">
        <v>59</v>
      </c>
      <c r="I7201" s="22" t="s">
        <v>114</v>
      </c>
      <c r="J7201" s="23">
        <v>48</v>
      </c>
      <c r="K7201" s="37">
        <v>0</v>
      </c>
      <c r="M7201" s="22">
        <f>IF(OR(ISBLANK(C7201),C7201=""),"",ROUND((C7201-B7201)*24,2))</f>
        <v>79.65</v>
      </c>
      <c r="N7201" s="38" t="str">
        <f>IF(OR(ISBLANK(C7201),C7201="",M7201=""),"In Progress",IF(M7201&lt;=J7201,"Met","Breached"))</f>
        <v>Breached</v>
      </c>
    </row>
    <row r="7202" ht="19" customHeight="1" spans="1:14" x14ac:dyDescent="0.25">
      <c r="A7202" s="19" t="s">
        <v>7316</v>
      </c>
      <c r="B7202" s="33">
        <v>45839.81805555556</v>
      </c>
      <c r="C7202" s="33">
        <v>45842.180555555555</v>
      </c>
      <c r="D7202" s="19" t="s">
        <v>36</v>
      </c>
      <c r="E7202" s="19" t="s">
        <v>65</v>
      </c>
      <c r="F7202" s="19" t="s">
        <v>37</v>
      </c>
      <c r="G7202" s="19" t="s">
        <v>63</v>
      </c>
      <c r="H7202" s="19" t="s">
        <v>63</v>
      </c>
      <c r="I7202" s="19" t="s">
        <v>111</v>
      </c>
      <c r="J7202" s="20">
        <v>48</v>
      </c>
      <c r="K7202" s="34">
        <v>0</v>
      </c>
      <c r="L7202" s="34">
        <v>3</v>
      </c>
      <c r="M7202" s="19">
        <f>IF(OR(ISBLANK(C7202),C7202=""),"",ROUND((C7202-B7202)*24,2))</f>
        <v>56.7</v>
      </c>
      <c r="N7202" s="39" t="str">
        <f>IF(OR(ISBLANK(C7202),C7202="",M7202=""),"In Progress",IF(M7202&lt;=J7202,"Met","Breached"))</f>
        <v>Breached</v>
      </c>
    </row>
    <row r="7203" ht="19" customHeight="1" spans="1:14" x14ac:dyDescent="0.25">
      <c r="A7203" s="22" t="s">
        <v>7317</v>
      </c>
      <c r="B7203" s="36">
        <v>45924.73611111111</v>
      </c>
      <c r="C7203" s="36">
        <v>45924.94652777778</v>
      </c>
      <c r="D7203" s="22" t="s">
        <v>33</v>
      </c>
      <c r="E7203" s="22" t="s">
        <v>61</v>
      </c>
      <c r="F7203" s="22" t="s">
        <v>34</v>
      </c>
      <c r="G7203" s="22" t="s">
        <v>110</v>
      </c>
      <c r="H7203" s="22" t="s">
        <v>67</v>
      </c>
      <c r="I7203" s="22" t="s">
        <v>108</v>
      </c>
      <c r="J7203" s="23">
        <v>12</v>
      </c>
      <c r="K7203" s="37">
        <v>0</v>
      </c>
      <c r="L7203" s="37">
        <v>5</v>
      </c>
      <c r="M7203" s="22">
        <f>IF(OR(ISBLANK(C7203),C7203=""),"",ROUND((C7203-B7203)*24,2))</f>
        <v>5.05</v>
      </c>
      <c r="N7203" s="40" t="str">
        <f>IF(OR(ISBLANK(C7203),C7203="",M7203=""),"In Progress",IF(M7203&lt;=J7203,"Met","Breached"))</f>
        <v>Met</v>
      </c>
    </row>
    <row r="7204" ht="19" customHeight="1" spans="1:14" x14ac:dyDescent="0.25">
      <c r="A7204" s="19" t="s">
        <v>7318</v>
      </c>
      <c r="B7204" s="33">
        <v>46167.56527777778</v>
      </c>
      <c r="C7204" s="33">
        <v>46168.78194444445</v>
      </c>
      <c r="D7204" s="19" t="s">
        <v>33</v>
      </c>
      <c r="E7204" s="19" t="s">
        <v>65</v>
      </c>
      <c r="F7204" s="19" t="s">
        <v>37</v>
      </c>
      <c r="G7204" s="19" t="s">
        <v>63</v>
      </c>
      <c r="H7204" s="19" t="s">
        <v>67</v>
      </c>
      <c r="I7204" s="19" t="s">
        <v>108</v>
      </c>
      <c r="J7204" s="20">
        <v>48</v>
      </c>
      <c r="K7204" s="34">
        <v>0</v>
      </c>
      <c r="M7204" s="19">
        <f>IF(OR(ISBLANK(C7204),C7204=""),"",ROUND((C7204-B7204)*24,2))</f>
        <v>29.2</v>
      </c>
      <c r="N7204" s="35" t="str">
        <f>IF(OR(ISBLANK(C7204),C7204="",M7204=""),"In Progress",IF(M7204&lt;=J7204,"Met","Breached"))</f>
        <v>Met</v>
      </c>
    </row>
    <row r="7205" ht="19" customHeight="1" spans="1:14" x14ac:dyDescent="0.25">
      <c r="A7205" s="22" t="s">
        <v>7319</v>
      </c>
      <c r="B7205" s="36">
        <v>46005.61666666667</v>
      </c>
      <c r="C7205" s="36">
        <v>46006.42638888889</v>
      </c>
      <c r="D7205" s="22" t="s">
        <v>33</v>
      </c>
      <c r="E7205" s="22" t="s">
        <v>61</v>
      </c>
      <c r="F7205" s="22" t="s">
        <v>40</v>
      </c>
      <c r="G7205" s="22" t="s">
        <v>116</v>
      </c>
      <c r="H7205" s="22" t="s">
        <v>59</v>
      </c>
      <c r="I7205" s="22" t="s">
        <v>123</v>
      </c>
      <c r="J7205" s="23">
        <v>12</v>
      </c>
      <c r="K7205" s="37">
        <v>0</v>
      </c>
      <c r="M7205" s="22">
        <f>IF(OR(ISBLANK(C7205),C7205=""),"",ROUND((C7205-B7205)*24,2))</f>
        <v>19.43</v>
      </c>
      <c r="N7205" s="38" t="str">
        <f>IF(OR(ISBLANK(C7205),C7205="",M7205=""),"In Progress",IF(M7205&lt;=J7205,"Met","Breached"))</f>
        <v>Breached</v>
      </c>
    </row>
    <row r="7206" ht="19" customHeight="1" spans="1:14" x14ac:dyDescent="0.25">
      <c r="A7206" s="19" t="s">
        <v>7320</v>
      </c>
      <c r="B7206" s="33">
        <v>46078.06736111111</v>
      </c>
      <c r="C7206" s="33">
        <v>46078.805555555555</v>
      </c>
      <c r="D7206" s="19" t="s">
        <v>33</v>
      </c>
      <c r="E7206" s="19" t="s">
        <v>61</v>
      </c>
      <c r="F7206" s="19" t="s">
        <v>34</v>
      </c>
      <c r="G7206" s="19" t="s">
        <v>63</v>
      </c>
      <c r="H7206" s="19" t="s">
        <v>59</v>
      </c>
      <c r="I7206" s="19" t="s">
        <v>123</v>
      </c>
      <c r="J7206" s="20">
        <v>12</v>
      </c>
      <c r="K7206" s="34">
        <v>0</v>
      </c>
      <c r="L7206" s="34">
        <v>4</v>
      </c>
      <c r="M7206" s="19">
        <f>IF(OR(ISBLANK(C7206),C7206=""),"",ROUND((C7206-B7206)*24,2))</f>
        <v>17.72</v>
      </c>
      <c r="N7206" s="39" t="str">
        <f>IF(OR(ISBLANK(C7206),C7206="",M7206=""),"In Progress",IF(M7206&lt;=J7206,"Met","Breached"))</f>
        <v>Breached</v>
      </c>
    </row>
    <row r="7207" ht="19" customHeight="1" spans="1:14" x14ac:dyDescent="0.25">
      <c r="A7207" s="22" t="s">
        <v>7321</v>
      </c>
      <c r="B7207" s="36">
        <v>45739.20694444445</v>
      </c>
      <c r="D7207" s="22" t="s">
        <v>39</v>
      </c>
      <c r="E7207" s="22" t="s">
        <v>69</v>
      </c>
      <c r="F7207" s="22" t="s">
        <v>37</v>
      </c>
      <c r="G7207" s="22" t="s">
        <v>113</v>
      </c>
      <c r="H7207" s="22" t="s">
        <v>71</v>
      </c>
      <c r="I7207" s="22" t="s">
        <v>108</v>
      </c>
      <c r="J7207" s="23">
        <v>120</v>
      </c>
      <c r="K7207" s="37">
        <v>0</v>
      </c>
      <c r="M7207" s="22" t="str">
        <f>IF(OR(ISBLANK(C7207),C7207=""),"",ROUND((C7207-B7207)*24,2))</f>
        <v/>
      </c>
      <c r="N7207" s="22" t="str">
        <f>IF(OR(ISBLANK(C7207),C7207="",M7207=""),"In Progress",IF(M7207&lt;=J7207,"Met","Breached"))</f>
        <v>In Progress</v>
      </c>
    </row>
    <row r="7208" ht="19" customHeight="1" spans="1:14" x14ac:dyDescent="0.25">
      <c r="A7208" s="19" t="s">
        <v>7322</v>
      </c>
      <c r="B7208" s="33">
        <v>45814.277083333334</v>
      </c>
      <c r="C7208" s="33">
        <v>45814.91527777778</v>
      </c>
      <c r="D7208" s="19" t="s">
        <v>36</v>
      </c>
      <c r="E7208" s="19" t="s">
        <v>65</v>
      </c>
      <c r="F7208" s="19" t="s">
        <v>40</v>
      </c>
      <c r="G7208" s="19" t="s">
        <v>126</v>
      </c>
      <c r="H7208" s="19" t="s">
        <v>67</v>
      </c>
      <c r="I7208" s="19" t="s">
        <v>117</v>
      </c>
      <c r="J7208" s="20">
        <v>48</v>
      </c>
      <c r="K7208" s="34">
        <v>0</v>
      </c>
      <c r="M7208" s="19">
        <f>IF(OR(ISBLANK(C7208),C7208=""),"",ROUND((C7208-B7208)*24,2))</f>
        <v>15.32</v>
      </c>
      <c r="N7208" s="35" t="str">
        <f>IF(OR(ISBLANK(C7208),C7208="",M7208=""),"In Progress",IF(M7208&lt;=J7208,"Met","Breached"))</f>
        <v>Met</v>
      </c>
    </row>
    <row r="7209" ht="19" customHeight="1" spans="1:14" x14ac:dyDescent="0.25">
      <c r="A7209" s="22" t="s">
        <v>7323</v>
      </c>
      <c r="B7209" s="36">
        <v>46276.86597222222</v>
      </c>
      <c r="C7209" s="36">
        <v>46284.726388888885</v>
      </c>
      <c r="D7209" s="22" t="s">
        <v>36</v>
      </c>
      <c r="E7209" s="22" t="s">
        <v>69</v>
      </c>
      <c r="F7209" s="22" t="s">
        <v>40</v>
      </c>
      <c r="G7209" s="22" t="s">
        <v>116</v>
      </c>
      <c r="H7209" s="22" t="s">
        <v>63</v>
      </c>
      <c r="I7209" s="22" t="s">
        <v>123</v>
      </c>
      <c r="J7209" s="23">
        <v>120</v>
      </c>
      <c r="K7209" s="37">
        <v>0</v>
      </c>
      <c r="L7209" s="37">
        <v>2</v>
      </c>
      <c r="M7209" s="22">
        <f>IF(OR(ISBLANK(C7209),C7209=""),"",ROUND((C7209-B7209)*24,2))</f>
        <v>188.65</v>
      </c>
      <c r="N7209" s="38" t="str">
        <f>IF(OR(ISBLANK(C7209),C7209="",M7209=""),"In Progress",IF(M7209&lt;=J7209,"Met","Breached"))</f>
        <v>Breached</v>
      </c>
    </row>
    <row r="7210" ht="19" customHeight="1" spans="1:14" x14ac:dyDescent="0.25">
      <c r="A7210" s="19" t="s">
        <v>7324</v>
      </c>
      <c r="B7210" s="33">
        <v>46277.29513888889</v>
      </c>
      <c r="C7210" s="33">
        <v>46283.305555555555</v>
      </c>
      <c r="D7210" s="19" t="s">
        <v>33</v>
      </c>
      <c r="E7210" s="19" t="s">
        <v>69</v>
      </c>
      <c r="F7210" s="19" t="s">
        <v>37</v>
      </c>
      <c r="G7210" s="19" t="s">
        <v>116</v>
      </c>
      <c r="H7210" s="19" t="s">
        <v>71</v>
      </c>
      <c r="I7210" s="19" t="s">
        <v>147</v>
      </c>
      <c r="J7210" s="20">
        <v>120</v>
      </c>
      <c r="K7210" s="34">
        <v>0</v>
      </c>
      <c r="L7210" s="34">
        <v>4</v>
      </c>
      <c r="M7210" s="19">
        <f>IF(OR(ISBLANK(C7210),C7210=""),"",ROUND((C7210-B7210)*24,2))</f>
        <v>144.25</v>
      </c>
      <c r="N7210" s="39" t="str">
        <f>IF(OR(ISBLANK(C7210),C7210="",M7210=""),"In Progress",IF(M7210&lt;=J7210,"Met","Breached"))</f>
        <v>Breached</v>
      </c>
    </row>
    <row r="7211" ht="19" customHeight="1" spans="1:14" x14ac:dyDescent="0.25">
      <c r="A7211" s="22" t="s">
        <v>7325</v>
      </c>
      <c r="B7211" s="36">
        <v>45905.57083333333</v>
      </c>
      <c r="D7211" s="22" t="s">
        <v>39</v>
      </c>
      <c r="E7211" s="22" t="s">
        <v>61</v>
      </c>
      <c r="F7211" s="22" t="s">
        <v>34</v>
      </c>
      <c r="G7211" s="22" t="s">
        <v>126</v>
      </c>
      <c r="H7211" s="22" t="s">
        <v>59</v>
      </c>
      <c r="I7211" s="22" t="s">
        <v>117</v>
      </c>
      <c r="J7211" s="23">
        <v>12</v>
      </c>
      <c r="K7211" s="37">
        <v>0</v>
      </c>
      <c r="M7211" s="22" t="str">
        <f>IF(OR(ISBLANK(C7211),C7211=""),"",ROUND((C7211-B7211)*24,2))</f>
        <v/>
      </c>
      <c r="N7211" s="22" t="str">
        <f>IF(OR(ISBLANK(C7211),C7211="",M7211=""),"In Progress",IF(M7211&lt;=J7211,"Met","Breached"))</f>
        <v>In Progress</v>
      </c>
    </row>
    <row r="7212" ht="19" customHeight="1" spans="1:14" x14ac:dyDescent="0.25">
      <c r="A7212" s="19" t="s">
        <v>7326</v>
      </c>
      <c r="B7212" s="33">
        <v>45836.81736111111</v>
      </c>
      <c r="D7212" s="19" t="s">
        <v>42</v>
      </c>
      <c r="E7212" s="19" t="s">
        <v>61</v>
      </c>
      <c r="F7212" s="19" t="s">
        <v>37</v>
      </c>
      <c r="G7212" s="19" t="s">
        <v>110</v>
      </c>
      <c r="H7212" s="19" t="s">
        <v>71</v>
      </c>
      <c r="I7212" s="19" t="s">
        <v>123</v>
      </c>
      <c r="J7212" s="20">
        <v>12</v>
      </c>
      <c r="K7212" s="34">
        <v>0</v>
      </c>
      <c r="M7212" s="19" t="str">
        <f>IF(OR(ISBLANK(C7212),C7212=""),"",ROUND((C7212-B7212)*24,2))</f>
        <v/>
      </c>
      <c r="N7212" s="19" t="str">
        <f>IF(OR(ISBLANK(C7212),C7212="",M7212=""),"In Progress",IF(M7212&lt;=J7212,"Met","Breached"))</f>
        <v>In Progress</v>
      </c>
    </row>
    <row r="7213" ht="19" customHeight="1" spans="1:14" x14ac:dyDescent="0.25">
      <c r="A7213" s="22" t="s">
        <v>7327</v>
      </c>
      <c r="B7213" s="36">
        <v>45718.70625</v>
      </c>
      <c r="C7213" s="36">
        <v>45721.072222222225</v>
      </c>
      <c r="D7213" s="22" t="s">
        <v>33</v>
      </c>
      <c r="E7213" s="22" t="s">
        <v>65</v>
      </c>
      <c r="F7213" s="22" t="s">
        <v>34</v>
      </c>
      <c r="G7213" s="22" t="s">
        <v>121</v>
      </c>
      <c r="H7213" s="22" t="s">
        <v>63</v>
      </c>
      <c r="I7213" s="22" t="s">
        <v>114</v>
      </c>
      <c r="J7213" s="23">
        <v>48</v>
      </c>
      <c r="K7213" s="37">
        <v>0</v>
      </c>
      <c r="L7213" s="37">
        <v>1</v>
      </c>
      <c r="M7213" s="22">
        <f>IF(OR(ISBLANK(C7213),C7213=""),"",ROUND((C7213-B7213)*24,2))</f>
        <v>56.78</v>
      </c>
      <c r="N7213" s="38" t="str">
        <f>IF(OR(ISBLANK(C7213),C7213="",M7213=""),"In Progress",IF(M7213&lt;=J7213,"Met","Breached"))</f>
        <v>Breached</v>
      </c>
    </row>
    <row r="7214" ht="19" customHeight="1" spans="1:14" x14ac:dyDescent="0.25">
      <c r="A7214" s="19" t="s">
        <v>7328</v>
      </c>
      <c r="B7214" s="33">
        <v>45697.152083333334</v>
      </c>
      <c r="D7214" s="19" t="s">
        <v>39</v>
      </c>
      <c r="E7214" s="19" t="s">
        <v>65</v>
      </c>
      <c r="F7214" s="19" t="s">
        <v>37</v>
      </c>
      <c r="G7214" s="19" t="s">
        <v>121</v>
      </c>
      <c r="H7214" s="19" t="s">
        <v>59</v>
      </c>
      <c r="I7214" s="19" t="s">
        <v>147</v>
      </c>
      <c r="J7214" s="20">
        <v>48</v>
      </c>
      <c r="K7214" s="34">
        <v>0</v>
      </c>
      <c r="M7214" s="19" t="str">
        <f>IF(OR(ISBLANK(C7214),C7214=""),"",ROUND((C7214-B7214)*24,2))</f>
        <v/>
      </c>
      <c r="N7214" s="19" t="str">
        <f>IF(OR(ISBLANK(C7214),C7214="",M7214=""),"In Progress",IF(M7214&lt;=J7214,"Met","Breached"))</f>
        <v>In Progress</v>
      </c>
    </row>
    <row r="7215" ht="19" customHeight="1" spans="1:14" x14ac:dyDescent="0.25">
      <c r="A7215" s="22" t="s">
        <v>7329</v>
      </c>
      <c r="B7215" s="36">
        <v>46066.17013888889</v>
      </c>
      <c r="C7215" s="36">
        <v>46069.625</v>
      </c>
      <c r="D7215" s="22" t="s">
        <v>36</v>
      </c>
      <c r="E7215" s="22" t="s">
        <v>65</v>
      </c>
      <c r="F7215" s="22" t="s">
        <v>40</v>
      </c>
      <c r="G7215" s="22" t="s">
        <v>121</v>
      </c>
      <c r="H7215" s="22" t="s">
        <v>59</v>
      </c>
      <c r="I7215" s="22" t="s">
        <v>114</v>
      </c>
      <c r="J7215" s="23">
        <v>48</v>
      </c>
      <c r="K7215" s="37">
        <v>0</v>
      </c>
      <c r="M7215" s="22">
        <f>IF(OR(ISBLANK(C7215),C7215=""),"",ROUND((C7215-B7215)*24,2))</f>
        <v>82.92</v>
      </c>
      <c r="N7215" s="38" t="str">
        <f>IF(OR(ISBLANK(C7215),C7215="",M7215=""),"In Progress",IF(M7215&lt;=J7215,"Met","Breached"))</f>
        <v>Breached</v>
      </c>
    </row>
    <row r="7216" ht="19" customHeight="1" spans="1:14" x14ac:dyDescent="0.25">
      <c r="A7216" s="19" t="s">
        <v>7330</v>
      </c>
      <c r="B7216" s="33">
        <v>45837.493055555555</v>
      </c>
      <c r="D7216" s="19" t="s">
        <v>42</v>
      </c>
      <c r="E7216" s="19" t="s">
        <v>61</v>
      </c>
      <c r="F7216" s="19" t="s">
        <v>43</v>
      </c>
      <c r="G7216" s="19" t="s">
        <v>113</v>
      </c>
      <c r="H7216" s="19" t="s">
        <v>63</v>
      </c>
      <c r="I7216" s="19" t="s">
        <v>114</v>
      </c>
      <c r="J7216" s="20">
        <v>12</v>
      </c>
      <c r="K7216" s="34">
        <v>0</v>
      </c>
      <c r="M7216" s="19" t="str">
        <f>IF(OR(ISBLANK(C7216),C7216=""),"",ROUND((C7216-B7216)*24,2))</f>
        <v/>
      </c>
      <c r="N7216" s="19" t="str">
        <f>IF(OR(ISBLANK(C7216),C7216="",M7216=""),"In Progress",IF(M7216&lt;=J7216,"Met","Breached"))</f>
        <v>In Progress</v>
      </c>
    </row>
    <row r="7217" ht="19" customHeight="1" spans="1:14" x14ac:dyDescent="0.25">
      <c r="A7217" s="22" t="s">
        <v>7331</v>
      </c>
      <c r="B7217" s="36">
        <v>45812.29652777778</v>
      </c>
      <c r="C7217" s="36">
        <v>45815.62638888889</v>
      </c>
      <c r="D7217" s="22" t="s">
        <v>33</v>
      </c>
      <c r="E7217" s="22" t="s">
        <v>65</v>
      </c>
      <c r="F7217" s="22" t="s">
        <v>37</v>
      </c>
      <c r="G7217" s="22" t="s">
        <v>116</v>
      </c>
      <c r="H7217" s="22" t="s">
        <v>63</v>
      </c>
      <c r="I7217" s="22" t="s">
        <v>117</v>
      </c>
      <c r="J7217" s="23">
        <v>48</v>
      </c>
      <c r="K7217" s="37">
        <v>0</v>
      </c>
      <c r="L7217" s="37">
        <v>5</v>
      </c>
      <c r="M7217" s="22">
        <f>IF(OR(ISBLANK(C7217),C7217=""),"",ROUND((C7217-B7217)*24,2))</f>
        <v>79.92</v>
      </c>
      <c r="N7217" s="38" t="str">
        <f>IF(OR(ISBLANK(C7217),C7217="",M7217=""),"In Progress",IF(M7217&lt;=J7217,"Met","Breached"))</f>
        <v>Breached</v>
      </c>
    </row>
    <row r="7218" ht="19" customHeight="1" spans="1:14" x14ac:dyDescent="0.25">
      <c r="A7218" s="19" t="s">
        <v>7332</v>
      </c>
      <c r="B7218" s="33">
        <v>45742.57708333334</v>
      </c>
      <c r="C7218" s="33">
        <v>45749.62569444445</v>
      </c>
      <c r="D7218" s="19" t="s">
        <v>33</v>
      </c>
      <c r="E7218" s="19" t="s">
        <v>69</v>
      </c>
      <c r="F7218" s="19" t="s">
        <v>34</v>
      </c>
      <c r="G7218" s="19" t="s">
        <v>121</v>
      </c>
      <c r="H7218" s="19" t="s">
        <v>59</v>
      </c>
      <c r="I7218" s="19" t="s">
        <v>123</v>
      </c>
      <c r="J7218" s="20">
        <v>120</v>
      </c>
      <c r="K7218" s="34">
        <v>1</v>
      </c>
      <c r="M7218" s="19">
        <f>IF(OR(ISBLANK(C7218),C7218=""),"",ROUND((C7218-B7218)*24,2))</f>
        <v>169.17</v>
      </c>
      <c r="N7218" s="39" t="str">
        <f>IF(OR(ISBLANK(C7218),C7218="",M7218=""),"In Progress",IF(M7218&lt;=J7218,"Met","Breached"))</f>
        <v>Breached</v>
      </c>
    </row>
    <row r="7219" ht="19" customHeight="1" spans="1:14" x14ac:dyDescent="0.25">
      <c r="A7219" s="22" t="s">
        <v>7333</v>
      </c>
      <c r="B7219" s="36">
        <v>46058.59097222222</v>
      </c>
      <c r="C7219" s="36">
        <v>46066.70972222222</v>
      </c>
      <c r="D7219" s="22" t="s">
        <v>33</v>
      </c>
      <c r="E7219" s="22" t="s">
        <v>69</v>
      </c>
      <c r="F7219" s="22" t="s">
        <v>37</v>
      </c>
      <c r="G7219" s="22" t="s">
        <v>121</v>
      </c>
      <c r="H7219" s="22" t="s">
        <v>63</v>
      </c>
      <c r="I7219" s="22" t="s">
        <v>147</v>
      </c>
      <c r="J7219" s="23">
        <v>120</v>
      </c>
      <c r="K7219" s="37">
        <v>0</v>
      </c>
      <c r="L7219" s="37">
        <v>5</v>
      </c>
      <c r="M7219" s="22">
        <f>IF(OR(ISBLANK(C7219),C7219=""),"",ROUND((C7219-B7219)*24,2))</f>
        <v>194.85</v>
      </c>
      <c r="N7219" s="38" t="str">
        <f>IF(OR(ISBLANK(C7219),C7219="",M7219=""),"In Progress",IF(M7219&lt;=J7219,"Met","Breached"))</f>
        <v>Breached</v>
      </c>
    </row>
    <row r="7220" ht="19" customHeight="1" spans="1:14" x14ac:dyDescent="0.25">
      <c r="A7220" s="19" t="s">
        <v>7334</v>
      </c>
      <c r="B7220" s="33">
        <v>45840.305555555555</v>
      </c>
      <c r="C7220" s="33">
        <v>45843.12361111111</v>
      </c>
      <c r="D7220" s="19" t="s">
        <v>33</v>
      </c>
      <c r="E7220" s="19" t="s">
        <v>65</v>
      </c>
      <c r="F7220" s="19" t="s">
        <v>43</v>
      </c>
      <c r="G7220" s="19" t="s">
        <v>113</v>
      </c>
      <c r="H7220" s="19" t="s">
        <v>67</v>
      </c>
      <c r="I7220" s="19" t="s">
        <v>117</v>
      </c>
      <c r="J7220" s="20">
        <v>48</v>
      </c>
      <c r="K7220" s="34">
        <v>0</v>
      </c>
      <c r="L7220" s="34">
        <v>5</v>
      </c>
      <c r="M7220" s="19">
        <f>IF(OR(ISBLANK(C7220),C7220=""),"",ROUND((C7220-B7220)*24,2))</f>
        <v>67.63</v>
      </c>
      <c r="N7220" s="39" t="str">
        <f>IF(OR(ISBLANK(C7220),C7220="",M7220=""),"In Progress",IF(M7220&lt;=J7220,"Met","Breached"))</f>
        <v>Breached</v>
      </c>
    </row>
    <row r="7221" ht="19" customHeight="1" spans="1:14" x14ac:dyDescent="0.25">
      <c r="A7221" s="22" t="s">
        <v>7335</v>
      </c>
      <c r="B7221" s="36">
        <v>45841.35416666667</v>
      </c>
      <c r="C7221" s="36">
        <v>45844.177777777775</v>
      </c>
      <c r="D7221" s="22" t="s">
        <v>33</v>
      </c>
      <c r="E7221" s="22" t="s">
        <v>69</v>
      </c>
      <c r="F7221" s="22" t="s">
        <v>43</v>
      </c>
      <c r="G7221" s="22" t="s">
        <v>126</v>
      </c>
      <c r="H7221" s="22" t="s">
        <v>59</v>
      </c>
      <c r="I7221" s="22" t="s">
        <v>123</v>
      </c>
      <c r="J7221" s="23">
        <v>120</v>
      </c>
      <c r="K7221" s="37">
        <v>0</v>
      </c>
      <c r="L7221" s="37">
        <v>4</v>
      </c>
      <c r="M7221" s="22">
        <f>IF(OR(ISBLANK(C7221),C7221=""),"",ROUND((C7221-B7221)*24,2))</f>
        <v>67.77</v>
      </c>
      <c r="N7221" s="40" t="str">
        <f>IF(OR(ISBLANK(C7221),C7221="",M7221=""),"In Progress",IF(M7221&lt;=J7221,"Met","Breached"))</f>
        <v>Met</v>
      </c>
    </row>
    <row r="7222" ht="19" customHeight="1" spans="1:14" x14ac:dyDescent="0.25">
      <c r="A7222" s="19" t="s">
        <v>7336</v>
      </c>
      <c r="B7222" s="33">
        <v>45749.55069444445</v>
      </c>
      <c r="D7222" s="19" t="s">
        <v>39</v>
      </c>
      <c r="E7222" s="19" t="s">
        <v>65</v>
      </c>
      <c r="F7222" s="19" t="s">
        <v>34</v>
      </c>
      <c r="G7222" s="19" t="s">
        <v>113</v>
      </c>
      <c r="H7222" s="19" t="s">
        <v>63</v>
      </c>
      <c r="I7222" s="19" t="s">
        <v>108</v>
      </c>
      <c r="J7222" s="20">
        <v>48</v>
      </c>
      <c r="K7222" s="34">
        <v>0</v>
      </c>
      <c r="M7222" s="19" t="str">
        <f>IF(OR(ISBLANK(C7222),C7222=""),"",ROUND((C7222-B7222)*24,2))</f>
        <v/>
      </c>
      <c r="N7222" s="19" t="str">
        <f>IF(OR(ISBLANK(C7222),C7222="",M7222=""),"In Progress",IF(M7222&lt;=J7222,"Met","Breached"))</f>
        <v>In Progress</v>
      </c>
    </row>
    <row r="7223" ht="19" customHeight="1" spans="1:14" x14ac:dyDescent="0.25">
      <c r="A7223" s="22" t="s">
        <v>7337</v>
      </c>
      <c r="B7223" s="36">
        <v>46010.59652777778</v>
      </c>
      <c r="C7223" s="36">
        <v>46012.7625</v>
      </c>
      <c r="D7223" s="22" t="s">
        <v>36</v>
      </c>
      <c r="E7223" s="22" t="s">
        <v>65</v>
      </c>
      <c r="F7223" s="22" t="s">
        <v>43</v>
      </c>
      <c r="G7223" s="22" t="s">
        <v>116</v>
      </c>
      <c r="H7223" s="22" t="s">
        <v>67</v>
      </c>
      <c r="I7223" s="22" t="s">
        <v>111</v>
      </c>
      <c r="J7223" s="23">
        <v>48</v>
      </c>
      <c r="K7223" s="37">
        <v>0</v>
      </c>
      <c r="L7223" s="37">
        <v>5</v>
      </c>
      <c r="M7223" s="22">
        <f>IF(OR(ISBLANK(C7223),C7223=""),"",ROUND((C7223-B7223)*24,2))</f>
        <v>51.98</v>
      </c>
      <c r="N7223" s="38" t="str">
        <f>IF(OR(ISBLANK(C7223),C7223="",M7223=""),"In Progress",IF(M7223&lt;=J7223,"Met","Breached"))</f>
        <v>Breached</v>
      </c>
    </row>
    <row r="7224" ht="19" customHeight="1" spans="1:14" x14ac:dyDescent="0.25">
      <c r="A7224" s="19" t="s">
        <v>7338</v>
      </c>
      <c r="B7224" s="33">
        <v>46080.83194444445</v>
      </c>
      <c r="C7224" s="33">
        <v>46087.28263888889</v>
      </c>
      <c r="D7224" s="19" t="s">
        <v>33</v>
      </c>
      <c r="E7224" s="19" t="s">
        <v>69</v>
      </c>
      <c r="F7224" s="19" t="s">
        <v>43</v>
      </c>
      <c r="G7224" s="19" t="s">
        <v>113</v>
      </c>
      <c r="H7224" s="19" t="s">
        <v>59</v>
      </c>
      <c r="I7224" s="19" t="s">
        <v>123</v>
      </c>
      <c r="J7224" s="20">
        <v>120</v>
      </c>
      <c r="K7224" s="34">
        <v>0</v>
      </c>
      <c r="L7224" s="34">
        <v>2</v>
      </c>
      <c r="M7224" s="19">
        <f>IF(OR(ISBLANK(C7224),C7224=""),"",ROUND((C7224-B7224)*24,2))</f>
        <v>154.82</v>
      </c>
      <c r="N7224" s="39" t="str">
        <f>IF(OR(ISBLANK(C7224),C7224="",M7224=""),"In Progress",IF(M7224&lt;=J7224,"Met","Breached"))</f>
        <v>Breached</v>
      </c>
    </row>
    <row r="7225" ht="19" customHeight="1" spans="1:14" x14ac:dyDescent="0.25">
      <c r="A7225" s="22" t="s">
        <v>7339</v>
      </c>
      <c r="B7225" s="36">
        <v>46169.30138888889</v>
      </c>
      <c r="C7225" s="36">
        <v>46175.53333333333</v>
      </c>
      <c r="D7225" s="22" t="s">
        <v>36</v>
      </c>
      <c r="E7225" s="22" t="s">
        <v>69</v>
      </c>
      <c r="F7225" s="22" t="s">
        <v>40</v>
      </c>
      <c r="G7225" s="22" t="s">
        <v>116</v>
      </c>
      <c r="H7225" s="22" t="s">
        <v>59</v>
      </c>
      <c r="I7225" s="22" t="s">
        <v>123</v>
      </c>
      <c r="J7225" s="23">
        <v>120</v>
      </c>
      <c r="K7225" s="37">
        <v>0</v>
      </c>
      <c r="M7225" s="22">
        <f>IF(OR(ISBLANK(C7225),C7225=""),"",ROUND((C7225-B7225)*24,2))</f>
        <v>149.57</v>
      </c>
      <c r="N7225" s="38" t="str">
        <f>IF(OR(ISBLANK(C7225),C7225="",M7225=""),"In Progress",IF(M7225&lt;=J7225,"Met","Breached"))</f>
        <v>Breached</v>
      </c>
    </row>
    <row r="7226" ht="19" customHeight="1" spans="1:14" x14ac:dyDescent="0.25">
      <c r="A7226" s="19" t="s">
        <v>7340</v>
      </c>
      <c r="B7226" s="33">
        <v>45969.396527777775</v>
      </c>
      <c r="C7226" s="33">
        <v>45970.351388888885</v>
      </c>
      <c r="D7226" s="19" t="s">
        <v>36</v>
      </c>
      <c r="E7226" s="19" t="s">
        <v>65</v>
      </c>
      <c r="F7226" s="19" t="s">
        <v>37</v>
      </c>
      <c r="G7226" s="19" t="s">
        <v>63</v>
      </c>
      <c r="H7226" s="19" t="s">
        <v>63</v>
      </c>
      <c r="I7226" s="19" t="s">
        <v>117</v>
      </c>
      <c r="J7226" s="20">
        <v>48</v>
      </c>
      <c r="K7226" s="34">
        <v>0</v>
      </c>
      <c r="L7226" s="34">
        <v>4</v>
      </c>
      <c r="M7226" s="19">
        <f>IF(OR(ISBLANK(C7226),C7226=""),"",ROUND((C7226-B7226)*24,2))</f>
        <v>22.92</v>
      </c>
      <c r="N7226" s="35" t="str">
        <f>IF(OR(ISBLANK(C7226),C7226="",M7226=""),"In Progress",IF(M7226&lt;=J7226,"Met","Breached"))</f>
        <v>Met</v>
      </c>
    </row>
    <row r="7227" ht="19" customHeight="1" spans="1:14" x14ac:dyDescent="0.25">
      <c r="A7227" s="22" t="s">
        <v>7341</v>
      </c>
      <c r="B7227" s="36">
        <v>46171.65</v>
      </c>
      <c r="C7227" s="36">
        <v>46172.21597222222</v>
      </c>
      <c r="D7227" s="22" t="s">
        <v>33</v>
      </c>
      <c r="E7227" s="22" t="s">
        <v>61</v>
      </c>
      <c r="F7227" s="22" t="s">
        <v>40</v>
      </c>
      <c r="G7227" s="22" t="s">
        <v>113</v>
      </c>
      <c r="H7227" s="22" t="s">
        <v>71</v>
      </c>
      <c r="I7227" s="22" t="s">
        <v>147</v>
      </c>
      <c r="J7227" s="23">
        <v>12</v>
      </c>
      <c r="K7227" s="37">
        <v>0</v>
      </c>
      <c r="L7227" s="37">
        <v>5</v>
      </c>
      <c r="M7227" s="22">
        <f>IF(OR(ISBLANK(C7227),C7227=""),"",ROUND((C7227-B7227)*24,2))</f>
        <v>13.58</v>
      </c>
      <c r="N7227" s="38" t="str">
        <f>IF(OR(ISBLANK(C7227),C7227="",M7227=""),"In Progress",IF(M7227&lt;=J7227,"Met","Breached"))</f>
        <v>Breached</v>
      </c>
    </row>
    <row r="7228" ht="19" customHeight="1" spans="1:14" x14ac:dyDescent="0.25">
      <c r="A7228" s="19" t="s">
        <v>7342</v>
      </c>
      <c r="B7228" s="33">
        <v>45798.64444444445</v>
      </c>
      <c r="C7228" s="33">
        <v>45798.90902777778</v>
      </c>
      <c r="D7228" s="19" t="s">
        <v>33</v>
      </c>
      <c r="E7228" s="19" t="s">
        <v>57</v>
      </c>
      <c r="F7228" s="19" t="s">
        <v>37</v>
      </c>
      <c r="G7228" s="19" t="s">
        <v>113</v>
      </c>
      <c r="H7228" s="19" t="s">
        <v>63</v>
      </c>
      <c r="I7228" s="19" t="s">
        <v>123</v>
      </c>
      <c r="J7228" s="20">
        <v>4</v>
      </c>
      <c r="K7228" s="34">
        <v>0</v>
      </c>
      <c r="L7228" s="34">
        <v>1</v>
      </c>
      <c r="M7228" s="19">
        <f>IF(OR(ISBLANK(C7228),C7228=""),"",ROUND((C7228-B7228)*24,2))</f>
        <v>6.35</v>
      </c>
      <c r="N7228" s="39" t="str">
        <f>IF(OR(ISBLANK(C7228),C7228="",M7228=""),"In Progress",IF(M7228&lt;=J7228,"Met","Breached"))</f>
        <v>Breached</v>
      </c>
    </row>
    <row r="7229" ht="19" customHeight="1" spans="1:14" x14ac:dyDescent="0.25">
      <c r="A7229" s="22" t="s">
        <v>7343</v>
      </c>
      <c r="B7229" s="36">
        <v>45822.55138888889</v>
      </c>
      <c r="C7229" s="36">
        <v>45824.72916666667</v>
      </c>
      <c r="D7229" s="22" t="s">
        <v>33</v>
      </c>
      <c r="E7229" s="22" t="s">
        <v>65</v>
      </c>
      <c r="F7229" s="22" t="s">
        <v>37</v>
      </c>
      <c r="G7229" s="22" t="s">
        <v>110</v>
      </c>
      <c r="H7229" s="22" t="s">
        <v>67</v>
      </c>
      <c r="I7229" s="22" t="s">
        <v>123</v>
      </c>
      <c r="J7229" s="23">
        <v>48</v>
      </c>
      <c r="K7229" s="37">
        <v>0</v>
      </c>
      <c r="L7229" s="37">
        <v>4</v>
      </c>
      <c r="M7229" s="22">
        <f>IF(OR(ISBLANK(C7229),C7229=""),"",ROUND((C7229-B7229)*24,2))</f>
        <v>52.27</v>
      </c>
      <c r="N7229" s="38" t="str">
        <f>IF(OR(ISBLANK(C7229),C7229="",M7229=""),"In Progress",IF(M7229&lt;=J7229,"Met","Breached"))</f>
        <v>Breached</v>
      </c>
    </row>
    <row r="7230" ht="19" customHeight="1" spans="1:14" x14ac:dyDescent="0.25">
      <c r="A7230" s="19" t="s">
        <v>7344</v>
      </c>
      <c r="B7230" s="33">
        <v>46030.79166666667</v>
      </c>
      <c r="D7230" s="19" t="s">
        <v>42</v>
      </c>
      <c r="E7230" s="19" t="s">
        <v>65</v>
      </c>
      <c r="F7230" s="19" t="s">
        <v>37</v>
      </c>
      <c r="G7230" s="19" t="s">
        <v>110</v>
      </c>
      <c r="H7230" s="19" t="s">
        <v>63</v>
      </c>
      <c r="I7230" s="19" t="s">
        <v>114</v>
      </c>
      <c r="J7230" s="20">
        <v>48</v>
      </c>
      <c r="K7230" s="34">
        <v>0</v>
      </c>
      <c r="M7230" s="19" t="str">
        <f>IF(OR(ISBLANK(C7230),C7230=""),"",ROUND((C7230-B7230)*24,2))</f>
        <v/>
      </c>
      <c r="N7230" s="19" t="str">
        <f>IF(OR(ISBLANK(C7230),C7230="",M7230=""),"In Progress",IF(M7230&lt;=J7230,"Met","Breached"))</f>
        <v>In Progress</v>
      </c>
    </row>
    <row r="7231" ht="19" customHeight="1" spans="1:14" x14ac:dyDescent="0.25">
      <c r="A7231" s="22" t="s">
        <v>7345</v>
      </c>
      <c r="B7231" s="36">
        <v>45966.64236111111</v>
      </c>
      <c r="C7231" s="36">
        <v>45968.34097222222</v>
      </c>
      <c r="D7231" s="22" t="s">
        <v>33</v>
      </c>
      <c r="E7231" s="22" t="s">
        <v>65</v>
      </c>
      <c r="F7231" s="22" t="s">
        <v>37</v>
      </c>
      <c r="G7231" s="22" t="s">
        <v>63</v>
      </c>
      <c r="H7231" s="22" t="s">
        <v>63</v>
      </c>
      <c r="I7231" s="22" t="s">
        <v>123</v>
      </c>
      <c r="J7231" s="23">
        <v>48</v>
      </c>
      <c r="K7231" s="37">
        <v>1</v>
      </c>
      <c r="L7231" s="37">
        <v>4</v>
      </c>
      <c r="M7231" s="22">
        <f>IF(OR(ISBLANK(C7231),C7231=""),"",ROUND((C7231-B7231)*24,2))</f>
        <v>40.77</v>
      </c>
      <c r="N7231" s="40" t="str">
        <f>IF(OR(ISBLANK(C7231),C7231="",M7231=""),"In Progress",IF(M7231&lt;=J7231,"Met","Breached"))</f>
        <v>Met</v>
      </c>
    </row>
    <row r="7232" ht="19" customHeight="1" spans="1:14" x14ac:dyDescent="0.25">
      <c r="A7232" s="19" t="s">
        <v>7346</v>
      </c>
      <c r="B7232" s="33">
        <v>45829.14236111111</v>
      </c>
      <c r="D7232" s="19" t="s">
        <v>42</v>
      </c>
      <c r="E7232" s="19" t="s">
        <v>65</v>
      </c>
      <c r="F7232" s="19" t="s">
        <v>37</v>
      </c>
      <c r="G7232" s="19" t="s">
        <v>63</v>
      </c>
      <c r="H7232" s="19" t="s">
        <v>59</v>
      </c>
      <c r="I7232" s="19" t="s">
        <v>123</v>
      </c>
      <c r="J7232" s="20">
        <v>48</v>
      </c>
      <c r="K7232" s="34">
        <v>0</v>
      </c>
      <c r="M7232" s="19" t="str">
        <f>IF(OR(ISBLANK(C7232),C7232=""),"",ROUND((C7232-B7232)*24,2))</f>
        <v/>
      </c>
      <c r="N7232" s="19" t="str">
        <f>IF(OR(ISBLANK(C7232),C7232="",M7232=""),"In Progress",IF(M7232&lt;=J7232,"Met","Breached"))</f>
        <v>In Progress</v>
      </c>
    </row>
    <row r="7233" ht="19" customHeight="1" spans="1:14" x14ac:dyDescent="0.25">
      <c r="A7233" s="22" t="s">
        <v>7347</v>
      </c>
      <c r="B7233" s="36">
        <v>46054.54791666666</v>
      </c>
      <c r="C7233" s="36">
        <v>46056.24444444444</v>
      </c>
      <c r="D7233" s="22" t="s">
        <v>33</v>
      </c>
      <c r="E7233" s="22" t="s">
        <v>69</v>
      </c>
      <c r="F7233" s="22" t="s">
        <v>34</v>
      </c>
      <c r="G7233" s="22" t="s">
        <v>63</v>
      </c>
      <c r="H7233" s="22" t="s">
        <v>59</v>
      </c>
      <c r="I7233" s="22" t="s">
        <v>114</v>
      </c>
      <c r="J7233" s="23">
        <v>120</v>
      </c>
      <c r="K7233" s="37">
        <v>0</v>
      </c>
      <c r="L7233" s="37">
        <v>3</v>
      </c>
      <c r="M7233" s="22">
        <f>IF(OR(ISBLANK(C7233),C7233=""),"",ROUND((C7233-B7233)*24,2))</f>
        <v>40.72</v>
      </c>
      <c r="N7233" s="40" t="str">
        <f>IF(OR(ISBLANK(C7233),C7233="",M7233=""),"In Progress",IF(M7233&lt;=J7233,"Met","Breached"))</f>
        <v>Met</v>
      </c>
    </row>
    <row r="7234" ht="19" customHeight="1" spans="1:14" x14ac:dyDescent="0.25">
      <c r="A7234" s="19" t="s">
        <v>7348</v>
      </c>
      <c r="B7234" s="33">
        <v>45794.85625</v>
      </c>
      <c r="C7234" s="33">
        <v>45795.398611111115</v>
      </c>
      <c r="D7234" s="19" t="s">
        <v>36</v>
      </c>
      <c r="E7234" s="19" t="s">
        <v>61</v>
      </c>
      <c r="F7234" s="19" t="s">
        <v>45</v>
      </c>
      <c r="G7234" s="19" t="s">
        <v>121</v>
      </c>
      <c r="H7234" s="19" t="s">
        <v>63</v>
      </c>
      <c r="I7234" s="19" t="s">
        <v>147</v>
      </c>
      <c r="J7234" s="20">
        <v>12</v>
      </c>
      <c r="K7234" s="34">
        <v>0</v>
      </c>
      <c r="M7234" s="19">
        <f>IF(OR(ISBLANK(C7234),C7234=""),"",ROUND((C7234-B7234)*24,2))</f>
        <v>13.02</v>
      </c>
      <c r="N7234" s="39" t="str">
        <f>IF(OR(ISBLANK(C7234),C7234="",M7234=""),"In Progress",IF(M7234&lt;=J7234,"Met","Breached"))</f>
        <v>Breached</v>
      </c>
    </row>
    <row r="7235" ht="19" customHeight="1" spans="1:14" x14ac:dyDescent="0.25">
      <c r="A7235" s="22" t="s">
        <v>7349</v>
      </c>
      <c r="B7235" s="36">
        <v>46093.22013888889</v>
      </c>
      <c r="C7235" s="36">
        <v>46094.05</v>
      </c>
      <c r="D7235" s="22" t="s">
        <v>33</v>
      </c>
      <c r="E7235" s="22" t="s">
        <v>61</v>
      </c>
      <c r="F7235" s="22" t="s">
        <v>45</v>
      </c>
      <c r="G7235" s="22" t="s">
        <v>113</v>
      </c>
      <c r="H7235" s="22" t="s">
        <v>71</v>
      </c>
      <c r="I7235" s="22" t="s">
        <v>114</v>
      </c>
      <c r="J7235" s="23">
        <v>12</v>
      </c>
      <c r="K7235" s="37">
        <v>0</v>
      </c>
      <c r="L7235" s="37">
        <v>2</v>
      </c>
      <c r="M7235" s="22">
        <f>IF(OR(ISBLANK(C7235),C7235=""),"",ROUND((C7235-B7235)*24,2))</f>
        <v>19.92</v>
      </c>
      <c r="N7235" s="38" t="str">
        <f>IF(OR(ISBLANK(C7235),C7235="",M7235=""),"In Progress",IF(M7235&lt;=J7235,"Met","Breached"))</f>
        <v>Breached</v>
      </c>
    </row>
    <row r="7236" ht="19" customHeight="1" spans="1:14" x14ac:dyDescent="0.25">
      <c r="A7236" s="19" t="s">
        <v>7350</v>
      </c>
      <c r="B7236" s="33">
        <v>46279.47986111111</v>
      </c>
      <c r="C7236" s="33">
        <v>46282.745833333334</v>
      </c>
      <c r="D7236" s="19" t="s">
        <v>36</v>
      </c>
      <c r="E7236" s="19" t="s">
        <v>65</v>
      </c>
      <c r="F7236" s="19" t="s">
        <v>43</v>
      </c>
      <c r="G7236" s="19" t="s">
        <v>110</v>
      </c>
      <c r="H7236" s="19" t="s">
        <v>71</v>
      </c>
      <c r="I7236" s="19" t="s">
        <v>117</v>
      </c>
      <c r="J7236" s="20">
        <v>48</v>
      </c>
      <c r="K7236" s="34">
        <v>0</v>
      </c>
      <c r="L7236" s="34">
        <v>3</v>
      </c>
      <c r="M7236" s="19">
        <f>IF(OR(ISBLANK(C7236),C7236=""),"",ROUND((C7236-B7236)*24,2))</f>
        <v>78.38</v>
      </c>
      <c r="N7236" s="39" t="str">
        <f>IF(OR(ISBLANK(C7236),C7236="",M7236=""),"In Progress",IF(M7236&lt;=J7236,"Met","Breached"))</f>
        <v>Breached</v>
      </c>
    </row>
    <row r="7237" ht="19" customHeight="1" spans="1:14" x14ac:dyDescent="0.25">
      <c r="A7237" s="22" t="s">
        <v>7351</v>
      </c>
      <c r="B7237" s="36">
        <v>46285.01944444445</v>
      </c>
      <c r="C7237" s="36">
        <v>46289.31180555555</v>
      </c>
      <c r="D7237" s="22" t="s">
        <v>33</v>
      </c>
      <c r="E7237" s="22" t="s">
        <v>69</v>
      </c>
      <c r="F7237" s="22" t="s">
        <v>43</v>
      </c>
      <c r="G7237" s="22" t="s">
        <v>63</v>
      </c>
      <c r="H7237" s="22" t="s">
        <v>59</v>
      </c>
      <c r="I7237" s="22" t="s">
        <v>147</v>
      </c>
      <c r="J7237" s="23">
        <v>120</v>
      </c>
      <c r="K7237" s="37">
        <v>0</v>
      </c>
      <c r="L7237" s="37">
        <v>5</v>
      </c>
      <c r="M7237" s="22">
        <f>IF(OR(ISBLANK(C7237),C7237=""),"",ROUND((C7237-B7237)*24,2))</f>
        <v>103.02</v>
      </c>
      <c r="N7237" s="40" t="str">
        <f>IF(OR(ISBLANK(C7237),C7237="",M7237=""),"In Progress",IF(M7237&lt;=J7237,"Met","Breached"))</f>
        <v>Met</v>
      </c>
    </row>
    <row r="7238" ht="19" customHeight="1" spans="1:14" x14ac:dyDescent="0.25">
      <c r="A7238" s="19" t="s">
        <v>7352</v>
      </c>
      <c r="B7238" s="33">
        <v>45852.94236111111</v>
      </c>
      <c r="D7238" s="19" t="s">
        <v>39</v>
      </c>
      <c r="E7238" s="19" t="s">
        <v>69</v>
      </c>
      <c r="F7238" s="19" t="s">
        <v>40</v>
      </c>
      <c r="G7238" s="19" t="s">
        <v>126</v>
      </c>
      <c r="H7238" s="19" t="s">
        <v>71</v>
      </c>
      <c r="I7238" s="19" t="s">
        <v>117</v>
      </c>
      <c r="J7238" s="20">
        <v>120</v>
      </c>
      <c r="K7238" s="34">
        <v>0</v>
      </c>
      <c r="M7238" s="19" t="str">
        <f>IF(OR(ISBLANK(C7238),C7238=""),"",ROUND((C7238-B7238)*24,2))</f>
        <v/>
      </c>
      <c r="N7238" s="19" t="str">
        <f>IF(OR(ISBLANK(C7238),C7238="",M7238=""),"In Progress",IF(M7238&lt;=J7238,"Met","Breached"))</f>
        <v>In Progress</v>
      </c>
    </row>
    <row r="7239" ht="19" customHeight="1" spans="1:14" x14ac:dyDescent="0.25">
      <c r="A7239" s="22" t="s">
        <v>7353</v>
      </c>
      <c r="B7239" s="36">
        <v>46205.04166666667</v>
      </c>
      <c r="C7239" s="36">
        <v>46212.08819444444</v>
      </c>
      <c r="D7239" s="22" t="s">
        <v>33</v>
      </c>
      <c r="E7239" s="22" t="s">
        <v>69</v>
      </c>
      <c r="F7239" s="22" t="s">
        <v>34</v>
      </c>
      <c r="G7239" s="22" t="s">
        <v>121</v>
      </c>
      <c r="H7239" s="22" t="s">
        <v>71</v>
      </c>
      <c r="I7239" s="22" t="s">
        <v>108</v>
      </c>
      <c r="J7239" s="23">
        <v>120</v>
      </c>
      <c r="K7239" s="37">
        <v>0</v>
      </c>
      <c r="L7239" s="37">
        <v>4</v>
      </c>
      <c r="M7239" s="22">
        <f>IF(OR(ISBLANK(C7239),C7239=""),"",ROUND((C7239-B7239)*24,2))</f>
        <v>169.12</v>
      </c>
      <c r="N7239" s="38" t="str">
        <f>IF(OR(ISBLANK(C7239),C7239="",M7239=""),"In Progress",IF(M7239&lt;=J7239,"Met","Breached"))</f>
        <v>Breached</v>
      </c>
    </row>
    <row r="7240" ht="19" customHeight="1" spans="1:14" x14ac:dyDescent="0.25">
      <c r="A7240" s="19" t="s">
        <v>7354</v>
      </c>
      <c r="B7240" s="33">
        <v>46071.888194444444</v>
      </c>
      <c r="C7240" s="33">
        <v>46074.84236111111</v>
      </c>
      <c r="D7240" s="19" t="s">
        <v>33</v>
      </c>
      <c r="E7240" s="19" t="s">
        <v>65</v>
      </c>
      <c r="F7240" s="19" t="s">
        <v>45</v>
      </c>
      <c r="G7240" s="19" t="s">
        <v>110</v>
      </c>
      <c r="H7240" s="19" t="s">
        <v>59</v>
      </c>
      <c r="I7240" s="19" t="s">
        <v>147</v>
      </c>
      <c r="J7240" s="20">
        <v>48</v>
      </c>
      <c r="K7240" s="34">
        <v>0</v>
      </c>
      <c r="L7240" s="34">
        <v>3</v>
      </c>
      <c r="M7240" s="19">
        <f>IF(OR(ISBLANK(C7240),C7240=""),"",ROUND((C7240-B7240)*24,2))</f>
        <v>70.9</v>
      </c>
      <c r="N7240" s="39" t="str">
        <f>IF(OR(ISBLANK(C7240),C7240="",M7240=""),"In Progress",IF(M7240&lt;=J7240,"Met","Breached"))</f>
        <v>Breached</v>
      </c>
    </row>
    <row r="7241" ht="19" customHeight="1" spans="1:14" x14ac:dyDescent="0.25">
      <c r="A7241" s="22" t="s">
        <v>7355</v>
      </c>
      <c r="B7241" s="36">
        <v>45994.33194444445</v>
      </c>
      <c r="D7241" s="22" t="s">
        <v>39</v>
      </c>
      <c r="E7241" s="22" t="s">
        <v>65</v>
      </c>
      <c r="F7241" s="22" t="s">
        <v>40</v>
      </c>
      <c r="G7241" s="22" t="s">
        <v>126</v>
      </c>
      <c r="H7241" s="22" t="s">
        <v>59</v>
      </c>
      <c r="I7241" s="22" t="s">
        <v>108</v>
      </c>
      <c r="J7241" s="23">
        <v>48</v>
      </c>
      <c r="K7241" s="37">
        <v>0</v>
      </c>
      <c r="M7241" s="22" t="str">
        <f>IF(OR(ISBLANK(C7241),C7241=""),"",ROUND((C7241-B7241)*24,2))</f>
        <v/>
      </c>
      <c r="N7241" s="22" t="str">
        <f>IF(OR(ISBLANK(C7241),C7241="",M7241=""),"In Progress",IF(M7241&lt;=J7241,"Met","Breached"))</f>
        <v>In Progress</v>
      </c>
    </row>
    <row r="7242" ht="19" customHeight="1" spans="1:14" x14ac:dyDescent="0.25">
      <c r="A7242" s="19" t="s">
        <v>7356</v>
      </c>
      <c r="B7242" s="33">
        <v>45994.47361111111</v>
      </c>
      <c r="C7242" s="33">
        <v>45997.20833333333</v>
      </c>
      <c r="D7242" s="19" t="s">
        <v>33</v>
      </c>
      <c r="E7242" s="19" t="s">
        <v>65</v>
      </c>
      <c r="F7242" s="19" t="s">
        <v>43</v>
      </c>
      <c r="G7242" s="19" t="s">
        <v>116</v>
      </c>
      <c r="H7242" s="19" t="s">
        <v>59</v>
      </c>
      <c r="I7242" s="19" t="s">
        <v>114</v>
      </c>
      <c r="J7242" s="20">
        <v>48</v>
      </c>
      <c r="K7242" s="34">
        <v>0</v>
      </c>
      <c r="L7242" s="34">
        <v>2</v>
      </c>
      <c r="M7242" s="19">
        <f>IF(OR(ISBLANK(C7242),C7242=""),"",ROUND((C7242-B7242)*24,2))</f>
        <v>65.63</v>
      </c>
      <c r="N7242" s="39" t="str">
        <f>IF(OR(ISBLANK(C7242),C7242="",M7242=""),"In Progress",IF(M7242&lt;=J7242,"Met","Breached"))</f>
        <v>Breached</v>
      </c>
    </row>
    <row r="7243" ht="19" customHeight="1" spans="1:14" x14ac:dyDescent="0.25">
      <c r="A7243" s="22" t="s">
        <v>7357</v>
      </c>
      <c r="B7243" s="36">
        <v>46075.78125</v>
      </c>
      <c r="C7243" s="36">
        <v>46075.910416666666</v>
      </c>
      <c r="D7243" s="22" t="s">
        <v>33</v>
      </c>
      <c r="E7243" s="22" t="s">
        <v>57</v>
      </c>
      <c r="F7243" s="22" t="s">
        <v>40</v>
      </c>
      <c r="G7243" s="22" t="s">
        <v>110</v>
      </c>
      <c r="H7243" s="22" t="s">
        <v>71</v>
      </c>
      <c r="I7243" s="22" t="s">
        <v>147</v>
      </c>
      <c r="J7243" s="23">
        <v>4</v>
      </c>
      <c r="K7243" s="37">
        <v>0</v>
      </c>
      <c r="M7243" s="22">
        <f>IF(OR(ISBLANK(C7243),C7243=""),"",ROUND((C7243-B7243)*24,2))</f>
        <v>3.1</v>
      </c>
      <c r="N7243" s="40" t="str">
        <f>IF(OR(ISBLANK(C7243),C7243="",M7243=""),"In Progress",IF(M7243&lt;=J7243,"Met","Breached"))</f>
        <v>Met</v>
      </c>
    </row>
    <row r="7244" ht="19" customHeight="1" spans="1:14" x14ac:dyDescent="0.25">
      <c r="A7244" s="19" t="s">
        <v>7358</v>
      </c>
      <c r="B7244" s="33">
        <v>45884.24861111111</v>
      </c>
      <c r="C7244" s="33">
        <v>45884.75347222222</v>
      </c>
      <c r="D7244" s="19" t="s">
        <v>33</v>
      </c>
      <c r="E7244" s="19" t="s">
        <v>61</v>
      </c>
      <c r="F7244" s="19" t="s">
        <v>43</v>
      </c>
      <c r="G7244" s="19" t="s">
        <v>113</v>
      </c>
      <c r="H7244" s="19" t="s">
        <v>71</v>
      </c>
      <c r="I7244" s="19" t="s">
        <v>123</v>
      </c>
      <c r="J7244" s="20">
        <v>12</v>
      </c>
      <c r="K7244" s="34">
        <v>0</v>
      </c>
      <c r="L7244" s="34">
        <v>1</v>
      </c>
      <c r="M7244" s="19">
        <f>IF(OR(ISBLANK(C7244),C7244=""),"",ROUND((C7244-B7244)*24,2))</f>
        <v>12.12</v>
      </c>
      <c r="N7244" s="39" t="str">
        <f>IF(OR(ISBLANK(C7244),C7244="",M7244=""),"In Progress",IF(M7244&lt;=J7244,"Met","Breached"))</f>
        <v>Breached</v>
      </c>
    </row>
    <row r="7245" ht="19" customHeight="1" spans="1:14" x14ac:dyDescent="0.25">
      <c r="A7245" s="22" t="s">
        <v>7359</v>
      </c>
      <c r="B7245" s="36">
        <v>45903.555555555555</v>
      </c>
      <c r="D7245" s="22" t="s">
        <v>42</v>
      </c>
      <c r="E7245" s="22" t="s">
        <v>61</v>
      </c>
      <c r="F7245" s="22" t="s">
        <v>40</v>
      </c>
      <c r="G7245" s="22" t="s">
        <v>113</v>
      </c>
      <c r="H7245" s="22" t="s">
        <v>67</v>
      </c>
      <c r="I7245" s="22" t="s">
        <v>117</v>
      </c>
      <c r="J7245" s="23">
        <v>12</v>
      </c>
      <c r="K7245" s="37">
        <v>0</v>
      </c>
      <c r="M7245" s="22" t="str">
        <f>IF(OR(ISBLANK(C7245),C7245=""),"",ROUND((C7245-B7245)*24,2))</f>
        <v/>
      </c>
      <c r="N7245" s="22" t="str">
        <f>IF(OR(ISBLANK(C7245),C7245="",M7245=""),"In Progress",IF(M7245&lt;=J7245,"Met","Breached"))</f>
        <v>In Progress</v>
      </c>
    </row>
    <row r="7246" ht="19" customHeight="1" spans="1:14" x14ac:dyDescent="0.25">
      <c r="A7246" s="19" t="s">
        <v>7360</v>
      </c>
      <c r="B7246" s="33">
        <v>45836.84861111111</v>
      </c>
      <c r="C7246" s="33">
        <v>45839.00486111111</v>
      </c>
      <c r="D7246" s="19" t="s">
        <v>33</v>
      </c>
      <c r="E7246" s="19" t="s">
        <v>65</v>
      </c>
      <c r="F7246" s="19" t="s">
        <v>37</v>
      </c>
      <c r="G7246" s="19" t="s">
        <v>121</v>
      </c>
      <c r="H7246" s="19" t="s">
        <v>63</v>
      </c>
      <c r="I7246" s="19" t="s">
        <v>147</v>
      </c>
      <c r="J7246" s="20">
        <v>48</v>
      </c>
      <c r="K7246" s="34">
        <v>0</v>
      </c>
      <c r="L7246" s="34">
        <v>5</v>
      </c>
      <c r="M7246" s="19">
        <f>IF(OR(ISBLANK(C7246),C7246=""),"",ROUND((C7246-B7246)*24,2))</f>
        <v>51.75</v>
      </c>
      <c r="N7246" s="39" t="str">
        <f>IF(OR(ISBLANK(C7246),C7246="",M7246=""),"In Progress",IF(M7246&lt;=J7246,"Met","Breached"))</f>
        <v>Breached</v>
      </c>
    </row>
    <row r="7247" ht="19" customHeight="1" spans="1:14" x14ac:dyDescent="0.25">
      <c r="A7247" s="22" t="s">
        <v>7361</v>
      </c>
      <c r="B7247" s="36">
        <v>45711.07361111111</v>
      </c>
      <c r="C7247" s="36">
        <v>45711.86944444444</v>
      </c>
      <c r="D7247" s="22" t="s">
        <v>33</v>
      </c>
      <c r="E7247" s="22" t="s">
        <v>61</v>
      </c>
      <c r="F7247" s="22" t="s">
        <v>40</v>
      </c>
      <c r="G7247" s="22" t="s">
        <v>110</v>
      </c>
      <c r="H7247" s="22" t="s">
        <v>59</v>
      </c>
      <c r="I7247" s="22" t="s">
        <v>123</v>
      </c>
      <c r="J7247" s="23">
        <v>12</v>
      </c>
      <c r="K7247" s="37">
        <v>0</v>
      </c>
      <c r="L7247" s="37">
        <v>3</v>
      </c>
      <c r="M7247" s="22">
        <f>IF(OR(ISBLANK(C7247),C7247=""),"",ROUND((C7247-B7247)*24,2))</f>
        <v>19.1</v>
      </c>
      <c r="N7247" s="38" t="str">
        <f>IF(OR(ISBLANK(C7247),C7247="",M7247=""),"In Progress",IF(M7247&lt;=J7247,"Met","Breached"))</f>
        <v>Breached</v>
      </c>
    </row>
    <row r="7248" ht="19" customHeight="1" spans="1:14" x14ac:dyDescent="0.25">
      <c r="A7248" s="19" t="s">
        <v>7362</v>
      </c>
      <c r="B7248" s="33">
        <v>45693.96666666667</v>
      </c>
      <c r="C7248" s="33">
        <v>45696.30069444445</v>
      </c>
      <c r="D7248" s="19" t="s">
        <v>33</v>
      </c>
      <c r="E7248" s="19" t="s">
        <v>65</v>
      </c>
      <c r="F7248" s="19" t="s">
        <v>45</v>
      </c>
      <c r="G7248" s="19" t="s">
        <v>113</v>
      </c>
      <c r="H7248" s="19" t="s">
        <v>59</v>
      </c>
      <c r="I7248" s="19" t="s">
        <v>117</v>
      </c>
      <c r="J7248" s="20">
        <v>48</v>
      </c>
      <c r="K7248" s="34">
        <v>0</v>
      </c>
      <c r="L7248" s="34">
        <v>2</v>
      </c>
      <c r="M7248" s="19">
        <f>IF(OR(ISBLANK(C7248),C7248=""),"",ROUND((C7248-B7248)*24,2))</f>
        <v>56.02</v>
      </c>
      <c r="N7248" s="39" t="str">
        <f>IF(OR(ISBLANK(C7248),C7248="",M7248=""),"In Progress",IF(M7248&lt;=J7248,"Met","Breached"))</f>
        <v>Breached</v>
      </c>
    </row>
    <row r="7249" ht="19" customHeight="1" spans="1:14" x14ac:dyDescent="0.25">
      <c r="A7249" s="22" t="s">
        <v>7363</v>
      </c>
      <c r="B7249" s="36">
        <v>45713.35555555555</v>
      </c>
      <c r="D7249" s="22" t="s">
        <v>39</v>
      </c>
      <c r="E7249" s="22" t="s">
        <v>65</v>
      </c>
      <c r="F7249" s="22" t="s">
        <v>45</v>
      </c>
      <c r="G7249" s="22" t="s">
        <v>113</v>
      </c>
      <c r="H7249" s="22" t="s">
        <v>59</v>
      </c>
      <c r="I7249" s="22" t="s">
        <v>117</v>
      </c>
      <c r="J7249" s="23">
        <v>48</v>
      </c>
      <c r="K7249" s="37">
        <v>0</v>
      </c>
      <c r="M7249" s="22" t="str">
        <f>IF(OR(ISBLANK(C7249),C7249=""),"",ROUND((C7249-B7249)*24,2))</f>
        <v/>
      </c>
      <c r="N7249" s="22" t="str">
        <f>IF(OR(ISBLANK(C7249),C7249="",M7249=""),"In Progress",IF(M7249&lt;=J7249,"Met","Breached"))</f>
        <v>In Progress</v>
      </c>
    </row>
    <row r="7250" ht="19" customHeight="1" spans="1:14" x14ac:dyDescent="0.25">
      <c r="A7250" s="19" t="s">
        <v>7364</v>
      </c>
      <c r="B7250" s="33">
        <v>46081.18402777778</v>
      </c>
      <c r="C7250" s="33">
        <v>46083.17013888889</v>
      </c>
      <c r="D7250" s="19" t="s">
        <v>33</v>
      </c>
      <c r="E7250" s="19" t="s">
        <v>65</v>
      </c>
      <c r="F7250" s="19" t="s">
        <v>43</v>
      </c>
      <c r="G7250" s="19" t="s">
        <v>121</v>
      </c>
      <c r="H7250" s="19" t="s">
        <v>59</v>
      </c>
      <c r="I7250" s="19" t="s">
        <v>108</v>
      </c>
      <c r="J7250" s="20">
        <v>48</v>
      </c>
      <c r="K7250" s="34">
        <v>1</v>
      </c>
      <c r="M7250" s="19">
        <f>IF(OR(ISBLANK(C7250),C7250=""),"",ROUND((C7250-B7250)*24,2))</f>
        <v>47.67</v>
      </c>
      <c r="N7250" s="35" t="str">
        <f>IF(OR(ISBLANK(C7250),C7250="",M7250=""),"In Progress",IF(M7250&lt;=J7250,"Met","Breached"))</f>
        <v>Met</v>
      </c>
    </row>
    <row r="7251" ht="19" customHeight="1" spans="1:14" x14ac:dyDescent="0.25">
      <c r="A7251" s="22" t="s">
        <v>7365</v>
      </c>
      <c r="B7251" s="36">
        <v>45672.09513888889</v>
      </c>
      <c r="C7251" s="36">
        <v>45672.44583333333</v>
      </c>
      <c r="D7251" s="22" t="s">
        <v>36</v>
      </c>
      <c r="E7251" s="22" t="s">
        <v>61</v>
      </c>
      <c r="F7251" s="22" t="s">
        <v>45</v>
      </c>
      <c r="G7251" s="22" t="s">
        <v>110</v>
      </c>
      <c r="H7251" s="22" t="s">
        <v>67</v>
      </c>
      <c r="I7251" s="22" t="s">
        <v>111</v>
      </c>
      <c r="J7251" s="23">
        <v>12</v>
      </c>
      <c r="K7251" s="37">
        <v>0</v>
      </c>
      <c r="L7251" s="37">
        <v>2</v>
      </c>
      <c r="M7251" s="22">
        <f>IF(OR(ISBLANK(C7251),C7251=""),"",ROUND((C7251-B7251)*24,2))</f>
        <v>8.42</v>
      </c>
      <c r="N7251" s="40" t="str">
        <f>IF(OR(ISBLANK(C7251),C7251="",M7251=""),"In Progress",IF(M7251&lt;=J7251,"Met","Breached"))</f>
        <v>Met</v>
      </c>
    </row>
    <row r="7252" ht="19" customHeight="1" spans="1:14" x14ac:dyDescent="0.25">
      <c r="A7252" s="19" t="s">
        <v>7366</v>
      </c>
      <c r="B7252" s="33">
        <v>46176.17708333333</v>
      </c>
      <c r="C7252" s="33">
        <v>46182.138194444444</v>
      </c>
      <c r="D7252" s="19" t="s">
        <v>33</v>
      </c>
      <c r="E7252" s="19" t="s">
        <v>69</v>
      </c>
      <c r="F7252" s="19" t="s">
        <v>40</v>
      </c>
      <c r="G7252" s="19" t="s">
        <v>121</v>
      </c>
      <c r="H7252" s="19" t="s">
        <v>71</v>
      </c>
      <c r="I7252" s="19" t="s">
        <v>114</v>
      </c>
      <c r="J7252" s="20">
        <v>120</v>
      </c>
      <c r="K7252" s="34">
        <v>0</v>
      </c>
      <c r="M7252" s="19">
        <f>IF(OR(ISBLANK(C7252),C7252=""),"",ROUND((C7252-B7252)*24,2))</f>
        <v>143.07</v>
      </c>
      <c r="N7252" s="39" t="str">
        <f>IF(OR(ISBLANK(C7252),C7252="",M7252=""),"In Progress",IF(M7252&lt;=J7252,"Met","Breached"))</f>
        <v>Breached</v>
      </c>
    </row>
    <row r="7253" ht="19" customHeight="1" spans="1:14" x14ac:dyDescent="0.25">
      <c r="A7253" s="22" t="s">
        <v>7367</v>
      </c>
      <c r="B7253" s="36">
        <v>45978.7625</v>
      </c>
      <c r="C7253" s="36">
        <v>45981.15694444445</v>
      </c>
      <c r="D7253" s="22" t="s">
        <v>33</v>
      </c>
      <c r="E7253" s="22" t="s">
        <v>69</v>
      </c>
      <c r="F7253" s="22" t="s">
        <v>45</v>
      </c>
      <c r="G7253" s="22" t="s">
        <v>126</v>
      </c>
      <c r="H7253" s="22" t="s">
        <v>59</v>
      </c>
      <c r="I7253" s="22" t="s">
        <v>111</v>
      </c>
      <c r="J7253" s="23">
        <v>120</v>
      </c>
      <c r="K7253" s="37">
        <v>0</v>
      </c>
      <c r="L7253" s="37">
        <v>5</v>
      </c>
      <c r="M7253" s="22">
        <f>IF(OR(ISBLANK(C7253),C7253=""),"",ROUND((C7253-B7253)*24,2))</f>
        <v>57.47</v>
      </c>
      <c r="N7253" s="40" t="str">
        <f>IF(OR(ISBLANK(C7253),C7253="",M7253=""),"In Progress",IF(M7253&lt;=J7253,"Met","Breached"))</f>
        <v>Met</v>
      </c>
    </row>
    <row r="7254" ht="19" customHeight="1" spans="1:14" x14ac:dyDescent="0.25">
      <c r="A7254" s="19" t="s">
        <v>7368</v>
      </c>
      <c r="B7254" s="33">
        <v>46205.256944444445</v>
      </c>
      <c r="C7254" s="33">
        <v>46205.69027777778</v>
      </c>
      <c r="D7254" s="19" t="s">
        <v>36</v>
      </c>
      <c r="E7254" s="19" t="s">
        <v>61</v>
      </c>
      <c r="F7254" s="19" t="s">
        <v>43</v>
      </c>
      <c r="G7254" s="19" t="s">
        <v>121</v>
      </c>
      <c r="H7254" s="19" t="s">
        <v>59</v>
      </c>
      <c r="I7254" s="19" t="s">
        <v>108</v>
      </c>
      <c r="J7254" s="20">
        <v>12</v>
      </c>
      <c r="K7254" s="34">
        <v>0</v>
      </c>
      <c r="L7254" s="34">
        <v>3</v>
      </c>
      <c r="M7254" s="19">
        <f>IF(OR(ISBLANK(C7254),C7254=""),"",ROUND((C7254-B7254)*24,2))</f>
        <v>10.4</v>
      </c>
      <c r="N7254" s="35" t="str">
        <f>IF(OR(ISBLANK(C7254),C7254="",M7254=""),"In Progress",IF(M7254&lt;=J7254,"Met","Breached"))</f>
        <v>Met</v>
      </c>
    </row>
    <row r="7255" ht="19" customHeight="1" spans="1:14" x14ac:dyDescent="0.25">
      <c r="A7255" s="22" t="s">
        <v>7369</v>
      </c>
      <c r="B7255" s="36">
        <v>46010.55138888889</v>
      </c>
      <c r="D7255" s="22" t="s">
        <v>39</v>
      </c>
      <c r="E7255" s="22" t="s">
        <v>65</v>
      </c>
      <c r="F7255" s="22" t="s">
        <v>37</v>
      </c>
      <c r="G7255" s="22" t="s">
        <v>121</v>
      </c>
      <c r="H7255" s="22" t="s">
        <v>63</v>
      </c>
      <c r="I7255" s="22" t="s">
        <v>123</v>
      </c>
      <c r="J7255" s="23">
        <v>48</v>
      </c>
      <c r="K7255" s="37">
        <v>0</v>
      </c>
      <c r="M7255" s="22" t="str">
        <f>IF(OR(ISBLANK(C7255),C7255=""),"",ROUND((C7255-B7255)*24,2))</f>
        <v/>
      </c>
      <c r="N7255" s="22" t="str">
        <f>IF(OR(ISBLANK(C7255),C7255="",M7255=""),"In Progress",IF(M7255&lt;=J7255,"Met","Breached"))</f>
        <v>In Progress</v>
      </c>
    </row>
    <row r="7256" ht="19" customHeight="1" spans="1:14" x14ac:dyDescent="0.25">
      <c r="A7256" s="19" t="s">
        <v>7370</v>
      </c>
      <c r="B7256" s="33">
        <v>45794.51666666666</v>
      </c>
      <c r="C7256" s="33">
        <v>45799.83541666667</v>
      </c>
      <c r="D7256" s="19" t="s">
        <v>33</v>
      </c>
      <c r="E7256" s="19" t="s">
        <v>69</v>
      </c>
      <c r="F7256" s="19" t="s">
        <v>40</v>
      </c>
      <c r="G7256" s="19" t="s">
        <v>113</v>
      </c>
      <c r="H7256" s="19" t="s">
        <v>59</v>
      </c>
      <c r="I7256" s="19" t="s">
        <v>117</v>
      </c>
      <c r="J7256" s="20">
        <v>120</v>
      </c>
      <c r="K7256" s="34">
        <v>0</v>
      </c>
      <c r="L7256" s="34">
        <v>2</v>
      </c>
      <c r="M7256" s="19">
        <f>IF(OR(ISBLANK(C7256),C7256=""),"",ROUND((C7256-B7256)*24,2))</f>
        <v>127.65</v>
      </c>
      <c r="N7256" s="39" t="str">
        <f>IF(OR(ISBLANK(C7256),C7256="",M7256=""),"In Progress",IF(M7256&lt;=J7256,"Met","Breached"))</f>
        <v>Breached</v>
      </c>
    </row>
    <row r="7257" ht="19" customHeight="1" spans="1:14" x14ac:dyDescent="0.25">
      <c r="A7257" s="22" t="s">
        <v>7371</v>
      </c>
      <c r="B7257" s="36">
        <v>46091.90763888889</v>
      </c>
      <c r="D7257" s="22" t="s">
        <v>42</v>
      </c>
      <c r="E7257" s="22" t="s">
        <v>65</v>
      </c>
      <c r="F7257" s="22" t="s">
        <v>34</v>
      </c>
      <c r="G7257" s="22" t="s">
        <v>126</v>
      </c>
      <c r="H7257" s="22" t="s">
        <v>59</v>
      </c>
      <c r="I7257" s="22" t="s">
        <v>111</v>
      </c>
      <c r="J7257" s="23">
        <v>48</v>
      </c>
      <c r="K7257" s="37">
        <v>0</v>
      </c>
      <c r="M7257" s="22" t="str">
        <f>IF(OR(ISBLANK(C7257),C7257=""),"",ROUND((C7257-B7257)*24,2))</f>
        <v/>
      </c>
      <c r="N7257" s="22" t="str">
        <f>IF(OR(ISBLANK(C7257),C7257="",M7257=""),"In Progress",IF(M7257&lt;=J7257,"Met","Breached"))</f>
        <v>In Progress</v>
      </c>
    </row>
    <row r="7258" ht="19" customHeight="1" spans="1:14" x14ac:dyDescent="0.25">
      <c r="A7258" s="19" t="s">
        <v>7372</v>
      </c>
      <c r="B7258" s="33">
        <v>45680.27986111111</v>
      </c>
      <c r="C7258" s="33">
        <v>45682.99861111111</v>
      </c>
      <c r="D7258" s="19" t="s">
        <v>33</v>
      </c>
      <c r="E7258" s="19" t="s">
        <v>65</v>
      </c>
      <c r="F7258" s="19" t="s">
        <v>45</v>
      </c>
      <c r="G7258" s="19" t="s">
        <v>63</v>
      </c>
      <c r="H7258" s="19" t="s">
        <v>59</v>
      </c>
      <c r="I7258" s="19" t="s">
        <v>114</v>
      </c>
      <c r="J7258" s="20">
        <v>48</v>
      </c>
      <c r="K7258" s="34">
        <v>0</v>
      </c>
      <c r="L7258" s="34">
        <v>3</v>
      </c>
      <c r="M7258" s="19">
        <f>IF(OR(ISBLANK(C7258),C7258=""),"",ROUND((C7258-B7258)*24,2))</f>
        <v>65.25</v>
      </c>
      <c r="N7258" s="39" t="str">
        <f>IF(OR(ISBLANK(C7258),C7258="",M7258=""),"In Progress",IF(M7258&lt;=J7258,"Met","Breached"))</f>
        <v>Breached</v>
      </c>
    </row>
    <row r="7259" ht="19" customHeight="1" spans="1:14" x14ac:dyDescent="0.25">
      <c r="A7259" s="22" t="s">
        <v>7373</v>
      </c>
      <c r="B7259" s="36">
        <v>46127.54652777778</v>
      </c>
      <c r="C7259" s="36">
        <v>46130.60902777778</v>
      </c>
      <c r="D7259" s="22" t="s">
        <v>33</v>
      </c>
      <c r="E7259" s="22" t="s">
        <v>65</v>
      </c>
      <c r="F7259" s="22" t="s">
        <v>37</v>
      </c>
      <c r="G7259" s="22" t="s">
        <v>110</v>
      </c>
      <c r="H7259" s="22" t="s">
        <v>67</v>
      </c>
      <c r="I7259" s="22" t="s">
        <v>123</v>
      </c>
      <c r="J7259" s="23">
        <v>48</v>
      </c>
      <c r="K7259" s="37">
        <v>0</v>
      </c>
      <c r="L7259" s="37">
        <v>3</v>
      </c>
      <c r="M7259" s="22">
        <f>IF(OR(ISBLANK(C7259),C7259=""),"",ROUND((C7259-B7259)*24,2))</f>
        <v>73.5</v>
      </c>
      <c r="N7259" s="38" t="str">
        <f>IF(OR(ISBLANK(C7259),C7259="",M7259=""),"In Progress",IF(M7259&lt;=J7259,"Met","Breached"))</f>
        <v>Breached</v>
      </c>
    </row>
    <row r="7260" ht="19" customHeight="1" spans="1:14" x14ac:dyDescent="0.25">
      <c r="A7260" s="19" t="s">
        <v>7374</v>
      </c>
      <c r="B7260" s="33">
        <v>45961.38888888889</v>
      </c>
      <c r="D7260" s="19" t="s">
        <v>42</v>
      </c>
      <c r="E7260" s="19" t="s">
        <v>65</v>
      </c>
      <c r="F7260" s="19" t="s">
        <v>37</v>
      </c>
      <c r="G7260" s="19" t="s">
        <v>121</v>
      </c>
      <c r="H7260" s="19" t="s">
        <v>59</v>
      </c>
      <c r="I7260" s="19" t="s">
        <v>147</v>
      </c>
      <c r="J7260" s="20">
        <v>48</v>
      </c>
      <c r="K7260" s="34">
        <v>0</v>
      </c>
      <c r="M7260" s="19" t="str">
        <f>IF(OR(ISBLANK(C7260),C7260=""),"",ROUND((C7260-B7260)*24,2))</f>
        <v/>
      </c>
      <c r="N7260" s="19" t="str">
        <f>IF(OR(ISBLANK(C7260),C7260="",M7260=""),"In Progress",IF(M7260&lt;=J7260,"Met","Breached"))</f>
        <v>In Progress</v>
      </c>
    </row>
    <row r="7261" ht="19" customHeight="1" spans="1:14" x14ac:dyDescent="0.25">
      <c r="A7261" s="22" t="s">
        <v>7375</v>
      </c>
      <c r="B7261" s="36">
        <v>45773.39375</v>
      </c>
      <c r="C7261" s="36">
        <v>45773.643055555556</v>
      </c>
      <c r="D7261" s="22" t="s">
        <v>33</v>
      </c>
      <c r="E7261" s="22" t="s">
        <v>61</v>
      </c>
      <c r="F7261" s="22" t="s">
        <v>34</v>
      </c>
      <c r="G7261" s="22" t="s">
        <v>126</v>
      </c>
      <c r="H7261" s="22" t="s">
        <v>71</v>
      </c>
      <c r="I7261" s="22" t="s">
        <v>114</v>
      </c>
      <c r="J7261" s="23">
        <v>12</v>
      </c>
      <c r="K7261" s="37">
        <v>0</v>
      </c>
      <c r="L7261" s="37">
        <v>4</v>
      </c>
      <c r="M7261" s="22">
        <f>IF(OR(ISBLANK(C7261),C7261=""),"",ROUND((C7261-B7261)*24,2))</f>
        <v>5.98</v>
      </c>
      <c r="N7261" s="40" t="str">
        <f>IF(OR(ISBLANK(C7261),C7261="",M7261=""),"In Progress",IF(M7261&lt;=J7261,"Met","Breached"))</f>
        <v>Met</v>
      </c>
    </row>
    <row r="7262" ht="19" customHeight="1" spans="1:14" x14ac:dyDescent="0.25">
      <c r="A7262" s="19" t="s">
        <v>7376</v>
      </c>
      <c r="B7262" s="33">
        <v>45960.77916666667</v>
      </c>
      <c r="C7262" s="33">
        <v>45960.97986111111</v>
      </c>
      <c r="D7262" s="19" t="s">
        <v>33</v>
      </c>
      <c r="E7262" s="19" t="s">
        <v>57</v>
      </c>
      <c r="F7262" s="19" t="s">
        <v>43</v>
      </c>
      <c r="G7262" s="19" t="s">
        <v>113</v>
      </c>
      <c r="H7262" s="19" t="s">
        <v>59</v>
      </c>
      <c r="I7262" s="19" t="s">
        <v>114</v>
      </c>
      <c r="J7262" s="20">
        <v>4</v>
      </c>
      <c r="K7262" s="34">
        <v>0</v>
      </c>
      <c r="M7262" s="19">
        <f>IF(OR(ISBLANK(C7262),C7262=""),"",ROUND((C7262-B7262)*24,2))</f>
        <v>4.82</v>
      </c>
      <c r="N7262" s="39" t="str">
        <f>IF(OR(ISBLANK(C7262),C7262="",M7262=""),"In Progress",IF(M7262&lt;=J7262,"Met","Breached"))</f>
        <v>Breached</v>
      </c>
    </row>
    <row r="7263" ht="19" customHeight="1" spans="1:14" x14ac:dyDescent="0.25">
      <c r="A7263" s="22" t="s">
        <v>7377</v>
      </c>
      <c r="B7263" s="36">
        <v>45698.98958333333</v>
      </c>
      <c r="C7263" s="36">
        <v>45700.243055555555</v>
      </c>
      <c r="D7263" s="22" t="s">
        <v>33</v>
      </c>
      <c r="E7263" s="22" t="s">
        <v>65</v>
      </c>
      <c r="F7263" s="22" t="s">
        <v>40</v>
      </c>
      <c r="G7263" s="22" t="s">
        <v>110</v>
      </c>
      <c r="H7263" s="22" t="s">
        <v>59</v>
      </c>
      <c r="I7263" s="22" t="s">
        <v>117</v>
      </c>
      <c r="J7263" s="23">
        <v>48</v>
      </c>
      <c r="K7263" s="37">
        <v>0</v>
      </c>
      <c r="M7263" s="22">
        <f>IF(OR(ISBLANK(C7263),C7263=""),"",ROUND((C7263-B7263)*24,2))</f>
        <v>30.08</v>
      </c>
      <c r="N7263" s="40" t="str">
        <f>IF(OR(ISBLANK(C7263),C7263="",M7263=""),"In Progress",IF(M7263&lt;=J7263,"Met","Breached"))</f>
        <v>Met</v>
      </c>
    </row>
    <row r="7264" ht="19" customHeight="1" spans="1:14" x14ac:dyDescent="0.25">
      <c r="A7264" s="19" t="s">
        <v>7378</v>
      </c>
      <c r="B7264" s="33">
        <v>45976.39097222222</v>
      </c>
      <c r="C7264" s="33">
        <v>45983.03402777778</v>
      </c>
      <c r="D7264" s="19" t="s">
        <v>36</v>
      </c>
      <c r="E7264" s="19" t="s">
        <v>69</v>
      </c>
      <c r="F7264" s="19" t="s">
        <v>43</v>
      </c>
      <c r="G7264" s="19" t="s">
        <v>121</v>
      </c>
      <c r="H7264" s="19" t="s">
        <v>71</v>
      </c>
      <c r="I7264" s="19" t="s">
        <v>108</v>
      </c>
      <c r="J7264" s="20">
        <v>120</v>
      </c>
      <c r="K7264" s="34">
        <v>0</v>
      </c>
      <c r="M7264" s="19">
        <f>IF(OR(ISBLANK(C7264),C7264=""),"",ROUND((C7264-B7264)*24,2))</f>
        <v>159.43</v>
      </c>
      <c r="N7264" s="39" t="str">
        <f>IF(OR(ISBLANK(C7264),C7264="",M7264=""),"In Progress",IF(M7264&lt;=J7264,"Met","Breached"))</f>
        <v>Breached</v>
      </c>
    </row>
    <row r="7265" ht="19" customHeight="1" spans="1:14" x14ac:dyDescent="0.25">
      <c r="A7265" s="22" t="s">
        <v>7379</v>
      </c>
      <c r="B7265" s="36">
        <v>46156.60277777778</v>
      </c>
      <c r="C7265" s="36">
        <v>46159.57430555555</v>
      </c>
      <c r="D7265" s="22" t="s">
        <v>36</v>
      </c>
      <c r="E7265" s="22" t="s">
        <v>65</v>
      </c>
      <c r="F7265" s="22" t="s">
        <v>34</v>
      </c>
      <c r="G7265" s="22" t="s">
        <v>126</v>
      </c>
      <c r="H7265" s="22" t="s">
        <v>67</v>
      </c>
      <c r="I7265" s="22" t="s">
        <v>114</v>
      </c>
      <c r="J7265" s="23">
        <v>48</v>
      </c>
      <c r="K7265" s="37">
        <v>0</v>
      </c>
      <c r="M7265" s="22">
        <f>IF(OR(ISBLANK(C7265),C7265=""),"",ROUND((C7265-B7265)*24,2))</f>
        <v>71.32</v>
      </c>
      <c r="N7265" s="38" t="str">
        <f>IF(OR(ISBLANK(C7265),C7265="",M7265=""),"In Progress",IF(M7265&lt;=J7265,"Met","Breached"))</f>
        <v>Breached</v>
      </c>
    </row>
    <row r="7266" ht="19" customHeight="1" spans="1:14" x14ac:dyDescent="0.25">
      <c r="A7266" s="19" t="s">
        <v>7380</v>
      </c>
      <c r="B7266" s="33">
        <v>45856.49652777778</v>
      </c>
      <c r="C7266" s="33">
        <v>45859.31875</v>
      </c>
      <c r="D7266" s="19" t="s">
        <v>33</v>
      </c>
      <c r="E7266" s="19" t="s">
        <v>65</v>
      </c>
      <c r="F7266" s="19" t="s">
        <v>45</v>
      </c>
      <c r="G7266" s="19" t="s">
        <v>113</v>
      </c>
      <c r="H7266" s="19" t="s">
        <v>67</v>
      </c>
      <c r="I7266" s="19" t="s">
        <v>108</v>
      </c>
      <c r="J7266" s="20">
        <v>48</v>
      </c>
      <c r="K7266" s="34">
        <v>0</v>
      </c>
      <c r="M7266" s="19">
        <f>IF(OR(ISBLANK(C7266),C7266=""),"",ROUND((C7266-B7266)*24,2))</f>
        <v>67.73</v>
      </c>
      <c r="N7266" s="39" t="str">
        <f>IF(OR(ISBLANK(C7266),C7266="",M7266=""),"In Progress",IF(M7266&lt;=J7266,"Met","Breached"))</f>
        <v>Breached</v>
      </c>
    </row>
    <row r="7267" ht="19" customHeight="1" spans="1:14" x14ac:dyDescent="0.25">
      <c r="A7267" s="22" t="s">
        <v>7381</v>
      </c>
      <c r="B7267" s="36">
        <v>46138.56111111111</v>
      </c>
      <c r="C7267" s="36">
        <v>46141.052777777775</v>
      </c>
      <c r="D7267" s="22" t="s">
        <v>36</v>
      </c>
      <c r="E7267" s="22" t="s">
        <v>69</v>
      </c>
      <c r="F7267" s="22" t="s">
        <v>43</v>
      </c>
      <c r="G7267" s="22" t="s">
        <v>113</v>
      </c>
      <c r="H7267" s="22" t="s">
        <v>59</v>
      </c>
      <c r="I7267" s="22" t="s">
        <v>111</v>
      </c>
      <c r="J7267" s="23">
        <v>120</v>
      </c>
      <c r="K7267" s="37">
        <v>0</v>
      </c>
      <c r="L7267" s="37">
        <v>4</v>
      </c>
      <c r="M7267" s="22">
        <f>IF(OR(ISBLANK(C7267),C7267=""),"",ROUND((C7267-B7267)*24,2))</f>
        <v>59.8</v>
      </c>
      <c r="N7267" s="40" t="str">
        <f>IF(OR(ISBLANK(C7267),C7267="",M7267=""),"In Progress",IF(M7267&lt;=J7267,"Met","Breached"))</f>
        <v>Met</v>
      </c>
    </row>
    <row r="7268" ht="19" customHeight="1" spans="1:14" x14ac:dyDescent="0.25">
      <c r="A7268" s="19" t="s">
        <v>7382</v>
      </c>
      <c r="B7268" s="33">
        <v>45985.242361111115</v>
      </c>
      <c r="D7268" s="19" t="s">
        <v>39</v>
      </c>
      <c r="E7268" s="19" t="s">
        <v>65</v>
      </c>
      <c r="F7268" s="19" t="s">
        <v>37</v>
      </c>
      <c r="G7268" s="19" t="s">
        <v>63</v>
      </c>
      <c r="H7268" s="19" t="s">
        <v>71</v>
      </c>
      <c r="I7268" s="19" t="s">
        <v>123</v>
      </c>
      <c r="J7268" s="20">
        <v>48</v>
      </c>
      <c r="K7268" s="34">
        <v>0</v>
      </c>
      <c r="M7268" s="19" t="str">
        <f>IF(OR(ISBLANK(C7268),C7268=""),"",ROUND((C7268-B7268)*24,2))</f>
        <v/>
      </c>
      <c r="N7268" s="19" t="str">
        <f>IF(OR(ISBLANK(C7268),C7268="",M7268=""),"In Progress",IF(M7268&lt;=J7268,"Met","Breached"))</f>
        <v>In Progress</v>
      </c>
    </row>
    <row r="7269" ht="19" customHeight="1" spans="1:14" x14ac:dyDescent="0.25">
      <c r="A7269" s="22" t="s">
        <v>7383</v>
      </c>
      <c r="B7269" s="36">
        <v>46028.25069444445</v>
      </c>
      <c r="C7269" s="36">
        <v>46034.589583333334</v>
      </c>
      <c r="D7269" s="22" t="s">
        <v>36</v>
      </c>
      <c r="E7269" s="22" t="s">
        <v>69</v>
      </c>
      <c r="F7269" s="22" t="s">
        <v>40</v>
      </c>
      <c r="G7269" s="22" t="s">
        <v>121</v>
      </c>
      <c r="H7269" s="22" t="s">
        <v>67</v>
      </c>
      <c r="I7269" s="22" t="s">
        <v>108</v>
      </c>
      <c r="J7269" s="23">
        <v>120</v>
      </c>
      <c r="K7269" s="37">
        <v>0</v>
      </c>
      <c r="M7269" s="22">
        <f>IF(OR(ISBLANK(C7269),C7269=""),"",ROUND((C7269-B7269)*24,2))</f>
        <v>152.13</v>
      </c>
      <c r="N7269" s="38" t="str">
        <f>IF(OR(ISBLANK(C7269),C7269="",M7269=""),"In Progress",IF(M7269&lt;=J7269,"Met","Breached"))</f>
        <v>Breached</v>
      </c>
    </row>
    <row r="7270" ht="19" customHeight="1" spans="1:14" x14ac:dyDescent="0.25">
      <c r="A7270" s="19" t="s">
        <v>7384</v>
      </c>
      <c r="B7270" s="33">
        <v>46147.79375</v>
      </c>
      <c r="C7270" s="33">
        <v>46149.46736111111</v>
      </c>
      <c r="D7270" s="19" t="s">
        <v>33</v>
      </c>
      <c r="E7270" s="19" t="s">
        <v>65</v>
      </c>
      <c r="F7270" s="19" t="s">
        <v>40</v>
      </c>
      <c r="G7270" s="19" t="s">
        <v>110</v>
      </c>
      <c r="H7270" s="19" t="s">
        <v>71</v>
      </c>
      <c r="I7270" s="19" t="s">
        <v>114</v>
      </c>
      <c r="J7270" s="20">
        <v>48</v>
      </c>
      <c r="K7270" s="34">
        <v>0</v>
      </c>
      <c r="L7270" s="34">
        <v>3</v>
      </c>
      <c r="M7270" s="19">
        <f>IF(OR(ISBLANK(C7270),C7270=""),"",ROUND((C7270-B7270)*24,2))</f>
        <v>40.17</v>
      </c>
      <c r="N7270" s="35" t="str">
        <f>IF(OR(ISBLANK(C7270),C7270="",M7270=""),"In Progress",IF(M7270&lt;=J7270,"Met","Breached"))</f>
        <v>Met</v>
      </c>
    </row>
    <row r="7271" ht="19" customHeight="1" spans="1:14" x14ac:dyDescent="0.25">
      <c r="A7271" s="22" t="s">
        <v>7385</v>
      </c>
      <c r="B7271" s="36">
        <v>45937.83541666667</v>
      </c>
      <c r="D7271" s="22" t="s">
        <v>42</v>
      </c>
      <c r="E7271" s="22" t="s">
        <v>65</v>
      </c>
      <c r="F7271" s="22" t="s">
        <v>45</v>
      </c>
      <c r="G7271" s="22" t="s">
        <v>63</v>
      </c>
      <c r="H7271" s="22" t="s">
        <v>59</v>
      </c>
      <c r="I7271" s="22" t="s">
        <v>114</v>
      </c>
      <c r="J7271" s="23">
        <v>48</v>
      </c>
      <c r="K7271" s="37">
        <v>0</v>
      </c>
      <c r="M7271" s="22" t="str">
        <f>IF(OR(ISBLANK(C7271),C7271=""),"",ROUND((C7271-B7271)*24,2))</f>
        <v/>
      </c>
      <c r="N7271" s="22" t="str">
        <f>IF(OR(ISBLANK(C7271),C7271="",M7271=""),"In Progress",IF(M7271&lt;=J7271,"Met","Breached"))</f>
        <v>In Progress</v>
      </c>
    </row>
    <row r="7272" ht="19" customHeight="1" spans="1:14" x14ac:dyDescent="0.25">
      <c r="A7272" s="19" t="s">
        <v>7386</v>
      </c>
      <c r="B7272" s="33">
        <v>45680.71875</v>
      </c>
      <c r="C7272" s="33">
        <v>45688.41666666667</v>
      </c>
      <c r="D7272" s="19" t="s">
        <v>36</v>
      </c>
      <c r="E7272" s="19" t="s">
        <v>69</v>
      </c>
      <c r="F7272" s="19" t="s">
        <v>45</v>
      </c>
      <c r="G7272" s="19" t="s">
        <v>121</v>
      </c>
      <c r="H7272" s="19" t="s">
        <v>59</v>
      </c>
      <c r="I7272" s="19" t="s">
        <v>117</v>
      </c>
      <c r="J7272" s="20">
        <v>120</v>
      </c>
      <c r="K7272" s="34">
        <v>0</v>
      </c>
      <c r="M7272" s="19">
        <f>IF(OR(ISBLANK(C7272),C7272=""),"",ROUND((C7272-B7272)*24,2))</f>
        <v>184.75</v>
      </c>
      <c r="N7272" s="39" t="str">
        <f>IF(OR(ISBLANK(C7272),C7272="",M7272=""),"In Progress",IF(M7272&lt;=J7272,"Met","Breached"))</f>
        <v>Breached</v>
      </c>
    </row>
    <row r="7273" ht="19" customHeight="1" spans="1:14" x14ac:dyDescent="0.25">
      <c r="A7273" s="22" t="s">
        <v>7387</v>
      </c>
      <c r="B7273" s="36">
        <v>46237.73958333333</v>
      </c>
      <c r="D7273" s="22" t="s">
        <v>39</v>
      </c>
      <c r="E7273" s="22" t="s">
        <v>65</v>
      </c>
      <c r="F7273" s="22" t="s">
        <v>45</v>
      </c>
      <c r="G7273" s="22" t="s">
        <v>126</v>
      </c>
      <c r="H7273" s="22" t="s">
        <v>59</v>
      </c>
      <c r="I7273" s="22" t="s">
        <v>114</v>
      </c>
      <c r="J7273" s="23">
        <v>48</v>
      </c>
      <c r="K7273" s="37">
        <v>0</v>
      </c>
      <c r="M7273" s="22" t="str">
        <f>IF(OR(ISBLANK(C7273),C7273=""),"",ROUND((C7273-B7273)*24,2))</f>
        <v/>
      </c>
      <c r="N7273" s="22" t="str">
        <f>IF(OR(ISBLANK(C7273),C7273="",M7273=""),"In Progress",IF(M7273&lt;=J7273,"Met","Breached"))</f>
        <v>In Progress</v>
      </c>
    </row>
    <row r="7274" ht="19" customHeight="1" spans="1:14" x14ac:dyDescent="0.25">
      <c r="A7274" s="19" t="s">
        <v>7388</v>
      </c>
      <c r="B7274" s="33">
        <v>45785.81041666667</v>
      </c>
      <c r="C7274" s="33">
        <v>45788.10486111111</v>
      </c>
      <c r="D7274" s="19" t="s">
        <v>33</v>
      </c>
      <c r="E7274" s="19" t="s">
        <v>65</v>
      </c>
      <c r="F7274" s="19" t="s">
        <v>45</v>
      </c>
      <c r="G7274" s="19" t="s">
        <v>121</v>
      </c>
      <c r="H7274" s="19" t="s">
        <v>59</v>
      </c>
      <c r="I7274" s="19" t="s">
        <v>147</v>
      </c>
      <c r="J7274" s="20">
        <v>48</v>
      </c>
      <c r="K7274" s="34">
        <v>0</v>
      </c>
      <c r="L7274" s="34">
        <v>3</v>
      </c>
      <c r="M7274" s="19">
        <f>IF(OR(ISBLANK(C7274),C7274=""),"",ROUND((C7274-B7274)*24,2))</f>
        <v>55.07</v>
      </c>
      <c r="N7274" s="39" t="str">
        <f>IF(OR(ISBLANK(C7274),C7274="",M7274=""),"In Progress",IF(M7274&lt;=J7274,"Met","Breached"))</f>
        <v>Breached</v>
      </c>
    </row>
    <row r="7275" ht="19" customHeight="1" spans="1:14" x14ac:dyDescent="0.25">
      <c r="A7275" s="22" t="s">
        <v>7389</v>
      </c>
      <c r="B7275" s="36">
        <v>46071.73055555555</v>
      </c>
      <c r="C7275" s="36">
        <v>46072.42638888889</v>
      </c>
      <c r="D7275" s="22" t="s">
        <v>33</v>
      </c>
      <c r="E7275" s="22" t="s">
        <v>61</v>
      </c>
      <c r="F7275" s="22" t="s">
        <v>34</v>
      </c>
      <c r="G7275" s="22" t="s">
        <v>126</v>
      </c>
      <c r="H7275" s="22" t="s">
        <v>71</v>
      </c>
      <c r="I7275" s="22" t="s">
        <v>111</v>
      </c>
      <c r="J7275" s="23">
        <v>12</v>
      </c>
      <c r="K7275" s="37">
        <v>0</v>
      </c>
      <c r="M7275" s="22">
        <f>IF(OR(ISBLANK(C7275),C7275=""),"",ROUND((C7275-B7275)*24,2))</f>
        <v>16.7</v>
      </c>
      <c r="N7275" s="38" t="str">
        <f>IF(OR(ISBLANK(C7275),C7275="",M7275=""),"In Progress",IF(M7275&lt;=J7275,"Met","Breached"))</f>
        <v>Breached</v>
      </c>
    </row>
    <row r="7276" ht="19" customHeight="1" spans="1:14" x14ac:dyDescent="0.25">
      <c r="A7276" s="19" t="s">
        <v>7390</v>
      </c>
      <c r="B7276" s="33">
        <v>45923.87222222222</v>
      </c>
      <c r="C7276" s="33">
        <v>45924.56111111111</v>
      </c>
      <c r="D7276" s="19" t="s">
        <v>33</v>
      </c>
      <c r="E7276" s="19" t="s">
        <v>65</v>
      </c>
      <c r="F7276" s="19" t="s">
        <v>45</v>
      </c>
      <c r="G7276" s="19" t="s">
        <v>110</v>
      </c>
      <c r="H7276" s="19" t="s">
        <v>67</v>
      </c>
      <c r="I7276" s="19" t="s">
        <v>117</v>
      </c>
      <c r="J7276" s="20">
        <v>48</v>
      </c>
      <c r="K7276" s="34">
        <v>0</v>
      </c>
      <c r="L7276" s="34">
        <v>5</v>
      </c>
      <c r="M7276" s="19">
        <f>IF(OR(ISBLANK(C7276),C7276=""),"",ROUND((C7276-B7276)*24,2))</f>
        <v>16.53</v>
      </c>
      <c r="N7276" s="35" t="str">
        <f>IF(OR(ISBLANK(C7276),C7276="",M7276=""),"In Progress",IF(M7276&lt;=J7276,"Met","Breached"))</f>
        <v>Met</v>
      </c>
    </row>
    <row r="7277" ht="19" customHeight="1" spans="1:14" x14ac:dyDescent="0.25">
      <c r="A7277" s="22" t="s">
        <v>7391</v>
      </c>
      <c r="B7277" s="36">
        <v>46197.111805555556</v>
      </c>
      <c r="C7277" s="36">
        <v>46197.572222222225</v>
      </c>
      <c r="D7277" s="22" t="s">
        <v>36</v>
      </c>
      <c r="E7277" s="22" t="s">
        <v>61</v>
      </c>
      <c r="F7277" s="22" t="s">
        <v>40</v>
      </c>
      <c r="G7277" s="22" t="s">
        <v>63</v>
      </c>
      <c r="H7277" s="22" t="s">
        <v>67</v>
      </c>
      <c r="I7277" s="22" t="s">
        <v>114</v>
      </c>
      <c r="J7277" s="23">
        <v>12</v>
      </c>
      <c r="K7277" s="37">
        <v>0</v>
      </c>
      <c r="L7277" s="37">
        <v>1</v>
      </c>
      <c r="M7277" s="22">
        <f>IF(OR(ISBLANK(C7277),C7277=""),"",ROUND((C7277-B7277)*24,2))</f>
        <v>11.05</v>
      </c>
      <c r="N7277" s="40" t="str">
        <f>IF(OR(ISBLANK(C7277),C7277="",M7277=""),"In Progress",IF(M7277&lt;=J7277,"Met","Breached"))</f>
        <v>Met</v>
      </c>
    </row>
    <row r="7278" ht="19" customHeight="1" spans="1:14" x14ac:dyDescent="0.25">
      <c r="A7278" s="19" t="s">
        <v>7392</v>
      </c>
      <c r="B7278" s="33">
        <v>45839.87708333333</v>
      </c>
      <c r="C7278" s="33">
        <v>45847.17708333333</v>
      </c>
      <c r="D7278" s="19" t="s">
        <v>33</v>
      </c>
      <c r="E7278" s="19" t="s">
        <v>69</v>
      </c>
      <c r="F7278" s="19" t="s">
        <v>40</v>
      </c>
      <c r="G7278" s="19" t="s">
        <v>110</v>
      </c>
      <c r="H7278" s="19" t="s">
        <v>59</v>
      </c>
      <c r="I7278" s="19" t="s">
        <v>123</v>
      </c>
      <c r="J7278" s="20">
        <v>120</v>
      </c>
      <c r="K7278" s="34">
        <v>0</v>
      </c>
      <c r="M7278" s="19">
        <f>IF(OR(ISBLANK(C7278),C7278=""),"",ROUND((C7278-B7278)*24,2))</f>
        <v>175.2</v>
      </c>
      <c r="N7278" s="39" t="str">
        <f>IF(OR(ISBLANK(C7278),C7278="",M7278=""),"In Progress",IF(M7278&lt;=J7278,"Met","Breached"))</f>
        <v>Breached</v>
      </c>
    </row>
    <row r="7279" ht="19" customHeight="1" spans="1:14" x14ac:dyDescent="0.25">
      <c r="A7279" s="22" t="s">
        <v>7393</v>
      </c>
      <c r="B7279" s="36">
        <v>45755.24375</v>
      </c>
      <c r="C7279" s="36">
        <v>45756.35625</v>
      </c>
      <c r="D7279" s="22" t="s">
        <v>36</v>
      </c>
      <c r="E7279" s="22" t="s">
        <v>65</v>
      </c>
      <c r="F7279" s="22" t="s">
        <v>43</v>
      </c>
      <c r="G7279" s="22" t="s">
        <v>116</v>
      </c>
      <c r="H7279" s="22" t="s">
        <v>59</v>
      </c>
      <c r="I7279" s="22" t="s">
        <v>123</v>
      </c>
      <c r="J7279" s="23">
        <v>48</v>
      </c>
      <c r="K7279" s="37">
        <v>1</v>
      </c>
      <c r="M7279" s="22">
        <f>IF(OR(ISBLANK(C7279),C7279=""),"",ROUND((C7279-B7279)*24,2))</f>
        <v>26.7</v>
      </c>
      <c r="N7279" s="40" t="str">
        <f>IF(OR(ISBLANK(C7279),C7279="",M7279=""),"In Progress",IF(M7279&lt;=J7279,"Met","Breached"))</f>
        <v>Met</v>
      </c>
    </row>
    <row r="7280" ht="19" customHeight="1" spans="1:14" x14ac:dyDescent="0.25">
      <c r="A7280" s="19" t="s">
        <v>7394</v>
      </c>
      <c r="B7280" s="33">
        <v>46271.589583333334</v>
      </c>
      <c r="C7280" s="33">
        <v>46272.38541666667</v>
      </c>
      <c r="D7280" s="19" t="s">
        <v>33</v>
      </c>
      <c r="E7280" s="19" t="s">
        <v>65</v>
      </c>
      <c r="F7280" s="19" t="s">
        <v>34</v>
      </c>
      <c r="G7280" s="19" t="s">
        <v>116</v>
      </c>
      <c r="H7280" s="19" t="s">
        <v>59</v>
      </c>
      <c r="I7280" s="19" t="s">
        <v>147</v>
      </c>
      <c r="J7280" s="20">
        <v>48</v>
      </c>
      <c r="K7280" s="34">
        <v>0</v>
      </c>
      <c r="L7280" s="34">
        <v>5</v>
      </c>
      <c r="M7280" s="19">
        <f>IF(OR(ISBLANK(C7280),C7280=""),"",ROUND((C7280-B7280)*24,2))</f>
        <v>19.1</v>
      </c>
      <c r="N7280" s="35" t="str">
        <f>IF(OR(ISBLANK(C7280),C7280="",M7280=""),"In Progress",IF(M7280&lt;=J7280,"Met","Breached"))</f>
        <v>Met</v>
      </c>
    </row>
    <row r="7281" ht="19" customHeight="1" spans="1:14" x14ac:dyDescent="0.25">
      <c r="A7281" s="22" t="s">
        <v>7395</v>
      </c>
      <c r="B7281" s="36">
        <v>45867.30694444444</v>
      </c>
      <c r="C7281" s="36">
        <v>45869.242361111115</v>
      </c>
      <c r="D7281" s="22" t="s">
        <v>36</v>
      </c>
      <c r="E7281" s="22" t="s">
        <v>69</v>
      </c>
      <c r="F7281" s="22" t="s">
        <v>37</v>
      </c>
      <c r="G7281" s="22" t="s">
        <v>113</v>
      </c>
      <c r="H7281" s="22" t="s">
        <v>71</v>
      </c>
      <c r="I7281" s="22" t="s">
        <v>117</v>
      </c>
      <c r="J7281" s="23">
        <v>120</v>
      </c>
      <c r="K7281" s="37">
        <v>0</v>
      </c>
      <c r="L7281" s="37">
        <v>1</v>
      </c>
      <c r="M7281" s="22">
        <f>IF(OR(ISBLANK(C7281),C7281=""),"",ROUND((C7281-B7281)*24,2))</f>
        <v>46.45</v>
      </c>
      <c r="N7281" s="40" t="str">
        <f>IF(OR(ISBLANK(C7281),C7281="",M7281=""),"In Progress",IF(M7281&lt;=J7281,"Met","Breached"))</f>
        <v>Met</v>
      </c>
    </row>
    <row r="7282" ht="19" customHeight="1" spans="1:14" x14ac:dyDescent="0.25">
      <c r="A7282" s="19" t="s">
        <v>7396</v>
      </c>
      <c r="B7282" s="33">
        <v>46059.790972222225</v>
      </c>
      <c r="C7282" s="33">
        <v>46061.40486111111</v>
      </c>
      <c r="D7282" s="19" t="s">
        <v>36</v>
      </c>
      <c r="E7282" s="19" t="s">
        <v>65</v>
      </c>
      <c r="F7282" s="19" t="s">
        <v>37</v>
      </c>
      <c r="G7282" s="19" t="s">
        <v>116</v>
      </c>
      <c r="H7282" s="19" t="s">
        <v>63</v>
      </c>
      <c r="I7282" s="19" t="s">
        <v>111</v>
      </c>
      <c r="J7282" s="20">
        <v>48</v>
      </c>
      <c r="K7282" s="34">
        <v>0</v>
      </c>
      <c r="L7282" s="34">
        <v>3</v>
      </c>
      <c r="M7282" s="19">
        <f>IF(OR(ISBLANK(C7282),C7282=""),"",ROUND((C7282-B7282)*24,2))</f>
        <v>38.73</v>
      </c>
      <c r="N7282" s="35" t="str">
        <f>IF(OR(ISBLANK(C7282),C7282="",M7282=""),"In Progress",IF(M7282&lt;=J7282,"Met","Breached"))</f>
        <v>Met</v>
      </c>
    </row>
    <row r="7283" ht="19" customHeight="1" spans="1:14" x14ac:dyDescent="0.25">
      <c r="A7283" s="22" t="s">
        <v>7397</v>
      </c>
      <c r="B7283" s="36">
        <v>45785.32847222222</v>
      </c>
      <c r="D7283" s="22" t="s">
        <v>39</v>
      </c>
      <c r="E7283" s="22" t="s">
        <v>69</v>
      </c>
      <c r="F7283" s="22" t="s">
        <v>40</v>
      </c>
      <c r="G7283" s="22" t="s">
        <v>126</v>
      </c>
      <c r="H7283" s="22" t="s">
        <v>71</v>
      </c>
      <c r="I7283" s="22" t="s">
        <v>111</v>
      </c>
      <c r="J7283" s="23">
        <v>120</v>
      </c>
      <c r="K7283" s="37">
        <v>0</v>
      </c>
      <c r="M7283" s="22" t="str">
        <f>IF(OR(ISBLANK(C7283),C7283=""),"",ROUND((C7283-B7283)*24,2))</f>
        <v/>
      </c>
      <c r="N7283" s="22" t="str">
        <f>IF(OR(ISBLANK(C7283),C7283="",M7283=""),"In Progress",IF(M7283&lt;=J7283,"Met","Breached"))</f>
        <v>In Progress</v>
      </c>
    </row>
    <row r="7284" ht="19" customHeight="1" spans="1:14" x14ac:dyDescent="0.25">
      <c r="A7284" s="19" t="s">
        <v>7398</v>
      </c>
      <c r="B7284" s="33">
        <v>46233.95625</v>
      </c>
      <c r="C7284" s="33">
        <v>46236.367361111115</v>
      </c>
      <c r="D7284" s="19" t="s">
        <v>33</v>
      </c>
      <c r="E7284" s="19" t="s">
        <v>65</v>
      </c>
      <c r="F7284" s="19" t="s">
        <v>34</v>
      </c>
      <c r="G7284" s="19" t="s">
        <v>126</v>
      </c>
      <c r="H7284" s="19" t="s">
        <v>67</v>
      </c>
      <c r="I7284" s="19" t="s">
        <v>114</v>
      </c>
      <c r="J7284" s="20">
        <v>48</v>
      </c>
      <c r="K7284" s="34">
        <v>0</v>
      </c>
      <c r="M7284" s="19">
        <f>IF(OR(ISBLANK(C7284),C7284=""),"",ROUND((C7284-B7284)*24,2))</f>
        <v>57.87</v>
      </c>
      <c r="N7284" s="39" t="str">
        <f>IF(OR(ISBLANK(C7284),C7284="",M7284=""),"In Progress",IF(M7284&lt;=J7284,"Met","Breached"))</f>
        <v>Breached</v>
      </c>
    </row>
    <row r="7285" ht="19" customHeight="1" spans="1:14" x14ac:dyDescent="0.25">
      <c r="A7285" s="22" t="s">
        <v>7399</v>
      </c>
      <c r="B7285" s="36">
        <v>45685.92916666667</v>
      </c>
      <c r="C7285" s="36">
        <v>45688.711111111115</v>
      </c>
      <c r="D7285" s="22" t="s">
        <v>33</v>
      </c>
      <c r="E7285" s="22" t="s">
        <v>65</v>
      </c>
      <c r="F7285" s="22" t="s">
        <v>45</v>
      </c>
      <c r="G7285" s="22" t="s">
        <v>63</v>
      </c>
      <c r="H7285" s="22" t="s">
        <v>67</v>
      </c>
      <c r="I7285" s="22" t="s">
        <v>111</v>
      </c>
      <c r="J7285" s="23">
        <v>48</v>
      </c>
      <c r="K7285" s="37">
        <v>0</v>
      </c>
      <c r="M7285" s="22">
        <f>IF(OR(ISBLANK(C7285),C7285=""),"",ROUND((C7285-B7285)*24,2))</f>
        <v>66.77</v>
      </c>
      <c r="N7285" s="38" t="str">
        <f>IF(OR(ISBLANK(C7285),C7285="",M7285=""),"In Progress",IF(M7285&lt;=J7285,"Met","Breached"))</f>
        <v>Breached</v>
      </c>
    </row>
    <row r="7286" ht="19" customHeight="1" spans="1:14" x14ac:dyDescent="0.25">
      <c r="A7286" s="19" t="s">
        <v>7400</v>
      </c>
      <c r="B7286" s="33">
        <v>45866.00138888889</v>
      </c>
      <c r="D7286" s="19" t="s">
        <v>39</v>
      </c>
      <c r="E7286" s="19" t="s">
        <v>69</v>
      </c>
      <c r="F7286" s="19" t="s">
        <v>37</v>
      </c>
      <c r="G7286" s="19" t="s">
        <v>116</v>
      </c>
      <c r="H7286" s="19" t="s">
        <v>71</v>
      </c>
      <c r="I7286" s="19" t="s">
        <v>147</v>
      </c>
      <c r="J7286" s="20">
        <v>120</v>
      </c>
      <c r="K7286" s="34">
        <v>0</v>
      </c>
      <c r="M7286" s="19" t="str">
        <f>IF(OR(ISBLANK(C7286),C7286=""),"",ROUND((C7286-B7286)*24,2))</f>
        <v/>
      </c>
      <c r="N7286" s="19" t="str">
        <f>IF(OR(ISBLANK(C7286),C7286="",M7286=""),"In Progress",IF(M7286&lt;=J7286,"Met","Breached"))</f>
        <v>In Progress</v>
      </c>
    </row>
    <row r="7287" ht="19" customHeight="1" spans="1:14" x14ac:dyDescent="0.25">
      <c r="A7287" s="22" t="s">
        <v>7401</v>
      </c>
      <c r="B7287" s="36">
        <v>45859.18125</v>
      </c>
      <c r="C7287" s="36">
        <v>45863.4125</v>
      </c>
      <c r="D7287" s="22" t="s">
        <v>36</v>
      </c>
      <c r="E7287" s="22" t="s">
        <v>69</v>
      </c>
      <c r="F7287" s="22" t="s">
        <v>37</v>
      </c>
      <c r="G7287" s="22" t="s">
        <v>110</v>
      </c>
      <c r="H7287" s="22" t="s">
        <v>63</v>
      </c>
      <c r="I7287" s="22" t="s">
        <v>111</v>
      </c>
      <c r="J7287" s="23">
        <v>120</v>
      </c>
      <c r="K7287" s="37">
        <v>0</v>
      </c>
      <c r="L7287" s="37">
        <v>4</v>
      </c>
      <c r="M7287" s="22">
        <f>IF(OR(ISBLANK(C7287),C7287=""),"",ROUND((C7287-B7287)*24,2))</f>
        <v>101.55</v>
      </c>
      <c r="N7287" s="40" t="str">
        <f>IF(OR(ISBLANK(C7287),C7287="",M7287=""),"In Progress",IF(M7287&lt;=J7287,"Met","Breached"))</f>
        <v>Met</v>
      </c>
    </row>
    <row r="7288" ht="19" customHeight="1" spans="1:14" x14ac:dyDescent="0.25">
      <c r="A7288" s="19" t="s">
        <v>7402</v>
      </c>
      <c r="B7288" s="33">
        <v>45674.21875</v>
      </c>
      <c r="C7288" s="33">
        <v>45677.81111111111</v>
      </c>
      <c r="D7288" s="19" t="s">
        <v>33</v>
      </c>
      <c r="E7288" s="19" t="s">
        <v>69</v>
      </c>
      <c r="F7288" s="19" t="s">
        <v>40</v>
      </c>
      <c r="G7288" s="19" t="s">
        <v>116</v>
      </c>
      <c r="H7288" s="19" t="s">
        <v>71</v>
      </c>
      <c r="I7288" s="19" t="s">
        <v>123</v>
      </c>
      <c r="J7288" s="20">
        <v>120</v>
      </c>
      <c r="K7288" s="34">
        <v>0</v>
      </c>
      <c r="L7288" s="34">
        <v>4</v>
      </c>
      <c r="M7288" s="19">
        <f>IF(OR(ISBLANK(C7288),C7288=""),"",ROUND((C7288-B7288)*24,2))</f>
        <v>86.22</v>
      </c>
      <c r="N7288" s="35" t="str">
        <f>IF(OR(ISBLANK(C7288),C7288="",M7288=""),"In Progress",IF(M7288&lt;=J7288,"Met","Breached"))</f>
        <v>Met</v>
      </c>
    </row>
    <row r="7289" ht="19" customHeight="1" spans="1:14" x14ac:dyDescent="0.25">
      <c r="A7289" s="22" t="s">
        <v>7403</v>
      </c>
      <c r="B7289" s="36">
        <v>46205.57361111111</v>
      </c>
      <c r="C7289" s="36">
        <v>46208.12986111111</v>
      </c>
      <c r="D7289" s="22" t="s">
        <v>36</v>
      </c>
      <c r="E7289" s="22" t="s">
        <v>65</v>
      </c>
      <c r="F7289" s="22" t="s">
        <v>43</v>
      </c>
      <c r="G7289" s="22" t="s">
        <v>113</v>
      </c>
      <c r="H7289" s="22" t="s">
        <v>59</v>
      </c>
      <c r="I7289" s="22" t="s">
        <v>123</v>
      </c>
      <c r="J7289" s="23">
        <v>48</v>
      </c>
      <c r="K7289" s="37">
        <v>0</v>
      </c>
      <c r="L7289" s="37">
        <v>1</v>
      </c>
      <c r="M7289" s="22">
        <f>IF(OR(ISBLANK(C7289),C7289=""),"",ROUND((C7289-B7289)*24,2))</f>
        <v>61.35</v>
      </c>
      <c r="N7289" s="38" t="str">
        <f>IF(OR(ISBLANK(C7289),C7289="",M7289=""),"In Progress",IF(M7289&lt;=J7289,"Met","Breached"))</f>
        <v>Breached</v>
      </c>
    </row>
    <row r="7290" ht="19" customHeight="1" spans="1:14" x14ac:dyDescent="0.25">
      <c r="A7290" s="19" t="s">
        <v>7404</v>
      </c>
      <c r="B7290" s="33">
        <v>45811.39583333333</v>
      </c>
      <c r="C7290" s="33">
        <v>45811.584027777775</v>
      </c>
      <c r="D7290" s="19" t="s">
        <v>36</v>
      </c>
      <c r="E7290" s="19" t="s">
        <v>61</v>
      </c>
      <c r="F7290" s="19" t="s">
        <v>40</v>
      </c>
      <c r="G7290" s="19" t="s">
        <v>113</v>
      </c>
      <c r="H7290" s="19" t="s">
        <v>63</v>
      </c>
      <c r="I7290" s="19" t="s">
        <v>123</v>
      </c>
      <c r="J7290" s="20">
        <v>12</v>
      </c>
      <c r="K7290" s="34">
        <v>0</v>
      </c>
      <c r="L7290" s="34">
        <v>2</v>
      </c>
      <c r="M7290" s="19">
        <f>IF(OR(ISBLANK(C7290),C7290=""),"",ROUND((C7290-B7290)*24,2))</f>
        <v>4.52</v>
      </c>
      <c r="N7290" s="35" t="str">
        <f>IF(OR(ISBLANK(C7290),C7290="",M7290=""),"In Progress",IF(M7290&lt;=J7290,"Met","Breached"))</f>
        <v>Met</v>
      </c>
    </row>
    <row r="7291" ht="19" customHeight="1" spans="1:14" x14ac:dyDescent="0.25">
      <c r="A7291" s="22" t="s">
        <v>7405</v>
      </c>
      <c r="B7291" s="36">
        <v>46157.11666666667</v>
      </c>
      <c r="C7291" s="36">
        <v>46157.41805555555</v>
      </c>
      <c r="D7291" s="22" t="s">
        <v>33</v>
      </c>
      <c r="E7291" s="22" t="s">
        <v>61</v>
      </c>
      <c r="F7291" s="22" t="s">
        <v>34</v>
      </c>
      <c r="G7291" s="22" t="s">
        <v>63</v>
      </c>
      <c r="H7291" s="22" t="s">
        <v>63</v>
      </c>
      <c r="I7291" s="22" t="s">
        <v>147</v>
      </c>
      <c r="J7291" s="23">
        <v>12</v>
      </c>
      <c r="K7291" s="37">
        <v>0</v>
      </c>
      <c r="L7291" s="37">
        <v>3</v>
      </c>
      <c r="M7291" s="22">
        <f>IF(OR(ISBLANK(C7291),C7291=""),"",ROUND((C7291-B7291)*24,2))</f>
        <v>7.23</v>
      </c>
      <c r="N7291" s="40" t="str">
        <f>IF(OR(ISBLANK(C7291),C7291="",M7291=""),"In Progress",IF(M7291&lt;=J7291,"Met","Breached"))</f>
        <v>Met</v>
      </c>
    </row>
    <row r="7292" ht="19" customHeight="1" spans="1:14" x14ac:dyDescent="0.25">
      <c r="A7292" s="19" t="s">
        <v>7406</v>
      </c>
      <c r="B7292" s="33">
        <v>46202.23958333333</v>
      </c>
      <c r="C7292" s="33">
        <v>46202.44930555555</v>
      </c>
      <c r="D7292" s="19" t="s">
        <v>36</v>
      </c>
      <c r="E7292" s="19" t="s">
        <v>57</v>
      </c>
      <c r="F7292" s="19" t="s">
        <v>34</v>
      </c>
      <c r="G7292" s="19" t="s">
        <v>113</v>
      </c>
      <c r="H7292" s="19" t="s">
        <v>59</v>
      </c>
      <c r="I7292" s="19" t="s">
        <v>147</v>
      </c>
      <c r="J7292" s="20">
        <v>4</v>
      </c>
      <c r="K7292" s="34">
        <v>0</v>
      </c>
      <c r="L7292" s="34">
        <v>1</v>
      </c>
      <c r="M7292" s="19">
        <f>IF(OR(ISBLANK(C7292),C7292=""),"",ROUND((C7292-B7292)*24,2))</f>
        <v>5.03</v>
      </c>
      <c r="N7292" s="39" t="str">
        <f>IF(OR(ISBLANK(C7292),C7292="",M7292=""),"In Progress",IF(M7292&lt;=J7292,"Met","Breached"))</f>
        <v>Breached</v>
      </c>
    </row>
    <row r="7293" ht="19" customHeight="1" spans="1:14" x14ac:dyDescent="0.25">
      <c r="A7293" s="22" t="s">
        <v>7407</v>
      </c>
      <c r="B7293" s="36">
        <v>46279.42361111111</v>
      </c>
      <c r="C7293" s="36">
        <v>46287.71944444445</v>
      </c>
      <c r="D7293" s="22" t="s">
        <v>33</v>
      </c>
      <c r="E7293" s="22" t="s">
        <v>69</v>
      </c>
      <c r="F7293" s="22" t="s">
        <v>34</v>
      </c>
      <c r="G7293" s="22" t="s">
        <v>113</v>
      </c>
      <c r="H7293" s="22" t="s">
        <v>59</v>
      </c>
      <c r="I7293" s="22" t="s">
        <v>123</v>
      </c>
      <c r="J7293" s="23">
        <v>120</v>
      </c>
      <c r="K7293" s="37">
        <v>1</v>
      </c>
      <c r="L7293" s="37">
        <v>1</v>
      </c>
      <c r="M7293" s="22">
        <f>IF(OR(ISBLANK(C7293),C7293=""),"",ROUND((C7293-B7293)*24,2))</f>
        <v>199.1</v>
      </c>
      <c r="N7293" s="38" t="str">
        <f>IF(OR(ISBLANK(C7293),C7293="",M7293=""),"In Progress",IF(M7293&lt;=J7293,"Met","Breached"))</f>
        <v>Breached</v>
      </c>
    </row>
    <row r="7294" ht="19" customHeight="1" spans="1:14" x14ac:dyDescent="0.25">
      <c r="A7294" s="19" t="s">
        <v>7408</v>
      </c>
      <c r="B7294" s="33">
        <v>45839.87708333333</v>
      </c>
      <c r="D7294" s="19" t="s">
        <v>39</v>
      </c>
      <c r="E7294" s="19" t="s">
        <v>61</v>
      </c>
      <c r="F7294" s="19" t="s">
        <v>45</v>
      </c>
      <c r="G7294" s="19" t="s">
        <v>113</v>
      </c>
      <c r="H7294" s="19" t="s">
        <v>59</v>
      </c>
      <c r="I7294" s="19" t="s">
        <v>114</v>
      </c>
      <c r="J7294" s="20">
        <v>12</v>
      </c>
      <c r="K7294" s="34">
        <v>0</v>
      </c>
      <c r="M7294" s="19" t="str">
        <f>IF(OR(ISBLANK(C7294),C7294=""),"",ROUND((C7294-B7294)*24,2))</f>
        <v/>
      </c>
      <c r="N7294" s="19" t="str">
        <f>IF(OR(ISBLANK(C7294),C7294="",M7294=""),"In Progress",IF(M7294&lt;=J7294,"Met","Breached"))</f>
        <v>In Progress</v>
      </c>
    </row>
    <row r="7295" ht="19" customHeight="1" spans="1:14" x14ac:dyDescent="0.25">
      <c r="A7295" s="22" t="s">
        <v>7409</v>
      </c>
      <c r="B7295" s="36">
        <v>45912.535416666666</v>
      </c>
      <c r="C7295" s="36">
        <v>45915.93680555555</v>
      </c>
      <c r="D7295" s="22" t="s">
        <v>33</v>
      </c>
      <c r="E7295" s="22" t="s">
        <v>65</v>
      </c>
      <c r="F7295" s="22" t="s">
        <v>34</v>
      </c>
      <c r="G7295" s="22" t="s">
        <v>121</v>
      </c>
      <c r="H7295" s="22" t="s">
        <v>63</v>
      </c>
      <c r="I7295" s="22" t="s">
        <v>111</v>
      </c>
      <c r="J7295" s="23">
        <v>48</v>
      </c>
      <c r="K7295" s="37">
        <v>0</v>
      </c>
      <c r="L7295" s="37">
        <v>5</v>
      </c>
      <c r="M7295" s="22">
        <f>IF(OR(ISBLANK(C7295),C7295=""),"",ROUND((C7295-B7295)*24,2))</f>
        <v>81.63</v>
      </c>
      <c r="N7295" s="38" t="str">
        <f>IF(OR(ISBLANK(C7295),C7295="",M7295=""),"In Progress",IF(M7295&lt;=J7295,"Met","Breached"))</f>
        <v>Breached</v>
      </c>
    </row>
    <row r="7296" ht="19" customHeight="1" spans="1:14" x14ac:dyDescent="0.25">
      <c r="A7296" s="19" t="s">
        <v>7410</v>
      </c>
      <c r="B7296" s="33">
        <v>45715.603472222225</v>
      </c>
      <c r="C7296" s="33">
        <v>45717.055555555555</v>
      </c>
      <c r="D7296" s="19" t="s">
        <v>36</v>
      </c>
      <c r="E7296" s="19" t="s">
        <v>65</v>
      </c>
      <c r="F7296" s="19" t="s">
        <v>40</v>
      </c>
      <c r="G7296" s="19" t="s">
        <v>116</v>
      </c>
      <c r="H7296" s="19" t="s">
        <v>63</v>
      </c>
      <c r="I7296" s="19" t="s">
        <v>114</v>
      </c>
      <c r="J7296" s="20">
        <v>48</v>
      </c>
      <c r="K7296" s="34">
        <v>0</v>
      </c>
      <c r="M7296" s="19">
        <f>IF(OR(ISBLANK(C7296),C7296=""),"",ROUND((C7296-B7296)*24,2))</f>
        <v>34.85</v>
      </c>
      <c r="N7296" s="35" t="str">
        <f>IF(OR(ISBLANK(C7296),C7296="",M7296=""),"In Progress",IF(M7296&lt;=J7296,"Met","Breached"))</f>
        <v>Met</v>
      </c>
    </row>
    <row r="7297" ht="19" customHeight="1" spans="1:14" x14ac:dyDescent="0.25">
      <c r="A7297" s="22" t="s">
        <v>7411</v>
      </c>
      <c r="B7297" s="36">
        <v>45961.48263888889</v>
      </c>
      <c r="C7297" s="36">
        <v>45964.97083333333</v>
      </c>
      <c r="D7297" s="22" t="s">
        <v>36</v>
      </c>
      <c r="E7297" s="22" t="s">
        <v>65</v>
      </c>
      <c r="F7297" s="22" t="s">
        <v>37</v>
      </c>
      <c r="G7297" s="22" t="s">
        <v>113</v>
      </c>
      <c r="H7297" s="22" t="s">
        <v>63</v>
      </c>
      <c r="I7297" s="22" t="s">
        <v>117</v>
      </c>
      <c r="J7297" s="23">
        <v>48</v>
      </c>
      <c r="K7297" s="37">
        <v>0</v>
      </c>
      <c r="L7297" s="37">
        <v>5</v>
      </c>
      <c r="M7297" s="22">
        <f>IF(OR(ISBLANK(C7297),C7297=""),"",ROUND((C7297-B7297)*24,2))</f>
        <v>83.72</v>
      </c>
      <c r="N7297" s="38" t="str">
        <f>IF(OR(ISBLANK(C7297),C7297="",M7297=""),"In Progress",IF(M7297&lt;=J7297,"Met","Breached"))</f>
        <v>Breached</v>
      </c>
    </row>
    <row r="7298" ht="19" customHeight="1" spans="1:14" x14ac:dyDescent="0.25">
      <c r="A7298" s="19" t="s">
        <v>7412</v>
      </c>
      <c r="B7298" s="33">
        <v>45889.65625</v>
      </c>
      <c r="C7298" s="33">
        <v>45891.99513888889</v>
      </c>
      <c r="D7298" s="19" t="s">
        <v>33</v>
      </c>
      <c r="E7298" s="19" t="s">
        <v>65</v>
      </c>
      <c r="F7298" s="19" t="s">
        <v>34</v>
      </c>
      <c r="G7298" s="19" t="s">
        <v>63</v>
      </c>
      <c r="H7298" s="19" t="s">
        <v>63</v>
      </c>
      <c r="I7298" s="19" t="s">
        <v>108</v>
      </c>
      <c r="J7298" s="20">
        <v>48</v>
      </c>
      <c r="K7298" s="34">
        <v>0</v>
      </c>
      <c r="L7298" s="34">
        <v>5</v>
      </c>
      <c r="M7298" s="19">
        <f>IF(OR(ISBLANK(C7298),C7298=""),"",ROUND((C7298-B7298)*24,2))</f>
        <v>56.13</v>
      </c>
      <c r="N7298" s="39" t="str">
        <f>IF(OR(ISBLANK(C7298),C7298="",M7298=""),"In Progress",IF(M7298&lt;=J7298,"Met","Breached"))</f>
        <v>Breached</v>
      </c>
    </row>
    <row r="7299" ht="19" customHeight="1" spans="1:14" x14ac:dyDescent="0.25">
      <c r="A7299" s="22" t="s">
        <v>7413</v>
      </c>
      <c r="B7299" s="36">
        <v>45800.544444444444</v>
      </c>
      <c r="C7299" s="36">
        <v>45800.93888888889</v>
      </c>
      <c r="D7299" s="22" t="s">
        <v>36</v>
      </c>
      <c r="E7299" s="22" t="s">
        <v>61</v>
      </c>
      <c r="F7299" s="22" t="s">
        <v>40</v>
      </c>
      <c r="G7299" s="22" t="s">
        <v>110</v>
      </c>
      <c r="H7299" s="22" t="s">
        <v>67</v>
      </c>
      <c r="I7299" s="22" t="s">
        <v>147</v>
      </c>
      <c r="J7299" s="23">
        <v>12</v>
      </c>
      <c r="K7299" s="37">
        <v>0</v>
      </c>
      <c r="L7299" s="37">
        <v>4</v>
      </c>
      <c r="M7299" s="22">
        <f>IF(OR(ISBLANK(C7299),C7299=""),"",ROUND((C7299-B7299)*24,2))</f>
        <v>9.47</v>
      </c>
      <c r="N7299" s="40" t="str">
        <f>IF(OR(ISBLANK(C7299),C7299="",M7299=""),"In Progress",IF(M7299&lt;=J7299,"Met","Breached"))</f>
        <v>Met</v>
      </c>
    </row>
    <row r="7300" ht="19" customHeight="1" spans="1:14" x14ac:dyDescent="0.25">
      <c r="A7300" s="19" t="s">
        <v>7414</v>
      </c>
      <c r="B7300" s="33">
        <v>46254.56736111111</v>
      </c>
      <c r="D7300" s="19" t="s">
        <v>42</v>
      </c>
      <c r="E7300" s="19" t="s">
        <v>65</v>
      </c>
      <c r="F7300" s="19" t="s">
        <v>45</v>
      </c>
      <c r="G7300" s="19" t="s">
        <v>110</v>
      </c>
      <c r="H7300" s="19" t="s">
        <v>63</v>
      </c>
      <c r="I7300" s="19" t="s">
        <v>111</v>
      </c>
      <c r="J7300" s="20">
        <v>48</v>
      </c>
      <c r="K7300" s="34">
        <v>0</v>
      </c>
      <c r="M7300" s="19" t="str">
        <f>IF(OR(ISBLANK(C7300),C7300=""),"",ROUND((C7300-B7300)*24,2))</f>
        <v/>
      </c>
      <c r="N7300" s="19" t="str">
        <f>IF(OR(ISBLANK(C7300),C7300="",M7300=""),"In Progress",IF(M7300&lt;=J7300,"Met","Breached"))</f>
        <v>In Progress</v>
      </c>
    </row>
    <row r="7301" ht="19" customHeight="1" spans="1:14" x14ac:dyDescent="0.25">
      <c r="A7301" s="22" t="s">
        <v>7415</v>
      </c>
      <c r="B7301" s="36">
        <v>45715.794444444444</v>
      </c>
      <c r="C7301" s="36">
        <v>45719.22916666667</v>
      </c>
      <c r="D7301" s="22" t="s">
        <v>33</v>
      </c>
      <c r="E7301" s="22" t="s">
        <v>65</v>
      </c>
      <c r="F7301" s="22" t="s">
        <v>34</v>
      </c>
      <c r="G7301" s="22" t="s">
        <v>126</v>
      </c>
      <c r="H7301" s="22" t="s">
        <v>67</v>
      </c>
      <c r="I7301" s="22" t="s">
        <v>111</v>
      </c>
      <c r="J7301" s="23">
        <v>48</v>
      </c>
      <c r="K7301" s="37">
        <v>0</v>
      </c>
      <c r="L7301" s="37">
        <v>3</v>
      </c>
      <c r="M7301" s="22">
        <f>IF(OR(ISBLANK(C7301),C7301=""),"",ROUND((C7301-B7301)*24,2))</f>
        <v>82.43</v>
      </c>
      <c r="N7301" s="38" t="str">
        <f>IF(OR(ISBLANK(C7301),C7301="",M7301=""),"In Progress",IF(M7301&lt;=J7301,"Met","Breached"))</f>
        <v>Breached</v>
      </c>
    </row>
    <row r="7302" ht="19" customHeight="1" spans="1:14" x14ac:dyDescent="0.25">
      <c r="A7302" s="19" t="s">
        <v>7416</v>
      </c>
      <c r="B7302" s="33">
        <v>46134.36875</v>
      </c>
      <c r="C7302" s="33">
        <v>46134.69861111111</v>
      </c>
      <c r="D7302" s="19" t="s">
        <v>36</v>
      </c>
      <c r="E7302" s="19" t="s">
        <v>61</v>
      </c>
      <c r="F7302" s="19" t="s">
        <v>37</v>
      </c>
      <c r="G7302" s="19" t="s">
        <v>126</v>
      </c>
      <c r="H7302" s="19" t="s">
        <v>63</v>
      </c>
      <c r="I7302" s="19" t="s">
        <v>123</v>
      </c>
      <c r="J7302" s="20">
        <v>12</v>
      </c>
      <c r="K7302" s="34">
        <v>0</v>
      </c>
      <c r="L7302" s="34">
        <v>5</v>
      </c>
      <c r="M7302" s="19">
        <f>IF(OR(ISBLANK(C7302),C7302=""),"",ROUND((C7302-B7302)*24,2))</f>
        <v>7.92</v>
      </c>
      <c r="N7302" s="35" t="str">
        <f>IF(OR(ISBLANK(C7302),C7302="",M7302=""),"In Progress",IF(M7302&lt;=J7302,"Met","Breached"))</f>
        <v>Met</v>
      </c>
    </row>
    <row r="7303" ht="19" customHeight="1" spans="1:14" x14ac:dyDescent="0.25">
      <c r="A7303" s="22" t="s">
        <v>7417</v>
      </c>
      <c r="B7303" s="36">
        <v>45796.31527777778</v>
      </c>
      <c r="C7303" s="36">
        <v>45805.05208333333</v>
      </c>
      <c r="D7303" s="22" t="s">
        <v>33</v>
      </c>
      <c r="E7303" s="22" t="s">
        <v>69</v>
      </c>
      <c r="F7303" s="22" t="s">
        <v>45</v>
      </c>
      <c r="G7303" s="22" t="s">
        <v>113</v>
      </c>
      <c r="H7303" s="22" t="s">
        <v>59</v>
      </c>
      <c r="I7303" s="22" t="s">
        <v>114</v>
      </c>
      <c r="J7303" s="23">
        <v>120</v>
      </c>
      <c r="K7303" s="37">
        <v>0</v>
      </c>
      <c r="L7303" s="37">
        <v>3</v>
      </c>
      <c r="M7303" s="22">
        <f>IF(OR(ISBLANK(C7303),C7303=""),"",ROUND((C7303-B7303)*24,2))</f>
        <v>209.68</v>
      </c>
      <c r="N7303" s="38" t="str">
        <f>IF(OR(ISBLANK(C7303),C7303="",M7303=""),"In Progress",IF(M7303&lt;=J7303,"Met","Breached"))</f>
        <v>Breached</v>
      </c>
    </row>
    <row r="7304" ht="19" customHeight="1" spans="1:14" x14ac:dyDescent="0.25">
      <c r="A7304" s="19" t="s">
        <v>7418</v>
      </c>
      <c r="B7304" s="33">
        <v>46185.77222222222</v>
      </c>
      <c r="D7304" s="19" t="s">
        <v>42</v>
      </c>
      <c r="E7304" s="19" t="s">
        <v>65</v>
      </c>
      <c r="F7304" s="19" t="s">
        <v>43</v>
      </c>
      <c r="G7304" s="19" t="s">
        <v>63</v>
      </c>
      <c r="H7304" s="19" t="s">
        <v>67</v>
      </c>
      <c r="I7304" s="19" t="s">
        <v>147</v>
      </c>
      <c r="J7304" s="20">
        <v>48</v>
      </c>
      <c r="K7304" s="34">
        <v>0</v>
      </c>
      <c r="M7304" s="19" t="str">
        <f>IF(OR(ISBLANK(C7304),C7304=""),"",ROUND((C7304-B7304)*24,2))</f>
        <v/>
      </c>
      <c r="N7304" s="19" t="str">
        <f>IF(OR(ISBLANK(C7304),C7304="",M7304=""),"In Progress",IF(M7304&lt;=J7304,"Met","Breached"))</f>
        <v>In Progress</v>
      </c>
    </row>
    <row r="7305" ht="19" customHeight="1" spans="1:14" x14ac:dyDescent="0.25">
      <c r="A7305" s="22" t="s">
        <v>7419</v>
      </c>
      <c r="B7305" s="36">
        <v>45954.768055555556</v>
      </c>
      <c r="C7305" s="36">
        <v>45957.39722222222</v>
      </c>
      <c r="D7305" s="22" t="s">
        <v>33</v>
      </c>
      <c r="E7305" s="22" t="s">
        <v>65</v>
      </c>
      <c r="F7305" s="22" t="s">
        <v>40</v>
      </c>
      <c r="G7305" s="22" t="s">
        <v>121</v>
      </c>
      <c r="H7305" s="22" t="s">
        <v>63</v>
      </c>
      <c r="I7305" s="22" t="s">
        <v>147</v>
      </c>
      <c r="J7305" s="23">
        <v>48</v>
      </c>
      <c r="K7305" s="37">
        <v>0</v>
      </c>
      <c r="M7305" s="22">
        <f>IF(OR(ISBLANK(C7305),C7305=""),"",ROUND((C7305-B7305)*24,2))</f>
        <v>63.1</v>
      </c>
      <c r="N7305" s="38" t="str">
        <f>IF(OR(ISBLANK(C7305),C7305="",M7305=""),"In Progress",IF(M7305&lt;=J7305,"Met","Breached"))</f>
        <v>Breached</v>
      </c>
    </row>
    <row r="7306" ht="19" customHeight="1" spans="1:14" x14ac:dyDescent="0.25">
      <c r="A7306" s="19" t="s">
        <v>7420</v>
      </c>
      <c r="B7306" s="33">
        <v>45857.07777777778</v>
      </c>
      <c r="C7306" s="33">
        <v>45857.59930555556</v>
      </c>
      <c r="D7306" s="19" t="s">
        <v>33</v>
      </c>
      <c r="E7306" s="19" t="s">
        <v>61</v>
      </c>
      <c r="F7306" s="19" t="s">
        <v>45</v>
      </c>
      <c r="G7306" s="19" t="s">
        <v>116</v>
      </c>
      <c r="H7306" s="19" t="s">
        <v>63</v>
      </c>
      <c r="I7306" s="19" t="s">
        <v>111</v>
      </c>
      <c r="J7306" s="20">
        <v>12</v>
      </c>
      <c r="K7306" s="34">
        <v>0</v>
      </c>
      <c r="L7306" s="34">
        <v>2</v>
      </c>
      <c r="M7306" s="19">
        <f>IF(OR(ISBLANK(C7306),C7306=""),"",ROUND((C7306-B7306)*24,2))</f>
        <v>12.52</v>
      </c>
      <c r="N7306" s="39" t="str">
        <f>IF(OR(ISBLANK(C7306),C7306="",M7306=""),"In Progress",IF(M7306&lt;=J7306,"Met","Breached"))</f>
        <v>Breached</v>
      </c>
    </row>
    <row r="7307" ht="19" customHeight="1" spans="1:14" x14ac:dyDescent="0.25">
      <c r="A7307" s="22" t="s">
        <v>7421</v>
      </c>
      <c r="B7307" s="36">
        <v>46080.98055555555</v>
      </c>
      <c r="D7307" s="22" t="s">
        <v>39</v>
      </c>
      <c r="E7307" s="22" t="s">
        <v>65</v>
      </c>
      <c r="F7307" s="22" t="s">
        <v>43</v>
      </c>
      <c r="G7307" s="22" t="s">
        <v>116</v>
      </c>
      <c r="H7307" s="22" t="s">
        <v>71</v>
      </c>
      <c r="I7307" s="22" t="s">
        <v>117</v>
      </c>
      <c r="J7307" s="23">
        <v>48</v>
      </c>
      <c r="K7307" s="37">
        <v>0</v>
      </c>
      <c r="M7307" s="22" t="str">
        <f>IF(OR(ISBLANK(C7307),C7307=""),"",ROUND((C7307-B7307)*24,2))</f>
        <v/>
      </c>
      <c r="N7307" s="22" t="str">
        <f>IF(OR(ISBLANK(C7307),C7307="",M7307=""),"In Progress",IF(M7307&lt;=J7307,"Met","Breached"))</f>
        <v>In Progress</v>
      </c>
    </row>
    <row r="7308" ht="19" customHeight="1" spans="1:14" x14ac:dyDescent="0.25">
      <c r="A7308" s="19" t="s">
        <v>7422</v>
      </c>
      <c r="B7308" s="33">
        <v>46028.8625</v>
      </c>
      <c r="C7308" s="33">
        <v>46031.46527777778</v>
      </c>
      <c r="D7308" s="19" t="s">
        <v>33</v>
      </c>
      <c r="E7308" s="19" t="s">
        <v>69</v>
      </c>
      <c r="F7308" s="19" t="s">
        <v>40</v>
      </c>
      <c r="G7308" s="19" t="s">
        <v>126</v>
      </c>
      <c r="H7308" s="19" t="s">
        <v>71</v>
      </c>
      <c r="I7308" s="19" t="s">
        <v>117</v>
      </c>
      <c r="J7308" s="20">
        <v>120</v>
      </c>
      <c r="K7308" s="34">
        <v>0</v>
      </c>
      <c r="M7308" s="19">
        <f>IF(OR(ISBLANK(C7308),C7308=""),"",ROUND((C7308-B7308)*24,2))</f>
        <v>62.47</v>
      </c>
      <c r="N7308" s="35" t="str">
        <f>IF(OR(ISBLANK(C7308),C7308="",M7308=""),"In Progress",IF(M7308&lt;=J7308,"Met","Breached"))</f>
        <v>Met</v>
      </c>
    </row>
    <row r="7309" ht="19" customHeight="1" spans="1:14" x14ac:dyDescent="0.25">
      <c r="A7309" s="22" t="s">
        <v>7423</v>
      </c>
      <c r="B7309" s="36">
        <v>45954.41736111111</v>
      </c>
      <c r="D7309" s="22" t="s">
        <v>42</v>
      </c>
      <c r="E7309" s="22" t="s">
        <v>65</v>
      </c>
      <c r="F7309" s="22" t="s">
        <v>43</v>
      </c>
      <c r="G7309" s="22" t="s">
        <v>126</v>
      </c>
      <c r="H7309" s="22" t="s">
        <v>67</v>
      </c>
      <c r="I7309" s="22" t="s">
        <v>123</v>
      </c>
      <c r="J7309" s="23">
        <v>48</v>
      </c>
      <c r="K7309" s="37">
        <v>0</v>
      </c>
      <c r="M7309" s="22" t="str">
        <f>IF(OR(ISBLANK(C7309),C7309=""),"",ROUND((C7309-B7309)*24,2))</f>
        <v/>
      </c>
      <c r="N7309" s="22" t="str">
        <f>IF(OR(ISBLANK(C7309),C7309="",M7309=""),"In Progress",IF(M7309&lt;=J7309,"Met","Breached"))</f>
        <v>In Progress</v>
      </c>
    </row>
    <row r="7310" ht="19" customHeight="1" spans="1:14" x14ac:dyDescent="0.25">
      <c r="A7310" s="19" t="s">
        <v>7424</v>
      </c>
      <c r="B7310" s="33">
        <v>46273.47152777778</v>
      </c>
      <c r="C7310" s="33">
        <v>46273.56527777778</v>
      </c>
      <c r="D7310" s="19" t="s">
        <v>33</v>
      </c>
      <c r="E7310" s="19" t="s">
        <v>57</v>
      </c>
      <c r="F7310" s="19" t="s">
        <v>34</v>
      </c>
      <c r="G7310" s="19" t="s">
        <v>110</v>
      </c>
      <c r="H7310" s="19" t="s">
        <v>63</v>
      </c>
      <c r="I7310" s="19" t="s">
        <v>114</v>
      </c>
      <c r="J7310" s="20">
        <v>4</v>
      </c>
      <c r="K7310" s="34">
        <v>0</v>
      </c>
      <c r="L7310" s="34">
        <v>3</v>
      </c>
      <c r="M7310" s="19">
        <f>IF(OR(ISBLANK(C7310),C7310=""),"",ROUND((C7310-B7310)*24,2))</f>
        <v>2.25</v>
      </c>
      <c r="N7310" s="35" t="str">
        <f>IF(OR(ISBLANK(C7310),C7310="",M7310=""),"In Progress",IF(M7310&lt;=J7310,"Met","Breached"))</f>
        <v>Met</v>
      </c>
    </row>
    <row r="7311" ht="19" customHeight="1" spans="1:14" x14ac:dyDescent="0.25">
      <c r="A7311" s="22" t="s">
        <v>7425</v>
      </c>
      <c r="B7311" s="36">
        <v>46055.17013888889</v>
      </c>
      <c r="C7311" s="36">
        <v>46057.47222222222</v>
      </c>
      <c r="D7311" s="22" t="s">
        <v>36</v>
      </c>
      <c r="E7311" s="22" t="s">
        <v>65</v>
      </c>
      <c r="F7311" s="22" t="s">
        <v>37</v>
      </c>
      <c r="G7311" s="22" t="s">
        <v>116</v>
      </c>
      <c r="H7311" s="22" t="s">
        <v>59</v>
      </c>
      <c r="I7311" s="22" t="s">
        <v>108</v>
      </c>
      <c r="J7311" s="23">
        <v>48</v>
      </c>
      <c r="K7311" s="37">
        <v>0</v>
      </c>
      <c r="L7311" s="37">
        <v>3</v>
      </c>
      <c r="M7311" s="22">
        <f>IF(OR(ISBLANK(C7311),C7311=""),"",ROUND((C7311-B7311)*24,2))</f>
        <v>55.25</v>
      </c>
      <c r="N7311" s="38" t="str">
        <f>IF(OR(ISBLANK(C7311),C7311="",M7311=""),"In Progress",IF(M7311&lt;=J7311,"Met","Breached"))</f>
        <v>Breached</v>
      </c>
    </row>
    <row r="7312" ht="19" customHeight="1" spans="1:14" x14ac:dyDescent="0.25">
      <c r="A7312" s="19" t="s">
        <v>7426</v>
      </c>
      <c r="B7312" s="33">
        <v>45806.60902777778</v>
      </c>
      <c r="C7312" s="33">
        <v>45807.83819444444</v>
      </c>
      <c r="D7312" s="19" t="s">
        <v>33</v>
      </c>
      <c r="E7312" s="19" t="s">
        <v>65</v>
      </c>
      <c r="F7312" s="19" t="s">
        <v>45</v>
      </c>
      <c r="G7312" s="19" t="s">
        <v>63</v>
      </c>
      <c r="H7312" s="19" t="s">
        <v>67</v>
      </c>
      <c r="I7312" s="19" t="s">
        <v>108</v>
      </c>
      <c r="J7312" s="20">
        <v>48</v>
      </c>
      <c r="K7312" s="34">
        <v>0</v>
      </c>
      <c r="L7312" s="34">
        <v>2</v>
      </c>
      <c r="M7312" s="19">
        <f>IF(OR(ISBLANK(C7312),C7312=""),"",ROUND((C7312-B7312)*24,2))</f>
        <v>29.5</v>
      </c>
      <c r="N7312" s="35" t="str">
        <f>IF(OR(ISBLANK(C7312),C7312="",M7312=""),"In Progress",IF(M7312&lt;=J7312,"Met","Breached"))</f>
        <v>Met</v>
      </c>
    </row>
    <row r="7313" ht="19" customHeight="1" spans="1:14" x14ac:dyDescent="0.25">
      <c r="A7313" s="22" t="s">
        <v>7427</v>
      </c>
      <c r="B7313" s="36">
        <v>46185.56875</v>
      </c>
      <c r="D7313" s="22" t="s">
        <v>39</v>
      </c>
      <c r="E7313" s="22" t="s">
        <v>69</v>
      </c>
      <c r="F7313" s="22" t="s">
        <v>40</v>
      </c>
      <c r="G7313" s="22" t="s">
        <v>121</v>
      </c>
      <c r="H7313" s="22" t="s">
        <v>71</v>
      </c>
      <c r="I7313" s="22" t="s">
        <v>147</v>
      </c>
      <c r="J7313" s="23">
        <v>120</v>
      </c>
      <c r="K7313" s="37">
        <v>0</v>
      </c>
      <c r="M7313" s="22" t="str">
        <f>IF(OR(ISBLANK(C7313),C7313=""),"",ROUND((C7313-B7313)*24,2))</f>
        <v/>
      </c>
      <c r="N7313" s="22" t="str">
        <f>IF(OR(ISBLANK(C7313),C7313="",M7313=""),"In Progress",IF(M7313&lt;=J7313,"Met","Breached"))</f>
        <v>In Progress</v>
      </c>
    </row>
    <row r="7314" ht="19" customHeight="1" spans="1:14" x14ac:dyDescent="0.25">
      <c r="A7314" s="19" t="s">
        <v>7428</v>
      </c>
      <c r="B7314" s="33">
        <v>45719.34652777778</v>
      </c>
      <c r="C7314" s="33">
        <v>45720.26180555555</v>
      </c>
      <c r="D7314" s="19" t="s">
        <v>33</v>
      </c>
      <c r="E7314" s="19" t="s">
        <v>65</v>
      </c>
      <c r="F7314" s="19" t="s">
        <v>43</v>
      </c>
      <c r="G7314" s="19" t="s">
        <v>63</v>
      </c>
      <c r="H7314" s="19" t="s">
        <v>67</v>
      </c>
      <c r="I7314" s="19" t="s">
        <v>108</v>
      </c>
      <c r="J7314" s="20">
        <v>48</v>
      </c>
      <c r="K7314" s="34">
        <v>0</v>
      </c>
      <c r="M7314" s="19">
        <f>IF(OR(ISBLANK(C7314),C7314=""),"",ROUND((C7314-B7314)*24,2))</f>
        <v>21.97</v>
      </c>
      <c r="N7314" s="35" t="str">
        <f>IF(OR(ISBLANK(C7314),C7314="",M7314=""),"In Progress",IF(M7314&lt;=J7314,"Met","Breached"))</f>
        <v>Met</v>
      </c>
    </row>
    <row r="7315" ht="19" customHeight="1" spans="1:14" x14ac:dyDescent="0.25">
      <c r="A7315" s="22" t="s">
        <v>7429</v>
      </c>
      <c r="B7315" s="36">
        <v>45987.740277777775</v>
      </c>
      <c r="C7315" s="36">
        <v>45988.49930555555</v>
      </c>
      <c r="D7315" s="22" t="s">
        <v>36</v>
      </c>
      <c r="E7315" s="22" t="s">
        <v>61</v>
      </c>
      <c r="F7315" s="22" t="s">
        <v>45</v>
      </c>
      <c r="G7315" s="22" t="s">
        <v>63</v>
      </c>
      <c r="H7315" s="22" t="s">
        <v>63</v>
      </c>
      <c r="I7315" s="22" t="s">
        <v>117</v>
      </c>
      <c r="J7315" s="23">
        <v>12</v>
      </c>
      <c r="K7315" s="37">
        <v>0</v>
      </c>
      <c r="L7315" s="37">
        <v>2</v>
      </c>
      <c r="M7315" s="22">
        <f>IF(OR(ISBLANK(C7315),C7315=""),"",ROUND((C7315-B7315)*24,2))</f>
        <v>18.22</v>
      </c>
      <c r="N7315" s="38" t="str">
        <f>IF(OR(ISBLANK(C7315),C7315="",M7315=""),"In Progress",IF(M7315&lt;=J7315,"Met","Breached"))</f>
        <v>Breached</v>
      </c>
    </row>
    <row r="7316" ht="19" customHeight="1" spans="1:14" x14ac:dyDescent="0.25">
      <c r="A7316" s="19" t="s">
        <v>7430</v>
      </c>
      <c r="B7316" s="33">
        <v>45851.74861111111</v>
      </c>
      <c r="D7316" s="19" t="s">
        <v>39</v>
      </c>
      <c r="E7316" s="19" t="s">
        <v>65</v>
      </c>
      <c r="F7316" s="19" t="s">
        <v>40</v>
      </c>
      <c r="G7316" s="19" t="s">
        <v>126</v>
      </c>
      <c r="H7316" s="19" t="s">
        <v>59</v>
      </c>
      <c r="I7316" s="19" t="s">
        <v>108</v>
      </c>
      <c r="J7316" s="20">
        <v>48</v>
      </c>
      <c r="K7316" s="34">
        <v>0</v>
      </c>
      <c r="M7316" s="19" t="str">
        <f>IF(OR(ISBLANK(C7316),C7316=""),"",ROUND((C7316-B7316)*24,2))</f>
        <v/>
      </c>
      <c r="N7316" s="19" t="str">
        <f>IF(OR(ISBLANK(C7316),C7316="",M7316=""),"In Progress",IF(M7316&lt;=J7316,"Met","Breached"))</f>
        <v>In Progress</v>
      </c>
    </row>
    <row r="7317" ht="19" customHeight="1" spans="1:14" x14ac:dyDescent="0.25">
      <c r="A7317" s="22" t="s">
        <v>7431</v>
      </c>
      <c r="B7317" s="36">
        <v>46148.728472222225</v>
      </c>
      <c r="C7317" s="36">
        <v>46148.95347222222</v>
      </c>
      <c r="D7317" s="22" t="s">
        <v>33</v>
      </c>
      <c r="E7317" s="22" t="s">
        <v>61</v>
      </c>
      <c r="F7317" s="22" t="s">
        <v>34</v>
      </c>
      <c r="G7317" s="22" t="s">
        <v>113</v>
      </c>
      <c r="H7317" s="22" t="s">
        <v>71</v>
      </c>
      <c r="I7317" s="22" t="s">
        <v>114</v>
      </c>
      <c r="J7317" s="23">
        <v>12</v>
      </c>
      <c r="K7317" s="37">
        <v>0</v>
      </c>
      <c r="L7317" s="37">
        <v>5</v>
      </c>
      <c r="M7317" s="22">
        <f>IF(OR(ISBLANK(C7317),C7317=""),"",ROUND((C7317-B7317)*24,2))</f>
        <v>5.4</v>
      </c>
      <c r="N7317" s="40" t="str">
        <f>IF(OR(ISBLANK(C7317),C7317="",M7317=""),"In Progress",IF(M7317&lt;=J7317,"Met","Breached"))</f>
        <v>Met</v>
      </c>
    </row>
    <row r="7318" ht="19" customHeight="1" spans="1:14" x14ac:dyDescent="0.25">
      <c r="A7318" s="19" t="s">
        <v>7432</v>
      </c>
      <c r="B7318" s="33">
        <v>46023.49930555555</v>
      </c>
      <c r="C7318" s="33">
        <v>46023.68958333333</v>
      </c>
      <c r="D7318" s="19" t="s">
        <v>36</v>
      </c>
      <c r="E7318" s="19" t="s">
        <v>57</v>
      </c>
      <c r="F7318" s="19" t="s">
        <v>34</v>
      </c>
      <c r="G7318" s="19" t="s">
        <v>126</v>
      </c>
      <c r="H7318" s="19" t="s">
        <v>67</v>
      </c>
      <c r="I7318" s="19" t="s">
        <v>114</v>
      </c>
      <c r="J7318" s="20">
        <v>4</v>
      </c>
      <c r="K7318" s="34">
        <v>0</v>
      </c>
      <c r="M7318" s="19">
        <f>IF(OR(ISBLANK(C7318),C7318=""),"",ROUND((C7318-B7318)*24,2))</f>
        <v>4.57</v>
      </c>
      <c r="N7318" s="39" t="str">
        <f>IF(OR(ISBLANK(C7318),C7318="",M7318=""),"In Progress",IF(M7318&lt;=J7318,"Met","Breached"))</f>
        <v>Breached</v>
      </c>
    </row>
    <row r="7319" ht="19" customHeight="1" spans="1:14" x14ac:dyDescent="0.25">
      <c r="A7319" s="22" t="s">
        <v>7433</v>
      </c>
      <c r="B7319" s="36">
        <v>46129.91180555556</v>
      </c>
      <c r="C7319" s="36">
        <v>46133.28611111111</v>
      </c>
      <c r="D7319" s="22" t="s">
        <v>33</v>
      </c>
      <c r="E7319" s="22" t="s">
        <v>65</v>
      </c>
      <c r="F7319" s="22" t="s">
        <v>45</v>
      </c>
      <c r="G7319" s="22" t="s">
        <v>121</v>
      </c>
      <c r="H7319" s="22" t="s">
        <v>59</v>
      </c>
      <c r="I7319" s="22" t="s">
        <v>147</v>
      </c>
      <c r="J7319" s="23">
        <v>48</v>
      </c>
      <c r="K7319" s="37">
        <v>0</v>
      </c>
      <c r="M7319" s="22">
        <f>IF(OR(ISBLANK(C7319),C7319=""),"",ROUND((C7319-B7319)*24,2))</f>
        <v>80.98</v>
      </c>
      <c r="N7319" s="38" t="str">
        <f>IF(OR(ISBLANK(C7319),C7319="",M7319=""),"In Progress",IF(M7319&lt;=J7319,"Met","Breached"))</f>
        <v>Breached</v>
      </c>
    </row>
    <row r="7320" ht="19" customHeight="1" spans="1:14" x14ac:dyDescent="0.25">
      <c r="A7320" s="19" t="s">
        <v>7434</v>
      </c>
      <c r="B7320" s="33">
        <v>46237.736805555556</v>
      </c>
      <c r="C7320" s="33">
        <v>46239.945138888885</v>
      </c>
      <c r="D7320" s="19" t="s">
        <v>33</v>
      </c>
      <c r="E7320" s="19" t="s">
        <v>65</v>
      </c>
      <c r="F7320" s="19" t="s">
        <v>43</v>
      </c>
      <c r="G7320" s="19" t="s">
        <v>113</v>
      </c>
      <c r="H7320" s="19" t="s">
        <v>71</v>
      </c>
      <c r="I7320" s="19" t="s">
        <v>123</v>
      </c>
      <c r="J7320" s="20">
        <v>48</v>
      </c>
      <c r="K7320" s="34">
        <v>0</v>
      </c>
      <c r="L7320" s="34">
        <v>2</v>
      </c>
      <c r="M7320" s="19">
        <f>IF(OR(ISBLANK(C7320),C7320=""),"",ROUND((C7320-B7320)*24,2))</f>
        <v>53</v>
      </c>
      <c r="N7320" s="39" t="str">
        <f>IF(OR(ISBLANK(C7320),C7320="",M7320=""),"In Progress",IF(M7320&lt;=J7320,"Met","Breached"))</f>
        <v>Breached</v>
      </c>
    </row>
    <row r="7321" ht="19" customHeight="1" spans="1:14" x14ac:dyDescent="0.25">
      <c r="A7321" s="22" t="s">
        <v>7435</v>
      </c>
      <c r="B7321" s="36">
        <v>45995.84930555556</v>
      </c>
      <c r="C7321" s="36">
        <v>45996.68125</v>
      </c>
      <c r="D7321" s="22" t="s">
        <v>33</v>
      </c>
      <c r="E7321" s="22" t="s">
        <v>61</v>
      </c>
      <c r="F7321" s="22" t="s">
        <v>45</v>
      </c>
      <c r="G7321" s="22" t="s">
        <v>121</v>
      </c>
      <c r="H7321" s="22" t="s">
        <v>59</v>
      </c>
      <c r="I7321" s="22" t="s">
        <v>114</v>
      </c>
      <c r="J7321" s="23">
        <v>12</v>
      </c>
      <c r="K7321" s="37">
        <v>0</v>
      </c>
      <c r="M7321" s="22">
        <f>IF(OR(ISBLANK(C7321),C7321=""),"",ROUND((C7321-B7321)*24,2))</f>
        <v>19.97</v>
      </c>
      <c r="N7321" s="38" t="str">
        <f>IF(OR(ISBLANK(C7321),C7321="",M7321=""),"In Progress",IF(M7321&lt;=J7321,"Met","Breached"))</f>
        <v>Breached</v>
      </c>
    </row>
    <row r="7322" ht="19" customHeight="1" spans="1:14" x14ac:dyDescent="0.25">
      <c r="A7322" s="19" t="s">
        <v>7436</v>
      </c>
      <c r="B7322" s="33">
        <v>45957.695138888885</v>
      </c>
      <c r="C7322" s="33">
        <v>45960.10416666667</v>
      </c>
      <c r="D7322" s="19" t="s">
        <v>36</v>
      </c>
      <c r="E7322" s="19" t="s">
        <v>65</v>
      </c>
      <c r="F7322" s="19" t="s">
        <v>43</v>
      </c>
      <c r="G7322" s="19" t="s">
        <v>113</v>
      </c>
      <c r="H7322" s="19" t="s">
        <v>59</v>
      </c>
      <c r="I7322" s="19" t="s">
        <v>108</v>
      </c>
      <c r="J7322" s="20">
        <v>48</v>
      </c>
      <c r="K7322" s="34">
        <v>0</v>
      </c>
      <c r="L7322" s="34">
        <v>4</v>
      </c>
      <c r="M7322" s="19">
        <f>IF(OR(ISBLANK(C7322),C7322=""),"",ROUND((C7322-B7322)*24,2))</f>
        <v>57.82</v>
      </c>
      <c r="N7322" s="39" t="str">
        <f>IF(OR(ISBLANK(C7322),C7322="",M7322=""),"In Progress",IF(M7322&lt;=J7322,"Met","Breached"))</f>
        <v>Breached</v>
      </c>
    </row>
    <row r="7323" ht="19" customHeight="1" spans="1:14" x14ac:dyDescent="0.25">
      <c r="A7323" s="22" t="s">
        <v>7437</v>
      </c>
      <c r="B7323" s="36">
        <v>45772.24097222222</v>
      </c>
      <c r="C7323" s="36">
        <v>45773.33541666667</v>
      </c>
      <c r="D7323" s="22" t="s">
        <v>33</v>
      </c>
      <c r="E7323" s="22" t="s">
        <v>65</v>
      </c>
      <c r="F7323" s="22" t="s">
        <v>40</v>
      </c>
      <c r="G7323" s="22" t="s">
        <v>113</v>
      </c>
      <c r="H7323" s="22" t="s">
        <v>59</v>
      </c>
      <c r="I7323" s="22" t="s">
        <v>114</v>
      </c>
      <c r="J7323" s="23">
        <v>48</v>
      </c>
      <c r="K7323" s="37">
        <v>0</v>
      </c>
      <c r="L7323" s="37">
        <v>4</v>
      </c>
      <c r="M7323" s="22">
        <f>IF(OR(ISBLANK(C7323),C7323=""),"",ROUND((C7323-B7323)*24,2))</f>
        <v>26.27</v>
      </c>
      <c r="N7323" s="40" t="str">
        <f>IF(OR(ISBLANK(C7323),C7323="",M7323=""),"In Progress",IF(M7323&lt;=J7323,"Met","Breached"))</f>
        <v>Met</v>
      </c>
    </row>
    <row r="7324" ht="19" customHeight="1" spans="1:14" x14ac:dyDescent="0.25">
      <c r="A7324" s="19" t="s">
        <v>7438</v>
      </c>
      <c r="B7324" s="33">
        <v>46194.83888888889</v>
      </c>
      <c r="C7324" s="33">
        <v>46198.5625</v>
      </c>
      <c r="D7324" s="19" t="s">
        <v>33</v>
      </c>
      <c r="E7324" s="19" t="s">
        <v>69</v>
      </c>
      <c r="F7324" s="19" t="s">
        <v>40</v>
      </c>
      <c r="G7324" s="19" t="s">
        <v>121</v>
      </c>
      <c r="H7324" s="19" t="s">
        <v>63</v>
      </c>
      <c r="I7324" s="19" t="s">
        <v>147</v>
      </c>
      <c r="J7324" s="20">
        <v>120</v>
      </c>
      <c r="K7324" s="34">
        <v>0</v>
      </c>
      <c r="L7324" s="34">
        <v>5</v>
      </c>
      <c r="M7324" s="19">
        <f>IF(OR(ISBLANK(C7324),C7324=""),"",ROUND((C7324-B7324)*24,2))</f>
        <v>89.37</v>
      </c>
      <c r="N7324" s="35" t="str">
        <f>IF(OR(ISBLANK(C7324),C7324="",M7324=""),"In Progress",IF(M7324&lt;=J7324,"Met","Breached"))</f>
        <v>Met</v>
      </c>
    </row>
    <row r="7325" ht="19" customHeight="1" spans="1:14" x14ac:dyDescent="0.25">
      <c r="A7325" s="22" t="s">
        <v>7439</v>
      </c>
      <c r="B7325" s="36">
        <v>45666.9125</v>
      </c>
      <c r="D7325" s="22" t="s">
        <v>42</v>
      </c>
      <c r="E7325" s="22" t="s">
        <v>69</v>
      </c>
      <c r="F7325" s="22" t="s">
        <v>37</v>
      </c>
      <c r="G7325" s="22" t="s">
        <v>113</v>
      </c>
      <c r="H7325" s="22" t="s">
        <v>59</v>
      </c>
      <c r="I7325" s="22" t="s">
        <v>147</v>
      </c>
      <c r="J7325" s="23">
        <v>120</v>
      </c>
      <c r="K7325" s="37">
        <v>0</v>
      </c>
      <c r="M7325" s="22" t="str">
        <f>IF(OR(ISBLANK(C7325),C7325=""),"",ROUND((C7325-B7325)*24,2))</f>
        <v/>
      </c>
      <c r="N7325" s="22" t="str">
        <f>IF(OR(ISBLANK(C7325),C7325="",M7325=""),"In Progress",IF(M7325&lt;=J7325,"Met","Breached"))</f>
        <v>In Progress</v>
      </c>
    </row>
    <row r="7326" ht="19" customHeight="1" spans="1:14" x14ac:dyDescent="0.25">
      <c r="A7326" s="19" t="s">
        <v>7440</v>
      </c>
      <c r="B7326" s="33">
        <v>45965.94791666667</v>
      </c>
      <c r="C7326" s="33">
        <v>45971.36944444444</v>
      </c>
      <c r="D7326" s="19" t="s">
        <v>33</v>
      </c>
      <c r="E7326" s="19" t="s">
        <v>69</v>
      </c>
      <c r="F7326" s="19" t="s">
        <v>43</v>
      </c>
      <c r="G7326" s="19" t="s">
        <v>63</v>
      </c>
      <c r="H7326" s="19" t="s">
        <v>67</v>
      </c>
      <c r="I7326" s="19" t="s">
        <v>147</v>
      </c>
      <c r="J7326" s="20">
        <v>120</v>
      </c>
      <c r="K7326" s="34">
        <v>0</v>
      </c>
      <c r="L7326" s="34">
        <v>4</v>
      </c>
      <c r="M7326" s="19">
        <f>IF(OR(ISBLANK(C7326),C7326=""),"",ROUND((C7326-B7326)*24,2))</f>
        <v>130.12</v>
      </c>
      <c r="N7326" s="39" t="str">
        <f>IF(OR(ISBLANK(C7326),C7326="",M7326=""),"In Progress",IF(M7326&lt;=J7326,"Met","Breached"))</f>
        <v>Breached</v>
      </c>
    </row>
    <row r="7327" ht="19" customHeight="1" spans="1:14" x14ac:dyDescent="0.25">
      <c r="A7327" s="22" t="s">
        <v>7441</v>
      </c>
      <c r="B7327" s="36">
        <v>46143.228472222225</v>
      </c>
      <c r="C7327" s="36">
        <v>46143.61597222222</v>
      </c>
      <c r="D7327" s="22" t="s">
        <v>33</v>
      </c>
      <c r="E7327" s="22" t="s">
        <v>61</v>
      </c>
      <c r="F7327" s="22" t="s">
        <v>40</v>
      </c>
      <c r="G7327" s="22" t="s">
        <v>110</v>
      </c>
      <c r="H7327" s="22" t="s">
        <v>63</v>
      </c>
      <c r="I7327" s="22" t="s">
        <v>108</v>
      </c>
      <c r="J7327" s="23">
        <v>12</v>
      </c>
      <c r="K7327" s="37">
        <v>0</v>
      </c>
      <c r="M7327" s="22">
        <f>IF(OR(ISBLANK(C7327),C7327=""),"",ROUND((C7327-B7327)*24,2))</f>
        <v>9.3</v>
      </c>
      <c r="N7327" s="40" t="str">
        <f>IF(OR(ISBLANK(C7327),C7327="",M7327=""),"In Progress",IF(M7327&lt;=J7327,"Met","Breached"))</f>
        <v>Met</v>
      </c>
    </row>
    <row r="7328" ht="19" customHeight="1" spans="1:14" x14ac:dyDescent="0.25">
      <c r="A7328" s="19" t="s">
        <v>7442</v>
      </c>
      <c r="B7328" s="33">
        <v>46003.04583333334</v>
      </c>
      <c r="C7328" s="33">
        <v>46003.62430555555</v>
      </c>
      <c r="D7328" s="19" t="s">
        <v>33</v>
      </c>
      <c r="E7328" s="19" t="s">
        <v>61</v>
      </c>
      <c r="F7328" s="19" t="s">
        <v>40</v>
      </c>
      <c r="G7328" s="19" t="s">
        <v>63</v>
      </c>
      <c r="H7328" s="19" t="s">
        <v>67</v>
      </c>
      <c r="I7328" s="19" t="s">
        <v>117</v>
      </c>
      <c r="J7328" s="20">
        <v>12</v>
      </c>
      <c r="K7328" s="34">
        <v>0</v>
      </c>
      <c r="L7328" s="34">
        <v>5</v>
      </c>
      <c r="M7328" s="19">
        <f>IF(OR(ISBLANK(C7328),C7328=""),"",ROUND((C7328-B7328)*24,2))</f>
        <v>13.88</v>
      </c>
      <c r="N7328" s="39" t="str">
        <f>IF(OR(ISBLANK(C7328),C7328="",M7328=""),"In Progress",IF(M7328&lt;=J7328,"Met","Breached"))</f>
        <v>Breached</v>
      </c>
    </row>
    <row r="7329" ht="19" customHeight="1" spans="1:14" x14ac:dyDescent="0.25">
      <c r="A7329" s="22" t="s">
        <v>7443</v>
      </c>
      <c r="B7329" s="36">
        <v>46242.91111111111</v>
      </c>
      <c r="C7329" s="36">
        <v>46243.62361111111</v>
      </c>
      <c r="D7329" s="22" t="s">
        <v>33</v>
      </c>
      <c r="E7329" s="22" t="s">
        <v>65</v>
      </c>
      <c r="F7329" s="22" t="s">
        <v>37</v>
      </c>
      <c r="G7329" s="22" t="s">
        <v>121</v>
      </c>
      <c r="H7329" s="22" t="s">
        <v>59</v>
      </c>
      <c r="I7329" s="22" t="s">
        <v>123</v>
      </c>
      <c r="J7329" s="23">
        <v>48</v>
      </c>
      <c r="K7329" s="37">
        <v>0</v>
      </c>
      <c r="L7329" s="37">
        <v>1</v>
      </c>
      <c r="M7329" s="22">
        <f>IF(OR(ISBLANK(C7329),C7329=""),"",ROUND((C7329-B7329)*24,2))</f>
        <v>17.1</v>
      </c>
      <c r="N7329" s="40" t="str">
        <f>IF(OR(ISBLANK(C7329),C7329="",M7329=""),"In Progress",IF(M7329&lt;=J7329,"Met","Breached"))</f>
        <v>Met</v>
      </c>
    </row>
    <row r="7330" ht="19" customHeight="1" spans="1:14" x14ac:dyDescent="0.25">
      <c r="A7330" s="19" t="s">
        <v>7444</v>
      </c>
      <c r="B7330" s="33">
        <v>45847.23472222222</v>
      </c>
      <c r="C7330" s="33">
        <v>45850.430555555555</v>
      </c>
      <c r="D7330" s="19" t="s">
        <v>36</v>
      </c>
      <c r="E7330" s="19" t="s">
        <v>65</v>
      </c>
      <c r="F7330" s="19" t="s">
        <v>40</v>
      </c>
      <c r="G7330" s="19" t="s">
        <v>121</v>
      </c>
      <c r="H7330" s="19" t="s">
        <v>63</v>
      </c>
      <c r="I7330" s="19" t="s">
        <v>111</v>
      </c>
      <c r="J7330" s="20">
        <v>48</v>
      </c>
      <c r="K7330" s="34">
        <v>0</v>
      </c>
      <c r="L7330" s="34">
        <v>1</v>
      </c>
      <c r="M7330" s="19">
        <f>IF(OR(ISBLANK(C7330),C7330=""),"",ROUND((C7330-B7330)*24,2))</f>
        <v>76.7</v>
      </c>
      <c r="N7330" s="39" t="str">
        <f>IF(OR(ISBLANK(C7330),C7330="",M7330=""),"In Progress",IF(M7330&lt;=J7330,"Met","Breached"))</f>
        <v>Breached</v>
      </c>
    </row>
    <row r="7331" ht="19" customHeight="1" spans="1:14" x14ac:dyDescent="0.25">
      <c r="A7331" s="22" t="s">
        <v>7445</v>
      </c>
      <c r="B7331" s="36">
        <v>45976.61458333333</v>
      </c>
      <c r="C7331" s="36">
        <v>45979.54652777778</v>
      </c>
      <c r="D7331" s="22" t="s">
        <v>33</v>
      </c>
      <c r="E7331" s="22" t="s">
        <v>65</v>
      </c>
      <c r="F7331" s="22" t="s">
        <v>40</v>
      </c>
      <c r="G7331" s="22" t="s">
        <v>113</v>
      </c>
      <c r="H7331" s="22" t="s">
        <v>71</v>
      </c>
      <c r="I7331" s="22" t="s">
        <v>111</v>
      </c>
      <c r="J7331" s="23">
        <v>48</v>
      </c>
      <c r="K7331" s="37">
        <v>1</v>
      </c>
      <c r="L7331" s="37">
        <v>5</v>
      </c>
      <c r="M7331" s="22">
        <f>IF(OR(ISBLANK(C7331),C7331=""),"",ROUND((C7331-B7331)*24,2))</f>
        <v>70.37</v>
      </c>
      <c r="N7331" s="38" t="str">
        <f>IF(OR(ISBLANK(C7331),C7331="",M7331=""),"In Progress",IF(M7331&lt;=J7331,"Met","Breached"))</f>
        <v>Breached</v>
      </c>
    </row>
    <row r="7332" ht="19" customHeight="1" spans="1:14" x14ac:dyDescent="0.25">
      <c r="A7332" s="19" t="s">
        <v>7446</v>
      </c>
      <c r="B7332" s="33">
        <v>46096.49375</v>
      </c>
      <c r="C7332" s="33">
        <v>46103.74652777778</v>
      </c>
      <c r="D7332" s="19" t="s">
        <v>36</v>
      </c>
      <c r="E7332" s="19" t="s">
        <v>69</v>
      </c>
      <c r="F7332" s="19" t="s">
        <v>34</v>
      </c>
      <c r="G7332" s="19" t="s">
        <v>63</v>
      </c>
      <c r="H7332" s="19" t="s">
        <v>59</v>
      </c>
      <c r="I7332" s="19" t="s">
        <v>147</v>
      </c>
      <c r="J7332" s="20">
        <v>120</v>
      </c>
      <c r="K7332" s="34">
        <v>0</v>
      </c>
      <c r="L7332" s="34">
        <v>3</v>
      </c>
      <c r="M7332" s="19">
        <f>IF(OR(ISBLANK(C7332),C7332=""),"",ROUND((C7332-B7332)*24,2))</f>
        <v>174.07</v>
      </c>
      <c r="N7332" s="39" t="str">
        <f>IF(OR(ISBLANK(C7332),C7332="",M7332=""),"In Progress",IF(M7332&lt;=J7332,"Met","Breached"))</f>
        <v>Breached</v>
      </c>
    </row>
    <row r="7333" ht="19" customHeight="1" spans="1:14" x14ac:dyDescent="0.25">
      <c r="A7333" s="22" t="s">
        <v>7447</v>
      </c>
      <c r="B7333" s="36">
        <v>45753.92222222222</v>
      </c>
      <c r="D7333" s="22" t="s">
        <v>39</v>
      </c>
      <c r="E7333" s="22" t="s">
        <v>69</v>
      </c>
      <c r="F7333" s="22" t="s">
        <v>45</v>
      </c>
      <c r="G7333" s="22" t="s">
        <v>113</v>
      </c>
      <c r="H7333" s="22" t="s">
        <v>59</v>
      </c>
      <c r="I7333" s="22" t="s">
        <v>114</v>
      </c>
      <c r="J7333" s="23">
        <v>120</v>
      </c>
      <c r="K7333" s="37">
        <v>0</v>
      </c>
      <c r="M7333" s="22" t="str">
        <f>IF(OR(ISBLANK(C7333),C7333=""),"",ROUND((C7333-B7333)*24,2))</f>
        <v/>
      </c>
      <c r="N7333" s="22" t="str">
        <f>IF(OR(ISBLANK(C7333),C7333="",M7333=""),"In Progress",IF(M7333&lt;=J7333,"Met","Breached"))</f>
        <v>In Progress</v>
      </c>
    </row>
    <row r="7334" ht="19" customHeight="1" spans="1:14" x14ac:dyDescent="0.25">
      <c r="A7334" s="19" t="s">
        <v>7448</v>
      </c>
      <c r="B7334" s="33">
        <v>46279.79652777778</v>
      </c>
      <c r="C7334" s="33">
        <v>46282.69236111111</v>
      </c>
      <c r="D7334" s="19" t="s">
        <v>33</v>
      </c>
      <c r="E7334" s="19" t="s">
        <v>69</v>
      </c>
      <c r="F7334" s="19" t="s">
        <v>43</v>
      </c>
      <c r="G7334" s="19" t="s">
        <v>63</v>
      </c>
      <c r="H7334" s="19" t="s">
        <v>59</v>
      </c>
      <c r="I7334" s="19" t="s">
        <v>117</v>
      </c>
      <c r="J7334" s="20">
        <v>120</v>
      </c>
      <c r="K7334" s="34">
        <v>0</v>
      </c>
      <c r="M7334" s="19">
        <f>IF(OR(ISBLANK(C7334),C7334=""),"",ROUND((C7334-B7334)*24,2))</f>
        <v>69.5</v>
      </c>
      <c r="N7334" s="35" t="str">
        <f>IF(OR(ISBLANK(C7334),C7334="",M7334=""),"In Progress",IF(M7334&lt;=J7334,"Met","Breached"))</f>
        <v>Met</v>
      </c>
    </row>
    <row r="7335" ht="19" customHeight="1" spans="1:14" x14ac:dyDescent="0.25">
      <c r="A7335" s="22" t="s">
        <v>7449</v>
      </c>
      <c r="B7335" s="36">
        <v>46250.79305555555</v>
      </c>
      <c r="C7335" s="36">
        <v>46252.32430555555</v>
      </c>
      <c r="D7335" s="22" t="s">
        <v>33</v>
      </c>
      <c r="E7335" s="22" t="s">
        <v>65</v>
      </c>
      <c r="F7335" s="22" t="s">
        <v>45</v>
      </c>
      <c r="G7335" s="22" t="s">
        <v>116</v>
      </c>
      <c r="H7335" s="22" t="s">
        <v>67</v>
      </c>
      <c r="I7335" s="22" t="s">
        <v>114</v>
      </c>
      <c r="J7335" s="23">
        <v>48</v>
      </c>
      <c r="K7335" s="37">
        <v>0</v>
      </c>
      <c r="M7335" s="22">
        <f>IF(OR(ISBLANK(C7335),C7335=""),"",ROUND((C7335-B7335)*24,2))</f>
        <v>36.75</v>
      </c>
      <c r="N7335" s="40" t="str">
        <f>IF(OR(ISBLANK(C7335),C7335="",M7335=""),"In Progress",IF(M7335&lt;=J7335,"Met","Breached"))</f>
        <v>Met</v>
      </c>
    </row>
    <row r="7336" ht="19" customHeight="1" spans="1:14" x14ac:dyDescent="0.25">
      <c r="A7336" s="19" t="s">
        <v>7450</v>
      </c>
      <c r="B7336" s="33">
        <v>46235.20138888889</v>
      </c>
      <c r="C7336" s="33">
        <v>46236.24722222222</v>
      </c>
      <c r="D7336" s="19" t="s">
        <v>33</v>
      </c>
      <c r="E7336" s="19" t="s">
        <v>65</v>
      </c>
      <c r="F7336" s="19" t="s">
        <v>45</v>
      </c>
      <c r="G7336" s="19" t="s">
        <v>113</v>
      </c>
      <c r="H7336" s="19" t="s">
        <v>67</v>
      </c>
      <c r="I7336" s="19" t="s">
        <v>114</v>
      </c>
      <c r="J7336" s="20">
        <v>48</v>
      </c>
      <c r="K7336" s="34">
        <v>0</v>
      </c>
      <c r="L7336" s="34">
        <v>2</v>
      </c>
      <c r="M7336" s="19">
        <f>IF(OR(ISBLANK(C7336),C7336=""),"",ROUND((C7336-B7336)*24,2))</f>
        <v>25.1</v>
      </c>
      <c r="N7336" s="35" t="str">
        <f>IF(OR(ISBLANK(C7336),C7336="",M7336=""),"In Progress",IF(M7336&lt;=J7336,"Met","Breached"))</f>
        <v>Met</v>
      </c>
    </row>
    <row r="7337" ht="19" customHeight="1" spans="1:14" x14ac:dyDescent="0.25">
      <c r="A7337" s="22" t="s">
        <v>7451</v>
      </c>
      <c r="B7337" s="36">
        <v>46262.76597222222</v>
      </c>
      <c r="C7337" s="36">
        <v>46264.40138888889</v>
      </c>
      <c r="D7337" s="22" t="s">
        <v>36</v>
      </c>
      <c r="E7337" s="22" t="s">
        <v>65</v>
      </c>
      <c r="F7337" s="22" t="s">
        <v>40</v>
      </c>
      <c r="G7337" s="22" t="s">
        <v>63</v>
      </c>
      <c r="H7337" s="22" t="s">
        <v>59</v>
      </c>
      <c r="I7337" s="22" t="s">
        <v>108</v>
      </c>
      <c r="J7337" s="23">
        <v>48</v>
      </c>
      <c r="K7337" s="37">
        <v>0</v>
      </c>
      <c r="L7337" s="37">
        <v>5</v>
      </c>
      <c r="M7337" s="22">
        <f>IF(OR(ISBLANK(C7337),C7337=""),"",ROUND((C7337-B7337)*24,2))</f>
        <v>39.25</v>
      </c>
      <c r="N7337" s="40" t="str">
        <f>IF(OR(ISBLANK(C7337),C7337="",M7337=""),"In Progress",IF(M7337&lt;=J7337,"Met","Breached"))</f>
        <v>Met</v>
      </c>
    </row>
    <row r="7338" ht="19" customHeight="1" spans="1:14" x14ac:dyDescent="0.25">
      <c r="A7338" s="19" t="s">
        <v>7452</v>
      </c>
      <c r="B7338" s="33">
        <v>46223.74930555555</v>
      </c>
      <c r="C7338" s="33">
        <v>46227.02847222222</v>
      </c>
      <c r="D7338" s="19" t="s">
        <v>33</v>
      </c>
      <c r="E7338" s="19" t="s">
        <v>65</v>
      </c>
      <c r="F7338" s="19" t="s">
        <v>34</v>
      </c>
      <c r="G7338" s="19" t="s">
        <v>63</v>
      </c>
      <c r="H7338" s="19" t="s">
        <v>71</v>
      </c>
      <c r="I7338" s="19" t="s">
        <v>117</v>
      </c>
      <c r="J7338" s="20">
        <v>48</v>
      </c>
      <c r="K7338" s="34">
        <v>0</v>
      </c>
      <c r="L7338" s="34">
        <v>2</v>
      </c>
      <c r="M7338" s="19">
        <f>IF(OR(ISBLANK(C7338),C7338=""),"",ROUND((C7338-B7338)*24,2))</f>
        <v>78.7</v>
      </c>
      <c r="N7338" s="39" t="str">
        <f>IF(OR(ISBLANK(C7338),C7338="",M7338=""),"In Progress",IF(M7338&lt;=J7338,"Met","Breached"))</f>
        <v>Breached</v>
      </c>
    </row>
    <row r="7339" ht="19" customHeight="1" spans="1:14" x14ac:dyDescent="0.25">
      <c r="A7339" s="22" t="s">
        <v>7453</v>
      </c>
      <c r="B7339" s="36">
        <v>45697.839583333334</v>
      </c>
      <c r="C7339" s="36">
        <v>45701.23055555555</v>
      </c>
      <c r="D7339" s="22" t="s">
        <v>36</v>
      </c>
      <c r="E7339" s="22" t="s">
        <v>65</v>
      </c>
      <c r="F7339" s="22" t="s">
        <v>37</v>
      </c>
      <c r="G7339" s="22" t="s">
        <v>110</v>
      </c>
      <c r="H7339" s="22" t="s">
        <v>71</v>
      </c>
      <c r="I7339" s="22" t="s">
        <v>111</v>
      </c>
      <c r="J7339" s="23">
        <v>48</v>
      </c>
      <c r="K7339" s="37">
        <v>0</v>
      </c>
      <c r="L7339" s="37">
        <v>1</v>
      </c>
      <c r="M7339" s="22">
        <f>IF(OR(ISBLANK(C7339),C7339=""),"",ROUND((C7339-B7339)*24,2))</f>
        <v>81.38</v>
      </c>
      <c r="N7339" s="38" t="str">
        <f>IF(OR(ISBLANK(C7339),C7339="",M7339=""),"In Progress",IF(M7339&lt;=J7339,"Met","Breached"))</f>
        <v>Breached</v>
      </c>
    </row>
    <row r="7340" ht="19" customHeight="1" spans="1:14" x14ac:dyDescent="0.25">
      <c r="A7340" s="19" t="s">
        <v>7454</v>
      </c>
      <c r="B7340" s="33">
        <v>46267.070138888885</v>
      </c>
      <c r="C7340" s="33">
        <v>46268.361805555556</v>
      </c>
      <c r="D7340" s="19" t="s">
        <v>36</v>
      </c>
      <c r="E7340" s="19" t="s">
        <v>65</v>
      </c>
      <c r="F7340" s="19" t="s">
        <v>37</v>
      </c>
      <c r="G7340" s="19" t="s">
        <v>63</v>
      </c>
      <c r="H7340" s="19" t="s">
        <v>67</v>
      </c>
      <c r="I7340" s="19" t="s">
        <v>114</v>
      </c>
      <c r="J7340" s="20">
        <v>48</v>
      </c>
      <c r="K7340" s="34">
        <v>0</v>
      </c>
      <c r="L7340" s="34">
        <v>3</v>
      </c>
      <c r="M7340" s="19">
        <f>IF(OR(ISBLANK(C7340),C7340=""),"",ROUND((C7340-B7340)*24,2))</f>
        <v>31</v>
      </c>
      <c r="N7340" s="35" t="str">
        <f>IF(OR(ISBLANK(C7340),C7340="",M7340=""),"In Progress",IF(M7340&lt;=J7340,"Met","Breached"))</f>
        <v>Met</v>
      </c>
    </row>
    <row r="7341" ht="19" customHeight="1" spans="1:14" x14ac:dyDescent="0.25">
      <c r="A7341" s="22" t="s">
        <v>7455</v>
      </c>
      <c r="B7341" s="36">
        <v>46187.25069444445</v>
      </c>
      <c r="C7341" s="36">
        <v>46188.98055555555</v>
      </c>
      <c r="D7341" s="22" t="s">
        <v>36</v>
      </c>
      <c r="E7341" s="22" t="s">
        <v>65</v>
      </c>
      <c r="F7341" s="22" t="s">
        <v>34</v>
      </c>
      <c r="G7341" s="22" t="s">
        <v>63</v>
      </c>
      <c r="H7341" s="22" t="s">
        <v>63</v>
      </c>
      <c r="I7341" s="22" t="s">
        <v>114</v>
      </c>
      <c r="J7341" s="23">
        <v>48</v>
      </c>
      <c r="K7341" s="37">
        <v>1</v>
      </c>
      <c r="L7341" s="37">
        <v>2</v>
      </c>
      <c r="M7341" s="22">
        <f>IF(OR(ISBLANK(C7341),C7341=""),"",ROUND((C7341-B7341)*24,2))</f>
        <v>41.52</v>
      </c>
      <c r="N7341" s="40" t="str">
        <f>IF(OR(ISBLANK(C7341),C7341="",M7341=""),"In Progress",IF(M7341&lt;=J7341,"Met","Breached"))</f>
        <v>Met</v>
      </c>
    </row>
    <row r="7342" ht="19" customHeight="1" spans="1:14" x14ac:dyDescent="0.25">
      <c r="A7342" s="19" t="s">
        <v>7456</v>
      </c>
      <c r="B7342" s="33">
        <v>45876.0125</v>
      </c>
      <c r="C7342" s="33">
        <v>45879.02013888889</v>
      </c>
      <c r="D7342" s="19" t="s">
        <v>33</v>
      </c>
      <c r="E7342" s="19" t="s">
        <v>65</v>
      </c>
      <c r="F7342" s="19" t="s">
        <v>45</v>
      </c>
      <c r="G7342" s="19" t="s">
        <v>116</v>
      </c>
      <c r="H7342" s="19" t="s">
        <v>59</v>
      </c>
      <c r="I7342" s="19" t="s">
        <v>123</v>
      </c>
      <c r="J7342" s="20">
        <v>48</v>
      </c>
      <c r="K7342" s="34">
        <v>0</v>
      </c>
      <c r="L7342" s="34">
        <v>2</v>
      </c>
      <c r="M7342" s="19">
        <f>IF(OR(ISBLANK(C7342),C7342=""),"",ROUND((C7342-B7342)*24,2))</f>
        <v>72.18</v>
      </c>
      <c r="N7342" s="39" t="str">
        <f>IF(OR(ISBLANK(C7342),C7342="",M7342=""),"In Progress",IF(M7342&lt;=J7342,"Met","Breached"))</f>
        <v>Breached</v>
      </c>
    </row>
    <row r="7343" ht="19" customHeight="1" spans="1:14" x14ac:dyDescent="0.25">
      <c r="A7343" s="22" t="s">
        <v>7457</v>
      </c>
      <c r="B7343" s="36">
        <v>46264.19097222222</v>
      </c>
      <c r="C7343" s="36">
        <v>46264.59513888889</v>
      </c>
      <c r="D7343" s="22" t="s">
        <v>36</v>
      </c>
      <c r="E7343" s="22" t="s">
        <v>61</v>
      </c>
      <c r="F7343" s="22" t="s">
        <v>45</v>
      </c>
      <c r="G7343" s="22" t="s">
        <v>126</v>
      </c>
      <c r="H7343" s="22" t="s">
        <v>59</v>
      </c>
      <c r="I7343" s="22" t="s">
        <v>111</v>
      </c>
      <c r="J7343" s="23">
        <v>12</v>
      </c>
      <c r="K7343" s="37">
        <v>0</v>
      </c>
      <c r="L7343" s="37">
        <v>2</v>
      </c>
      <c r="M7343" s="22">
        <f>IF(OR(ISBLANK(C7343),C7343=""),"",ROUND((C7343-B7343)*24,2))</f>
        <v>9.7</v>
      </c>
      <c r="N7343" s="40" t="str">
        <f>IF(OR(ISBLANK(C7343),C7343="",M7343=""),"In Progress",IF(M7343&lt;=J7343,"Met","Breached"))</f>
        <v>Met</v>
      </c>
    </row>
    <row r="7344" ht="19" customHeight="1" spans="1:14" x14ac:dyDescent="0.25">
      <c r="A7344" s="19" t="s">
        <v>7458</v>
      </c>
      <c r="B7344" s="33">
        <v>46018.90902777778</v>
      </c>
      <c r="C7344" s="33">
        <v>46022.024305555555</v>
      </c>
      <c r="D7344" s="19" t="s">
        <v>33</v>
      </c>
      <c r="E7344" s="19" t="s">
        <v>65</v>
      </c>
      <c r="F7344" s="19" t="s">
        <v>45</v>
      </c>
      <c r="G7344" s="19" t="s">
        <v>116</v>
      </c>
      <c r="H7344" s="19" t="s">
        <v>63</v>
      </c>
      <c r="I7344" s="19" t="s">
        <v>111</v>
      </c>
      <c r="J7344" s="20">
        <v>48</v>
      </c>
      <c r="K7344" s="34">
        <v>0</v>
      </c>
      <c r="L7344" s="34">
        <v>3</v>
      </c>
      <c r="M7344" s="19">
        <f>IF(OR(ISBLANK(C7344),C7344=""),"",ROUND((C7344-B7344)*24,2))</f>
        <v>74.77</v>
      </c>
      <c r="N7344" s="39" t="str">
        <f>IF(OR(ISBLANK(C7344),C7344="",M7344=""),"In Progress",IF(M7344&lt;=J7344,"Met","Breached"))</f>
        <v>Breached</v>
      </c>
    </row>
    <row r="7345" ht="19" customHeight="1" spans="1:14" x14ac:dyDescent="0.25">
      <c r="A7345" s="22" t="s">
        <v>7459</v>
      </c>
      <c r="B7345" s="36">
        <v>46005.455555555556</v>
      </c>
      <c r="D7345" s="22" t="s">
        <v>42</v>
      </c>
      <c r="E7345" s="22" t="s">
        <v>61</v>
      </c>
      <c r="F7345" s="22" t="s">
        <v>43</v>
      </c>
      <c r="G7345" s="22" t="s">
        <v>113</v>
      </c>
      <c r="H7345" s="22" t="s">
        <v>59</v>
      </c>
      <c r="I7345" s="22" t="s">
        <v>111</v>
      </c>
      <c r="J7345" s="23">
        <v>12</v>
      </c>
      <c r="K7345" s="37">
        <v>0</v>
      </c>
      <c r="M7345" s="22" t="str">
        <f>IF(OR(ISBLANK(C7345),C7345=""),"",ROUND((C7345-B7345)*24,2))</f>
        <v/>
      </c>
      <c r="N7345" s="22" t="str">
        <f>IF(OR(ISBLANK(C7345),C7345="",M7345=""),"In Progress",IF(M7345&lt;=J7345,"Met","Breached"))</f>
        <v>In Progress</v>
      </c>
    </row>
    <row r="7346" ht="19" customHeight="1" spans="1:14" x14ac:dyDescent="0.25">
      <c r="A7346" s="19" t="s">
        <v>7460</v>
      </c>
      <c r="B7346" s="33">
        <v>45885.6375</v>
      </c>
      <c r="C7346" s="33">
        <v>45893.35208333333</v>
      </c>
      <c r="D7346" s="19" t="s">
        <v>36</v>
      </c>
      <c r="E7346" s="19" t="s">
        <v>69</v>
      </c>
      <c r="F7346" s="19" t="s">
        <v>37</v>
      </c>
      <c r="G7346" s="19" t="s">
        <v>63</v>
      </c>
      <c r="H7346" s="19" t="s">
        <v>67</v>
      </c>
      <c r="I7346" s="19" t="s">
        <v>117</v>
      </c>
      <c r="J7346" s="20">
        <v>120</v>
      </c>
      <c r="K7346" s="34">
        <v>0</v>
      </c>
      <c r="L7346" s="34">
        <v>2</v>
      </c>
      <c r="M7346" s="19">
        <f>IF(OR(ISBLANK(C7346),C7346=""),"",ROUND((C7346-B7346)*24,2))</f>
        <v>185.15</v>
      </c>
      <c r="N7346" s="39" t="str">
        <f>IF(OR(ISBLANK(C7346),C7346="",M7346=""),"In Progress",IF(M7346&lt;=J7346,"Met","Breached"))</f>
        <v>Breached</v>
      </c>
    </row>
    <row r="7347" ht="19" customHeight="1" spans="1:14" x14ac:dyDescent="0.25">
      <c r="A7347" s="22" t="s">
        <v>7461</v>
      </c>
      <c r="B7347" s="36">
        <v>45824.31041666667</v>
      </c>
      <c r="C7347" s="36">
        <v>45826.584027777775</v>
      </c>
      <c r="D7347" s="22" t="s">
        <v>33</v>
      </c>
      <c r="E7347" s="22" t="s">
        <v>69</v>
      </c>
      <c r="F7347" s="22" t="s">
        <v>37</v>
      </c>
      <c r="G7347" s="22" t="s">
        <v>121</v>
      </c>
      <c r="H7347" s="22" t="s">
        <v>59</v>
      </c>
      <c r="I7347" s="22" t="s">
        <v>111</v>
      </c>
      <c r="J7347" s="23">
        <v>120</v>
      </c>
      <c r="K7347" s="37">
        <v>0</v>
      </c>
      <c r="L7347" s="37">
        <v>5</v>
      </c>
      <c r="M7347" s="22">
        <f>IF(OR(ISBLANK(C7347),C7347=""),"",ROUND((C7347-B7347)*24,2))</f>
        <v>54.57</v>
      </c>
      <c r="N7347" s="40" t="str">
        <f>IF(OR(ISBLANK(C7347),C7347="",M7347=""),"In Progress",IF(M7347&lt;=J7347,"Met","Breached"))</f>
        <v>Met</v>
      </c>
    </row>
    <row r="7348" ht="19" customHeight="1" spans="1:14" x14ac:dyDescent="0.25">
      <c r="A7348" s="19" t="s">
        <v>7462</v>
      </c>
      <c r="B7348" s="33">
        <v>46157.32708333334</v>
      </c>
      <c r="C7348" s="33">
        <v>46159.97152777778</v>
      </c>
      <c r="D7348" s="19" t="s">
        <v>33</v>
      </c>
      <c r="E7348" s="19" t="s">
        <v>65</v>
      </c>
      <c r="F7348" s="19" t="s">
        <v>43</v>
      </c>
      <c r="G7348" s="19" t="s">
        <v>110</v>
      </c>
      <c r="H7348" s="19" t="s">
        <v>63</v>
      </c>
      <c r="I7348" s="19" t="s">
        <v>123</v>
      </c>
      <c r="J7348" s="20">
        <v>48</v>
      </c>
      <c r="K7348" s="34">
        <v>0</v>
      </c>
      <c r="L7348" s="34">
        <v>1</v>
      </c>
      <c r="M7348" s="19">
        <f>IF(OR(ISBLANK(C7348),C7348=""),"",ROUND((C7348-B7348)*24,2))</f>
        <v>63.47</v>
      </c>
      <c r="N7348" s="39" t="str">
        <f>IF(OR(ISBLANK(C7348),C7348="",M7348=""),"In Progress",IF(M7348&lt;=J7348,"Met","Breached"))</f>
        <v>Breached</v>
      </c>
    </row>
    <row r="7349" ht="19" customHeight="1" spans="1:14" x14ac:dyDescent="0.25">
      <c r="A7349" s="22" t="s">
        <v>7463</v>
      </c>
      <c r="B7349" s="36">
        <v>45727.4625</v>
      </c>
      <c r="C7349" s="36">
        <v>45729.40625</v>
      </c>
      <c r="D7349" s="22" t="s">
        <v>33</v>
      </c>
      <c r="E7349" s="22" t="s">
        <v>65</v>
      </c>
      <c r="F7349" s="22" t="s">
        <v>40</v>
      </c>
      <c r="G7349" s="22" t="s">
        <v>126</v>
      </c>
      <c r="H7349" s="22" t="s">
        <v>59</v>
      </c>
      <c r="I7349" s="22" t="s">
        <v>123</v>
      </c>
      <c r="J7349" s="23">
        <v>48</v>
      </c>
      <c r="K7349" s="37">
        <v>1</v>
      </c>
      <c r="L7349" s="37">
        <v>4</v>
      </c>
      <c r="M7349" s="22">
        <f>IF(OR(ISBLANK(C7349),C7349=""),"",ROUND((C7349-B7349)*24,2))</f>
        <v>46.65</v>
      </c>
      <c r="N7349" s="40" t="str">
        <f>IF(OR(ISBLANK(C7349),C7349="",M7349=""),"In Progress",IF(M7349&lt;=J7349,"Met","Breached"))</f>
        <v>Met</v>
      </c>
    </row>
    <row r="7350" ht="19" customHeight="1" spans="1:14" x14ac:dyDescent="0.25">
      <c r="A7350" s="19" t="s">
        <v>7464</v>
      </c>
      <c r="B7350" s="33">
        <v>46119.69930555555</v>
      </c>
      <c r="C7350" s="33">
        <v>46125.56875</v>
      </c>
      <c r="D7350" s="19" t="s">
        <v>33</v>
      </c>
      <c r="E7350" s="19" t="s">
        <v>69</v>
      </c>
      <c r="F7350" s="19" t="s">
        <v>45</v>
      </c>
      <c r="G7350" s="19" t="s">
        <v>110</v>
      </c>
      <c r="H7350" s="19" t="s">
        <v>71</v>
      </c>
      <c r="I7350" s="19" t="s">
        <v>111</v>
      </c>
      <c r="J7350" s="20">
        <v>120</v>
      </c>
      <c r="K7350" s="34">
        <v>0</v>
      </c>
      <c r="L7350" s="34">
        <v>5</v>
      </c>
      <c r="M7350" s="19">
        <f>IF(OR(ISBLANK(C7350),C7350=""),"",ROUND((C7350-B7350)*24,2))</f>
        <v>140.87</v>
      </c>
      <c r="N7350" s="39" t="str">
        <f>IF(OR(ISBLANK(C7350),C7350="",M7350=""),"In Progress",IF(M7350&lt;=J7350,"Met","Breached"))</f>
        <v>Breached</v>
      </c>
    </row>
    <row r="7351" ht="19" customHeight="1" spans="1:14" x14ac:dyDescent="0.25">
      <c r="A7351" s="22" t="s">
        <v>7465</v>
      </c>
      <c r="B7351" s="36">
        <v>46036.64583333333</v>
      </c>
      <c r="D7351" s="22" t="s">
        <v>39</v>
      </c>
      <c r="E7351" s="22" t="s">
        <v>65</v>
      </c>
      <c r="F7351" s="22" t="s">
        <v>45</v>
      </c>
      <c r="G7351" s="22" t="s">
        <v>113</v>
      </c>
      <c r="H7351" s="22" t="s">
        <v>59</v>
      </c>
      <c r="I7351" s="22" t="s">
        <v>117</v>
      </c>
      <c r="J7351" s="23">
        <v>48</v>
      </c>
      <c r="K7351" s="37">
        <v>0</v>
      </c>
      <c r="M7351" s="22" t="str">
        <f>IF(OR(ISBLANK(C7351),C7351=""),"",ROUND((C7351-B7351)*24,2))</f>
        <v/>
      </c>
      <c r="N7351" s="22" t="str">
        <f>IF(OR(ISBLANK(C7351),C7351="",M7351=""),"In Progress",IF(M7351&lt;=J7351,"Met","Breached"))</f>
        <v>In Progress</v>
      </c>
    </row>
    <row r="7352" ht="19" customHeight="1" spans="1:14" x14ac:dyDescent="0.25">
      <c r="A7352" s="19" t="s">
        <v>7466</v>
      </c>
      <c r="B7352" s="33">
        <v>46251.50833333333</v>
      </c>
      <c r="C7352" s="33">
        <v>46254.353472222225</v>
      </c>
      <c r="D7352" s="19" t="s">
        <v>33</v>
      </c>
      <c r="E7352" s="19" t="s">
        <v>65</v>
      </c>
      <c r="F7352" s="19" t="s">
        <v>34</v>
      </c>
      <c r="G7352" s="19" t="s">
        <v>116</v>
      </c>
      <c r="H7352" s="19" t="s">
        <v>71</v>
      </c>
      <c r="I7352" s="19" t="s">
        <v>123</v>
      </c>
      <c r="J7352" s="20">
        <v>48</v>
      </c>
      <c r="K7352" s="34">
        <v>0</v>
      </c>
      <c r="L7352" s="34">
        <v>4</v>
      </c>
      <c r="M7352" s="19">
        <f>IF(OR(ISBLANK(C7352),C7352=""),"",ROUND((C7352-B7352)*24,2))</f>
        <v>68.28</v>
      </c>
      <c r="N7352" s="39" t="str">
        <f>IF(OR(ISBLANK(C7352),C7352="",M7352=""),"In Progress",IF(M7352&lt;=J7352,"Met","Breached"))</f>
        <v>Breached</v>
      </c>
    </row>
    <row r="7353" ht="19" customHeight="1" spans="1:14" x14ac:dyDescent="0.25">
      <c r="A7353" s="22" t="s">
        <v>7467</v>
      </c>
      <c r="B7353" s="36">
        <v>45991.23333333334</v>
      </c>
      <c r="D7353" s="22" t="s">
        <v>39</v>
      </c>
      <c r="E7353" s="22" t="s">
        <v>65</v>
      </c>
      <c r="F7353" s="22" t="s">
        <v>37</v>
      </c>
      <c r="G7353" s="22" t="s">
        <v>113</v>
      </c>
      <c r="H7353" s="22" t="s">
        <v>71</v>
      </c>
      <c r="I7353" s="22" t="s">
        <v>147</v>
      </c>
      <c r="J7353" s="23">
        <v>48</v>
      </c>
      <c r="K7353" s="37">
        <v>0</v>
      </c>
      <c r="M7353" s="22" t="str">
        <f>IF(OR(ISBLANK(C7353),C7353=""),"",ROUND((C7353-B7353)*24,2))</f>
        <v/>
      </c>
      <c r="N7353" s="22" t="str">
        <f>IF(OR(ISBLANK(C7353),C7353="",M7353=""),"In Progress",IF(M7353&lt;=J7353,"Met","Breached"))</f>
        <v>In Progress</v>
      </c>
    </row>
    <row r="7354" ht="19" customHeight="1" spans="1:14" x14ac:dyDescent="0.25">
      <c r="A7354" s="19" t="s">
        <v>7468</v>
      </c>
      <c r="B7354" s="33">
        <v>45707.11597222222</v>
      </c>
      <c r="C7354" s="33">
        <v>45708.009722222225</v>
      </c>
      <c r="D7354" s="19" t="s">
        <v>36</v>
      </c>
      <c r="E7354" s="19" t="s">
        <v>61</v>
      </c>
      <c r="F7354" s="19" t="s">
        <v>43</v>
      </c>
      <c r="G7354" s="19" t="s">
        <v>113</v>
      </c>
      <c r="H7354" s="19" t="s">
        <v>63</v>
      </c>
      <c r="I7354" s="19" t="s">
        <v>114</v>
      </c>
      <c r="J7354" s="20">
        <v>12</v>
      </c>
      <c r="K7354" s="34">
        <v>1</v>
      </c>
      <c r="M7354" s="19">
        <f>IF(OR(ISBLANK(C7354),C7354=""),"",ROUND((C7354-B7354)*24,2))</f>
        <v>21.45</v>
      </c>
      <c r="N7354" s="39" t="str">
        <f>IF(OR(ISBLANK(C7354),C7354="",M7354=""),"In Progress",IF(M7354&lt;=J7354,"Met","Breached"))</f>
        <v>Breached</v>
      </c>
    </row>
    <row r="7355" ht="19" customHeight="1" spans="1:14" x14ac:dyDescent="0.25">
      <c r="A7355" s="22" t="s">
        <v>7469</v>
      </c>
      <c r="B7355" s="36">
        <v>45749.879166666666</v>
      </c>
      <c r="C7355" s="36">
        <v>45757.11041666666</v>
      </c>
      <c r="D7355" s="22" t="s">
        <v>36</v>
      </c>
      <c r="E7355" s="22" t="s">
        <v>69</v>
      </c>
      <c r="F7355" s="22" t="s">
        <v>43</v>
      </c>
      <c r="G7355" s="22" t="s">
        <v>121</v>
      </c>
      <c r="H7355" s="22" t="s">
        <v>71</v>
      </c>
      <c r="I7355" s="22" t="s">
        <v>108</v>
      </c>
      <c r="J7355" s="23">
        <v>120</v>
      </c>
      <c r="K7355" s="37">
        <v>0</v>
      </c>
      <c r="M7355" s="22">
        <f>IF(OR(ISBLANK(C7355),C7355=""),"",ROUND((C7355-B7355)*24,2))</f>
        <v>173.55</v>
      </c>
      <c r="N7355" s="38" t="str">
        <f>IF(OR(ISBLANK(C7355),C7355="",M7355=""),"In Progress",IF(M7355&lt;=J7355,"Met","Breached"))</f>
        <v>Breached</v>
      </c>
    </row>
    <row r="7356" ht="19" customHeight="1" spans="1:14" x14ac:dyDescent="0.25">
      <c r="A7356" s="19" t="s">
        <v>7470</v>
      </c>
      <c r="B7356" s="33">
        <v>45840.91875</v>
      </c>
      <c r="D7356" s="19" t="s">
        <v>39</v>
      </c>
      <c r="E7356" s="19" t="s">
        <v>65</v>
      </c>
      <c r="F7356" s="19" t="s">
        <v>43</v>
      </c>
      <c r="G7356" s="19" t="s">
        <v>110</v>
      </c>
      <c r="H7356" s="19" t="s">
        <v>63</v>
      </c>
      <c r="I7356" s="19" t="s">
        <v>111</v>
      </c>
      <c r="J7356" s="20">
        <v>48</v>
      </c>
      <c r="K7356" s="34">
        <v>0</v>
      </c>
      <c r="M7356" s="19" t="str">
        <f>IF(OR(ISBLANK(C7356),C7356=""),"",ROUND((C7356-B7356)*24,2))</f>
        <v/>
      </c>
      <c r="N7356" s="19" t="str">
        <f>IF(OR(ISBLANK(C7356),C7356="",M7356=""),"In Progress",IF(M7356&lt;=J7356,"Met","Breached"))</f>
        <v>In Progress</v>
      </c>
    </row>
    <row r="7357" ht="19" customHeight="1" spans="1:14" x14ac:dyDescent="0.25">
      <c r="A7357" s="22" t="s">
        <v>7471</v>
      </c>
      <c r="B7357" s="36">
        <v>45940.19305555556</v>
      </c>
      <c r="C7357" s="36">
        <v>45943.445138888885</v>
      </c>
      <c r="D7357" s="22" t="s">
        <v>33</v>
      </c>
      <c r="E7357" s="22" t="s">
        <v>65</v>
      </c>
      <c r="F7357" s="22" t="s">
        <v>45</v>
      </c>
      <c r="G7357" s="22" t="s">
        <v>116</v>
      </c>
      <c r="H7357" s="22" t="s">
        <v>63</v>
      </c>
      <c r="I7357" s="22" t="s">
        <v>117</v>
      </c>
      <c r="J7357" s="23">
        <v>48</v>
      </c>
      <c r="K7357" s="37">
        <v>0</v>
      </c>
      <c r="L7357" s="37">
        <v>4</v>
      </c>
      <c r="M7357" s="22">
        <f>IF(OR(ISBLANK(C7357),C7357=""),"",ROUND((C7357-B7357)*24,2))</f>
        <v>78.05</v>
      </c>
      <c r="N7357" s="38" t="str">
        <f>IF(OR(ISBLANK(C7357),C7357="",M7357=""),"In Progress",IF(M7357&lt;=J7357,"Met","Breached"))</f>
        <v>Breached</v>
      </c>
    </row>
    <row r="7358" ht="19" customHeight="1" spans="1:14" x14ac:dyDescent="0.25">
      <c r="A7358" s="19" t="s">
        <v>7472</v>
      </c>
      <c r="B7358" s="33">
        <v>45840.09166666667</v>
      </c>
      <c r="C7358" s="33">
        <v>45842.25208333333</v>
      </c>
      <c r="D7358" s="19" t="s">
        <v>33</v>
      </c>
      <c r="E7358" s="19" t="s">
        <v>65</v>
      </c>
      <c r="F7358" s="19" t="s">
        <v>37</v>
      </c>
      <c r="G7358" s="19" t="s">
        <v>110</v>
      </c>
      <c r="H7358" s="19" t="s">
        <v>59</v>
      </c>
      <c r="I7358" s="19" t="s">
        <v>108</v>
      </c>
      <c r="J7358" s="20">
        <v>48</v>
      </c>
      <c r="K7358" s="34">
        <v>0</v>
      </c>
      <c r="M7358" s="19">
        <f>IF(OR(ISBLANK(C7358),C7358=""),"",ROUND((C7358-B7358)*24,2))</f>
        <v>51.85</v>
      </c>
      <c r="N7358" s="39" t="str">
        <f>IF(OR(ISBLANK(C7358),C7358="",M7358=""),"In Progress",IF(M7358&lt;=J7358,"Met","Breached"))</f>
        <v>Breached</v>
      </c>
    </row>
    <row r="7359" ht="19" customHeight="1" spans="1:14" x14ac:dyDescent="0.25">
      <c r="A7359" s="22" t="s">
        <v>7473</v>
      </c>
      <c r="B7359" s="36">
        <v>45873.98333333334</v>
      </c>
      <c r="C7359" s="36">
        <v>45880.450694444444</v>
      </c>
      <c r="D7359" s="22" t="s">
        <v>33</v>
      </c>
      <c r="E7359" s="22" t="s">
        <v>69</v>
      </c>
      <c r="F7359" s="22" t="s">
        <v>40</v>
      </c>
      <c r="G7359" s="22" t="s">
        <v>116</v>
      </c>
      <c r="H7359" s="22" t="s">
        <v>63</v>
      </c>
      <c r="I7359" s="22" t="s">
        <v>108</v>
      </c>
      <c r="J7359" s="23">
        <v>120</v>
      </c>
      <c r="K7359" s="37">
        <v>0</v>
      </c>
      <c r="M7359" s="22">
        <f>IF(OR(ISBLANK(C7359),C7359=""),"",ROUND((C7359-B7359)*24,2))</f>
        <v>155.22</v>
      </c>
      <c r="N7359" s="38" t="str">
        <f>IF(OR(ISBLANK(C7359),C7359="",M7359=""),"In Progress",IF(M7359&lt;=J7359,"Met","Breached"))</f>
        <v>Breached</v>
      </c>
    </row>
    <row r="7360" ht="19" customHeight="1" spans="1:14" x14ac:dyDescent="0.25">
      <c r="A7360" s="19" t="s">
        <v>7474</v>
      </c>
      <c r="B7360" s="33">
        <v>46228.11388888889</v>
      </c>
      <c r="C7360" s="33">
        <v>46229.20625</v>
      </c>
      <c r="D7360" s="19" t="s">
        <v>36</v>
      </c>
      <c r="E7360" s="19" t="s">
        <v>65</v>
      </c>
      <c r="F7360" s="19" t="s">
        <v>43</v>
      </c>
      <c r="G7360" s="19" t="s">
        <v>126</v>
      </c>
      <c r="H7360" s="19" t="s">
        <v>59</v>
      </c>
      <c r="I7360" s="19" t="s">
        <v>147</v>
      </c>
      <c r="J7360" s="20">
        <v>48</v>
      </c>
      <c r="K7360" s="34">
        <v>0</v>
      </c>
      <c r="L7360" s="34">
        <v>2</v>
      </c>
      <c r="M7360" s="19">
        <f>IF(OR(ISBLANK(C7360),C7360=""),"",ROUND((C7360-B7360)*24,2))</f>
        <v>26.22</v>
      </c>
      <c r="N7360" s="35" t="str">
        <f>IF(OR(ISBLANK(C7360),C7360="",M7360=""),"In Progress",IF(M7360&lt;=J7360,"Met","Breached"))</f>
        <v>Met</v>
      </c>
    </row>
    <row r="7361" ht="19" customHeight="1" spans="1:14" x14ac:dyDescent="0.25">
      <c r="A7361" s="22" t="s">
        <v>7475</v>
      </c>
      <c r="B7361" s="36">
        <v>45858.455555555556</v>
      </c>
      <c r="C7361" s="36">
        <v>45861.28958333333</v>
      </c>
      <c r="D7361" s="22" t="s">
        <v>36</v>
      </c>
      <c r="E7361" s="22" t="s">
        <v>65</v>
      </c>
      <c r="F7361" s="22" t="s">
        <v>45</v>
      </c>
      <c r="G7361" s="22" t="s">
        <v>121</v>
      </c>
      <c r="H7361" s="22" t="s">
        <v>63</v>
      </c>
      <c r="I7361" s="22" t="s">
        <v>123</v>
      </c>
      <c r="J7361" s="23">
        <v>48</v>
      </c>
      <c r="K7361" s="37">
        <v>0</v>
      </c>
      <c r="L7361" s="37">
        <v>5</v>
      </c>
      <c r="M7361" s="22">
        <f>IF(OR(ISBLANK(C7361),C7361=""),"",ROUND((C7361-B7361)*24,2))</f>
        <v>68.02</v>
      </c>
      <c r="N7361" s="38" t="str">
        <f>IF(OR(ISBLANK(C7361),C7361="",M7361=""),"In Progress",IF(M7361&lt;=J7361,"Met","Breached"))</f>
        <v>Breached</v>
      </c>
    </row>
    <row r="7362" ht="19" customHeight="1" spans="1:14" x14ac:dyDescent="0.25">
      <c r="A7362" s="19" t="s">
        <v>7476</v>
      </c>
      <c r="B7362" s="33">
        <v>45745.03611111111</v>
      </c>
      <c r="C7362" s="33">
        <v>45746.20486111111</v>
      </c>
      <c r="D7362" s="19" t="s">
        <v>36</v>
      </c>
      <c r="E7362" s="19" t="s">
        <v>65</v>
      </c>
      <c r="F7362" s="19" t="s">
        <v>43</v>
      </c>
      <c r="G7362" s="19" t="s">
        <v>116</v>
      </c>
      <c r="H7362" s="19" t="s">
        <v>63</v>
      </c>
      <c r="I7362" s="19" t="s">
        <v>147</v>
      </c>
      <c r="J7362" s="20">
        <v>48</v>
      </c>
      <c r="K7362" s="34">
        <v>0</v>
      </c>
      <c r="L7362" s="34">
        <v>3</v>
      </c>
      <c r="M7362" s="19">
        <f>IF(OR(ISBLANK(C7362),C7362=""),"",ROUND((C7362-B7362)*24,2))</f>
        <v>28.05</v>
      </c>
      <c r="N7362" s="35" t="str">
        <f>IF(OR(ISBLANK(C7362),C7362="",M7362=""),"In Progress",IF(M7362&lt;=J7362,"Met","Breached"))</f>
        <v>Met</v>
      </c>
    </row>
    <row r="7363" ht="19" customHeight="1" spans="1:14" x14ac:dyDescent="0.25">
      <c r="A7363" s="22" t="s">
        <v>7477</v>
      </c>
      <c r="B7363" s="36">
        <v>46212.24166666667</v>
      </c>
      <c r="D7363" s="22" t="s">
        <v>39</v>
      </c>
      <c r="E7363" s="22" t="s">
        <v>69</v>
      </c>
      <c r="F7363" s="22" t="s">
        <v>45</v>
      </c>
      <c r="G7363" s="22" t="s">
        <v>126</v>
      </c>
      <c r="H7363" s="22" t="s">
        <v>67</v>
      </c>
      <c r="I7363" s="22" t="s">
        <v>111</v>
      </c>
      <c r="J7363" s="23">
        <v>120</v>
      </c>
      <c r="K7363" s="37">
        <v>0</v>
      </c>
      <c r="M7363" s="22" t="str">
        <f>IF(OR(ISBLANK(C7363),C7363=""),"",ROUND((C7363-B7363)*24,2))</f>
        <v/>
      </c>
      <c r="N7363" s="22" t="str">
        <f>IF(OR(ISBLANK(C7363),C7363="",M7363=""),"In Progress",IF(M7363&lt;=J7363,"Met","Breached"))</f>
        <v>In Progress</v>
      </c>
    </row>
    <row r="7364" ht="19" customHeight="1" spans="1:14" x14ac:dyDescent="0.25">
      <c r="A7364" s="19" t="s">
        <v>7478</v>
      </c>
      <c r="B7364" s="33">
        <v>45844.736805555556</v>
      </c>
      <c r="D7364" s="19" t="s">
        <v>39</v>
      </c>
      <c r="E7364" s="19" t="s">
        <v>61</v>
      </c>
      <c r="F7364" s="19" t="s">
        <v>37</v>
      </c>
      <c r="G7364" s="19" t="s">
        <v>116</v>
      </c>
      <c r="H7364" s="19" t="s">
        <v>59</v>
      </c>
      <c r="I7364" s="19" t="s">
        <v>117</v>
      </c>
      <c r="J7364" s="20">
        <v>12</v>
      </c>
      <c r="K7364" s="34">
        <v>0</v>
      </c>
      <c r="M7364" s="19" t="str">
        <f>IF(OR(ISBLANK(C7364),C7364=""),"",ROUND((C7364-B7364)*24,2))</f>
        <v/>
      </c>
      <c r="N7364" s="19" t="str">
        <f>IF(OR(ISBLANK(C7364),C7364="",M7364=""),"In Progress",IF(M7364&lt;=J7364,"Met","Breached"))</f>
        <v>In Progress</v>
      </c>
    </row>
    <row r="7365" ht="19" customHeight="1" spans="1:14" x14ac:dyDescent="0.25">
      <c r="A7365" s="22" t="s">
        <v>7479</v>
      </c>
      <c r="B7365" s="36">
        <v>46178.75</v>
      </c>
      <c r="D7365" s="22" t="s">
        <v>39</v>
      </c>
      <c r="E7365" s="22" t="s">
        <v>65</v>
      </c>
      <c r="F7365" s="22" t="s">
        <v>43</v>
      </c>
      <c r="G7365" s="22" t="s">
        <v>110</v>
      </c>
      <c r="H7365" s="22" t="s">
        <v>71</v>
      </c>
      <c r="I7365" s="22" t="s">
        <v>111</v>
      </c>
      <c r="J7365" s="23">
        <v>48</v>
      </c>
      <c r="K7365" s="37">
        <v>0</v>
      </c>
      <c r="M7365" s="22" t="str">
        <f>IF(OR(ISBLANK(C7365),C7365=""),"",ROUND((C7365-B7365)*24,2))</f>
        <v/>
      </c>
      <c r="N7365" s="22" t="str">
        <f>IF(OR(ISBLANK(C7365),C7365="",M7365=""),"In Progress",IF(M7365&lt;=J7365,"Met","Breached"))</f>
        <v>In Progress</v>
      </c>
    </row>
    <row r="7366" ht="19" customHeight="1" spans="1:14" x14ac:dyDescent="0.25">
      <c r="A7366" s="19" t="s">
        <v>7480</v>
      </c>
      <c r="B7366" s="33">
        <v>46097.13333333333</v>
      </c>
      <c r="D7366" s="19" t="s">
        <v>39</v>
      </c>
      <c r="E7366" s="19" t="s">
        <v>65</v>
      </c>
      <c r="F7366" s="19" t="s">
        <v>43</v>
      </c>
      <c r="G7366" s="19" t="s">
        <v>63</v>
      </c>
      <c r="H7366" s="19" t="s">
        <v>71</v>
      </c>
      <c r="I7366" s="19" t="s">
        <v>147</v>
      </c>
      <c r="J7366" s="20">
        <v>48</v>
      </c>
      <c r="K7366" s="34">
        <v>0</v>
      </c>
      <c r="M7366" s="19" t="str">
        <f>IF(OR(ISBLANK(C7366),C7366=""),"",ROUND((C7366-B7366)*24,2))</f>
        <v/>
      </c>
      <c r="N7366" s="19" t="str">
        <f>IF(OR(ISBLANK(C7366),C7366="",M7366=""),"In Progress",IF(M7366&lt;=J7366,"Met","Breached"))</f>
        <v>In Progress</v>
      </c>
    </row>
    <row r="7367" ht="19" customHeight="1" spans="1:14" x14ac:dyDescent="0.25">
      <c r="A7367" s="22" t="s">
        <v>7481</v>
      </c>
      <c r="B7367" s="36">
        <v>45799.379166666666</v>
      </c>
      <c r="C7367" s="36">
        <v>45804.99375</v>
      </c>
      <c r="D7367" s="22" t="s">
        <v>33</v>
      </c>
      <c r="E7367" s="22" t="s">
        <v>69</v>
      </c>
      <c r="F7367" s="22" t="s">
        <v>45</v>
      </c>
      <c r="G7367" s="22" t="s">
        <v>126</v>
      </c>
      <c r="H7367" s="22" t="s">
        <v>63</v>
      </c>
      <c r="I7367" s="22" t="s">
        <v>114</v>
      </c>
      <c r="J7367" s="23">
        <v>120</v>
      </c>
      <c r="K7367" s="37">
        <v>0</v>
      </c>
      <c r="L7367" s="37">
        <v>1</v>
      </c>
      <c r="M7367" s="22">
        <f>IF(OR(ISBLANK(C7367),C7367=""),"",ROUND((C7367-B7367)*24,2))</f>
        <v>134.75</v>
      </c>
      <c r="N7367" s="38" t="str">
        <f>IF(OR(ISBLANK(C7367),C7367="",M7367=""),"In Progress",IF(M7367&lt;=J7367,"Met","Breached"))</f>
        <v>Breached</v>
      </c>
    </row>
    <row r="7368" ht="19" customHeight="1" spans="1:14" x14ac:dyDescent="0.25">
      <c r="A7368" s="19" t="s">
        <v>7482</v>
      </c>
      <c r="B7368" s="33">
        <v>45758.35555555555</v>
      </c>
      <c r="D7368" s="19" t="s">
        <v>39</v>
      </c>
      <c r="E7368" s="19" t="s">
        <v>61</v>
      </c>
      <c r="F7368" s="19" t="s">
        <v>43</v>
      </c>
      <c r="G7368" s="19" t="s">
        <v>63</v>
      </c>
      <c r="H7368" s="19" t="s">
        <v>67</v>
      </c>
      <c r="I7368" s="19" t="s">
        <v>108</v>
      </c>
      <c r="J7368" s="20">
        <v>12</v>
      </c>
      <c r="K7368" s="34">
        <v>0</v>
      </c>
      <c r="M7368" s="19" t="str">
        <f>IF(OR(ISBLANK(C7368),C7368=""),"",ROUND((C7368-B7368)*24,2))</f>
        <v/>
      </c>
      <c r="N7368" s="19" t="str">
        <f>IF(OR(ISBLANK(C7368),C7368="",M7368=""),"In Progress",IF(M7368&lt;=J7368,"Met","Breached"))</f>
        <v>In Progress</v>
      </c>
    </row>
    <row r="7369" ht="19" customHeight="1" spans="1:14" x14ac:dyDescent="0.25">
      <c r="A7369" s="22" t="s">
        <v>7483</v>
      </c>
      <c r="B7369" s="36">
        <v>45755.55763888889</v>
      </c>
      <c r="C7369" s="36">
        <v>45759.52291666667</v>
      </c>
      <c r="D7369" s="22" t="s">
        <v>33</v>
      </c>
      <c r="E7369" s="22" t="s">
        <v>69</v>
      </c>
      <c r="F7369" s="22" t="s">
        <v>37</v>
      </c>
      <c r="G7369" s="22" t="s">
        <v>121</v>
      </c>
      <c r="H7369" s="22" t="s">
        <v>59</v>
      </c>
      <c r="I7369" s="22" t="s">
        <v>147</v>
      </c>
      <c r="J7369" s="23">
        <v>120</v>
      </c>
      <c r="K7369" s="37">
        <v>0</v>
      </c>
      <c r="L7369" s="37">
        <v>3</v>
      </c>
      <c r="M7369" s="22">
        <f>IF(OR(ISBLANK(C7369),C7369=""),"",ROUND((C7369-B7369)*24,2))</f>
        <v>95.17</v>
      </c>
      <c r="N7369" s="40" t="str">
        <f>IF(OR(ISBLANK(C7369),C7369="",M7369=""),"In Progress",IF(M7369&lt;=J7369,"Met","Breached"))</f>
        <v>Met</v>
      </c>
    </row>
    <row r="7370" ht="19" customHeight="1" spans="1:14" x14ac:dyDescent="0.25">
      <c r="A7370" s="19" t="s">
        <v>7484</v>
      </c>
      <c r="B7370" s="33">
        <v>46202.17013888889</v>
      </c>
      <c r="C7370" s="33">
        <v>46204.69027777778</v>
      </c>
      <c r="D7370" s="19" t="s">
        <v>36</v>
      </c>
      <c r="E7370" s="19" t="s">
        <v>69</v>
      </c>
      <c r="F7370" s="19" t="s">
        <v>43</v>
      </c>
      <c r="G7370" s="19" t="s">
        <v>126</v>
      </c>
      <c r="H7370" s="19" t="s">
        <v>63</v>
      </c>
      <c r="I7370" s="19" t="s">
        <v>108</v>
      </c>
      <c r="J7370" s="20">
        <v>120</v>
      </c>
      <c r="K7370" s="34">
        <v>0</v>
      </c>
      <c r="L7370" s="34">
        <v>3</v>
      </c>
      <c r="M7370" s="19">
        <f>IF(OR(ISBLANK(C7370),C7370=""),"",ROUND((C7370-B7370)*24,2))</f>
        <v>60.48</v>
      </c>
      <c r="N7370" s="35" t="str">
        <f>IF(OR(ISBLANK(C7370),C7370="",M7370=""),"In Progress",IF(M7370&lt;=J7370,"Met","Breached"))</f>
        <v>Met</v>
      </c>
    </row>
    <row r="7371" ht="19" customHeight="1" spans="1:14" x14ac:dyDescent="0.25">
      <c r="A7371" s="22" t="s">
        <v>7485</v>
      </c>
      <c r="B7371" s="36">
        <v>46151.47430555556</v>
      </c>
      <c r="C7371" s="36">
        <v>46154.205555555556</v>
      </c>
      <c r="D7371" s="22" t="s">
        <v>33</v>
      </c>
      <c r="E7371" s="22" t="s">
        <v>69</v>
      </c>
      <c r="F7371" s="22" t="s">
        <v>37</v>
      </c>
      <c r="G7371" s="22" t="s">
        <v>121</v>
      </c>
      <c r="H7371" s="22" t="s">
        <v>59</v>
      </c>
      <c r="I7371" s="22" t="s">
        <v>114</v>
      </c>
      <c r="J7371" s="23">
        <v>120</v>
      </c>
      <c r="K7371" s="37">
        <v>0</v>
      </c>
      <c r="L7371" s="37">
        <v>1</v>
      </c>
      <c r="M7371" s="22">
        <f>IF(OR(ISBLANK(C7371),C7371=""),"",ROUND((C7371-B7371)*24,2))</f>
        <v>65.55</v>
      </c>
      <c r="N7371" s="40" t="str">
        <f>IF(OR(ISBLANK(C7371),C7371="",M7371=""),"In Progress",IF(M7371&lt;=J7371,"Met","Breached"))</f>
        <v>Met</v>
      </c>
    </row>
    <row r="7372" ht="19" customHeight="1" spans="1:14" x14ac:dyDescent="0.25">
      <c r="A7372" s="19" t="s">
        <v>7486</v>
      </c>
      <c r="B7372" s="33">
        <v>46065.98888888889</v>
      </c>
      <c r="D7372" s="19" t="s">
        <v>39</v>
      </c>
      <c r="E7372" s="19" t="s">
        <v>65</v>
      </c>
      <c r="F7372" s="19" t="s">
        <v>34</v>
      </c>
      <c r="G7372" s="19" t="s">
        <v>110</v>
      </c>
      <c r="H7372" s="19" t="s">
        <v>71</v>
      </c>
      <c r="I7372" s="19" t="s">
        <v>108</v>
      </c>
      <c r="J7372" s="20">
        <v>48</v>
      </c>
      <c r="K7372" s="34">
        <v>0</v>
      </c>
      <c r="M7372" s="19" t="str">
        <f>IF(OR(ISBLANK(C7372),C7372=""),"",ROUND((C7372-B7372)*24,2))</f>
        <v/>
      </c>
      <c r="N7372" s="19" t="str">
        <f>IF(OR(ISBLANK(C7372),C7372="",M7372=""),"In Progress",IF(M7372&lt;=J7372,"Met","Breached"))</f>
        <v>In Progress</v>
      </c>
    </row>
    <row r="7373" ht="19" customHeight="1" spans="1:14" x14ac:dyDescent="0.25">
      <c r="A7373" s="22" t="s">
        <v>7487</v>
      </c>
      <c r="B7373" s="36">
        <v>45834.94652777778</v>
      </c>
      <c r="C7373" s="36">
        <v>45837.525</v>
      </c>
      <c r="D7373" s="22" t="s">
        <v>33</v>
      </c>
      <c r="E7373" s="22" t="s">
        <v>65</v>
      </c>
      <c r="F7373" s="22" t="s">
        <v>40</v>
      </c>
      <c r="G7373" s="22" t="s">
        <v>126</v>
      </c>
      <c r="H7373" s="22" t="s">
        <v>71</v>
      </c>
      <c r="I7373" s="22" t="s">
        <v>147</v>
      </c>
      <c r="J7373" s="23">
        <v>48</v>
      </c>
      <c r="K7373" s="37">
        <v>0</v>
      </c>
      <c r="L7373" s="37">
        <v>5</v>
      </c>
      <c r="M7373" s="22">
        <f>IF(OR(ISBLANK(C7373),C7373=""),"",ROUND((C7373-B7373)*24,2))</f>
        <v>61.88</v>
      </c>
      <c r="N7373" s="38" t="str">
        <f>IF(OR(ISBLANK(C7373),C7373="",M7373=""),"In Progress",IF(M7373&lt;=J7373,"Met","Breached"))</f>
        <v>Breached</v>
      </c>
    </row>
    <row r="7374" ht="19" customHeight="1" spans="1:14" x14ac:dyDescent="0.25">
      <c r="A7374" s="19" t="s">
        <v>7488</v>
      </c>
      <c r="B7374" s="33">
        <v>45733.51944444445</v>
      </c>
      <c r="C7374" s="33">
        <v>45734.070138888885</v>
      </c>
      <c r="D7374" s="19" t="s">
        <v>33</v>
      </c>
      <c r="E7374" s="19" t="s">
        <v>61</v>
      </c>
      <c r="F7374" s="19" t="s">
        <v>40</v>
      </c>
      <c r="G7374" s="19" t="s">
        <v>121</v>
      </c>
      <c r="H7374" s="19" t="s">
        <v>59</v>
      </c>
      <c r="I7374" s="19" t="s">
        <v>117</v>
      </c>
      <c r="J7374" s="20">
        <v>12</v>
      </c>
      <c r="K7374" s="34">
        <v>0</v>
      </c>
      <c r="L7374" s="34">
        <v>1</v>
      </c>
      <c r="M7374" s="19">
        <f>IF(OR(ISBLANK(C7374),C7374=""),"",ROUND((C7374-B7374)*24,2))</f>
        <v>13.22</v>
      </c>
      <c r="N7374" s="39" t="str">
        <f>IF(OR(ISBLANK(C7374),C7374="",M7374=""),"In Progress",IF(M7374&lt;=J7374,"Met","Breached"))</f>
        <v>Breached</v>
      </c>
    </row>
    <row r="7375" ht="19" customHeight="1" spans="1:14" x14ac:dyDescent="0.25">
      <c r="A7375" s="22" t="s">
        <v>7489</v>
      </c>
      <c r="B7375" s="36">
        <v>46161.30972222222</v>
      </c>
      <c r="C7375" s="36">
        <v>46164.8125</v>
      </c>
      <c r="D7375" s="22" t="s">
        <v>33</v>
      </c>
      <c r="E7375" s="22" t="s">
        <v>69</v>
      </c>
      <c r="F7375" s="22" t="s">
        <v>45</v>
      </c>
      <c r="G7375" s="22" t="s">
        <v>126</v>
      </c>
      <c r="H7375" s="22" t="s">
        <v>63</v>
      </c>
      <c r="I7375" s="22" t="s">
        <v>117</v>
      </c>
      <c r="J7375" s="23">
        <v>120</v>
      </c>
      <c r="K7375" s="37">
        <v>0</v>
      </c>
      <c r="L7375" s="37">
        <v>3</v>
      </c>
      <c r="M7375" s="22">
        <f>IF(OR(ISBLANK(C7375),C7375=""),"",ROUND((C7375-B7375)*24,2))</f>
        <v>84.07</v>
      </c>
      <c r="N7375" s="40" t="str">
        <f>IF(OR(ISBLANK(C7375),C7375="",M7375=""),"In Progress",IF(M7375&lt;=J7375,"Met","Breached"))</f>
        <v>Met</v>
      </c>
    </row>
    <row r="7376" ht="19" customHeight="1" spans="1:14" x14ac:dyDescent="0.25">
      <c r="A7376" s="19" t="s">
        <v>7490</v>
      </c>
      <c r="B7376" s="33">
        <v>46045.695138888885</v>
      </c>
      <c r="C7376" s="33">
        <v>46047.802777777775</v>
      </c>
      <c r="D7376" s="19" t="s">
        <v>33</v>
      </c>
      <c r="E7376" s="19" t="s">
        <v>65</v>
      </c>
      <c r="F7376" s="19" t="s">
        <v>34</v>
      </c>
      <c r="G7376" s="19" t="s">
        <v>121</v>
      </c>
      <c r="H7376" s="19" t="s">
        <v>59</v>
      </c>
      <c r="I7376" s="19" t="s">
        <v>114</v>
      </c>
      <c r="J7376" s="20">
        <v>48</v>
      </c>
      <c r="K7376" s="34">
        <v>0</v>
      </c>
      <c r="L7376" s="34">
        <v>4</v>
      </c>
      <c r="M7376" s="19">
        <f>IF(OR(ISBLANK(C7376),C7376=""),"",ROUND((C7376-B7376)*24,2))</f>
        <v>50.58</v>
      </c>
      <c r="N7376" s="39" t="str">
        <f>IF(OR(ISBLANK(C7376),C7376="",M7376=""),"In Progress",IF(M7376&lt;=J7376,"Met","Breached"))</f>
        <v>Breached</v>
      </c>
    </row>
    <row r="7377" ht="19" customHeight="1" spans="1:14" x14ac:dyDescent="0.25">
      <c r="A7377" s="22" t="s">
        <v>7491</v>
      </c>
      <c r="B7377" s="36">
        <v>46223.304861111115</v>
      </c>
      <c r="C7377" s="36">
        <v>46230.01180555555</v>
      </c>
      <c r="D7377" s="22" t="s">
        <v>33</v>
      </c>
      <c r="E7377" s="22" t="s">
        <v>69</v>
      </c>
      <c r="F7377" s="22" t="s">
        <v>37</v>
      </c>
      <c r="G7377" s="22" t="s">
        <v>121</v>
      </c>
      <c r="H7377" s="22" t="s">
        <v>71</v>
      </c>
      <c r="I7377" s="22" t="s">
        <v>123</v>
      </c>
      <c r="J7377" s="23">
        <v>120</v>
      </c>
      <c r="K7377" s="37">
        <v>0</v>
      </c>
      <c r="M7377" s="22">
        <f>IF(OR(ISBLANK(C7377),C7377=""),"",ROUND((C7377-B7377)*24,2))</f>
        <v>160.97</v>
      </c>
      <c r="N7377" s="38" t="str">
        <f>IF(OR(ISBLANK(C7377),C7377="",M7377=""),"In Progress",IF(M7377&lt;=J7377,"Met","Breached"))</f>
        <v>Breached</v>
      </c>
    </row>
    <row r="7378" ht="19" customHeight="1" spans="1:14" x14ac:dyDescent="0.25">
      <c r="A7378" s="19" t="s">
        <v>7492</v>
      </c>
      <c r="B7378" s="33">
        <v>46166.558333333334</v>
      </c>
      <c r="C7378" s="33">
        <v>46166.73888888889</v>
      </c>
      <c r="D7378" s="19" t="s">
        <v>33</v>
      </c>
      <c r="E7378" s="19" t="s">
        <v>57</v>
      </c>
      <c r="F7378" s="19" t="s">
        <v>45</v>
      </c>
      <c r="G7378" s="19" t="s">
        <v>116</v>
      </c>
      <c r="H7378" s="19" t="s">
        <v>63</v>
      </c>
      <c r="I7378" s="19" t="s">
        <v>108</v>
      </c>
      <c r="J7378" s="20">
        <v>4</v>
      </c>
      <c r="K7378" s="34">
        <v>0</v>
      </c>
      <c r="L7378" s="34">
        <v>3</v>
      </c>
      <c r="M7378" s="19">
        <f>IF(OR(ISBLANK(C7378),C7378=""),"",ROUND((C7378-B7378)*24,2))</f>
        <v>4.33</v>
      </c>
      <c r="N7378" s="39" t="str">
        <f>IF(OR(ISBLANK(C7378),C7378="",M7378=""),"In Progress",IF(M7378&lt;=J7378,"Met","Breached"))</f>
        <v>Breached</v>
      </c>
    </row>
    <row r="7379" ht="19" customHeight="1" spans="1:14" x14ac:dyDescent="0.25">
      <c r="A7379" s="22" t="s">
        <v>7493</v>
      </c>
      <c r="B7379" s="36">
        <v>46241.504166666666</v>
      </c>
      <c r="D7379" s="22" t="s">
        <v>42</v>
      </c>
      <c r="E7379" s="22" t="s">
        <v>65</v>
      </c>
      <c r="F7379" s="22" t="s">
        <v>34</v>
      </c>
      <c r="G7379" s="22" t="s">
        <v>113</v>
      </c>
      <c r="H7379" s="22" t="s">
        <v>71</v>
      </c>
      <c r="I7379" s="22" t="s">
        <v>111</v>
      </c>
      <c r="J7379" s="23">
        <v>48</v>
      </c>
      <c r="K7379" s="37">
        <v>0</v>
      </c>
      <c r="M7379" s="22" t="str">
        <f>IF(OR(ISBLANK(C7379),C7379=""),"",ROUND((C7379-B7379)*24,2))</f>
        <v/>
      </c>
      <c r="N7379" s="22" t="str">
        <f>IF(OR(ISBLANK(C7379),C7379="",M7379=""),"In Progress",IF(M7379&lt;=J7379,"Met","Breached"))</f>
        <v>In Progress</v>
      </c>
    </row>
    <row r="7380" ht="19" customHeight="1" spans="1:14" x14ac:dyDescent="0.25">
      <c r="A7380" s="19" t="s">
        <v>7494</v>
      </c>
      <c r="B7380" s="33">
        <v>46263.35902777778</v>
      </c>
      <c r="C7380" s="33">
        <v>46264.825</v>
      </c>
      <c r="D7380" s="19" t="s">
        <v>36</v>
      </c>
      <c r="E7380" s="19" t="s">
        <v>65</v>
      </c>
      <c r="F7380" s="19" t="s">
        <v>45</v>
      </c>
      <c r="G7380" s="19" t="s">
        <v>121</v>
      </c>
      <c r="H7380" s="19" t="s">
        <v>59</v>
      </c>
      <c r="I7380" s="19" t="s">
        <v>108</v>
      </c>
      <c r="J7380" s="20">
        <v>48</v>
      </c>
      <c r="K7380" s="34">
        <v>0</v>
      </c>
      <c r="L7380" s="34">
        <v>4</v>
      </c>
      <c r="M7380" s="19">
        <f>IF(OR(ISBLANK(C7380),C7380=""),"",ROUND((C7380-B7380)*24,2))</f>
        <v>35.18</v>
      </c>
      <c r="N7380" s="35" t="str">
        <f>IF(OR(ISBLANK(C7380),C7380="",M7380=""),"In Progress",IF(M7380&lt;=J7380,"Met","Breached"))</f>
        <v>Met</v>
      </c>
    </row>
    <row r="7381" ht="19" customHeight="1" spans="1:14" x14ac:dyDescent="0.25">
      <c r="A7381" s="22" t="s">
        <v>7495</v>
      </c>
      <c r="B7381" s="36">
        <v>45755.14444444445</v>
      </c>
      <c r="C7381" s="36">
        <v>45757.163888888885</v>
      </c>
      <c r="D7381" s="22" t="s">
        <v>33</v>
      </c>
      <c r="E7381" s="22" t="s">
        <v>65</v>
      </c>
      <c r="F7381" s="22" t="s">
        <v>45</v>
      </c>
      <c r="G7381" s="22" t="s">
        <v>121</v>
      </c>
      <c r="H7381" s="22" t="s">
        <v>63</v>
      </c>
      <c r="I7381" s="22" t="s">
        <v>117</v>
      </c>
      <c r="J7381" s="23">
        <v>48</v>
      </c>
      <c r="K7381" s="37">
        <v>0</v>
      </c>
      <c r="L7381" s="37">
        <v>3</v>
      </c>
      <c r="M7381" s="22">
        <f>IF(OR(ISBLANK(C7381),C7381=""),"",ROUND((C7381-B7381)*24,2))</f>
        <v>48.47</v>
      </c>
      <c r="N7381" s="38" t="str">
        <f>IF(OR(ISBLANK(C7381),C7381="",M7381=""),"In Progress",IF(M7381&lt;=J7381,"Met","Breached"))</f>
        <v>Breached</v>
      </c>
    </row>
    <row r="7382" ht="19" customHeight="1" spans="1:14" x14ac:dyDescent="0.25">
      <c r="A7382" s="19" t="s">
        <v>7496</v>
      </c>
      <c r="B7382" s="33">
        <v>46140.134722222225</v>
      </c>
      <c r="C7382" s="33">
        <v>46144.43541666667</v>
      </c>
      <c r="D7382" s="19" t="s">
        <v>33</v>
      </c>
      <c r="E7382" s="19" t="s">
        <v>69</v>
      </c>
      <c r="F7382" s="19" t="s">
        <v>40</v>
      </c>
      <c r="G7382" s="19" t="s">
        <v>110</v>
      </c>
      <c r="H7382" s="19" t="s">
        <v>67</v>
      </c>
      <c r="I7382" s="19" t="s">
        <v>111</v>
      </c>
      <c r="J7382" s="20">
        <v>120</v>
      </c>
      <c r="K7382" s="34">
        <v>0</v>
      </c>
      <c r="L7382" s="34">
        <v>5</v>
      </c>
      <c r="M7382" s="19">
        <f>IF(OR(ISBLANK(C7382),C7382=""),"",ROUND((C7382-B7382)*24,2))</f>
        <v>103.22</v>
      </c>
      <c r="N7382" s="35" t="str">
        <f>IF(OR(ISBLANK(C7382),C7382="",M7382=""),"In Progress",IF(M7382&lt;=J7382,"Met","Breached"))</f>
        <v>Met</v>
      </c>
    </row>
    <row r="7383" ht="19" customHeight="1" spans="1:14" x14ac:dyDescent="0.25">
      <c r="A7383" s="22" t="s">
        <v>7497</v>
      </c>
      <c r="B7383" s="36">
        <v>45662.07361111111</v>
      </c>
      <c r="D7383" s="22" t="s">
        <v>39</v>
      </c>
      <c r="E7383" s="22" t="s">
        <v>61</v>
      </c>
      <c r="F7383" s="22" t="s">
        <v>45</v>
      </c>
      <c r="G7383" s="22" t="s">
        <v>126</v>
      </c>
      <c r="H7383" s="22" t="s">
        <v>67</v>
      </c>
      <c r="I7383" s="22" t="s">
        <v>108</v>
      </c>
      <c r="J7383" s="23">
        <v>12</v>
      </c>
      <c r="K7383" s="37">
        <v>0</v>
      </c>
      <c r="M7383" s="22" t="str">
        <f>IF(OR(ISBLANK(C7383),C7383=""),"",ROUND((C7383-B7383)*24,2))</f>
        <v/>
      </c>
      <c r="N7383" s="22" t="str">
        <f>IF(OR(ISBLANK(C7383),C7383="",M7383=""),"In Progress",IF(M7383&lt;=J7383,"Met","Breached"))</f>
        <v>In Progress</v>
      </c>
    </row>
    <row r="7384" ht="19" customHeight="1" spans="1:14" x14ac:dyDescent="0.25">
      <c r="A7384" s="19" t="s">
        <v>7498</v>
      </c>
      <c r="B7384" s="33">
        <v>45669.0125</v>
      </c>
      <c r="C7384" s="33">
        <v>45670.898611111115</v>
      </c>
      <c r="D7384" s="19" t="s">
        <v>33</v>
      </c>
      <c r="E7384" s="19" t="s">
        <v>65</v>
      </c>
      <c r="F7384" s="19" t="s">
        <v>37</v>
      </c>
      <c r="G7384" s="19" t="s">
        <v>110</v>
      </c>
      <c r="H7384" s="19" t="s">
        <v>63</v>
      </c>
      <c r="I7384" s="19" t="s">
        <v>117</v>
      </c>
      <c r="J7384" s="20">
        <v>48</v>
      </c>
      <c r="K7384" s="34">
        <v>0</v>
      </c>
      <c r="L7384" s="34">
        <v>5</v>
      </c>
      <c r="M7384" s="19">
        <f>IF(OR(ISBLANK(C7384),C7384=""),"",ROUND((C7384-B7384)*24,2))</f>
        <v>45.27</v>
      </c>
      <c r="N7384" s="35" t="str">
        <f>IF(OR(ISBLANK(C7384),C7384="",M7384=""),"In Progress",IF(M7384&lt;=J7384,"Met","Breached"))</f>
        <v>Met</v>
      </c>
    </row>
    <row r="7385" ht="19" customHeight="1" spans="1:14" x14ac:dyDescent="0.25">
      <c r="A7385" s="22" t="s">
        <v>7499</v>
      </c>
      <c r="B7385" s="36">
        <v>45911.27638888889</v>
      </c>
      <c r="C7385" s="36">
        <v>45912.16805555555</v>
      </c>
      <c r="D7385" s="22" t="s">
        <v>33</v>
      </c>
      <c r="E7385" s="22" t="s">
        <v>65</v>
      </c>
      <c r="F7385" s="22" t="s">
        <v>40</v>
      </c>
      <c r="G7385" s="22" t="s">
        <v>113</v>
      </c>
      <c r="H7385" s="22" t="s">
        <v>63</v>
      </c>
      <c r="I7385" s="22" t="s">
        <v>114</v>
      </c>
      <c r="J7385" s="23">
        <v>48</v>
      </c>
      <c r="K7385" s="37">
        <v>0</v>
      </c>
      <c r="M7385" s="22">
        <f>IF(OR(ISBLANK(C7385),C7385=""),"",ROUND((C7385-B7385)*24,2))</f>
        <v>21.4</v>
      </c>
      <c r="N7385" s="40" t="str">
        <f>IF(OR(ISBLANK(C7385),C7385="",M7385=""),"In Progress",IF(M7385&lt;=J7385,"Met","Breached"))</f>
        <v>Met</v>
      </c>
    </row>
    <row r="7386" ht="19" customHeight="1" spans="1:14" x14ac:dyDescent="0.25">
      <c r="A7386" s="19" t="s">
        <v>7500</v>
      </c>
      <c r="B7386" s="33">
        <v>45943.83819444444</v>
      </c>
      <c r="C7386" s="33">
        <v>45944.12222222222</v>
      </c>
      <c r="D7386" s="19" t="s">
        <v>33</v>
      </c>
      <c r="E7386" s="19" t="s">
        <v>61</v>
      </c>
      <c r="F7386" s="19" t="s">
        <v>34</v>
      </c>
      <c r="G7386" s="19" t="s">
        <v>126</v>
      </c>
      <c r="H7386" s="19" t="s">
        <v>63</v>
      </c>
      <c r="I7386" s="19" t="s">
        <v>114</v>
      </c>
      <c r="J7386" s="20">
        <v>12</v>
      </c>
      <c r="K7386" s="34">
        <v>0</v>
      </c>
      <c r="L7386" s="34">
        <v>2</v>
      </c>
      <c r="M7386" s="19">
        <f>IF(OR(ISBLANK(C7386),C7386=""),"",ROUND((C7386-B7386)*24,2))</f>
        <v>6.82</v>
      </c>
      <c r="N7386" s="35" t="str">
        <f>IF(OR(ISBLANK(C7386),C7386="",M7386=""),"In Progress",IF(M7386&lt;=J7386,"Met","Breached"))</f>
        <v>Met</v>
      </c>
    </row>
    <row r="7387" ht="19" customHeight="1" spans="1:14" x14ac:dyDescent="0.25">
      <c r="A7387" s="22" t="s">
        <v>7501</v>
      </c>
      <c r="B7387" s="36">
        <v>45959.89513888889</v>
      </c>
      <c r="C7387" s="36">
        <v>45961.17847222222</v>
      </c>
      <c r="D7387" s="22" t="s">
        <v>33</v>
      </c>
      <c r="E7387" s="22" t="s">
        <v>65</v>
      </c>
      <c r="F7387" s="22" t="s">
        <v>37</v>
      </c>
      <c r="G7387" s="22" t="s">
        <v>116</v>
      </c>
      <c r="H7387" s="22" t="s">
        <v>63</v>
      </c>
      <c r="I7387" s="22" t="s">
        <v>111</v>
      </c>
      <c r="J7387" s="23">
        <v>48</v>
      </c>
      <c r="K7387" s="37">
        <v>0</v>
      </c>
      <c r="L7387" s="37">
        <v>4</v>
      </c>
      <c r="M7387" s="22">
        <f>IF(OR(ISBLANK(C7387),C7387=""),"",ROUND((C7387-B7387)*24,2))</f>
        <v>30.8</v>
      </c>
      <c r="N7387" s="40" t="str">
        <f>IF(OR(ISBLANK(C7387),C7387="",M7387=""),"In Progress",IF(M7387&lt;=J7387,"Met","Breached"))</f>
        <v>Met</v>
      </c>
    </row>
    <row r="7388" ht="19" customHeight="1" spans="1:14" x14ac:dyDescent="0.25">
      <c r="A7388" s="19" t="s">
        <v>7502</v>
      </c>
      <c r="B7388" s="33">
        <v>46046.09513888889</v>
      </c>
      <c r="C7388" s="33">
        <v>46048.17083333334</v>
      </c>
      <c r="D7388" s="19" t="s">
        <v>36</v>
      </c>
      <c r="E7388" s="19" t="s">
        <v>65</v>
      </c>
      <c r="F7388" s="19" t="s">
        <v>45</v>
      </c>
      <c r="G7388" s="19" t="s">
        <v>126</v>
      </c>
      <c r="H7388" s="19" t="s">
        <v>63</v>
      </c>
      <c r="I7388" s="19" t="s">
        <v>114</v>
      </c>
      <c r="J7388" s="20">
        <v>48</v>
      </c>
      <c r="K7388" s="34">
        <v>0</v>
      </c>
      <c r="L7388" s="34">
        <v>4</v>
      </c>
      <c r="M7388" s="19">
        <f>IF(OR(ISBLANK(C7388),C7388=""),"",ROUND((C7388-B7388)*24,2))</f>
        <v>49.82</v>
      </c>
      <c r="N7388" s="39" t="str">
        <f>IF(OR(ISBLANK(C7388),C7388="",M7388=""),"In Progress",IF(M7388&lt;=J7388,"Met","Breached"))</f>
        <v>Breached</v>
      </c>
    </row>
    <row r="7389" ht="19" customHeight="1" spans="1:14" x14ac:dyDescent="0.25">
      <c r="A7389" s="22" t="s">
        <v>7503</v>
      </c>
      <c r="B7389" s="36">
        <v>46108.30763888889</v>
      </c>
      <c r="C7389" s="36">
        <v>46110.70972222222</v>
      </c>
      <c r="D7389" s="22" t="s">
        <v>33</v>
      </c>
      <c r="E7389" s="22" t="s">
        <v>65</v>
      </c>
      <c r="F7389" s="22" t="s">
        <v>45</v>
      </c>
      <c r="G7389" s="22" t="s">
        <v>121</v>
      </c>
      <c r="H7389" s="22" t="s">
        <v>59</v>
      </c>
      <c r="I7389" s="22" t="s">
        <v>111</v>
      </c>
      <c r="J7389" s="23">
        <v>48</v>
      </c>
      <c r="K7389" s="37">
        <v>0</v>
      </c>
      <c r="M7389" s="22">
        <f>IF(OR(ISBLANK(C7389),C7389=""),"",ROUND((C7389-B7389)*24,2))</f>
        <v>57.65</v>
      </c>
      <c r="N7389" s="38" t="str">
        <f>IF(OR(ISBLANK(C7389),C7389="",M7389=""),"In Progress",IF(M7389&lt;=J7389,"Met","Breached"))</f>
        <v>Breached</v>
      </c>
    </row>
    <row r="7390" ht="19" customHeight="1" spans="1:14" x14ac:dyDescent="0.25">
      <c r="A7390" s="19" t="s">
        <v>7504</v>
      </c>
      <c r="B7390" s="33">
        <v>46183.38611111111</v>
      </c>
      <c r="C7390" s="33">
        <v>46186.898611111115</v>
      </c>
      <c r="D7390" s="19" t="s">
        <v>33</v>
      </c>
      <c r="E7390" s="19" t="s">
        <v>65</v>
      </c>
      <c r="F7390" s="19" t="s">
        <v>37</v>
      </c>
      <c r="G7390" s="19" t="s">
        <v>110</v>
      </c>
      <c r="H7390" s="19" t="s">
        <v>71</v>
      </c>
      <c r="I7390" s="19" t="s">
        <v>108</v>
      </c>
      <c r="J7390" s="20">
        <v>48</v>
      </c>
      <c r="K7390" s="34">
        <v>0</v>
      </c>
      <c r="M7390" s="19">
        <f>IF(OR(ISBLANK(C7390),C7390=""),"",ROUND((C7390-B7390)*24,2))</f>
        <v>84.3</v>
      </c>
      <c r="N7390" s="39" t="str">
        <f>IF(OR(ISBLANK(C7390),C7390="",M7390=""),"In Progress",IF(M7390&lt;=J7390,"Met","Breached"))</f>
        <v>Breached</v>
      </c>
    </row>
    <row r="7391" ht="19" customHeight="1" spans="1:14" x14ac:dyDescent="0.25">
      <c r="A7391" s="22" t="s">
        <v>7505</v>
      </c>
      <c r="B7391" s="36">
        <v>46123.11944444444</v>
      </c>
      <c r="C7391" s="36">
        <v>46125.24652777778</v>
      </c>
      <c r="D7391" s="22" t="s">
        <v>33</v>
      </c>
      <c r="E7391" s="22" t="s">
        <v>69</v>
      </c>
      <c r="F7391" s="22" t="s">
        <v>37</v>
      </c>
      <c r="G7391" s="22" t="s">
        <v>126</v>
      </c>
      <c r="H7391" s="22" t="s">
        <v>59</v>
      </c>
      <c r="I7391" s="22" t="s">
        <v>108</v>
      </c>
      <c r="J7391" s="23">
        <v>120</v>
      </c>
      <c r="K7391" s="37">
        <v>0</v>
      </c>
      <c r="L7391" s="37">
        <v>1</v>
      </c>
      <c r="M7391" s="22">
        <f>IF(OR(ISBLANK(C7391),C7391=""),"",ROUND((C7391-B7391)*24,2))</f>
        <v>51.05</v>
      </c>
      <c r="N7391" s="40" t="str">
        <f>IF(OR(ISBLANK(C7391),C7391="",M7391=""),"In Progress",IF(M7391&lt;=J7391,"Met","Breached"))</f>
        <v>Met</v>
      </c>
    </row>
    <row r="7392" ht="19" customHeight="1" spans="1:14" x14ac:dyDescent="0.25">
      <c r="A7392" s="19" t="s">
        <v>7506</v>
      </c>
      <c r="B7392" s="33">
        <v>45801.677777777775</v>
      </c>
      <c r="D7392" s="19" t="s">
        <v>42</v>
      </c>
      <c r="E7392" s="19" t="s">
        <v>65</v>
      </c>
      <c r="F7392" s="19" t="s">
        <v>45</v>
      </c>
      <c r="G7392" s="19" t="s">
        <v>116</v>
      </c>
      <c r="H7392" s="19" t="s">
        <v>71</v>
      </c>
      <c r="I7392" s="19" t="s">
        <v>114</v>
      </c>
      <c r="J7392" s="20">
        <v>48</v>
      </c>
      <c r="K7392" s="34">
        <v>0</v>
      </c>
      <c r="M7392" s="19" t="str">
        <f>IF(OR(ISBLANK(C7392),C7392=""),"",ROUND((C7392-B7392)*24,2))</f>
        <v/>
      </c>
      <c r="N7392" s="19" t="str">
        <f>IF(OR(ISBLANK(C7392),C7392="",M7392=""),"In Progress",IF(M7392&lt;=J7392,"Met","Breached"))</f>
        <v>In Progress</v>
      </c>
    </row>
    <row r="7393" ht="19" customHeight="1" spans="1:14" x14ac:dyDescent="0.25">
      <c r="A7393" s="22" t="s">
        <v>7507</v>
      </c>
      <c r="B7393" s="36">
        <v>46274.665972222225</v>
      </c>
      <c r="C7393" s="36">
        <v>46276.50625</v>
      </c>
      <c r="D7393" s="22" t="s">
        <v>33</v>
      </c>
      <c r="E7393" s="22" t="s">
        <v>65</v>
      </c>
      <c r="F7393" s="22" t="s">
        <v>43</v>
      </c>
      <c r="G7393" s="22" t="s">
        <v>126</v>
      </c>
      <c r="H7393" s="22" t="s">
        <v>63</v>
      </c>
      <c r="I7393" s="22" t="s">
        <v>123</v>
      </c>
      <c r="J7393" s="23">
        <v>48</v>
      </c>
      <c r="K7393" s="37">
        <v>0</v>
      </c>
      <c r="L7393" s="37">
        <v>1</v>
      </c>
      <c r="M7393" s="22">
        <f>IF(OR(ISBLANK(C7393),C7393=""),"",ROUND((C7393-B7393)*24,2))</f>
        <v>44.17</v>
      </c>
      <c r="N7393" s="40" t="str">
        <f>IF(OR(ISBLANK(C7393),C7393="",M7393=""),"In Progress",IF(M7393&lt;=J7393,"Met","Breached"))</f>
        <v>Met</v>
      </c>
    </row>
    <row r="7394" ht="19" customHeight="1" spans="1:14" x14ac:dyDescent="0.25">
      <c r="A7394" s="19" t="s">
        <v>7508</v>
      </c>
      <c r="B7394" s="33">
        <v>46225.68680555555</v>
      </c>
      <c r="C7394" s="33">
        <v>46228.1125</v>
      </c>
      <c r="D7394" s="19" t="s">
        <v>33</v>
      </c>
      <c r="E7394" s="19" t="s">
        <v>65</v>
      </c>
      <c r="F7394" s="19" t="s">
        <v>34</v>
      </c>
      <c r="G7394" s="19" t="s">
        <v>63</v>
      </c>
      <c r="H7394" s="19" t="s">
        <v>71</v>
      </c>
      <c r="I7394" s="19" t="s">
        <v>147</v>
      </c>
      <c r="J7394" s="20">
        <v>48</v>
      </c>
      <c r="K7394" s="34">
        <v>0</v>
      </c>
      <c r="M7394" s="19">
        <f>IF(OR(ISBLANK(C7394),C7394=""),"",ROUND((C7394-B7394)*24,2))</f>
        <v>58.22</v>
      </c>
      <c r="N7394" s="39" t="str">
        <f>IF(OR(ISBLANK(C7394),C7394="",M7394=""),"In Progress",IF(M7394&lt;=J7394,"Met","Breached"))</f>
        <v>Breached</v>
      </c>
    </row>
    <row r="7395" ht="19" customHeight="1" spans="1:14" x14ac:dyDescent="0.25">
      <c r="A7395" s="22" t="s">
        <v>7509</v>
      </c>
      <c r="B7395" s="36">
        <v>46076.05625</v>
      </c>
      <c r="C7395" s="36">
        <v>46077.85625</v>
      </c>
      <c r="D7395" s="22" t="s">
        <v>33</v>
      </c>
      <c r="E7395" s="22" t="s">
        <v>65</v>
      </c>
      <c r="F7395" s="22" t="s">
        <v>34</v>
      </c>
      <c r="G7395" s="22" t="s">
        <v>126</v>
      </c>
      <c r="H7395" s="22" t="s">
        <v>59</v>
      </c>
      <c r="I7395" s="22" t="s">
        <v>108</v>
      </c>
      <c r="J7395" s="23">
        <v>48</v>
      </c>
      <c r="K7395" s="37">
        <v>0</v>
      </c>
      <c r="L7395" s="37">
        <v>1</v>
      </c>
      <c r="M7395" s="22">
        <f>IF(OR(ISBLANK(C7395),C7395=""),"",ROUND((C7395-B7395)*24,2))</f>
        <v>43.2</v>
      </c>
      <c r="N7395" s="40" t="str">
        <f>IF(OR(ISBLANK(C7395),C7395="",M7395=""),"In Progress",IF(M7395&lt;=J7395,"Met","Breached"))</f>
        <v>Met</v>
      </c>
    </row>
    <row r="7396" ht="19" customHeight="1" spans="1:14" x14ac:dyDescent="0.25">
      <c r="A7396" s="19" t="s">
        <v>7510</v>
      </c>
      <c r="B7396" s="33">
        <v>46255.56875</v>
      </c>
      <c r="C7396" s="33">
        <v>46263.42638888889</v>
      </c>
      <c r="D7396" s="19" t="s">
        <v>33</v>
      </c>
      <c r="E7396" s="19" t="s">
        <v>69</v>
      </c>
      <c r="F7396" s="19" t="s">
        <v>34</v>
      </c>
      <c r="G7396" s="19" t="s">
        <v>116</v>
      </c>
      <c r="H7396" s="19" t="s">
        <v>59</v>
      </c>
      <c r="I7396" s="19" t="s">
        <v>147</v>
      </c>
      <c r="J7396" s="20">
        <v>120</v>
      </c>
      <c r="K7396" s="34">
        <v>0</v>
      </c>
      <c r="M7396" s="19">
        <f>IF(OR(ISBLANK(C7396),C7396=""),"",ROUND((C7396-B7396)*24,2))</f>
        <v>188.58</v>
      </c>
      <c r="N7396" s="39" t="str">
        <f>IF(OR(ISBLANK(C7396),C7396="",M7396=""),"In Progress",IF(M7396&lt;=J7396,"Met","Breached"))</f>
        <v>Breached</v>
      </c>
    </row>
    <row r="7397" ht="19" customHeight="1" spans="1:14" x14ac:dyDescent="0.25">
      <c r="A7397" s="22" t="s">
        <v>7511</v>
      </c>
      <c r="B7397" s="36">
        <v>45727.33472222222</v>
      </c>
      <c r="C7397" s="36">
        <v>45727.64791666667</v>
      </c>
      <c r="D7397" s="22" t="s">
        <v>36</v>
      </c>
      <c r="E7397" s="22" t="s">
        <v>61</v>
      </c>
      <c r="F7397" s="22" t="s">
        <v>40</v>
      </c>
      <c r="G7397" s="22" t="s">
        <v>116</v>
      </c>
      <c r="H7397" s="22" t="s">
        <v>59</v>
      </c>
      <c r="I7397" s="22" t="s">
        <v>123</v>
      </c>
      <c r="J7397" s="23">
        <v>12</v>
      </c>
      <c r="K7397" s="37">
        <v>0</v>
      </c>
      <c r="L7397" s="37">
        <v>4</v>
      </c>
      <c r="M7397" s="22">
        <f>IF(OR(ISBLANK(C7397),C7397=""),"",ROUND((C7397-B7397)*24,2))</f>
        <v>7.52</v>
      </c>
      <c r="N7397" s="40" t="str">
        <f>IF(OR(ISBLANK(C7397),C7397="",M7397=""),"In Progress",IF(M7397&lt;=J7397,"Met","Breached"))</f>
        <v>Met</v>
      </c>
    </row>
    <row r="7398" ht="19" customHeight="1" spans="1:14" x14ac:dyDescent="0.25">
      <c r="A7398" s="19" t="s">
        <v>7512</v>
      </c>
      <c r="B7398" s="33">
        <v>45961.976388888885</v>
      </c>
      <c r="D7398" s="19" t="s">
        <v>39</v>
      </c>
      <c r="E7398" s="19" t="s">
        <v>61</v>
      </c>
      <c r="F7398" s="19" t="s">
        <v>40</v>
      </c>
      <c r="G7398" s="19" t="s">
        <v>126</v>
      </c>
      <c r="H7398" s="19" t="s">
        <v>59</v>
      </c>
      <c r="I7398" s="19" t="s">
        <v>111</v>
      </c>
      <c r="J7398" s="20">
        <v>12</v>
      </c>
      <c r="K7398" s="34">
        <v>0</v>
      </c>
      <c r="M7398" s="19" t="str">
        <f>IF(OR(ISBLANK(C7398),C7398=""),"",ROUND((C7398-B7398)*24,2))</f>
        <v/>
      </c>
      <c r="N7398" s="19" t="str">
        <f>IF(OR(ISBLANK(C7398),C7398="",M7398=""),"In Progress",IF(M7398&lt;=J7398,"Met","Breached"))</f>
        <v>In Progress</v>
      </c>
    </row>
    <row r="7399" ht="19" customHeight="1" spans="1:14" x14ac:dyDescent="0.25">
      <c r="A7399" s="22" t="s">
        <v>7513</v>
      </c>
      <c r="B7399" s="36">
        <v>45957.37291666667</v>
      </c>
      <c r="D7399" s="22" t="s">
        <v>39</v>
      </c>
      <c r="E7399" s="22" t="s">
        <v>65</v>
      </c>
      <c r="F7399" s="22" t="s">
        <v>45</v>
      </c>
      <c r="G7399" s="22" t="s">
        <v>113</v>
      </c>
      <c r="H7399" s="22" t="s">
        <v>67</v>
      </c>
      <c r="I7399" s="22" t="s">
        <v>111</v>
      </c>
      <c r="J7399" s="23">
        <v>48</v>
      </c>
      <c r="K7399" s="37">
        <v>0</v>
      </c>
      <c r="M7399" s="22" t="str">
        <f>IF(OR(ISBLANK(C7399),C7399=""),"",ROUND((C7399-B7399)*24,2))</f>
        <v/>
      </c>
      <c r="N7399" s="22" t="str">
        <f>IF(OR(ISBLANK(C7399),C7399="",M7399=""),"In Progress",IF(M7399&lt;=J7399,"Met","Breached"))</f>
        <v>In Progress</v>
      </c>
    </row>
    <row r="7400" ht="19" customHeight="1" spans="1:14" x14ac:dyDescent="0.25">
      <c r="A7400" s="19" t="s">
        <v>7514</v>
      </c>
      <c r="B7400" s="33">
        <v>46160.18472222222</v>
      </c>
      <c r="C7400" s="33">
        <v>46160.99513888889</v>
      </c>
      <c r="D7400" s="19" t="s">
        <v>33</v>
      </c>
      <c r="E7400" s="19" t="s">
        <v>61</v>
      </c>
      <c r="F7400" s="19" t="s">
        <v>43</v>
      </c>
      <c r="G7400" s="19" t="s">
        <v>113</v>
      </c>
      <c r="H7400" s="19" t="s">
        <v>59</v>
      </c>
      <c r="I7400" s="19" t="s">
        <v>114</v>
      </c>
      <c r="J7400" s="20">
        <v>12</v>
      </c>
      <c r="K7400" s="34">
        <v>0</v>
      </c>
      <c r="L7400" s="34">
        <v>5</v>
      </c>
      <c r="M7400" s="19">
        <f>IF(OR(ISBLANK(C7400),C7400=""),"",ROUND((C7400-B7400)*24,2))</f>
        <v>19.45</v>
      </c>
      <c r="N7400" s="39" t="str">
        <f>IF(OR(ISBLANK(C7400),C7400="",M7400=""),"In Progress",IF(M7400&lt;=J7400,"Met","Breached"))</f>
        <v>Breached</v>
      </c>
    </row>
    <row r="7401" ht="19" customHeight="1" spans="1:14" x14ac:dyDescent="0.25">
      <c r="A7401" s="22" t="s">
        <v>7515</v>
      </c>
      <c r="B7401" s="36">
        <v>45723.33194444445</v>
      </c>
      <c r="C7401" s="36">
        <v>45726.27638888889</v>
      </c>
      <c r="D7401" s="22" t="s">
        <v>33</v>
      </c>
      <c r="E7401" s="22" t="s">
        <v>65</v>
      </c>
      <c r="F7401" s="22" t="s">
        <v>43</v>
      </c>
      <c r="G7401" s="22" t="s">
        <v>126</v>
      </c>
      <c r="H7401" s="22" t="s">
        <v>59</v>
      </c>
      <c r="I7401" s="22" t="s">
        <v>147</v>
      </c>
      <c r="J7401" s="23">
        <v>48</v>
      </c>
      <c r="K7401" s="37">
        <v>0</v>
      </c>
      <c r="L7401" s="37">
        <v>5</v>
      </c>
      <c r="M7401" s="22">
        <f>IF(OR(ISBLANK(C7401),C7401=""),"",ROUND((C7401-B7401)*24,2))</f>
        <v>70.67</v>
      </c>
      <c r="N7401" s="38" t="str">
        <f>IF(OR(ISBLANK(C7401),C7401="",M7401=""),"In Progress",IF(M7401&lt;=J7401,"Met","Breached"))</f>
        <v>Breached</v>
      </c>
    </row>
    <row r="7402" ht="19" customHeight="1" spans="1:14" x14ac:dyDescent="0.25">
      <c r="A7402" s="19" t="s">
        <v>7516</v>
      </c>
      <c r="B7402" s="33">
        <v>45809.05902777778</v>
      </c>
      <c r="C7402" s="33">
        <v>45810.40833333333</v>
      </c>
      <c r="D7402" s="19" t="s">
        <v>33</v>
      </c>
      <c r="E7402" s="19" t="s">
        <v>65</v>
      </c>
      <c r="F7402" s="19" t="s">
        <v>43</v>
      </c>
      <c r="G7402" s="19" t="s">
        <v>63</v>
      </c>
      <c r="H7402" s="19" t="s">
        <v>67</v>
      </c>
      <c r="I7402" s="19" t="s">
        <v>114</v>
      </c>
      <c r="J7402" s="20">
        <v>48</v>
      </c>
      <c r="K7402" s="34">
        <v>1</v>
      </c>
      <c r="L7402" s="34">
        <v>3</v>
      </c>
      <c r="M7402" s="19">
        <f>IF(OR(ISBLANK(C7402),C7402=""),"",ROUND((C7402-B7402)*24,2))</f>
        <v>32.38</v>
      </c>
      <c r="N7402" s="35" t="str">
        <f>IF(OR(ISBLANK(C7402),C7402="",M7402=""),"In Progress",IF(M7402&lt;=J7402,"Met","Breached"))</f>
        <v>Met</v>
      </c>
    </row>
    <row r="7403" ht="19" customHeight="1" spans="1:14" x14ac:dyDescent="0.25">
      <c r="A7403" s="22" t="s">
        <v>7517</v>
      </c>
      <c r="B7403" s="36">
        <v>45896.32638888889</v>
      </c>
      <c r="C7403" s="36">
        <v>45899.07083333333</v>
      </c>
      <c r="D7403" s="22" t="s">
        <v>36</v>
      </c>
      <c r="E7403" s="22" t="s">
        <v>65</v>
      </c>
      <c r="F7403" s="22" t="s">
        <v>37</v>
      </c>
      <c r="G7403" s="22" t="s">
        <v>110</v>
      </c>
      <c r="H7403" s="22" t="s">
        <v>59</v>
      </c>
      <c r="I7403" s="22" t="s">
        <v>111</v>
      </c>
      <c r="J7403" s="23">
        <v>48</v>
      </c>
      <c r="K7403" s="37">
        <v>0</v>
      </c>
      <c r="L7403" s="37">
        <v>5</v>
      </c>
      <c r="M7403" s="22">
        <f>IF(OR(ISBLANK(C7403),C7403=""),"",ROUND((C7403-B7403)*24,2))</f>
        <v>65.87</v>
      </c>
      <c r="N7403" s="38" t="str">
        <f>IF(OR(ISBLANK(C7403),C7403="",M7403=""),"In Progress",IF(M7403&lt;=J7403,"Met","Breached"))</f>
        <v>Breached</v>
      </c>
    </row>
    <row r="7404" ht="19" customHeight="1" spans="1:14" x14ac:dyDescent="0.25">
      <c r="A7404" s="19" t="s">
        <v>7518</v>
      </c>
      <c r="B7404" s="33">
        <v>45928.91458333333</v>
      </c>
      <c r="C7404" s="33">
        <v>45931.88333333333</v>
      </c>
      <c r="D7404" s="19" t="s">
        <v>36</v>
      </c>
      <c r="E7404" s="19" t="s">
        <v>65</v>
      </c>
      <c r="F7404" s="19" t="s">
        <v>43</v>
      </c>
      <c r="G7404" s="19" t="s">
        <v>110</v>
      </c>
      <c r="H7404" s="19" t="s">
        <v>67</v>
      </c>
      <c r="I7404" s="19" t="s">
        <v>108</v>
      </c>
      <c r="J7404" s="20">
        <v>48</v>
      </c>
      <c r="K7404" s="34">
        <v>0</v>
      </c>
      <c r="L7404" s="34">
        <v>1</v>
      </c>
      <c r="M7404" s="19">
        <f>IF(OR(ISBLANK(C7404),C7404=""),"",ROUND((C7404-B7404)*24,2))</f>
        <v>71.25</v>
      </c>
      <c r="N7404" s="39" t="str">
        <f>IF(OR(ISBLANK(C7404),C7404="",M7404=""),"In Progress",IF(M7404&lt;=J7404,"Met","Breached"))</f>
        <v>Breached</v>
      </c>
    </row>
    <row r="7405" ht="19" customHeight="1" spans="1:14" x14ac:dyDescent="0.25">
      <c r="A7405" s="22" t="s">
        <v>7519</v>
      </c>
      <c r="B7405" s="36">
        <v>46099.194444444445</v>
      </c>
      <c r="C7405" s="36">
        <v>46100.20347222222</v>
      </c>
      <c r="D7405" s="22" t="s">
        <v>33</v>
      </c>
      <c r="E7405" s="22" t="s">
        <v>65</v>
      </c>
      <c r="F7405" s="22" t="s">
        <v>43</v>
      </c>
      <c r="G7405" s="22" t="s">
        <v>63</v>
      </c>
      <c r="H7405" s="22" t="s">
        <v>63</v>
      </c>
      <c r="I7405" s="22" t="s">
        <v>147</v>
      </c>
      <c r="J7405" s="23">
        <v>48</v>
      </c>
      <c r="K7405" s="37">
        <v>0</v>
      </c>
      <c r="L7405" s="37">
        <v>1</v>
      </c>
      <c r="M7405" s="22">
        <f>IF(OR(ISBLANK(C7405),C7405=""),"",ROUND((C7405-B7405)*24,2))</f>
        <v>24.22</v>
      </c>
      <c r="N7405" s="40" t="str">
        <f>IF(OR(ISBLANK(C7405),C7405="",M7405=""),"In Progress",IF(M7405&lt;=J7405,"Met","Breached"))</f>
        <v>Met</v>
      </c>
    </row>
    <row r="7406" ht="19" customHeight="1" spans="1:14" x14ac:dyDescent="0.25">
      <c r="A7406" s="19" t="s">
        <v>7520</v>
      </c>
      <c r="B7406" s="33">
        <v>46046.61111111111</v>
      </c>
      <c r="D7406" s="19" t="s">
        <v>42</v>
      </c>
      <c r="E7406" s="19" t="s">
        <v>65</v>
      </c>
      <c r="F7406" s="19" t="s">
        <v>34</v>
      </c>
      <c r="G7406" s="19" t="s">
        <v>121</v>
      </c>
      <c r="H7406" s="19" t="s">
        <v>67</v>
      </c>
      <c r="I7406" s="19" t="s">
        <v>111</v>
      </c>
      <c r="J7406" s="20">
        <v>48</v>
      </c>
      <c r="K7406" s="34">
        <v>0</v>
      </c>
      <c r="M7406" s="19" t="str">
        <f>IF(OR(ISBLANK(C7406),C7406=""),"",ROUND((C7406-B7406)*24,2))</f>
        <v/>
      </c>
      <c r="N7406" s="19" t="str">
        <f>IF(OR(ISBLANK(C7406),C7406="",M7406=""),"In Progress",IF(M7406&lt;=J7406,"Met","Breached"))</f>
        <v>In Progress</v>
      </c>
    </row>
    <row r="7407" ht="19" customHeight="1" spans="1:14" x14ac:dyDescent="0.25">
      <c r="A7407" s="22" t="s">
        <v>7521</v>
      </c>
      <c r="B7407" s="36">
        <v>46020.601388888885</v>
      </c>
      <c r="C7407" s="36">
        <v>46021.21805555555</v>
      </c>
      <c r="D7407" s="22" t="s">
        <v>36</v>
      </c>
      <c r="E7407" s="22" t="s">
        <v>65</v>
      </c>
      <c r="F7407" s="22" t="s">
        <v>40</v>
      </c>
      <c r="G7407" s="22" t="s">
        <v>116</v>
      </c>
      <c r="H7407" s="22" t="s">
        <v>63</v>
      </c>
      <c r="I7407" s="22" t="s">
        <v>147</v>
      </c>
      <c r="J7407" s="23">
        <v>48</v>
      </c>
      <c r="K7407" s="37">
        <v>0</v>
      </c>
      <c r="L7407" s="37">
        <v>4</v>
      </c>
      <c r="M7407" s="22">
        <f>IF(OR(ISBLANK(C7407),C7407=""),"",ROUND((C7407-B7407)*24,2))</f>
        <v>14.8</v>
      </c>
      <c r="N7407" s="40" t="str">
        <f>IF(OR(ISBLANK(C7407),C7407="",M7407=""),"In Progress",IF(M7407&lt;=J7407,"Met","Breached"))</f>
        <v>Met</v>
      </c>
    </row>
    <row r="7408" ht="19" customHeight="1" spans="1:14" x14ac:dyDescent="0.25">
      <c r="A7408" s="19" t="s">
        <v>7522</v>
      </c>
      <c r="B7408" s="33">
        <v>46158.57430555555</v>
      </c>
      <c r="C7408" s="33">
        <v>46158.68194444444</v>
      </c>
      <c r="D7408" s="19" t="s">
        <v>33</v>
      </c>
      <c r="E7408" s="19" t="s">
        <v>57</v>
      </c>
      <c r="F7408" s="19" t="s">
        <v>45</v>
      </c>
      <c r="G7408" s="19" t="s">
        <v>116</v>
      </c>
      <c r="H7408" s="19" t="s">
        <v>63</v>
      </c>
      <c r="I7408" s="19" t="s">
        <v>123</v>
      </c>
      <c r="J7408" s="20">
        <v>4</v>
      </c>
      <c r="K7408" s="34">
        <v>0</v>
      </c>
      <c r="L7408" s="34">
        <v>4</v>
      </c>
      <c r="M7408" s="19">
        <f>IF(OR(ISBLANK(C7408),C7408=""),"",ROUND((C7408-B7408)*24,2))</f>
        <v>2.58</v>
      </c>
      <c r="N7408" s="35" t="str">
        <f>IF(OR(ISBLANK(C7408),C7408="",M7408=""),"In Progress",IF(M7408&lt;=J7408,"Met","Breached"))</f>
        <v>Met</v>
      </c>
    </row>
    <row r="7409" ht="19" customHeight="1" spans="1:14" x14ac:dyDescent="0.25">
      <c r="A7409" s="22" t="s">
        <v>7523</v>
      </c>
      <c r="B7409" s="36">
        <v>46227.47708333333</v>
      </c>
      <c r="D7409" s="22" t="s">
        <v>42</v>
      </c>
      <c r="E7409" s="22" t="s">
        <v>61</v>
      </c>
      <c r="F7409" s="22" t="s">
        <v>34</v>
      </c>
      <c r="G7409" s="22" t="s">
        <v>63</v>
      </c>
      <c r="H7409" s="22" t="s">
        <v>71</v>
      </c>
      <c r="I7409" s="22" t="s">
        <v>117</v>
      </c>
      <c r="J7409" s="23">
        <v>12</v>
      </c>
      <c r="K7409" s="37">
        <v>0</v>
      </c>
      <c r="M7409" s="22" t="str">
        <f>IF(OR(ISBLANK(C7409),C7409=""),"",ROUND((C7409-B7409)*24,2))</f>
        <v/>
      </c>
      <c r="N7409" s="22" t="str">
        <f>IF(OR(ISBLANK(C7409),C7409="",M7409=""),"In Progress",IF(M7409&lt;=J7409,"Met","Breached"))</f>
        <v>In Progress</v>
      </c>
    </row>
    <row r="7410" ht="19" customHeight="1" spans="1:14" x14ac:dyDescent="0.25">
      <c r="A7410" s="19" t="s">
        <v>7524</v>
      </c>
      <c r="B7410" s="33">
        <v>46203.53333333333</v>
      </c>
      <c r="D7410" s="19" t="s">
        <v>42</v>
      </c>
      <c r="E7410" s="19" t="s">
        <v>65</v>
      </c>
      <c r="F7410" s="19" t="s">
        <v>43</v>
      </c>
      <c r="G7410" s="19" t="s">
        <v>63</v>
      </c>
      <c r="H7410" s="19" t="s">
        <v>59</v>
      </c>
      <c r="I7410" s="19" t="s">
        <v>111</v>
      </c>
      <c r="J7410" s="20">
        <v>48</v>
      </c>
      <c r="K7410" s="34">
        <v>0</v>
      </c>
      <c r="M7410" s="19" t="str">
        <f>IF(OR(ISBLANK(C7410),C7410=""),"",ROUND((C7410-B7410)*24,2))</f>
        <v/>
      </c>
      <c r="N7410" s="19" t="str">
        <f>IF(OR(ISBLANK(C7410),C7410="",M7410=""),"In Progress",IF(M7410&lt;=J7410,"Met","Breached"))</f>
        <v>In Progress</v>
      </c>
    </row>
    <row r="7411" ht="19" customHeight="1" spans="1:14" x14ac:dyDescent="0.25">
      <c r="A7411" s="22" t="s">
        <v>7525</v>
      </c>
      <c r="B7411" s="36">
        <v>45849.79652777778</v>
      </c>
      <c r="C7411" s="36">
        <v>45850.27083333333</v>
      </c>
      <c r="D7411" s="22" t="s">
        <v>33</v>
      </c>
      <c r="E7411" s="22" t="s">
        <v>61</v>
      </c>
      <c r="F7411" s="22" t="s">
        <v>40</v>
      </c>
      <c r="G7411" s="22" t="s">
        <v>113</v>
      </c>
      <c r="H7411" s="22" t="s">
        <v>59</v>
      </c>
      <c r="I7411" s="22" t="s">
        <v>117</v>
      </c>
      <c r="J7411" s="23">
        <v>12</v>
      </c>
      <c r="K7411" s="37">
        <v>0</v>
      </c>
      <c r="M7411" s="22">
        <f>IF(OR(ISBLANK(C7411),C7411=""),"",ROUND((C7411-B7411)*24,2))</f>
        <v>11.38</v>
      </c>
      <c r="N7411" s="40" t="str">
        <f>IF(OR(ISBLANK(C7411),C7411="",M7411=""),"In Progress",IF(M7411&lt;=J7411,"Met","Breached"))</f>
        <v>Met</v>
      </c>
    </row>
    <row r="7412" ht="19" customHeight="1" spans="1:14" x14ac:dyDescent="0.25">
      <c r="A7412" s="19" t="s">
        <v>7526</v>
      </c>
      <c r="B7412" s="33">
        <v>45800.5</v>
      </c>
      <c r="C7412" s="33">
        <v>45800.78194444445</v>
      </c>
      <c r="D7412" s="19" t="s">
        <v>36</v>
      </c>
      <c r="E7412" s="19" t="s">
        <v>57</v>
      </c>
      <c r="F7412" s="19" t="s">
        <v>45</v>
      </c>
      <c r="G7412" s="19" t="s">
        <v>63</v>
      </c>
      <c r="H7412" s="19" t="s">
        <v>63</v>
      </c>
      <c r="I7412" s="19" t="s">
        <v>147</v>
      </c>
      <c r="J7412" s="20">
        <v>4</v>
      </c>
      <c r="K7412" s="34">
        <v>0</v>
      </c>
      <c r="L7412" s="34">
        <v>2</v>
      </c>
      <c r="M7412" s="19">
        <f>IF(OR(ISBLANK(C7412),C7412=""),"",ROUND((C7412-B7412)*24,2))</f>
        <v>6.77</v>
      </c>
      <c r="N7412" s="39" t="str">
        <f>IF(OR(ISBLANK(C7412),C7412="",M7412=""),"In Progress",IF(M7412&lt;=J7412,"Met","Breached"))</f>
        <v>Breached</v>
      </c>
    </row>
    <row r="7413" ht="19" customHeight="1" spans="1:14" x14ac:dyDescent="0.25">
      <c r="A7413" s="22" t="s">
        <v>7527</v>
      </c>
      <c r="B7413" s="36">
        <v>46201.49166666667</v>
      </c>
      <c r="C7413" s="36">
        <v>46201.992361111115</v>
      </c>
      <c r="D7413" s="22" t="s">
        <v>33</v>
      </c>
      <c r="E7413" s="22" t="s">
        <v>61</v>
      </c>
      <c r="F7413" s="22" t="s">
        <v>37</v>
      </c>
      <c r="G7413" s="22" t="s">
        <v>121</v>
      </c>
      <c r="H7413" s="22" t="s">
        <v>71</v>
      </c>
      <c r="I7413" s="22" t="s">
        <v>123</v>
      </c>
      <c r="J7413" s="23">
        <v>12</v>
      </c>
      <c r="K7413" s="37">
        <v>0</v>
      </c>
      <c r="L7413" s="37">
        <v>4</v>
      </c>
      <c r="M7413" s="22">
        <f>IF(OR(ISBLANK(C7413),C7413=""),"",ROUND((C7413-B7413)*24,2))</f>
        <v>12.02</v>
      </c>
      <c r="N7413" s="38" t="str">
        <f>IF(OR(ISBLANK(C7413),C7413="",M7413=""),"In Progress",IF(M7413&lt;=J7413,"Met","Breached"))</f>
        <v>Breached</v>
      </c>
    </row>
    <row r="7414" ht="19" customHeight="1" spans="1:14" x14ac:dyDescent="0.25">
      <c r="A7414" s="19" t="s">
        <v>7528</v>
      </c>
      <c r="B7414" s="33">
        <v>46259.33819444444</v>
      </c>
      <c r="C7414" s="33">
        <v>46266.43194444444</v>
      </c>
      <c r="D7414" s="19" t="s">
        <v>33</v>
      </c>
      <c r="E7414" s="19" t="s">
        <v>69</v>
      </c>
      <c r="F7414" s="19" t="s">
        <v>37</v>
      </c>
      <c r="G7414" s="19" t="s">
        <v>116</v>
      </c>
      <c r="H7414" s="19" t="s">
        <v>59</v>
      </c>
      <c r="I7414" s="19" t="s">
        <v>114</v>
      </c>
      <c r="J7414" s="20">
        <v>120</v>
      </c>
      <c r="K7414" s="34">
        <v>0</v>
      </c>
      <c r="L7414" s="34">
        <v>1</v>
      </c>
      <c r="M7414" s="19">
        <f>IF(OR(ISBLANK(C7414),C7414=""),"",ROUND((C7414-B7414)*24,2))</f>
        <v>170.25</v>
      </c>
      <c r="N7414" s="39" t="str">
        <f>IF(OR(ISBLANK(C7414),C7414="",M7414=""),"In Progress",IF(M7414&lt;=J7414,"Met","Breached"))</f>
        <v>Breached</v>
      </c>
    </row>
    <row r="7415" ht="19" customHeight="1" spans="1:14" x14ac:dyDescent="0.25">
      <c r="A7415" s="22" t="s">
        <v>7529</v>
      </c>
      <c r="B7415" s="36">
        <v>45904.30069444445</v>
      </c>
      <c r="C7415" s="36">
        <v>45906.05416666667</v>
      </c>
      <c r="D7415" s="22" t="s">
        <v>33</v>
      </c>
      <c r="E7415" s="22" t="s">
        <v>65</v>
      </c>
      <c r="F7415" s="22" t="s">
        <v>43</v>
      </c>
      <c r="G7415" s="22" t="s">
        <v>63</v>
      </c>
      <c r="H7415" s="22" t="s">
        <v>59</v>
      </c>
      <c r="I7415" s="22" t="s">
        <v>117</v>
      </c>
      <c r="J7415" s="23">
        <v>48</v>
      </c>
      <c r="K7415" s="37">
        <v>0</v>
      </c>
      <c r="L7415" s="37">
        <v>3</v>
      </c>
      <c r="M7415" s="22">
        <f>IF(OR(ISBLANK(C7415),C7415=""),"",ROUND((C7415-B7415)*24,2))</f>
        <v>42.08</v>
      </c>
      <c r="N7415" s="40" t="str">
        <f>IF(OR(ISBLANK(C7415),C7415="",M7415=""),"In Progress",IF(M7415&lt;=J7415,"Met","Breached"))</f>
        <v>Met</v>
      </c>
    </row>
    <row r="7416" ht="19" customHeight="1" spans="1:14" x14ac:dyDescent="0.25">
      <c r="A7416" s="19" t="s">
        <v>7530</v>
      </c>
      <c r="B7416" s="33">
        <v>45916.896527777775</v>
      </c>
      <c r="C7416" s="33">
        <v>45920.17013888889</v>
      </c>
      <c r="D7416" s="19" t="s">
        <v>33</v>
      </c>
      <c r="E7416" s="19" t="s">
        <v>65</v>
      </c>
      <c r="F7416" s="19" t="s">
        <v>37</v>
      </c>
      <c r="G7416" s="19" t="s">
        <v>121</v>
      </c>
      <c r="H7416" s="19" t="s">
        <v>59</v>
      </c>
      <c r="I7416" s="19" t="s">
        <v>108</v>
      </c>
      <c r="J7416" s="20">
        <v>48</v>
      </c>
      <c r="K7416" s="34">
        <v>0</v>
      </c>
      <c r="M7416" s="19">
        <f>IF(OR(ISBLANK(C7416),C7416=""),"",ROUND((C7416-B7416)*24,2))</f>
        <v>78.57</v>
      </c>
      <c r="N7416" s="39" t="str">
        <f>IF(OR(ISBLANK(C7416),C7416="",M7416=""),"In Progress",IF(M7416&lt;=J7416,"Met","Breached"))</f>
        <v>Breached</v>
      </c>
    </row>
    <row r="7417" ht="19" customHeight="1" spans="1:14" x14ac:dyDescent="0.25">
      <c r="A7417" s="22" t="s">
        <v>7531</v>
      </c>
      <c r="B7417" s="36">
        <v>45917.38402777778</v>
      </c>
      <c r="D7417" s="22" t="s">
        <v>39</v>
      </c>
      <c r="E7417" s="22" t="s">
        <v>65</v>
      </c>
      <c r="F7417" s="22" t="s">
        <v>37</v>
      </c>
      <c r="G7417" s="22" t="s">
        <v>113</v>
      </c>
      <c r="H7417" s="22" t="s">
        <v>59</v>
      </c>
      <c r="I7417" s="22" t="s">
        <v>117</v>
      </c>
      <c r="J7417" s="23">
        <v>48</v>
      </c>
      <c r="K7417" s="37">
        <v>0</v>
      </c>
      <c r="M7417" s="22" t="str">
        <f>IF(OR(ISBLANK(C7417),C7417=""),"",ROUND((C7417-B7417)*24,2))</f>
        <v/>
      </c>
      <c r="N7417" s="22" t="str">
        <f>IF(OR(ISBLANK(C7417),C7417="",M7417=""),"In Progress",IF(M7417&lt;=J7417,"Met","Breached"))</f>
        <v>In Progress</v>
      </c>
    </row>
    <row r="7418" ht="19" customHeight="1" spans="1:14" x14ac:dyDescent="0.25">
      <c r="A7418" s="19" t="s">
        <v>7532</v>
      </c>
      <c r="B7418" s="33">
        <v>46223.95138888889</v>
      </c>
      <c r="C7418" s="33">
        <v>46225.87847222222</v>
      </c>
      <c r="D7418" s="19" t="s">
        <v>33</v>
      </c>
      <c r="E7418" s="19" t="s">
        <v>69</v>
      </c>
      <c r="F7418" s="19" t="s">
        <v>43</v>
      </c>
      <c r="G7418" s="19" t="s">
        <v>113</v>
      </c>
      <c r="H7418" s="19" t="s">
        <v>59</v>
      </c>
      <c r="I7418" s="19" t="s">
        <v>114</v>
      </c>
      <c r="J7418" s="20">
        <v>120</v>
      </c>
      <c r="K7418" s="34">
        <v>0</v>
      </c>
      <c r="L7418" s="34">
        <v>1</v>
      </c>
      <c r="M7418" s="19">
        <f>IF(OR(ISBLANK(C7418),C7418=""),"",ROUND((C7418-B7418)*24,2))</f>
        <v>46.25</v>
      </c>
      <c r="N7418" s="35" t="str">
        <f>IF(OR(ISBLANK(C7418),C7418="",M7418=""),"In Progress",IF(M7418&lt;=J7418,"Met","Breached"))</f>
        <v>Met</v>
      </c>
    </row>
    <row r="7419" ht="19" customHeight="1" spans="1:14" x14ac:dyDescent="0.25">
      <c r="A7419" s="22" t="s">
        <v>7533</v>
      </c>
      <c r="B7419" s="36">
        <v>46228.52847222222</v>
      </c>
      <c r="D7419" s="22" t="s">
        <v>42</v>
      </c>
      <c r="E7419" s="22" t="s">
        <v>61</v>
      </c>
      <c r="F7419" s="22" t="s">
        <v>34</v>
      </c>
      <c r="G7419" s="22" t="s">
        <v>121</v>
      </c>
      <c r="H7419" s="22" t="s">
        <v>63</v>
      </c>
      <c r="I7419" s="22" t="s">
        <v>117</v>
      </c>
      <c r="J7419" s="23">
        <v>12</v>
      </c>
      <c r="K7419" s="37">
        <v>0</v>
      </c>
      <c r="M7419" s="22" t="str">
        <f>IF(OR(ISBLANK(C7419),C7419=""),"",ROUND((C7419-B7419)*24,2))</f>
        <v/>
      </c>
      <c r="N7419" s="22" t="str">
        <f>IF(OR(ISBLANK(C7419),C7419="",M7419=""),"In Progress",IF(M7419&lt;=J7419,"Met","Breached"))</f>
        <v>In Progress</v>
      </c>
    </row>
    <row r="7420" ht="19" customHeight="1" spans="1:14" x14ac:dyDescent="0.25">
      <c r="A7420" s="19" t="s">
        <v>7534</v>
      </c>
      <c r="B7420" s="33">
        <v>45719.57777777778</v>
      </c>
      <c r="D7420" s="19" t="s">
        <v>42</v>
      </c>
      <c r="E7420" s="19" t="s">
        <v>61</v>
      </c>
      <c r="F7420" s="19" t="s">
        <v>40</v>
      </c>
      <c r="G7420" s="19" t="s">
        <v>116</v>
      </c>
      <c r="H7420" s="19" t="s">
        <v>59</v>
      </c>
      <c r="I7420" s="19" t="s">
        <v>117</v>
      </c>
      <c r="J7420" s="20">
        <v>12</v>
      </c>
      <c r="K7420" s="34">
        <v>0</v>
      </c>
      <c r="M7420" s="19" t="str">
        <f>IF(OR(ISBLANK(C7420),C7420=""),"",ROUND((C7420-B7420)*24,2))</f>
        <v/>
      </c>
      <c r="N7420" s="19" t="str">
        <f>IF(OR(ISBLANK(C7420),C7420="",M7420=""),"In Progress",IF(M7420&lt;=J7420,"Met","Breached"))</f>
        <v>In Progress</v>
      </c>
    </row>
    <row r="7421" ht="19" customHeight="1" spans="1:14" x14ac:dyDescent="0.25">
      <c r="A7421" s="22" t="s">
        <v>7535</v>
      </c>
      <c r="B7421" s="36">
        <v>45798.82152777778</v>
      </c>
      <c r="D7421" s="22" t="s">
        <v>39</v>
      </c>
      <c r="E7421" s="22" t="s">
        <v>57</v>
      </c>
      <c r="F7421" s="22" t="s">
        <v>34</v>
      </c>
      <c r="G7421" s="22" t="s">
        <v>63</v>
      </c>
      <c r="H7421" s="22" t="s">
        <v>59</v>
      </c>
      <c r="I7421" s="22" t="s">
        <v>111</v>
      </c>
      <c r="J7421" s="23">
        <v>4</v>
      </c>
      <c r="K7421" s="37">
        <v>0</v>
      </c>
      <c r="M7421" s="22" t="str">
        <f>IF(OR(ISBLANK(C7421),C7421=""),"",ROUND((C7421-B7421)*24,2))</f>
        <v/>
      </c>
      <c r="N7421" s="22" t="str">
        <f>IF(OR(ISBLANK(C7421),C7421="",M7421=""),"In Progress",IF(M7421&lt;=J7421,"Met","Breached"))</f>
        <v>In Progress</v>
      </c>
    </row>
    <row r="7422" ht="19" customHeight="1" spans="1:14" x14ac:dyDescent="0.25">
      <c r="A7422" s="19" t="s">
        <v>7536</v>
      </c>
      <c r="B7422" s="33">
        <v>45972.79791666666</v>
      </c>
      <c r="C7422" s="33">
        <v>45973.55902777778</v>
      </c>
      <c r="D7422" s="19" t="s">
        <v>33</v>
      </c>
      <c r="E7422" s="19" t="s">
        <v>65</v>
      </c>
      <c r="F7422" s="19" t="s">
        <v>40</v>
      </c>
      <c r="G7422" s="19" t="s">
        <v>121</v>
      </c>
      <c r="H7422" s="19" t="s">
        <v>59</v>
      </c>
      <c r="I7422" s="19" t="s">
        <v>111</v>
      </c>
      <c r="J7422" s="20">
        <v>48</v>
      </c>
      <c r="K7422" s="34">
        <v>0</v>
      </c>
      <c r="L7422" s="34">
        <v>5</v>
      </c>
      <c r="M7422" s="19">
        <f>IF(OR(ISBLANK(C7422),C7422=""),"",ROUND((C7422-B7422)*24,2))</f>
        <v>18.27</v>
      </c>
      <c r="N7422" s="35" t="str">
        <f>IF(OR(ISBLANK(C7422),C7422="",M7422=""),"In Progress",IF(M7422&lt;=J7422,"Met","Breached"))</f>
        <v>Met</v>
      </c>
    </row>
    <row r="7423" ht="19" customHeight="1" spans="1:14" x14ac:dyDescent="0.25">
      <c r="A7423" s="22" t="s">
        <v>7537</v>
      </c>
      <c r="B7423" s="36">
        <v>46145.47152777778</v>
      </c>
      <c r="C7423" s="36">
        <v>46146.14444444445</v>
      </c>
      <c r="D7423" s="22" t="s">
        <v>33</v>
      </c>
      <c r="E7423" s="22" t="s">
        <v>61</v>
      </c>
      <c r="F7423" s="22" t="s">
        <v>34</v>
      </c>
      <c r="G7423" s="22" t="s">
        <v>63</v>
      </c>
      <c r="H7423" s="22" t="s">
        <v>59</v>
      </c>
      <c r="I7423" s="22" t="s">
        <v>108</v>
      </c>
      <c r="J7423" s="23">
        <v>12</v>
      </c>
      <c r="K7423" s="37">
        <v>1</v>
      </c>
      <c r="L7423" s="37">
        <v>5</v>
      </c>
      <c r="M7423" s="22">
        <f>IF(OR(ISBLANK(C7423),C7423=""),"",ROUND((C7423-B7423)*24,2))</f>
        <v>16.15</v>
      </c>
      <c r="N7423" s="38" t="str">
        <f>IF(OR(ISBLANK(C7423),C7423="",M7423=""),"In Progress",IF(M7423&lt;=J7423,"Met","Breached"))</f>
        <v>Breached</v>
      </c>
    </row>
    <row r="7424" ht="19" customHeight="1" spans="1:14" x14ac:dyDescent="0.25">
      <c r="A7424" s="19" t="s">
        <v>7538</v>
      </c>
      <c r="B7424" s="33">
        <v>45969.35416666667</v>
      </c>
      <c r="D7424" s="19" t="s">
        <v>42</v>
      </c>
      <c r="E7424" s="19" t="s">
        <v>69</v>
      </c>
      <c r="F7424" s="19" t="s">
        <v>37</v>
      </c>
      <c r="G7424" s="19" t="s">
        <v>63</v>
      </c>
      <c r="H7424" s="19" t="s">
        <v>67</v>
      </c>
      <c r="I7424" s="19" t="s">
        <v>114</v>
      </c>
      <c r="J7424" s="20">
        <v>120</v>
      </c>
      <c r="K7424" s="34">
        <v>0</v>
      </c>
      <c r="M7424" s="19" t="str">
        <f>IF(OR(ISBLANK(C7424),C7424=""),"",ROUND((C7424-B7424)*24,2))</f>
        <v/>
      </c>
      <c r="N7424" s="19" t="str">
        <f>IF(OR(ISBLANK(C7424),C7424="",M7424=""),"In Progress",IF(M7424&lt;=J7424,"Met","Breached"))</f>
        <v>In Progress</v>
      </c>
    </row>
    <row r="7425" ht="19" customHeight="1" spans="1:14" x14ac:dyDescent="0.25">
      <c r="A7425" s="22" t="s">
        <v>7539</v>
      </c>
      <c r="B7425" s="36">
        <v>46102.44930555555</v>
      </c>
      <c r="D7425" s="22" t="s">
        <v>39</v>
      </c>
      <c r="E7425" s="22" t="s">
        <v>57</v>
      </c>
      <c r="F7425" s="22" t="s">
        <v>45</v>
      </c>
      <c r="G7425" s="22" t="s">
        <v>63</v>
      </c>
      <c r="H7425" s="22" t="s">
        <v>63</v>
      </c>
      <c r="I7425" s="22" t="s">
        <v>114</v>
      </c>
      <c r="J7425" s="23">
        <v>4</v>
      </c>
      <c r="K7425" s="37">
        <v>0</v>
      </c>
      <c r="M7425" s="22" t="str">
        <f>IF(OR(ISBLANK(C7425),C7425=""),"",ROUND((C7425-B7425)*24,2))</f>
        <v/>
      </c>
      <c r="N7425" s="22" t="str">
        <f>IF(OR(ISBLANK(C7425),C7425="",M7425=""),"In Progress",IF(M7425&lt;=J7425,"Met","Breached"))</f>
        <v>In Progress</v>
      </c>
    </row>
    <row r="7426" ht="19" customHeight="1" spans="1:14" x14ac:dyDescent="0.25">
      <c r="A7426" s="19" t="s">
        <v>7540</v>
      </c>
      <c r="B7426" s="33">
        <v>45722.851388888885</v>
      </c>
      <c r="C7426" s="33">
        <v>45730.11111111111</v>
      </c>
      <c r="D7426" s="19" t="s">
        <v>33</v>
      </c>
      <c r="E7426" s="19" t="s">
        <v>69</v>
      </c>
      <c r="F7426" s="19" t="s">
        <v>43</v>
      </c>
      <c r="G7426" s="19" t="s">
        <v>113</v>
      </c>
      <c r="H7426" s="19" t="s">
        <v>71</v>
      </c>
      <c r="I7426" s="19" t="s">
        <v>117</v>
      </c>
      <c r="J7426" s="20">
        <v>120</v>
      </c>
      <c r="K7426" s="34">
        <v>0</v>
      </c>
      <c r="L7426" s="34">
        <v>4</v>
      </c>
      <c r="M7426" s="19">
        <f>IF(OR(ISBLANK(C7426),C7426=""),"",ROUND((C7426-B7426)*24,2))</f>
        <v>174.23</v>
      </c>
      <c r="N7426" s="39" t="str">
        <f>IF(OR(ISBLANK(C7426),C7426="",M7426=""),"In Progress",IF(M7426&lt;=J7426,"Met","Breached"))</f>
        <v>Breached</v>
      </c>
    </row>
    <row r="7427" ht="19" customHeight="1" spans="1:14" x14ac:dyDescent="0.25">
      <c r="A7427" s="22" t="s">
        <v>7541</v>
      </c>
      <c r="B7427" s="36">
        <v>46226.75555555556</v>
      </c>
      <c r="C7427" s="36">
        <v>46230.080555555556</v>
      </c>
      <c r="D7427" s="22" t="s">
        <v>36</v>
      </c>
      <c r="E7427" s="22" t="s">
        <v>65</v>
      </c>
      <c r="F7427" s="22" t="s">
        <v>34</v>
      </c>
      <c r="G7427" s="22" t="s">
        <v>121</v>
      </c>
      <c r="H7427" s="22" t="s">
        <v>71</v>
      </c>
      <c r="I7427" s="22" t="s">
        <v>123</v>
      </c>
      <c r="J7427" s="23">
        <v>48</v>
      </c>
      <c r="K7427" s="37">
        <v>0</v>
      </c>
      <c r="L7427" s="37">
        <v>2</v>
      </c>
      <c r="M7427" s="22">
        <f>IF(OR(ISBLANK(C7427),C7427=""),"",ROUND((C7427-B7427)*24,2))</f>
        <v>79.8</v>
      </c>
      <c r="N7427" s="38" t="str">
        <f>IF(OR(ISBLANK(C7427),C7427="",M7427=""),"In Progress",IF(M7427&lt;=J7427,"Met","Breached"))</f>
        <v>Breached</v>
      </c>
    </row>
    <row r="7428" ht="19" customHeight="1" spans="1:14" x14ac:dyDescent="0.25">
      <c r="A7428" s="19" t="s">
        <v>7542</v>
      </c>
      <c r="B7428" s="33">
        <v>45892.9875</v>
      </c>
      <c r="D7428" s="19" t="s">
        <v>42</v>
      </c>
      <c r="E7428" s="19" t="s">
        <v>61</v>
      </c>
      <c r="F7428" s="19" t="s">
        <v>43</v>
      </c>
      <c r="G7428" s="19" t="s">
        <v>121</v>
      </c>
      <c r="H7428" s="19" t="s">
        <v>59</v>
      </c>
      <c r="I7428" s="19" t="s">
        <v>147</v>
      </c>
      <c r="J7428" s="20">
        <v>12</v>
      </c>
      <c r="K7428" s="34">
        <v>0</v>
      </c>
      <c r="M7428" s="19" t="str">
        <f>IF(OR(ISBLANK(C7428),C7428=""),"",ROUND((C7428-B7428)*24,2))</f>
        <v/>
      </c>
      <c r="N7428" s="19" t="str">
        <f>IF(OR(ISBLANK(C7428),C7428="",M7428=""),"In Progress",IF(M7428&lt;=J7428,"Met","Breached"))</f>
        <v>In Progress</v>
      </c>
    </row>
    <row r="7429" ht="19" customHeight="1" spans="1:14" x14ac:dyDescent="0.25">
      <c r="A7429" s="22" t="s">
        <v>7543</v>
      </c>
      <c r="B7429" s="36">
        <v>45900.92708333333</v>
      </c>
      <c r="D7429" s="22" t="s">
        <v>39</v>
      </c>
      <c r="E7429" s="22" t="s">
        <v>57</v>
      </c>
      <c r="F7429" s="22" t="s">
        <v>43</v>
      </c>
      <c r="G7429" s="22" t="s">
        <v>110</v>
      </c>
      <c r="H7429" s="22" t="s">
        <v>63</v>
      </c>
      <c r="I7429" s="22" t="s">
        <v>111</v>
      </c>
      <c r="J7429" s="23">
        <v>4</v>
      </c>
      <c r="K7429" s="37">
        <v>0</v>
      </c>
      <c r="M7429" s="22" t="str">
        <f>IF(OR(ISBLANK(C7429),C7429=""),"",ROUND((C7429-B7429)*24,2))</f>
        <v/>
      </c>
      <c r="N7429" s="22" t="str">
        <f>IF(OR(ISBLANK(C7429),C7429="",M7429=""),"In Progress",IF(M7429&lt;=J7429,"Met","Breached"))</f>
        <v>In Progress</v>
      </c>
    </row>
    <row r="7430" ht="19" customHeight="1" spans="1:14" x14ac:dyDescent="0.25">
      <c r="A7430" s="19" t="s">
        <v>7544</v>
      </c>
      <c r="B7430" s="33">
        <v>46141.84305555555</v>
      </c>
      <c r="C7430" s="33">
        <v>46142.62013888889</v>
      </c>
      <c r="D7430" s="19" t="s">
        <v>33</v>
      </c>
      <c r="E7430" s="19" t="s">
        <v>61</v>
      </c>
      <c r="F7430" s="19" t="s">
        <v>34</v>
      </c>
      <c r="G7430" s="19" t="s">
        <v>116</v>
      </c>
      <c r="H7430" s="19" t="s">
        <v>71</v>
      </c>
      <c r="I7430" s="19" t="s">
        <v>111</v>
      </c>
      <c r="J7430" s="20">
        <v>12</v>
      </c>
      <c r="K7430" s="34">
        <v>0</v>
      </c>
      <c r="M7430" s="19">
        <f>IF(OR(ISBLANK(C7430),C7430=""),"",ROUND((C7430-B7430)*24,2))</f>
        <v>18.65</v>
      </c>
      <c r="N7430" s="39" t="str">
        <f>IF(OR(ISBLANK(C7430),C7430="",M7430=""),"In Progress",IF(M7430&lt;=J7430,"Met","Breached"))</f>
        <v>Breached</v>
      </c>
    </row>
    <row r="7431" ht="19" customHeight="1" spans="1:14" x14ac:dyDescent="0.25">
      <c r="A7431" s="22" t="s">
        <v>7545</v>
      </c>
      <c r="B7431" s="36">
        <v>46214.97708333333</v>
      </c>
      <c r="C7431" s="36">
        <v>46215.16805555555</v>
      </c>
      <c r="D7431" s="22" t="s">
        <v>33</v>
      </c>
      <c r="E7431" s="22" t="s">
        <v>61</v>
      </c>
      <c r="F7431" s="22" t="s">
        <v>40</v>
      </c>
      <c r="G7431" s="22" t="s">
        <v>116</v>
      </c>
      <c r="H7431" s="22" t="s">
        <v>59</v>
      </c>
      <c r="I7431" s="22" t="s">
        <v>117</v>
      </c>
      <c r="J7431" s="23">
        <v>12</v>
      </c>
      <c r="K7431" s="37">
        <v>0</v>
      </c>
      <c r="L7431" s="37">
        <v>5</v>
      </c>
      <c r="M7431" s="22">
        <f>IF(OR(ISBLANK(C7431),C7431=""),"",ROUND((C7431-B7431)*24,2))</f>
        <v>4.58</v>
      </c>
      <c r="N7431" s="40" t="str">
        <f>IF(OR(ISBLANK(C7431),C7431="",M7431=""),"In Progress",IF(M7431&lt;=J7431,"Met","Breached"))</f>
        <v>Met</v>
      </c>
    </row>
    <row r="7432" ht="19" customHeight="1" spans="1:14" x14ac:dyDescent="0.25">
      <c r="A7432" s="19" t="s">
        <v>7546</v>
      </c>
      <c r="B7432" s="33">
        <v>46226.42361111111</v>
      </c>
      <c r="C7432" s="33">
        <v>46226.49444444444</v>
      </c>
      <c r="D7432" s="19" t="s">
        <v>36</v>
      </c>
      <c r="E7432" s="19" t="s">
        <v>57</v>
      </c>
      <c r="F7432" s="19" t="s">
        <v>43</v>
      </c>
      <c r="G7432" s="19" t="s">
        <v>63</v>
      </c>
      <c r="H7432" s="19" t="s">
        <v>67</v>
      </c>
      <c r="I7432" s="19" t="s">
        <v>111</v>
      </c>
      <c r="J7432" s="20">
        <v>4</v>
      </c>
      <c r="K7432" s="34">
        <v>0</v>
      </c>
      <c r="L7432" s="34">
        <v>5</v>
      </c>
      <c r="M7432" s="19">
        <f>IF(OR(ISBLANK(C7432),C7432=""),"",ROUND((C7432-B7432)*24,2))</f>
        <v>1.7</v>
      </c>
      <c r="N7432" s="35" t="str">
        <f>IF(OR(ISBLANK(C7432),C7432="",M7432=""),"In Progress",IF(M7432&lt;=J7432,"Met","Breached"))</f>
        <v>Met</v>
      </c>
    </row>
    <row r="7433" ht="19" customHeight="1" spans="1:14" x14ac:dyDescent="0.25">
      <c r="A7433" s="22" t="s">
        <v>7547</v>
      </c>
      <c r="B7433" s="36">
        <v>46001.24930555555</v>
      </c>
      <c r="C7433" s="36">
        <v>46001.83472222222</v>
      </c>
      <c r="D7433" s="22" t="s">
        <v>36</v>
      </c>
      <c r="E7433" s="22" t="s">
        <v>61</v>
      </c>
      <c r="F7433" s="22" t="s">
        <v>37</v>
      </c>
      <c r="G7433" s="22" t="s">
        <v>63</v>
      </c>
      <c r="H7433" s="22" t="s">
        <v>63</v>
      </c>
      <c r="I7433" s="22" t="s">
        <v>123</v>
      </c>
      <c r="J7433" s="23">
        <v>12</v>
      </c>
      <c r="K7433" s="37">
        <v>0</v>
      </c>
      <c r="L7433" s="37">
        <v>1</v>
      </c>
      <c r="M7433" s="22">
        <f>IF(OR(ISBLANK(C7433),C7433=""),"",ROUND((C7433-B7433)*24,2))</f>
        <v>14.05</v>
      </c>
      <c r="N7433" s="38" t="str">
        <f>IF(OR(ISBLANK(C7433),C7433="",M7433=""),"In Progress",IF(M7433&lt;=J7433,"Met","Breached"))</f>
        <v>Breached</v>
      </c>
    </row>
    <row r="7434" ht="19" customHeight="1" spans="1:14" x14ac:dyDescent="0.25">
      <c r="A7434" s="19" t="s">
        <v>7548</v>
      </c>
      <c r="B7434" s="33">
        <v>45726.680555555555</v>
      </c>
      <c r="C7434" s="33">
        <v>45729.27222222222</v>
      </c>
      <c r="D7434" s="19" t="s">
        <v>33</v>
      </c>
      <c r="E7434" s="19" t="s">
        <v>65</v>
      </c>
      <c r="F7434" s="19" t="s">
        <v>34</v>
      </c>
      <c r="G7434" s="19" t="s">
        <v>110</v>
      </c>
      <c r="H7434" s="19" t="s">
        <v>63</v>
      </c>
      <c r="I7434" s="19" t="s">
        <v>147</v>
      </c>
      <c r="J7434" s="20">
        <v>48</v>
      </c>
      <c r="K7434" s="34">
        <v>1</v>
      </c>
      <c r="L7434" s="34">
        <v>3</v>
      </c>
      <c r="M7434" s="19">
        <f>IF(OR(ISBLANK(C7434),C7434=""),"",ROUND((C7434-B7434)*24,2))</f>
        <v>62.2</v>
      </c>
      <c r="N7434" s="39" t="str">
        <f>IF(OR(ISBLANK(C7434),C7434="",M7434=""),"In Progress",IF(M7434&lt;=J7434,"Met","Breached"))</f>
        <v>Breached</v>
      </c>
    </row>
    <row r="7435" ht="19" customHeight="1" spans="1:14" x14ac:dyDescent="0.25">
      <c r="A7435" s="22" t="s">
        <v>7549</v>
      </c>
      <c r="B7435" s="36">
        <v>45928.79583333334</v>
      </c>
      <c r="C7435" s="36">
        <v>45929.35763888889</v>
      </c>
      <c r="D7435" s="22" t="s">
        <v>33</v>
      </c>
      <c r="E7435" s="22" t="s">
        <v>61</v>
      </c>
      <c r="F7435" s="22" t="s">
        <v>40</v>
      </c>
      <c r="G7435" s="22" t="s">
        <v>63</v>
      </c>
      <c r="H7435" s="22" t="s">
        <v>63</v>
      </c>
      <c r="I7435" s="22" t="s">
        <v>147</v>
      </c>
      <c r="J7435" s="23">
        <v>12</v>
      </c>
      <c r="K7435" s="37">
        <v>1</v>
      </c>
      <c r="L7435" s="37">
        <v>3</v>
      </c>
      <c r="M7435" s="22">
        <f>IF(OR(ISBLANK(C7435),C7435=""),"",ROUND((C7435-B7435)*24,2))</f>
        <v>13.48</v>
      </c>
      <c r="N7435" s="38" t="str">
        <f>IF(OR(ISBLANK(C7435),C7435="",M7435=""),"In Progress",IF(M7435&lt;=J7435,"Met","Breached"))</f>
        <v>Breached</v>
      </c>
    </row>
    <row r="7436" ht="19" customHeight="1" spans="1:14" x14ac:dyDescent="0.25">
      <c r="A7436" s="19" t="s">
        <v>7550</v>
      </c>
      <c r="B7436" s="33">
        <v>46179.804861111115</v>
      </c>
      <c r="C7436" s="33">
        <v>46185.830555555556</v>
      </c>
      <c r="D7436" s="19" t="s">
        <v>33</v>
      </c>
      <c r="E7436" s="19" t="s">
        <v>69</v>
      </c>
      <c r="F7436" s="19" t="s">
        <v>34</v>
      </c>
      <c r="G7436" s="19" t="s">
        <v>121</v>
      </c>
      <c r="H7436" s="19" t="s">
        <v>59</v>
      </c>
      <c r="I7436" s="19" t="s">
        <v>111</v>
      </c>
      <c r="J7436" s="20">
        <v>120</v>
      </c>
      <c r="K7436" s="34">
        <v>0</v>
      </c>
      <c r="L7436" s="34">
        <v>1</v>
      </c>
      <c r="M7436" s="19">
        <f>IF(OR(ISBLANK(C7436),C7436=""),"",ROUND((C7436-B7436)*24,2))</f>
        <v>144.62</v>
      </c>
      <c r="N7436" s="39" t="str">
        <f>IF(OR(ISBLANK(C7436),C7436="",M7436=""),"In Progress",IF(M7436&lt;=J7436,"Met","Breached"))</f>
        <v>Breached</v>
      </c>
    </row>
    <row r="7437" ht="19" customHeight="1" spans="1:14" x14ac:dyDescent="0.25">
      <c r="A7437" s="22" t="s">
        <v>7551</v>
      </c>
      <c r="B7437" s="36">
        <v>46117.46319444444</v>
      </c>
      <c r="D7437" s="22" t="s">
        <v>42</v>
      </c>
      <c r="E7437" s="22" t="s">
        <v>57</v>
      </c>
      <c r="F7437" s="22" t="s">
        <v>40</v>
      </c>
      <c r="G7437" s="22" t="s">
        <v>63</v>
      </c>
      <c r="H7437" s="22" t="s">
        <v>59</v>
      </c>
      <c r="I7437" s="22" t="s">
        <v>147</v>
      </c>
      <c r="J7437" s="23">
        <v>4</v>
      </c>
      <c r="K7437" s="37">
        <v>0</v>
      </c>
      <c r="M7437" s="22" t="str">
        <f>IF(OR(ISBLANK(C7437),C7437=""),"",ROUND((C7437-B7437)*24,2))</f>
        <v/>
      </c>
      <c r="N7437" s="22" t="str">
        <f>IF(OR(ISBLANK(C7437),C7437="",M7437=""),"In Progress",IF(M7437&lt;=J7437,"Met","Breached"))</f>
        <v>In Progress</v>
      </c>
    </row>
    <row r="7438" ht="19" customHeight="1" spans="1:14" x14ac:dyDescent="0.25">
      <c r="A7438" s="19" t="s">
        <v>7552</v>
      </c>
      <c r="B7438" s="33">
        <v>45802.351388888885</v>
      </c>
      <c r="C7438" s="33">
        <v>45805.402083333334</v>
      </c>
      <c r="D7438" s="19" t="s">
        <v>33</v>
      </c>
      <c r="E7438" s="19" t="s">
        <v>65</v>
      </c>
      <c r="F7438" s="19" t="s">
        <v>34</v>
      </c>
      <c r="G7438" s="19" t="s">
        <v>126</v>
      </c>
      <c r="H7438" s="19" t="s">
        <v>59</v>
      </c>
      <c r="I7438" s="19" t="s">
        <v>114</v>
      </c>
      <c r="J7438" s="20">
        <v>48</v>
      </c>
      <c r="K7438" s="34">
        <v>0</v>
      </c>
      <c r="L7438" s="34">
        <v>1</v>
      </c>
      <c r="M7438" s="19">
        <f>IF(OR(ISBLANK(C7438),C7438=""),"",ROUND((C7438-B7438)*24,2))</f>
        <v>73.22</v>
      </c>
      <c r="N7438" s="39" t="str">
        <f>IF(OR(ISBLANK(C7438),C7438="",M7438=""),"In Progress",IF(M7438&lt;=J7438,"Met","Breached"))</f>
        <v>Breached</v>
      </c>
    </row>
    <row r="7439" ht="19" customHeight="1" spans="1:14" x14ac:dyDescent="0.25">
      <c r="A7439" s="22" t="s">
        <v>7553</v>
      </c>
      <c r="B7439" s="36">
        <v>45686.37430555555</v>
      </c>
      <c r="C7439" s="36">
        <v>45687.21319444444</v>
      </c>
      <c r="D7439" s="22" t="s">
        <v>33</v>
      </c>
      <c r="E7439" s="22" t="s">
        <v>61</v>
      </c>
      <c r="F7439" s="22" t="s">
        <v>40</v>
      </c>
      <c r="G7439" s="22" t="s">
        <v>110</v>
      </c>
      <c r="H7439" s="22" t="s">
        <v>63</v>
      </c>
      <c r="I7439" s="22" t="s">
        <v>147</v>
      </c>
      <c r="J7439" s="23">
        <v>12</v>
      </c>
      <c r="K7439" s="37">
        <v>0</v>
      </c>
      <c r="L7439" s="37">
        <v>2</v>
      </c>
      <c r="M7439" s="22">
        <f>IF(OR(ISBLANK(C7439),C7439=""),"",ROUND((C7439-B7439)*24,2))</f>
        <v>20.13</v>
      </c>
      <c r="N7439" s="38" t="str">
        <f>IF(OR(ISBLANK(C7439),C7439="",M7439=""),"In Progress",IF(M7439&lt;=J7439,"Met","Breached"))</f>
        <v>Breached</v>
      </c>
    </row>
    <row r="7440" ht="19" customHeight="1" spans="1:14" x14ac:dyDescent="0.25">
      <c r="A7440" s="19" t="s">
        <v>7554</v>
      </c>
      <c r="B7440" s="33">
        <v>45714.299305555556</v>
      </c>
      <c r="C7440" s="33">
        <v>45714.836805555555</v>
      </c>
      <c r="D7440" s="19" t="s">
        <v>33</v>
      </c>
      <c r="E7440" s="19" t="s">
        <v>61</v>
      </c>
      <c r="F7440" s="19" t="s">
        <v>37</v>
      </c>
      <c r="G7440" s="19" t="s">
        <v>126</v>
      </c>
      <c r="H7440" s="19" t="s">
        <v>71</v>
      </c>
      <c r="I7440" s="19" t="s">
        <v>123</v>
      </c>
      <c r="J7440" s="20">
        <v>12</v>
      </c>
      <c r="K7440" s="34">
        <v>0</v>
      </c>
      <c r="L7440" s="34">
        <v>3</v>
      </c>
      <c r="M7440" s="19">
        <f>IF(OR(ISBLANK(C7440),C7440=""),"",ROUND((C7440-B7440)*24,2))</f>
        <v>12.9</v>
      </c>
      <c r="N7440" s="39" t="str">
        <f>IF(OR(ISBLANK(C7440),C7440="",M7440=""),"In Progress",IF(M7440&lt;=J7440,"Met","Breached"))</f>
        <v>Breached</v>
      </c>
    </row>
    <row r="7441" ht="19" customHeight="1" spans="1:14" x14ac:dyDescent="0.25">
      <c r="A7441" s="22" t="s">
        <v>7555</v>
      </c>
      <c r="B7441" s="36">
        <v>46110.40833333333</v>
      </c>
      <c r="C7441" s="36">
        <v>46112.90069444444</v>
      </c>
      <c r="D7441" s="22" t="s">
        <v>33</v>
      </c>
      <c r="E7441" s="22" t="s">
        <v>65</v>
      </c>
      <c r="F7441" s="22" t="s">
        <v>37</v>
      </c>
      <c r="G7441" s="22" t="s">
        <v>110</v>
      </c>
      <c r="H7441" s="22" t="s">
        <v>63</v>
      </c>
      <c r="I7441" s="22" t="s">
        <v>108</v>
      </c>
      <c r="J7441" s="23">
        <v>48</v>
      </c>
      <c r="K7441" s="37">
        <v>0</v>
      </c>
      <c r="M7441" s="22">
        <f>IF(OR(ISBLANK(C7441),C7441=""),"",ROUND((C7441-B7441)*24,2))</f>
        <v>59.82</v>
      </c>
      <c r="N7441" s="38" t="str">
        <f>IF(OR(ISBLANK(C7441),C7441="",M7441=""),"In Progress",IF(M7441&lt;=J7441,"Met","Breached"))</f>
        <v>Breached</v>
      </c>
    </row>
    <row r="7442" ht="19" customHeight="1" spans="1:14" x14ac:dyDescent="0.25">
      <c r="A7442" s="19" t="s">
        <v>7556</v>
      </c>
      <c r="B7442" s="33">
        <v>45660.41736111111</v>
      </c>
      <c r="C7442" s="33">
        <v>45660.81527777778</v>
      </c>
      <c r="D7442" s="19" t="s">
        <v>33</v>
      </c>
      <c r="E7442" s="19" t="s">
        <v>61</v>
      </c>
      <c r="F7442" s="19" t="s">
        <v>43</v>
      </c>
      <c r="G7442" s="19" t="s">
        <v>63</v>
      </c>
      <c r="H7442" s="19" t="s">
        <v>71</v>
      </c>
      <c r="I7442" s="19" t="s">
        <v>117</v>
      </c>
      <c r="J7442" s="20">
        <v>12</v>
      </c>
      <c r="K7442" s="34">
        <v>0</v>
      </c>
      <c r="L7442" s="34">
        <v>4</v>
      </c>
      <c r="M7442" s="19">
        <f>IF(OR(ISBLANK(C7442),C7442=""),"",ROUND((C7442-B7442)*24,2))</f>
        <v>9.55</v>
      </c>
      <c r="N7442" s="35" t="str">
        <f>IF(OR(ISBLANK(C7442),C7442="",M7442=""),"In Progress",IF(M7442&lt;=J7442,"Met","Breached"))</f>
        <v>Met</v>
      </c>
    </row>
    <row r="7443" ht="19" customHeight="1" spans="1:14" x14ac:dyDescent="0.25">
      <c r="A7443" s="22" t="s">
        <v>7557</v>
      </c>
      <c r="B7443" s="36">
        <v>46236.086111111115</v>
      </c>
      <c r="C7443" s="36">
        <v>46237.94097222222</v>
      </c>
      <c r="D7443" s="22" t="s">
        <v>36</v>
      </c>
      <c r="E7443" s="22" t="s">
        <v>69</v>
      </c>
      <c r="F7443" s="22" t="s">
        <v>43</v>
      </c>
      <c r="G7443" s="22" t="s">
        <v>113</v>
      </c>
      <c r="H7443" s="22" t="s">
        <v>63</v>
      </c>
      <c r="I7443" s="22" t="s">
        <v>147</v>
      </c>
      <c r="J7443" s="23">
        <v>120</v>
      </c>
      <c r="K7443" s="37">
        <v>0</v>
      </c>
      <c r="M7443" s="22">
        <f>IF(OR(ISBLANK(C7443),C7443=""),"",ROUND((C7443-B7443)*24,2))</f>
        <v>44.52</v>
      </c>
      <c r="N7443" s="40" t="str">
        <f>IF(OR(ISBLANK(C7443),C7443="",M7443=""),"In Progress",IF(M7443&lt;=J7443,"Met","Breached"))</f>
        <v>Met</v>
      </c>
    </row>
    <row r="7444" ht="19" customHeight="1" spans="1:14" x14ac:dyDescent="0.25">
      <c r="A7444" s="19" t="s">
        <v>7558</v>
      </c>
      <c r="B7444" s="33">
        <v>45965.1875</v>
      </c>
      <c r="D7444" s="19" t="s">
        <v>39</v>
      </c>
      <c r="E7444" s="19" t="s">
        <v>65</v>
      </c>
      <c r="F7444" s="19" t="s">
        <v>45</v>
      </c>
      <c r="G7444" s="19" t="s">
        <v>63</v>
      </c>
      <c r="H7444" s="19" t="s">
        <v>71</v>
      </c>
      <c r="I7444" s="19" t="s">
        <v>111</v>
      </c>
      <c r="J7444" s="20">
        <v>48</v>
      </c>
      <c r="K7444" s="34">
        <v>0</v>
      </c>
      <c r="M7444" s="19" t="str">
        <f>IF(OR(ISBLANK(C7444),C7444=""),"",ROUND((C7444-B7444)*24,2))</f>
        <v/>
      </c>
      <c r="N7444" s="19" t="str">
        <f>IF(OR(ISBLANK(C7444),C7444="",M7444=""),"In Progress",IF(M7444&lt;=J7444,"Met","Breached"))</f>
        <v>In Progress</v>
      </c>
    </row>
    <row r="7445" ht="19" customHeight="1" spans="1:14" x14ac:dyDescent="0.25">
      <c r="A7445" s="22" t="s">
        <v>7559</v>
      </c>
      <c r="B7445" s="36">
        <v>46178.430555555555</v>
      </c>
      <c r="C7445" s="36">
        <v>46178.58541666667</v>
      </c>
      <c r="D7445" s="22" t="s">
        <v>36</v>
      </c>
      <c r="E7445" s="22" t="s">
        <v>61</v>
      </c>
      <c r="F7445" s="22" t="s">
        <v>45</v>
      </c>
      <c r="G7445" s="22" t="s">
        <v>126</v>
      </c>
      <c r="H7445" s="22" t="s">
        <v>67</v>
      </c>
      <c r="I7445" s="22" t="s">
        <v>147</v>
      </c>
      <c r="J7445" s="23">
        <v>12</v>
      </c>
      <c r="K7445" s="37">
        <v>0</v>
      </c>
      <c r="L7445" s="37">
        <v>4</v>
      </c>
      <c r="M7445" s="22">
        <f>IF(OR(ISBLANK(C7445),C7445=""),"",ROUND((C7445-B7445)*24,2))</f>
        <v>3.72</v>
      </c>
      <c r="N7445" s="40" t="str">
        <f>IF(OR(ISBLANK(C7445),C7445="",M7445=""),"In Progress",IF(M7445&lt;=J7445,"Met","Breached"))</f>
        <v>Met</v>
      </c>
    </row>
    <row r="7446" ht="19" customHeight="1" spans="1:14" x14ac:dyDescent="0.25">
      <c r="A7446" s="19" t="s">
        <v>7560</v>
      </c>
      <c r="B7446" s="33">
        <v>46238.384722222225</v>
      </c>
      <c r="D7446" s="19" t="s">
        <v>39</v>
      </c>
      <c r="E7446" s="19" t="s">
        <v>57</v>
      </c>
      <c r="F7446" s="19" t="s">
        <v>40</v>
      </c>
      <c r="G7446" s="19" t="s">
        <v>121</v>
      </c>
      <c r="H7446" s="19" t="s">
        <v>67</v>
      </c>
      <c r="I7446" s="19" t="s">
        <v>123</v>
      </c>
      <c r="J7446" s="20">
        <v>4</v>
      </c>
      <c r="K7446" s="34">
        <v>0</v>
      </c>
      <c r="M7446" s="19" t="str">
        <f>IF(OR(ISBLANK(C7446),C7446=""),"",ROUND((C7446-B7446)*24,2))</f>
        <v/>
      </c>
      <c r="N7446" s="19" t="str">
        <f>IF(OR(ISBLANK(C7446),C7446="",M7446=""),"In Progress",IF(M7446&lt;=J7446,"Met","Breached"))</f>
        <v>In Progress</v>
      </c>
    </row>
    <row r="7447" ht="19" customHeight="1" spans="1:14" x14ac:dyDescent="0.25">
      <c r="A7447" s="22" t="s">
        <v>7561</v>
      </c>
      <c r="B7447" s="36">
        <v>45835.45347222222</v>
      </c>
      <c r="C7447" s="36">
        <v>45836.95833333333</v>
      </c>
      <c r="D7447" s="22" t="s">
        <v>36</v>
      </c>
      <c r="E7447" s="22" t="s">
        <v>65</v>
      </c>
      <c r="F7447" s="22" t="s">
        <v>34</v>
      </c>
      <c r="G7447" s="22" t="s">
        <v>116</v>
      </c>
      <c r="H7447" s="22" t="s">
        <v>63</v>
      </c>
      <c r="I7447" s="22" t="s">
        <v>117</v>
      </c>
      <c r="J7447" s="23">
        <v>48</v>
      </c>
      <c r="K7447" s="37">
        <v>0</v>
      </c>
      <c r="M7447" s="22">
        <f>IF(OR(ISBLANK(C7447),C7447=""),"",ROUND((C7447-B7447)*24,2))</f>
        <v>36.12</v>
      </c>
      <c r="N7447" s="40" t="str">
        <f>IF(OR(ISBLANK(C7447),C7447="",M7447=""),"In Progress",IF(M7447&lt;=J7447,"Met","Breached"))</f>
        <v>Met</v>
      </c>
    </row>
    <row r="7448" ht="19" customHeight="1" spans="1:14" x14ac:dyDescent="0.25">
      <c r="A7448" s="19" t="s">
        <v>7562</v>
      </c>
      <c r="B7448" s="33">
        <v>46112.95833333333</v>
      </c>
      <c r="C7448" s="33">
        <v>46113.37777777778</v>
      </c>
      <c r="D7448" s="19" t="s">
        <v>33</v>
      </c>
      <c r="E7448" s="19" t="s">
        <v>61</v>
      </c>
      <c r="F7448" s="19" t="s">
        <v>43</v>
      </c>
      <c r="G7448" s="19" t="s">
        <v>121</v>
      </c>
      <c r="H7448" s="19" t="s">
        <v>63</v>
      </c>
      <c r="I7448" s="19" t="s">
        <v>123</v>
      </c>
      <c r="J7448" s="20">
        <v>12</v>
      </c>
      <c r="K7448" s="34">
        <v>1</v>
      </c>
      <c r="L7448" s="34">
        <v>1</v>
      </c>
      <c r="M7448" s="19">
        <f>IF(OR(ISBLANK(C7448),C7448=""),"",ROUND((C7448-B7448)*24,2))</f>
        <v>10.07</v>
      </c>
      <c r="N7448" s="35" t="str">
        <f>IF(OR(ISBLANK(C7448),C7448="",M7448=""),"In Progress",IF(M7448&lt;=J7448,"Met","Breached"))</f>
        <v>Met</v>
      </c>
    </row>
    <row r="7449" ht="19" customHeight="1" spans="1:14" x14ac:dyDescent="0.25">
      <c r="A7449" s="22" t="s">
        <v>7563</v>
      </c>
      <c r="B7449" s="36">
        <v>46074.75902777778</v>
      </c>
      <c r="C7449" s="36">
        <v>46077.93472222222</v>
      </c>
      <c r="D7449" s="22" t="s">
        <v>33</v>
      </c>
      <c r="E7449" s="22" t="s">
        <v>65</v>
      </c>
      <c r="F7449" s="22" t="s">
        <v>43</v>
      </c>
      <c r="G7449" s="22" t="s">
        <v>63</v>
      </c>
      <c r="H7449" s="22" t="s">
        <v>59</v>
      </c>
      <c r="I7449" s="22" t="s">
        <v>123</v>
      </c>
      <c r="J7449" s="23">
        <v>48</v>
      </c>
      <c r="K7449" s="37">
        <v>0</v>
      </c>
      <c r="L7449" s="37">
        <v>4</v>
      </c>
      <c r="M7449" s="22">
        <f>IF(OR(ISBLANK(C7449),C7449=""),"",ROUND((C7449-B7449)*24,2))</f>
        <v>76.22</v>
      </c>
      <c r="N7449" s="38" t="str">
        <f>IF(OR(ISBLANK(C7449),C7449="",M7449=""),"In Progress",IF(M7449&lt;=J7449,"Met","Breached"))</f>
        <v>Breached</v>
      </c>
    </row>
    <row r="7450" ht="19" customHeight="1" spans="1:14" x14ac:dyDescent="0.25">
      <c r="A7450" s="19" t="s">
        <v>7564</v>
      </c>
      <c r="B7450" s="33">
        <v>46160.131944444445</v>
      </c>
      <c r="C7450" s="33">
        <v>46164.643055555556</v>
      </c>
      <c r="D7450" s="19" t="s">
        <v>33</v>
      </c>
      <c r="E7450" s="19" t="s">
        <v>69</v>
      </c>
      <c r="F7450" s="19" t="s">
        <v>45</v>
      </c>
      <c r="G7450" s="19" t="s">
        <v>116</v>
      </c>
      <c r="H7450" s="19" t="s">
        <v>59</v>
      </c>
      <c r="I7450" s="19" t="s">
        <v>147</v>
      </c>
      <c r="J7450" s="20">
        <v>120</v>
      </c>
      <c r="K7450" s="34">
        <v>0</v>
      </c>
      <c r="L7450" s="34">
        <v>2</v>
      </c>
      <c r="M7450" s="19">
        <f>IF(OR(ISBLANK(C7450),C7450=""),"",ROUND((C7450-B7450)*24,2))</f>
        <v>108.27</v>
      </c>
      <c r="N7450" s="35" t="str">
        <f>IF(OR(ISBLANK(C7450),C7450="",M7450=""),"In Progress",IF(M7450&lt;=J7450,"Met","Breached"))</f>
        <v>Met</v>
      </c>
    </row>
    <row r="7451" ht="19" customHeight="1" spans="1:14" x14ac:dyDescent="0.25">
      <c r="A7451" s="22" t="s">
        <v>7565</v>
      </c>
      <c r="B7451" s="36">
        <v>46281.17708333333</v>
      </c>
      <c r="C7451" s="36">
        <v>46284.17916666667</v>
      </c>
      <c r="D7451" s="22" t="s">
        <v>33</v>
      </c>
      <c r="E7451" s="22" t="s">
        <v>65</v>
      </c>
      <c r="F7451" s="22" t="s">
        <v>37</v>
      </c>
      <c r="G7451" s="22" t="s">
        <v>116</v>
      </c>
      <c r="H7451" s="22" t="s">
        <v>63</v>
      </c>
      <c r="I7451" s="22" t="s">
        <v>117</v>
      </c>
      <c r="J7451" s="23">
        <v>48</v>
      </c>
      <c r="K7451" s="37">
        <v>0</v>
      </c>
      <c r="M7451" s="22">
        <f>IF(OR(ISBLANK(C7451),C7451=""),"",ROUND((C7451-B7451)*24,2))</f>
        <v>72.05</v>
      </c>
      <c r="N7451" s="38" t="str">
        <f>IF(OR(ISBLANK(C7451),C7451="",M7451=""),"In Progress",IF(M7451&lt;=J7451,"Met","Breached"))</f>
        <v>Breached</v>
      </c>
    </row>
    <row r="7452" ht="19" customHeight="1" spans="1:14" x14ac:dyDescent="0.25">
      <c r="A7452" s="19" t="s">
        <v>7566</v>
      </c>
      <c r="B7452" s="33">
        <v>46235.59722222222</v>
      </c>
      <c r="D7452" s="19" t="s">
        <v>39</v>
      </c>
      <c r="E7452" s="19" t="s">
        <v>65</v>
      </c>
      <c r="F7452" s="19" t="s">
        <v>45</v>
      </c>
      <c r="G7452" s="19" t="s">
        <v>113</v>
      </c>
      <c r="H7452" s="19" t="s">
        <v>63</v>
      </c>
      <c r="I7452" s="19" t="s">
        <v>114</v>
      </c>
      <c r="J7452" s="20">
        <v>48</v>
      </c>
      <c r="K7452" s="34">
        <v>0</v>
      </c>
      <c r="M7452" s="19" t="str">
        <f>IF(OR(ISBLANK(C7452),C7452=""),"",ROUND((C7452-B7452)*24,2))</f>
        <v/>
      </c>
      <c r="N7452" s="19" t="str">
        <f>IF(OR(ISBLANK(C7452),C7452="",M7452=""),"In Progress",IF(M7452&lt;=J7452,"Met","Breached"))</f>
        <v>In Progress</v>
      </c>
    </row>
    <row r="7453" ht="19" customHeight="1" spans="1:14" x14ac:dyDescent="0.25">
      <c r="A7453" s="22" t="s">
        <v>7567</v>
      </c>
      <c r="B7453" s="36">
        <v>45749.76875</v>
      </c>
      <c r="D7453" s="22" t="s">
        <v>42</v>
      </c>
      <c r="E7453" s="22" t="s">
        <v>65</v>
      </c>
      <c r="F7453" s="22" t="s">
        <v>37</v>
      </c>
      <c r="G7453" s="22" t="s">
        <v>63</v>
      </c>
      <c r="H7453" s="22" t="s">
        <v>67</v>
      </c>
      <c r="I7453" s="22" t="s">
        <v>108</v>
      </c>
      <c r="J7453" s="23">
        <v>48</v>
      </c>
      <c r="K7453" s="37">
        <v>0</v>
      </c>
      <c r="M7453" s="22" t="str">
        <f>IF(OR(ISBLANK(C7453),C7453=""),"",ROUND((C7453-B7453)*24,2))</f>
        <v/>
      </c>
      <c r="N7453" s="22" t="str">
        <f>IF(OR(ISBLANK(C7453),C7453="",M7453=""),"In Progress",IF(M7453&lt;=J7453,"Met","Breached"))</f>
        <v>In Progress</v>
      </c>
    </row>
    <row r="7454" ht="19" customHeight="1" spans="1:14" x14ac:dyDescent="0.25">
      <c r="A7454" s="19" t="s">
        <v>7568</v>
      </c>
      <c r="B7454" s="33">
        <v>45812.5875</v>
      </c>
      <c r="D7454" s="19" t="s">
        <v>39</v>
      </c>
      <c r="E7454" s="19" t="s">
        <v>61</v>
      </c>
      <c r="F7454" s="19" t="s">
        <v>40</v>
      </c>
      <c r="G7454" s="19" t="s">
        <v>126</v>
      </c>
      <c r="H7454" s="19" t="s">
        <v>63</v>
      </c>
      <c r="I7454" s="19" t="s">
        <v>123</v>
      </c>
      <c r="J7454" s="20">
        <v>12</v>
      </c>
      <c r="K7454" s="34">
        <v>0</v>
      </c>
      <c r="M7454" s="19" t="str">
        <f>IF(OR(ISBLANK(C7454),C7454=""),"",ROUND((C7454-B7454)*24,2))</f>
        <v/>
      </c>
      <c r="N7454" s="19" t="str">
        <f>IF(OR(ISBLANK(C7454),C7454="",M7454=""),"In Progress",IF(M7454&lt;=J7454,"Met","Breached"))</f>
        <v>In Progress</v>
      </c>
    </row>
    <row r="7455" ht="19" customHeight="1" spans="1:14" x14ac:dyDescent="0.25">
      <c r="A7455" s="22" t="s">
        <v>7569</v>
      </c>
      <c r="B7455" s="36">
        <v>45934.475694444445</v>
      </c>
      <c r="C7455" s="36">
        <v>45936.07847222222</v>
      </c>
      <c r="D7455" s="22" t="s">
        <v>33</v>
      </c>
      <c r="E7455" s="22" t="s">
        <v>65</v>
      </c>
      <c r="F7455" s="22" t="s">
        <v>34</v>
      </c>
      <c r="G7455" s="22" t="s">
        <v>113</v>
      </c>
      <c r="H7455" s="22" t="s">
        <v>59</v>
      </c>
      <c r="I7455" s="22" t="s">
        <v>123</v>
      </c>
      <c r="J7455" s="23">
        <v>48</v>
      </c>
      <c r="K7455" s="37">
        <v>0</v>
      </c>
      <c r="L7455" s="37">
        <v>4</v>
      </c>
      <c r="M7455" s="22">
        <f>IF(OR(ISBLANK(C7455),C7455=""),"",ROUND((C7455-B7455)*24,2))</f>
        <v>38.47</v>
      </c>
      <c r="N7455" s="40" t="str">
        <f>IF(OR(ISBLANK(C7455),C7455="",M7455=""),"In Progress",IF(M7455&lt;=J7455,"Met","Breached"))</f>
        <v>Met</v>
      </c>
    </row>
    <row r="7456" ht="19" customHeight="1" spans="1:14" x14ac:dyDescent="0.25">
      <c r="A7456" s="19" t="s">
        <v>7570</v>
      </c>
      <c r="B7456" s="33">
        <v>46145.82430555555</v>
      </c>
      <c r="C7456" s="33">
        <v>46146.513194444444</v>
      </c>
      <c r="D7456" s="19" t="s">
        <v>33</v>
      </c>
      <c r="E7456" s="19" t="s">
        <v>65</v>
      </c>
      <c r="F7456" s="19" t="s">
        <v>43</v>
      </c>
      <c r="G7456" s="19" t="s">
        <v>113</v>
      </c>
      <c r="H7456" s="19" t="s">
        <v>59</v>
      </c>
      <c r="I7456" s="19" t="s">
        <v>147</v>
      </c>
      <c r="J7456" s="20">
        <v>48</v>
      </c>
      <c r="K7456" s="34">
        <v>0</v>
      </c>
      <c r="M7456" s="19">
        <f>IF(OR(ISBLANK(C7456),C7456=""),"",ROUND((C7456-B7456)*24,2))</f>
        <v>16.53</v>
      </c>
      <c r="N7456" s="35" t="str">
        <f>IF(OR(ISBLANK(C7456),C7456="",M7456=""),"In Progress",IF(M7456&lt;=J7456,"Met","Breached"))</f>
        <v>Met</v>
      </c>
    </row>
    <row r="7457" ht="19" customHeight="1" spans="1:14" x14ac:dyDescent="0.25">
      <c r="A7457" s="22" t="s">
        <v>7571</v>
      </c>
      <c r="B7457" s="36">
        <v>46085.28055555555</v>
      </c>
      <c r="C7457" s="36">
        <v>46089.73263888889</v>
      </c>
      <c r="D7457" s="22" t="s">
        <v>33</v>
      </c>
      <c r="E7457" s="22" t="s">
        <v>69</v>
      </c>
      <c r="F7457" s="22" t="s">
        <v>45</v>
      </c>
      <c r="G7457" s="22" t="s">
        <v>110</v>
      </c>
      <c r="H7457" s="22" t="s">
        <v>67</v>
      </c>
      <c r="I7457" s="22" t="s">
        <v>123</v>
      </c>
      <c r="J7457" s="23">
        <v>120</v>
      </c>
      <c r="K7457" s="37">
        <v>0</v>
      </c>
      <c r="L7457" s="37">
        <v>1</v>
      </c>
      <c r="M7457" s="22">
        <f>IF(OR(ISBLANK(C7457),C7457=""),"",ROUND((C7457-B7457)*24,2))</f>
        <v>106.85</v>
      </c>
      <c r="N7457" s="40" t="str">
        <f>IF(OR(ISBLANK(C7457),C7457="",M7457=""),"In Progress",IF(M7457&lt;=J7457,"Met","Breached"))</f>
        <v>Met</v>
      </c>
    </row>
    <row r="7458" ht="19" customHeight="1" spans="1:14" x14ac:dyDescent="0.25">
      <c r="A7458" s="19" t="s">
        <v>7572</v>
      </c>
      <c r="B7458" s="33">
        <v>45674.50069444445</v>
      </c>
      <c r="C7458" s="33">
        <v>45674.768055555556</v>
      </c>
      <c r="D7458" s="19" t="s">
        <v>36</v>
      </c>
      <c r="E7458" s="19" t="s">
        <v>61</v>
      </c>
      <c r="F7458" s="19" t="s">
        <v>34</v>
      </c>
      <c r="G7458" s="19" t="s">
        <v>116</v>
      </c>
      <c r="H7458" s="19" t="s">
        <v>67</v>
      </c>
      <c r="I7458" s="19" t="s">
        <v>123</v>
      </c>
      <c r="J7458" s="20">
        <v>12</v>
      </c>
      <c r="K7458" s="34">
        <v>0</v>
      </c>
      <c r="L7458" s="34">
        <v>3</v>
      </c>
      <c r="M7458" s="19">
        <f>IF(OR(ISBLANK(C7458),C7458=""),"",ROUND((C7458-B7458)*24,2))</f>
        <v>6.42</v>
      </c>
      <c r="N7458" s="35" t="str">
        <f>IF(OR(ISBLANK(C7458),C7458="",M7458=""),"In Progress",IF(M7458&lt;=J7458,"Met","Breached"))</f>
        <v>Met</v>
      </c>
    </row>
    <row r="7459" ht="19" customHeight="1" spans="1:14" x14ac:dyDescent="0.25">
      <c r="A7459" s="22" t="s">
        <v>7573</v>
      </c>
      <c r="B7459" s="36">
        <v>46241.30208333333</v>
      </c>
      <c r="C7459" s="36">
        <v>46242.200694444444</v>
      </c>
      <c r="D7459" s="22" t="s">
        <v>33</v>
      </c>
      <c r="E7459" s="22" t="s">
        <v>61</v>
      </c>
      <c r="F7459" s="22" t="s">
        <v>45</v>
      </c>
      <c r="G7459" s="22" t="s">
        <v>121</v>
      </c>
      <c r="H7459" s="22" t="s">
        <v>63</v>
      </c>
      <c r="I7459" s="22" t="s">
        <v>117</v>
      </c>
      <c r="J7459" s="23">
        <v>12</v>
      </c>
      <c r="K7459" s="37">
        <v>0</v>
      </c>
      <c r="L7459" s="37">
        <v>2</v>
      </c>
      <c r="M7459" s="22">
        <f>IF(OR(ISBLANK(C7459),C7459=""),"",ROUND((C7459-B7459)*24,2))</f>
        <v>21.57</v>
      </c>
      <c r="N7459" s="38" t="str">
        <f>IF(OR(ISBLANK(C7459),C7459="",M7459=""),"In Progress",IF(M7459&lt;=J7459,"Met","Breached"))</f>
        <v>Breached</v>
      </c>
    </row>
    <row r="7460" ht="19" customHeight="1" spans="1:14" x14ac:dyDescent="0.25">
      <c r="A7460" s="19" t="s">
        <v>7574</v>
      </c>
      <c r="B7460" s="33">
        <v>46121.15416666667</v>
      </c>
      <c r="C7460" s="33">
        <v>46121.268055555556</v>
      </c>
      <c r="D7460" s="19" t="s">
        <v>33</v>
      </c>
      <c r="E7460" s="19" t="s">
        <v>57</v>
      </c>
      <c r="F7460" s="19" t="s">
        <v>34</v>
      </c>
      <c r="G7460" s="19" t="s">
        <v>126</v>
      </c>
      <c r="H7460" s="19" t="s">
        <v>59</v>
      </c>
      <c r="I7460" s="19" t="s">
        <v>108</v>
      </c>
      <c r="J7460" s="20">
        <v>4</v>
      </c>
      <c r="K7460" s="34">
        <v>0</v>
      </c>
      <c r="M7460" s="19">
        <f>IF(OR(ISBLANK(C7460),C7460=""),"",ROUND((C7460-B7460)*24,2))</f>
        <v>2.73</v>
      </c>
      <c r="N7460" s="35" t="str">
        <f>IF(OR(ISBLANK(C7460),C7460="",M7460=""),"In Progress",IF(M7460&lt;=J7460,"Met","Breached"))</f>
        <v>Met</v>
      </c>
    </row>
    <row r="7461" ht="19" customHeight="1" spans="1:14" x14ac:dyDescent="0.25">
      <c r="A7461" s="22" t="s">
        <v>7575</v>
      </c>
      <c r="B7461" s="36">
        <v>45875.51458333334</v>
      </c>
      <c r="C7461" s="36">
        <v>45876.35416666667</v>
      </c>
      <c r="D7461" s="22" t="s">
        <v>33</v>
      </c>
      <c r="E7461" s="22" t="s">
        <v>65</v>
      </c>
      <c r="F7461" s="22" t="s">
        <v>40</v>
      </c>
      <c r="G7461" s="22" t="s">
        <v>121</v>
      </c>
      <c r="H7461" s="22" t="s">
        <v>59</v>
      </c>
      <c r="I7461" s="22" t="s">
        <v>123</v>
      </c>
      <c r="J7461" s="23">
        <v>48</v>
      </c>
      <c r="K7461" s="37">
        <v>0</v>
      </c>
      <c r="M7461" s="22">
        <f>IF(OR(ISBLANK(C7461),C7461=""),"",ROUND((C7461-B7461)*24,2))</f>
        <v>20.15</v>
      </c>
      <c r="N7461" s="40" t="str">
        <f>IF(OR(ISBLANK(C7461),C7461="",M7461=""),"In Progress",IF(M7461&lt;=J7461,"Met","Breached"))</f>
        <v>Met</v>
      </c>
    </row>
    <row r="7462" ht="19" customHeight="1" spans="1:14" x14ac:dyDescent="0.25">
      <c r="A7462" s="19" t="s">
        <v>7576</v>
      </c>
      <c r="B7462" s="33">
        <v>45819.35486111111</v>
      </c>
      <c r="C7462" s="33">
        <v>45820.10833333334</v>
      </c>
      <c r="D7462" s="19" t="s">
        <v>36</v>
      </c>
      <c r="E7462" s="19" t="s">
        <v>61</v>
      </c>
      <c r="F7462" s="19" t="s">
        <v>34</v>
      </c>
      <c r="G7462" s="19" t="s">
        <v>116</v>
      </c>
      <c r="H7462" s="19" t="s">
        <v>59</v>
      </c>
      <c r="I7462" s="19" t="s">
        <v>111</v>
      </c>
      <c r="J7462" s="20">
        <v>12</v>
      </c>
      <c r="K7462" s="34">
        <v>0</v>
      </c>
      <c r="L7462" s="34">
        <v>1</v>
      </c>
      <c r="M7462" s="19">
        <f>IF(OR(ISBLANK(C7462),C7462=""),"",ROUND((C7462-B7462)*24,2))</f>
        <v>18.08</v>
      </c>
      <c r="N7462" s="39" t="str">
        <f>IF(OR(ISBLANK(C7462),C7462="",M7462=""),"In Progress",IF(M7462&lt;=J7462,"Met","Breached"))</f>
        <v>Breached</v>
      </c>
    </row>
    <row r="7463" ht="19" customHeight="1" spans="1:14" x14ac:dyDescent="0.25">
      <c r="A7463" s="22" t="s">
        <v>7577</v>
      </c>
      <c r="B7463" s="36">
        <v>45808.15416666667</v>
      </c>
      <c r="C7463" s="36">
        <v>45808.33125</v>
      </c>
      <c r="D7463" s="22" t="s">
        <v>36</v>
      </c>
      <c r="E7463" s="22" t="s">
        <v>57</v>
      </c>
      <c r="F7463" s="22" t="s">
        <v>43</v>
      </c>
      <c r="G7463" s="22" t="s">
        <v>121</v>
      </c>
      <c r="H7463" s="22" t="s">
        <v>63</v>
      </c>
      <c r="I7463" s="22" t="s">
        <v>108</v>
      </c>
      <c r="J7463" s="23">
        <v>4</v>
      </c>
      <c r="K7463" s="37">
        <v>0</v>
      </c>
      <c r="L7463" s="37">
        <v>5</v>
      </c>
      <c r="M7463" s="22">
        <f>IF(OR(ISBLANK(C7463),C7463=""),"",ROUND((C7463-B7463)*24,2))</f>
        <v>4.25</v>
      </c>
      <c r="N7463" s="38" t="str">
        <f>IF(OR(ISBLANK(C7463),C7463="",M7463=""),"In Progress",IF(M7463&lt;=J7463,"Met","Breached"))</f>
        <v>Breached</v>
      </c>
    </row>
    <row r="7464" ht="19" customHeight="1" spans="1:14" x14ac:dyDescent="0.25">
      <c r="A7464" s="19" t="s">
        <v>7578</v>
      </c>
      <c r="B7464" s="33">
        <v>45733.64513888889</v>
      </c>
      <c r="D7464" s="19" t="s">
        <v>39</v>
      </c>
      <c r="E7464" s="19" t="s">
        <v>69</v>
      </c>
      <c r="F7464" s="19" t="s">
        <v>40</v>
      </c>
      <c r="G7464" s="19" t="s">
        <v>63</v>
      </c>
      <c r="H7464" s="19" t="s">
        <v>67</v>
      </c>
      <c r="I7464" s="19" t="s">
        <v>147</v>
      </c>
      <c r="J7464" s="20">
        <v>120</v>
      </c>
      <c r="K7464" s="34">
        <v>0</v>
      </c>
      <c r="M7464" s="19" t="str">
        <f>IF(OR(ISBLANK(C7464),C7464=""),"",ROUND((C7464-B7464)*24,2))</f>
        <v/>
      </c>
      <c r="N7464" s="19" t="str">
        <f>IF(OR(ISBLANK(C7464),C7464="",M7464=""),"In Progress",IF(M7464&lt;=J7464,"Met","Breached"))</f>
        <v>In Progress</v>
      </c>
    </row>
    <row r="7465" ht="19" customHeight="1" spans="1:14" x14ac:dyDescent="0.25">
      <c r="A7465" s="22" t="s">
        <v>7579</v>
      </c>
      <c r="B7465" s="36">
        <v>46193.603472222225</v>
      </c>
      <c r="C7465" s="36">
        <v>46202.43680555555</v>
      </c>
      <c r="D7465" s="22" t="s">
        <v>33</v>
      </c>
      <c r="E7465" s="22" t="s">
        <v>69</v>
      </c>
      <c r="F7465" s="22" t="s">
        <v>34</v>
      </c>
      <c r="G7465" s="22" t="s">
        <v>113</v>
      </c>
      <c r="H7465" s="22" t="s">
        <v>63</v>
      </c>
      <c r="I7465" s="22" t="s">
        <v>111</v>
      </c>
      <c r="J7465" s="23">
        <v>120</v>
      </c>
      <c r="K7465" s="37">
        <v>0</v>
      </c>
      <c r="L7465" s="37">
        <v>2</v>
      </c>
      <c r="M7465" s="22">
        <f>IF(OR(ISBLANK(C7465),C7465=""),"",ROUND((C7465-B7465)*24,2))</f>
        <v>212</v>
      </c>
      <c r="N7465" s="38" t="str">
        <f>IF(OR(ISBLANK(C7465),C7465="",M7465=""),"In Progress",IF(M7465&lt;=J7465,"Met","Breached"))</f>
        <v>Breached</v>
      </c>
    </row>
    <row r="7466" ht="19" customHeight="1" spans="1:14" x14ac:dyDescent="0.25">
      <c r="A7466" s="19" t="s">
        <v>7580</v>
      </c>
      <c r="B7466" s="33">
        <v>46206.9375</v>
      </c>
      <c r="C7466" s="33">
        <v>46212.98125</v>
      </c>
      <c r="D7466" s="19" t="s">
        <v>36</v>
      </c>
      <c r="E7466" s="19" t="s">
        <v>69</v>
      </c>
      <c r="F7466" s="19" t="s">
        <v>37</v>
      </c>
      <c r="G7466" s="19" t="s">
        <v>121</v>
      </c>
      <c r="H7466" s="19" t="s">
        <v>63</v>
      </c>
      <c r="I7466" s="19" t="s">
        <v>111</v>
      </c>
      <c r="J7466" s="20">
        <v>120</v>
      </c>
      <c r="K7466" s="34">
        <v>0</v>
      </c>
      <c r="L7466" s="34">
        <v>2</v>
      </c>
      <c r="M7466" s="19">
        <f>IF(OR(ISBLANK(C7466),C7466=""),"",ROUND((C7466-B7466)*24,2))</f>
        <v>145.05</v>
      </c>
      <c r="N7466" s="39" t="str">
        <f>IF(OR(ISBLANK(C7466),C7466="",M7466=""),"In Progress",IF(M7466&lt;=J7466,"Met","Breached"))</f>
        <v>Breached</v>
      </c>
    </row>
    <row r="7467" ht="19" customHeight="1" spans="1:14" x14ac:dyDescent="0.25">
      <c r="A7467" s="22" t="s">
        <v>7581</v>
      </c>
      <c r="B7467" s="36">
        <v>45901.23055555555</v>
      </c>
      <c r="C7467" s="36">
        <v>45901.62430555555</v>
      </c>
      <c r="D7467" s="22" t="s">
        <v>36</v>
      </c>
      <c r="E7467" s="22" t="s">
        <v>61</v>
      </c>
      <c r="F7467" s="22" t="s">
        <v>43</v>
      </c>
      <c r="G7467" s="22" t="s">
        <v>110</v>
      </c>
      <c r="H7467" s="22" t="s">
        <v>59</v>
      </c>
      <c r="I7467" s="22" t="s">
        <v>123</v>
      </c>
      <c r="J7467" s="23">
        <v>12</v>
      </c>
      <c r="K7467" s="37">
        <v>0</v>
      </c>
      <c r="M7467" s="22">
        <f>IF(OR(ISBLANK(C7467),C7467=""),"",ROUND((C7467-B7467)*24,2))</f>
        <v>9.45</v>
      </c>
      <c r="N7467" s="40" t="str">
        <f>IF(OR(ISBLANK(C7467),C7467="",M7467=""),"In Progress",IF(M7467&lt;=J7467,"Met","Breached"))</f>
        <v>Met</v>
      </c>
    </row>
    <row r="7468" ht="19" customHeight="1" spans="1:14" x14ac:dyDescent="0.25">
      <c r="A7468" s="19" t="s">
        <v>7582</v>
      </c>
      <c r="B7468" s="33">
        <v>46230.58263888889</v>
      </c>
      <c r="C7468" s="33">
        <v>46231.24166666667</v>
      </c>
      <c r="D7468" s="19" t="s">
        <v>36</v>
      </c>
      <c r="E7468" s="19" t="s">
        <v>61</v>
      </c>
      <c r="F7468" s="19" t="s">
        <v>45</v>
      </c>
      <c r="G7468" s="19" t="s">
        <v>113</v>
      </c>
      <c r="H7468" s="19" t="s">
        <v>59</v>
      </c>
      <c r="I7468" s="19" t="s">
        <v>117</v>
      </c>
      <c r="J7468" s="20">
        <v>12</v>
      </c>
      <c r="K7468" s="34">
        <v>0</v>
      </c>
      <c r="L7468" s="34">
        <v>2</v>
      </c>
      <c r="M7468" s="19">
        <f>IF(OR(ISBLANK(C7468),C7468=""),"",ROUND((C7468-B7468)*24,2))</f>
        <v>15.82</v>
      </c>
      <c r="N7468" s="39" t="str">
        <f>IF(OR(ISBLANK(C7468),C7468="",M7468=""),"In Progress",IF(M7468&lt;=J7468,"Met","Breached"))</f>
        <v>Breached</v>
      </c>
    </row>
    <row r="7469" ht="19" customHeight="1" spans="1:14" x14ac:dyDescent="0.25">
      <c r="A7469" s="22" t="s">
        <v>7583</v>
      </c>
      <c r="B7469" s="36">
        <v>45890.62361111111</v>
      </c>
      <c r="C7469" s="36">
        <v>45892.75277777778</v>
      </c>
      <c r="D7469" s="22" t="s">
        <v>36</v>
      </c>
      <c r="E7469" s="22" t="s">
        <v>65</v>
      </c>
      <c r="F7469" s="22" t="s">
        <v>37</v>
      </c>
      <c r="G7469" s="22" t="s">
        <v>121</v>
      </c>
      <c r="H7469" s="22" t="s">
        <v>59</v>
      </c>
      <c r="I7469" s="22" t="s">
        <v>147</v>
      </c>
      <c r="J7469" s="23">
        <v>48</v>
      </c>
      <c r="K7469" s="37">
        <v>0</v>
      </c>
      <c r="L7469" s="37">
        <v>1</v>
      </c>
      <c r="M7469" s="22">
        <f>IF(OR(ISBLANK(C7469),C7469=""),"",ROUND((C7469-B7469)*24,2))</f>
        <v>51.1</v>
      </c>
      <c r="N7469" s="38" t="str">
        <f>IF(OR(ISBLANK(C7469),C7469="",M7469=""),"In Progress",IF(M7469&lt;=J7469,"Met","Breached"))</f>
        <v>Breached</v>
      </c>
    </row>
    <row r="7470" ht="19" customHeight="1" spans="1:14" x14ac:dyDescent="0.25">
      <c r="A7470" s="19" t="s">
        <v>7584</v>
      </c>
      <c r="B7470" s="33">
        <v>46103.06180555555</v>
      </c>
      <c r="C7470" s="33">
        <v>46106.28194444445</v>
      </c>
      <c r="D7470" s="19" t="s">
        <v>33</v>
      </c>
      <c r="E7470" s="19" t="s">
        <v>65</v>
      </c>
      <c r="F7470" s="19" t="s">
        <v>43</v>
      </c>
      <c r="G7470" s="19" t="s">
        <v>113</v>
      </c>
      <c r="H7470" s="19" t="s">
        <v>71</v>
      </c>
      <c r="I7470" s="19" t="s">
        <v>114</v>
      </c>
      <c r="J7470" s="20">
        <v>48</v>
      </c>
      <c r="K7470" s="34">
        <v>0</v>
      </c>
      <c r="M7470" s="19">
        <f>IF(OR(ISBLANK(C7470),C7470=""),"",ROUND((C7470-B7470)*24,2))</f>
        <v>77.28</v>
      </c>
      <c r="N7470" s="39" t="str">
        <f>IF(OR(ISBLANK(C7470),C7470="",M7470=""),"In Progress",IF(M7470&lt;=J7470,"Met","Breached"))</f>
        <v>Breached</v>
      </c>
    </row>
    <row r="7471" ht="19" customHeight="1" spans="1:14" x14ac:dyDescent="0.25">
      <c r="A7471" s="22" t="s">
        <v>7585</v>
      </c>
      <c r="B7471" s="36">
        <v>46062.18402777778</v>
      </c>
      <c r="C7471" s="36">
        <v>46062.90972222222</v>
      </c>
      <c r="D7471" s="22" t="s">
        <v>33</v>
      </c>
      <c r="E7471" s="22" t="s">
        <v>61</v>
      </c>
      <c r="F7471" s="22" t="s">
        <v>37</v>
      </c>
      <c r="G7471" s="22" t="s">
        <v>113</v>
      </c>
      <c r="H7471" s="22" t="s">
        <v>59</v>
      </c>
      <c r="I7471" s="22" t="s">
        <v>108</v>
      </c>
      <c r="J7471" s="23">
        <v>12</v>
      </c>
      <c r="K7471" s="37">
        <v>0</v>
      </c>
      <c r="L7471" s="37">
        <v>5</v>
      </c>
      <c r="M7471" s="22">
        <f>IF(OR(ISBLANK(C7471),C7471=""),"",ROUND((C7471-B7471)*24,2))</f>
        <v>17.42</v>
      </c>
      <c r="N7471" s="38" t="str">
        <f>IF(OR(ISBLANK(C7471),C7471="",M7471=""),"In Progress",IF(M7471&lt;=J7471,"Met","Breached"))</f>
        <v>Breached</v>
      </c>
    </row>
    <row r="7472" ht="19" customHeight="1" spans="1:14" x14ac:dyDescent="0.25">
      <c r="A7472" s="19" t="s">
        <v>7586</v>
      </c>
      <c r="B7472" s="33">
        <v>45971.402083333334</v>
      </c>
      <c r="C7472" s="33">
        <v>45974.96527777778</v>
      </c>
      <c r="D7472" s="19" t="s">
        <v>33</v>
      </c>
      <c r="E7472" s="19" t="s">
        <v>69</v>
      </c>
      <c r="F7472" s="19" t="s">
        <v>34</v>
      </c>
      <c r="G7472" s="19" t="s">
        <v>116</v>
      </c>
      <c r="H7472" s="19" t="s">
        <v>59</v>
      </c>
      <c r="I7472" s="19" t="s">
        <v>147</v>
      </c>
      <c r="J7472" s="20">
        <v>120</v>
      </c>
      <c r="K7472" s="34">
        <v>0</v>
      </c>
      <c r="L7472" s="34">
        <v>4</v>
      </c>
      <c r="M7472" s="19">
        <f>IF(OR(ISBLANK(C7472),C7472=""),"",ROUND((C7472-B7472)*24,2))</f>
        <v>85.52</v>
      </c>
      <c r="N7472" s="35" t="str">
        <f>IF(OR(ISBLANK(C7472),C7472="",M7472=""),"In Progress",IF(M7472&lt;=J7472,"Met","Breached"))</f>
        <v>Met</v>
      </c>
    </row>
    <row r="7473" ht="19" customHeight="1" spans="1:14" x14ac:dyDescent="0.25">
      <c r="A7473" s="22" t="s">
        <v>7587</v>
      </c>
      <c r="B7473" s="36">
        <v>45802.54236111111</v>
      </c>
      <c r="C7473" s="36">
        <v>45803.92638888889</v>
      </c>
      <c r="D7473" s="22" t="s">
        <v>36</v>
      </c>
      <c r="E7473" s="22" t="s">
        <v>65</v>
      </c>
      <c r="F7473" s="22" t="s">
        <v>34</v>
      </c>
      <c r="G7473" s="22" t="s">
        <v>63</v>
      </c>
      <c r="H7473" s="22" t="s">
        <v>59</v>
      </c>
      <c r="I7473" s="22" t="s">
        <v>111</v>
      </c>
      <c r="J7473" s="23">
        <v>48</v>
      </c>
      <c r="K7473" s="37">
        <v>0</v>
      </c>
      <c r="L7473" s="37">
        <v>2</v>
      </c>
      <c r="M7473" s="22">
        <f>IF(OR(ISBLANK(C7473),C7473=""),"",ROUND((C7473-B7473)*24,2))</f>
        <v>33.22</v>
      </c>
      <c r="N7473" s="40" t="str">
        <f>IF(OR(ISBLANK(C7473),C7473="",M7473=""),"In Progress",IF(M7473&lt;=J7473,"Met","Breached"))</f>
        <v>Met</v>
      </c>
    </row>
    <row r="7474" ht="19" customHeight="1" spans="1:14" x14ac:dyDescent="0.25">
      <c r="A7474" s="19" t="s">
        <v>7588</v>
      </c>
      <c r="B7474" s="33">
        <v>45876.93541666667</v>
      </c>
      <c r="C7474" s="33">
        <v>45879.320138888885</v>
      </c>
      <c r="D7474" s="19" t="s">
        <v>33</v>
      </c>
      <c r="E7474" s="19" t="s">
        <v>65</v>
      </c>
      <c r="F7474" s="19" t="s">
        <v>45</v>
      </c>
      <c r="G7474" s="19" t="s">
        <v>113</v>
      </c>
      <c r="H7474" s="19" t="s">
        <v>59</v>
      </c>
      <c r="I7474" s="19" t="s">
        <v>147</v>
      </c>
      <c r="J7474" s="20">
        <v>48</v>
      </c>
      <c r="K7474" s="34">
        <v>0</v>
      </c>
      <c r="L7474" s="34">
        <v>1</v>
      </c>
      <c r="M7474" s="19">
        <f>IF(OR(ISBLANK(C7474),C7474=""),"",ROUND((C7474-B7474)*24,2))</f>
        <v>57.23</v>
      </c>
      <c r="N7474" s="39" t="str">
        <f>IF(OR(ISBLANK(C7474),C7474="",M7474=""),"In Progress",IF(M7474&lt;=J7474,"Met","Breached"))</f>
        <v>Breached</v>
      </c>
    </row>
    <row r="7475" ht="19" customHeight="1" spans="1:14" x14ac:dyDescent="0.25">
      <c r="A7475" s="22" t="s">
        <v>7589</v>
      </c>
      <c r="B7475" s="36">
        <v>46031.28680555556</v>
      </c>
      <c r="C7475" s="36">
        <v>46038.82986111111</v>
      </c>
      <c r="D7475" s="22" t="s">
        <v>36</v>
      </c>
      <c r="E7475" s="22" t="s">
        <v>69</v>
      </c>
      <c r="F7475" s="22" t="s">
        <v>37</v>
      </c>
      <c r="G7475" s="22" t="s">
        <v>126</v>
      </c>
      <c r="H7475" s="22" t="s">
        <v>71</v>
      </c>
      <c r="I7475" s="22" t="s">
        <v>111</v>
      </c>
      <c r="J7475" s="23">
        <v>120</v>
      </c>
      <c r="K7475" s="37">
        <v>0</v>
      </c>
      <c r="M7475" s="22">
        <f>IF(OR(ISBLANK(C7475),C7475=""),"",ROUND((C7475-B7475)*24,2))</f>
        <v>181.03</v>
      </c>
      <c r="N7475" s="38" t="str">
        <f>IF(OR(ISBLANK(C7475),C7475="",M7475=""),"In Progress",IF(M7475&lt;=J7475,"Met","Breached"))</f>
        <v>Breached</v>
      </c>
    </row>
    <row r="7476" ht="19" customHeight="1" spans="1:14" x14ac:dyDescent="0.25">
      <c r="A7476" s="19" t="s">
        <v>7590</v>
      </c>
      <c r="B7476" s="33">
        <v>45879.9875</v>
      </c>
      <c r="C7476" s="33">
        <v>45883.48263888889</v>
      </c>
      <c r="D7476" s="19" t="s">
        <v>36</v>
      </c>
      <c r="E7476" s="19" t="s">
        <v>65</v>
      </c>
      <c r="F7476" s="19" t="s">
        <v>40</v>
      </c>
      <c r="G7476" s="19" t="s">
        <v>63</v>
      </c>
      <c r="H7476" s="19" t="s">
        <v>67</v>
      </c>
      <c r="I7476" s="19" t="s">
        <v>123</v>
      </c>
      <c r="J7476" s="20">
        <v>48</v>
      </c>
      <c r="K7476" s="34">
        <v>0</v>
      </c>
      <c r="L7476" s="34">
        <v>2</v>
      </c>
      <c r="M7476" s="19">
        <f>IF(OR(ISBLANK(C7476),C7476=""),"",ROUND((C7476-B7476)*24,2))</f>
        <v>83.88</v>
      </c>
      <c r="N7476" s="39" t="str">
        <f>IF(OR(ISBLANK(C7476),C7476="",M7476=""),"In Progress",IF(M7476&lt;=J7476,"Met","Breached"))</f>
        <v>Breached</v>
      </c>
    </row>
    <row r="7477" ht="19" customHeight="1" spans="1:14" x14ac:dyDescent="0.25">
      <c r="A7477" s="22" t="s">
        <v>7591</v>
      </c>
      <c r="B7477" s="36">
        <v>45887.96736111111</v>
      </c>
      <c r="C7477" s="36">
        <v>45888.15902777778</v>
      </c>
      <c r="D7477" s="22" t="s">
        <v>33</v>
      </c>
      <c r="E7477" s="22" t="s">
        <v>61</v>
      </c>
      <c r="F7477" s="22" t="s">
        <v>40</v>
      </c>
      <c r="G7477" s="22" t="s">
        <v>110</v>
      </c>
      <c r="H7477" s="22" t="s">
        <v>59</v>
      </c>
      <c r="I7477" s="22" t="s">
        <v>108</v>
      </c>
      <c r="J7477" s="23">
        <v>12</v>
      </c>
      <c r="K7477" s="37">
        <v>0</v>
      </c>
      <c r="L7477" s="37">
        <v>5</v>
      </c>
      <c r="M7477" s="22">
        <f>IF(OR(ISBLANK(C7477),C7477=""),"",ROUND((C7477-B7477)*24,2))</f>
        <v>4.6</v>
      </c>
      <c r="N7477" s="40" t="str">
        <f>IF(OR(ISBLANK(C7477),C7477="",M7477=""),"In Progress",IF(M7477&lt;=J7477,"Met","Breached"))</f>
        <v>Met</v>
      </c>
    </row>
    <row r="7478" ht="19" customHeight="1" spans="1:14" x14ac:dyDescent="0.25">
      <c r="A7478" s="19" t="s">
        <v>7592</v>
      </c>
      <c r="B7478" s="33">
        <v>45691.31041666667</v>
      </c>
      <c r="C7478" s="33">
        <v>45694.85277777778</v>
      </c>
      <c r="D7478" s="19" t="s">
        <v>33</v>
      </c>
      <c r="E7478" s="19" t="s">
        <v>65</v>
      </c>
      <c r="F7478" s="19" t="s">
        <v>34</v>
      </c>
      <c r="G7478" s="19" t="s">
        <v>110</v>
      </c>
      <c r="H7478" s="19" t="s">
        <v>59</v>
      </c>
      <c r="I7478" s="19" t="s">
        <v>114</v>
      </c>
      <c r="J7478" s="20">
        <v>48</v>
      </c>
      <c r="K7478" s="34">
        <v>0</v>
      </c>
      <c r="L7478" s="34">
        <v>4</v>
      </c>
      <c r="M7478" s="19">
        <f>IF(OR(ISBLANK(C7478),C7478=""),"",ROUND((C7478-B7478)*24,2))</f>
        <v>85.02</v>
      </c>
      <c r="N7478" s="39" t="str">
        <f>IF(OR(ISBLANK(C7478),C7478="",M7478=""),"In Progress",IF(M7478&lt;=J7478,"Met","Breached"))</f>
        <v>Breached</v>
      </c>
    </row>
    <row r="7479" ht="19" customHeight="1" spans="1:14" x14ac:dyDescent="0.25">
      <c r="A7479" s="22" t="s">
        <v>7593</v>
      </c>
      <c r="B7479" s="36">
        <v>45845.24375</v>
      </c>
      <c r="C7479" s="36">
        <v>45848.35902777778</v>
      </c>
      <c r="D7479" s="22" t="s">
        <v>36</v>
      </c>
      <c r="E7479" s="22" t="s">
        <v>65</v>
      </c>
      <c r="F7479" s="22" t="s">
        <v>43</v>
      </c>
      <c r="G7479" s="22" t="s">
        <v>113</v>
      </c>
      <c r="H7479" s="22" t="s">
        <v>63</v>
      </c>
      <c r="I7479" s="22" t="s">
        <v>111</v>
      </c>
      <c r="J7479" s="23">
        <v>48</v>
      </c>
      <c r="K7479" s="37">
        <v>0</v>
      </c>
      <c r="L7479" s="37">
        <v>1</v>
      </c>
      <c r="M7479" s="22">
        <f>IF(OR(ISBLANK(C7479),C7479=""),"",ROUND((C7479-B7479)*24,2))</f>
        <v>74.77</v>
      </c>
      <c r="N7479" s="38" t="str">
        <f>IF(OR(ISBLANK(C7479),C7479="",M7479=""),"In Progress",IF(M7479&lt;=J7479,"Met","Breached"))</f>
        <v>Breached</v>
      </c>
    </row>
    <row r="7480" ht="19" customHeight="1" spans="1:14" x14ac:dyDescent="0.25">
      <c r="A7480" s="19" t="s">
        <v>7594</v>
      </c>
      <c r="B7480" s="33">
        <v>46006.25277777778</v>
      </c>
      <c r="C7480" s="33">
        <v>46007.134722222225</v>
      </c>
      <c r="D7480" s="19" t="s">
        <v>33</v>
      </c>
      <c r="E7480" s="19" t="s">
        <v>61</v>
      </c>
      <c r="F7480" s="19" t="s">
        <v>45</v>
      </c>
      <c r="G7480" s="19" t="s">
        <v>126</v>
      </c>
      <c r="H7480" s="19" t="s">
        <v>59</v>
      </c>
      <c r="I7480" s="19" t="s">
        <v>123</v>
      </c>
      <c r="J7480" s="20">
        <v>12</v>
      </c>
      <c r="K7480" s="34">
        <v>0</v>
      </c>
      <c r="L7480" s="34">
        <v>3</v>
      </c>
      <c r="M7480" s="19">
        <f>IF(OR(ISBLANK(C7480),C7480=""),"",ROUND((C7480-B7480)*24,2))</f>
        <v>21.17</v>
      </c>
      <c r="N7480" s="39" t="str">
        <f>IF(OR(ISBLANK(C7480),C7480="",M7480=""),"In Progress",IF(M7480&lt;=J7480,"Met","Breached"))</f>
        <v>Breached</v>
      </c>
    </row>
    <row r="7481" ht="19" customHeight="1" spans="1:14" x14ac:dyDescent="0.25">
      <c r="A7481" s="22" t="s">
        <v>7595</v>
      </c>
      <c r="B7481" s="36">
        <v>46024.45486111111</v>
      </c>
      <c r="C7481" s="36">
        <v>46027.53333333333</v>
      </c>
      <c r="D7481" s="22" t="s">
        <v>33</v>
      </c>
      <c r="E7481" s="22" t="s">
        <v>69</v>
      </c>
      <c r="F7481" s="22" t="s">
        <v>37</v>
      </c>
      <c r="G7481" s="22" t="s">
        <v>116</v>
      </c>
      <c r="H7481" s="22" t="s">
        <v>63</v>
      </c>
      <c r="I7481" s="22" t="s">
        <v>114</v>
      </c>
      <c r="J7481" s="23">
        <v>120</v>
      </c>
      <c r="K7481" s="37">
        <v>0</v>
      </c>
      <c r="L7481" s="37">
        <v>3</v>
      </c>
      <c r="M7481" s="22">
        <f>IF(OR(ISBLANK(C7481),C7481=""),"",ROUND((C7481-B7481)*24,2))</f>
        <v>73.88</v>
      </c>
      <c r="N7481" s="40" t="str">
        <f>IF(OR(ISBLANK(C7481),C7481="",M7481=""),"In Progress",IF(M7481&lt;=J7481,"Met","Breached"))</f>
        <v>Met</v>
      </c>
    </row>
    <row r="7482" ht="19" customHeight="1" spans="1:14" x14ac:dyDescent="0.25">
      <c r="A7482" s="19" t="s">
        <v>7596</v>
      </c>
      <c r="B7482" s="33">
        <v>45884.91458333333</v>
      </c>
      <c r="C7482" s="33">
        <v>45887.804861111115</v>
      </c>
      <c r="D7482" s="19" t="s">
        <v>36</v>
      </c>
      <c r="E7482" s="19" t="s">
        <v>65</v>
      </c>
      <c r="F7482" s="19" t="s">
        <v>45</v>
      </c>
      <c r="G7482" s="19" t="s">
        <v>126</v>
      </c>
      <c r="H7482" s="19" t="s">
        <v>59</v>
      </c>
      <c r="I7482" s="19" t="s">
        <v>108</v>
      </c>
      <c r="J7482" s="20">
        <v>48</v>
      </c>
      <c r="K7482" s="34">
        <v>0</v>
      </c>
      <c r="L7482" s="34">
        <v>3</v>
      </c>
      <c r="M7482" s="19">
        <f>IF(OR(ISBLANK(C7482),C7482=""),"",ROUND((C7482-B7482)*24,2))</f>
        <v>69.37</v>
      </c>
      <c r="N7482" s="39" t="str">
        <f>IF(OR(ISBLANK(C7482),C7482="",M7482=""),"In Progress",IF(M7482&lt;=J7482,"Met","Breached"))</f>
        <v>Breached</v>
      </c>
    </row>
    <row r="7483" ht="19" customHeight="1" spans="1:14" x14ac:dyDescent="0.25">
      <c r="A7483" s="22" t="s">
        <v>7597</v>
      </c>
      <c r="B7483" s="36">
        <v>45796.74097222222</v>
      </c>
      <c r="C7483" s="36">
        <v>45800.25625</v>
      </c>
      <c r="D7483" s="22" t="s">
        <v>36</v>
      </c>
      <c r="E7483" s="22" t="s">
        <v>65</v>
      </c>
      <c r="F7483" s="22" t="s">
        <v>34</v>
      </c>
      <c r="G7483" s="22" t="s">
        <v>121</v>
      </c>
      <c r="H7483" s="22" t="s">
        <v>63</v>
      </c>
      <c r="I7483" s="22" t="s">
        <v>123</v>
      </c>
      <c r="J7483" s="23">
        <v>48</v>
      </c>
      <c r="K7483" s="37">
        <v>0</v>
      </c>
      <c r="L7483" s="37">
        <v>4</v>
      </c>
      <c r="M7483" s="22">
        <f>IF(OR(ISBLANK(C7483),C7483=""),"",ROUND((C7483-B7483)*24,2))</f>
        <v>84.37</v>
      </c>
      <c r="N7483" s="38" t="str">
        <f>IF(OR(ISBLANK(C7483),C7483="",M7483=""),"In Progress",IF(M7483&lt;=J7483,"Met","Breached"))</f>
        <v>Breached</v>
      </c>
    </row>
    <row r="7484" ht="19" customHeight="1" spans="1:14" x14ac:dyDescent="0.25">
      <c r="A7484" s="19" t="s">
        <v>7598</v>
      </c>
      <c r="B7484" s="33">
        <v>46157.631944444445</v>
      </c>
      <c r="C7484" s="33">
        <v>46157.711111111115</v>
      </c>
      <c r="D7484" s="19" t="s">
        <v>36</v>
      </c>
      <c r="E7484" s="19" t="s">
        <v>57</v>
      </c>
      <c r="F7484" s="19" t="s">
        <v>37</v>
      </c>
      <c r="G7484" s="19" t="s">
        <v>126</v>
      </c>
      <c r="H7484" s="19" t="s">
        <v>59</v>
      </c>
      <c r="I7484" s="19" t="s">
        <v>117</v>
      </c>
      <c r="J7484" s="20">
        <v>4</v>
      </c>
      <c r="K7484" s="34">
        <v>0</v>
      </c>
      <c r="L7484" s="34">
        <v>5</v>
      </c>
      <c r="M7484" s="19">
        <f>IF(OR(ISBLANK(C7484),C7484=""),"",ROUND((C7484-B7484)*24,2))</f>
        <v>1.9</v>
      </c>
      <c r="N7484" s="35" t="str">
        <f>IF(OR(ISBLANK(C7484),C7484="",M7484=""),"In Progress",IF(M7484&lt;=J7484,"Met","Breached"))</f>
        <v>Met</v>
      </c>
    </row>
    <row r="7485" ht="19" customHeight="1" spans="1:14" x14ac:dyDescent="0.25">
      <c r="A7485" s="22" t="s">
        <v>7599</v>
      </c>
      <c r="B7485" s="36">
        <v>46164.256944444445</v>
      </c>
      <c r="C7485" s="36">
        <v>46165.99097222222</v>
      </c>
      <c r="D7485" s="22" t="s">
        <v>33</v>
      </c>
      <c r="E7485" s="22" t="s">
        <v>65</v>
      </c>
      <c r="F7485" s="22" t="s">
        <v>43</v>
      </c>
      <c r="G7485" s="22" t="s">
        <v>113</v>
      </c>
      <c r="H7485" s="22" t="s">
        <v>59</v>
      </c>
      <c r="I7485" s="22" t="s">
        <v>111</v>
      </c>
      <c r="J7485" s="23">
        <v>48</v>
      </c>
      <c r="K7485" s="37">
        <v>0</v>
      </c>
      <c r="M7485" s="22">
        <f>IF(OR(ISBLANK(C7485),C7485=""),"",ROUND((C7485-B7485)*24,2))</f>
        <v>41.62</v>
      </c>
      <c r="N7485" s="40" t="str">
        <f>IF(OR(ISBLANK(C7485),C7485="",M7485=""),"In Progress",IF(M7485&lt;=J7485,"Met","Breached"))</f>
        <v>Met</v>
      </c>
    </row>
    <row r="7486" ht="19" customHeight="1" spans="1:14" x14ac:dyDescent="0.25">
      <c r="A7486" s="19" t="s">
        <v>7600</v>
      </c>
      <c r="B7486" s="33">
        <v>45761.875</v>
      </c>
      <c r="C7486" s="33">
        <v>45762.231944444444</v>
      </c>
      <c r="D7486" s="19" t="s">
        <v>33</v>
      </c>
      <c r="E7486" s="19" t="s">
        <v>61</v>
      </c>
      <c r="F7486" s="19" t="s">
        <v>45</v>
      </c>
      <c r="G7486" s="19" t="s">
        <v>126</v>
      </c>
      <c r="H7486" s="19" t="s">
        <v>59</v>
      </c>
      <c r="I7486" s="19" t="s">
        <v>108</v>
      </c>
      <c r="J7486" s="20">
        <v>12</v>
      </c>
      <c r="K7486" s="34">
        <v>0</v>
      </c>
      <c r="L7486" s="34">
        <v>4</v>
      </c>
      <c r="M7486" s="19">
        <f>IF(OR(ISBLANK(C7486),C7486=""),"",ROUND((C7486-B7486)*24,2))</f>
        <v>8.57</v>
      </c>
      <c r="N7486" s="35" t="str">
        <f>IF(OR(ISBLANK(C7486),C7486="",M7486=""),"In Progress",IF(M7486&lt;=J7486,"Met","Breached"))</f>
        <v>Met</v>
      </c>
    </row>
    <row r="7487" ht="19" customHeight="1" spans="1:14" x14ac:dyDescent="0.25">
      <c r="A7487" s="22" t="s">
        <v>7601</v>
      </c>
      <c r="B7487" s="36">
        <v>45665.72777777778</v>
      </c>
      <c r="D7487" s="22" t="s">
        <v>39</v>
      </c>
      <c r="E7487" s="22" t="s">
        <v>57</v>
      </c>
      <c r="F7487" s="22" t="s">
        <v>40</v>
      </c>
      <c r="G7487" s="22" t="s">
        <v>116</v>
      </c>
      <c r="H7487" s="22" t="s">
        <v>59</v>
      </c>
      <c r="I7487" s="22" t="s">
        <v>108</v>
      </c>
      <c r="J7487" s="23">
        <v>4</v>
      </c>
      <c r="K7487" s="37">
        <v>0</v>
      </c>
      <c r="M7487" s="22" t="str">
        <f>IF(OR(ISBLANK(C7487),C7487=""),"",ROUND((C7487-B7487)*24,2))</f>
        <v/>
      </c>
      <c r="N7487" s="22" t="str">
        <f>IF(OR(ISBLANK(C7487),C7487="",M7487=""),"In Progress",IF(M7487&lt;=J7487,"Met","Breached"))</f>
        <v>In Progress</v>
      </c>
    </row>
    <row r="7488" ht="19" customHeight="1" spans="1:14" x14ac:dyDescent="0.25">
      <c r="A7488" s="19" t="s">
        <v>7602</v>
      </c>
      <c r="B7488" s="33">
        <v>46002.48888888889</v>
      </c>
      <c r="D7488" s="19" t="s">
        <v>39</v>
      </c>
      <c r="E7488" s="19" t="s">
        <v>65</v>
      </c>
      <c r="F7488" s="19" t="s">
        <v>34</v>
      </c>
      <c r="G7488" s="19" t="s">
        <v>121</v>
      </c>
      <c r="H7488" s="19" t="s">
        <v>63</v>
      </c>
      <c r="I7488" s="19" t="s">
        <v>147</v>
      </c>
      <c r="J7488" s="20">
        <v>48</v>
      </c>
      <c r="K7488" s="34">
        <v>0</v>
      </c>
      <c r="M7488" s="19" t="str">
        <f>IF(OR(ISBLANK(C7488),C7488=""),"",ROUND((C7488-B7488)*24,2))</f>
        <v/>
      </c>
      <c r="N7488" s="19" t="str">
        <f>IF(OR(ISBLANK(C7488),C7488="",M7488=""),"In Progress",IF(M7488&lt;=J7488,"Met","Breached"))</f>
        <v>In Progress</v>
      </c>
    </row>
    <row r="7489" ht="19" customHeight="1" spans="1:14" x14ac:dyDescent="0.25">
      <c r="A7489" s="22" t="s">
        <v>7603</v>
      </c>
      <c r="B7489" s="36">
        <v>45782.52777777778</v>
      </c>
      <c r="C7489" s="36">
        <v>45783.62986111111</v>
      </c>
      <c r="D7489" s="22" t="s">
        <v>36</v>
      </c>
      <c r="E7489" s="22" t="s">
        <v>65</v>
      </c>
      <c r="F7489" s="22" t="s">
        <v>37</v>
      </c>
      <c r="G7489" s="22" t="s">
        <v>121</v>
      </c>
      <c r="H7489" s="22" t="s">
        <v>67</v>
      </c>
      <c r="I7489" s="22" t="s">
        <v>114</v>
      </c>
      <c r="J7489" s="23">
        <v>48</v>
      </c>
      <c r="K7489" s="37">
        <v>0</v>
      </c>
      <c r="L7489" s="37">
        <v>2</v>
      </c>
      <c r="M7489" s="22">
        <f>IF(OR(ISBLANK(C7489),C7489=""),"",ROUND((C7489-B7489)*24,2))</f>
        <v>26.45</v>
      </c>
      <c r="N7489" s="40" t="str">
        <f>IF(OR(ISBLANK(C7489),C7489="",M7489=""),"In Progress",IF(M7489&lt;=J7489,"Met","Breached"))</f>
        <v>Met</v>
      </c>
    </row>
    <row r="7490" ht="19" customHeight="1" spans="1:14" x14ac:dyDescent="0.25">
      <c r="A7490" s="19" t="s">
        <v>7604</v>
      </c>
      <c r="B7490" s="33">
        <v>45920.65902777778</v>
      </c>
      <c r="C7490" s="33">
        <v>45922.94236111111</v>
      </c>
      <c r="D7490" s="19" t="s">
        <v>33</v>
      </c>
      <c r="E7490" s="19" t="s">
        <v>65</v>
      </c>
      <c r="F7490" s="19" t="s">
        <v>45</v>
      </c>
      <c r="G7490" s="19" t="s">
        <v>126</v>
      </c>
      <c r="H7490" s="19" t="s">
        <v>63</v>
      </c>
      <c r="I7490" s="19" t="s">
        <v>147</v>
      </c>
      <c r="J7490" s="20">
        <v>48</v>
      </c>
      <c r="K7490" s="34">
        <v>0</v>
      </c>
      <c r="L7490" s="34">
        <v>3</v>
      </c>
      <c r="M7490" s="19">
        <f>IF(OR(ISBLANK(C7490),C7490=""),"",ROUND((C7490-B7490)*24,2))</f>
        <v>54.8</v>
      </c>
      <c r="N7490" s="39" t="str">
        <f>IF(OR(ISBLANK(C7490),C7490="",M7490=""),"In Progress",IF(M7490&lt;=J7490,"Met","Breached"))</f>
        <v>Breached</v>
      </c>
    </row>
    <row r="7491" ht="19" customHeight="1" spans="1:14" x14ac:dyDescent="0.25">
      <c r="A7491" s="22" t="s">
        <v>7605</v>
      </c>
      <c r="B7491" s="36">
        <v>46201.10208333333</v>
      </c>
      <c r="D7491" s="22" t="s">
        <v>42</v>
      </c>
      <c r="E7491" s="22" t="s">
        <v>61</v>
      </c>
      <c r="F7491" s="22" t="s">
        <v>45</v>
      </c>
      <c r="G7491" s="22" t="s">
        <v>116</v>
      </c>
      <c r="H7491" s="22" t="s">
        <v>71</v>
      </c>
      <c r="I7491" s="22" t="s">
        <v>117</v>
      </c>
      <c r="J7491" s="23">
        <v>12</v>
      </c>
      <c r="K7491" s="37">
        <v>0</v>
      </c>
      <c r="M7491" s="22" t="str">
        <f>IF(OR(ISBLANK(C7491),C7491=""),"",ROUND((C7491-B7491)*24,2))</f>
        <v/>
      </c>
      <c r="N7491" s="22" t="str">
        <f>IF(OR(ISBLANK(C7491),C7491="",M7491=""),"In Progress",IF(M7491&lt;=J7491,"Met","Breached"))</f>
        <v>In Progress</v>
      </c>
    </row>
    <row r="7492" ht="19" customHeight="1" spans="1:14" x14ac:dyDescent="0.25">
      <c r="A7492" s="19" t="s">
        <v>7606</v>
      </c>
      <c r="B7492" s="33">
        <v>46050.93888888889</v>
      </c>
      <c r="D7492" s="19" t="s">
        <v>42</v>
      </c>
      <c r="E7492" s="19" t="s">
        <v>65</v>
      </c>
      <c r="F7492" s="19" t="s">
        <v>40</v>
      </c>
      <c r="G7492" s="19" t="s">
        <v>116</v>
      </c>
      <c r="H7492" s="19" t="s">
        <v>67</v>
      </c>
      <c r="I7492" s="19" t="s">
        <v>147</v>
      </c>
      <c r="J7492" s="20">
        <v>48</v>
      </c>
      <c r="K7492" s="34">
        <v>0</v>
      </c>
      <c r="M7492" s="19" t="str">
        <f>IF(OR(ISBLANK(C7492),C7492=""),"",ROUND((C7492-B7492)*24,2))</f>
        <v/>
      </c>
      <c r="N7492" s="19" t="str">
        <f>IF(OR(ISBLANK(C7492),C7492="",M7492=""),"In Progress",IF(M7492&lt;=J7492,"Met","Breached"))</f>
        <v>In Progress</v>
      </c>
    </row>
    <row r="7493" ht="19" customHeight="1" spans="1:14" x14ac:dyDescent="0.25">
      <c r="A7493" s="22" t="s">
        <v>7607</v>
      </c>
      <c r="B7493" s="36">
        <v>46000.84583333333</v>
      </c>
      <c r="C7493" s="36">
        <v>46003.89166666666</v>
      </c>
      <c r="D7493" s="22" t="s">
        <v>33</v>
      </c>
      <c r="E7493" s="22" t="s">
        <v>65</v>
      </c>
      <c r="F7493" s="22" t="s">
        <v>37</v>
      </c>
      <c r="G7493" s="22" t="s">
        <v>116</v>
      </c>
      <c r="H7493" s="22" t="s">
        <v>59</v>
      </c>
      <c r="I7493" s="22" t="s">
        <v>117</v>
      </c>
      <c r="J7493" s="23">
        <v>48</v>
      </c>
      <c r="K7493" s="37">
        <v>0</v>
      </c>
      <c r="L7493" s="37">
        <v>4</v>
      </c>
      <c r="M7493" s="22">
        <f>IF(OR(ISBLANK(C7493),C7493=""),"",ROUND((C7493-B7493)*24,2))</f>
        <v>73.1</v>
      </c>
      <c r="N7493" s="38" t="str">
        <f>IF(OR(ISBLANK(C7493),C7493="",M7493=""),"In Progress",IF(M7493&lt;=J7493,"Met","Breached"))</f>
        <v>Breached</v>
      </c>
    </row>
    <row r="7494" ht="19" customHeight="1" spans="1:14" x14ac:dyDescent="0.25">
      <c r="A7494" s="19" t="s">
        <v>7608</v>
      </c>
      <c r="B7494" s="33">
        <v>46254.37430555555</v>
      </c>
      <c r="C7494" s="33">
        <v>46256.51527777778</v>
      </c>
      <c r="D7494" s="19" t="s">
        <v>36</v>
      </c>
      <c r="E7494" s="19" t="s">
        <v>65</v>
      </c>
      <c r="F7494" s="19" t="s">
        <v>37</v>
      </c>
      <c r="G7494" s="19" t="s">
        <v>63</v>
      </c>
      <c r="H7494" s="19" t="s">
        <v>71</v>
      </c>
      <c r="I7494" s="19" t="s">
        <v>114</v>
      </c>
      <c r="J7494" s="20">
        <v>48</v>
      </c>
      <c r="K7494" s="34">
        <v>0</v>
      </c>
      <c r="M7494" s="19">
        <f>IF(OR(ISBLANK(C7494),C7494=""),"",ROUND((C7494-B7494)*24,2))</f>
        <v>51.38</v>
      </c>
      <c r="N7494" s="39" t="str">
        <f>IF(OR(ISBLANK(C7494),C7494="",M7494=""),"In Progress",IF(M7494&lt;=J7494,"Met","Breached"))</f>
        <v>Breached</v>
      </c>
    </row>
    <row r="7495" ht="19" customHeight="1" spans="1:14" x14ac:dyDescent="0.25">
      <c r="A7495" s="22" t="s">
        <v>7609</v>
      </c>
      <c r="B7495" s="36">
        <v>46128.46041666667</v>
      </c>
      <c r="C7495" s="36">
        <v>46130.11944444444</v>
      </c>
      <c r="D7495" s="22" t="s">
        <v>33</v>
      </c>
      <c r="E7495" s="22" t="s">
        <v>65</v>
      </c>
      <c r="F7495" s="22" t="s">
        <v>34</v>
      </c>
      <c r="G7495" s="22" t="s">
        <v>63</v>
      </c>
      <c r="H7495" s="22" t="s">
        <v>59</v>
      </c>
      <c r="I7495" s="22" t="s">
        <v>123</v>
      </c>
      <c r="J7495" s="23">
        <v>48</v>
      </c>
      <c r="K7495" s="37">
        <v>0</v>
      </c>
      <c r="L7495" s="37">
        <v>1</v>
      </c>
      <c r="M7495" s="22">
        <f>IF(OR(ISBLANK(C7495),C7495=""),"",ROUND((C7495-B7495)*24,2))</f>
        <v>39.82</v>
      </c>
      <c r="N7495" s="40" t="str">
        <f>IF(OR(ISBLANK(C7495),C7495="",M7495=""),"In Progress",IF(M7495&lt;=J7495,"Met","Breached"))</f>
        <v>Met</v>
      </c>
    </row>
    <row r="7496" ht="19" customHeight="1" spans="1:14" x14ac:dyDescent="0.25">
      <c r="A7496" s="19" t="s">
        <v>7610</v>
      </c>
      <c r="B7496" s="33">
        <v>46106.072222222225</v>
      </c>
      <c r="C7496" s="33">
        <v>46106.16875</v>
      </c>
      <c r="D7496" s="19" t="s">
        <v>33</v>
      </c>
      <c r="E7496" s="19" t="s">
        <v>57</v>
      </c>
      <c r="F7496" s="19" t="s">
        <v>40</v>
      </c>
      <c r="G7496" s="19" t="s">
        <v>63</v>
      </c>
      <c r="H7496" s="19" t="s">
        <v>71</v>
      </c>
      <c r="I7496" s="19" t="s">
        <v>123</v>
      </c>
      <c r="J7496" s="20">
        <v>4</v>
      </c>
      <c r="K7496" s="34">
        <v>0</v>
      </c>
      <c r="L7496" s="34">
        <v>1</v>
      </c>
      <c r="M7496" s="19">
        <f>IF(OR(ISBLANK(C7496),C7496=""),"",ROUND((C7496-B7496)*24,2))</f>
        <v>2.32</v>
      </c>
      <c r="N7496" s="35" t="str">
        <f>IF(OR(ISBLANK(C7496),C7496="",M7496=""),"In Progress",IF(M7496&lt;=J7496,"Met","Breached"))</f>
        <v>Met</v>
      </c>
    </row>
    <row r="7497" ht="19" customHeight="1" spans="1:14" x14ac:dyDescent="0.25">
      <c r="A7497" s="22" t="s">
        <v>7611</v>
      </c>
      <c r="B7497" s="36">
        <v>45933.43819444445</v>
      </c>
      <c r="C7497" s="36">
        <v>45934.50555555556</v>
      </c>
      <c r="D7497" s="22" t="s">
        <v>33</v>
      </c>
      <c r="E7497" s="22" t="s">
        <v>65</v>
      </c>
      <c r="F7497" s="22" t="s">
        <v>37</v>
      </c>
      <c r="G7497" s="22" t="s">
        <v>113</v>
      </c>
      <c r="H7497" s="22" t="s">
        <v>67</v>
      </c>
      <c r="I7497" s="22" t="s">
        <v>114</v>
      </c>
      <c r="J7497" s="23">
        <v>48</v>
      </c>
      <c r="K7497" s="37">
        <v>0</v>
      </c>
      <c r="L7497" s="37">
        <v>5</v>
      </c>
      <c r="M7497" s="22">
        <f>IF(OR(ISBLANK(C7497),C7497=""),"",ROUND((C7497-B7497)*24,2))</f>
        <v>25.62</v>
      </c>
      <c r="N7497" s="40" t="str">
        <f>IF(OR(ISBLANK(C7497),C7497="",M7497=""),"In Progress",IF(M7497&lt;=J7497,"Met","Breached"))</f>
        <v>Met</v>
      </c>
    </row>
    <row r="7498" ht="19" customHeight="1" spans="1:14" x14ac:dyDescent="0.25">
      <c r="A7498" s="19" t="s">
        <v>7612</v>
      </c>
      <c r="B7498" s="33">
        <v>45875.06388888889</v>
      </c>
      <c r="C7498" s="33">
        <v>45875.45972222222</v>
      </c>
      <c r="D7498" s="19" t="s">
        <v>33</v>
      </c>
      <c r="E7498" s="19" t="s">
        <v>61</v>
      </c>
      <c r="F7498" s="19" t="s">
        <v>34</v>
      </c>
      <c r="G7498" s="19" t="s">
        <v>126</v>
      </c>
      <c r="H7498" s="19" t="s">
        <v>63</v>
      </c>
      <c r="I7498" s="19" t="s">
        <v>114</v>
      </c>
      <c r="J7498" s="20">
        <v>12</v>
      </c>
      <c r="K7498" s="34">
        <v>0</v>
      </c>
      <c r="L7498" s="34">
        <v>5</v>
      </c>
      <c r="M7498" s="19">
        <f>IF(OR(ISBLANK(C7498),C7498=""),"",ROUND((C7498-B7498)*24,2))</f>
        <v>9.5</v>
      </c>
      <c r="N7498" s="35" t="str">
        <f>IF(OR(ISBLANK(C7498),C7498="",M7498=""),"In Progress",IF(M7498&lt;=J7498,"Met","Breached"))</f>
        <v>Met</v>
      </c>
    </row>
    <row r="7499" ht="19" customHeight="1" spans="1:14" x14ac:dyDescent="0.25">
      <c r="A7499" s="22" t="s">
        <v>7613</v>
      </c>
      <c r="B7499" s="36">
        <v>46118.77569444444</v>
      </c>
      <c r="C7499" s="36">
        <v>46123.634722222225</v>
      </c>
      <c r="D7499" s="22" t="s">
        <v>33</v>
      </c>
      <c r="E7499" s="22" t="s">
        <v>69</v>
      </c>
      <c r="F7499" s="22" t="s">
        <v>40</v>
      </c>
      <c r="G7499" s="22" t="s">
        <v>63</v>
      </c>
      <c r="H7499" s="22" t="s">
        <v>67</v>
      </c>
      <c r="I7499" s="22" t="s">
        <v>108</v>
      </c>
      <c r="J7499" s="23">
        <v>120</v>
      </c>
      <c r="K7499" s="37">
        <v>0</v>
      </c>
      <c r="L7499" s="37">
        <v>1</v>
      </c>
      <c r="M7499" s="22">
        <f>IF(OR(ISBLANK(C7499),C7499=""),"",ROUND((C7499-B7499)*24,2))</f>
        <v>116.62</v>
      </c>
      <c r="N7499" s="40" t="str">
        <f>IF(OR(ISBLANK(C7499),C7499="",M7499=""),"In Progress",IF(M7499&lt;=J7499,"Met","Breached"))</f>
        <v>Met</v>
      </c>
    </row>
    <row r="7500" ht="19" customHeight="1" spans="1:14" x14ac:dyDescent="0.25">
      <c r="A7500" s="19" t="s">
        <v>7614</v>
      </c>
      <c r="B7500" s="33">
        <v>45837.74930555555</v>
      </c>
      <c r="D7500" s="19" t="s">
        <v>39</v>
      </c>
      <c r="E7500" s="19" t="s">
        <v>65</v>
      </c>
      <c r="F7500" s="19" t="s">
        <v>43</v>
      </c>
      <c r="G7500" s="19" t="s">
        <v>63</v>
      </c>
      <c r="H7500" s="19" t="s">
        <v>59</v>
      </c>
      <c r="I7500" s="19" t="s">
        <v>123</v>
      </c>
      <c r="J7500" s="20">
        <v>48</v>
      </c>
      <c r="K7500" s="34">
        <v>0</v>
      </c>
      <c r="M7500" s="19" t="str">
        <f>IF(OR(ISBLANK(C7500),C7500=""),"",ROUND((C7500-B7500)*24,2))</f>
        <v/>
      </c>
      <c r="N7500" s="19" t="str">
        <f>IF(OR(ISBLANK(C7500),C7500="",M7500=""),"In Progress",IF(M7500&lt;=J7500,"Met","Breached"))</f>
        <v>In Progress</v>
      </c>
    </row>
    <row r="7501" ht="19" customHeight="1" spans="1:14" x14ac:dyDescent="0.25">
      <c r="A7501" s="22" t="s">
        <v>7615</v>
      </c>
      <c r="B7501" s="36">
        <v>46144.146527777775</v>
      </c>
      <c r="C7501" s="36">
        <v>46145.24652777778</v>
      </c>
      <c r="D7501" s="22" t="s">
        <v>33</v>
      </c>
      <c r="E7501" s="22" t="s">
        <v>65</v>
      </c>
      <c r="F7501" s="22" t="s">
        <v>37</v>
      </c>
      <c r="G7501" s="22" t="s">
        <v>63</v>
      </c>
      <c r="H7501" s="22" t="s">
        <v>59</v>
      </c>
      <c r="I7501" s="22" t="s">
        <v>147</v>
      </c>
      <c r="J7501" s="23">
        <v>48</v>
      </c>
      <c r="K7501" s="37">
        <v>0</v>
      </c>
      <c r="L7501" s="37">
        <v>2</v>
      </c>
      <c r="M7501" s="22">
        <f>IF(OR(ISBLANK(C7501),C7501=""),"",ROUND((C7501-B7501)*24,2))</f>
        <v>26.4</v>
      </c>
      <c r="N7501" s="40" t="str">
        <f>IF(OR(ISBLANK(C7501),C7501="",M7501=""),"In Progress",IF(M7501&lt;=J7501,"Met","Breached"))</f>
        <v>Met</v>
      </c>
    </row>
    <row r="7502" ht="19" customHeight="1" spans="1:14" x14ac:dyDescent="0.25">
      <c r="A7502" s="19" t="s">
        <v>7616</v>
      </c>
      <c r="B7502" s="33">
        <v>45877.97916666667</v>
      </c>
      <c r="C7502" s="33">
        <v>45881.40069444444</v>
      </c>
      <c r="D7502" s="19" t="s">
        <v>33</v>
      </c>
      <c r="E7502" s="19" t="s">
        <v>65</v>
      </c>
      <c r="F7502" s="19" t="s">
        <v>43</v>
      </c>
      <c r="G7502" s="19" t="s">
        <v>126</v>
      </c>
      <c r="H7502" s="19" t="s">
        <v>63</v>
      </c>
      <c r="I7502" s="19" t="s">
        <v>114</v>
      </c>
      <c r="J7502" s="20">
        <v>48</v>
      </c>
      <c r="K7502" s="34">
        <v>0</v>
      </c>
      <c r="L7502" s="34">
        <v>1</v>
      </c>
      <c r="M7502" s="19">
        <f>IF(OR(ISBLANK(C7502),C7502=""),"",ROUND((C7502-B7502)*24,2))</f>
        <v>82.12</v>
      </c>
      <c r="N7502" s="39" t="str">
        <f>IF(OR(ISBLANK(C7502),C7502="",M7502=""),"In Progress",IF(M7502&lt;=J7502,"Met","Breached"))</f>
        <v>Breached</v>
      </c>
    </row>
    <row r="7503" ht="19" customHeight="1" spans="1:14" x14ac:dyDescent="0.25">
      <c r="A7503" s="22" t="s">
        <v>7617</v>
      </c>
      <c r="B7503" s="36">
        <v>46256.111805555556</v>
      </c>
      <c r="D7503" s="22" t="s">
        <v>42</v>
      </c>
      <c r="E7503" s="22" t="s">
        <v>69</v>
      </c>
      <c r="F7503" s="22" t="s">
        <v>37</v>
      </c>
      <c r="G7503" s="22" t="s">
        <v>113</v>
      </c>
      <c r="H7503" s="22" t="s">
        <v>67</v>
      </c>
      <c r="I7503" s="22" t="s">
        <v>117</v>
      </c>
      <c r="J7503" s="23">
        <v>120</v>
      </c>
      <c r="K7503" s="37">
        <v>0</v>
      </c>
      <c r="M7503" s="22" t="str">
        <f>IF(OR(ISBLANK(C7503),C7503=""),"",ROUND((C7503-B7503)*24,2))</f>
        <v/>
      </c>
      <c r="N7503" s="22" t="str">
        <f>IF(OR(ISBLANK(C7503),C7503="",M7503=""),"In Progress",IF(M7503&lt;=J7503,"Met","Breached"))</f>
        <v>In Progress</v>
      </c>
    </row>
    <row r="7504" ht="19" customHeight="1" spans="1:14" x14ac:dyDescent="0.25">
      <c r="A7504" s="19" t="s">
        <v>7618</v>
      </c>
      <c r="B7504" s="33">
        <v>45894.714583333334</v>
      </c>
      <c r="C7504" s="33">
        <v>45900.209027777775</v>
      </c>
      <c r="D7504" s="19" t="s">
        <v>36</v>
      </c>
      <c r="E7504" s="19" t="s">
        <v>69</v>
      </c>
      <c r="F7504" s="19" t="s">
        <v>40</v>
      </c>
      <c r="G7504" s="19" t="s">
        <v>121</v>
      </c>
      <c r="H7504" s="19" t="s">
        <v>59</v>
      </c>
      <c r="I7504" s="19" t="s">
        <v>147</v>
      </c>
      <c r="J7504" s="20">
        <v>120</v>
      </c>
      <c r="K7504" s="34">
        <v>0</v>
      </c>
      <c r="L7504" s="34">
        <v>1</v>
      </c>
      <c r="M7504" s="19">
        <f>IF(OR(ISBLANK(C7504),C7504=""),"",ROUND((C7504-B7504)*24,2))</f>
        <v>131.87</v>
      </c>
      <c r="N7504" s="39" t="str">
        <f>IF(OR(ISBLANK(C7504),C7504="",M7504=""),"In Progress",IF(M7504&lt;=J7504,"Met","Breached"))</f>
        <v>Breached</v>
      </c>
    </row>
    <row r="7505" ht="19" customHeight="1" spans="1:14" x14ac:dyDescent="0.25">
      <c r="A7505" s="22" t="s">
        <v>7619</v>
      </c>
      <c r="B7505" s="36">
        <v>46026.51180555555</v>
      </c>
      <c r="C7505" s="36">
        <v>46027.08472222222</v>
      </c>
      <c r="D7505" s="22" t="s">
        <v>33</v>
      </c>
      <c r="E7505" s="22" t="s">
        <v>61</v>
      </c>
      <c r="F7505" s="22" t="s">
        <v>45</v>
      </c>
      <c r="G7505" s="22" t="s">
        <v>113</v>
      </c>
      <c r="H7505" s="22" t="s">
        <v>59</v>
      </c>
      <c r="I7505" s="22" t="s">
        <v>108</v>
      </c>
      <c r="J7505" s="23">
        <v>12</v>
      </c>
      <c r="K7505" s="37">
        <v>0</v>
      </c>
      <c r="L7505" s="37">
        <v>4</v>
      </c>
      <c r="M7505" s="22">
        <f>IF(OR(ISBLANK(C7505),C7505=""),"",ROUND((C7505-B7505)*24,2))</f>
        <v>13.75</v>
      </c>
      <c r="N7505" s="38" t="str">
        <f>IF(OR(ISBLANK(C7505),C7505="",M7505=""),"In Progress",IF(M7505&lt;=J7505,"Met","Breached"))</f>
        <v>Breached</v>
      </c>
    </row>
    <row r="7506" ht="19" customHeight="1" spans="1:14" x14ac:dyDescent="0.25">
      <c r="A7506" s="19" t="s">
        <v>7620</v>
      </c>
      <c r="B7506" s="33">
        <v>46112.67638888889</v>
      </c>
      <c r="C7506" s="33">
        <v>46115.65416666667</v>
      </c>
      <c r="D7506" s="19" t="s">
        <v>33</v>
      </c>
      <c r="E7506" s="19" t="s">
        <v>65</v>
      </c>
      <c r="F7506" s="19" t="s">
        <v>40</v>
      </c>
      <c r="G7506" s="19" t="s">
        <v>63</v>
      </c>
      <c r="H7506" s="19" t="s">
        <v>59</v>
      </c>
      <c r="I7506" s="19" t="s">
        <v>117</v>
      </c>
      <c r="J7506" s="20">
        <v>48</v>
      </c>
      <c r="K7506" s="34">
        <v>0</v>
      </c>
      <c r="M7506" s="19">
        <f>IF(OR(ISBLANK(C7506),C7506=""),"",ROUND((C7506-B7506)*24,2))</f>
        <v>71.47</v>
      </c>
      <c r="N7506" s="39" t="str">
        <f>IF(OR(ISBLANK(C7506),C7506="",M7506=""),"In Progress",IF(M7506&lt;=J7506,"Met","Breached"))</f>
        <v>Breached</v>
      </c>
    </row>
    <row r="7507" ht="19" customHeight="1" spans="1:14" x14ac:dyDescent="0.25">
      <c r="A7507" s="22" t="s">
        <v>7621</v>
      </c>
      <c r="B7507" s="36">
        <v>46140.52847222222</v>
      </c>
      <c r="C7507" s="36">
        <v>46141.45833333333</v>
      </c>
      <c r="D7507" s="22" t="s">
        <v>33</v>
      </c>
      <c r="E7507" s="22" t="s">
        <v>65</v>
      </c>
      <c r="F7507" s="22" t="s">
        <v>37</v>
      </c>
      <c r="G7507" s="22" t="s">
        <v>63</v>
      </c>
      <c r="H7507" s="22" t="s">
        <v>71</v>
      </c>
      <c r="I7507" s="22" t="s">
        <v>117</v>
      </c>
      <c r="J7507" s="23">
        <v>48</v>
      </c>
      <c r="K7507" s="37">
        <v>0</v>
      </c>
      <c r="M7507" s="22">
        <f>IF(OR(ISBLANK(C7507),C7507=""),"",ROUND((C7507-B7507)*24,2))</f>
        <v>22.32</v>
      </c>
      <c r="N7507" s="40" t="str">
        <f>IF(OR(ISBLANK(C7507),C7507="",M7507=""),"In Progress",IF(M7507&lt;=J7507,"Met","Breached"))</f>
        <v>Met</v>
      </c>
    </row>
    <row r="7508" ht="19" customHeight="1" spans="1:14" x14ac:dyDescent="0.25">
      <c r="A7508" s="19" t="s">
        <v>7622</v>
      </c>
      <c r="B7508" s="33">
        <v>46211.4</v>
      </c>
      <c r="C7508" s="33">
        <v>46214.99791666667</v>
      </c>
      <c r="D7508" s="19" t="s">
        <v>33</v>
      </c>
      <c r="E7508" s="19" t="s">
        <v>65</v>
      </c>
      <c r="F7508" s="19" t="s">
        <v>45</v>
      </c>
      <c r="G7508" s="19" t="s">
        <v>121</v>
      </c>
      <c r="H7508" s="19" t="s">
        <v>67</v>
      </c>
      <c r="I7508" s="19" t="s">
        <v>108</v>
      </c>
      <c r="J7508" s="20">
        <v>48</v>
      </c>
      <c r="K7508" s="34">
        <v>0</v>
      </c>
      <c r="L7508" s="34">
        <v>5</v>
      </c>
      <c r="M7508" s="19">
        <f>IF(OR(ISBLANK(C7508),C7508=""),"",ROUND((C7508-B7508)*24,2))</f>
        <v>86.35</v>
      </c>
      <c r="N7508" s="39" t="str">
        <f>IF(OR(ISBLANK(C7508),C7508="",M7508=""),"In Progress",IF(M7508&lt;=J7508,"Met","Breached"))</f>
        <v>Breached</v>
      </c>
    </row>
    <row r="7509" ht="19" customHeight="1" spans="1:14" x14ac:dyDescent="0.25">
      <c r="A7509" s="22" t="s">
        <v>7623</v>
      </c>
      <c r="B7509" s="36">
        <v>45799.30208333333</v>
      </c>
      <c r="C7509" s="36">
        <v>45804.07430555555</v>
      </c>
      <c r="D7509" s="22" t="s">
        <v>33</v>
      </c>
      <c r="E7509" s="22" t="s">
        <v>69</v>
      </c>
      <c r="F7509" s="22" t="s">
        <v>45</v>
      </c>
      <c r="G7509" s="22" t="s">
        <v>110</v>
      </c>
      <c r="H7509" s="22" t="s">
        <v>67</v>
      </c>
      <c r="I7509" s="22" t="s">
        <v>114</v>
      </c>
      <c r="J7509" s="23">
        <v>120</v>
      </c>
      <c r="K7509" s="37">
        <v>0</v>
      </c>
      <c r="M7509" s="22">
        <f>IF(OR(ISBLANK(C7509),C7509=""),"",ROUND((C7509-B7509)*24,2))</f>
        <v>114.53</v>
      </c>
      <c r="N7509" s="40" t="str">
        <f>IF(OR(ISBLANK(C7509),C7509="",M7509=""),"In Progress",IF(M7509&lt;=J7509,"Met","Breached"))</f>
        <v>Met</v>
      </c>
    </row>
    <row r="7510" ht="19" customHeight="1" spans="1:14" x14ac:dyDescent="0.25">
      <c r="A7510" s="19" t="s">
        <v>7624</v>
      </c>
      <c r="B7510" s="33">
        <v>45792.71666666667</v>
      </c>
      <c r="D7510" s="19" t="s">
        <v>39</v>
      </c>
      <c r="E7510" s="19" t="s">
        <v>57</v>
      </c>
      <c r="F7510" s="19" t="s">
        <v>37</v>
      </c>
      <c r="G7510" s="19" t="s">
        <v>110</v>
      </c>
      <c r="H7510" s="19" t="s">
        <v>63</v>
      </c>
      <c r="I7510" s="19" t="s">
        <v>114</v>
      </c>
      <c r="J7510" s="20">
        <v>4</v>
      </c>
      <c r="K7510" s="34">
        <v>0</v>
      </c>
      <c r="M7510" s="19" t="str">
        <f>IF(OR(ISBLANK(C7510),C7510=""),"",ROUND((C7510-B7510)*24,2))</f>
        <v/>
      </c>
      <c r="N7510" s="19" t="str">
        <f>IF(OR(ISBLANK(C7510),C7510="",M7510=""),"In Progress",IF(M7510&lt;=J7510,"Met","Breached"))</f>
        <v>In Progress</v>
      </c>
    </row>
    <row r="7511" ht="19" customHeight="1" spans="1:14" x14ac:dyDescent="0.25">
      <c r="A7511" s="22" t="s">
        <v>7625</v>
      </c>
      <c r="B7511" s="36">
        <v>46166.538194444445</v>
      </c>
      <c r="C7511" s="36">
        <v>46168.68194444444</v>
      </c>
      <c r="D7511" s="22" t="s">
        <v>36</v>
      </c>
      <c r="E7511" s="22" t="s">
        <v>65</v>
      </c>
      <c r="F7511" s="22" t="s">
        <v>43</v>
      </c>
      <c r="G7511" s="22" t="s">
        <v>63</v>
      </c>
      <c r="H7511" s="22" t="s">
        <v>59</v>
      </c>
      <c r="I7511" s="22" t="s">
        <v>108</v>
      </c>
      <c r="J7511" s="23">
        <v>48</v>
      </c>
      <c r="K7511" s="37">
        <v>0</v>
      </c>
      <c r="L7511" s="37">
        <v>5</v>
      </c>
      <c r="M7511" s="22">
        <f>IF(OR(ISBLANK(C7511),C7511=""),"",ROUND((C7511-B7511)*24,2))</f>
        <v>51.45</v>
      </c>
      <c r="N7511" s="38" t="str">
        <f>IF(OR(ISBLANK(C7511),C7511="",M7511=""),"In Progress",IF(M7511&lt;=J7511,"Met","Breached"))</f>
        <v>Breached</v>
      </c>
    </row>
    <row r="7512" ht="19" customHeight="1" spans="1:14" x14ac:dyDescent="0.25">
      <c r="A7512" s="19" t="s">
        <v>7626</v>
      </c>
      <c r="B7512" s="33">
        <v>45940.32847222222</v>
      </c>
      <c r="C7512" s="33">
        <v>45940.61111111111</v>
      </c>
      <c r="D7512" s="19" t="s">
        <v>36</v>
      </c>
      <c r="E7512" s="19" t="s">
        <v>57</v>
      </c>
      <c r="F7512" s="19" t="s">
        <v>43</v>
      </c>
      <c r="G7512" s="19" t="s">
        <v>63</v>
      </c>
      <c r="H7512" s="19" t="s">
        <v>59</v>
      </c>
      <c r="I7512" s="19" t="s">
        <v>111</v>
      </c>
      <c r="J7512" s="20">
        <v>4</v>
      </c>
      <c r="K7512" s="34">
        <v>0</v>
      </c>
      <c r="L7512" s="34">
        <v>1</v>
      </c>
      <c r="M7512" s="19">
        <f>IF(OR(ISBLANK(C7512),C7512=""),"",ROUND((C7512-B7512)*24,2))</f>
        <v>6.78</v>
      </c>
      <c r="N7512" s="39" t="str">
        <f>IF(OR(ISBLANK(C7512),C7512="",M7512=""),"In Progress",IF(M7512&lt;=J7512,"Met","Breached"))</f>
        <v>Breached</v>
      </c>
    </row>
    <row r="7513" ht="19" customHeight="1" spans="1:14" x14ac:dyDescent="0.25">
      <c r="A7513" s="22" t="s">
        <v>7627</v>
      </c>
      <c r="B7513" s="36">
        <v>45998.15763888889</v>
      </c>
      <c r="D7513" s="22" t="s">
        <v>39</v>
      </c>
      <c r="E7513" s="22" t="s">
        <v>69</v>
      </c>
      <c r="F7513" s="22" t="s">
        <v>34</v>
      </c>
      <c r="G7513" s="22" t="s">
        <v>126</v>
      </c>
      <c r="H7513" s="22" t="s">
        <v>63</v>
      </c>
      <c r="I7513" s="22" t="s">
        <v>147</v>
      </c>
      <c r="J7513" s="23">
        <v>120</v>
      </c>
      <c r="K7513" s="37">
        <v>0</v>
      </c>
      <c r="M7513" s="22" t="str">
        <f>IF(OR(ISBLANK(C7513),C7513=""),"",ROUND((C7513-B7513)*24,2))</f>
        <v/>
      </c>
      <c r="N7513" s="22" t="str">
        <f>IF(OR(ISBLANK(C7513),C7513="",M7513=""),"In Progress",IF(M7513&lt;=J7513,"Met","Breached"))</f>
        <v>In Progress</v>
      </c>
    </row>
    <row r="7514" ht="19" customHeight="1" spans="1:14" x14ac:dyDescent="0.25">
      <c r="A7514" s="19" t="s">
        <v>7628</v>
      </c>
      <c r="B7514" s="33">
        <v>46134.65763888889</v>
      </c>
      <c r="C7514" s="33">
        <v>46136.325</v>
      </c>
      <c r="D7514" s="19" t="s">
        <v>33</v>
      </c>
      <c r="E7514" s="19" t="s">
        <v>65</v>
      </c>
      <c r="F7514" s="19" t="s">
        <v>43</v>
      </c>
      <c r="G7514" s="19" t="s">
        <v>126</v>
      </c>
      <c r="H7514" s="19" t="s">
        <v>59</v>
      </c>
      <c r="I7514" s="19" t="s">
        <v>123</v>
      </c>
      <c r="J7514" s="20">
        <v>48</v>
      </c>
      <c r="K7514" s="34">
        <v>0</v>
      </c>
      <c r="M7514" s="19">
        <f>IF(OR(ISBLANK(C7514),C7514=""),"",ROUND((C7514-B7514)*24,2))</f>
        <v>40.02</v>
      </c>
      <c r="N7514" s="35" t="str">
        <f>IF(OR(ISBLANK(C7514),C7514="",M7514=""),"In Progress",IF(M7514&lt;=J7514,"Met","Breached"))</f>
        <v>Met</v>
      </c>
    </row>
    <row r="7515" ht="19" customHeight="1" spans="1:14" x14ac:dyDescent="0.25">
      <c r="A7515" s="22" t="s">
        <v>7629</v>
      </c>
      <c r="B7515" s="36">
        <v>46132.52013888889</v>
      </c>
      <c r="C7515" s="36">
        <v>46134.35486111111</v>
      </c>
      <c r="D7515" s="22" t="s">
        <v>36</v>
      </c>
      <c r="E7515" s="22" t="s">
        <v>69</v>
      </c>
      <c r="F7515" s="22" t="s">
        <v>40</v>
      </c>
      <c r="G7515" s="22" t="s">
        <v>116</v>
      </c>
      <c r="H7515" s="22" t="s">
        <v>67</v>
      </c>
      <c r="I7515" s="22" t="s">
        <v>108</v>
      </c>
      <c r="J7515" s="23">
        <v>120</v>
      </c>
      <c r="K7515" s="37">
        <v>0</v>
      </c>
      <c r="L7515" s="37">
        <v>2</v>
      </c>
      <c r="M7515" s="22">
        <f>IF(OR(ISBLANK(C7515),C7515=""),"",ROUND((C7515-B7515)*24,2))</f>
        <v>44.03</v>
      </c>
      <c r="N7515" s="40" t="str">
        <f>IF(OR(ISBLANK(C7515),C7515="",M7515=""),"In Progress",IF(M7515&lt;=J7515,"Met","Breached"))</f>
        <v>Met</v>
      </c>
    </row>
    <row r="7516" ht="19" customHeight="1" spans="1:14" x14ac:dyDescent="0.25">
      <c r="A7516" s="19" t="s">
        <v>7630</v>
      </c>
      <c r="B7516" s="33">
        <v>46046.10208333333</v>
      </c>
      <c r="D7516" s="19" t="s">
        <v>39</v>
      </c>
      <c r="E7516" s="19" t="s">
        <v>61</v>
      </c>
      <c r="F7516" s="19" t="s">
        <v>45</v>
      </c>
      <c r="G7516" s="19" t="s">
        <v>113</v>
      </c>
      <c r="H7516" s="19" t="s">
        <v>63</v>
      </c>
      <c r="I7516" s="19" t="s">
        <v>123</v>
      </c>
      <c r="J7516" s="20">
        <v>12</v>
      </c>
      <c r="K7516" s="34">
        <v>0</v>
      </c>
      <c r="M7516" s="19" t="str">
        <f>IF(OR(ISBLANK(C7516),C7516=""),"",ROUND((C7516-B7516)*24,2))</f>
        <v/>
      </c>
      <c r="N7516" s="19" t="str">
        <f>IF(OR(ISBLANK(C7516),C7516="",M7516=""),"In Progress",IF(M7516&lt;=J7516,"Met","Breached"))</f>
        <v>In Progress</v>
      </c>
    </row>
    <row r="7517" ht="19" customHeight="1" spans="1:14" x14ac:dyDescent="0.25">
      <c r="A7517" s="22" t="s">
        <v>7631</v>
      </c>
      <c r="B7517" s="36">
        <v>46035.808333333334</v>
      </c>
      <c r="D7517" s="22" t="s">
        <v>42</v>
      </c>
      <c r="E7517" s="22" t="s">
        <v>65</v>
      </c>
      <c r="F7517" s="22" t="s">
        <v>43</v>
      </c>
      <c r="G7517" s="22" t="s">
        <v>126</v>
      </c>
      <c r="H7517" s="22" t="s">
        <v>71</v>
      </c>
      <c r="I7517" s="22" t="s">
        <v>111</v>
      </c>
      <c r="J7517" s="23">
        <v>48</v>
      </c>
      <c r="K7517" s="37">
        <v>0</v>
      </c>
      <c r="M7517" s="22" t="str">
        <f>IF(OR(ISBLANK(C7517),C7517=""),"",ROUND((C7517-B7517)*24,2))</f>
        <v/>
      </c>
      <c r="N7517" s="22" t="str">
        <f>IF(OR(ISBLANK(C7517),C7517="",M7517=""),"In Progress",IF(M7517&lt;=J7517,"Met","Breached"))</f>
        <v>In Progress</v>
      </c>
    </row>
    <row r="7518" ht="19" customHeight="1" spans="1:14" x14ac:dyDescent="0.25">
      <c r="A7518" s="19" t="s">
        <v>7632</v>
      </c>
      <c r="B7518" s="33">
        <v>45802.45625</v>
      </c>
      <c r="D7518" s="19" t="s">
        <v>42</v>
      </c>
      <c r="E7518" s="19" t="s">
        <v>65</v>
      </c>
      <c r="F7518" s="19" t="s">
        <v>37</v>
      </c>
      <c r="G7518" s="19" t="s">
        <v>121</v>
      </c>
      <c r="H7518" s="19" t="s">
        <v>71</v>
      </c>
      <c r="I7518" s="19" t="s">
        <v>111</v>
      </c>
      <c r="J7518" s="20">
        <v>48</v>
      </c>
      <c r="K7518" s="34">
        <v>0</v>
      </c>
      <c r="M7518" s="19" t="str">
        <f>IF(OR(ISBLANK(C7518),C7518=""),"",ROUND((C7518-B7518)*24,2))</f>
        <v/>
      </c>
      <c r="N7518" s="19" t="str">
        <f>IF(OR(ISBLANK(C7518),C7518="",M7518=""),"In Progress",IF(M7518&lt;=J7518,"Met","Breached"))</f>
        <v>In Progress</v>
      </c>
    </row>
    <row r="7519" ht="19" customHeight="1" spans="1:14" x14ac:dyDescent="0.25">
      <c r="A7519" s="22" t="s">
        <v>7633</v>
      </c>
      <c r="B7519" s="36">
        <v>45695.99097222222</v>
      </c>
      <c r="D7519" s="22" t="s">
        <v>42</v>
      </c>
      <c r="E7519" s="22" t="s">
        <v>65</v>
      </c>
      <c r="F7519" s="22" t="s">
        <v>40</v>
      </c>
      <c r="G7519" s="22" t="s">
        <v>121</v>
      </c>
      <c r="H7519" s="22" t="s">
        <v>67</v>
      </c>
      <c r="I7519" s="22" t="s">
        <v>114</v>
      </c>
      <c r="J7519" s="23">
        <v>48</v>
      </c>
      <c r="K7519" s="37">
        <v>0</v>
      </c>
      <c r="M7519" s="22" t="str">
        <f>IF(OR(ISBLANK(C7519),C7519=""),"",ROUND((C7519-B7519)*24,2))</f>
        <v/>
      </c>
      <c r="N7519" s="22" t="str">
        <f>IF(OR(ISBLANK(C7519),C7519="",M7519=""),"In Progress",IF(M7519&lt;=J7519,"Met","Breached"))</f>
        <v>In Progress</v>
      </c>
    </row>
    <row r="7520" ht="19" customHeight="1" spans="1:14" x14ac:dyDescent="0.25">
      <c r="A7520" s="19" t="s">
        <v>7634</v>
      </c>
      <c r="B7520" s="33">
        <v>46060.867361111115</v>
      </c>
      <c r="C7520" s="33">
        <v>46061.49930555555</v>
      </c>
      <c r="D7520" s="19" t="s">
        <v>33</v>
      </c>
      <c r="E7520" s="19" t="s">
        <v>65</v>
      </c>
      <c r="F7520" s="19" t="s">
        <v>43</v>
      </c>
      <c r="G7520" s="19" t="s">
        <v>121</v>
      </c>
      <c r="H7520" s="19" t="s">
        <v>67</v>
      </c>
      <c r="I7520" s="19" t="s">
        <v>111</v>
      </c>
      <c r="J7520" s="20">
        <v>48</v>
      </c>
      <c r="K7520" s="34">
        <v>0</v>
      </c>
      <c r="L7520" s="34">
        <v>1</v>
      </c>
      <c r="M7520" s="19">
        <f>IF(OR(ISBLANK(C7520),C7520=""),"",ROUND((C7520-B7520)*24,2))</f>
        <v>15.17</v>
      </c>
      <c r="N7520" s="35" t="str">
        <f>IF(OR(ISBLANK(C7520),C7520="",M7520=""),"In Progress",IF(M7520&lt;=J7520,"Met","Breached"))</f>
        <v>Met</v>
      </c>
    </row>
    <row r="7521" ht="19" customHeight="1" spans="1:14" x14ac:dyDescent="0.25">
      <c r="A7521" s="22" t="s">
        <v>7635</v>
      </c>
      <c r="B7521" s="36">
        <v>46202.910416666666</v>
      </c>
      <c r="C7521" s="36">
        <v>46206.236805555556</v>
      </c>
      <c r="D7521" s="22" t="s">
        <v>36</v>
      </c>
      <c r="E7521" s="22" t="s">
        <v>69</v>
      </c>
      <c r="F7521" s="22" t="s">
        <v>37</v>
      </c>
      <c r="G7521" s="22" t="s">
        <v>126</v>
      </c>
      <c r="H7521" s="22" t="s">
        <v>59</v>
      </c>
      <c r="I7521" s="22" t="s">
        <v>111</v>
      </c>
      <c r="J7521" s="23">
        <v>120</v>
      </c>
      <c r="K7521" s="37">
        <v>0</v>
      </c>
      <c r="L7521" s="37">
        <v>5</v>
      </c>
      <c r="M7521" s="22">
        <f>IF(OR(ISBLANK(C7521),C7521=""),"",ROUND((C7521-B7521)*24,2))</f>
        <v>79.83</v>
      </c>
      <c r="N7521" s="40" t="str">
        <f>IF(OR(ISBLANK(C7521),C7521="",M7521=""),"In Progress",IF(M7521&lt;=J7521,"Met","Breached"))</f>
        <v>Met</v>
      </c>
    </row>
    <row r="7522" ht="19" customHeight="1" spans="1:14" x14ac:dyDescent="0.25">
      <c r="A7522" s="19" t="s">
        <v>7636</v>
      </c>
      <c r="B7522" s="33">
        <v>46167.19930555555</v>
      </c>
      <c r="C7522" s="33">
        <v>46169.268055555556</v>
      </c>
      <c r="D7522" s="19" t="s">
        <v>33</v>
      </c>
      <c r="E7522" s="19" t="s">
        <v>65</v>
      </c>
      <c r="F7522" s="19" t="s">
        <v>40</v>
      </c>
      <c r="G7522" s="19" t="s">
        <v>110</v>
      </c>
      <c r="H7522" s="19" t="s">
        <v>63</v>
      </c>
      <c r="I7522" s="19" t="s">
        <v>114</v>
      </c>
      <c r="J7522" s="20">
        <v>48</v>
      </c>
      <c r="K7522" s="34">
        <v>0</v>
      </c>
      <c r="M7522" s="19">
        <f>IF(OR(ISBLANK(C7522),C7522=""),"",ROUND((C7522-B7522)*24,2))</f>
        <v>49.65</v>
      </c>
      <c r="N7522" s="39" t="str">
        <f>IF(OR(ISBLANK(C7522),C7522="",M7522=""),"In Progress",IF(M7522&lt;=J7522,"Met","Breached"))</f>
        <v>Breached</v>
      </c>
    </row>
    <row r="7523" ht="19" customHeight="1" spans="1:14" x14ac:dyDescent="0.25">
      <c r="A7523" s="22" t="s">
        <v>7637</v>
      </c>
      <c r="B7523" s="36">
        <v>46186.38958333334</v>
      </c>
      <c r="D7523" s="22" t="s">
        <v>39</v>
      </c>
      <c r="E7523" s="22" t="s">
        <v>61</v>
      </c>
      <c r="F7523" s="22" t="s">
        <v>45</v>
      </c>
      <c r="G7523" s="22" t="s">
        <v>110</v>
      </c>
      <c r="H7523" s="22" t="s">
        <v>63</v>
      </c>
      <c r="I7523" s="22" t="s">
        <v>123</v>
      </c>
      <c r="J7523" s="23">
        <v>12</v>
      </c>
      <c r="K7523" s="37">
        <v>0</v>
      </c>
      <c r="M7523" s="22" t="str">
        <f>IF(OR(ISBLANK(C7523),C7523=""),"",ROUND((C7523-B7523)*24,2))</f>
        <v/>
      </c>
      <c r="N7523" s="22" t="str">
        <f>IF(OR(ISBLANK(C7523),C7523="",M7523=""),"In Progress",IF(M7523&lt;=J7523,"Met","Breached"))</f>
        <v>In Progress</v>
      </c>
    </row>
    <row r="7524" ht="19" customHeight="1" spans="1:14" x14ac:dyDescent="0.25">
      <c r="A7524" s="19" t="s">
        <v>7638</v>
      </c>
      <c r="B7524" s="33">
        <v>46046.035416666666</v>
      </c>
      <c r="C7524" s="33">
        <v>46048.55902777778</v>
      </c>
      <c r="D7524" s="19" t="s">
        <v>33</v>
      </c>
      <c r="E7524" s="19" t="s">
        <v>65</v>
      </c>
      <c r="F7524" s="19" t="s">
        <v>34</v>
      </c>
      <c r="G7524" s="19" t="s">
        <v>121</v>
      </c>
      <c r="H7524" s="19" t="s">
        <v>59</v>
      </c>
      <c r="I7524" s="19" t="s">
        <v>111</v>
      </c>
      <c r="J7524" s="20">
        <v>48</v>
      </c>
      <c r="K7524" s="34">
        <v>0</v>
      </c>
      <c r="L7524" s="34">
        <v>3</v>
      </c>
      <c r="M7524" s="19">
        <f>IF(OR(ISBLANK(C7524),C7524=""),"",ROUND((C7524-B7524)*24,2))</f>
        <v>60.57</v>
      </c>
      <c r="N7524" s="39" t="str">
        <f>IF(OR(ISBLANK(C7524),C7524="",M7524=""),"In Progress",IF(M7524&lt;=J7524,"Met","Breached"))</f>
        <v>Breached</v>
      </c>
    </row>
    <row r="7525" ht="19" customHeight="1" spans="1:14" x14ac:dyDescent="0.25">
      <c r="A7525" s="22" t="s">
        <v>7639</v>
      </c>
      <c r="B7525" s="36">
        <v>46146.663194444445</v>
      </c>
      <c r="C7525" s="36">
        <v>46146.86597222222</v>
      </c>
      <c r="D7525" s="22" t="s">
        <v>33</v>
      </c>
      <c r="E7525" s="22" t="s">
        <v>61</v>
      </c>
      <c r="F7525" s="22" t="s">
        <v>34</v>
      </c>
      <c r="G7525" s="22" t="s">
        <v>121</v>
      </c>
      <c r="H7525" s="22" t="s">
        <v>59</v>
      </c>
      <c r="I7525" s="22" t="s">
        <v>147</v>
      </c>
      <c r="J7525" s="23">
        <v>12</v>
      </c>
      <c r="K7525" s="37">
        <v>1</v>
      </c>
      <c r="L7525" s="37">
        <v>3</v>
      </c>
      <c r="M7525" s="22">
        <f>IF(OR(ISBLANK(C7525),C7525=""),"",ROUND((C7525-B7525)*24,2))</f>
        <v>4.87</v>
      </c>
      <c r="N7525" s="40" t="str">
        <f>IF(OR(ISBLANK(C7525),C7525="",M7525=""),"In Progress",IF(M7525&lt;=J7525,"Met","Breached"))</f>
        <v>Met</v>
      </c>
    </row>
    <row r="7526" ht="19" customHeight="1" spans="1:14" x14ac:dyDescent="0.25">
      <c r="A7526" s="19" t="s">
        <v>7640</v>
      </c>
      <c r="B7526" s="33">
        <v>46224.80972222222</v>
      </c>
      <c r="C7526" s="33">
        <v>46225.54652777778</v>
      </c>
      <c r="D7526" s="19" t="s">
        <v>33</v>
      </c>
      <c r="E7526" s="19" t="s">
        <v>61</v>
      </c>
      <c r="F7526" s="19" t="s">
        <v>34</v>
      </c>
      <c r="G7526" s="19" t="s">
        <v>63</v>
      </c>
      <c r="H7526" s="19" t="s">
        <v>59</v>
      </c>
      <c r="I7526" s="19" t="s">
        <v>108</v>
      </c>
      <c r="J7526" s="20">
        <v>12</v>
      </c>
      <c r="K7526" s="34">
        <v>0</v>
      </c>
      <c r="L7526" s="34">
        <v>2</v>
      </c>
      <c r="M7526" s="19">
        <f>IF(OR(ISBLANK(C7526),C7526=""),"",ROUND((C7526-B7526)*24,2))</f>
        <v>17.68</v>
      </c>
      <c r="N7526" s="39" t="str">
        <f>IF(OR(ISBLANK(C7526),C7526="",M7526=""),"In Progress",IF(M7526&lt;=J7526,"Met","Breached"))</f>
        <v>Breached</v>
      </c>
    </row>
    <row r="7527" ht="19" customHeight="1" spans="1:14" x14ac:dyDescent="0.25">
      <c r="A7527" s="22" t="s">
        <v>7641</v>
      </c>
      <c r="B7527" s="36">
        <v>45731.31388888889</v>
      </c>
      <c r="D7527" s="22" t="s">
        <v>39</v>
      </c>
      <c r="E7527" s="22" t="s">
        <v>65</v>
      </c>
      <c r="F7527" s="22" t="s">
        <v>34</v>
      </c>
      <c r="G7527" s="22" t="s">
        <v>63</v>
      </c>
      <c r="H7527" s="22" t="s">
        <v>71</v>
      </c>
      <c r="I7527" s="22" t="s">
        <v>114</v>
      </c>
      <c r="J7527" s="23">
        <v>48</v>
      </c>
      <c r="K7527" s="37">
        <v>0</v>
      </c>
      <c r="M7527" s="22" t="str">
        <f>IF(OR(ISBLANK(C7527),C7527=""),"",ROUND((C7527-B7527)*24,2))</f>
        <v/>
      </c>
      <c r="N7527" s="22" t="str">
        <f>IF(OR(ISBLANK(C7527),C7527="",M7527=""),"In Progress",IF(M7527&lt;=J7527,"Met","Breached"))</f>
        <v>In Progress</v>
      </c>
    </row>
    <row r="7528" ht="19" customHeight="1" spans="1:14" x14ac:dyDescent="0.25">
      <c r="A7528" s="19" t="s">
        <v>7642</v>
      </c>
      <c r="B7528" s="33">
        <v>46024.46875</v>
      </c>
      <c r="C7528" s="33">
        <v>46025.695138888885</v>
      </c>
      <c r="D7528" s="19" t="s">
        <v>33</v>
      </c>
      <c r="E7528" s="19" t="s">
        <v>65</v>
      </c>
      <c r="F7528" s="19" t="s">
        <v>43</v>
      </c>
      <c r="G7528" s="19" t="s">
        <v>116</v>
      </c>
      <c r="H7528" s="19" t="s">
        <v>59</v>
      </c>
      <c r="I7528" s="19" t="s">
        <v>108</v>
      </c>
      <c r="J7528" s="20">
        <v>48</v>
      </c>
      <c r="K7528" s="34">
        <v>0</v>
      </c>
      <c r="L7528" s="34">
        <v>5</v>
      </c>
      <c r="M7528" s="19">
        <f>IF(OR(ISBLANK(C7528),C7528=""),"",ROUND((C7528-B7528)*24,2))</f>
        <v>29.43</v>
      </c>
      <c r="N7528" s="35" t="str">
        <f>IF(OR(ISBLANK(C7528),C7528="",M7528=""),"In Progress",IF(M7528&lt;=J7528,"Met","Breached"))</f>
        <v>Met</v>
      </c>
    </row>
    <row r="7529" ht="19" customHeight="1" spans="1:14" x14ac:dyDescent="0.25">
      <c r="A7529" s="22" t="s">
        <v>7643</v>
      </c>
      <c r="B7529" s="36">
        <v>45713.92638888889</v>
      </c>
      <c r="C7529" s="36">
        <v>45715.27083333333</v>
      </c>
      <c r="D7529" s="22" t="s">
        <v>33</v>
      </c>
      <c r="E7529" s="22" t="s">
        <v>65</v>
      </c>
      <c r="F7529" s="22" t="s">
        <v>40</v>
      </c>
      <c r="G7529" s="22" t="s">
        <v>113</v>
      </c>
      <c r="H7529" s="22" t="s">
        <v>59</v>
      </c>
      <c r="I7529" s="22" t="s">
        <v>123</v>
      </c>
      <c r="J7529" s="23">
        <v>48</v>
      </c>
      <c r="K7529" s="37">
        <v>0</v>
      </c>
      <c r="M7529" s="22">
        <f>IF(OR(ISBLANK(C7529),C7529=""),"",ROUND((C7529-B7529)*24,2))</f>
        <v>32.27</v>
      </c>
      <c r="N7529" s="40" t="str">
        <f>IF(OR(ISBLANK(C7529),C7529="",M7529=""),"In Progress",IF(M7529&lt;=J7529,"Met","Breached"))</f>
        <v>Met</v>
      </c>
    </row>
    <row r="7530" ht="19" customHeight="1" spans="1:14" x14ac:dyDescent="0.25">
      <c r="A7530" s="19" t="s">
        <v>7644</v>
      </c>
      <c r="B7530" s="33">
        <v>46030.45972222222</v>
      </c>
      <c r="C7530" s="33">
        <v>46036.34097222222</v>
      </c>
      <c r="D7530" s="19" t="s">
        <v>33</v>
      </c>
      <c r="E7530" s="19" t="s">
        <v>69</v>
      </c>
      <c r="F7530" s="19" t="s">
        <v>40</v>
      </c>
      <c r="G7530" s="19" t="s">
        <v>126</v>
      </c>
      <c r="H7530" s="19" t="s">
        <v>59</v>
      </c>
      <c r="I7530" s="19" t="s">
        <v>123</v>
      </c>
      <c r="J7530" s="20">
        <v>120</v>
      </c>
      <c r="K7530" s="34">
        <v>0</v>
      </c>
      <c r="L7530" s="34">
        <v>5</v>
      </c>
      <c r="M7530" s="19">
        <f>IF(OR(ISBLANK(C7530),C7530=""),"",ROUND((C7530-B7530)*24,2))</f>
        <v>141.15</v>
      </c>
      <c r="N7530" s="39" t="str">
        <f>IF(OR(ISBLANK(C7530),C7530="",M7530=""),"In Progress",IF(M7530&lt;=J7530,"Met","Breached"))</f>
        <v>Breached</v>
      </c>
    </row>
    <row r="7531" ht="19" customHeight="1" spans="1:14" x14ac:dyDescent="0.25">
      <c r="A7531" s="22" t="s">
        <v>7645</v>
      </c>
      <c r="B7531" s="36">
        <v>45732.4125</v>
      </c>
      <c r="C7531" s="36">
        <v>45735.85</v>
      </c>
      <c r="D7531" s="22" t="s">
        <v>36</v>
      </c>
      <c r="E7531" s="22" t="s">
        <v>65</v>
      </c>
      <c r="F7531" s="22" t="s">
        <v>37</v>
      </c>
      <c r="G7531" s="22" t="s">
        <v>126</v>
      </c>
      <c r="H7531" s="22" t="s">
        <v>59</v>
      </c>
      <c r="I7531" s="22" t="s">
        <v>108</v>
      </c>
      <c r="J7531" s="23">
        <v>48</v>
      </c>
      <c r="K7531" s="37">
        <v>0</v>
      </c>
      <c r="L7531" s="37">
        <v>2</v>
      </c>
      <c r="M7531" s="22">
        <f>IF(OR(ISBLANK(C7531),C7531=""),"",ROUND((C7531-B7531)*24,2))</f>
        <v>82.5</v>
      </c>
      <c r="N7531" s="38" t="str">
        <f>IF(OR(ISBLANK(C7531),C7531="",M7531=""),"In Progress",IF(M7531&lt;=J7531,"Met","Breached"))</f>
        <v>Breached</v>
      </c>
    </row>
    <row r="7532" ht="19" customHeight="1" spans="1:14" x14ac:dyDescent="0.25">
      <c r="A7532" s="19" t="s">
        <v>7646</v>
      </c>
      <c r="B7532" s="33">
        <v>45979.48541666666</v>
      </c>
      <c r="D7532" s="19" t="s">
        <v>39</v>
      </c>
      <c r="E7532" s="19" t="s">
        <v>69</v>
      </c>
      <c r="F7532" s="19" t="s">
        <v>37</v>
      </c>
      <c r="G7532" s="19" t="s">
        <v>110</v>
      </c>
      <c r="H7532" s="19" t="s">
        <v>63</v>
      </c>
      <c r="I7532" s="19" t="s">
        <v>111</v>
      </c>
      <c r="J7532" s="20">
        <v>120</v>
      </c>
      <c r="K7532" s="34">
        <v>0</v>
      </c>
      <c r="M7532" s="19" t="str">
        <f>IF(OR(ISBLANK(C7532),C7532=""),"",ROUND((C7532-B7532)*24,2))</f>
        <v/>
      </c>
      <c r="N7532" s="19" t="str">
        <f>IF(OR(ISBLANK(C7532),C7532="",M7532=""),"In Progress",IF(M7532&lt;=J7532,"Met","Breached"))</f>
        <v>In Progress</v>
      </c>
    </row>
    <row r="7533" ht="19" customHeight="1" spans="1:14" x14ac:dyDescent="0.25">
      <c r="A7533" s="22" t="s">
        <v>7647</v>
      </c>
      <c r="B7533" s="36">
        <v>45878.87708333333</v>
      </c>
      <c r="D7533" s="22" t="s">
        <v>39</v>
      </c>
      <c r="E7533" s="22" t="s">
        <v>69</v>
      </c>
      <c r="F7533" s="22" t="s">
        <v>34</v>
      </c>
      <c r="G7533" s="22" t="s">
        <v>63</v>
      </c>
      <c r="H7533" s="22" t="s">
        <v>59</v>
      </c>
      <c r="I7533" s="22" t="s">
        <v>111</v>
      </c>
      <c r="J7533" s="23">
        <v>120</v>
      </c>
      <c r="K7533" s="37">
        <v>0</v>
      </c>
      <c r="M7533" s="22" t="str">
        <f>IF(OR(ISBLANK(C7533),C7533=""),"",ROUND((C7533-B7533)*24,2))</f>
        <v/>
      </c>
      <c r="N7533" s="22" t="str">
        <f>IF(OR(ISBLANK(C7533),C7533="",M7533=""),"In Progress",IF(M7533&lt;=J7533,"Met","Breached"))</f>
        <v>In Progress</v>
      </c>
    </row>
    <row r="7534" ht="19" customHeight="1" spans="1:14" x14ac:dyDescent="0.25">
      <c r="A7534" s="19" t="s">
        <v>7648</v>
      </c>
      <c r="B7534" s="33">
        <v>46035.39722222222</v>
      </c>
      <c r="C7534" s="33">
        <v>46036.214583333334</v>
      </c>
      <c r="D7534" s="19" t="s">
        <v>33</v>
      </c>
      <c r="E7534" s="19" t="s">
        <v>65</v>
      </c>
      <c r="F7534" s="19" t="s">
        <v>43</v>
      </c>
      <c r="G7534" s="19" t="s">
        <v>63</v>
      </c>
      <c r="H7534" s="19" t="s">
        <v>59</v>
      </c>
      <c r="I7534" s="19" t="s">
        <v>108</v>
      </c>
      <c r="J7534" s="20">
        <v>48</v>
      </c>
      <c r="K7534" s="34">
        <v>0</v>
      </c>
      <c r="L7534" s="34">
        <v>3</v>
      </c>
      <c r="M7534" s="19">
        <f>IF(OR(ISBLANK(C7534),C7534=""),"",ROUND((C7534-B7534)*24,2))</f>
        <v>19.62</v>
      </c>
      <c r="N7534" s="35" t="str">
        <f>IF(OR(ISBLANK(C7534),C7534="",M7534=""),"In Progress",IF(M7534&lt;=J7534,"Met","Breached"))</f>
        <v>Met</v>
      </c>
    </row>
    <row r="7535" ht="19" customHeight="1" spans="1:14" x14ac:dyDescent="0.25">
      <c r="A7535" s="22" t="s">
        <v>7649</v>
      </c>
      <c r="B7535" s="36">
        <v>46275.50555555556</v>
      </c>
      <c r="C7535" s="36">
        <v>46277.97013888889</v>
      </c>
      <c r="D7535" s="22" t="s">
        <v>33</v>
      </c>
      <c r="E7535" s="22" t="s">
        <v>69</v>
      </c>
      <c r="F7535" s="22" t="s">
        <v>34</v>
      </c>
      <c r="G7535" s="22" t="s">
        <v>116</v>
      </c>
      <c r="H7535" s="22" t="s">
        <v>67</v>
      </c>
      <c r="I7535" s="22" t="s">
        <v>111</v>
      </c>
      <c r="J7535" s="23">
        <v>120</v>
      </c>
      <c r="K7535" s="37">
        <v>0</v>
      </c>
      <c r="L7535" s="37">
        <v>4</v>
      </c>
      <c r="M7535" s="22">
        <f>IF(OR(ISBLANK(C7535),C7535=""),"",ROUND((C7535-B7535)*24,2))</f>
        <v>59.15</v>
      </c>
      <c r="N7535" s="40" t="str">
        <f>IF(OR(ISBLANK(C7535),C7535="",M7535=""),"In Progress",IF(M7535&lt;=J7535,"Met","Breached"))</f>
        <v>Met</v>
      </c>
    </row>
    <row r="7536" ht="19" customHeight="1" spans="1:14" x14ac:dyDescent="0.25">
      <c r="A7536" s="19" t="s">
        <v>7650</v>
      </c>
      <c r="B7536" s="33">
        <v>45781.13055555556</v>
      </c>
      <c r="C7536" s="33">
        <v>45782.79305555555</v>
      </c>
      <c r="D7536" s="19" t="s">
        <v>36</v>
      </c>
      <c r="E7536" s="19" t="s">
        <v>65</v>
      </c>
      <c r="F7536" s="19" t="s">
        <v>34</v>
      </c>
      <c r="G7536" s="19" t="s">
        <v>63</v>
      </c>
      <c r="H7536" s="19" t="s">
        <v>59</v>
      </c>
      <c r="I7536" s="19" t="s">
        <v>117</v>
      </c>
      <c r="J7536" s="20">
        <v>48</v>
      </c>
      <c r="K7536" s="34">
        <v>0</v>
      </c>
      <c r="L7536" s="34">
        <v>1</v>
      </c>
      <c r="M7536" s="19">
        <f>IF(OR(ISBLANK(C7536),C7536=""),"",ROUND((C7536-B7536)*24,2))</f>
        <v>39.9</v>
      </c>
      <c r="N7536" s="35" t="str">
        <f>IF(OR(ISBLANK(C7536),C7536="",M7536=""),"In Progress",IF(M7536&lt;=J7536,"Met","Breached"))</f>
        <v>Met</v>
      </c>
    </row>
    <row r="7537" ht="19" customHeight="1" spans="1:14" x14ac:dyDescent="0.25">
      <c r="A7537" s="22" t="s">
        <v>7651</v>
      </c>
      <c r="B7537" s="36">
        <v>46050.68402777778</v>
      </c>
      <c r="C7537" s="36">
        <v>46051.42361111111</v>
      </c>
      <c r="D7537" s="22" t="s">
        <v>33</v>
      </c>
      <c r="E7537" s="22" t="s">
        <v>61</v>
      </c>
      <c r="F7537" s="22" t="s">
        <v>37</v>
      </c>
      <c r="G7537" s="22" t="s">
        <v>63</v>
      </c>
      <c r="H7537" s="22" t="s">
        <v>59</v>
      </c>
      <c r="I7537" s="22" t="s">
        <v>108</v>
      </c>
      <c r="J7537" s="23">
        <v>12</v>
      </c>
      <c r="K7537" s="37">
        <v>0</v>
      </c>
      <c r="L7537" s="37">
        <v>3</v>
      </c>
      <c r="M7537" s="22">
        <f>IF(OR(ISBLANK(C7537),C7537=""),"",ROUND((C7537-B7537)*24,2))</f>
        <v>17.75</v>
      </c>
      <c r="N7537" s="38" t="str">
        <f>IF(OR(ISBLANK(C7537),C7537="",M7537=""),"In Progress",IF(M7537&lt;=J7537,"Met","Breached"))</f>
        <v>Breached</v>
      </c>
    </row>
    <row r="7538" ht="19" customHeight="1" spans="1:14" x14ac:dyDescent="0.25">
      <c r="A7538" s="19" t="s">
        <v>7652</v>
      </c>
      <c r="B7538" s="33">
        <v>45881.65902777778</v>
      </c>
      <c r="C7538" s="33">
        <v>45884.180555555555</v>
      </c>
      <c r="D7538" s="19" t="s">
        <v>33</v>
      </c>
      <c r="E7538" s="19" t="s">
        <v>69</v>
      </c>
      <c r="F7538" s="19" t="s">
        <v>37</v>
      </c>
      <c r="G7538" s="19" t="s">
        <v>126</v>
      </c>
      <c r="H7538" s="19" t="s">
        <v>59</v>
      </c>
      <c r="I7538" s="19" t="s">
        <v>123</v>
      </c>
      <c r="J7538" s="20">
        <v>120</v>
      </c>
      <c r="K7538" s="34">
        <v>0</v>
      </c>
      <c r="L7538" s="34">
        <v>2</v>
      </c>
      <c r="M7538" s="19">
        <f>IF(OR(ISBLANK(C7538),C7538=""),"",ROUND((C7538-B7538)*24,2))</f>
        <v>60.52</v>
      </c>
      <c r="N7538" s="35" t="str">
        <f>IF(OR(ISBLANK(C7538),C7538="",M7538=""),"In Progress",IF(M7538&lt;=J7538,"Met","Breached"))</f>
        <v>Met</v>
      </c>
    </row>
    <row r="7539" ht="19" customHeight="1" spans="1:14" x14ac:dyDescent="0.25">
      <c r="A7539" s="22" t="s">
        <v>7653</v>
      </c>
      <c r="B7539" s="36">
        <v>45708.39375</v>
      </c>
      <c r="C7539" s="36">
        <v>45712.50069444445</v>
      </c>
      <c r="D7539" s="22" t="s">
        <v>36</v>
      </c>
      <c r="E7539" s="22" t="s">
        <v>69</v>
      </c>
      <c r="F7539" s="22" t="s">
        <v>45</v>
      </c>
      <c r="G7539" s="22" t="s">
        <v>63</v>
      </c>
      <c r="H7539" s="22" t="s">
        <v>67</v>
      </c>
      <c r="I7539" s="22" t="s">
        <v>111</v>
      </c>
      <c r="J7539" s="23">
        <v>120</v>
      </c>
      <c r="K7539" s="37">
        <v>0</v>
      </c>
      <c r="L7539" s="37">
        <v>1</v>
      </c>
      <c r="M7539" s="22">
        <f>IF(OR(ISBLANK(C7539),C7539=""),"",ROUND((C7539-B7539)*24,2))</f>
        <v>98.57</v>
      </c>
      <c r="N7539" s="40" t="str">
        <f>IF(OR(ISBLANK(C7539),C7539="",M7539=""),"In Progress",IF(M7539&lt;=J7539,"Met","Breached"))</f>
        <v>Met</v>
      </c>
    </row>
    <row r="7540" ht="19" customHeight="1" spans="1:14" x14ac:dyDescent="0.25">
      <c r="A7540" s="19" t="s">
        <v>7654</v>
      </c>
      <c r="B7540" s="33">
        <v>46280.30347222222</v>
      </c>
      <c r="C7540" s="33">
        <v>46281.00277777778</v>
      </c>
      <c r="D7540" s="19" t="s">
        <v>33</v>
      </c>
      <c r="E7540" s="19" t="s">
        <v>61</v>
      </c>
      <c r="F7540" s="19" t="s">
        <v>45</v>
      </c>
      <c r="G7540" s="19" t="s">
        <v>121</v>
      </c>
      <c r="H7540" s="19" t="s">
        <v>59</v>
      </c>
      <c r="I7540" s="19" t="s">
        <v>108</v>
      </c>
      <c r="J7540" s="20">
        <v>12</v>
      </c>
      <c r="K7540" s="34">
        <v>0</v>
      </c>
      <c r="L7540" s="34">
        <v>2</v>
      </c>
      <c r="M7540" s="19">
        <f>IF(OR(ISBLANK(C7540),C7540=""),"",ROUND((C7540-B7540)*24,2))</f>
        <v>16.78</v>
      </c>
      <c r="N7540" s="39" t="str">
        <f>IF(OR(ISBLANK(C7540),C7540="",M7540=""),"In Progress",IF(M7540&lt;=J7540,"Met","Breached"))</f>
        <v>Breached</v>
      </c>
    </row>
    <row r="7541" ht="19" customHeight="1" spans="1:14" x14ac:dyDescent="0.25">
      <c r="A7541" s="22" t="s">
        <v>7655</v>
      </c>
      <c r="B7541" s="36">
        <v>45823.54652777778</v>
      </c>
      <c r="C7541" s="36">
        <v>45823.98819444445</v>
      </c>
      <c r="D7541" s="22" t="s">
        <v>33</v>
      </c>
      <c r="E7541" s="22" t="s">
        <v>61</v>
      </c>
      <c r="F7541" s="22" t="s">
        <v>34</v>
      </c>
      <c r="G7541" s="22" t="s">
        <v>116</v>
      </c>
      <c r="H7541" s="22" t="s">
        <v>63</v>
      </c>
      <c r="I7541" s="22" t="s">
        <v>117</v>
      </c>
      <c r="J7541" s="23">
        <v>12</v>
      </c>
      <c r="K7541" s="37">
        <v>0</v>
      </c>
      <c r="L7541" s="37">
        <v>4</v>
      </c>
      <c r="M7541" s="22">
        <f>IF(OR(ISBLANK(C7541),C7541=""),"",ROUND((C7541-B7541)*24,2))</f>
        <v>10.6</v>
      </c>
      <c r="N7541" s="40" t="str">
        <f>IF(OR(ISBLANK(C7541),C7541="",M7541=""),"In Progress",IF(M7541&lt;=J7541,"Met","Breached"))</f>
        <v>Met</v>
      </c>
    </row>
    <row r="7542" ht="19" customHeight="1" spans="1:14" x14ac:dyDescent="0.25">
      <c r="A7542" s="19" t="s">
        <v>7656</v>
      </c>
      <c r="B7542" s="33">
        <v>46146.50833333333</v>
      </c>
      <c r="C7542" s="33">
        <v>46147.33541666667</v>
      </c>
      <c r="D7542" s="19" t="s">
        <v>33</v>
      </c>
      <c r="E7542" s="19" t="s">
        <v>65</v>
      </c>
      <c r="F7542" s="19" t="s">
        <v>45</v>
      </c>
      <c r="G7542" s="19" t="s">
        <v>113</v>
      </c>
      <c r="H7542" s="19" t="s">
        <v>71</v>
      </c>
      <c r="I7542" s="19" t="s">
        <v>111</v>
      </c>
      <c r="J7542" s="20">
        <v>48</v>
      </c>
      <c r="K7542" s="34">
        <v>0</v>
      </c>
      <c r="L7542" s="34">
        <v>2</v>
      </c>
      <c r="M7542" s="19">
        <f>IF(OR(ISBLANK(C7542),C7542=""),"",ROUND((C7542-B7542)*24,2))</f>
        <v>19.85</v>
      </c>
      <c r="N7542" s="35" t="str">
        <f>IF(OR(ISBLANK(C7542),C7542="",M7542=""),"In Progress",IF(M7542&lt;=J7542,"Met","Breached"))</f>
        <v>Met</v>
      </c>
    </row>
    <row r="7543" ht="19" customHeight="1" spans="1:14" x14ac:dyDescent="0.25">
      <c r="A7543" s="22" t="s">
        <v>7657</v>
      </c>
      <c r="B7543" s="36">
        <v>45883.15486111111</v>
      </c>
      <c r="C7543" s="36">
        <v>45884.131944444445</v>
      </c>
      <c r="D7543" s="22" t="s">
        <v>33</v>
      </c>
      <c r="E7543" s="22" t="s">
        <v>65</v>
      </c>
      <c r="F7543" s="22" t="s">
        <v>43</v>
      </c>
      <c r="G7543" s="22" t="s">
        <v>126</v>
      </c>
      <c r="H7543" s="22" t="s">
        <v>63</v>
      </c>
      <c r="I7543" s="22" t="s">
        <v>123</v>
      </c>
      <c r="J7543" s="23">
        <v>48</v>
      </c>
      <c r="K7543" s="37">
        <v>0</v>
      </c>
      <c r="M7543" s="22">
        <f>IF(OR(ISBLANK(C7543),C7543=""),"",ROUND((C7543-B7543)*24,2))</f>
        <v>23.45</v>
      </c>
      <c r="N7543" s="40" t="str">
        <f>IF(OR(ISBLANK(C7543),C7543="",M7543=""),"In Progress",IF(M7543&lt;=J7543,"Met","Breached"))</f>
        <v>Met</v>
      </c>
    </row>
    <row r="7544" ht="19" customHeight="1" spans="1:14" x14ac:dyDescent="0.25">
      <c r="A7544" s="19" t="s">
        <v>7658</v>
      </c>
      <c r="B7544" s="33">
        <v>46099.40972222222</v>
      </c>
      <c r="C7544" s="33">
        <v>46100.58125</v>
      </c>
      <c r="D7544" s="19" t="s">
        <v>33</v>
      </c>
      <c r="E7544" s="19" t="s">
        <v>65</v>
      </c>
      <c r="F7544" s="19" t="s">
        <v>34</v>
      </c>
      <c r="G7544" s="19" t="s">
        <v>116</v>
      </c>
      <c r="H7544" s="19" t="s">
        <v>67</v>
      </c>
      <c r="I7544" s="19" t="s">
        <v>123</v>
      </c>
      <c r="J7544" s="20">
        <v>48</v>
      </c>
      <c r="K7544" s="34">
        <v>1</v>
      </c>
      <c r="L7544" s="34">
        <v>4</v>
      </c>
      <c r="M7544" s="19">
        <f>IF(OR(ISBLANK(C7544),C7544=""),"",ROUND((C7544-B7544)*24,2))</f>
        <v>28.12</v>
      </c>
      <c r="N7544" s="35" t="str">
        <f>IF(OR(ISBLANK(C7544),C7544="",M7544=""),"In Progress",IF(M7544&lt;=J7544,"Met","Breached"))</f>
        <v>Met</v>
      </c>
    </row>
    <row r="7545" ht="19" customHeight="1" spans="1:14" x14ac:dyDescent="0.25">
      <c r="A7545" s="22" t="s">
        <v>7659</v>
      </c>
      <c r="B7545" s="36">
        <v>45767.285416666666</v>
      </c>
      <c r="C7545" s="36">
        <v>45772.83194444445</v>
      </c>
      <c r="D7545" s="22" t="s">
        <v>36</v>
      </c>
      <c r="E7545" s="22" t="s">
        <v>69</v>
      </c>
      <c r="F7545" s="22" t="s">
        <v>40</v>
      </c>
      <c r="G7545" s="22" t="s">
        <v>110</v>
      </c>
      <c r="H7545" s="22" t="s">
        <v>63</v>
      </c>
      <c r="I7545" s="22" t="s">
        <v>108</v>
      </c>
      <c r="J7545" s="23">
        <v>120</v>
      </c>
      <c r="K7545" s="37">
        <v>0</v>
      </c>
      <c r="L7545" s="37">
        <v>3</v>
      </c>
      <c r="M7545" s="22">
        <f>IF(OR(ISBLANK(C7545),C7545=""),"",ROUND((C7545-B7545)*24,2))</f>
        <v>133.12</v>
      </c>
      <c r="N7545" s="38" t="str">
        <f>IF(OR(ISBLANK(C7545),C7545="",M7545=""),"In Progress",IF(M7545&lt;=J7545,"Met","Breached"))</f>
        <v>Breached</v>
      </c>
    </row>
    <row r="7546" ht="19" customHeight="1" spans="1:14" x14ac:dyDescent="0.25">
      <c r="A7546" s="19" t="s">
        <v>7660</v>
      </c>
      <c r="B7546" s="33">
        <v>45787.773611111115</v>
      </c>
      <c r="C7546" s="33">
        <v>45788.56458333333</v>
      </c>
      <c r="D7546" s="19" t="s">
        <v>36</v>
      </c>
      <c r="E7546" s="19" t="s">
        <v>61</v>
      </c>
      <c r="F7546" s="19" t="s">
        <v>40</v>
      </c>
      <c r="G7546" s="19" t="s">
        <v>116</v>
      </c>
      <c r="H7546" s="19" t="s">
        <v>59</v>
      </c>
      <c r="I7546" s="19" t="s">
        <v>123</v>
      </c>
      <c r="J7546" s="20">
        <v>12</v>
      </c>
      <c r="K7546" s="34">
        <v>0</v>
      </c>
      <c r="L7546" s="34">
        <v>3</v>
      </c>
      <c r="M7546" s="19">
        <f>IF(OR(ISBLANK(C7546),C7546=""),"",ROUND((C7546-B7546)*24,2))</f>
        <v>18.98</v>
      </c>
      <c r="N7546" s="39" t="str">
        <f>IF(OR(ISBLANK(C7546),C7546="",M7546=""),"In Progress",IF(M7546&lt;=J7546,"Met","Breached"))</f>
        <v>Breached</v>
      </c>
    </row>
    <row r="7547" ht="19" customHeight="1" spans="1:14" x14ac:dyDescent="0.25">
      <c r="A7547" s="22" t="s">
        <v>7661</v>
      </c>
      <c r="B7547" s="36">
        <v>45666.34444444445</v>
      </c>
      <c r="C7547" s="36">
        <v>45666.461805555555</v>
      </c>
      <c r="D7547" s="22" t="s">
        <v>33</v>
      </c>
      <c r="E7547" s="22" t="s">
        <v>57</v>
      </c>
      <c r="F7547" s="22" t="s">
        <v>40</v>
      </c>
      <c r="G7547" s="22" t="s">
        <v>116</v>
      </c>
      <c r="H7547" s="22" t="s">
        <v>59</v>
      </c>
      <c r="I7547" s="22" t="s">
        <v>147</v>
      </c>
      <c r="J7547" s="23">
        <v>4</v>
      </c>
      <c r="K7547" s="37">
        <v>0</v>
      </c>
      <c r="L7547" s="37">
        <v>5</v>
      </c>
      <c r="M7547" s="22">
        <f>IF(OR(ISBLANK(C7547),C7547=""),"",ROUND((C7547-B7547)*24,2))</f>
        <v>2.82</v>
      </c>
      <c r="N7547" s="40" t="str">
        <f>IF(OR(ISBLANK(C7547),C7547="",M7547=""),"In Progress",IF(M7547&lt;=J7547,"Met","Breached"))</f>
        <v>Met</v>
      </c>
    </row>
    <row r="7548" ht="19" customHeight="1" spans="1:14" x14ac:dyDescent="0.25">
      <c r="A7548" s="19" t="s">
        <v>7662</v>
      </c>
      <c r="B7548" s="33">
        <v>45872.56388888889</v>
      </c>
      <c r="C7548" s="33">
        <v>45873.19375</v>
      </c>
      <c r="D7548" s="19" t="s">
        <v>36</v>
      </c>
      <c r="E7548" s="19" t="s">
        <v>61</v>
      </c>
      <c r="F7548" s="19" t="s">
        <v>37</v>
      </c>
      <c r="G7548" s="19" t="s">
        <v>63</v>
      </c>
      <c r="H7548" s="19" t="s">
        <v>63</v>
      </c>
      <c r="I7548" s="19" t="s">
        <v>147</v>
      </c>
      <c r="J7548" s="20">
        <v>12</v>
      </c>
      <c r="K7548" s="34">
        <v>0</v>
      </c>
      <c r="M7548" s="19">
        <f>IF(OR(ISBLANK(C7548),C7548=""),"",ROUND((C7548-B7548)*24,2))</f>
        <v>15.12</v>
      </c>
      <c r="N7548" s="39" t="str">
        <f>IF(OR(ISBLANK(C7548),C7548="",M7548=""),"In Progress",IF(M7548&lt;=J7548,"Met","Breached"))</f>
        <v>Breached</v>
      </c>
    </row>
    <row r="7549" ht="19" customHeight="1" spans="1:14" x14ac:dyDescent="0.25">
      <c r="A7549" s="22" t="s">
        <v>7663</v>
      </c>
      <c r="B7549" s="36">
        <v>46144.96944444445</v>
      </c>
      <c r="D7549" s="22" t="s">
        <v>42</v>
      </c>
      <c r="E7549" s="22" t="s">
        <v>57</v>
      </c>
      <c r="F7549" s="22" t="s">
        <v>40</v>
      </c>
      <c r="G7549" s="22" t="s">
        <v>126</v>
      </c>
      <c r="H7549" s="22" t="s">
        <v>59</v>
      </c>
      <c r="I7549" s="22" t="s">
        <v>123</v>
      </c>
      <c r="J7549" s="23">
        <v>4</v>
      </c>
      <c r="K7549" s="37">
        <v>0</v>
      </c>
      <c r="M7549" s="22" t="str">
        <f>IF(OR(ISBLANK(C7549),C7549=""),"",ROUND((C7549-B7549)*24,2))</f>
        <v/>
      </c>
      <c r="N7549" s="22" t="str">
        <f>IF(OR(ISBLANK(C7549),C7549="",M7549=""),"In Progress",IF(M7549&lt;=J7549,"Met","Breached"))</f>
        <v>In Progress</v>
      </c>
    </row>
    <row r="7550" ht="19" customHeight="1" spans="1:14" x14ac:dyDescent="0.25">
      <c r="A7550" s="19" t="s">
        <v>7664</v>
      </c>
      <c r="B7550" s="33">
        <v>45779.35833333334</v>
      </c>
      <c r="D7550" s="19" t="s">
        <v>42</v>
      </c>
      <c r="E7550" s="19" t="s">
        <v>69</v>
      </c>
      <c r="F7550" s="19" t="s">
        <v>37</v>
      </c>
      <c r="G7550" s="19" t="s">
        <v>121</v>
      </c>
      <c r="H7550" s="19" t="s">
        <v>63</v>
      </c>
      <c r="I7550" s="19" t="s">
        <v>117</v>
      </c>
      <c r="J7550" s="20">
        <v>120</v>
      </c>
      <c r="K7550" s="34">
        <v>0</v>
      </c>
      <c r="M7550" s="19" t="str">
        <f>IF(OR(ISBLANK(C7550),C7550=""),"",ROUND((C7550-B7550)*24,2))</f>
        <v/>
      </c>
      <c r="N7550" s="19" t="str">
        <f>IF(OR(ISBLANK(C7550),C7550="",M7550=""),"In Progress",IF(M7550&lt;=J7550,"Met","Breached"))</f>
        <v>In Progress</v>
      </c>
    </row>
    <row r="7551" ht="19" customHeight="1" spans="1:14" x14ac:dyDescent="0.25">
      <c r="A7551" s="22" t="s">
        <v>7665</v>
      </c>
      <c r="B7551" s="36">
        <v>46049.197222222225</v>
      </c>
      <c r="D7551" s="22" t="s">
        <v>39</v>
      </c>
      <c r="E7551" s="22" t="s">
        <v>65</v>
      </c>
      <c r="F7551" s="22" t="s">
        <v>37</v>
      </c>
      <c r="G7551" s="22" t="s">
        <v>126</v>
      </c>
      <c r="H7551" s="22" t="s">
        <v>59</v>
      </c>
      <c r="I7551" s="22" t="s">
        <v>111</v>
      </c>
      <c r="J7551" s="23">
        <v>48</v>
      </c>
      <c r="K7551" s="37">
        <v>0</v>
      </c>
      <c r="M7551" s="22" t="str">
        <f>IF(OR(ISBLANK(C7551),C7551=""),"",ROUND((C7551-B7551)*24,2))</f>
        <v/>
      </c>
      <c r="N7551" s="22" t="str">
        <f>IF(OR(ISBLANK(C7551),C7551="",M7551=""),"In Progress",IF(M7551&lt;=J7551,"Met","Breached"))</f>
        <v>In Progress</v>
      </c>
    </row>
    <row r="7552" ht="19" customHeight="1" spans="1:14" x14ac:dyDescent="0.25">
      <c r="A7552" s="19" t="s">
        <v>7666</v>
      </c>
      <c r="B7552" s="33">
        <v>46145.10486111111</v>
      </c>
      <c r="C7552" s="33">
        <v>46145.677777777775</v>
      </c>
      <c r="D7552" s="19" t="s">
        <v>33</v>
      </c>
      <c r="E7552" s="19" t="s">
        <v>61</v>
      </c>
      <c r="F7552" s="19" t="s">
        <v>40</v>
      </c>
      <c r="G7552" s="19" t="s">
        <v>116</v>
      </c>
      <c r="H7552" s="19" t="s">
        <v>67</v>
      </c>
      <c r="I7552" s="19" t="s">
        <v>117</v>
      </c>
      <c r="J7552" s="20">
        <v>12</v>
      </c>
      <c r="K7552" s="34">
        <v>0</v>
      </c>
      <c r="L7552" s="34">
        <v>3</v>
      </c>
      <c r="M7552" s="19">
        <f>IF(OR(ISBLANK(C7552),C7552=""),"",ROUND((C7552-B7552)*24,2))</f>
        <v>13.75</v>
      </c>
      <c r="N7552" s="39" t="str">
        <f>IF(OR(ISBLANK(C7552),C7552="",M7552=""),"In Progress",IF(M7552&lt;=J7552,"Met","Breached"))</f>
        <v>Breached</v>
      </c>
    </row>
    <row r="7553" ht="19" customHeight="1" spans="1:14" x14ac:dyDescent="0.25">
      <c r="A7553" s="22" t="s">
        <v>7667</v>
      </c>
      <c r="B7553" s="36">
        <v>45793.28472222222</v>
      </c>
      <c r="C7553" s="36">
        <v>45796.308333333334</v>
      </c>
      <c r="D7553" s="22" t="s">
        <v>33</v>
      </c>
      <c r="E7553" s="22" t="s">
        <v>65</v>
      </c>
      <c r="F7553" s="22" t="s">
        <v>40</v>
      </c>
      <c r="G7553" s="22" t="s">
        <v>63</v>
      </c>
      <c r="H7553" s="22" t="s">
        <v>63</v>
      </c>
      <c r="I7553" s="22" t="s">
        <v>123</v>
      </c>
      <c r="J7553" s="23">
        <v>48</v>
      </c>
      <c r="K7553" s="37">
        <v>0</v>
      </c>
      <c r="L7553" s="37">
        <v>3</v>
      </c>
      <c r="M7553" s="22">
        <f>IF(OR(ISBLANK(C7553),C7553=""),"",ROUND((C7553-B7553)*24,2))</f>
        <v>72.57</v>
      </c>
      <c r="N7553" s="38" t="str">
        <f>IF(OR(ISBLANK(C7553),C7553="",M7553=""),"In Progress",IF(M7553&lt;=J7553,"Met","Breached"))</f>
        <v>Breached</v>
      </c>
    </row>
    <row r="7554" ht="19" customHeight="1" spans="1:14" x14ac:dyDescent="0.25">
      <c r="A7554" s="19" t="s">
        <v>7668</v>
      </c>
      <c r="B7554" s="33">
        <v>45915.22916666667</v>
      </c>
      <c r="C7554" s="33">
        <v>45916.6625</v>
      </c>
      <c r="D7554" s="19" t="s">
        <v>33</v>
      </c>
      <c r="E7554" s="19" t="s">
        <v>65</v>
      </c>
      <c r="F7554" s="19" t="s">
        <v>40</v>
      </c>
      <c r="G7554" s="19" t="s">
        <v>121</v>
      </c>
      <c r="H7554" s="19" t="s">
        <v>59</v>
      </c>
      <c r="I7554" s="19" t="s">
        <v>117</v>
      </c>
      <c r="J7554" s="20">
        <v>48</v>
      </c>
      <c r="K7554" s="34">
        <v>0</v>
      </c>
      <c r="L7554" s="34">
        <v>4</v>
      </c>
      <c r="M7554" s="19">
        <f>IF(OR(ISBLANK(C7554),C7554=""),"",ROUND((C7554-B7554)*24,2))</f>
        <v>34.4</v>
      </c>
      <c r="N7554" s="35" t="str">
        <f>IF(OR(ISBLANK(C7554),C7554="",M7554=""),"In Progress",IF(M7554&lt;=J7554,"Met","Breached"))</f>
        <v>Met</v>
      </c>
    </row>
    <row r="7555" ht="19" customHeight="1" spans="1:14" x14ac:dyDescent="0.25">
      <c r="A7555" s="22" t="s">
        <v>7669</v>
      </c>
      <c r="B7555" s="36">
        <v>46194.52569444444</v>
      </c>
      <c r="C7555" s="36">
        <v>46194.83888888889</v>
      </c>
      <c r="D7555" s="22" t="s">
        <v>33</v>
      </c>
      <c r="E7555" s="22" t="s">
        <v>61</v>
      </c>
      <c r="F7555" s="22" t="s">
        <v>40</v>
      </c>
      <c r="G7555" s="22" t="s">
        <v>116</v>
      </c>
      <c r="H7555" s="22" t="s">
        <v>67</v>
      </c>
      <c r="I7555" s="22" t="s">
        <v>117</v>
      </c>
      <c r="J7555" s="23">
        <v>12</v>
      </c>
      <c r="K7555" s="37">
        <v>0</v>
      </c>
      <c r="L7555" s="37">
        <v>1</v>
      </c>
      <c r="M7555" s="22">
        <f>IF(OR(ISBLANK(C7555),C7555=""),"",ROUND((C7555-B7555)*24,2))</f>
        <v>7.52</v>
      </c>
      <c r="N7555" s="40" t="str">
        <f>IF(OR(ISBLANK(C7555),C7555="",M7555=""),"In Progress",IF(M7555&lt;=J7555,"Met","Breached"))</f>
        <v>Met</v>
      </c>
    </row>
    <row r="7556" ht="19" customHeight="1" spans="1:14" x14ac:dyDescent="0.25">
      <c r="A7556" s="19" t="s">
        <v>7670</v>
      </c>
      <c r="B7556" s="33">
        <v>45827.05972222222</v>
      </c>
      <c r="C7556" s="33">
        <v>45835.35277777778</v>
      </c>
      <c r="D7556" s="19" t="s">
        <v>33</v>
      </c>
      <c r="E7556" s="19" t="s">
        <v>69</v>
      </c>
      <c r="F7556" s="19" t="s">
        <v>34</v>
      </c>
      <c r="G7556" s="19" t="s">
        <v>121</v>
      </c>
      <c r="H7556" s="19" t="s">
        <v>63</v>
      </c>
      <c r="I7556" s="19" t="s">
        <v>147</v>
      </c>
      <c r="J7556" s="20">
        <v>120</v>
      </c>
      <c r="K7556" s="34">
        <v>0</v>
      </c>
      <c r="M7556" s="19">
        <f>IF(OR(ISBLANK(C7556),C7556=""),"",ROUND((C7556-B7556)*24,2))</f>
        <v>199.03</v>
      </c>
      <c r="N7556" s="39" t="str">
        <f>IF(OR(ISBLANK(C7556),C7556="",M7556=""),"In Progress",IF(M7556&lt;=J7556,"Met","Breached"))</f>
        <v>Breached</v>
      </c>
    </row>
    <row r="7557" ht="19" customHeight="1" spans="1:14" x14ac:dyDescent="0.25">
      <c r="A7557" s="22" t="s">
        <v>7671</v>
      </c>
      <c r="B7557" s="36">
        <v>45704.38125</v>
      </c>
      <c r="C7557" s="36">
        <v>45705.51180555555</v>
      </c>
      <c r="D7557" s="22" t="s">
        <v>33</v>
      </c>
      <c r="E7557" s="22" t="s">
        <v>65</v>
      </c>
      <c r="F7557" s="22" t="s">
        <v>43</v>
      </c>
      <c r="G7557" s="22" t="s">
        <v>113</v>
      </c>
      <c r="H7557" s="22" t="s">
        <v>59</v>
      </c>
      <c r="I7557" s="22" t="s">
        <v>123</v>
      </c>
      <c r="J7557" s="23">
        <v>48</v>
      </c>
      <c r="K7557" s="37">
        <v>0</v>
      </c>
      <c r="M7557" s="22">
        <f>IF(OR(ISBLANK(C7557),C7557=""),"",ROUND((C7557-B7557)*24,2))</f>
        <v>27.13</v>
      </c>
      <c r="N7557" s="40" t="str">
        <f>IF(OR(ISBLANK(C7557),C7557="",M7557=""),"In Progress",IF(M7557&lt;=J7557,"Met","Breached"))</f>
        <v>Met</v>
      </c>
    </row>
    <row r="7558" ht="19" customHeight="1" spans="1:14" x14ac:dyDescent="0.25">
      <c r="A7558" s="19" t="s">
        <v>7672</v>
      </c>
      <c r="B7558" s="33">
        <v>46070.14236111111</v>
      </c>
      <c r="D7558" s="19" t="s">
        <v>39</v>
      </c>
      <c r="E7558" s="19" t="s">
        <v>65</v>
      </c>
      <c r="F7558" s="19" t="s">
        <v>45</v>
      </c>
      <c r="G7558" s="19" t="s">
        <v>110</v>
      </c>
      <c r="H7558" s="19" t="s">
        <v>59</v>
      </c>
      <c r="I7558" s="19" t="s">
        <v>108</v>
      </c>
      <c r="J7558" s="20">
        <v>48</v>
      </c>
      <c r="K7558" s="34">
        <v>0</v>
      </c>
      <c r="M7558" s="19" t="str">
        <f>IF(OR(ISBLANK(C7558),C7558=""),"",ROUND((C7558-B7558)*24,2))</f>
        <v/>
      </c>
      <c r="N7558" s="19" t="str">
        <f>IF(OR(ISBLANK(C7558),C7558="",M7558=""),"In Progress",IF(M7558&lt;=J7558,"Met","Breached"))</f>
        <v>In Progress</v>
      </c>
    </row>
    <row r="7559" ht="19" customHeight="1" spans="1:14" x14ac:dyDescent="0.25">
      <c r="A7559" s="22" t="s">
        <v>7673</v>
      </c>
      <c r="B7559" s="36">
        <v>46090.52916666667</v>
      </c>
      <c r="D7559" s="22" t="s">
        <v>42</v>
      </c>
      <c r="E7559" s="22" t="s">
        <v>65</v>
      </c>
      <c r="F7559" s="22" t="s">
        <v>43</v>
      </c>
      <c r="G7559" s="22" t="s">
        <v>121</v>
      </c>
      <c r="H7559" s="22" t="s">
        <v>59</v>
      </c>
      <c r="I7559" s="22" t="s">
        <v>123</v>
      </c>
      <c r="J7559" s="23">
        <v>48</v>
      </c>
      <c r="K7559" s="37">
        <v>0</v>
      </c>
      <c r="M7559" s="22" t="str">
        <f>IF(OR(ISBLANK(C7559),C7559=""),"",ROUND((C7559-B7559)*24,2))</f>
        <v/>
      </c>
      <c r="N7559" s="22" t="str">
        <f>IF(OR(ISBLANK(C7559),C7559="",M7559=""),"In Progress",IF(M7559&lt;=J7559,"Met","Breached"))</f>
        <v>In Progress</v>
      </c>
    </row>
    <row r="7560" ht="19" customHeight="1" spans="1:14" x14ac:dyDescent="0.25">
      <c r="A7560" s="19" t="s">
        <v>7674</v>
      </c>
      <c r="B7560" s="33">
        <v>45815.572222222225</v>
      </c>
      <c r="D7560" s="19" t="s">
        <v>42</v>
      </c>
      <c r="E7560" s="19" t="s">
        <v>69</v>
      </c>
      <c r="F7560" s="19" t="s">
        <v>34</v>
      </c>
      <c r="G7560" s="19" t="s">
        <v>116</v>
      </c>
      <c r="H7560" s="19" t="s">
        <v>59</v>
      </c>
      <c r="I7560" s="19" t="s">
        <v>117</v>
      </c>
      <c r="J7560" s="20">
        <v>120</v>
      </c>
      <c r="K7560" s="34">
        <v>0</v>
      </c>
      <c r="M7560" s="19" t="str">
        <f>IF(OR(ISBLANK(C7560),C7560=""),"",ROUND((C7560-B7560)*24,2))</f>
        <v/>
      </c>
      <c r="N7560" s="19" t="str">
        <f>IF(OR(ISBLANK(C7560),C7560="",M7560=""),"In Progress",IF(M7560&lt;=J7560,"Met","Breached"))</f>
        <v>In Progress</v>
      </c>
    </row>
    <row r="7561" ht="19" customHeight="1" spans="1:14" x14ac:dyDescent="0.25">
      <c r="A7561" s="22" t="s">
        <v>7675</v>
      </c>
      <c r="B7561" s="36">
        <v>45799.19375</v>
      </c>
      <c r="D7561" s="22" t="s">
        <v>39</v>
      </c>
      <c r="E7561" s="22" t="s">
        <v>69</v>
      </c>
      <c r="F7561" s="22" t="s">
        <v>34</v>
      </c>
      <c r="G7561" s="22" t="s">
        <v>113</v>
      </c>
      <c r="H7561" s="22" t="s">
        <v>63</v>
      </c>
      <c r="I7561" s="22" t="s">
        <v>147</v>
      </c>
      <c r="J7561" s="23">
        <v>120</v>
      </c>
      <c r="K7561" s="37">
        <v>0</v>
      </c>
      <c r="M7561" s="22" t="str">
        <f>IF(OR(ISBLANK(C7561),C7561=""),"",ROUND((C7561-B7561)*24,2))</f>
        <v/>
      </c>
      <c r="N7561" s="22" t="str">
        <f>IF(OR(ISBLANK(C7561),C7561="",M7561=""),"In Progress",IF(M7561&lt;=J7561,"Met","Breached"))</f>
        <v>In Progress</v>
      </c>
    </row>
    <row r="7562" ht="19" customHeight="1" spans="1:14" x14ac:dyDescent="0.25">
      <c r="A7562" s="19" t="s">
        <v>7676</v>
      </c>
      <c r="B7562" s="33">
        <v>45659.04652777778</v>
      </c>
      <c r="C7562" s="33">
        <v>45660.73333333334</v>
      </c>
      <c r="D7562" s="19" t="s">
        <v>36</v>
      </c>
      <c r="E7562" s="19" t="s">
        <v>65</v>
      </c>
      <c r="F7562" s="19" t="s">
        <v>43</v>
      </c>
      <c r="G7562" s="19" t="s">
        <v>63</v>
      </c>
      <c r="H7562" s="19" t="s">
        <v>71</v>
      </c>
      <c r="I7562" s="19" t="s">
        <v>108</v>
      </c>
      <c r="J7562" s="20">
        <v>48</v>
      </c>
      <c r="K7562" s="34">
        <v>0</v>
      </c>
      <c r="L7562" s="34">
        <v>3</v>
      </c>
      <c r="M7562" s="19">
        <f>IF(OR(ISBLANK(C7562),C7562=""),"",ROUND((C7562-B7562)*24,2))</f>
        <v>40.48</v>
      </c>
      <c r="N7562" s="35" t="str">
        <f>IF(OR(ISBLANK(C7562),C7562="",M7562=""),"In Progress",IF(M7562&lt;=J7562,"Met","Breached"))</f>
        <v>Met</v>
      </c>
    </row>
    <row r="7563" ht="19" customHeight="1" spans="1:14" x14ac:dyDescent="0.25">
      <c r="A7563" s="22" t="s">
        <v>7677</v>
      </c>
      <c r="B7563" s="36">
        <v>45936.23541666666</v>
      </c>
      <c r="C7563" s="36">
        <v>45937.93263888889</v>
      </c>
      <c r="D7563" s="22" t="s">
        <v>33</v>
      </c>
      <c r="E7563" s="22" t="s">
        <v>69</v>
      </c>
      <c r="F7563" s="22" t="s">
        <v>40</v>
      </c>
      <c r="G7563" s="22" t="s">
        <v>126</v>
      </c>
      <c r="H7563" s="22" t="s">
        <v>59</v>
      </c>
      <c r="I7563" s="22" t="s">
        <v>108</v>
      </c>
      <c r="J7563" s="23">
        <v>120</v>
      </c>
      <c r="K7563" s="37">
        <v>0</v>
      </c>
      <c r="M7563" s="22">
        <f>IF(OR(ISBLANK(C7563),C7563=""),"",ROUND((C7563-B7563)*24,2))</f>
        <v>40.73</v>
      </c>
      <c r="N7563" s="40" t="str">
        <f>IF(OR(ISBLANK(C7563),C7563="",M7563=""),"In Progress",IF(M7563&lt;=J7563,"Met","Breached"))</f>
        <v>Met</v>
      </c>
    </row>
    <row r="7564" ht="19" customHeight="1" spans="1:14" x14ac:dyDescent="0.25">
      <c r="A7564" s="19" t="s">
        <v>7678</v>
      </c>
      <c r="B7564" s="33">
        <v>46031.71319444444</v>
      </c>
      <c r="C7564" s="33">
        <v>46035.288194444445</v>
      </c>
      <c r="D7564" s="19" t="s">
        <v>33</v>
      </c>
      <c r="E7564" s="19" t="s">
        <v>65</v>
      </c>
      <c r="F7564" s="19" t="s">
        <v>43</v>
      </c>
      <c r="G7564" s="19" t="s">
        <v>110</v>
      </c>
      <c r="H7564" s="19" t="s">
        <v>63</v>
      </c>
      <c r="I7564" s="19" t="s">
        <v>147</v>
      </c>
      <c r="J7564" s="20">
        <v>48</v>
      </c>
      <c r="K7564" s="34">
        <v>0</v>
      </c>
      <c r="L7564" s="34">
        <v>1</v>
      </c>
      <c r="M7564" s="19">
        <f>IF(OR(ISBLANK(C7564),C7564=""),"",ROUND((C7564-B7564)*24,2))</f>
        <v>85.8</v>
      </c>
      <c r="N7564" s="39" t="str">
        <f>IF(OR(ISBLANK(C7564),C7564="",M7564=""),"In Progress",IF(M7564&lt;=J7564,"Met","Breached"))</f>
        <v>Breached</v>
      </c>
    </row>
    <row r="7565" ht="19" customHeight="1" spans="1:14" x14ac:dyDescent="0.25">
      <c r="A7565" s="22" t="s">
        <v>7679</v>
      </c>
      <c r="B7565" s="36">
        <v>46198.05625</v>
      </c>
      <c r="C7565" s="36">
        <v>46198.31875</v>
      </c>
      <c r="D7565" s="22" t="s">
        <v>36</v>
      </c>
      <c r="E7565" s="22" t="s">
        <v>61</v>
      </c>
      <c r="F7565" s="22" t="s">
        <v>45</v>
      </c>
      <c r="G7565" s="22" t="s">
        <v>63</v>
      </c>
      <c r="H7565" s="22" t="s">
        <v>71</v>
      </c>
      <c r="I7565" s="22" t="s">
        <v>108</v>
      </c>
      <c r="J7565" s="23">
        <v>12</v>
      </c>
      <c r="K7565" s="37">
        <v>0</v>
      </c>
      <c r="M7565" s="22">
        <f>IF(OR(ISBLANK(C7565),C7565=""),"",ROUND((C7565-B7565)*24,2))</f>
        <v>6.3</v>
      </c>
      <c r="N7565" s="40" t="str">
        <f>IF(OR(ISBLANK(C7565),C7565="",M7565=""),"In Progress",IF(M7565&lt;=J7565,"Met","Breached"))</f>
        <v>Met</v>
      </c>
    </row>
    <row r="7566" ht="19" customHeight="1" spans="1:14" x14ac:dyDescent="0.25">
      <c r="A7566" s="19" t="s">
        <v>7680</v>
      </c>
      <c r="B7566" s="33">
        <v>45849.038888888885</v>
      </c>
      <c r="C7566" s="33">
        <v>45851.98888888889</v>
      </c>
      <c r="D7566" s="19" t="s">
        <v>33</v>
      </c>
      <c r="E7566" s="19" t="s">
        <v>65</v>
      </c>
      <c r="F7566" s="19" t="s">
        <v>43</v>
      </c>
      <c r="G7566" s="19" t="s">
        <v>121</v>
      </c>
      <c r="H7566" s="19" t="s">
        <v>59</v>
      </c>
      <c r="I7566" s="19" t="s">
        <v>111</v>
      </c>
      <c r="J7566" s="20">
        <v>48</v>
      </c>
      <c r="K7566" s="34">
        <v>0</v>
      </c>
      <c r="L7566" s="34">
        <v>4</v>
      </c>
      <c r="M7566" s="19">
        <f>IF(OR(ISBLANK(C7566),C7566=""),"",ROUND((C7566-B7566)*24,2))</f>
        <v>70.8</v>
      </c>
      <c r="N7566" s="39" t="str">
        <f>IF(OR(ISBLANK(C7566),C7566="",M7566=""),"In Progress",IF(M7566&lt;=J7566,"Met","Breached"))</f>
        <v>Breached</v>
      </c>
    </row>
    <row r="7567" ht="19" customHeight="1" spans="1:14" x14ac:dyDescent="0.25">
      <c r="A7567" s="22" t="s">
        <v>7681</v>
      </c>
      <c r="B7567" s="36">
        <v>46242.14722222222</v>
      </c>
      <c r="C7567" s="36">
        <v>46242.89791666667</v>
      </c>
      <c r="D7567" s="22" t="s">
        <v>33</v>
      </c>
      <c r="E7567" s="22" t="s">
        <v>61</v>
      </c>
      <c r="F7567" s="22" t="s">
        <v>43</v>
      </c>
      <c r="G7567" s="22" t="s">
        <v>113</v>
      </c>
      <c r="H7567" s="22" t="s">
        <v>59</v>
      </c>
      <c r="I7567" s="22" t="s">
        <v>108</v>
      </c>
      <c r="J7567" s="23">
        <v>12</v>
      </c>
      <c r="K7567" s="37">
        <v>0</v>
      </c>
      <c r="M7567" s="22">
        <f>IF(OR(ISBLANK(C7567),C7567=""),"",ROUND((C7567-B7567)*24,2))</f>
        <v>18.02</v>
      </c>
      <c r="N7567" s="38" t="str">
        <f>IF(OR(ISBLANK(C7567),C7567="",M7567=""),"In Progress",IF(M7567&lt;=J7567,"Met","Breached"))</f>
        <v>Breached</v>
      </c>
    </row>
    <row r="7568" ht="19" customHeight="1" spans="1:14" x14ac:dyDescent="0.25">
      <c r="A7568" s="19" t="s">
        <v>7682</v>
      </c>
      <c r="B7568" s="33">
        <v>45916.61111111111</v>
      </c>
      <c r="D7568" s="19" t="s">
        <v>42</v>
      </c>
      <c r="E7568" s="19" t="s">
        <v>61</v>
      </c>
      <c r="F7568" s="19" t="s">
        <v>43</v>
      </c>
      <c r="G7568" s="19" t="s">
        <v>113</v>
      </c>
      <c r="H7568" s="19" t="s">
        <v>67</v>
      </c>
      <c r="I7568" s="19" t="s">
        <v>114</v>
      </c>
      <c r="J7568" s="20">
        <v>12</v>
      </c>
      <c r="K7568" s="34">
        <v>0</v>
      </c>
      <c r="M7568" s="19" t="str">
        <f>IF(OR(ISBLANK(C7568),C7568=""),"",ROUND((C7568-B7568)*24,2))</f>
        <v/>
      </c>
      <c r="N7568" s="19" t="str">
        <f>IF(OR(ISBLANK(C7568),C7568="",M7568=""),"In Progress",IF(M7568&lt;=J7568,"Met","Breached"))</f>
        <v>In Progress</v>
      </c>
    </row>
    <row r="7569" ht="19" customHeight="1" spans="1:14" x14ac:dyDescent="0.25">
      <c r="A7569" s="22" t="s">
        <v>7683</v>
      </c>
      <c r="B7569" s="36">
        <v>46074.12708333333</v>
      </c>
      <c r="C7569" s="36">
        <v>46074.52291666667</v>
      </c>
      <c r="D7569" s="22" t="s">
        <v>33</v>
      </c>
      <c r="E7569" s="22" t="s">
        <v>61</v>
      </c>
      <c r="F7569" s="22" t="s">
        <v>43</v>
      </c>
      <c r="G7569" s="22" t="s">
        <v>116</v>
      </c>
      <c r="H7569" s="22" t="s">
        <v>63</v>
      </c>
      <c r="I7569" s="22" t="s">
        <v>108</v>
      </c>
      <c r="J7569" s="23">
        <v>12</v>
      </c>
      <c r="K7569" s="37">
        <v>0</v>
      </c>
      <c r="L7569" s="37">
        <v>2</v>
      </c>
      <c r="M7569" s="22">
        <f>IF(OR(ISBLANK(C7569),C7569=""),"",ROUND((C7569-B7569)*24,2))</f>
        <v>9.5</v>
      </c>
      <c r="N7569" s="40" t="str">
        <f>IF(OR(ISBLANK(C7569),C7569="",M7569=""),"In Progress",IF(M7569&lt;=J7569,"Met","Breached"))</f>
        <v>Met</v>
      </c>
    </row>
    <row r="7570" ht="19" customHeight="1" spans="1:14" x14ac:dyDescent="0.25">
      <c r="A7570" s="19" t="s">
        <v>7684</v>
      </c>
      <c r="B7570" s="33">
        <v>45844.50208333333</v>
      </c>
      <c r="C7570" s="33">
        <v>45846.74375</v>
      </c>
      <c r="D7570" s="19" t="s">
        <v>33</v>
      </c>
      <c r="E7570" s="19" t="s">
        <v>65</v>
      </c>
      <c r="F7570" s="19" t="s">
        <v>34</v>
      </c>
      <c r="G7570" s="19" t="s">
        <v>63</v>
      </c>
      <c r="H7570" s="19" t="s">
        <v>63</v>
      </c>
      <c r="I7570" s="19" t="s">
        <v>111</v>
      </c>
      <c r="J7570" s="20">
        <v>48</v>
      </c>
      <c r="K7570" s="34">
        <v>0</v>
      </c>
      <c r="L7570" s="34">
        <v>2</v>
      </c>
      <c r="M7570" s="19">
        <f>IF(OR(ISBLANK(C7570),C7570=""),"",ROUND((C7570-B7570)*24,2))</f>
        <v>53.8</v>
      </c>
      <c r="N7570" s="39" t="str">
        <f>IF(OR(ISBLANK(C7570),C7570="",M7570=""),"In Progress",IF(M7570&lt;=J7570,"Met","Breached"))</f>
        <v>Breached</v>
      </c>
    </row>
    <row r="7571" ht="19" customHeight="1" spans="1:14" x14ac:dyDescent="0.25">
      <c r="A7571" s="22" t="s">
        <v>7685</v>
      </c>
      <c r="B7571" s="36">
        <v>46194.35486111111</v>
      </c>
      <c r="C7571" s="36">
        <v>46197.086111111115</v>
      </c>
      <c r="D7571" s="22" t="s">
        <v>33</v>
      </c>
      <c r="E7571" s="22" t="s">
        <v>65</v>
      </c>
      <c r="F7571" s="22" t="s">
        <v>45</v>
      </c>
      <c r="G7571" s="22" t="s">
        <v>113</v>
      </c>
      <c r="H7571" s="22" t="s">
        <v>67</v>
      </c>
      <c r="I7571" s="22" t="s">
        <v>111</v>
      </c>
      <c r="J7571" s="23">
        <v>48</v>
      </c>
      <c r="K7571" s="37">
        <v>0</v>
      </c>
      <c r="L7571" s="37">
        <v>1</v>
      </c>
      <c r="M7571" s="22">
        <f>IF(OR(ISBLANK(C7571),C7571=""),"",ROUND((C7571-B7571)*24,2))</f>
        <v>65.55</v>
      </c>
      <c r="N7571" s="38" t="str">
        <f>IF(OR(ISBLANK(C7571),C7571="",M7571=""),"In Progress",IF(M7571&lt;=J7571,"Met","Breached"))</f>
        <v>Breached</v>
      </c>
    </row>
    <row r="7572" ht="19" customHeight="1" spans="1:14" x14ac:dyDescent="0.25">
      <c r="A7572" s="19" t="s">
        <v>7686</v>
      </c>
      <c r="B7572" s="33">
        <v>46283.95347222222</v>
      </c>
      <c r="C7572" s="33">
        <v>46284.79375</v>
      </c>
      <c r="D7572" s="19" t="s">
        <v>33</v>
      </c>
      <c r="E7572" s="19" t="s">
        <v>61</v>
      </c>
      <c r="F7572" s="19" t="s">
        <v>37</v>
      </c>
      <c r="G7572" s="19" t="s">
        <v>110</v>
      </c>
      <c r="H7572" s="19" t="s">
        <v>63</v>
      </c>
      <c r="I7572" s="19" t="s">
        <v>114</v>
      </c>
      <c r="J7572" s="20">
        <v>12</v>
      </c>
      <c r="K7572" s="34">
        <v>0</v>
      </c>
      <c r="L7572" s="34">
        <v>4</v>
      </c>
      <c r="M7572" s="19">
        <f>IF(OR(ISBLANK(C7572),C7572=""),"",ROUND((C7572-B7572)*24,2))</f>
        <v>20.17</v>
      </c>
      <c r="N7572" s="39" t="str">
        <f>IF(OR(ISBLANK(C7572),C7572="",M7572=""),"In Progress",IF(M7572&lt;=J7572,"Met","Breached"))</f>
        <v>Breached</v>
      </c>
    </row>
    <row r="7573" ht="19" customHeight="1" spans="1:14" x14ac:dyDescent="0.25">
      <c r="A7573" s="22" t="s">
        <v>7687</v>
      </c>
      <c r="B7573" s="36">
        <v>46152.21805555555</v>
      </c>
      <c r="D7573" s="22" t="s">
        <v>42</v>
      </c>
      <c r="E7573" s="22" t="s">
        <v>65</v>
      </c>
      <c r="F7573" s="22" t="s">
        <v>43</v>
      </c>
      <c r="G7573" s="22" t="s">
        <v>113</v>
      </c>
      <c r="H7573" s="22" t="s">
        <v>63</v>
      </c>
      <c r="I7573" s="22" t="s">
        <v>111</v>
      </c>
      <c r="J7573" s="23">
        <v>48</v>
      </c>
      <c r="K7573" s="37">
        <v>0</v>
      </c>
      <c r="M7573" s="22" t="str">
        <f>IF(OR(ISBLANK(C7573),C7573=""),"",ROUND((C7573-B7573)*24,2))</f>
        <v/>
      </c>
      <c r="N7573" s="22" t="str">
        <f>IF(OR(ISBLANK(C7573),C7573="",M7573=""),"In Progress",IF(M7573&lt;=J7573,"Met","Breached"))</f>
        <v>In Progress</v>
      </c>
    </row>
    <row r="7574" ht="19" customHeight="1" spans="1:14" x14ac:dyDescent="0.25">
      <c r="A7574" s="19" t="s">
        <v>7688</v>
      </c>
      <c r="B7574" s="33">
        <v>45780.0625</v>
      </c>
      <c r="C7574" s="33">
        <v>45782.04791666666</v>
      </c>
      <c r="D7574" s="19" t="s">
        <v>36</v>
      </c>
      <c r="E7574" s="19" t="s">
        <v>65</v>
      </c>
      <c r="F7574" s="19" t="s">
        <v>37</v>
      </c>
      <c r="G7574" s="19" t="s">
        <v>121</v>
      </c>
      <c r="H7574" s="19" t="s">
        <v>59</v>
      </c>
      <c r="I7574" s="19" t="s">
        <v>147</v>
      </c>
      <c r="J7574" s="20">
        <v>48</v>
      </c>
      <c r="K7574" s="34">
        <v>0</v>
      </c>
      <c r="M7574" s="19">
        <f>IF(OR(ISBLANK(C7574),C7574=""),"",ROUND((C7574-B7574)*24,2))</f>
        <v>47.65</v>
      </c>
      <c r="N7574" s="35" t="str">
        <f>IF(OR(ISBLANK(C7574),C7574="",M7574=""),"In Progress",IF(M7574&lt;=J7574,"Met","Breached"))</f>
        <v>Met</v>
      </c>
    </row>
    <row r="7575" ht="19" customHeight="1" spans="1:14" x14ac:dyDescent="0.25">
      <c r="A7575" s="22" t="s">
        <v>7689</v>
      </c>
      <c r="B7575" s="36">
        <v>46094.881944444445</v>
      </c>
      <c r="C7575" s="36">
        <v>46096.29722222222</v>
      </c>
      <c r="D7575" s="22" t="s">
        <v>33</v>
      </c>
      <c r="E7575" s="22" t="s">
        <v>65</v>
      </c>
      <c r="F7575" s="22" t="s">
        <v>37</v>
      </c>
      <c r="G7575" s="22" t="s">
        <v>113</v>
      </c>
      <c r="H7575" s="22" t="s">
        <v>59</v>
      </c>
      <c r="I7575" s="22" t="s">
        <v>114</v>
      </c>
      <c r="J7575" s="23">
        <v>48</v>
      </c>
      <c r="K7575" s="37">
        <v>0</v>
      </c>
      <c r="L7575" s="37">
        <v>1</v>
      </c>
      <c r="M7575" s="22">
        <f>IF(OR(ISBLANK(C7575),C7575=""),"",ROUND((C7575-B7575)*24,2))</f>
        <v>33.97</v>
      </c>
      <c r="N7575" s="40" t="str">
        <f>IF(OR(ISBLANK(C7575),C7575="",M7575=""),"In Progress",IF(M7575&lt;=J7575,"Met","Breached"))</f>
        <v>Met</v>
      </c>
    </row>
    <row r="7576" ht="19" customHeight="1" spans="1:14" x14ac:dyDescent="0.25">
      <c r="A7576" s="19" t="s">
        <v>7690</v>
      </c>
      <c r="B7576" s="33">
        <v>45944.525</v>
      </c>
      <c r="C7576" s="33">
        <v>45952.36458333333</v>
      </c>
      <c r="D7576" s="19" t="s">
        <v>33</v>
      </c>
      <c r="E7576" s="19" t="s">
        <v>69</v>
      </c>
      <c r="F7576" s="19" t="s">
        <v>43</v>
      </c>
      <c r="G7576" s="19" t="s">
        <v>126</v>
      </c>
      <c r="H7576" s="19" t="s">
        <v>63</v>
      </c>
      <c r="I7576" s="19" t="s">
        <v>108</v>
      </c>
      <c r="J7576" s="20">
        <v>120</v>
      </c>
      <c r="K7576" s="34">
        <v>0</v>
      </c>
      <c r="M7576" s="19">
        <f>IF(OR(ISBLANK(C7576),C7576=""),"",ROUND((C7576-B7576)*24,2))</f>
        <v>188.15</v>
      </c>
      <c r="N7576" s="39" t="str">
        <f>IF(OR(ISBLANK(C7576),C7576="",M7576=""),"In Progress",IF(M7576&lt;=J7576,"Met","Breached"))</f>
        <v>Breached</v>
      </c>
    </row>
    <row r="7577" ht="19" customHeight="1" spans="1:14" x14ac:dyDescent="0.25">
      <c r="A7577" s="22" t="s">
        <v>7691</v>
      </c>
      <c r="B7577" s="36">
        <v>45834.57430555555</v>
      </c>
      <c r="C7577" s="36">
        <v>45836.56597222222</v>
      </c>
      <c r="D7577" s="22" t="s">
        <v>33</v>
      </c>
      <c r="E7577" s="22" t="s">
        <v>65</v>
      </c>
      <c r="F7577" s="22" t="s">
        <v>37</v>
      </c>
      <c r="G7577" s="22" t="s">
        <v>110</v>
      </c>
      <c r="H7577" s="22" t="s">
        <v>63</v>
      </c>
      <c r="I7577" s="22" t="s">
        <v>147</v>
      </c>
      <c r="J7577" s="23">
        <v>48</v>
      </c>
      <c r="K7577" s="37">
        <v>0</v>
      </c>
      <c r="L7577" s="37">
        <v>3</v>
      </c>
      <c r="M7577" s="22">
        <f>IF(OR(ISBLANK(C7577),C7577=""),"",ROUND((C7577-B7577)*24,2))</f>
        <v>47.8</v>
      </c>
      <c r="N7577" s="40" t="str">
        <f>IF(OR(ISBLANK(C7577),C7577="",M7577=""),"In Progress",IF(M7577&lt;=J7577,"Met","Breached"))</f>
        <v>Met</v>
      </c>
    </row>
    <row r="7578" ht="19" customHeight="1" spans="1:14" x14ac:dyDescent="0.25">
      <c r="A7578" s="19" t="s">
        <v>7692</v>
      </c>
      <c r="B7578" s="33">
        <v>45680.257638888885</v>
      </c>
      <c r="D7578" s="19" t="s">
        <v>39</v>
      </c>
      <c r="E7578" s="19" t="s">
        <v>61</v>
      </c>
      <c r="F7578" s="19" t="s">
        <v>34</v>
      </c>
      <c r="G7578" s="19" t="s">
        <v>116</v>
      </c>
      <c r="H7578" s="19" t="s">
        <v>63</v>
      </c>
      <c r="I7578" s="19" t="s">
        <v>117</v>
      </c>
      <c r="J7578" s="20">
        <v>12</v>
      </c>
      <c r="K7578" s="34">
        <v>0</v>
      </c>
      <c r="M7578" s="19" t="str">
        <f>IF(OR(ISBLANK(C7578),C7578=""),"",ROUND((C7578-B7578)*24,2))</f>
        <v/>
      </c>
      <c r="N7578" s="19" t="str">
        <f>IF(OR(ISBLANK(C7578),C7578="",M7578=""),"In Progress",IF(M7578&lt;=J7578,"Met","Breached"))</f>
        <v>In Progress</v>
      </c>
    </row>
    <row r="7579" ht="19" customHeight="1" spans="1:14" x14ac:dyDescent="0.25">
      <c r="A7579" s="22" t="s">
        <v>7693</v>
      </c>
      <c r="B7579" s="36">
        <v>45762.10763888889</v>
      </c>
      <c r="C7579" s="36">
        <v>45768.90555555555</v>
      </c>
      <c r="D7579" s="22" t="s">
        <v>36</v>
      </c>
      <c r="E7579" s="22" t="s">
        <v>69</v>
      </c>
      <c r="F7579" s="22" t="s">
        <v>37</v>
      </c>
      <c r="G7579" s="22" t="s">
        <v>113</v>
      </c>
      <c r="H7579" s="22" t="s">
        <v>63</v>
      </c>
      <c r="I7579" s="22" t="s">
        <v>147</v>
      </c>
      <c r="J7579" s="23">
        <v>120</v>
      </c>
      <c r="K7579" s="37">
        <v>0</v>
      </c>
      <c r="L7579" s="37">
        <v>4</v>
      </c>
      <c r="M7579" s="22">
        <f>IF(OR(ISBLANK(C7579),C7579=""),"",ROUND((C7579-B7579)*24,2))</f>
        <v>163.15</v>
      </c>
      <c r="N7579" s="38" t="str">
        <f>IF(OR(ISBLANK(C7579),C7579="",M7579=""),"In Progress",IF(M7579&lt;=J7579,"Met","Breached"))</f>
        <v>Breached</v>
      </c>
    </row>
    <row r="7580" ht="19" customHeight="1" spans="1:14" x14ac:dyDescent="0.25">
      <c r="A7580" s="19" t="s">
        <v>7694</v>
      </c>
      <c r="B7580" s="33">
        <v>46263.21597222222</v>
      </c>
      <c r="C7580" s="33">
        <v>46266.34097222222</v>
      </c>
      <c r="D7580" s="19" t="s">
        <v>33</v>
      </c>
      <c r="E7580" s="19" t="s">
        <v>65</v>
      </c>
      <c r="F7580" s="19" t="s">
        <v>40</v>
      </c>
      <c r="G7580" s="19" t="s">
        <v>126</v>
      </c>
      <c r="H7580" s="19" t="s">
        <v>59</v>
      </c>
      <c r="I7580" s="19" t="s">
        <v>117</v>
      </c>
      <c r="J7580" s="20">
        <v>48</v>
      </c>
      <c r="K7580" s="34">
        <v>0</v>
      </c>
      <c r="L7580" s="34">
        <v>3</v>
      </c>
      <c r="M7580" s="19">
        <f>IF(OR(ISBLANK(C7580),C7580=""),"",ROUND((C7580-B7580)*24,2))</f>
        <v>75</v>
      </c>
      <c r="N7580" s="39" t="str">
        <f>IF(OR(ISBLANK(C7580),C7580="",M7580=""),"In Progress",IF(M7580&lt;=J7580,"Met","Breached"))</f>
        <v>Breached</v>
      </c>
    </row>
    <row r="7581" ht="19" customHeight="1" spans="1:14" x14ac:dyDescent="0.25">
      <c r="A7581" s="22" t="s">
        <v>7695</v>
      </c>
      <c r="B7581" s="36">
        <v>46222.35416666667</v>
      </c>
      <c r="C7581" s="36">
        <v>46222.99166666667</v>
      </c>
      <c r="D7581" s="22" t="s">
        <v>33</v>
      </c>
      <c r="E7581" s="22" t="s">
        <v>65</v>
      </c>
      <c r="F7581" s="22" t="s">
        <v>40</v>
      </c>
      <c r="G7581" s="22" t="s">
        <v>113</v>
      </c>
      <c r="H7581" s="22" t="s">
        <v>63</v>
      </c>
      <c r="I7581" s="22" t="s">
        <v>147</v>
      </c>
      <c r="J7581" s="23">
        <v>48</v>
      </c>
      <c r="K7581" s="37">
        <v>1</v>
      </c>
      <c r="M7581" s="22">
        <f>IF(OR(ISBLANK(C7581),C7581=""),"",ROUND((C7581-B7581)*24,2))</f>
        <v>15.3</v>
      </c>
      <c r="N7581" s="40" t="str">
        <f>IF(OR(ISBLANK(C7581),C7581="",M7581=""),"In Progress",IF(M7581&lt;=J7581,"Met","Breached"))</f>
        <v>Met</v>
      </c>
    </row>
    <row r="7582" ht="19" customHeight="1" spans="1:14" x14ac:dyDescent="0.25">
      <c r="A7582" s="19" t="s">
        <v>7696</v>
      </c>
      <c r="B7582" s="33">
        <v>46215.256944444445</v>
      </c>
      <c r="C7582" s="33">
        <v>46216.46875</v>
      </c>
      <c r="D7582" s="19" t="s">
        <v>33</v>
      </c>
      <c r="E7582" s="19" t="s">
        <v>65</v>
      </c>
      <c r="F7582" s="19" t="s">
        <v>43</v>
      </c>
      <c r="G7582" s="19" t="s">
        <v>121</v>
      </c>
      <c r="H7582" s="19" t="s">
        <v>59</v>
      </c>
      <c r="I7582" s="19" t="s">
        <v>114</v>
      </c>
      <c r="J7582" s="20">
        <v>48</v>
      </c>
      <c r="K7582" s="34">
        <v>0</v>
      </c>
      <c r="L7582" s="34">
        <v>2</v>
      </c>
      <c r="M7582" s="19">
        <f>IF(OR(ISBLANK(C7582),C7582=""),"",ROUND((C7582-B7582)*24,2))</f>
        <v>29.08</v>
      </c>
      <c r="N7582" s="35" t="str">
        <f>IF(OR(ISBLANK(C7582),C7582="",M7582=""),"In Progress",IF(M7582&lt;=J7582,"Met","Breached"))</f>
        <v>Met</v>
      </c>
    </row>
    <row r="7583" ht="19" customHeight="1" spans="1:14" x14ac:dyDescent="0.25">
      <c r="A7583" s="22" t="s">
        <v>7697</v>
      </c>
      <c r="B7583" s="36">
        <v>45767.544444444444</v>
      </c>
      <c r="C7583" s="36">
        <v>45769.961111111115</v>
      </c>
      <c r="D7583" s="22" t="s">
        <v>36</v>
      </c>
      <c r="E7583" s="22" t="s">
        <v>65</v>
      </c>
      <c r="F7583" s="22" t="s">
        <v>43</v>
      </c>
      <c r="G7583" s="22" t="s">
        <v>63</v>
      </c>
      <c r="H7583" s="22" t="s">
        <v>59</v>
      </c>
      <c r="I7583" s="22" t="s">
        <v>108</v>
      </c>
      <c r="J7583" s="23">
        <v>48</v>
      </c>
      <c r="K7583" s="37">
        <v>0</v>
      </c>
      <c r="L7583" s="37">
        <v>3</v>
      </c>
      <c r="M7583" s="22">
        <f>IF(OR(ISBLANK(C7583),C7583=""),"",ROUND((C7583-B7583)*24,2))</f>
        <v>58</v>
      </c>
      <c r="N7583" s="38" t="str">
        <f>IF(OR(ISBLANK(C7583),C7583="",M7583=""),"In Progress",IF(M7583&lt;=J7583,"Met","Breached"))</f>
        <v>Breached</v>
      </c>
    </row>
    <row r="7584" ht="19" customHeight="1" spans="1:14" x14ac:dyDescent="0.25">
      <c r="A7584" s="19" t="s">
        <v>7698</v>
      </c>
      <c r="B7584" s="33">
        <v>46099.07986111111</v>
      </c>
      <c r="D7584" s="19" t="s">
        <v>42</v>
      </c>
      <c r="E7584" s="19" t="s">
        <v>65</v>
      </c>
      <c r="F7584" s="19" t="s">
        <v>40</v>
      </c>
      <c r="G7584" s="19" t="s">
        <v>121</v>
      </c>
      <c r="H7584" s="19" t="s">
        <v>63</v>
      </c>
      <c r="I7584" s="19" t="s">
        <v>123</v>
      </c>
      <c r="J7584" s="20">
        <v>48</v>
      </c>
      <c r="K7584" s="34">
        <v>0</v>
      </c>
      <c r="M7584" s="19" t="str">
        <f>IF(OR(ISBLANK(C7584),C7584=""),"",ROUND((C7584-B7584)*24,2))</f>
        <v/>
      </c>
      <c r="N7584" s="19" t="str">
        <f>IF(OR(ISBLANK(C7584),C7584="",M7584=""),"In Progress",IF(M7584&lt;=J7584,"Met","Breached"))</f>
        <v>In Progress</v>
      </c>
    </row>
    <row r="7585" ht="19" customHeight="1" spans="1:14" x14ac:dyDescent="0.25">
      <c r="A7585" s="22" t="s">
        <v>7699</v>
      </c>
      <c r="B7585" s="36">
        <v>45972.92291666666</v>
      </c>
      <c r="C7585" s="36">
        <v>45973.56736111111</v>
      </c>
      <c r="D7585" s="22" t="s">
        <v>33</v>
      </c>
      <c r="E7585" s="22" t="s">
        <v>61</v>
      </c>
      <c r="F7585" s="22" t="s">
        <v>45</v>
      </c>
      <c r="G7585" s="22" t="s">
        <v>126</v>
      </c>
      <c r="H7585" s="22" t="s">
        <v>63</v>
      </c>
      <c r="I7585" s="22" t="s">
        <v>147</v>
      </c>
      <c r="J7585" s="23">
        <v>12</v>
      </c>
      <c r="K7585" s="37">
        <v>0</v>
      </c>
      <c r="L7585" s="37">
        <v>2</v>
      </c>
      <c r="M7585" s="22">
        <f>IF(OR(ISBLANK(C7585),C7585=""),"",ROUND((C7585-B7585)*24,2))</f>
        <v>15.47</v>
      </c>
      <c r="N7585" s="38" t="str">
        <f>IF(OR(ISBLANK(C7585),C7585="",M7585=""),"In Progress",IF(M7585&lt;=J7585,"Met","Breached"))</f>
        <v>Breached</v>
      </c>
    </row>
    <row r="7586" ht="19" customHeight="1" spans="1:14" x14ac:dyDescent="0.25">
      <c r="A7586" s="19" t="s">
        <v>7700</v>
      </c>
      <c r="B7586" s="33">
        <v>46247.93194444444</v>
      </c>
      <c r="C7586" s="33">
        <v>46250.54027777778</v>
      </c>
      <c r="D7586" s="19" t="s">
        <v>36</v>
      </c>
      <c r="E7586" s="19" t="s">
        <v>69</v>
      </c>
      <c r="F7586" s="19" t="s">
        <v>37</v>
      </c>
      <c r="G7586" s="19" t="s">
        <v>121</v>
      </c>
      <c r="H7586" s="19" t="s">
        <v>59</v>
      </c>
      <c r="I7586" s="19" t="s">
        <v>111</v>
      </c>
      <c r="J7586" s="20">
        <v>120</v>
      </c>
      <c r="K7586" s="34">
        <v>0</v>
      </c>
      <c r="L7586" s="34">
        <v>4</v>
      </c>
      <c r="M7586" s="19">
        <f>IF(OR(ISBLANK(C7586),C7586=""),"",ROUND((C7586-B7586)*24,2))</f>
        <v>62.6</v>
      </c>
      <c r="N7586" s="35" t="str">
        <f>IF(OR(ISBLANK(C7586),C7586="",M7586=""),"In Progress",IF(M7586&lt;=J7586,"Met","Breached"))</f>
        <v>Met</v>
      </c>
    </row>
    <row r="7587" ht="19" customHeight="1" spans="1:14" x14ac:dyDescent="0.25">
      <c r="A7587" s="22" t="s">
        <v>7701</v>
      </c>
      <c r="B7587" s="36">
        <v>45878.91111111111</v>
      </c>
      <c r="C7587" s="36">
        <v>45886.96736111111</v>
      </c>
      <c r="D7587" s="22" t="s">
        <v>36</v>
      </c>
      <c r="E7587" s="22" t="s">
        <v>69</v>
      </c>
      <c r="F7587" s="22" t="s">
        <v>43</v>
      </c>
      <c r="G7587" s="22" t="s">
        <v>116</v>
      </c>
      <c r="H7587" s="22" t="s">
        <v>59</v>
      </c>
      <c r="I7587" s="22" t="s">
        <v>108</v>
      </c>
      <c r="J7587" s="23">
        <v>120</v>
      </c>
      <c r="K7587" s="37">
        <v>0</v>
      </c>
      <c r="M7587" s="22">
        <f>IF(OR(ISBLANK(C7587),C7587=""),"",ROUND((C7587-B7587)*24,2))</f>
        <v>193.35</v>
      </c>
      <c r="N7587" s="38" t="str">
        <f>IF(OR(ISBLANK(C7587),C7587="",M7587=""),"In Progress",IF(M7587&lt;=J7587,"Met","Breached"))</f>
        <v>Breached</v>
      </c>
    </row>
    <row r="7588" ht="19" customHeight="1" spans="1:14" x14ac:dyDescent="0.25">
      <c r="A7588" s="19" t="s">
        <v>7702</v>
      </c>
      <c r="B7588" s="33">
        <v>45800.97222222222</v>
      </c>
      <c r="C7588" s="33">
        <v>45806.07638888889</v>
      </c>
      <c r="D7588" s="19" t="s">
        <v>33</v>
      </c>
      <c r="E7588" s="19" t="s">
        <v>69</v>
      </c>
      <c r="F7588" s="19" t="s">
        <v>45</v>
      </c>
      <c r="G7588" s="19" t="s">
        <v>121</v>
      </c>
      <c r="H7588" s="19" t="s">
        <v>63</v>
      </c>
      <c r="I7588" s="19" t="s">
        <v>117</v>
      </c>
      <c r="J7588" s="20">
        <v>120</v>
      </c>
      <c r="K7588" s="34">
        <v>0</v>
      </c>
      <c r="L7588" s="34">
        <v>5</v>
      </c>
      <c r="M7588" s="19">
        <f>IF(OR(ISBLANK(C7588),C7588=""),"",ROUND((C7588-B7588)*24,2))</f>
        <v>122.5</v>
      </c>
      <c r="N7588" s="39" t="str">
        <f>IF(OR(ISBLANK(C7588),C7588="",M7588=""),"In Progress",IF(M7588&lt;=J7588,"Met","Breached"))</f>
        <v>Breached</v>
      </c>
    </row>
    <row r="7589" ht="19" customHeight="1" spans="1:14" x14ac:dyDescent="0.25">
      <c r="A7589" s="22" t="s">
        <v>7703</v>
      </c>
      <c r="B7589" s="36">
        <v>45952.26875</v>
      </c>
      <c r="C7589" s="36">
        <v>45954.40972222222</v>
      </c>
      <c r="D7589" s="22" t="s">
        <v>36</v>
      </c>
      <c r="E7589" s="22" t="s">
        <v>65</v>
      </c>
      <c r="F7589" s="22" t="s">
        <v>40</v>
      </c>
      <c r="G7589" s="22" t="s">
        <v>63</v>
      </c>
      <c r="H7589" s="22" t="s">
        <v>67</v>
      </c>
      <c r="I7589" s="22" t="s">
        <v>123</v>
      </c>
      <c r="J7589" s="23">
        <v>48</v>
      </c>
      <c r="K7589" s="37">
        <v>0</v>
      </c>
      <c r="L7589" s="37">
        <v>3</v>
      </c>
      <c r="M7589" s="22">
        <f>IF(OR(ISBLANK(C7589),C7589=""),"",ROUND((C7589-B7589)*24,2))</f>
        <v>51.38</v>
      </c>
      <c r="N7589" s="38" t="str">
        <f>IF(OR(ISBLANK(C7589),C7589="",M7589=""),"In Progress",IF(M7589&lt;=J7589,"Met","Breached"))</f>
        <v>Breached</v>
      </c>
    </row>
    <row r="7590" ht="19" customHeight="1" spans="1:14" x14ac:dyDescent="0.25">
      <c r="A7590" s="19" t="s">
        <v>7704</v>
      </c>
      <c r="B7590" s="33">
        <v>46097.77638888889</v>
      </c>
      <c r="D7590" s="19" t="s">
        <v>39</v>
      </c>
      <c r="E7590" s="19" t="s">
        <v>65</v>
      </c>
      <c r="F7590" s="19" t="s">
        <v>40</v>
      </c>
      <c r="G7590" s="19" t="s">
        <v>116</v>
      </c>
      <c r="H7590" s="19" t="s">
        <v>59</v>
      </c>
      <c r="I7590" s="19" t="s">
        <v>123</v>
      </c>
      <c r="J7590" s="20">
        <v>48</v>
      </c>
      <c r="K7590" s="34">
        <v>0</v>
      </c>
      <c r="M7590" s="19" t="str">
        <f>IF(OR(ISBLANK(C7590),C7590=""),"",ROUND((C7590-B7590)*24,2))</f>
        <v/>
      </c>
      <c r="N7590" s="19" t="str">
        <f>IF(OR(ISBLANK(C7590),C7590="",M7590=""),"In Progress",IF(M7590&lt;=J7590,"Met","Breached"))</f>
        <v>In Progress</v>
      </c>
    </row>
    <row r="7591" ht="19" customHeight="1" spans="1:14" x14ac:dyDescent="0.25">
      <c r="A7591" s="22" t="s">
        <v>7705</v>
      </c>
      <c r="B7591" s="36">
        <v>46068.52222222222</v>
      </c>
      <c r="D7591" s="22" t="s">
        <v>42</v>
      </c>
      <c r="E7591" s="22" t="s">
        <v>61</v>
      </c>
      <c r="F7591" s="22" t="s">
        <v>45</v>
      </c>
      <c r="G7591" s="22" t="s">
        <v>126</v>
      </c>
      <c r="H7591" s="22" t="s">
        <v>67</v>
      </c>
      <c r="I7591" s="22" t="s">
        <v>123</v>
      </c>
      <c r="J7591" s="23">
        <v>12</v>
      </c>
      <c r="K7591" s="37">
        <v>0</v>
      </c>
      <c r="M7591" s="22" t="str">
        <f>IF(OR(ISBLANK(C7591),C7591=""),"",ROUND((C7591-B7591)*24,2))</f>
        <v/>
      </c>
      <c r="N7591" s="22" t="str">
        <f>IF(OR(ISBLANK(C7591),C7591="",M7591=""),"In Progress",IF(M7591&lt;=J7591,"Met","Breached"))</f>
        <v>In Progress</v>
      </c>
    </row>
    <row r="7592" ht="19" customHeight="1" spans="1:14" x14ac:dyDescent="0.25">
      <c r="A7592" s="19" t="s">
        <v>7706</v>
      </c>
      <c r="B7592" s="33">
        <v>45693.03472222222</v>
      </c>
      <c r="C7592" s="33">
        <v>45694.14583333333</v>
      </c>
      <c r="D7592" s="19" t="s">
        <v>33</v>
      </c>
      <c r="E7592" s="19" t="s">
        <v>65</v>
      </c>
      <c r="F7592" s="19" t="s">
        <v>40</v>
      </c>
      <c r="G7592" s="19" t="s">
        <v>116</v>
      </c>
      <c r="H7592" s="19" t="s">
        <v>63</v>
      </c>
      <c r="I7592" s="19" t="s">
        <v>123</v>
      </c>
      <c r="J7592" s="20">
        <v>48</v>
      </c>
      <c r="K7592" s="34">
        <v>0</v>
      </c>
      <c r="L7592" s="34">
        <v>2</v>
      </c>
      <c r="M7592" s="19">
        <f>IF(OR(ISBLANK(C7592),C7592=""),"",ROUND((C7592-B7592)*24,2))</f>
        <v>26.67</v>
      </c>
      <c r="N7592" s="35" t="str">
        <f>IF(OR(ISBLANK(C7592),C7592="",M7592=""),"In Progress",IF(M7592&lt;=J7592,"Met","Breached"))</f>
        <v>Met</v>
      </c>
    </row>
    <row r="7593" ht="19" customHeight="1" spans="1:14" x14ac:dyDescent="0.25">
      <c r="A7593" s="22" t="s">
        <v>7707</v>
      </c>
      <c r="B7593" s="36">
        <v>45865.77569444444</v>
      </c>
      <c r="D7593" s="22" t="s">
        <v>39</v>
      </c>
      <c r="E7593" s="22" t="s">
        <v>65</v>
      </c>
      <c r="F7593" s="22" t="s">
        <v>34</v>
      </c>
      <c r="G7593" s="22" t="s">
        <v>110</v>
      </c>
      <c r="H7593" s="22" t="s">
        <v>71</v>
      </c>
      <c r="I7593" s="22" t="s">
        <v>123</v>
      </c>
      <c r="J7593" s="23">
        <v>48</v>
      </c>
      <c r="K7593" s="37">
        <v>0</v>
      </c>
      <c r="M7593" s="22" t="str">
        <f>IF(OR(ISBLANK(C7593),C7593=""),"",ROUND((C7593-B7593)*24,2))</f>
        <v/>
      </c>
      <c r="N7593" s="22" t="str">
        <f>IF(OR(ISBLANK(C7593),C7593="",M7593=""),"In Progress",IF(M7593&lt;=J7593,"Met","Breached"))</f>
        <v>In Progress</v>
      </c>
    </row>
    <row r="7594" ht="19" customHeight="1" spans="1:14" x14ac:dyDescent="0.25">
      <c r="A7594" s="19" t="s">
        <v>7708</v>
      </c>
      <c r="B7594" s="33">
        <v>46133.76458333334</v>
      </c>
      <c r="C7594" s="33">
        <v>46136.12361111111</v>
      </c>
      <c r="D7594" s="19" t="s">
        <v>33</v>
      </c>
      <c r="E7594" s="19" t="s">
        <v>65</v>
      </c>
      <c r="F7594" s="19" t="s">
        <v>45</v>
      </c>
      <c r="G7594" s="19" t="s">
        <v>113</v>
      </c>
      <c r="H7594" s="19" t="s">
        <v>59</v>
      </c>
      <c r="I7594" s="19" t="s">
        <v>114</v>
      </c>
      <c r="J7594" s="20">
        <v>48</v>
      </c>
      <c r="K7594" s="34">
        <v>0</v>
      </c>
      <c r="L7594" s="34">
        <v>1</v>
      </c>
      <c r="M7594" s="19">
        <f>IF(OR(ISBLANK(C7594),C7594=""),"",ROUND((C7594-B7594)*24,2))</f>
        <v>56.62</v>
      </c>
      <c r="N7594" s="39" t="str">
        <f>IF(OR(ISBLANK(C7594),C7594="",M7594=""),"In Progress",IF(M7594&lt;=J7594,"Met","Breached"))</f>
        <v>Breached</v>
      </c>
    </row>
    <row r="7595" ht="19" customHeight="1" spans="1:14" x14ac:dyDescent="0.25">
      <c r="A7595" s="22" t="s">
        <v>7709</v>
      </c>
      <c r="B7595" s="36">
        <v>45778.55416666667</v>
      </c>
      <c r="C7595" s="36">
        <v>45783.84861111111</v>
      </c>
      <c r="D7595" s="22" t="s">
        <v>33</v>
      </c>
      <c r="E7595" s="22" t="s">
        <v>69</v>
      </c>
      <c r="F7595" s="22" t="s">
        <v>40</v>
      </c>
      <c r="G7595" s="22" t="s">
        <v>63</v>
      </c>
      <c r="H7595" s="22" t="s">
        <v>71</v>
      </c>
      <c r="I7595" s="22" t="s">
        <v>114</v>
      </c>
      <c r="J7595" s="23">
        <v>120</v>
      </c>
      <c r="K7595" s="37">
        <v>0</v>
      </c>
      <c r="L7595" s="37">
        <v>1</v>
      </c>
      <c r="M7595" s="22">
        <f>IF(OR(ISBLANK(C7595),C7595=""),"",ROUND((C7595-B7595)*24,2))</f>
        <v>127.07</v>
      </c>
      <c r="N7595" s="38" t="str">
        <f>IF(OR(ISBLANK(C7595),C7595="",M7595=""),"In Progress",IF(M7595&lt;=J7595,"Met","Breached"))</f>
        <v>Breached</v>
      </c>
    </row>
    <row r="7596" ht="19" customHeight="1" spans="1:14" x14ac:dyDescent="0.25">
      <c r="A7596" s="19" t="s">
        <v>7710</v>
      </c>
      <c r="B7596" s="33">
        <v>46233.09305555555</v>
      </c>
      <c r="C7596" s="33">
        <v>46235.24166666667</v>
      </c>
      <c r="D7596" s="19" t="s">
        <v>33</v>
      </c>
      <c r="E7596" s="19" t="s">
        <v>65</v>
      </c>
      <c r="F7596" s="19" t="s">
        <v>45</v>
      </c>
      <c r="G7596" s="19" t="s">
        <v>116</v>
      </c>
      <c r="H7596" s="19" t="s">
        <v>63</v>
      </c>
      <c r="I7596" s="19" t="s">
        <v>114</v>
      </c>
      <c r="J7596" s="20">
        <v>48</v>
      </c>
      <c r="K7596" s="34">
        <v>0</v>
      </c>
      <c r="M7596" s="19">
        <f>IF(OR(ISBLANK(C7596),C7596=""),"",ROUND((C7596-B7596)*24,2))</f>
        <v>51.57</v>
      </c>
      <c r="N7596" s="39" t="str">
        <f>IF(OR(ISBLANK(C7596),C7596="",M7596=""),"In Progress",IF(M7596&lt;=J7596,"Met","Breached"))</f>
        <v>Breached</v>
      </c>
    </row>
    <row r="7597" ht="19" customHeight="1" spans="1:14" x14ac:dyDescent="0.25">
      <c r="A7597" s="22" t="s">
        <v>7711</v>
      </c>
      <c r="B7597" s="36">
        <v>46079.56111111111</v>
      </c>
      <c r="C7597" s="36">
        <v>46082.58888888889</v>
      </c>
      <c r="D7597" s="22" t="s">
        <v>33</v>
      </c>
      <c r="E7597" s="22" t="s">
        <v>69</v>
      </c>
      <c r="F7597" s="22" t="s">
        <v>40</v>
      </c>
      <c r="G7597" s="22" t="s">
        <v>113</v>
      </c>
      <c r="H7597" s="22" t="s">
        <v>59</v>
      </c>
      <c r="I7597" s="22" t="s">
        <v>114</v>
      </c>
      <c r="J7597" s="23">
        <v>120</v>
      </c>
      <c r="K7597" s="37">
        <v>0</v>
      </c>
      <c r="L7597" s="37">
        <v>5</v>
      </c>
      <c r="M7597" s="22">
        <f>IF(OR(ISBLANK(C7597),C7597=""),"",ROUND((C7597-B7597)*24,2))</f>
        <v>72.67</v>
      </c>
      <c r="N7597" s="40" t="str">
        <f>IF(OR(ISBLANK(C7597),C7597="",M7597=""),"In Progress",IF(M7597&lt;=J7597,"Met","Breached"))</f>
        <v>Met</v>
      </c>
    </row>
    <row r="7598" ht="19" customHeight="1" spans="1:14" x14ac:dyDescent="0.25">
      <c r="A7598" s="19" t="s">
        <v>7712</v>
      </c>
      <c r="B7598" s="33">
        <v>46144.25625</v>
      </c>
      <c r="C7598" s="33">
        <v>46150.177777777775</v>
      </c>
      <c r="D7598" s="19" t="s">
        <v>33</v>
      </c>
      <c r="E7598" s="19" t="s">
        <v>69</v>
      </c>
      <c r="F7598" s="19" t="s">
        <v>37</v>
      </c>
      <c r="G7598" s="19" t="s">
        <v>126</v>
      </c>
      <c r="H7598" s="19" t="s">
        <v>67</v>
      </c>
      <c r="I7598" s="19" t="s">
        <v>123</v>
      </c>
      <c r="J7598" s="20">
        <v>120</v>
      </c>
      <c r="K7598" s="34">
        <v>0</v>
      </c>
      <c r="L7598" s="34">
        <v>3</v>
      </c>
      <c r="M7598" s="19">
        <f>IF(OR(ISBLANK(C7598),C7598=""),"",ROUND((C7598-B7598)*24,2))</f>
        <v>142.12</v>
      </c>
      <c r="N7598" s="39" t="str">
        <f>IF(OR(ISBLANK(C7598),C7598="",M7598=""),"In Progress",IF(M7598&lt;=J7598,"Met","Breached"))</f>
        <v>Breached</v>
      </c>
    </row>
    <row r="7599" ht="19" customHeight="1" spans="1:14" x14ac:dyDescent="0.25">
      <c r="A7599" s="22" t="s">
        <v>7713</v>
      </c>
      <c r="B7599" s="36">
        <v>45862.9</v>
      </c>
      <c r="C7599" s="36">
        <v>45863.39444444445</v>
      </c>
      <c r="D7599" s="22" t="s">
        <v>33</v>
      </c>
      <c r="E7599" s="22" t="s">
        <v>61</v>
      </c>
      <c r="F7599" s="22" t="s">
        <v>45</v>
      </c>
      <c r="G7599" s="22" t="s">
        <v>63</v>
      </c>
      <c r="H7599" s="22" t="s">
        <v>71</v>
      </c>
      <c r="I7599" s="22" t="s">
        <v>108</v>
      </c>
      <c r="J7599" s="23">
        <v>12</v>
      </c>
      <c r="K7599" s="37">
        <v>0</v>
      </c>
      <c r="L7599" s="37">
        <v>4</v>
      </c>
      <c r="M7599" s="22">
        <f>IF(OR(ISBLANK(C7599),C7599=""),"",ROUND((C7599-B7599)*24,2))</f>
        <v>11.87</v>
      </c>
      <c r="N7599" s="40" t="str">
        <f>IF(OR(ISBLANK(C7599),C7599="",M7599=""),"In Progress",IF(M7599&lt;=J7599,"Met","Breached"))</f>
        <v>Met</v>
      </c>
    </row>
    <row r="7600" ht="19" customHeight="1" spans="1:14" x14ac:dyDescent="0.25">
      <c r="A7600" s="19" t="s">
        <v>7714</v>
      </c>
      <c r="B7600" s="33">
        <v>45760.27777777778</v>
      </c>
      <c r="C7600" s="33">
        <v>45763.94305555556</v>
      </c>
      <c r="D7600" s="19" t="s">
        <v>33</v>
      </c>
      <c r="E7600" s="19" t="s">
        <v>69</v>
      </c>
      <c r="F7600" s="19" t="s">
        <v>34</v>
      </c>
      <c r="G7600" s="19" t="s">
        <v>63</v>
      </c>
      <c r="H7600" s="19" t="s">
        <v>59</v>
      </c>
      <c r="I7600" s="19" t="s">
        <v>147</v>
      </c>
      <c r="J7600" s="20">
        <v>120</v>
      </c>
      <c r="K7600" s="34">
        <v>0</v>
      </c>
      <c r="L7600" s="34">
        <v>2</v>
      </c>
      <c r="M7600" s="19">
        <f>IF(OR(ISBLANK(C7600),C7600=""),"",ROUND((C7600-B7600)*24,2))</f>
        <v>87.97</v>
      </c>
      <c r="N7600" s="35" t="str">
        <f>IF(OR(ISBLANK(C7600),C7600="",M7600=""),"In Progress",IF(M7600&lt;=J7600,"Met","Breached"))</f>
        <v>Met</v>
      </c>
    </row>
    <row r="7601" ht="19" customHeight="1" spans="1:14" x14ac:dyDescent="0.25">
      <c r="A7601" s="22" t="s">
        <v>7715</v>
      </c>
      <c r="B7601" s="36">
        <v>46192.5</v>
      </c>
      <c r="C7601" s="36">
        <v>46194.80902777778</v>
      </c>
      <c r="D7601" s="22" t="s">
        <v>36</v>
      </c>
      <c r="E7601" s="22" t="s">
        <v>65</v>
      </c>
      <c r="F7601" s="22" t="s">
        <v>34</v>
      </c>
      <c r="G7601" s="22" t="s">
        <v>113</v>
      </c>
      <c r="H7601" s="22" t="s">
        <v>71</v>
      </c>
      <c r="I7601" s="22" t="s">
        <v>108</v>
      </c>
      <c r="J7601" s="23">
        <v>48</v>
      </c>
      <c r="K7601" s="37">
        <v>0</v>
      </c>
      <c r="L7601" s="37">
        <v>4</v>
      </c>
      <c r="M7601" s="22">
        <f>IF(OR(ISBLANK(C7601),C7601=""),"",ROUND((C7601-B7601)*24,2))</f>
        <v>55.42</v>
      </c>
      <c r="N7601" s="38" t="str">
        <f>IF(OR(ISBLANK(C7601),C7601="",M7601=""),"In Progress",IF(M7601&lt;=J7601,"Met","Breached"))</f>
        <v>Breached</v>
      </c>
    </row>
    <row r="7602" ht="19" customHeight="1" spans="1:14" x14ac:dyDescent="0.25">
      <c r="A7602" s="19" t="s">
        <v>7716</v>
      </c>
      <c r="B7602" s="33">
        <v>45979.8</v>
      </c>
      <c r="C7602" s="33">
        <v>45982.69861111111</v>
      </c>
      <c r="D7602" s="19" t="s">
        <v>33</v>
      </c>
      <c r="E7602" s="19" t="s">
        <v>65</v>
      </c>
      <c r="F7602" s="19" t="s">
        <v>43</v>
      </c>
      <c r="G7602" s="19" t="s">
        <v>116</v>
      </c>
      <c r="H7602" s="19" t="s">
        <v>59</v>
      </c>
      <c r="I7602" s="19" t="s">
        <v>111</v>
      </c>
      <c r="J7602" s="20">
        <v>48</v>
      </c>
      <c r="K7602" s="34">
        <v>0</v>
      </c>
      <c r="M7602" s="19">
        <f>IF(OR(ISBLANK(C7602),C7602=""),"",ROUND((C7602-B7602)*24,2))</f>
        <v>69.57</v>
      </c>
      <c r="N7602" s="39" t="str">
        <f>IF(OR(ISBLANK(C7602),C7602="",M7602=""),"In Progress",IF(M7602&lt;=J7602,"Met","Breached"))</f>
        <v>Breached</v>
      </c>
    </row>
    <row r="7603" ht="19" customHeight="1" spans="1:14" x14ac:dyDescent="0.25">
      <c r="A7603" s="22" t="s">
        <v>7717</v>
      </c>
      <c r="B7603" s="36">
        <v>46158.274305555555</v>
      </c>
      <c r="C7603" s="36">
        <v>46167.01527777778</v>
      </c>
      <c r="D7603" s="22" t="s">
        <v>36</v>
      </c>
      <c r="E7603" s="22" t="s">
        <v>69</v>
      </c>
      <c r="F7603" s="22" t="s">
        <v>37</v>
      </c>
      <c r="G7603" s="22" t="s">
        <v>110</v>
      </c>
      <c r="H7603" s="22" t="s">
        <v>71</v>
      </c>
      <c r="I7603" s="22" t="s">
        <v>108</v>
      </c>
      <c r="J7603" s="23">
        <v>120</v>
      </c>
      <c r="K7603" s="37">
        <v>0</v>
      </c>
      <c r="M7603" s="22">
        <f>IF(OR(ISBLANK(C7603),C7603=""),"",ROUND((C7603-B7603)*24,2))</f>
        <v>209.78</v>
      </c>
      <c r="N7603" s="38" t="str">
        <f>IF(OR(ISBLANK(C7603),C7603="",M7603=""),"In Progress",IF(M7603&lt;=J7603,"Met","Breached"))</f>
        <v>Breached</v>
      </c>
    </row>
    <row r="7604" ht="19" customHeight="1" spans="1:14" x14ac:dyDescent="0.25">
      <c r="A7604" s="19" t="s">
        <v>7718</v>
      </c>
      <c r="B7604" s="33">
        <v>45678.08819444444</v>
      </c>
      <c r="C7604" s="33">
        <v>45680.78263888889</v>
      </c>
      <c r="D7604" s="19" t="s">
        <v>33</v>
      </c>
      <c r="E7604" s="19" t="s">
        <v>65</v>
      </c>
      <c r="F7604" s="19" t="s">
        <v>43</v>
      </c>
      <c r="G7604" s="19" t="s">
        <v>113</v>
      </c>
      <c r="H7604" s="19" t="s">
        <v>63</v>
      </c>
      <c r="I7604" s="19" t="s">
        <v>123</v>
      </c>
      <c r="J7604" s="20">
        <v>48</v>
      </c>
      <c r="K7604" s="34">
        <v>0</v>
      </c>
      <c r="L7604" s="34">
        <v>1</v>
      </c>
      <c r="M7604" s="19">
        <f>IF(OR(ISBLANK(C7604),C7604=""),"",ROUND((C7604-B7604)*24,2))</f>
        <v>64.67</v>
      </c>
      <c r="N7604" s="39" t="str">
        <f>IF(OR(ISBLANK(C7604),C7604="",M7604=""),"In Progress",IF(M7604&lt;=J7604,"Met","Breached"))</f>
        <v>Breached</v>
      </c>
    </row>
    <row r="7605" ht="19" customHeight="1" spans="1:14" x14ac:dyDescent="0.25">
      <c r="A7605" s="22" t="s">
        <v>7719</v>
      </c>
      <c r="B7605" s="36">
        <v>46074.85763888889</v>
      </c>
      <c r="C7605" s="36">
        <v>46075.040972222225</v>
      </c>
      <c r="D7605" s="22" t="s">
        <v>36</v>
      </c>
      <c r="E7605" s="22" t="s">
        <v>57</v>
      </c>
      <c r="F7605" s="22" t="s">
        <v>45</v>
      </c>
      <c r="G7605" s="22" t="s">
        <v>110</v>
      </c>
      <c r="H7605" s="22" t="s">
        <v>71</v>
      </c>
      <c r="I7605" s="22" t="s">
        <v>123</v>
      </c>
      <c r="J7605" s="23">
        <v>4</v>
      </c>
      <c r="K7605" s="37">
        <v>0</v>
      </c>
      <c r="L7605" s="37">
        <v>1</v>
      </c>
      <c r="M7605" s="22">
        <f>IF(OR(ISBLANK(C7605),C7605=""),"",ROUND((C7605-B7605)*24,2))</f>
        <v>4.4</v>
      </c>
      <c r="N7605" s="38" t="str">
        <f>IF(OR(ISBLANK(C7605),C7605="",M7605=""),"In Progress",IF(M7605&lt;=J7605,"Met","Breached"))</f>
        <v>Breached</v>
      </c>
    </row>
    <row r="7606" ht="19" customHeight="1" spans="1:14" x14ac:dyDescent="0.25">
      <c r="A7606" s="19" t="s">
        <v>7720</v>
      </c>
      <c r="B7606" s="33">
        <v>45965.79722222222</v>
      </c>
      <c r="C7606" s="33">
        <v>45972.288888888885</v>
      </c>
      <c r="D7606" s="19" t="s">
        <v>36</v>
      </c>
      <c r="E7606" s="19" t="s">
        <v>69</v>
      </c>
      <c r="F7606" s="19" t="s">
        <v>37</v>
      </c>
      <c r="G7606" s="19" t="s">
        <v>113</v>
      </c>
      <c r="H7606" s="19" t="s">
        <v>59</v>
      </c>
      <c r="I7606" s="19" t="s">
        <v>108</v>
      </c>
      <c r="J7606" s="20">
        <v>120</v>
      </c>
      <c r="K7606" s="34">
        <v>0</v>
      </c>
      <c r="M7606" s="19">
        <f>IF(OR(ISBLANK(C7606),C7606=""),"",ROUND((C7606-B7606)*24,2))</f>
        <v>155.8</v>
      </c>
      <c r="N7606" s="39" t="str">
        <f>IF(OR(ISBLANK(C7606),C7606="",M7606=""),"In Progress",IF(M7606&lt;=J7606,"Met","Breached"))</f>
        <v>Breached</v>
      </c>
    </row>
    <row r="7607" ht="19" customHeight="1" spans="1:14" x14ac:dyDescent="0.25">
      <c r="A7607" s="22" t="s">
        <v>7721</v>
      </c>
      <c r="B7607" s="36">
        <v>46255.18541666667</v>
      </c>
      <c r="C7607" s="36">
        <v>46255.64722222222</v>
      </c>
      <c r="D7607" s="22" t="s">
        <v>33</v>
      </c>
      <c r="E7607" s="22" t="s">
        <v>61</v>
      </c>
      <c r="F7607" s="22" t="s">
        <v>40</v>
      </c>
      <c r="G7607" s="22" t="s">
        <v>113</v>
      </c>
      <c r="H7607" s="22" t="s">
        <v>59</v>
      </c>
      <c r="I7607" s="22" t="s">
        <v>114</v>
      </c>
      <c r="J7607" s="23">
        <v>12</v>
      </c>
      <c r="K7607" s="37">
        <v>1</v>
      </c>
      <c r="L7607" s="37">
        <v>3</v>
      </c>
      <c r="M7607" s="22">
        <f>IF(OR(ISBLANK(C7607),C7607=""),"",ROUND((C7607-B7607)*24,2))</f>
        <v>11.08</v>
      </c>
      <c r="N7607" s="40" t="str">
        <f>IF(OR(ISBLANK(C7607),C7607="",M7607=""),"In Progress",IF(M7607&lt;=J7607,"Met","Breached"))</f>
        <v>Met</v>
      </c>
    </row>
    <row r="7608" ht="19" customHeight="1" spans="1:14" x14ac:dyDescent="0.25">
      <c r="A7608" s="19" t="s">
        <v>7722</v>
      </c>
      <c r="B7608" s="33">
        <v>46246.80347222222</v>
      </c>
      <c r="C7608" s="33">
        <v>46247.37708333333</v>
      </c>
      <c r="D7608" s="19" t="s">
        <v>33</v>
      </c>
      <c r="E7608" s="19" t="s">
        <v>61</v>
      </c>
      <c r="F7608" s="19" t="s">
        <v>45</v>
      </c>
      <c r="G7608" s="19" t="s">
        <v>126</v>
      </c>
      <c r="H7608" s="19" t="s">
        <v>59</v>
      </c>
      <c r="I7608" s="19" t="s">
        <v>108</v>
      </c>
      <c r="J7608" s="20">
        <v>12</v>
      </c>
      <c r="K7608" s="34">
        <v>0</v>
      </c>
      <c r="M7608" s="19">
        <f>IF(OR(ISBLANK(C7608),C7608=""),"",ROUND((C7608-B7608)*24,2))</f>
        <v>13.77</v>
      </c>
      <c r="N7608" s="39" t="str">
        <f>IF(OR(ISBLANK(C7608),C7608="",M7608=""),"In Progress",IF(M7608&lt;=J7608,"Met","Breached"))</f>
        <v>Breached</v>
      </c>
    </row>
    <row r="7609" ht="19" customHeight="1" spans="1:14" x14ac:dyDescent="0.25">
      <c r="A7609" s="22" t="s">
        <v>7723</v>
      </c>
      <c r="B7609" s="36">
        <v>45888.61666666667</v>
      </c>
      <c r="D7609" s="22" t="s">
        <v>42</v>
      </c>
      <c r="E7609" s="22" t="s">
        <v>69</v>
      </c>
      <c r="F7609" s="22" t="s">
        <v>34</v>
      </c>
      <c r="G7609" s="22" t="s">
        <v>121</v>
      </c>
      <c r="H7609" s="22" t="s">
        <v>63</v>
      </c>
      <c r="I7609" s="22" t="s">
        <v>111</v>
      </c>
      <c r="J7609" s="23">
        <v>120</v>
      </c>
      <c r="K7609" s="37">
        <v>0</v>
      </c>
      <c r="M7609" s="22" t="str">
        <f>IF(OR(ISBLANK(C7609),C7609=""),"",ROUND((C7609-B7609)*24,2))</f>
        <v/>
      </c>
      <c r="N7609" s="22" t="str">
        <f>IF(OR(ISBLANK(C7609),C7609="",M7609=""),"In Progress",IF(M7609&lt;=J7609,"Met","Breached"))</f>
        <v>In Progress</v>
      </c>
    </row>
    <row r="7610" ht="19" customHeight="1" spans="1:14" x14ac:dyDescent="0.25">
      <c r="A7610" s="19" t="s">
        <v>7724</v>
      </c>
      <c r="B7610" s="33">
        <v>46164.875</v>
      </c>
      <c r="C7610" s="33">
        <v>46170.959027777775</v>
      </c>
      <c r="D7610" s="19" t="s">
        <v>33</v>
      </c>
      <c r="E7610" s="19" t="s">
        <v>69</v>
      </c>
      <c r="F7610" s="19" t="s">
        <v>37</v>
      </c>
      <c r="G7610" s="19" t="s">
        <v>121</v>
      </c>
      <c r="H7610" s="19" t="s">
        <v>59</v>
      </c>
      <c r="I7610" s="19" t="s">
        <v>114</v>
      </c>
      <c r="J7610" s="20">
        <v>120</v>
      </c>
      <c r="K7610" s="34">
        <v>0</v>
      </c>
      <c r="L7610" s="34">
        <v>1</v>
      </c>
      <c r="M7610" s="19">
        <f>IF(OR(ISBLANK(C7610),C7610=""),"",ROUND((C7610-B7610)*24,2))</f>
        <v>146.02</v>
      </c>
      <c r="N7610" s="39" t="str">
        <f>IF(OR(ISBLANK(C7610),C7610="",M7610=""),"In Progress",IF(M7610&lt;=J7610,"Met","Breached"))</f>
        <v>Breached</v>
      </c>
    </row>
    <row r="7611" ht="19" customHeight="1" spans="1:14" x14ac:dyDescent="0.25">
      <c r="A7611" s="22" t="s">
        <v>7725</v>
      </c>
      <c r="B7611" s="36">
        <v>46146.55763888889</v>
      </c>
      <c r="C7611" s="36">
        <v>46154.899305555555</v>
      </c>
      <c r="D7611" s="22" t="s">
        <v>33</v>
      </c>
      <c r="E7611" s="22" t="s">
        <v>69</v>
      </c>
      <c r="F7611" s="22" t="s">
        <v>40</v>
      </c>
      <c r="G7611" s="22" t="s">
        <v>113</v>
      </c>
      <c r="H7611" s="22" t="s">
        <v>67</v>
      </c>
      <c r="I7611" s="22" t="s">
        <v>117</v>
      </c>
      <c r="J7611" s="23">
        <v>120</v>
      </c>
      <c r="K7611" s="37">
        <v>0</v>
      </c>
      <c r="L7611" s="37">
        <v>1</v>
      </c>
      <c r="M7611" s="22">
        <f>IF(OR(ISBLANK(C7611),C7611=""),"",ROUND((C7611-B7611)*24,2))</f>
        <v>200.2</v>
      </c>
      <c r="N7611" s="38" t="str">
        <f>IF(OR(ISBLANK(C7611),C7611="",M7611=""),"In Progress",IF(M7611&lt;=J7611,"Met","Breached"))</f>
        <v>Breached</v>
      </c>
    </row>
    <row r="7612" ht="19" customHeight="1" spans="1:14" x14ac:dyDescent="0.25">
      <c r="A7612" s="19" t="s">
        <v>7726</v>
      </c>
      <c r="B7612" s="33">
        <v>46018.52847222222</v>
      </c>
      <c r="C7612" s="33">
        <v>46020.46041666667</v>
      </c>
      <c r="D7612" s="19" t="s">
        <v>33</v>
      </c>
      <c r="E7612" s="19" t="s">
        <v>65</v>
      </c>
      <c r="F7612" s="19" t="s">
        <v>37</v>
      </c>
      <c r="G7612" s="19" t="s">
        <v>116</v>
      </c>
      <c r="H7612" s="19" t="s">
        <v>59</v>
      </c>
      <c r="I7612" s="19" t="s">
        <v>123</v>
      </c>
      <c r="J7612" s="20">
        <v>48</v>
      </c>
      <c r="K7612" s="34">
        <v>0</v>
      </c>
      <c r="M7612" s="19">
        <f>IF(OR(ISBLANK(C7612),C7612=""),"",ROUND((C7612-B7612)*24,2))</f>
        <v>46.37</v>
      </c>
      <c r="N7612" s="35" t="str">
        <f>IF(OR(ISBLANK(C7612),C7612="",M7612=""),"In Progress",IF(M7612&lt;=J7612,"Met","Breached"))</f>
        <v>Met</v>
      </c>
    </row>
    <row r="7613" ht="19" customHeight="1" spans="1:14" x14ac:dyDescent="0.25">
      <c r="A7613" s="22" t="s">
        <v>7727</v>
      </c>
      <c r="B7613" s="36">
        <v>45795.18194444444</v>
      </c>
      <c r="C7613" s="36">
        <v>45799.97013888889</v>
      </c>
      <c r="D7613" s="22" t="s">
        <v>33</v>
      </c>
      <c r="E7613" s="22" t="s">
        <v>69</v>
      </c>
      <c r="F7613" s="22" t="s">
        <v>43</v>
      </c>
      <c r="G7613" s="22" t="s">
        <v>121</v>
      </c>
      <c r="H7613" s="22" t="s">
        <v>59</v>
      </c>
      <c r="I7613" s="22" t="s">
        <v>111</v>
      </c>
      <c r="J7613" s="23">
        <v>120</v>
      </c>
      <c r="K7613" s="37">
        <v>0</v>
      </c>
      <c r="M7613" s="22">
        <f>IF(OR(ISBLANK(C7613),C7613=""),"",ROUND((C7613-B7613)*24,2))</f>
        <v>114.92</v>
      </c>
      <c r="N7613" s="40" t="str">
        <f>IF(OR(ISBLANK(C7613),C7613="",M7613=""),"In Progress",IF(M7613&lt;=J7613,"Met","Breached"))</f>
        <v>Met</v>
      </c>
    </row>
    <row r="7614" ht="19" customHeight="1" spans="1:14" x14ac:dyDescent="0.25">
      <c r="A7614" s="19" t="s">
        <v>7728</v>
      </c>
      <c r="B7614" s="33">
        <v>45879.3625</v>
      </c>
      <c r="C7614" s="33">
        <v>45882.430555555555</v>
      </c>
      <c r="D7614" s="19" t="s">
        <v>33</v>
      </c>
      <c r="E7614" s="19" t="s">
        <v>65</v>
      </c>
      <c r="F7614" s="19" t="s">
        <v>37</v>
      </c>
      <c r="G7614" s="19" t="s">
        <v>126</v>
      </c>
      <c r="H7614" s="19" t="s">
        <v>71</v>
      </c>
      <c r="I7614" s="19" t="s">
        <v>123</v>
      </c>
      <c r="J7614" s="20">
        <v>48</v>
      </c>
      <c r="K7614" s="34">
        <v>0</v>
      </c>
      <c r="L7614" s="34">
        <v>4</v>
      </c>
      <c r="M7614" s="19">
        <f>IF(OR(ISBLANK(C7614),C7614=""),"",ROUND((C7614-B7614)*24,2))</f>
        <v>73.63</v>
      </c>
      <c r="N7614" s="39" t="str">
        <f>IF(OR(ISBLANK(C7614),C7614="",M7614=""),"In Progress",IF(M7614&lt;=J7614,"Met","Breached"))</f>
        <v>Breached</v>
      </c>
    </row>
    <row r="7615" ht="19" customHeight="1" spans="1:14" x14ac:dyDescent="0.25">
      <c r="A7615" s="22" t="s">
        <v>7729</v>
      </c>
      <c r="B7615" s="36">
        <v>45946.32986111111</v>
      </c>
      <c r="C7615" s="36">
        <v>45946.663194444445</v>
      </c>
      <c r="D7615" s="22" t="s">
        <v>36</v>
      </c>
      <c r="E7615" s="22" t="s">
        <v>61</v>
      </c>
      <c r="F7615" s="22" t="s">
        <v>34</v>
      </c>
      <c r="G7615" s="22" t="s">
        <v>116</v>
      </c>
      <c r="H7615" s="22" t="s">
        <v>59</v>
      </c>
      <c r="I7615" s="22" t="s">
        <v>117</v>
      </c>
      <c r="J7615" s="23">
        <v>12</v>
      </c>
      <c r="K7615" s="37">
        <v>0</v>
      </c>
      <c r="L7615" s="37">
        <v>2</v>
      </c>
      <c r="M7615" s="22">
        <f>IF(OR(ISBLANK(C7615),C7615=""),"",ROUND((C7615-B7615)*24,2))</f>
        <v>8</v>
      </c>
      <c r="N7615" s="40" t="str">
        <f>IF(OR(ISBLANK(C7615),C7615="",M7615=""),"In Progress",IF(M7615&lt;=J7615,"Met","Breached"))</f>
        <v>Met</v>
      </c>
    </row>
    <row r="7616" ht="19" customHeight="1" spans="1:14" x14ac:dyDescent="0.25">
      <c r="A7616" s="19" t="s">
        <v>7730</v>
      </c>
      <c r="B7616" s="33">
        <v>46216.0125</v>
      </c>
      <c r="C7616" s="33">
        <v>46219.82291666667</v>
      </c>
      <c r="D7616" s="19" t="s">
        <v>33</v>
      </c>
      <c r="E7616" s="19" t="s">
        <v>69</v>
      </c>
      <c r="F7616" s="19" t="s">
        <v>43</v>
      </c>
      <c r="G7616" s="19" t="s">
        <v>121</v>
      </c>
      <c r="H7616" s="19" t="s">
        <v>59</v>
      </c>
      <c r="I7616" s="19" t="s">
        <v>111</v>
      </c>
      <c r="J7616" s="20">
        <v>120</v>
      </c>
      <c r="K7616" s="34">
        <v>0</v>
      </c>
      <c r="M7616" s="19">
        <f>IF(OR(ISBLANK(C7616),C7616=""),"",ROUND((C7616-B7616)*24,2))</f>
        <v>91.45</v>
      </c>
      <c r="N7616" s="35" t="str">
        <f>IF(OR(ISBLANK(C7616),C7616="",M7616=""),"In Progress",IF(M7616&lt;=J7616,"Met","Breached"))</f>
        <v>Met</v>
      </c>
    </row>
    <row r="7617" ht="19" customHeight="1" spans="1:14" x14ac:dyDescent="0.25">
      <c r="A7617" s="22" t="s">
        <v>7731</v>
      </c>
      <c r="B7617" s="36">
        <v>45735.73888888889</v>
      </c>
      <c r="C7617" s="36">
        <v>45737.72430555556</v>
      </c>
      <c r="D7617" s="22" t="s">
        <v>33</v>
      </c>
      <c r="E7617" s="22" t="s">
        <v>69</v>
      </c>
      <c r="F7617" s="22" t="s">
        <v>45</v>
      </c>
      <c r="G7617" s="22" t="s">
        <v>110</v>
      </c>
      <c r="H7617" s="22" t="s">
        <v>63</v>
      </c>
      <c r="I7617" s="22" t="s">
        <v>114</v>
      </c>
      <c r="J7617" s="23">
        <v>120</v>
      </c>
      <c r="K7617" s="37">
        <v>0</v>
      </c>
      <c r="L7617" s="37">
        <v>4</v>
      </c>
      <c r="M7617" s="22">
        <f>IF(OR(ISBLANK(C7617),C7617=""),"",ROUND((C7617-B7617)*24,2))</f>
        <v>47.65</v>
      </c>
      <c r="N7617" s="40" t="str">
        <f>IF(OR(ISBLANK(C7617),C7617="",M7617=""),"In Progress",IF(M7617&lt;=J7617,"Met","Breached"))</f>
        <v>Met</v>
      </c>
    </row>
    <row r="7618" ht="19" customHeight="1" spans="1:14" x14ac:dyDescent="0.25">
      <c r="A7618" s="19" t="s">
        <v>7732</v>
      </c>
      <c r="B7618" s="33">
        <v>45743.96875</v>
      </c>
      <c r="D7618" s="19" t="s">
        <v>39</v>
      </c>
      <c r="E7618" s="19" t="s">
        <v>65</v>
      </c>
      <c r="F7618" s="19" t="s">
        <v>34</v>
      </c>
      <c r="G7618" s="19" t="s">
        <v>113</v>
      </c>
      <c r="H7618" s="19" t="s">
        <v>63</v>
      </c>
      <c r="I7618" s="19" t="s">
        <v>123</v>
      </c>
      <c r="J7618" s="20">
        <v>48</v>
      </c>
      <c r="K7618" s="34">
        <v>0</v>
      </c>
      <c r="M7618" s="19" t="str">
        <f>IF(OR(ISBLANK(C7618),C7618=""),"",ROUND((C7618-B7618)*24,2))</f>
        <v/>
      </c>
      <c r="N7618" s="19" t="str">
        <f>IF(OR(ISBLANK(C7618),C7618="",M7618=""),"In Progress",IF(M7618&lt;=J7618,"Met","Breached"))</f>
        <v>In Progress</v>
      </c>
    </row>
    <row r="7619" ht="19" customHeight="1" spans="1:14" x14ac:dyDescent="0.25">
      <c r="A7619" s="22" t="s">
        <v>7733</v>
      </c>
      <c r="B7619" s="36">
        <v>45966.554861111115</v>
      </c>
      <c r="C7619" s="36">
        <v>45968.44305555556</v>
      </c>
      <c r="D7619" s="22" t="s">
        <v>36</v>
      </c>
      <c r="E7619" s="22" t="s">
        <v>65</v>
      </c>
      <c r="F7619" s="22" t="s">
        <v>37</v>
      </c>
      <c r="G7619" s="22" t="s">
        <v>121</v>
      </c>
      <c r="H7619" s="22" t="s">
        <v>59</v>
      </c>
      <c r="I7619" s="22" t="s">
        <v>147</v>
      </c>
      <c r="J7619" s="23">
        <v>48</v>
      </c>
      <c r="K7619" s="37">
        <v>0</v>
      </c>
      <c r="L7619" s="37">
        <v>3</v>
      </c>
      <c r="M7619" s="22">
        <f>IF(OR(ISBLANK(C7619),C7619=""),"",ROUND((C7619-B7619)*24,2))</f>
        <v>45.32</v>
      </c>
      <c r="N7619" s="40" t="str">
        <f>IF(OR(ISBLANK(C7619),C7619="",M7619=""),"In Progress",IF(M7619&lt;=J7619,"Met","Breached"))</f>
        <v>Met</v>
      </c>
    </row>
    <row r="7620" ht="19" customHeight="1" spans="1:14" x14ac:dyDescent="0.25">
      <c r="A7620" s="19" t="s">
        <v>7734</v>
      </c>
      <c r="B7620" s="33">
        <v>45984.68680555555</v>
      </c>
      <c r="C7620" s="33">
        <v>45991.4</v>
      </c>
      <c r="D7620" s="19" t="s">
        <v>33</v>
      </c>
      <c r="E7620" s="19" t="s">
        <v>69</v>
      </c>
      <c r="F7620" s="19" t="s">
        <v>45</v>
      </c>
      <c r="G7620" s="19" t="s">
        <v>121</v>
      </c>
      <c r="H7620" s="19" t="s">
        <v>59</v>
      </c>
      <c r="I7620" s="19" t="s">
        <v>123</v>
      </c>
      <c r="J7620" s="20">
        <v>120</v>
      </c>
      <c r="K7620" s="34">
        <v>0</v>
      </c>
      <c r="M7620" s="19">
        <f>IF(OR(ISBLANK(C7620),C7620=""),"",ROUND((C7620-B7620)*24,2))</f>
        <v>161.12</v>
      </c>
      <c r="N7620" s="39" t="str">
        <f>IF(OR(ISBLANK(C7620),C7620="",M7620=""),"In Progress",IF(M7620&lt;=J7620,"Met","Breached"))</f>
        <v>Breached</v>
      </c>
    </row>
    <row r="7621" ht="19" customHeight="1" spans="1:14" x14ac:dyDescent="0.25">
      <c r="A7621" s="22" t="s">
        <v>7735</v>
      </c>
      <c r="B7621" s="36">
        <v>45977.07777777778</v>
      </c>
      <c r="C7621" s="36">
        <v>45979.68472222222</v>
      </c>
      <c r="D7621" s="22" t="s">
        <v>36</v>
      </c>
      <c r="E7621" s="22" t="s">
        <v>65</v>
      </c>
      <c r="F7621" s="22" t="s">
        <v>34</v>
      </c>
      <c r="G7621" s="22" t="s">
        <v>113</v>
      </c>
      <c r="H7621" s="22" t="s">
        <v>71</v>
      </c>
      <c r="I7621" s="22" t="s">
        <v>108</v>
      </c>
      <c r="J7621" s="23">
        <v>48</v>
      </c>
      <c r="K7621" s="37">
        <v>0</v>
      </c>
      <c r="M7621" s="22">
        <f>IF(OR(ISBLANK(C7621),C7621=""),"",ROUND((C7621-B7621)*24,2))</f>
        <v>62.57</v>
      </c>
      <c r="N7621" s="38" t="str">
        <f>IF(OR(ISBLANK(C7621),C7621="",M7621=""),"In Progress",IF(M7621&lt;=J7621,"Met","Breached"))</f>
        <v>Breached</v>
      </c>
    </row>
    <row r="7622" ht="19" customHeight="1" spans="1:14" x14ac:dyDescent="0.25">
      <c r="A7622" s="19" t="s">
        <v>7736</v>
      </c>
      <c r="B7622" s="33">
        <v>46255.25277777778</v>
      </c>
      <c r="C7622" s="33">
        <v>46259.81805555556</v>
      </c>
      <c r="D7622" s="19" t="s">
        <v>33</v>
      </c>
      <c r="E7622" s="19" t="s">
        <v>69</v>
      </c>
      <c r="F7622" s="19" t="s">
        <v>34</v>
      </c>
      <c r="G7622" s="19" t="s">
        <v>110</v>
      </c>
      <c r="H7622" s="19" t="s">
        <v>63</v>
      </c>
      <c r="I7622" s="19" t="s">
        <v>111</v>
      </c>
      <c r="J7622" s="20">
        <v>120</v>
      </c>
      <c r="K7622" s="34">
        <v>0</v>
      </c>
      <c r="L7622" s="34">
        <v>5</v>
      </c>
      <c r="M7622" s="19">
        <f>IF(OR(ISBLANK(C7622),C7622=""),"",ROUND((C7622-B7622)*24,2))</f>
        <v>109.57</v>
      </c>
      <c r="N7622" s="35" t="str">
        <f>IF(OR(ISBLANK(C7622),C7622="",M7622=""),"In Progress",IF(M7622&lt;=J7622,"Met","Breached"))</f>
        <v>Met</v>
      </c>
    </row>
    <row r="7623" ht="19" customHeight="1" spans="1:14" x14ac:dyDescent="0.25">
      <c r="A7623" s="22" t="s">
        <v>7737</v>
      </c>
      <c r="B7623" s="36">
        <v>45787.82291666667</v>
      </c>
      <c r="C7623" s="36">
        <v>45795.95277777778</v>
      </c>
      <c r="D7623" s="22" t="s">
        <v>33</v>
      </c>
      <c r="E7623" s="22" t="s">
        <v>69</v>
      </c>
      <c r="F7623" s="22" t="s">
        <v>40</v>
      </c>
      <c r="G7623" s="22" t="s">
        <v>116</v>
      </c>
      <c r="H7623" s="22" t="s">
        <v>63</v>
      </c>
      <c r="I7623" s="22" t="s">
        <v>114</v>
      </c>
      <c r="J7623" s="23">
        <v>120</v>
      </c>
      <c r="K7623" s="37">
        <v>0</v>
      </c>
      <c r="M7623" s="22">
        <f>IF(OR(ISBLANK(C7623),C7623=""),"",ROUND((C7623-B7623)*24,2))</f>
        <v>195.12</v>
      </c>
      <c r="N7623" s="38" t="str">
        <f>IF(OR(ISBLANK(C7623),C7623="",M7623=""),"In Progress",IF(M7623&lt;=J7623,"Met","Breached"))</f>
        <v>Breached</v>
      </c>
    </row>
    <row r="7624" ht="19" customHeight="1" spans="1:14" x14ac:dyDescent="0.25">
      <c r="A7624" s="19" t="s">
        <v>7738</v>
      </c>
      <c r="B7624" s="33">
        <v>45995.30694444444</v>
      </c>
      <c r="D7624" s="19" t="s">
        <v>42</v>
      </c>
      <c r="E7624" s="19" t="s">
        <v>65</v>
      </c>
      <c r="F7624" s="19" t="s">
        <v>43</v>
      </c>
      <c r="G7624" s="19" t="s">
        <v>116</v>
      </c>
      <c r="H7624" s="19" t="s">
        <v>67</v>
      </c>
      <c r="I7624" s="19" t="s">
        <v>114</v>
      </c>
      <c r="J7624" s="20">
        <v>48</v>
      </c>
      <c r="K7624" s="34">
        <v>0</v>
      </c>
      <c r="M7624" s="19" t="str">
        <f>IF(OR(ISBLANK(C7624),C7624=""),"",ROUND((C7624-B7624)*24,2))</f>
        <v/>
      </c>
      <c r="N7624" s="19" t="str">
        <f>IF(OR(ISBLANK(C7624),C7624="",M7624=""),"In Progress",IF(M7624&lt;=J7624,"Met","Breached"))</f>
        <v>In Progress</v>
      </c>
    </row>
    <row r="7625" ht="19" customHeight="1" spans="1:14" x14ac:dyDescent="0.25">
      <c r="A7625" s="22" t="s">
        <v>7739</v>
      </c>
      <c r="B7625" s="36">
        <v>46085.21388888889</v>
      </c>
      <c r="C7625" s="36">
        <v>46085.76666666666</v>
      </c>
      <c r="D7625" s="22" t="s">
        <v>36</v>
      </c>
      <c r="E7625" s="22" t="s">
        <v>61</v>
      </c>
      <c r="F7625" s="22" t="s">
        <v>43</v>
      </c>
      <c r="G7625" s="22" t="s">
        <v>116</v>
      </c>
      <c r="H7625" s="22" t="s">
        <v>67</v>
      </c>
      <c r="I7625" s="22" t="s">
        <v>114</v>
      </c>
      <c r="J7625" s="23">
        <v>12</v>
      </c>
      <c r="K7625" s="37">
        <v>0</v>
      </c>
      <c r="L7625" s="37">
        <v>5</v>
      </c>
      <c r="M7625" s="22">
        <f>IF(OR(ISBLANK(C7625),C7625=""),"",ROUND((C7625-B7625)*24,2))</f>
        <v>13.27</v>
      </c>
      <c r="N7625" s="38" t="str">
        <f>IF(OR(ISBLANK(C7625),C7625="",M7625=""),"In Progress",IF(M7625&lt;=J7625,"Met","Breached"))</f>
        <v>Breached</v>
      </c>
    </row>
    <row r="7626" ht="19" customHeight="1" spans="1:14" x14ac:dyDescent="0.25">
      <c r="A7626" s="19" t="s">
        <v>7740</v>
      </c>
      <c r="B7626" s="33">
        <v>45919.89236111111</v>
      </c>
      <c r="C7626" s="33">
        <v>45920.34236111111</v>
      </c>
      <c r="D7626" s="19" t="s">
        <v>33</v>
      </c>
      <c r="E7626" s="19" t="s">
        <v>61</v>
      </c>
      <c r="F7626" s="19" t="s">
        <v>43</v>
      </c>
      <c r="G7626" s="19" t="s">
        <v>110</v>
      </c>
      <c r="H7626" s="19" t="s">
        <v>67</v>
      </c>
      <c r="I7626" s="19" t="s">
        <v>114</v>
      </c>
      <c r="J7626" s="20">
        <v>12</v>
      </c>
      <c r="K7626" s="34">
        <v>0</v>
      </c>
      <c r="M7626" s="19">
        <f>IF(OR(ISBLANK(C7626),C7626=""),"",ROUND((C7626-B7626)*24,2))</f>
        <v>10.8</v>
      </c>
      <c r="N7626" s="35" t="str">
        <f>IF(OR(ISBLANK(C7626),C7626="",M7626=""),"In Progress",IF(M7626&lt;=J7626,"Met","Breached"))</f>
        <v>Met</v>
      </c>
    </row>
    <row r="7627" ht="19" customHeight="1" spans="1:14" x14ac:dyDescent="0.25">
      <c r="A7627" s="22" t="s">
        <v>7741</v>
      </c>
      <c r="B7627" s="36">
        <v>45947.88333333333</v>
      </c>
      <c r="C7627" s="36">
        <v>45956.54375</v>
      </c>
      <c r="D7627" s="22" t="s">
        <v>36</v>
      </c>
      <c r="E7627" s="22" t="s">
        <v>69</v>
      </c>
      <c r="F7627" s="22" t="s">
        <v>34</v>
      </c>
      <c r="G7627" s="22" t="s">
        <v>116</v>
      </c>
      <c r="H7627" s="22" t="s">
        <v>63</v>
      </c>
      <c r="I7627" s="22" t="s">
        <v>147</v>
      </c>
      <c r="J7627" s="23">
        <v>120</v>
      </c>
      <c r="K7627" s="37">
        <v>0</v>
      </c>
      <c r="L7627" s="37">
        <v>3</v>
      </c>
      <c r="M7627" s="22">
        <f>IF(OR(ISBLANK(C7627),C7627=""),"",ROUND((C7627-B7627)*24,2))</f>
        <v>207.85</v>
      </c>
      <c r="N7627" s="38" t="str">
        <f>IF(OR(ISBLANK(C7627),C7627="",M7627=""),"In Progress",IF(M7627&lt;=J7627,"Met","Breached"))</f>
        <v>Breached</v>
      </c>
    </row>
    <row r="7628" ht="19" customHeight="1" spans="1:14" x14ac:dyDescent="0.25">
      <c r="A7628" s="19" t="s">
        <v>7742</v>
      </c>
      <c r="B7628" s="33">
        <v>46011.45416666666</v>
      </c>
      <c r="C7628" s="33">
        <v>46012.42916666667</v>
      </c>
      <c r="D7628" s="19" t="s">
        <v>36</v>
      </c>
      <c r="E7628" s="19" t="s">
        <v>65</v>
      </c>
      <c r="F7628" s="19" t="s">
        <v>40</v>
      </c>
      <c r="G7628" s="19" t="s">
        <v>110</v>
      </c>
      <c r="H7628" s="19" t="s">
        <v>59</v>
      </c>
      <c r="I7628" s="19" t="s">
        <v>114</v>
      </c>
      <c r="J7628" s="20">
        <v>48</v>
      </c>
      <c r="K7628" s="34">
        <v>0</v>
      </c>
      <c r="L7628" s="34">
        <v>1</v>
      </c>
      <c r="M7628" s="19">
        <f>IF(OR(ISBLANK(C7628),C7628=""),"",ROUND((C7628-B7628)*24,2))</f>
        <v>23.4</v>
      </c>
      <c r="N7628" s="35" t="str">
        <f>IF(OR(ISBLANK(C7628),C7628="",M7628=""),"In Progress",IF(M7628&lt;=J7628,"Met","Breached"))</f>
        <v>Met</v>
      </c>
    </row>
    <row r="7629" ht="19" customHeight="1" spans="1:14" x14ac:dyDescent="0.25">
      <c r="A7629" s="22" t="s">
        <v>7743</v>
      </c>
      <c r="B7629" s="36">
        <v>45792.58333333333</v>
      </c>
      <c r="C7629" s="36">
        <v>45795.959027777775</v>
      </c>
      <c r="D7629" s="22" t="s">
        <v>33</v>
      </c>
      <c r="E7629" s="22" t="s">
        <v>65</v>
      </c>
      <c r="F7629" s="22" t="s">
        <v>40</v>
      </c>
      <c r="G7629" s="22" t="s">
        <v>113</v>
      </c>
      <c r="H7629" s="22" t="s">
        <v>63</v>
      </c>
      <c r="I7629" s="22" t="s">
        <v>117</v>
      </c>
      <c r="J7629" s="23">
        <v>48</v>
      </c>
      <c r="K7629" s="37">
        <v>0</v>
      </c>
      <c r="L7629" s="37">
        <v>1</v>
      </c>
      <c r="M7629" s="22">
        <f>IF(OR(ISBLANK(C7629),C7629=""),"",ROUND((C7629-B7629)*24,2))</f>
        <v>81.02</v>
      </c>
      <c r="N7629" s="38" t="str">
        <f>IF(OR(ISBLANK(C7629),C7629="",M7629=""),"In Progress",IF(M7629&lt;=J7629,"Met","Breached"))</f>
        <v>Breached</v>
      </c>
    </row>
    <row r="7630" ht="19" customHeight="1" spans="1:14" x14ac:dyDescent="0.25">
      <c r="A7630" s="19" t="s">
        <v>7744</v>
      </c>
      <c r="B7630" s="33">
        <v>45664.76458333334</v>
      </c>
      <c r="C7630" s="33">
        <v>45667.677777777775</v>
      </c>
      <c r="D7630" s="19" t="s">
        <v>36</v>
      </c>
      <c r="E7630" s="19" t="s">
        <v>65</v>
      </c>
      <c r="F7630" s="19" t="s">
        <v>40</v>
      </c>
      <c r="G7630" s="19" t="s">
        <v>110</v>
      </c>
      <c r="H7630" s="19" t="s">
        <v>63</v>
      </c>
      <c r="I7630" s="19" t="s">
        <v>108</v>
      </c>
      <c r="J7630" s="20">
        <v>48</v>
      </c>
      <c r="K7630" s="34">
        <v>0</v>
      </c>
      <c r="M7630" s="19">
        <f>IF(OR(ISBLANK(C7630),C7630=""),"",ROUND((C7630-B7630)*24,2))</f>
        <v>69.92</v>
      </c>
      <c r="N7630" s="39" t="str">
        <f>IF(OR(ISBLANK(C7630),C7630="",M7630=""),"In Progress",IF(M7630&lt;=J7630,"Met","Breached"))</f>
        <v>Breached</v>
      </c>
    </row>
    <row r="7631" ht="19" customHeight="1" spans="1:14" x14ac:dyDescent="0.25">
      <c r="A7631" s="22" t="s">
        <v>7745</v>
      </c>
      <c r="B7631" s="36">
        <v>45966.30138888889</v>
      </c>
      <c r="C7631" s="36">
        <v>45967.589583333334</v>
      </c>
      <c r="D7631" s="22" t="s">
        <v>36</v>
      </c>
      <c r="E7631" s="22" t="s">
        <v>65</v>
      </c>
      <c r="F7631" s="22" t="s">
        <v>37</v>
      </c>
      <c r="G7631" s="22" t="s">
        <v>110</v>
      </c>
      <c r="H7631" s="22" t="s">
        <v>59</v>
      </c>
      <c r="I7631" s="22" t="s">
        <v>147</v>
      </c>
      <c r="J7631" s="23">
        <v>48</v>
      </c>
      <c r="K7631" s="37">
        <v>1</v>
      </c>
      <c r="M7631" s="22">
        <f>IF(OR(ISBLANK(C7631),C7631=""),"",ROUND((C7631-B7631)*24,2))</f>
        <v>30.92</v>
      </c>
      <c r="N7631" s="40" t="str">
        <f>IF(OR(ISBLANK(C7631),C7631="",M7631=""),"In Progress",IF(M7631&lt;=J7631,"Met","Breached"))</f>
        <v>Met</v>
      </c>
    </row>
    <row r="7632" ht="19" customHeight="1" spans="1:14" x14ac:dyDescent="0.25">
      <c r="A7632" s="19" t="s">
        <v>7746</v>
      </c>
      <c r="B7632" s="33">
        <v>45782.13541666667</v>
      </c>
      <c r="C7632" s="33">
        <v>45784.08194444445</v>
      </c>
      <c r="D7632" s="19" t="s">
        <v>36</v>
      </c>
      <c r="E7632" s="19" t="s">
        <v>69</v>
      </c>
      <c r="F7632" s="19" t="s">
        <v>45</v>
      </c>
      <c r="G7632" s="19" t="s">
        <v>126</v>
      </c>
      <c r="H7632" s="19" t="s">
        <v>59</v>
      </c>
      <c r="I7632" s="19" t="s">
        <v>108</v>
      </c>
      <c r="J7632" s="20">
        <v>120</v>
      </c>
      <c r="K7632" s="34">
        <v>0</v>
      </c>
      <c r="L7632" s="34">
        <v>1</v>
      </c>
      <c r="M7632" s="19">
        <f>IF(OR(ISBLANK(C7632),C7632=""),"",ROUND((C7632-B7632)*24,2))</f>
        <v>46.72</v>
      </c>
      <c r="N7632" s="35" t="str">
        <f>IF(OR(ISBLANK(C7632),C7632="",M7632=""),"In Progress",IF(M7632&lt;=J7632,"Met","Breached"))</f>
        <v>Met</v>
      </c>
    </row>
    <row r="7633" ht="19" customHeight="1" spans="1:14" x14ac:dyDescent="0.25">
      <c r="A7633" s="22" t="s">
        <v>7747</v>
      </c>
      <c r="B7633" s="36">
        <v>45677.361805555556</v>
      </c>
      <c r="C7633" s="36">
        <v>45681.07152777778</v>
      </c>
      <c r="D7633" s="22" t="s">
        <v>33</v>
      </c>
      <c r="E7633" s="22" t="s">
        <v>69</v>
      </c>
      <c r="F7633" s="22" t="s">
        <v>37</v>
      </c>
      <c r="G7633" s="22" t="s">
        <v>110</v>
      </c>
      <c r="H7633" s="22" t="s">
        <v>63</v>
      </c>
      <c r="I7633" s="22" t="s">
        <v>147</v>
      </c>
      <c r="J7633" s="23">
        <v>120</v>
      </c>
      <c r="K7633" s="37">
        <v>0</v>
      </c>
      <c r="L7633" s="37">
        <v>4</v>
      </c>
      <c r="M7633" s="22">
        <f>IF(OR(ISBLANK(C7633),C7633=""),"",ROUND((C7633-B7633)*24,2))</f>
        <v>89.03</v>
      </c>
      <c r="N7633" s="40" t="str">
        <f>IF(OR(ISBLANK(C7633),C7633="",M7633=""),"In Progress",IF(M7633&lt;=J7633,"Met","Breached"))</f>
        <v>Met</v>
      </c>
    </row>
    <row r="7634" ht="19" customHeight="1" spans="1:14" x14ac:dyDescent="0.25">
      <c r="A7634" s="19" t="s">
        <v>7748</v>
      </c>
      <c r="B7634" s="33">
        <v>45830.59375</v>
      </c>
      <c r="C7634" s="33">
        <v>45833.61666666667</v>
      </c>
      <c r="D7634" s="19" t="s">
        <v>33</v>
      </c>
      <c r="E7634" s="19" t="s">
        <v>69</v>
      </c>
      <c r="F7634" s="19" t="s">
        <v>40</v>
      </c>
      <c r="G7634" s="19" t="s">
        <v>116</v>
      </c>
      <c r="H7634" s="19" t="s">
        <v>63</v>
      </c>
      <c r="I7634" s="19" t="s">
        <v>111</v>
      </c>
      <c r="J7634" s="20">
        <v>120</v>
      </c>
      <c r="K7634" s="34">
        <v>1</v>
      </c>
      <c r="L7634" s="34">
        <v>4</v>
      </c>
      <c r="M7634" s="19">
        <f>IF(OR(ISBLANK(C7634),C7634=""),"",ROUND((C7634-B7634)*24,2))</f>
        <v>72.55</v>
      </c>
      <c r="N7634" s="35" t="str">
        <f>IF(OR(ISBLANK(C7634),C7634="",M7634=""),"In Progress",IF(M7634&lt;=J7634,"Met","Breached"))</f>
        <v>Met</v>
      </c>
    </row>
    <row r="7635" ht="19" customHeight="1" spans="1:14" x14ac:dyDescent="0.25">
      <c r="A7635" s="22" t="s">
        <v>7749</v>
      </c>
      <c r="B7635" s="36">
        <v>46183.12569444445</v>
      </c>
      <c r="C7635" s="36">
        <v>46185.023611111115</v>
      </c>
      <c r="D7635" s="22" t="s">
        <v>33</v>
      </c>
      <c r="E7635" s="22" t="s">
        <v>65</v>
      </c>
      <c r="F7635" s="22" t="s">
        <v>40</v>
      </c>
      <c r="G7635" s="22" t="s">
        <v>110</v>
      </c>
      <c r="H7635" s="22" t="s">
        <v>63</v>
      </c>
      <c r="I7635" s="22" t="s">
        <v>123</v>
      </c>
      <c r="J7635" s="23">
        <v>48</v>
      </c>
      <c r="K7635" s="37">
        <v>0</v>
      </c>
      <c r="L7635" s="37">
        <v>2</v>
      </c>
      <c r="M7635" s="22">
        <f>IF(OR(ISBLANK(C7635),C7635=""),"",ROUND((C7635-B7635)*24,2))</f>
        <v>45.55</v>
      </c>
      <c r="N7635" s="40" t="str">
        <f>IF(OR(ISBLANK(C7635),C7635="",M7635=""),"In Progress",IF(M7635&lt;=J7635,"Met","Breached"))</f>
        <v>Met</v>
      </c>
    </row>
    <row r="7636" ht="19" customHeight="1" spans="1:14" x14ac:dyDescent="0.25">
      <c r="A7636" s="19" t="s">
        <v>7750</v>
      </c>
      <c r="B7636" s="33">
        <v>46148.12222222222</v>
      </c>
      <c r="C7636" s="33">
        <v>46149.02777777778</v>
      </c>
      <c r="D7636" s="19" t="s">
        <v>33</v>
      </c>
      <c r="E7636" s="19" t="s">
        <v>65</v>
      </c>
      <c r="F7636" s="19" t="s">
        <v>43</v>
      </c>
      <c r="G7636" s="19" t="s">
        <v>110</v>
      </c>
      <c r="H7636" s="19" t="s">
        <v>59</v>
      </c>
      <c r="I7636" s="19" t="s">
        <v>114</v>
      </c>
      <c r="J7636" s="20">
        <v>48</v>
      </c>
      <c r="K7636" s="34">
        <v>0</v>
      </c>
      <c r="L7636" s="34">
        <v>4</v>
      </c>
      <c r="M7636" s="19">
        <f>IF(OR(ISBLANK(C7636),C7636=""),"",ROUND((C7636-B7636)*24,2))</f>
        <v>21.73</v>
      </c>
      <c r="N7636" s="35" t="str">
        <f>IF(OR(ISBLANK(C7636),C7636="",M7636=""),"In Progress",IF(M7636&lt;=J7636,"Met","Breached"))</f>
        <v>Met</v>
      </c>
    </row>
    <row r="7637" ht="19" customHeight="1" spans="1:14" x14ac:dyDescent="0.25">
      <c r="A7637" s="22" t="s">
        <v>7751</v>
      </c>
      <c r="B7637" s="36">
        <v>45872.86944444444</v>
      </c>
      <c r="C7637" s="36">
        <v>45873.009722222225</v>
      </c>
      <c r="D7637" s="22" t="s">
        <v>33</v>
      </c>
      <c r="E7637" s="22" t="s">
        <v>57</v>
      </c>
      <c r="F7637" s="22" t="s">
        <v>37</v>
      </c>
      <c r="G7637" s="22" t="s">
        <v>63</v>
      </c>
      <c r="H7637" s="22" t="s">
        <v>71</v>
      </c>
      <c r="I7637" s="22" t="s">
        <v>111</v>
      </c>
      <c r="J7637" s="23">
        <v>4</v>
      </c>
      <c r="K7637" s="37">
        <v>0</v>
      </c>
      <c r="L7637" s="37">
        <v>5</v>
      </c>
      <c r="M7637" s="22">
        <f>IF(OR(ISBLANK(C7637),C7637=""),"",ROUND((C7637-B7637)*24,2))</f>
        <v>3.37</v>
      </c>
      <c r="N7637" s="40" t="str">
        <f>IF(OR(ISBLANK(C7637),C7637="",M7637=""),"In Progress",IF(M7637&lt;=J7637,"Met","Breached"))</f>
        <v>Met</v>
      </c>
    </row>
    <row r="7638" ht="19" customHeight="1" spans="1:14" x14ac:dyDescent="0.25">
      <c r="A7638" s="19" t="s">
        <v>7752</v>
      </c>
      <c r="B7638" s="33">
        <v>45941.575694444444</v>
      </c>
      <c r="D7638" s="19" t="s">
        <v>42</v>
      </c>
      <c r="E7638" s="19" t="s">
        <v>69</v>
      </c>
      <c r="F7638" s="19" t="s">
        <v>43</v>
      </c>
      <c r="G7638" s="19" t="s">
        <v>116</v>
      </c>
      <c r="H7638" s="19" t="s">
        <v>59</v>
      </c>
      <c r="I7638" s="19" t="s">
        <v>123</v>
      </c>
      <c r="J7638" s="20">
        <v>120</v>
      </c>
      <c r="K7638" s="34">
        <v>0</v>
      </c>
      <c r="M7638" s="19" t="str">
        <f>IF(OR(ISBLANK(C7638),C7638=""),"",ROUND((C7638-B7638)*24,2))</f>
        <v/>
      </c>
      <c r="N7638" s="19" t="str">
        <f>IF(OR(ISBLANK(C7638),C7638="",M7638=""),"In Progress",IF(M7638&lt;=J7638,"Met","Breached"))</f>
        <v>In Progress</v>
      </c>
    </row>
    <row r="7639" ht="19" customHeight="1" spans="1:14" x14ac:dyDescent="0.25">
      <c r="A7639" s="22" t="s">
        <v>7753</v>
      </c>
      <c r="B7639" s="36">
        <v>45668.80972222222</v>
      </c>
      <c r="C7639" s="36">
        <v>45671.33333333333</v>
      </c>
      <c r="D7639" s="22" t="s">
        <v>33</v>
      </c>
      <c r="E7639" s="22" t="s">
        <v>69</v>
      </c>
      <c r="F7639" s="22" t="s">
        <v>40</v>
      </c>
      <c r="G7639" s="22" t="s">
        <v>110</v>
      </c>
      <c r="H7639" s="22" t="s">
        <v>63</v>
      </c>
      <c r="I7639" s="22" t="s">
        <v>111</v>
      </c>
      <c r="J7639" s="23">
        <v>120</v>
      </c>
      <c r="K7639" s="37">
        <v>0</v>
      </c>
      <c r="M7639" s="22">
        <f>IF(OR(ISBLANK(C7639),C7639=""),"",ROUND((C7639-B7639)*24,2))</f>
        <v>60.57</v>
      </c>
      <c r="N7639" s="40" t="str">
        <f>IF(OR(ISBLANK(C7639),C7639="",M7639=""),"In Progress",IF(M7639&lt;=J7639,"Met","Breached"))</f>
        <v>Met</v>
      </c>
    </row>
    <row r="7640" ht="19" customHeight="1" spans="1:14" x14ac:dyDescent="0.25">
      <c r="A7640" s="19" t="s">
        <v>7754</v>
      </c>
      <c r="B7640" s="33">
        <v>45680.94930555555</v>
      </c>
      <c r="C7640" s="33">
        <v>45681.17847222222</v>
      </c>
      <c r="D7640" s="19" t="s">
        <v>36</v>
      </c>
      <c r="E7640" s="19" t="s">
        <v>57</v>
      </c>
      <c r="F7640" s="19" t="s">
        <v>37</v>
      </c>
      <c r="G7640" s="19" t="s">
        <v>116</v>
      </c>
      <c r="H7640" s="19" t="s">
        <v>63</v>
      </c>
      <c r="I7640" s="19" t="s">
        <v>111</v>
      </c>
      <c r="J7640" s="20">
        <v>4</v>
      </c>
      <c r="K7640" s="34">
        <v>0</v>
      </c>
      <c r="M7640" s="19">
        <f>IF(OR(ISBLANK(C7640),C7640=""),"",ROUND((C7640-B7640)*24,2))</f>
        <v>5.5</v>
      </c>
      <c r="N7640" s="39" t="str">
        <f>IF(OR(ISBLANK(C7640),C7640="",M7640=""),"In Progress",IF(M7640&lt;=J7640,"Met","Breached"))</f>
        <v>Breached</v>
      </c>
    </row>
    <row r="7641" ht="19" customHeight="1" spans="1:14" x14ac:dyDescent="0.25">
      <c r="A7641" s="22" t="s">
        <v>7755</v>
      </c>
      <c r="B7641" s="36">
        <v>45837.53125</v>
      </c>
      <c r="D7641" s="22" t="s">
        <v>39</v>
      </c>
      <c r="E7641" s="22" t="s">
        <v>69</v>
      </c>
      <c r="F7641" s="22" t="s">
        <v>45</v>
      </c>
      <c r="G7641" s="22" t="s">
        <v>110</v>
      </c>
      <c r="H7641" s="22" t="s">
        <v>59</v>
      </c>
      <c r="I7641" s="22" t="s">
        <v>114</v>
      </c>
      <c r="J7641" s="23">
        <v>120</v>
      </c>
      <c r="K7641" s="37">
        <v>0</v>
      </c>
      <c r="M7641" s="22" t="str">
        <f>IF(OR(ISBLANK(C7641),C7641=""),"",ROUND((C7641-B7641)*24,2))</f>
        <v/>
      </c>
      <c r="N7641" s="22" t="str">
        <f>IF(OR(ISBLANK(C7641),C7641="",M7641=""),"In Progress",IF(M7641&lt;=J7641,"Met","Breached"))</f>
        <v>In Progress</v>
      </c>
    </row>
    <row r="7642" ht="19" customHeight="1" spans="1:14" x14ac:dyDescent="0.25">
      <c r="A7642" s="19" t="s">
        <v>7756</v>
      </c>
      <c r="B7642" s="33">
        <v>45680.03611111111</v>
      </c>
      <c r="C7642" s="33">
        <v>45681.30694444444</v>
      </c>
      <c r="D7642" s="19" t="s">
        <v>33</v>
      </c>
      <c r="E7642" s="19" t="s">
        <v>65</v>
      </c>
      <c r="F7642" s="19" t="s">
        <v>34</v>
      </c>
      <c r="G7642" s="19" t="s">
        <v>116</v>
      </c>
      <c r="H7642" s="19" t="s">
        <v>67</v>
      </c>
      <c r="I7642" s="19" t="s">
        <v>147</v>
      </c>
      <c r="J7642" s="20">
        <v>48</v>
      </c>
      <c r="K7642" s="34">
        <v>0</v>
      </c>
      <c r="L7642" s="34">
        <v>5</v>
      </c>
      <c r="M7642" s="19">
        <f>IF(OR(ISBLANK(C7642),C7642=""),"",ROUND((C7642-B7642)*24,2))</f>
        <v>30.5</v>
      </c>
      <c r="N7642" s="35" t="str">
        <f>IF(OR(ISBLANK(C7642),C7642="",M7642=""),"In Progress",IF(M7642&lt;=J7642,"Met","Breached"))</f>
        <v>Met</v>
      </c>
    </row>
    <row r="7643" ht="19" customHeight="1" spans="1:14" x14ac:dyDescent="0.25">
      <c r="A7643" s="22" t="s">
        <v>7757</v>
      </c>
      <c r="B7643" s="36">
        <v>45812.87569444445</v>
      </c>
      <c r="C7643" s="36">
        <v>45816.398611111115</v>
      </c>
      <c r="D7643" s="22" t="s">
        <v>33</v>
      </c>
      <c r="E7643" s="22" t="s">
        <v>65</v>
      </c>
      <c r="F7643" s="22" t="s">
        <v>34</v>
      </c>
      <c r="G7643" s="22" t="s">
        <v>110</v>
      </c>
      <c r="H7643" s="22" t="s">
        <v>63</v>
      </c>
      <c r="I7643" s="22" t="s">
        <v>114</v>
      </c>
      <c r="J7643" s="23">
        <v>48</v>
      </c>
      <c r="K7643" s="37">
        <v>0</v>
      </c>
      <c r="L7643" s="37">
        <v>3</v>
      </c>
      <c r="M7643" s="22">
        <f>IF(OR(ISBLANK(C7643),C7643=""),"",ROUND((C7643-B7643)*24,2))</f>
        <v>84.55</v>
      </c>
      <c r="N7643" s="38" t="str">
        <f>IF(OR(ISBLANK(C7643),C7643="",M7643=""),"In Progress",IF(M7643&lt;=J7643,"Met","Breached"))</f>
        <v>Breached</v>
      </c>
    </row>
    <row r="7644" ht="19" customHeight="1" spans="1:14" x14ac:dyDescent="0.25">
      <c r="A7644" s="19" t="s">
        <v>7758</v>
      </c>
      <c r="B7644" s="33">
        <v>45813.73958333333</v>
      </c>
      <c r="C7644" s="33">
        <v>45814.47916666667</v>
      </c>
      <c r="D7644" s="19" t="s">
        <v>33</v>
      </c>
      <c r="E7644" s="19" t="s">
        <v>65</v>
      </c>
      <c r="F7644" s="19" t="s">
        <v>45</v>
      </c>
      <c r="G7644" s="19" t="s">
        <v>63</v>
      </c>
      <c r="H7644" s="19" t="s">
        <v>63</v>
      </c>
      <c r="I7644" s="19" t="s">
        <v>117</v>
      </c>
      <c r="J7644" s="20">
        <v>48</v>
      </c>
      <c r="K7644" s="34">
        <v>0</v>
      </c>
      <c r="M7644" s="19">
        <f>IF(OR(ISBLANK(C7644),C7644=""),"",ROUND((C7644-B7644)*24,2))</f>
        <v>17.75</v>
      </c>
      <c r="N7644" s="35" t="str">
        <f>IF(OR(ISBLANK(C7644),C7644="",M7644=""),"In Progress",IF(M7644&lt;=J7644,"Met","Breached"))</f>
        <v>Met</v>
      </c>
    </row>
    <row r="7645" ht="19" customHeight="1" spans="1:14" x14ac:dyDescent="0.25">
      <c r="A7645" s="22" t="s">
        <v>7759</v>
      </c>
      <c r="B7645" s="36">
        <v>45974.054861111115</v>
      </c>
      <c r="C7645" s="36">
        <v>45977.32777777778</v>
      </c>
      <c r="D7645" s="22" t="s">
        <v>33</v>
      </c>
      <c r="E7645" s="22" t="s">
        <v>69</v>
      </c>
      <c r="F7645" s="22" t="s">
        <v>37</v>
      </c>
      <c r="G7645" s="22" t="s">
        <v>113</v>
      </c>
      <c r="H7645" s="22" t="s">
        <v>59</v>
      </c>
      <c r="I7645" s="22" t="s">
        <v>123</v>
      </c>
      <c r="J7645" s="23">
        <v>120</v>
      </c>
      <c r="K7645" s="37">
        <v>0</v>
      </c>
      <c r="L7645" s="37">
        <v>4</v>
      </c>
      <c r="M7645" s="22">
        <f>IF(OR(ISBLANK(C7645),C7645=""),"",ROUND((C7645-B7645)*24,2))</f>
        <v>78.55</v>
      </c>
      <c r="N7645" s="40" t="str">
        <f>IF(OR(ISBLANK(C7645),C7645="",M7645=""),"In Progress",IF(M7645&lt;=J7645,"Met","Breached"))</f>
        <v>Met</v>
      </c>
    </row>
    <row r="7646" ht="19" customHeight="1" spans="1:14" x14ac:dyDescent="0.25">
      <c r="A7646" s="19" t="s">
        <v>7760</v>
      </c>
      <c r="B7646" s="33">
        <v>46136.038888888885</v>
      </c>
      <c r="C7646" s="33">
        <v>46137.27083333333</v>
      </c>
      <c r="D7646" s="19" t="s">
        <v>33</v>
      </c>
      <c r="E7646" s="19" t="s">
        <v>65</v>
      </c>
      <c r="F7646" s="19" t="s">
        <v>34</v>
      </c>
      <c r="G7646" s="19" t="s">
        <v>116</v>
      </c>
      <c r="H7646" s="19" t="s">
        <v>59</v>
      </c>
      <c r="I7646" s="19" t="s">
        <v>123</v>
      </c>
      <c r="J7646" s="20">
        <v>48</v>
      </c>
      <c r="K7646" s="34">
        <v>0</v>
      </c>
      <c r="L7646" s="34">
        <v>3</v>
      </c>
      <c r="M7646" s="19">
        <f>IF(OR(ISBLANK(C7646),C7646=""),"",ROUND((C7646-B7646)*24,2))</f>
        <v>29.57</v>
      </c>
      <c r="N7646" s="35" t="str">
        <f>IF(OR(ISBLANK(C7646),C7646="",M7646=""),"In Progress",IF(M7646&lt;=J7646,"Met","Breached"))</f>
        <v>Met</v>
      </c>
    </row>
    <row r="7647" ht="19" customHeight="1" spans="1:14" x14ac:dyDescent="0.25">
      <c r="A7647" s="22" t="s">
        <v>7761</v>
      </c>
      <c r="B7647" s="36">
        <v>45942.67013888889</v>
      </c>
      <c r="C7647" s="36">
        <v>45943.63541666667</v>
      </c>
      <c r="D7647" s="22" t="s">
        <v>36</v>
      </c>
      <c r="E7647" s="22" t="s">
        <v>65</v>
      </c>
      <c r="F7647" s="22" t="s">
        <v>40</v>
      </c>
      <c r="G7647" s="22" t="s">
        <v>116</v>
      </c>
      <c r="H7647" s="22" t="s">
        <v>59</v>
      </c>
      <c r="I7647" s="22" t="s">
        <v>108</v>
      </c>
      <c r="J7647" s="23">
        <v>48</v>
      </c>
      <c r="K7647" s="37">
        <v>0</v>
      </c>
      <c r="M7647" s="22">
        <f>IF(OR(ISBLANK(C7647),C7647=""),"",ROUND((C7647-B7647)*24,2))</f>
        <v>23.17</v>
      </c>
      <c r="N7647" s="40" t="str">
        <f>IF(OR(ISBLANK(C7647),C7647="",M7647=""),"In Progress",IF(M7647&lt;=J7647,"Met","Breached"))</f>
        <v>Met</v>
      </c>
    </row>
    <row r="7648" ht="19" customHeight="1" spans="1:14" x14ac:dyDescent="0.25">
      <c r="A7648" s="19" t="s">
        <v>7762</v>
      </c>
      <c r="B7648" s="33">
        <v>45831.41458333333</v>
      </c>
      <c r="C7648" s="33">
        <v>45831.63333333333</v>
      </c>
      <c r="D7648" s="19" t="s">
        <v>33</v>
      </c>
      <c r="E7648" s="19" t="s">
        <v>61</v>
      </c>
      <c r="F7648" s="19" t="s">
        <v>45</v>
      </c>
      <c r="G7648" s="19" t="s">
        <v>63</v>
      </c>
      <c r="H7648" s="19" t="s">
        <v>59</v>
      </c>
      <c r="I7648" s="19" t="s">
        <v>147</v>
      </c>
      <c r="J7648" s="20">
        <v>12</v>
      </c>
      <c r="K7648" s="34">
        <v>0</v>
      </c>
      <c r="L7648" s="34">
        <v>3</v>
      </c>
      <c r="M7648" s="19">
        <f>IF(OR(ISBLANK(C7648),C7648=""),"",ROUND((C7648-B7648)*24,2))</f>
        <v>5.25</v>
      </c>
      <c r="N7648" s="35" t="str">
        <f>IF(OR(ISBLANK(C7648),C7648="",M7648=""),"In Progress",IF(M7648&lt;=J7648,"Met","Breached"))</f>
        <v>Met</v>
      </c>
    </row>
    <row r="7649" ht="19" customHeight="1" spans="1:14" x14ac:dyDescent="0.25">
      <c r="A7649" s="22" t="s">
        <v>7763</v>
      </c>
      <c r="B7649" s="36">
        <v>46285.19375</v>
      </c>
      <c r="C7649" s="36">
        <v>46287.70625</v>
      </c>
      <c r="D7649" s="22" t="s">
        <v>36</v>
      </c>
      <c r="E7649" s="22" t="s">
        <v>65</v>
      </c>
      <c r="F7649" s="22" t="s">
        <v>45</v>
      </c>
      <c r="G7649" s="22" t="s">
        <v>110</v>
      </c>
      <c r="H7649" s="22" t="s">
        <v>59</v>
      </c>
      <c r="I7649" s="22" t="s">
        <v>117</v>
      </c>
      <c r="J7649" s="23">
        <v>48</v>
      </c>
      <c r="K7649" s="37">
        <v>0</v>
      </c>
      <c r="L7649" s="37">
        <v>1</v>
      </c>
      <c r="M7649" s="22">
        <f>IF(OR(ISBLANK(C7649),C7649=""),"",ROUND((C7649-B7649)*24,2))</f>
        <v>60.3</v>
      </c>
      <c r="N7649" s="38" t="str">
        <f>IF(OR(ISBLANK(C7649),C7649="",M7649=""),"In Progress",IF(M7649&lt;=J7649,"Met","Breached"))</f>
        <v>Breached</v>
      </c>
    </row>
    <row r="7650" ht="19" customHeight="1" spans="1:14" x14ac:dyDescent="0.25">
      <c r="A7650" s="19" t="s">
        <v>7764</v>
      </c>
      <c r="B7650" s="33">
        <v>45717.02916666667</v>
      </c>
      <c r="C7650" s="33">
        <v>45724.538194444445</v>
      </c>
      <c r="D7650" s="19" t="s">
        <v>36</v>
      </c>
      <c r="E7650" s="19" t="s">
        <v>69</v>
      </c>
      <c r="F7650" s="19" t="s">
        <v>45</v>
      </c>
      <c r="G7650" s="19" t="s">
        <v>126</v>
      </c>
      <c r="H7650" s="19" t="s">
        <v>59</v>
      </c>
      <c r="I7650" s="19" t="s">
        <v>108</v>
      </c>
      <c r="J7650" s="20">
        <v>120</v>
      </c>
      <c r="K7650" s="34">
        <v>1</v>
      </c>
      <c r="L7650" s="34">
        <v>4</v>
      </c>
      <c r="M7650" s="19">
        <f>IF(OR(ISBLANK(C7650),C7650=""),"",ROUND((C7650-B7650)*24,2))</f>
        <v>180.22</v>
      </c>
      <c r="N7650" s="39" t="str">
        <f>IF(OR(ISBLANK(C7650),C7650="",M7650=""),"In Progress",IF(M7650&lt;=J7650,"Met","Breached"))</f>
        <v>Breached</v>
      </c>
    </row>
    <row r="7651" ht="19" customHeight="1" spans="1:14" x14ac:dyDescent="0.25">
      <c r="A7651" s="22" t="s">
        <v>7765</v>
      </c>
      <c r="B7651" s="36">
        <v>46149.74375</v>
      </c>
      <c r="C7651" s="36">
        <v>46158.47986111111</v>
      </c>
      <c r="D7651" s="22" t="s">
        <v>33</v>
      </c>
      <c r="E7651" s="22" t="s">
        <v>69</v>
      </c>
      <c r="F7651" s="22" t="s">
        <v>43</v>
      </c>
      <c r="G7651" s="22" t="s">
        <v>126</v>
      </c>
      <c r="H7651" s="22" t="s">
        <v>63</v>
      </c>
      <c r="I7651" s="22" t="s">
        <v>147</v>
      </c>
      <c r="J7651" s="23">
        <v>120</v>
      </c>
      <c r="K7651" s="37">
        <v>0</v>
      </c>
      <c r="M7651" s="22">
        <f>IF(OR(ISBLANK(C7651),C7651=""),"",ROUND((C7651-B7651)*24,2))</f>
        <v>209.67</v>
      </c>
      <c r="N7651" s="38" t="str">
        <f>IF(OR(ISBLANK(C7651),C7651="",M7651=""),"In Progress",IF(M7651&lt;=J7651,"Met","Breached"))</f>
        <v>Breached</v>
      </c>
    </row>
    <row r="7652" ht="19" customHeight="1" spans="1:14" x14ac:dyDescent="0.25">
      <c r="A7652" s="19" t="s">
        <v>7766</v>
      </c>
      <c r="B7652" s="33">
        <v>46279.597916666666</v>
      </c>
      <c r="C7652" s="33">
        <v>46280.00902777778</v>
      </c>
      <c r="D7652" s="19" t="s">
        <v>33</v>
      </c>
      <c r="E7652" s="19" t="s">
        <v>61</v>
      </c>
      <c r="F7652" s="19" t="s">
        <v>34</v>
      </c>
      <c r="G7652" s="19" t="s">
        <v>63</v>
      </c>
      <c r="H7652" s="19" t="s">
        <v>63</v>
      </c>
      <c r="I7652" s="19" t="s">
        <v>111</v>
      </c>
      <c r="J7652" s="20">
        <v>12</v>
      </c>
      <c r="K7652" s="34">
        <v>0</v>
      </c>
      <c r="L7652" s="34">
        <v>5</v>
      </c>
      <c r="M7652" s="19">
        <f>IF(OR(ISBLANK(C7652),C7652=""),"",ROUND((C7652-B7652)*24,2))</f>
        <v>9.87</v>
      </c>
      <c r="N7652" s="35" t="str">
        <f>IF(OR(ISBLANK(C7652),C7652="",M7652=""),"In Progress",IF(M7652&lt;=J7652,"Met","Breached"))</f>
        <v>Met</v>
      </c>
    </row>
    <row r="7653" ht="19" customHeight="1" spans="1:14" x14ac:dyDescent="0.25">
      <c r="A7653" s="22" t="s">
        <v>7767</v>
      </c>
      <c r="B7653" s="36">
        <v>45688.913888888885</v>
      </c>
      <c r="C7653" s="36">
        <v>45689.76180555555</v>
      </c>
      <c r="D7653" s="22" t="s">
        <v>33</v>
      </c>
      <c r="E7653" s="22" t="s">
        <v>61</v>
      </c>
      <c r="F7653" s="22" t="s">
        <v>37</v>
      </c>
      <c r="G7653" s="22" t="s">
        <v>110</v>
      </c>
      <c r="H7653" s="22" t="s">
        <v>59</v>
      </c>
      <c r="I7653" s="22" t="s">
        <v>111</v>
      </c>
      <c r="J7653" s="23">
        <v>12</v>
      </c>
      <c r="K7653" s="37">
        <v>0</v>
      </c>
      <c r="L7653" s="37">
        <v>3</v>
      </c>
      <c r="M7653" s="22">
        <f>IF(OR(ISBLANK(C7653),C7653=""),"",ROUND((C7653-B7653)*24,2))</f>
        <v>20.35</v>
      </c>
      <c r="N7653" s="38" t="str">
        <f>IF(OR(ISBLANK(C7653),C7653="",M7653=""),"In Progress",IF(M7653&lt;=J7653,"Met","Breached"))</f>
        <v>Breached</v>
      </c>
    </row>
    <row r="7654" ht="19" customHeight="1" spans="1:14" x14ac:dyDescent="0.25">
      <c r="A7654" s="19" t="s">
        <v>7768</v>
      </c>
      <c r="B7654" s="33">
        <v>45694.69097222222</v>
      </c>
      <c r="C7654" s="33">
        <v>45696.98402777778</v>
      </c>
      <c r="D7654" s="19" t="s">
        <v>33</v>
      </c>
      <c r="E7654" s="19" t="s">
        <v>65</v>
      </c>
      <c r="F7654" s="19" t="s">
        <v>40</v>
      </c>
      <c r="G7654" s="19" t="s">
        <v>63</v>
      </c>
      <c r="H7654" s="19" t="s">
        <v>63</v>
      </c>
      <c r="I7654" s="19" t="s">
        <v>114</v>
      </c>
      <c r="J7654" s="20">
        <v>48</v>
      </c>
      <c r="K7654" s="34">
        <v>0</v>
      </c>
      <c r="M7654" s="19">
        <f>IF(OR(ISBLANK(C7654),C7654=""),"",ROUND((C7654-B7654)*24,2))</f>
        <v>55.03</v>
      </c>
      <c r="N7654" s="39" t="str">
        <f>IF(OR(ISBLANK(C7654),C7654="",M7654=""),"In Progress",IF(M7654&lt;=J7654,"Met","Breached"))</f>
        <v>Breached</v>
      </c>
    </row>
    <row r="7655" ht="19" customHeight="1" spans="1:14" x14ac:dyDescent="0.25">
      <c r="A7655" s="22" t="s">
        <v>7769</v>
      </c>
      <c r="B7655" s="36">
        <v>45854.225</v>
      </c>
      <c r="C7655" s="36">
        <v>45855.069444444445</v>
      </c>
      <c r="D7655" s="22" t="s">
        <v>33</v>
      </c>
      <c r="E7655" s="22" t="s">
        <v>61</v>
      </c>
      <c r="F7655" s="22" t="s">
        <v>37</v>
      </c>
      <c r="G7655" s="22" t="s">
        <v>116</v>
      </c>
      <c r="H7655" s="22" t="s">
        <v>63</v>
      </c>
      <c r="I7655" s="22" t="s">
        <v>123</v>
      </c>
      <c r="J7655" s="23">
        <v>12</v>
      </c>
      <c r="K7655" s="37">
        <v>1</v>
      </c>
      <c r="M7655" s="22">
        <f>IF(OR(ISBLANK(C7655),C7655=""),"",ROUND((C7655-B7655)*24,2))</f>
        <v>20.27</v>
      </c>
      <c r="N7655" s="38" t="str">
        <f>IF(OR(ISBLANK(C7655),C7655="",M7655=""),"In Progress",IF(M7655&lt;=J7655,"Met","Breached"))</f>
        <v>Breached</v>
      </c>
    </row>
    <row r="7656" ht="19" customHeight="1" spans="1:14" x14ac:dyDescent="0.25">
      <c r="A7656" s="19" t="s">
        <v>7770</v>
      </c>
      <c r="B7656" s="33">
        <v>45931.02777777778</v>
      </c>
      <c r="C7656" s="33">
        <v>45933.711805555555</v>
      </c>
      <c r="D7656" s="19" t="s">
        <v>33</v>
      </c>
      <c r="E7656" s="19" t="s">
        <v>65</v>
      </c>
      <c r="F7656" s="19" t="s">
        <v>43</v>
      </c>
      <c r="G7656" s="19" t="s">
        <v>116</v>
      </c>
      <c r="H7656" s="19" t="s">
        <v>63</v>
      </c>
      <c r="I7656" s="19" t="s">
        <v>147</v>
      </c>
      <c r="J7656" s="20">
        <v>48</v>
      </c>
      <c r="K7656" s="34">
        <v>0</v>
      </c>
      <c r="L7656" s="34">
        <v>3</v>
      </c>
      <c r="M7656" s="19">
        <f>IF(OR(ISBLANK(C7656),C7656=""),"",ROUND((C7656-B7656)*24,2))</f>
        <v>64.42</v>
      </c>
      <c r="N7656" s="39" t="str">
        <f>IF(OR(ISBLANK(C7656),C7656="",M7656=""),"In Progress",IF(M7656&lt;=J7656,"Met","Breached"))</f>
        <v>Breached</v>
      </c>
    </row>
    <row r="7657" ht="19" customHeight="1" spans="1:14" x14ac:dyDescent="0.25">
      <c r="A7657" s="22" t="s">
        <v>7771</v>
      </c>
      <c r="B7657" s="36">
        <v>45726.506944444445</v>
      </c>
      <c r="C7657" s="36">
        <v>45726.617361111115</v>
      </c>
      <c r="D7657" s="22" t="s">
        <v>36</v>
      </c>
      <c r="E7657" s="22" t="s">
        <v>57</v>
      </c>
      <c r="F7657" s="22" t="s">
        <v>45</v>
      </c>
      <c r="G7657" s="22" t="s">
        <v>113</v>
      </c>
      <c r="H7657" s="22" t="s">
        <v>71</v>
      </c>
      <c r="I7657" s="22" t="s">
        <v>108</v>
      </c>
      <c r="J7657" s="23">
        <v>4</v>
      </c>
      <c r="K7657" s="37">
        <v>0</v>
      </c>
      <c r="L7657" s="37">
        <v>4</v>
      </c>
      <c r="M7657" s="22">
        <f>IF(OR(ISBLANK(C7657),C7657=""),"",ROUND((C7657-B7657)*24,2))</f>
        <v>2.65</v>
      </c>
      <c r="N7657" s="40" t="str">
        <f>IF(OR(ISBLANK(C7657),C7657="",M7657=""),"In Progress",IF(M7657&lt;=J7657,"Met","Breached"))</f>
        <v>Met</v>
      </c>
    </row>
    <row r="7658" ht="19" customHeight="1" spans="1:14" x14ac:dyDescent="0.25">
      <c r="A7658" s="19" t="s">
        <v>7772</v>
      </c>
      <c r="B7658" s="33">
        <v>45876.25833333333</v>
      </c>
      <c r="C7658" s="33">
        <v>45878.13402777778</v>
      </c>
      <c r="D7658" s="19" t="s">
        <v>36</v>
      </c>
      <c r="E7658" s="19" t="s">
        <v>65</v>
      </c>
      <c r="F7658" s="19" t="s">
        <v>34</v>
      </c>
      <c r="G7658" s="19" t="s">
        <v>63</v>
      </c>
      <c r="H7658" s="19" t="s">
        <v>59</v>
      </c>
      <c r="I7658" s="19" t="s">
        <v>123</v>
      </c>
      <c r="J7658" s="20">
        <v>48</v>
      </c>
      <c r="K7658" s="34">
        <v>0</v>
      </c>
      <c r="L7658" s="34">
        <v>4</v>
      </c>
      <c r="M7658" s="19">
        <f>IF(OR(ISBLANK(C7658),C7658=""),"",ROUND((C7658-B7658)*24,2))</f>
        <v>45.02</v>
      </c>
      <c r="N7658" s="35" t="str">
        <f>IF(OR(ISBLANK(C7658),C7658="",M7658=""),"In Progress",IF(M7658&lt;=J7658,"Met","Breached"))</f>
        <v>Met</v>
      </c>
    </row>
    <row r="7659" ht="19" customHeight="1" spans="1:14" x14ac:dyDescent="0.25">
      <c r="A7659" s="22" t="s">
        <v>7773</v>
      </c>
      <c r="B7659" s="36">
        <v>45812.83819444444</v>
      </c>
      <c r="C7659" s="36">
        <v>45815.10972222222</v>
      </c>
      <c r="D7659" s="22" t="s">
        <v>33</v>
      </c>
      <c r="E7659" s="22" t="s">
        <v>65</v>
      </c>
      <c r="F7659" s="22" t="s">
        <v>37</v>
      </c>
      <c r="G7659" s="22" t="s">
        <v>116</v>
      </c>
      <c r="H7659" s="22" t="s">
        <v>67</v>
      </c>
      <c r="I7659" s="22" t="s">
        <v>108</v>
      </c>
      <c r="J7659" s="23">
        <v>48</v>
      </c>
      <c r="K7659" s="37">
        <v>0</v>
      </c>
      <c r="M7659" s="22">
        <f>IF(OR(ISBLANK(C7659),C7659=""),"",ROUND((C7659-B7659)*24,2))</f>
        <v>54.52</v>
      </c>
      <c r="N7659" s="38" t="str">
        <f>IF(OR(ISBLANK(C7659),C7659="",M7659=""),"In Progress",IF(M7659&lt;=J7659,"Met","Breached"))</f>
        <v>Breached</v>
      </c>
    </row>
    <row r="7660" ht="19" customHeight="1" spans="1:14" x14ac:dyDescent="0.25">
      <c r="A7660" s="19" t="s">
        <v>7774</v>
      </c>
      <c r="B7660" s="33">
        <v>45973.99791666667</v>
      </c>
      <c r="C7660" s="33">
        <v>45974.867361111115</v>
      </c>
      <c r="D7660" s="19" t="s">
        <v>33</v>
      </c>
      <c r="E7660" s="19" t="s">
        <v>61</v>
      </c>
      <c r="F7660" s="19" t="s">
        <v>45</v>
      </c>
      <c r="G7660" s="19" t="s">
        <v>63</v>
      </c>
      <c r="H7660" s="19" t="s">
        <v>59</v>
      </c>
      <c r="I7660" s="19" t="s">
        <v>117</v>
      </c>
      <c r="J7660" s="20">
        <v>12</v>
      </c>
      <c r="K7660" s="34">
        <v>0</v>
      </c>
      <c r="L7660" s="34">
        <v>4</v>
      </c>
      <c r="M7660" s="19">
        <f>IF(OR(ISBLANK(C7660),C7660=""),"",ROUND((C7660-B7660)*24,2))</f>
        <v>20.87</v>
      </c>
      <c r="N7660" s="39" t="str">
        <f>IF(OR(ISBLANK(C7660),C7660="",M7660=""),"In Progress",IF(M7660&lt;=J7660,"Met","Breached"))</f>
        <v>Breached</v>
      </c>
    </row>
    <row r="7661" ht="19" customHeight="1" spans="1:14" x14ac:dyDescent="0.25">
      <c r="A7661" s="22" t="s">
        <v>7775</v>
      </c>
      <c r="B7661" s="36">
        <v>46237.30347222222</v>
      </c>
      <c r="C7661" s="36">
        <v>46237.48888888889</v>
      </c>
      <c r="D7661" s="22" t="s">
        <v>36</v>
      </c>
      <c r="E7661" s="22" t="s">
        <v>57</v>
      </c>
      <c r="F7661" s="22" t="s">
        <v>40</v>
      </c>
      <c r="G7661" s="22" t="s">
        <v>121</v>
      </c>
      <c r="H7661" s="22" t="s">
        <v>67</v>
      </c>
      <c r="I7661" s="22" t="s">
        <v>123</v>
      </c>
      <c r="J7661" s="23">
        <v>4</v>
      </c>
      <c r="K7661" s="37">
        <v>0</v>
      </c>
      <c r="L7661" s="37">
        <v>2</v>
      </c>
      <c r="M7661" s="22">
        <f>IF(OR(ISBLANK(C7661),C7661=""),"",ROUND((C7661-B7661)*24,2))</f>
        <v>4.45</v>
      </c>
      <c r="N7661" s="38" t="str">
        <f>IF(OR(ISBLANK(C7661),C7661="",M7661=""),"In Progress",IF(M7661&lt;=J7661,"Met","Breached"))</f>
        <v>Breached</v>
      </c>
    </row>
    <row r="7662" ht="19" customHeight="1" spans="1:14" x14ac:dyDescent="0.25">
      <c r="A7662" s="19" t="s">
        <v>7776</v>
      </c>
      <c r="B7662" s="33">
        <v>46135.78402777778</v>
      </c>
      <c r="C7662" s="33">
        <v>46139.325694444444</v>
      </c>
      <c r="D7662" s="19" t="s">
        <v>33</v>
      </c>
      <c r="E7662" s="19" t="s">
        <v>65</v>
      </c>
      <c r="F7662" s="19" t="s">
        <v>37</v>
      </c>
      <c r="G7662" s="19" t="s">
        <v>110</v>
      </c>
      <c r="H7662" s="19" t="s">
        <v>67</v>
      </c>
      <c r="I7662" s="19" t="s">
        <v>147</v>
      </c>
      <c r="J7662" s="20">
        <v>48</v>
      </c>
      <c r="K7662" s="34">
        <v>0</v>
      </c>
      <c r="L7662" s="34">
        <v>3</v>
      </c>
      <c r="M7662" s="19">
        <f>IF(OR(ISBLANK(C7662),C7662=""),"",ROUND((C7662-B7662)*24,2))</f>
        <v>85</v>
      </c>
      <c r="N7662" s="39" t="str">
        <f>IF(OR(ISBLANK(C7662),C7662="",M7662=""),"In Progress",IF(M7662&lt;=J7662,"Met","Breached"))</f>
        <v>Breached</v>
      </c>
    </row>
    <row r="7663" ht="19" customHeight="1" spans="1:14" x14ac:dyDescent="0.25">
      <c r="A7663" s="22" t="s">
        <v>7777</v>
      </c>
      <c r="B7663" s="36">
        <v>45904.39444444445</v>
      </c>
      <c r="C7663" s="36">
        <v>45906.85486111111</v>
      </c>
      <c r="D7663" s="22" t="s">
        <v>33</v>
      </c>
      <c r="E7663" s="22" t="s">
        <v>69</v>
      </c>
      <c r="F7663" s="22" t="s">
        <v>45</v>
      </c>
      <c r="G7663" s="22" t="s">
        <v>113</v>
      </c>
      <c r="H7663" s="22" t="s">
        <v>59</v>
      </c>
      <c r="I7663" s="22" t="s">
        <v>123</v>
      </c>
      <c r="J7663" s="23">
        <v>120</v>
      </c>
      <c r="K7663" s="37">
        <v>0</v>
      </c>
      <c r="L7663" s="37">
        <v>4</v>
      </c>
      <c r="M7663" s="22">
        <f>IF(OR(ISBLANK(C7663),C7663=""),"",ROUND((C7663-B7663)*24,2))</f>
        <v>59.05</v>
      </c>
      <c r="N7663" s="40" t="str">
        <f>IF(OR(ISBLANK(C7663),C7663="",M7663=""),"In Progress",IF(M7663&lt;=J7663,"Met","Breached"))</f>
        <v>Met</v>
      </c>
    </row>
    <row r="7664" ht="19" customHeight="1" spans="1:14" x14ac:dyDescent="0.25">
      <c r="A7664" s="19" t="s">
        <v>7778</v>
      </c>
      <c r="B7664" s="33">
        <v>45747.38402777778</v>
      </c>
      <c r="C7664" s="33">
        <v>45750.148611111115</v>
      </c>
      <c r="D7664" s="19" t="s">
        <v>33</v>
      </c>
      <c r="E7664" s="19" t="s">
        <v>65</v>
      </c>
      <c r="F7664" s="19" t="s">
        <v>45</v>
      </c>
      <c r="G7664" s="19" t="s">
        <v>116</v>
      </c>
      <c r="H7664" s="19" t="s">
        <v>59</v>
      </c>
      <c r="I7664" s="19" t="s">
        <v>111</v>
      </c>
      <c r="J7664" s="20">
        <v>48</v>
      </c>
      <c r="K7664" s="34">
        <v>0</v>
      </c>
      <c r="L7664" s="34">
        <v>2</v>
      </c>
      <c r="M7664" s="19">
        <f>IF(OR(ISBLANK(C7664),C7664=""),"",ROUND((C7664-B7664)*24,2))</f>
        <v>66.35</v>
      </c>
      <c r="N7664" s="39" t="str">
        <f>IF(OR(ISBLANK(C7664),C7664="",M7664=""),"In Progress",IF(M7664&lt;=J7664,"Met","Breached"))</f>
        <v>Breached</v>
      </c>
    </row>
    <row r="7665" ht="19" customHeight="1" spans="1:14" x14ac:dyDescent="0.25">
      <c r="A7665" s="22" t="s">
        <v>7779</v>
      </c>
      <c r="B7665" s="36">
        <v>45842.211111111115</v>
      </c>
      <c r="C7665" s="36">
        <v>45842.48333333334</v>
      </c>
      <c r="D7665" s="22" t="s">
        <v>33</v>
      </c>
      <c r="E7665" s="22" t="s">
        <v>57</v>
      </c>
      <c r="F7665" s="22" t="s">
        <v>37</v>
      </c>
      <c r="G7665" s="22" t="s">
        <v>113</v>
      </c>
      <c r="H7665" s="22" t="s">
        <v>59</v>
      </c>
      <c r="I7665" s="22" t="s">
        <v>117</v>
      </c>
      <c r="J7665" s="23">
        <v>4</v>
      </c>
      <c r="K7665" s="37">
        <v>1</v>
      </c>
      <c r="L7665" s="37">
        <v>2</v>
      </c>
      <c r="M7665" s="22">
        <f>IF(OR(ISBLANK(C7665),C7665=""),"",ROUND((C7665-B7665)*24,2))</f>
        <v>6.53</v>
      </c>
      <c r="N7665" s="38" t="str">
        <f>IF(OR(ISBLANK(C7665),C7665="",M7665=""),"In Progress",IF(M7665&lt;=J7665,"Met","Breached"))</f>
        <v>Breached</v>
      </c>
    </row>
    <row r="7666" ht="19" customHeight="1" spans="1:14" x14ac:dyDescent="0.25">
      <c r="A7666" s="19" t="s">
        <v>7780</v>
      </c>
      <c r="B7666" s="33">
        <v>46259.06111111111</v>
      </c>
      <c r="C7666" s="33">
        <v>46260.19652777778</v>
      </c>
      <c r="D7666" s="19" t="s">
        <v>33</v>
      </c>
      <c r="E7666" s="19" t="s">
        <v>65</v>
      </c>
      <c r="F7666" s="19" t="s">
        <v>45</v>
      </c>
      <c r="G7666" s="19" t="s">
        <v>126</v>
      </c>
      <c r="H7666" s="19" t="s">
        <v>59</v>
      </c>
      <c r="I7666" s="19" t="s">
        <v>117</v>
      </c>
      <c r="J7666" s="20">
        <v>48</v>
      </c>
      <c r="K7666" s="34">
        <v>0</v>
      </c>
      <c r="L7666" s="34">
        <v>3</v>
      </c>
      <c r="M7666" s="19">
        <f>IF(OR(ISBLANK(C7666),C7666=""),"",ROUND((C7666-B7666)*24,2))</f>
        <v>27.25</v>
      </c>
      <c r="N7666" s="35" t="str">
        <f>IF(OR(ISBLANK(C7666),C7666="",M7666=""),"In Progress",IF(M7666&lt;=J7666,"Met","Breached"))</f>
        <v>Met</v>
      </c>
    </row>
    <row r="7667" ht="19" customHeight="1" spans="1:14" x14ac:dyDescent="0.25">
      <c r="A7667" s="22" t="s">
        <v>7781</v>
      </c>
      <c r="B7667" s="36">
        <v>45765.99861111111</v>
      </c>
      <c r="C7667" s="36">
        <v>45766.851388888885</v>
      </c>
      <c r="D7667" s="22" t="s">
        <v>36</v>
      </c>
      <c r="E7667" s="22" t="s">
        <v>61</v>
      </c>
      <c r="F7667" s="22" t="s">
        <v>37</v>
      </c>
      <c r="G7667" s="22" t="s">
        <v>113</v>
      </c>
      <c r="H7667" s="22" t="s">
        <v>59</v>
      </c>
      <c r="I7667" s="22" t="s">
        <v>147</v>
      </c>
      <c r="J7667" s="23">
        <v>12</v>
      </c>
      <c r="K7667" s="37">
        <v>0</v>
      </c>
      <c r="M7667" s="22">
        <f>IF(OR(ISBLANK(C7667),C7667=""),"",ROUND((C7667-B7667)*24,2))</f>
        <v>20.47</v>
      </c>
      <c r="N7667" s="38" t="str">
        <f>IF(OR(ISBLANK(C7667),C7667="",M7667=""),"In Progress",IF(M7667&lt;=J7667,"Met","Breached"))</f>
        <v>Breached</v>
      </c>
    </row>
    <row r="7668" ht="19" customHeight="1" spans="1:14" x14ac:dyDescent="0.25">
      <c r="A7668" s="19" t="s">
        <v>7782</v>
      </c>
      <c r="B7668" s="33">
        <v>45818.41875</v>
      </c>
      <c r="D7668" s="19" t="s">
        <v>39</v>
      </c>
      <c r="E7668" s="19" t="s">
        <v>61</v>
      </c>
      <c r="F7668" s="19" t="s">
        <v>40</v>
      </c>
      <c r="G7668" s="19" t="s">
        <v>116</v>
      </c>
      <c r="H7668" s="19" t="s">
        <v>59</v>
      </c>
      <c r="I7668" s="19" t="s">
        <v>111</v>
      </c>
      <c r="J7668" s="20">
        <v>12</v>
      </c>
      <c r="K7668" s="34">
        <v>0</v>
      </c>
      <c r="M7668" s="19" t="str">
        <f>IF(OR(ISBLANK(C7668),C7668=""),"",ROUND((C7668-B7668)*24,2))</f>
        <v/>
      </c>
      <c r="N7668" s="19" t="str">
        <f>IF(OR(ISBLANK(C7668),C7668="",M7668=""),"In Progress",IF(M7668&lt;=J7668,"Met","Breached"))</f>
        <v>In Progress</v>
      </c>
    </row>
    <row r="7669" ht="19" customHeight="1" spans="1:14" x14ac:dyDescent="0.25">
      <c r="A7669" s="22" t="s">
        <v>7783</v>
      </c>
      <c r="B7669" s="36">
        <v>45936.3</v>
      </c>
      <c r="C7669" s="36">
        <v>45939.27777777778</v>
      </c>
      <c r="D7669" s="22" t="s">
        <v>33</v>
      </c>
      <c r="E7669" s="22" t="s">
        <v>65</v>
      </c>
      <c r="F7669" s="22" t="s">
        <v>43</v>
      </c>
      <c r="G7669" s="22" t="s">
        <v>63</v>
      </c>
      <c r="H7669" s="22" t="s">
        <v>71</v>
      </c>
      <c r="I7669" s="22" t="s">
        <v>114</v>
      </c>
      <c r="J7669" s="23">
        <v>48</v>
      </c>
      <c r="K7669" s="37">
        <v>0</v>
      </c>
      <c r="L7669" s="37">
        <v>5</v>
      </c>
      <c r="M7669" s="22">
        <f>IF(OR(ISBLANK(C7669),C7669=""),"",ROUND((C7669-B7669)*24,2))</f>
        <v>71.47</v>
      </c>
      <c r="N7669" s="38" t="str">
        <f>IF(OR(ISBLANK(C7669),C7669="",M7669=""),"In Progress",IF(M7669&lt;=J7669,"Met","Breached"))</f>
        <v>Breached</v>
      </c>
    </row>
    <row r="7670" ht="19" customHeight="1" spans="1:14" x14ac:dyDescent="0.25">
      <c r="A7670" s="19" t="s">
        <v>7784</v>
      </c>
      <c r="B7670" s="33">
        <v>45985.98472222222</v>
      </c>
      <c r="C7670" s="33">
        <v>45986.36388888889</v>
      </c>
      <c r="D7670" s="19" t="s">
        <v>33</v>
      </c>
      <c r="E7670" s="19" t="s">
        <v>61</v>
      </c>
      <c r="F7670" s="19" t="s">
        <v>45</v>
      </c>
      <c r="G7670" s="19" t="s">
        <v>63</v>
      </c>
      <c r="H7670" s="19" t="s">
        <v>59</v>
      </c>
      <c r="I7670" s="19" t="s">
        <v>111</v>
      </c>
      <c r="J7670" s="20">
        <v>12</v>
      </c>
      <c r="K7670" s="34">
        <v>0</v>
      </c>
      <c r="L7670" s="34">
        <v>4</v>
      </c>
      <c r="M7670" s="19">
        <f>IF(OR(ISBLANK(C7670),C7670=""),"",ROUND((C7670-B7670)*24,2))</f>
        <v>9.1</v>
      </c>
      <c r="N7670" s="35" t="str">
        <f>IF(OR(ISBLANK(C7670),C7670="",M7670=""),"In Progress",IF(M7670&lt;=J7670,"Met","Breached"))</f>
        <v>Met</v>
      </c>
    </row>
    <row r="7671" ht="19" customHeight="1" spans="1:14" x14ac:dyDescent="0.25">
      <c r="A7671" s="22" t="s">
        <v>7785</v>
      </c>
      <c r="B7671" s="36">
        <v>45991.06111111111</v>
      </c>
      <c r="D7671" s="22" t="s">
        <v>39</v>
      </c>
      <c r="E7671" s="22" t="s">
        <v>61</v>
      </c>
      <c r="F7671" s="22" t="s">
        <v>43</v>
      </c>
      <c r="G7671" s="22" t="s">
        <v>110</v>
      </c>
      <c r="H7671" s="22" t="s">
        <v>71</v>
      </c>
      <c r="I7671" s="22" t="s">
        <v>117</v>
      </c>
      <c r="J7671" s="23">
        <v>12</v>
      </c>
      <c r="K7671" s="37">
        <v>0</v>
      </c>
      <c r="M7671" s="22" t="str">
        <f>IF(OR(ISBLANK(C7671),C7671=""),"",ROUND((C7671-B7671)*24,2))</f>
        <v/>
      </c>
      <c r="N7671" s="22" t="str">
        <f>IF(OR(ISBLANK(C7671),C7671="",M7671=""),"In Progress",IF(M7671&lt;=J7671,"Met","Breached"))</f>
        <v>In Progress</v>
      </c>
    </row>
    <row r="7672" ht="19" customHeight="1" spans="1:14" x14ac:dyDescent="0.25">
      <c r="A7672" s="19" t="s">
        <v>7786</v>
      </c>
      <c r="B7672" s="33">
        <v>46100.24513888889</v>
      </c>
      <c r="C7672" s="33">
        <v>46100.433333333334</v>
      </c>
      <c r="D7672" s="19" t="s">
        <v>36</v>
      </c>
      <c r="E7672" s="19" t="s">
        <v>57</v>
      </c>
      <c r="F7672" s="19" t="s">
        <v>34</v>
      </c>
      <c r="G7672" s="19" t="s">
        <v>126</v>
      </c>
      <c r="H7672" s="19" t="s">
        <v>59</v>
      </c>
      <c r="I7672" s="19" t="s">
        <v>117</v>
      </c>
      <c r="J7672" s="20">
        <v>4</v>
      </c>
      <c r="K7672" s="34">
        <v>0</v>
      </c>
      <c r="L7672" s="34">
        <v>4</v>
      </c>
      <c r="M7672" s="19">
        <f>IF(OR(ISBLANK(C7672),C7672=""),"",ROUND((C7672-B7672)*24,2))</f>
        <v>4.52</v>
      </c>
      <c r="N7672" s="39" t="str">
        <f>IF(OR(ISBLANK(C7672),C7672="",M7672=""),"In Progress",IF(M7672&lt;=J7672,"Met","Breached"))</f>
        <v>Breached</v>
      </c>
    </row>
    <row r="7673" ht="19" customHeight="1" spans="1:14" x14ac:dyDescent="0.25">
      <c r="A7673" s="22" t="s">
        <v>7787</v>
      </c>
      <c r="B7673" s="36">
        <v>45975.294444444444</v>
      </c>
      <c r="C7673" s="36">
        <v>45976.086111111115</v>
      </c>
      <c r="D7673" s="22" t="s">
        <v>33</v>
      </c>
      <c r="E7673" s="22" t="s">
        <v>65</v>
      </c>
      <c r="F7673" s="22" t="s">
        <v>43</v>
      </c>
      <c r="G7673" s="22" t="s">
        <v>126</v>
      </c>
      <c r="H7673" s="22" t="s">
        <v>59</v>
      </c>
      <c r="I7673" s="22" t="s">
        <v>114</v>
      </c>
      <c r="J7673" s="23">
        <v>48</v>
      </c>
      <c r="K7673" s="37">
        <v>0</v>
      </c>
      <c r="M7673" s="22">
        <f>IF(OR(ISBLANK(C7673),C7673=""),"",ROUND((C7673-B7673)*24,2))</f>
        <v>19</v>
      </c>
      <c r="N7673" s="40" t="str">
        <f>IF(OR(ISBLANK(C7673),C7673="",M7673=""),"In Progress",IF(M7673&lt;=J7673,"Met","Breached"))</f>
        <v>Met</v>
      </c>
    </row>
    <row r="7674" ht="19" customHeight="1" spans="1:14" x14ac:dyDescent="0.25">
      <c r="A7674" s="19" t="s">
        <v>7788</v>
      </c>
      <c r="B7674" s="33">
        <v>45710.45138888889</v>
      </c>
      <c r="D7674" s="19" t="s">
        <v>39</v>
      </c>
      <c r="E7674" s="19" t="s">
        <v>65</v>
      </c>
      <c r="F7674" s="19" t="s">
        <v>37</v>
      </c>
      <c r="G7674" s="19" t="s">
        <v>110</v>
      </c>
      <c r="H7674" s="19" t="s">
        <v>67</v>
      </c>
      <c r="I7674" s="19" t="s">
        <v>111</v>
      </c>
      <c r="J7674" s="20">
        <v>48</v>
      </c>
      <c r="K7674" s="34">
        <v>0</v>
      </c>
      <c r="M7674" s="19" t="str">
        <f>IF(OR(ISBLANK(C7674),C7674=""),"",ROUND((C7674-B7674)*24,2))</f>
        <v/>
      </c>
      <c r="N7674" s="19" t="str">
        <f>IF(OR(ISBLANK(C7674),C7674="",M7674=""),"In Progress",IF(M7674&lt;=J7674,"Met","Breached"))</f>
        <v>In Progress</v>
      </c>
    </row>
    <row r="7675" ht="19" customHeight="1" spans="1:14" x14ac:dyDescent="0.25">
      <c r="A7675" s="22" t="s">
        <v>7789</v>
      </c>
      <c r="B7675" s="36">
        <v>45707.68611111111</v>
      </c>
      <c r="D7675" s="22" t="s">
        <v>39</v>
      </c>
      <c r="E7675" s="22" t="s">
        <v>65</v>
      </c>
      <c r="F7675" s="22" t="s">
        <v>37</v>
      </c>
      <c r="G7675" s="22" t="s">
        <v>110</v>
      </c>
      <c r="H7675" s="22" t="s">
        <v>63</v>
      </c>
      <c r="I7675" s="22" t="s">
        <v>117</v>
      </c>
      <c r="J7675" s="23">
        <v>48</v>
      </c>
      <c r="K7675" s="37">
        <v>0</v>
      </c>
      <c r="M7675" s="22" t="str">
        <f>IF(OR(ISBLANK(C7675),C7675=""),"",ROUND((C7675-B7675)*24,2))</f>
        <v/>
      </c>
      <c r="N7675" s="22" t="str">
        <f>IF(OR(ISBLANK(C7675),C7675="",M7675=""),"In Progress",IF(M7675&lt;=J7675,"Met","Breached"))</f>
        <v>In Progress</v>
      </c>
    </row>
    <row r="7676" ht="19" customHeight="1" spans="1:14" x14ac:dyDescent="0.25">
      <c r="A7676" s="19" t="s">
        <v>7790</v>
      </c>
      <c r="B7676" s="33">
        <v>45973.31111111111</v>
      </c>
      <c r="C7676" s="33">
        <v>45978.62152777778</v>
      </c>
      <c r="D7676" s="19" t="s">
        <v>33</v>
      </c>
      <c r="E7676" s="19" t="s">
        <v>69</v>
      </c>
      <c r="F7676" s="19" t="s">
        <v>40</v>
      </c>
      <c r="G7676" s="19" t="s">
        <v>113</v>
      </c>
      <c r="H7676" s="19" t="s">
        <v>59</v>
      </c>
      <c r="I7676" s="19" t="s">
        <v>108</v>
      </c>
      <c r="J7676" s="20">
        <v>120</v>
      </c>
      <c r="K7676" s="34">
        <v>0</v>
      </c>
      <c r="L7676" s="34">
        <v>3</v>
      </c>
      <c r="M7676" s="19">
        <f>IF(OR(ISBLANK(C7676),C7676=""),"",ROUND((C7676-B7676)*24,2))</f>
        <v>127.45</v>
      </c>
      <c r="N7676" s="39" t="str">
        <f>IF(OR(ISBLANK(C7676),C7676="",M7676=""),"In Progress",IF(M7676&lt;=J7676,"Met","Breached"))</f>
        <v>Breached</v>
      </c>
    </row>
    <row r="7677" ht="19" customHeight="1" spans="1:14" x14ac:dyDescent="0.25">
      <c r="A7677" s="22" t="s">
        <v>7791</v>
      </c>
      <c r="B7677" s="36">
        <v>46054.33541666667</v>
      </c>
      <c r="C7677" s="36">
        <v>46054.84027777778</v>
      </c>
      <c r="D7677" s="22" t="s">
        <v>33</v>
      </c>
      <c r="E7677" s="22" t="s">
        <v>61</v>
      </c>
      <c r="F7677" s="22" t="s">
        <v>34</v>
      </c>
      <c r="G7677" s="22" t="s">
        <v>121</v>
      </c>
      <c r="H7677" s="22" t="s">
        <v>63</v>
      </c>
      <c r="I7677" s="22" t="s">
        <v>111</v>
      </c>
      <c r="J7677" s="23">
        <v>12</v>
      </c>
      <c r="K7677" s="37">
        <v>0</v>
      </c>
      <c r="M7677" s="22">
        <f>IF(OR(ISBLANK(C7677),C7677=""),"",ROUND((C7677-B7677)*24,2))</f>
        <v>12.12</v>
      </c>
      <c r="N7677" s="38" t="str">
        <f>IF(OR(ISBLANK(C7677),C7677="",M7677=""),"In Progress",IF(M7677&lt;=J7677,"Met","Breached"))</f>
        <v>Breached</v>
      </c>
    </row>
    <row r="7678" ht="19" customHeight="1" spans="1:14" x14ac:dyDescent="0.25">
      <c r="A7678" s="19" t="s">
        <v>7792</v>
      </c>
      <c r="B7678" s="33">
        <v>45757.46041666667</v>
      </c>
      <c r="C7678" s="33">
        <v>45759.58541666667</v>
      </c>
      <c r="D7678" s="19" t="s">
        <v>33</v>
      </c>
      <c r="E7678" s="19" t="s">
        <v>65</v>
      </c>
      <c r="F7678" s="19" t="s">
        <v>40</v>
      </c>
      <c r="G7678" s="19" t="s">
        <v>116</v>
      </c>
      <c r="H7678" s="19" t="s">
        <v>59</v>
      </c>
      <c r="I7678" s="19" t="s">
        <v>123</v>
      </c>
      <c r="J7678" s="20">
        <v>48</v>
      </c>
      <c r="K7678" s="34">
        <v>0</v>
      </c>
      <c r="L7678" s="34">
        <v>1</v>
      </c>
      <c r="M7678" s="19">
        <f>IF(OR(ISBLANK(C7678),C7678=""),"",ROUND((C7678-B7678)*24,2))</f>
        <v>51</v>
      </c>
      <c r="N7678" s="39" t="str">
        <f>IF(OR(ISBLANK(C7678),C7678="",M7678=""),"In Progress",IF(M7678&lt;=J7678,"Met","Breached"))</f>
        <v>Breached</v>
      </c>
    </row>
    <row r="7679" ht="19" customHeight="1" spans="1:14" x14ac:dyDescent="0.25">
      <c r="A7679" s="22" t="s">
        <v>7793</v>
      </c>
      <c r="B7679" s="36">
        <v>46116.8125</v>
      </c>
      <c r="C7679" s="36">
        <v>46122.353472222225</v>
      </c>
      <c r="D7679" s="22" t="s">
        <v>33</v>
      </c>
      <c r="E7679" s="22" t="s">
        <v>69</v>
      </c>
      <c r="F7679" s="22" t="s">
        <v>45</v>
      </c>
      <c r="G7679" s="22" t="s">
        <v>116</v>
      </c>
      <c r="H7679" s="22" t="s">
        <v>63</v>
      </c>
      <c r="I7679" s="22" t="s">
        <v>147</v>
      </c>
      <c r="J7679" s="23">
        <v>120</v>
      </c>
      <c r="K7679" s="37">
        <v>0</v>
      </c>
      <c r="L7679" s="37">
        <v>3</v>
      </c>
      <c r="M7679" s="22">
        <f>IF(OR(ISBLANK(C7679),C7679=""),"",ROUND((C7679-B7679)*24,2))</f>
        <v>132.98</v>
      </c>
      <c r="N7679" s="38" t="str">
        <f>IF(OR(ISBLANK(C7679),C7679="",M7679=""),"In Progress",IF(M7679&lt;=J7679,"Met","Breached"))</f>
        <v>Breached</v>
      </c>
    </row>
    <row r="7680" ht="19" customHeight="1" spans="1:14" x14ac:dyDescent="0.25">
      <c r="A7680" s="19" t="s">
        <v>7794</v>
      </c>
      <c r="B7680" s="33">
        <v>45976.51180555555</v>
      </c>
      <c r="C7680" s="33">
        <v>45976.79722222222</v>
      </c>
      <c r="D7680" s="19" t="s">
        <v>33</v>
      </c>
      <c r="E7680" s="19" t="s">
        <v>57</v>
      </c>
      <c r="F7680" s="19" t="s">
        <v>40</v>
      </c>
      <c r="G7680" s="19" t="s">
        <v>110</v>
      </c>
      <c r="H7680" s="19" t="s">
        <v>67</v>
      </c>
      <c r="I7680" s="19" t="s">
        <v>147</v>
      </c>
      <c r="J7680" s="20">
        <v>4</v>
      </c>
      <c r="K7680" s="34">
        <v>0</v>
      </c>
      <c r="M7680" s="19">
        <f>IF(OR(ISBLANK(C7680),C7680=""),"",ROUND((C7680-B7680)*24,2))</f>
        <v>6.85</v>
      </c>
      <c r="N7680" s="39" t="str">
        <f>IF(OR(ISBLANK(C7680),C7680="",M7680=""),"In Progress",IF(M7680&lt;=J7680,"Met","Breached"))</f>
        <v>Breached</v>
      </c>
    </row>
    <row r="7681" ht="19" customHeight="1" spans="1:14" x14ac:dyDescent="0.25">
      <c r="A7681" s="22" t="s">
        <v>7795</v>
      </c>
      <c r="B7681" s="36">
        <v>45780.57986111111</v>
      </c>
      <c r="C7681" s="36">
        <v>45781.19305555556</v>
      </c>
      <c r="D7681" s="22" t="s">
        <v>36</v>
      </c>
      <c r="E7681" s="22" t="s">
        <v>61</v>
      </c>
      <c r="F7681" s="22" t="s">
        <v>34</v>
      </c>
      <c r="G7681" s="22" t="s">
        <v>116</v>
      </c>
      <c r="H7681" s="22" t="s">
        <v>59</v>
      </c>
      <c r="I7681" s="22" t="s">
        <v>117</v>
      </c>
      <c r="J7681" s="23">
        <v>12</v>
      </c>
      <c r="K7681" s="37">
        <v>1</v>
      </c>
      <c r="M7681" s="22">
        <f>IF(OR(ISBLANK(C7681),C7681=""),"",ROUND((C7681-B7681)*24,2))</f>
        <v>14.72</v>
      </c>
      <c r="N7681" s="38" t="str">
        <f>IF(OR(ISBLANK(C7681),C7681="",M7681=""),"In Progress",IF(M7681&lt;=J7681,"Met","Breached"))</f>
        <v>Breached</v>
      </c>
    </row>
    <row r="7682" ht="19" customHeight="1" spans="1:14" x14ac:dyDescent="0.25">
      <c r="A7682" s="19" t="s">
        <v>7796</v>
      </c>
      <c r="B7682" s="33">
        <v>45813.049305555556</v>
      </c>
      <c r="C7682" s="33">
        <v>45816.48472222222</v>
      </c>
      <c r="D7682" s="19" t="s">
        <v>33</v>
      </c>
      <c r="E7682" s="19" t="s">
        <v>65</v>
      </c>
      <c r="F7682" s="19" t="s">
        <v>37</v>
      </c>
      <c r="G7682" s="19" t="s">
        <v>63</v>
      </c>
      <c r="H7682" s="19" t="s">
        <v>63</v>
      </c>
      <c r="I7682" s="19" t="s">
        <v>117</v>
      </c>
      <c r="J7682" s="20">
        <v>48</v>
      </c>
      <c r="K7682" s="34">
        <v>0</v>
      </c>
      <c r="L7682" s="34">
        <v>5</v>
      </c>
      <c r="M7682" s="19">
        <f>IF(OR(ISBLANK(C7682),C7682=""),"",ROUND((C7682-B7682)*24,2))</f>
        <v>82.45</v>
      </c>
      <c r="N7682" s="39" t="str">
        <f>IF(OR(ISBLANK(C7682),C7682="",M7682=""),"In Progress",IF(M7682&lt;=J7682,"Met","Breached"))</f>
        <v>Breached</v>
      </c>
    </row>
    <row r="7683" ht="19" customHeight="1" spans="1:14" x14ac:dyDescent="0.25">
      <c r="A7683" s="22" t="s">
        <v>7797</v>
      </c>
      <c r="B7683" s="36">
        <v>46083.16736111111</v>
      </c>
      <c r="C7683" s="36">
        <v>46084.304861111115</v>
      </c>
      <c r="D7683" s="22" t="s">
        <v>33</v>
      </c>
      <c r="E7683" s="22" t="s">
        <v>65</v>
      </c>
      <c r="F7683" s="22" t="s">
        <v>43</v>
      </c>
      <c r="G7683" s="22" t="s">
        <v>121</v>
      </c>
      <c r="H7683" s="22" t="s">
        <v>63</v>
      </c>
      <c r="I7683" s="22" t="s">
        <v>108</v>
      </c>
      <c r="J7683" s="23">
        <v>48</v>
      </c>
      <c r="K7683" s="37">
        <v>0</v>
      </c>
      <c r="M7683" s="22">
        <f>IF(OR(ISBLANK(C7683),C7683=""),"",ROUND((C7683-B7683)*24,2))</f>
        <v>27.3</v>
      </c>
      <c r="N7683" s="40" t="str">
        <f>IF(OR(ISBLANK(C7683),C7683="",M7683=""),"In Progress",IF(M7683&lt;=J7683,"Met","Breached"))</f>
        <v>Met</v>
      </c>
    </row>
    <row r="7684" ht="19" customHeight="1" spans="1:14" x14ac:dyDescent="0.25">
      <c r="A7684" s="19" t="s">
        <v>7798</v>
      </c>
      <c r="B7684" s="33">
        <v>46266.856944444444</v>
      </c>
      <c r="D7684" s="19" t="s">
        <v>42</v>
      </c>
      <c r="E7684" s="19" t="s">
        <v>57</v>
      </c>
      <c r="F7684" s="19" t="s">
        <v>34</v>
      </c>
      <c r="G7684" s="19" t="s">
        <v>116</v>
      </c>
      <c r="H7684" s="19" t="s">
        <v>63</v>
      </c>
      <c r="I7684" s="19" t="s">
        <v>114</v>
      </c>
      <c r="J7684" s="20">
        <v>4</v>
      </c>
      <c r="K7684" s="34">
        <v>0</v>
      </c>
      <c r="M7684" s="19" t="str">
        <f>IF(OR(ISBLANK(C7684),C7684=""),"",ROUND((C7684-B7684)*24,2))</f>
        <v/>
      </c>
      <c r="N7684" s="19" t="str">
        <f>IF(OR(ISBLANK(C7684),C7684="",M7684=""),"In Progress",IF(M7684&lt;=J7684,"Met","Breached"))</f>
        <v>In Progress</v>
      </c>
    </row>
    <row r="7685" ht="19" customHeight="1" spans="1:14" x14ac:dyDescent="0.25">
      <c r="A7685" s="22" t="s">
        <v>7799</v>
      </c>
      <c r="B7685" s="36">
        <v>45748.69236111111</v>
      </c>
      <c r="C7685" s="36">
        <v>45751.700694444444</v>
      </c>
      <c r="D7685" s="22" t="s">
        <v>36</v>
      </c>
      <c r="E7685" s="22" t="s">
        <v>65</v>
      </c>
      <c r="F7685" s="22" t="s">
        <v>37</v>
      </c>
      <c r="G7685" s="22" t="s">
        <v>126</v>
      </c>
      <c r="H7685" s="22" t="s">
        <v>67</v>
      </c>
      <c r="I7685" s="22" t="s">
        <v>108</v>
      </c>
      <c r="J7685" s="23">
        <v>48</v>
      </c>
      <c r="K7685" s="37">
        <v>1</v>
      </c>
      <c r="M7685" s="22">
        <f>IF(OR(ISBLANK(C7685),C7685=""),"",ROUND((C7685-B7685)*24,2))</f>
        <v>72.2</v>
      </c>
      <c r="N7685" s="38" t="str">
        <f>IF(OR(ISBLANK(C7685),C7685="",M7685=""),"In Progress",IF(M7685&lt;=J7685,"Met","Breached"))</f>
        <v>Breached</v>
      </c>
    </row>
    <row r="7686" ht="19" customHeight="1" spans="1:14" x14ac:dyDescent="0.25">
      <c r="A7686" s="19" t="s">
        <v>7800</v>
      </c>
      <c r="B7686" s="33">
        <v>45967.70486111111</v>
      </c>
      <c r="D7686" s="19" t="s">
        <v>42</v>
      </c>
      <c r="E7686" s="19" t="s">
        <v>61</v>
      </c>
      <c r="F7686" s="19" t="s">
        <v>43</v>
      </c>
      <c r="G7686" s="19" t="s">
        <v>110</v>
      </c>
      <c r="H7686" s="19" t="s">
        <v>63</v>
      </c>
      <c r="I7686" s="19" t="s">
        <v>117</v>
      </c>
      <c r="J7686" s="20">
        <v>12</v>
      </c>
      <c r="K7686" s="34">
        <v>0</v>
      </c>
      <c r="M7686" s="19" t="str">
        <f>IF(OR(ISBLANK(C7686),C7686=""),"",ROUND((C7686-B7686)*24,2))</f>
        <v/>
      </c>
      <c r="N7686" s="19" t="str">
        <f>IF(OR(ISBLANK(C7686),C7686="",M7686=""),"In Progress",IF(M7686&lt;=J7686,"Met","Breached"))</f>
        <v>In Progress</v>
      </c>
    </row>
    <row r="7687" ht="19" customHeight="1" spans="1:14" x14ac:dyDescent="0.25">
      <c r="A7687" s="22" t="s">
        <v>7801</v>
      </c>
      <c r="B7687" s="36">
        <v>45903.481944444444</v>
      </c>
      <c r="C7687" s="36">
        <v>45911.17569444445</v>
      </c>
      <c r="D7687" s="22" t="s">
        <v>33</v>
      </c>
      <c r="E7687" s="22" t="s">
        <v>69</v>
      </c>
      <c r="F7687" s="22" t="s">
        <v>40</v>
      </c>
      <c r="G7687" s="22" t="s">
        <v>126</v>
      </c>
      <c r="H7687" s="22" t="s">
        <v>59</v>
      </c>
      <c r="I7687" s="22" t="s">
        <v>147</v>
      </c>
      <c r="J7687" s="23">
        <v>120</v>
      </c>
      <c r="K7687" s="37">
        <v>0</v>
      </c>
      <c r="L7687" s="37">
        <v>4</v>
      </c>
      <c r="M7687" s="22">
        <f>IF(OR(ISBLANK(C7687),C7687=""),"",ROUND((C7687-B7687)*24,2))</f>
        <v>184.65</v>
      </c>
      <c r="N7687" s="38" t="str">
        <f>IF(OR(ISBLANK(C7687),C7687="",M7687=""),"In Progress",IF(M7687&lt;=J7687,"Met","Breached"))</f>
        <v>Breached</v>
      </c>
    </row>
    <row r="7688" ht="19" customHeight="1" spans="1:14" x14ac:dyDescent="0.25">
      <c r="A7688" s="19" t="s">
        <v>7802</v>
      </c>
      <c r="B7688" s="33">
        <v>45716.25347222222</v>
      </c>
      <c r="C7688" s="33">
        <v>45716.95625</v>
      </c>
      <c r="D7688" s="19" t="s">
        <v>36</v>
      </c>
      <c r="E7688" s="19" t="s">
        <v>61</v>
      </c>
      <c r="F7688" s="19" t="s">
        <v>45</v>
      </c>
      <c r="G7688" s="19" t="s">
        <v>116</v>
      </c>
      <c r="H7688" s="19" t="s">
        <v>67</v>
      </c>
      <c r="I7688" s="19" t="s">
        <v>108</v>
      </c>
      <c r="J7688" s="20">
        <v>12</v>
      </c>
      <c r="K7688" s="34">
        <v>0</v>
      </c>
      <c r="L7688" s="34">
        <v>5</v>
      </c>
      <c r="M7688" s="19">
        <f>IF(OR(ISBLANK(C7688),C7688=""),"",ROUND((C7688-B7688)*24,2))</f>
        <v>16.87</v>
      </c>
      <c r="N7688" s="39" t="str">
        <f>IF(OR(ISBLANK(C7688),C7688="",M7688=""),"In Progress",IF(M7688&lt;=J7688,"Met","Breached"))</f>
        <v>Breached</v>
      </c>
    </row>
    <row r="7689" ht="19" customHeight="1" spans="1:14" x14ac:dyDescent="0.25">
      <c r="A7689" s="22" t="s">
        <v>7803</v>
      </c>
      <c r="B7689" s="36">
        <v>45791.86944444444</v>
      </c>
      <c r="C7689" s="36">
        <v>45795.81180555555</v>
      </c>
      <c r="D7689" s="22" t="s">
        <v>33</v>
      </c>
      <c r="E7689" s="22" t="s">
        <v>69</v>
      </c>
      <c r="F7689" s="22" t="s">
        <v>34</v>
      </c>
      <c r="G7689" s="22" t="s">
        <v>126</v>
      </c>
      <c r="H7689" s="22" t="s">
        <v>63</v>
      </c>
      <c r="I7689" s="22" t="s">
        <v>111</v>
      </c>
      <c r="J7689" s="23">
        <v>120</v>
      </c>
      <c r="K7689" s="37">
        <v>0</v>
      </c>
      <c r="L7689" s="37">
        <v>2</v>
      </c>
      <c r="M7689" s="22">
        <f>IF(OR(ISBLANK(C7689),C7689=""),"",ROUND((C7689-B7689)*24,2))</f>
        <v>94.62</v>
      </c>
      <c r="N7689" s="40" t="str">
        <f>IF(OR(ISBLANK(C7689),C7689="",M7689=""),"In Progress",IF(M7689&lt;=J7689,"Met","Breached"))</f>
        <v>Met</v>
      </c>
    </row>
    <row r="7690" ht="19" customHeight="1" spans="1:14" x14ac:dyDescent="0.25">
      <c r="A7690" s="19" t="s">
        <v>7804</v>
      </c>
      <c r="B7690" s="33">
        <v>45727.32430555555</v>
      </c>
      <c r="C7690" s="33">
        <v>45729.65347222222</v>
      </c>
      <c r="D7690" s="19" t="s">
        <v>33</v>
      </c>
      <c r="E7690" s="19" t="s">
        <v>69</v>
      </c>
      <c r="F7690" s="19" t="s">
        <v>34</v>
      </c>
      <c r="G7690" s="19" t="s">
        <v>113</v>
      </c>
      <c r="H7690" s="19" t="s">
        <v>63</v>
      </c>
      <c r="I7690" s="19" t="s">
        <v>114</v>
      </c>
      <c r="J7690" s="20">
        <v>120</v>
      </c>
      <c r="K7690" s="34">
        <v>0</v>
      </c>
      <c r="L7690" s="34">
        <v>2</v>
      </c>
      <c r="M7690" s="19">
        <f>IF(OR(ISBLANK(C7690),C7690=""),"",ROUND((C7690-B7690)*24,2))</f>
        <v>55.9</v>
      </c>
      <c r="N7690" s="35" t="str">
        <f>IF(OR(ISBLANK(C7690),C7690="",M7690=""),"In Progress",IF(M7690&lt;=J7690,"Met","Breached"))</f>
        <v>Met</v>
      </c>
    </row>
    <row r="7691" ht="19" customHeight="1" spans="1:14" x14ac:dyDescent="0.25">
      <c r="A7691" s="22" t="s">
        <v>7805</v>
      </c>
      <c r="B7691" s="36">
        <v>46150.80208333333</v>
      </c>
      <c r="C7691" s="36">
        <v>46153.773611111115</v>
      </c>
      <c r="D7691" s="22" t="s">
        <v>33</v>
      </c>
      <c r="E7691" s="22" t="s">
        <v>65</v>
      </c>
      <c r="F7691" s="22" t="s">
        <v>34</v>
      </c>
      <c r="G7691" s="22" t="s">
        <v>126</v>
      </c>
      <c r="H7691" s="22" t="s">
        <v>63</v>
      </c>
      <c r="I7691" s="22" t="s">
        <v>123</v>
      </c>
      <c r="J7691" s="23">
        <v>48</v>
      </c>
      <c r="K7691" s="37">
        <v>0</v>
      </c>
      <c r="L7691" s="37">
        <v>4</v>
      </c>
      <c r="M7691" s="22">
        <f>IF(OR(ISBLANK(C7691),C7691=""),"",ROUND((C7691-B7691)*24,2))</f>
        <v>71.32</v>
      </c>
      <c r="N7691" s="38" t="str">
        <f>IF(OR(ISBLANK(C7691),C7691="",M7691=""),"In Progress",IF(M7691&lt;=J7691,"Met","Breached"))</f>
        <v>Breached</v>
      </c>
    </row>
    <row r="7692" ht="19" customHeight="1" spans="1:14" x14ac:dyDescent="0.25">
      <c r="A7692" s="19" t="s">
        <v>7806</v>
      </c>
      <c r="B7692" s="33">
        <v>45876.45486111111</v>
      </c>
      <c r="C7692" s="33">
        <v>45879.325</v>
      </c>
      <c r="D7692" s="19" t="s">
        <v>33</v>
      </c>
      <c r="E7692" s="19" t="s">
        <v>65</v>
      </c>
      <c r="F7692" s="19" t="s">
        <v>45</v>
      </c>
      <c r="G7692" s="19" t="s">
        <v>121</v>
      </c>
      <c r="H7692" s="19" t="s">
        <v>71</v>
      </c>
      <c r="I7692" s="19" t="s">
        <v>111</v>
      </c>
      <c r="J7692" s="20">
        <v>48</v>
      </c>
      <c r="K7692" s="34">
        <v>0</v>
      </c>
      <c r="M7692" s="19">
        <f>IF(OR(ISBLANK(C7692),C7692=""),"",ROUND((C7692-B7692)*24,2))</f>
        <v>68.88</v>
      </c>
      <c r="N7692" s="39" t="str">
        <f>IF(OR(ISBLANK(C7692),C7692="",M7692=""),"In Progress",IF(M7692&lt;=J7692,"Met","Breached"))</f>
        <v>Breached</v>
      </c>
    </row>
    <row r="7693" ht="19" customHeight="1" spans="1:14" x14ac:dyDescent="0.25">
      <c r="A7693" s="22" t="s">
        <v>7807</v>
      </c>
      <c r="B7693" s="36">
        <v>46019.90972222222</v>
      </c>
      <c r="C7693" s="36">
        <v>46020.45625</v>
      </c>
      <c r="D7693" s="22" t="s">
        <v>36</v>
      </c>
      <c r="E7693" s="22" t="s">
        <v>61</v>
      </c>
      <c r="F7693" s="22" t="s">
        <v>45</v>
      </c>
      <c r="G7693" s="22" t="s">
        <v>113</v>
      </c>
      <c r="H7693" s="22" t="s">
        <v>63</v>
      </c>
      <c r="I7693" s="22" t="s">
        <v>111</v>
      </c>
      <c r="J7693" s="23">
        <v>12</v>
      </c>
      <c r="K7693" s="37">
        <v>0</v>
      </c>
      <c r="M7693" s="22">
        <f>IF(OR(ISBLANK(C7693),C7693=""),"",ROUND((C7693-B7693)*24,2))</f>
        <v>13.12</v>
      </c>
      <c r="N7693" s="38" t="str">
        <f>IF(OR(ISBLANK(C7693),C7693="",M7693=""),"In Progress",IF(M7693&lt;=J7693,"Met","Breached"))</f>
        <v>Breached</v>
      </c>
    </row>
    <row r="7694" ht="19" customHeight="1" spans="1:14" x14ac:dyDescent="0.25">
      <c r="A7694" s="19" t="s">
        <v>7808</v>
      </c>
      <c r="B7694" s="33">
        <v>45999.209027777775</v>
      </c>
      <c r="D7694" s="19" t="s">
        <v>39</v>
      </c>
      <c r="E7694" s="19" t="s">
        <v>65</v>
      </c>
      <c r="F7694" s="19" t="s">
        <v>40</v>
      </c>
      <c r="G7694" s="19" t="s">
        <v>110</v>
      </c>
      <c r="H7694" s="19" t="s">
        <v>59</v>
      </c>
      <c r="I7694" s="19" t="s">
        <v>114</v>
      </c>
      <c r="J7694" s="20">
        <v>48</v>
      </c>
      <c r="K7694" s="34">
        <v>0</v>
      </c>
      <c r="M7694" s="19" t="str">
        <f>IF(OR(ISBLANK(C7694),C7694=""),"",ROUND((C7694-B7694)*24,2))</f>
        <v/>
      </c>
      <c r="N7694" s="19" t="str">
        <f>IF(OR(ISBLANK(C7694),C7694="",M7694=""),"In Progress",IF(M7694&lt;=J7694,"Met","Breached"))</f>
        <v>In Progress</v>
      </c>
    </row>
    <row r="7695" ht="19" customHeight="1" spans="1:14" x14ac:dyDescent="0.25">
      <c r="A7695" s="22" t="s">
        <v>7809</v>
      </c>
      <c r="B7695" s="36">
        <v>45949.26875</v>
      </c>
      <c r="C7695" s="36">
        <v>45950.38958333334</v>
      </c>
      <c r="D7695" s="22" t="s">
        <v>33</v>
      </c>
      <c r="E7695" s="22" t="s">
        <v>65</v>
      </c>
      <c r="F7695" s="22" t="s">
        <v>45</v>
      </c>
      <c r="G7695" s="22" t="s">
        <v>126</v>
      </c>
      <c r="H7695" s="22" t="s">
        <v>71</v>
      </c>
      <c r="I7695" s="22" t="s">
        <v>114</v>
      </c>
      <c r="J7695" s="23">
        <v>48</v>
      </c>
      <c r="K7695" s="37">
        <v>1</v>
      </c>
      <c r="L7695" s="37">
        <v>5</v>
      </c>
      <c r="M7695" s="22">
        <f>IF(OR(ISBLANK(C7695),C7695=""),"",ROUND((C7695-B7695)*24,2))</f>
        <v>26.9</v>
      </c>
      <c r="N7695" s="40" t="str">
        <f>IF(OR(ISBLANK(C7695),C7695="",M7695=""),"In Progress",IF(M7695&lt;=J7695,"Met","Breached"))</f>
        <v>Met</v>
      </c>
    </row>
    <row r="7696" ht="19" customHeight="1" spans="1:14" x14ac:dyDescent="0.25">
      <c r="A7696" s="19" t="s">
        <v>7810</v>
      </c>
      <c r="B7696" s="33">
        <v>45898.59166666667</v>
      </c>
      <c r="C7696" s="33">
        <v>45902.194444444445</v>
      </c>
      <c r="D7696" s="19" t="s">
        <v>36</v>
      </c>
      <c r="E7696" s="19" t="s">
        <v>69</v>
      </c>
      <c r="F7696" s="19" t="s">
        <v>37</v>
      </c>
      <c r="G7696" s="19" t="s">
        <v>116</v>
      </c>
      <c r="H7696" s="19" t="s">
        <v>63</v>
      </c>
      <c r="I7696" s="19" t="s">
        <v>111</v>
      </c>
      <c r="J7696" s="20">
        <v>120</v>
      </c>
      <c r="K7696" s="34">
        <v>0</v>
      </c>
      <c r="M7696" s="19">
        <f>IF(OR(ISBLANK(C7696),C7696=""),"",ROUND((C7696-B7696)*24,2))</f>
        <v>86.47</v>
      </c>
      <c r="N7696" s="35" t="str">
        <f>IF(OR(ISBLANK(C7696),C7696="",M7696=""),"In Progress",IF(M7696&lt;=J7696,"Met","Breached"))</f>
        <v>Met</v>
      </c>
    </row>
    <row r="7697" ht="19" customHeight="1" spans="1:14" x14ac:dyDescent="0.25">
      <c r="A7697" s="22" t="s">
        <v>7811</v>
      </c>
      <c r="B7697" s="36">
        <v>45876.09930555556</v>
      </c>
      <c r="C7697" s="36">
        <v>45876.179861111115</v>
      </c>
      <c r="D7697" s="22" t="s">
        <v>33</v>
      </c>
      <c r="E7697" s="22" t="s">
        <v>57</v>
      </c>
      <c r="F7697" s="22" t="s">
        <v>34</v>
      </c>
      <c r="G7697" s="22" t="s">
        <v>121</v>
      </c>
      <c r="H7697" s="22" t="s">
        <v>63</v>
      </c>
      <c r="I7697" s="22" t="s">
        <v>147</v>
      </c>
      <c r="J7697" s="23">
        <v>4</v>
      </c>
      <c r="K7697" s="37">
        <v>0</v>
      </c>
      <c r="M7697" s="22">
        <f>IF(OR(ISBLANK(C7697),C7697=""),"",ROUND((C7697-B7697)*24,2))</f>
        <v>1.93</v>
      </c>
      <c r="N7697" s="40" t="str">
        <f>IF(OR(ISBLANK(C7697),C7697="",M7697=""),"In Progress",IF(M7697&lt;=J7697,"Met","Breached"))</f>
        <v>Met</v>
      </c>
    </row>
    <row r="7698" ht="19" customHeight="1" spans="1:14" x14ac:dyDescent="0.25">
      <c r="A7698" s="19" t="s">
        <v>7812</v>
      </c>
      <c r="B7698" s="33">
        <v>45978.96944444445</v>
      </c>
      <c r="C7698" s="33">
        <v>45979.049305555556</v>
      </c>
      <c r="D7698" s="19" t="s">
        <v>33</v>
      </c>
      <c r="E7698" s="19" t="s">
        <v>57</v>
      </c>
      <c r="F7698" s="19" t="s">
        <v>37</v>
      </c>
      <c r="G7698" s="19" t="s">
        <v>113</v>
      </c>
      <c r="H7698" s="19" t="s">
        <v>59</v>
      </c>
      <c r="I7698" s="19" t="s">
        <v>114</v>
      </c>
      <c r="J7698" s="20">
        <v>4</v>
      </c>
      <c r="K7698" s="34">
        <v>0</v>
      </c>
      <c r="L7698" s="34">
        <v>5</v>
      </c>
      <c r="M7698" s="19">
        <f>IF(OR(ISBLANK(C7698),C7698=""),"",ROUND((C7698-B7698)*24,2))</f>
        <v>1.92</v>
      </c>
      <c r="N7698" s="35" t="str">
        <f>IF(OR(ISBLANK(C7698),C7698="",M7698=""),"In Progress",IF(M7698&lt;=J7698,"Met","Breached"))</f>
        <v>Met</v>
      </c>
    </row>
    <row r="7699" ht="19" customHeight="1" spans="1:14" x14ac:dyDescent="0.25">
      <c r="A7699" s="22" t="s">
        <v>7813</v>
      </c>
      <c r="B7699" s="36">
        <v>46248.89236111111</v>
      </c>
      <c r="C7699" s="36">
        <v>46252.45694444445</v>
      </c>
      <c r="D7699" s="22" t="s">
        <v>36</v>
      </c>
      <c r="E7699" s="22" t="s">
        <v>69</v>
      </c>
      <c r="F7699" s="22" t="s">
        <v>37</v>
      </c>
      <c r="G7699" s="22" t="s">
        <v>116</v>
      </c>
      <c r="H7699" s="22" t="s">
        <v>67</v>
      </c>
      <c r="I7699" s="22" t="s">
        <v>117</v>
      </c>
      <c r="J7699" s="23">
        <v>120</v>
      </c>
      <c r="K7699" s="37">
        <v>0</v>
      </c>
      <c r="L7699" s="37">
        <v>4</v>
      </c>
      <c r="M7699" s="22">
        <f>IF(OR(ISBLANK(C7699),C7699=""),"",ROUND((C7699-B7699)*24,2))</f>
        <v>85.55</v>
      </c>
      <c r="N7699" s="40" t="str">
        <f>IF(OR(ISBLANK(C7699),C7699="",M7699=""),"In Progress",IF(M7699&lt;=J7699,"Met","Breached"))</f>
        <v>Met</v>
      </c>
    </row>
    <row r="7700" ht="19" customHeight="1" spans="1:14" x14ac:dyDescent="0.25">
      <c r="A7700" s="19" t="s">
        <v>7814</v>
      </c>
      <c r="B7700" s="33">
        <v>45902.816666666666</v>
      </c>
      <c r="C7700" s="33">
        <v>45903.433333333334</v>
      </c>
      <c r="D7700" s="19" t="s">
        <v>33</v>
      </c>
      <c r="E7700" s="19" t="s">
        <v>61</v>
      </c>
      <c r="F7700" s="19" t="s">
        <v>37</v>
      </c>
      <c r="G7700" s="19" t="s">
        <v>63</v>
      </c>
      <c r="H7700" s="19" t="s">
        <v>59</v>
      </c>
      <c r="I7700" s="19" t="s">
        <v>147</v>
      </c>
      <c r="J7700" s="20">
        <v>12</v>
      </c>
      <c r="K7700" s="34">
        <v>0</v>
      </c>
      <c r="L7700" s="34">
        <v>4</v>
      </c>
      <c r="M7700" s="19">
        <f>IF(OR(ISBLANK(C7700),C7700=""),"",ROUND((C7700-B7700)*24,2))</f>
        <v>14.8</v>
      </c>
      <c r="N7700" s="39" t="str">
        <f>IF(OR(ISBLANK(C7700),C7700="",M7700=""),"In Progress",IF(M7700&lt;=J7700,"Met","Breached"))</f>
        <v>Breached</v>
      </c>
    </row>
    <row r="7701" ht="19" customHeight="1" spans="1:14" x14ac:dyDescent="0.25">
      <c r="A7701" s="22" t="s">
        <v>7815</v>
      </c>
      <c r="B7701" s="36">
        <v>46106.447222222225</v>
      </c>
      <c r="C7701" s="36">
        <v>46106.72222222222</v>
      </c>
      <c r="D7701" s="22" t="s">
        <v>33</v>
      </c>
      <c r="E7701" s="22" t="s">
        <v>57</v>
      </c>
      <c r="F7701" s="22" t="s">
        <v>37</v>
      </c>
      <c r="G7701" s="22" t="s">
        <v>110</v>
      </c>
      <c r="H7701" s="22" t="s">
        <v>59</v>
      </c>
      <c r="I7701" s="22" t="s">
        <v>123</v>
      </c>
      <c r="J7701" s="23">
        <v>4</v>
      </c>
      <c r="K7701" s="37">
        <v>0</v>
      </c>
      <c r="M7701" s="22">
        <f>IF(OR(ISBLANK(C7701),C7701=""),"",ROUND((C7701-B7701)*24,2))</f>
        <v>6.6</v>
      </c>
      <c r="N7701" s="38" t="str">
        <f>IF(OR(ISBLANK(C7701),C7701="",M7701=""),"In Progress",IF(M7701&lt;=J7701,"Met","Breached"))</f>
        <v>Breached</v>
      </c>
    </row>
    <row r="7702" ht="19" customHeight="1" spans="1:14" x14ac:dyDescent="0.25">
      <c r="A7702" s="19" t="s">
        <v>7816</v>
      </c>
      <c r="B7702" s="33">
        <v>46146.90416666667</v>
      </c>
      <c r="C7702" s="33">
        <v>46147.39166666666</v>
      </c>
      <c r="D7702" s="19" t="s">
        <v>36</v>
      </c>
      <c r="E7702" s="19" t="s">
        <v>61</v>
      </c>
      <c r="F7702" s="19" t="s">
        <v>37</v>
      </c>
      <c r="G7702" s="19" t="s">
        <v>63</v>
      </c>
      <c r="H7702" s="19" t="s">
        <v>71</v>
      </c>
      <c r="I7702" s="19" t="s">
        <v>117</v>
      </c>
      <c r="J7702" s="20">
        <v>12</v>
      </c>
      <c r="K7702" s="34">
        <v>0</v>
      </c>
      <c r="L7702" s="34">
        <v>1</v>
      </c>
      <c r="M7702" s="19">
        <f>IF(OR(ISBLANK(C7702),C7702=""),"",ROUND((C7702-B7702)*24,2))</f>
        <v>11.7</v>
      </c>
      <c r="N7702" s="35" t="str">
        <f>IF(OR(ISBLANK(C7702),C7702="",M7702=""),"In Progress",IF(M7702&lt;=J7702,"Met","Breached"))</f>
        <v>Met</v>
      </c>
    </row>
    <row r="7703" ht="19" customHeight="1" spans="1:14" x14ac:dyDescent="0.25">
      <c r="A7703" s="22" t="s">
        <v>7817</v>
      </c>
      <c r="B7703" s="36">
        <v>45945.97708333333</v>
      </c>
      <c r="C7703" s="36">
        <v>45946.73611111111</v>
      </c>
      <c r="D7703" s="22" t="s">
        <v>36</v>
      </c>
      <c r="E7703" s="22" t="s">
        <v>65</v>
      </c>
      <c r="F7703" s="22" t="s">
        <v>37</v>
      </c>
      <c r="G7703" s="22" t="s">
        <v>116</v>
      </c>
      <c r="H7703" s="22" t="s">
        <v>59</v>
      </c>
      <c r="I7703" s="22" t="s">
        <v>108</v>
      </c>
      <c r="J7703" s="23">
        <v>48</v>
      </c>
      <c r="K7703" s="37">
        <v>0</v>
      </c>
      <c r="L7703" s="37">
        <v>2</v>
      </c>
      <c r="M7703" s="22">
        <f>IF(OR(ISBLANK(C7703),C7703=""),"",ROUND((C7703-B7703)*24,2))</f>
        <v>18.22</v>
      </c>
      <c r="N7703" s="40" t="str">
        <f>IF(OR(ISBLANK(C7703),C7703="",M7703=""),"In Progress",IF(M7703&lt;=J7703,"Met","Breached"))</f>
        <v>Met</v>
      </c>
    </row>
    <row r="7704" ht="19" customHeight="1" spans="1:14" x14ac:dyDescent="0.25">
      <c r="A7704" s="19" t="s">
        <v>7818</v>
      </c>
      <c r="B7704" s="33">
        <v>46120.48611111111</v>
      </c>
      <c r="C7704" s="33">
        <v>46123.08263888889</v>
      </c>
      <c r="D7704" s="19" t="s">
        <v>33</v>
      </c>
      <c r="E7704" s="19" t="s">
        <v>65</v>
      </c>
      <c r="F7704" s="19" t="s">
        <v>40</v>
      </c>
      <c r="G7704" s="19" t="s">
        <v>113</v>
      </c>
      <c r="H7704" s="19" t="s">
        <v>59</v>
      </c>
      <c r="I7704" s="19" t="s">
        <v>147</v>
      </c>
      <c r="J7704" s="20">
        <v>48</v>
      </c>
      <c r="K7704" s="34">
        <v>0</v>
      </c>
      <c r="M7704" s="19">
        <f>IF(OR(ISBLANK(C7704),C7704=""),"",ROUND((C7704-B7704)*24,2))</f>
        <v>62.32</v>
      </c>
      <c r="N7704" s="39" t="str">
        <f>IF(OR(ISBLANK(C7704),C7704="",M7704=""),"In Progress",IF(M7704&lt;=J7704,"Met","Breached"))</f>
        <v>Breached</v>
      </c>
    </row>
    <row r="7705" ht="19" customHeight="1" spans="1:14" x14ac:dyDescent="0.25">
      <c r="A7705" s="22" t="s">
        <v>7819</v>
      </c>
      <c r="B7705" s="36">
        <v>45917.07083333333</v>
      </c>
      <c r="C7705" s="36">
        <v>45917.37291666667</v>
      </c>
      <c r="D7705" s="22" t="s">
        <v>33</v>
      </c>
      <c r="E7705" s="22" t="s">
        <v>61</v>
      </c>
      <c r="F7705" s="22" t="s">
        <v>37</v>
      </c>
      <c r="G7705" s="22" t="s">
        <v>113</v>
      </c>
      <c r="H7705" s="22" t="s">
        <v>59</v>
      </c>
      <c r="I7705" s="22" t="s">
        <v>108</v>
      </c>
      <c r="J7705" s="23">
        <v>12</v>
      </c>
      <c r="K7705" s="37">
        <v>0</v>
      </c>
      <c r="L7705" s="37">
        <v>5</v>
      </c>
      <c r="M7705" s="22">
        <f>IF(OR(ISBLANK(C7705),C7705=""),"",ROUND((C7705-B7705)*24,2))</f>
        <v>7.25</v>
      </c>
      <c r="N7705" s="40" t="str">
        <f>IF(OR(ISBLANK(C7705),C7705="",M7705=""),"In Progress",IF(M7705&lt;=J7705,"Met","Breached"))</f>
        <v>Met</v>
      </c>
    </row>
    <row r="7706" ht="19" customHeight="1" spans="1:14" x14ac:dyDescent="0.25">
      <c r="A7706" s="19" t="s">
        <v>7820</v>
      </c>
      <c r="B7706" s="33">
        <v>46234.197222222225</v>
      </c>
      <c r="C7706" s="33">
        <v>46234.28680555556</v>
      </c>
      <c r="D7706" s="19" t="s">
        <v>33</v>
      </c>
      <c r="E7706" s="19" t="s">
        <v>57</v>
      </c>
      <c r="F7706" s="19" t="s">
        <v>34</v>
      </c>
      <c r="G7706" s="19" t="s">
        <v>110</v>
      </c>
      <c r="H7706" s="19" t="s">
        <v>67</v>
      </c>
      <c r="I7706" s="19" t="s">
        <v>111</v>
      </c>
      <c r="J7706" s="20">
        <v>4</v>
      </c>
      <c r="K7706" s="34">
        <v>0</v>
      </c>
      <c r="L7706" s="34">
        <v>1</v>
      </c>
      <c r="M7706" s="19">
        <f>IF(OR(ISBLANK(C7706),C7706=""),"",ROUND((C7706-B7706)*24,2))</f>
        <v>2.15</v>
      </c>
      <c r="N7706" s="35" t="str">
        <f>IF(OR(ISBLANK(C7706),C7706="",M7706=""),"In Progress",IF(M7706&lt;=J7706,"Met","Breached"))</f>
        <v>Met</v>
      </c>
    </row>
    <row r="7707" ht="19" customHeight="1" spans="1:14" x14ac:dyDescent="0.25">
      <c r="A7707" s="22" t="s">
        <v>7821</v>
      </c>
      <c r="B7707" s="36">
        <v>46123.993055555555</v>
      </c>
      <c r="C7707" s="36">
        <v>46126.643055555556</v>
      </c>
      <c r="D7707" s="22" t="s">
        <v>33</v>
      </c>
      <c r="E7707" s="22" t="s">
        <v>65</v>
      </c>
      <c r="F7707" s="22" t="s">
        <v>43</v>
      </c>
      <c r="G7707" s="22" t="s">
        <v>110</v>
      </c>
      <c r="H7707" s="22" t="s">
        <v>63</v>
      </c>
      <c r="I7707" s="22" t="s">
        <v>114</v>
      </c>
      <c r="J7707" s="23">
        <v>48</v>
      </c>
      <c r="K7707" s="37">
        <v>0</v>
      </c>
      <c r="L7707" s="37">
        <v>2</v>
      </c>
      <c r="M7707" s="22">
        <f>IF(OR(ISBLANK(C7707),C7707=""),"",ROUND((C7707-B7707)*24,2))</f>
        <v>63.6</v>
      </c>
      <c r="N7707" s="38" t="str">
        <f>IF(OR(ISBLANK(C7707),C7707="",M7707=""),"In Progress",IF(M7707&lt;=J7707,"Met","Breached"))</f>
        <v>Breached</v>
      </c>
    </row>
    <row r="7708" ht="19" customHeight="1" spans="1:14" x14ac:dyDescent="0.25">
      <c r="A7708" s="19" t="s">
        <v>7822</v>
      </c>
      <c r="B7708" s="33">
        <v>46196.40138888889</v>
      </c>
      <c r="C7708" s="33">
        <v>46198.69305555556</v>
      </c>
      <c r="D7708" s="19" t="s">
        <v>33</v>
      </c>
      <c r="E7708" s="19" t="s">
        <v>69</v>
      </c>
      <c r="F7708" s="19" t="s">
        <v>43</v>
      </c>
      <c r="G7708" s="19" t="s">
        <v>116</v>
      </c>
      <c r="H7708" s="19" t="s">
        <v>59</v>
      </c>
      <c r="I7708" s="19" t="s">
        <v>147</v>
      </c>
      <c r="J7708" s="20">
        <v>120</v>
      </c>
      <c r="K7708" s="34">
        <v>0</v>
      </c>
      <c r="L7708" s="34">
        <v>5</v>
      </c>
      <c r="M7708" s="19">
        <f>IF(OR(ISBLANK(C7708),C7708=""),"",ROUND((C7708-B7708)*24,2))</f>
        <v>55</v>
      </c>
      <c r="N7708" s="35" t="str">
        <f>IF(OR(ISBLANK(C7708),C7708="",M7708=""),"In Progress",IF(M7708&lt;=J7708,"Met","Breached"))</f>
        <v>Met</v>
      </c>
    </row>
    <row r="7709" ht="19" customHeight="1" spans="1:14" x14ac:dyDescent="0.25">
      <c r="A7709" s="22" t="s">
        <v>7823</v>
      </c>
      <c r="B7709" s="36">
        <v>45822.72430555556</v>
      </c>
      <c r="C7709" s="36">
        <v>45825.049305555556</v>
      </c>
      <c r="D7709" s="22" t="s">
        <v>36</v>
      </c>
      <c r="E7709" s="22" t="s">
        <v>65</v>
      </c>
      <c r="F7709" s="22" t="s">
        <v>37</v>
      </c>
      <c r="G7709" s="22" t="s">
        <v>113</v>
      </c>
      <c r="H7709" s="22" t="s">
        <v>63</v>
      </c>
      <c r="I7709" s="22" t="s">
        <v>111</v>
      </c>
      <c r="J7709" s="23">
        <v>48</v>
      </c>
      <c r="K7709" s="37">
        <v>0</v>
      </c>
      <c r="M7709" s="22">
        <f>IF(OR(ISBLANK(C7709),C7709=""),"",ROUND((C7709-B7709)*24,2))</f>
        <v>55.8</v>
      </c>
      <c r="N7709" s="38" t="str">
        <f>IF(OR(ISBLANK(C7709),C7709="",M7709=""),"In Progress",IF(M7709&lt;=J7709,"Met","Breached"))</f>
        <v>Breached</v>
      </c>
    </row>
    <row r="7710" ht="19" customHeight="1" spans="1:14" x14ac:dyDescent="0.25">
      <c r="A7710" s="19" t="s">
        <v>7824</v>
      </c>
      <c r="B7710" s="33">
        <v>45940.94027777778</v>
      </c>
      <c r="D7710" s="19" t="s">
        <v>42</v>
      </c>
      <c r="E7710" s="19" t="s">
        <v>69</v>
      </c>
      <c r="F7710" s="19" t="s">
        <v>37</v>
      </c>
      <c r="G7710" s="19" t="s">
        <v>63</v>
      </c>
      <c r="H7710" s="19" t="s">
        <v>59</v>
      </c>
      <c r="I7710" s="19" t="s">
        <v>123</v>
      </c>
      <c r="J7710" s="20">
        <v>120</v>
      </c>
      <c r="K7710" s="34">
        <v>0</v>
      </c>
      <c r="M7710" s="19" t="str">
        <f>IF(OR(ISBLANK(C7710),C7710=""),"",ROUND((C7710-B7710)*24,2))</f>
        <v/>
      </c>
      <c r="N7710" s="19" t="str">
        <f>IF(OR(ISBLANK(C7710),C7710="",M7710=""),"In Progress",IF(M7710&lt;=J7710,"Met","Breached"))</f>
        <v>In Progress</v>
      </c>
    </row>
    <row r="7711" ht="19" customHeight="1" spans="1:14" x14ac:dyDescent="0.25">
      <c r="A7711" s="22" t="s">
        <v>7825</v>
      </c>
      <c r="B7711" s="36">
        <v>45948.56041666667</v>
      </c>
      <c r="C7711" s="36">
        <v>45955.955555555556</v>
      </c>
      <c r="D7711" s="22" t="s">
        <v>33</v>
      </c>
      <c r="E7711" s="22" t="s">
        <v>69</v>
      </c>
      <c r="F7711" s="22" t="s">
        <v>34</v>
      </c>
      <c r="G7711" s="22" t="s">
        <v>63</v>
      </c>
      <c r="H7711" s="22" t="s">
        <v>59</v>
      </c>
      <c r="I7711" s="22" t="s">
        <v>114</v>
      </c>
      <c r="J7711" s="23">
        <v>120</v>
      </c>
      <c r="K7711" s="37">
        <v>0</v>
      </c>
      <c r="L7711" s="37">
        <v>1</v>
      </c>
      <c r="M7711" s="22">
        <f>IF(OR(ISBLANK(C7711),C7711=""),"",ROUND((C7711-B7711)*24,2))</f>
        <v>177.48</v>
      </c>
      <c r="N7711" s="38" t="str">
        <f>IF(OR(ISBLANK(C7711),C7711="",M7711=""),"In Progress",IF(M7711&lt;=J7711,"Met","Breached"))</f>
        <v>Breached</v>
      </c>
    </row>
    <row r="7712" ht="19" customHeight="1" spans="1:14" x14ac:dyDescent="0.25">
      <c r="A7712" s="19" t="s">
        <v>7826</v>
      </c>
      <c r="B7712" s="33">
        <v>45826.490277777775</v>
      </c>
      <c r="C7712" s="33">
        <v>45833.15763888889</v>
      </c>
      <c r="D7712" s="19" t="s">
        <v>33</v>
      </c>
      <c r="E7712" s="19" t="s">
        <v>69</v>
      </c>
      <c r="F7712" s="19" t="s">
        <v>45</v>
      </c>
      <c r="G7712" s="19" t="s">
        <v>110</v>
      </c>
      <c r="H7712" s="19" t="s">
        <v>59</v>
      </c>
      <c r="I7712" s="19" t="s">
        <v>114</v>
      </c>
      <c r="J7712" s="20">
        <v>120</v>
      </c>
      <c r="K7712" s="34">
        <v>0</v>
      </c>
      <c r="L7712" s="34">
        <v>4</v>
      </c>
      <c r="M7712" s="19">
        <f>IF(OR(ISBLANK(C7712),C7712=""),"",ROUND((C7712-B7712)*24,2))</f>
        <v>160.02</v>
      </c>
      <c r="N7712" s="39" t="str">
        <f>IF(OR(ISBLANK(C7712),C7712="",M7712=""),"In Progress",IF(M7712&lt;=J7712,"Met","Breached"))</f>
        <v>Breached</v>
      </c>
    </row>
    <row r="7713" ht="19" customHeight="1" spans="1:14" x14ac:dyDescent="0.25">
      <c r="A7713" s="22" t="s">
        <v>7827</v>
      </c>
      <c r="B7713" s="36">
        <v>46211.01597222222</v>
      </c>
      <c r="C7713" s="36">
        <v>46217.5125</v>
      </c>
      <c r="D7713" s="22" t="s">
        <v>33</v>
      </c>
      <c r="E7713" s="22" t="s">
        <v>69</v>
      </c>
      <c r="F7713" s="22" t="s">
        <v>34</v>
      </c>
      <c r="G7713" s="22" t="s">
        <v>110</v>
      </c>
      <c r="H7713" s="22" t="s">
        <v>71</v>
      </c>
      <c r="I7713" s="22" t="s">
        <v>147</v>
      </c>
      <c r="J7713" s="23">
        <v>120</v>
      </c>
      <c r="K7713" s="37">
        <v>0</v>
      </c>
      <c r="L7713" s="37">
        <v>1</v>
      </c>
      <c r="M7713" s="22">
        <f>IF(OR(ISBLANK(C7713),C7713=""),"",ROUND((C7713-B7713)*24,2))</f>
        <v>155.92</v>
      </c>
      <c r="N7713" s="38" t="str">
        <f>IF(OR(ISBLANK(C7713),C7713="",M7713=""),"In Progress",IF(M7713&lt;=J7713,"Met","Breached"))</f>
        <v>Breached</v>
      </c>
    </row>
    <row r="7714" ht="19" customHeight="1" spans="1:14" x14ac:dyDescent="0.25">
      <c r="A7714" s="19" t="s">
        <v>7828</v>
      </c>
      <c r="B7714" s="33">
        <v>45810.09375</v>
      </c>
      <c r="C7714" s="33">
        <v>45816.04236111111</v>
      </c>
      <c r="D7714" s="19" t="s">
        <v>33</v>
      </c>
      <c r="E7714" s="19" t="s">
        <v>69</v>
      </c>
      <c r="F7714" s="19" t="s">
        <v>45</v>
      </c>
      <c r="G7714" s="19" t="s">
        <v>110</v>
      </c>
      <c r="H7714" s="19" t="s">
        <v>71</v>
      </c>
      <c r="I7714" s="19" t="s">
        <v>147</v>
      </c>
      <c r="J7714" s="20">
        <v>120</v>
      </c>
      <c r="K7714" s="34">
        <v>0</v>
      </c>
      <c r="M7714" s="19">
        <f>IF(OR(ISBLANK(C7714),C7714=""),"",ROUND((C7714-B7714)*24,2))</f>
        <v>142.77</v>
      </c>
      <c r="N7714" s="39" t="str">
        <f>IF(OR(ISBLANK(C7714),C7714="",M7714=""),"In Progress",IF(M7714&lt;=J7714,"Met","Breached"))</f>
        <v>Breached</v>
      </c>
    </row>
    <row r="7715" ht="19" customHeight="1" spans="1:14" x14ac:dyDescent="0.25">
      <c r="A7715" s="22" t="s">
        <v>7829</v>
      </c>
      <c r="B7715" s="36">
        <v>46140.805555555555</v>
      </c>
      <c r="C7715" s="36">
        <v>46141.175</v>
      </c>
      <c r="D7715" s="22" t="s">
        <v>33</v>
      </c>
      <c r="E7715" s="22" t="s">
        <v>61</v>
      </c>
      <c r="F7715" s="22" t="s">
        <v>45</v>
      </c>
      <c r="G7715" s="22" t="s">
        <v>110</v>
      </c>
      <c r="H7715" s="22" t="s">
        <v>67</v>
      </c>
      <c r="I7715" s="22" t="s">
        <v>111</v>
      </c>
      <c r="J7715" s="23">
        <v>12</v>
      </c>
      <c r="K7715" s="37">
        <v>0</v>
      </c>
      <c r="L7715" s="37">
        <v>4</v>
      </c>
      <c r="M7715" s="22">
        <f>IF(OR(ISBLANK(C7715),C7715=""),"",ROUND((C7715-B7715)*24,2))</f>
        <v>8.87</v>
      </c>
      <c r="N7715" s="40" t="str">
        <f>IF(OR(ISBLANK(C7715),C7715="",M7715=""),"In Progress",IF(M7715&lt;=J7715,"Met","Breached"))</f>
        <v>Met</v>
      </c>
    </row>
    <row r="7716" ht="19" customHeight="1" spans="1:14" x14ac:dyDescent="0.25">
      <c r="A7716" s="19" t="s">
        <v>7830</v>
      </c>
      <c r="B7716" s="33">
        <v>45831.70486111111</v>
      </c>
      <c r="C7716" s="33">
        <v>45836.52986111111</v>
      </c>
      <c r="D7716" s="19" t="s">
        <v>36</v>
      </c>
      <c r="E7716" s="19" t="s">
        <v>69</v>
      </c>
      <c r="F7716" s="19" t="s">
        <v>40</v>
      </c>
      <c r="G7716" s="19" t="s">
        <v>113</v>
      </c>
      <c r="H7716" s="19" t="s">
        <v>71</v>
      </c>
      <c r="I7716" s="19" t="s">
        <v>111</v>
      </c>
      <c r="J7716" s="20">
        <v>120</v>
      </c>
      <c r="K7716" s="34">
        <v>0</v>
      </c>
      <c r="M7716" s="19">
        <f>IF(OR(ISBLANK(C7716),C7716=""),"",ROUND((C7716-B7716)*24,2))</f>
        <v>115.8</v>
      </c>
      <c r="N7716" s="35" t="str">
        <f>IF(OR(ISBLANK(C7716),C7716="",M7716=""),"In Progress",IF(M7716&lt;=J7716,"Met","Breached"))</f>
        <v>Met</v>
      </c>
    </row>
    <row r="7717" ht="19" customHeight="1" spans="1:14" x14ac:dyDescent="0.25">
      <c r="A7717" s="22" t="s">
        <v>7831</v>
      </c>
      <c r="B7717" s="36">
        <v>45994.59027777778</v>
      </c>
      <c r="C7717" s="36">
        <v>45996.07986111111</v>
      </c>
      <c r="D7717" s="22" t="s">
        <v>36</v>
      </c>
      <c r="E7717" s="22" t="s">
        <v>65</v>
      </c>
      <c r="F7717" s="22" t="s">
        <v>45</v>
      </c>
      <c r="G7717" s="22" t="s">
        <v>63</v>
      </c>
      <c r="H7717" s="22" t="s">
        <v>59</v>
      </c>
      <c r="I7717" s="22" t="s">
        <v>114</v>
      </c>
      <c r="J7717" s="23">
        <v>48</v>
      </c>
      <c r="K7717" s="37">
        <v>0</v>
      </c>
      <c r="M7717" s="22">
        <f>IF(OR(ISBLANK(C7717),C7717=""),"",ROUND((C7717-B7717)*24,2))</f>
        <v>35.75</v>
      </c>
      <c r="N7717" s="40" t="str">
        <f>IF(OR(ISBLANK(C7717),C7717="",M7717=""),"In Progress",IF(M7717&lt;=J7717,"Met","Breached"))</f>
        <v>Met</v>
      </c>
    </row>
    <row r="7718" ht="19" customHeight="1" spans="1:14" x14ac:dyDescent="0.25">
      <c r="A7718" s="19" t="s">
        <v>7832</v>
      </c>
      <c r="B7718" s="33">
        <v>46110.054861111115</v>
      </c>
      <c r="C7718" s="33">
        <v>46112.506944444445</v>
      </c>
      <c r="D7718" s="19" t="s">
        <v>36</v>
      </c>
      <c r="E7718" s="19" t="s">
        <v>69</v>
      </c>
      <c r="F7718" s="19" t="s">
        <v>40</v>
      </c>
      <c r="G7718" s="19" t="s">
        <v>113</v>
      </c>
      <c r="H7718" s="19" t="s">
        <v>63</v>
      </c>
      <c r="I7718" s="19" t="s">
        <v>111</v>
      </c>
      <c r="J7718" s="20">
        <v>120</v>
      </c>
      <c r="K7718" s="34">
        <v>0</v>
      </c>
      <c r="L7718" s="34">
        <v>2</v>
      </c>
      <c r="M7718" s="19">
        <f>IF(OR(ISBLANK(C7718),C7718=""),"",ROUND((C7718-B7718)*24,2))</f>
        <v>58.85</v>
      </c>
      <c r="N7718" s="35" t="str">
        <f>IF(OR(ISBLANK(C7718),C7718="",M7718=""),"In Progress",IF(M7718&lt;=J7718,"Met","Breached"))</f>
        <v>Met</v>
      </c>
    </row>
    <row r="7719" ht="19" customHeight="1" spans="1:14" x14ac:dyDescent="0.25">
      <c r="A7719" s="22" t="s">
        <v>7833</v>
      </c>
      <c r="B7719" s="36">
        <v>45917.93194444444</v>
      </c>
      <c r="C7719" s="36">
        <v>45918.97430555556</v>
      </c>
      <c r="D7719" s="22" t="s">
        <v>33</v>
      </c>
      <c r="E7719" s="22" t="s">
        <v>65</v>
      </c>
      <c r="F7719" s="22" t="s">
        <v>45</v>
      </c>
      <c r="G7719" s="22" t="s">
        <v>110</v>
      </c>
      <c r="H7719" s="22" t="s">
        <v>67</v>
      </c>
      <c r="I7719" s="22" t="s">
        <v>117</v>
      </c>
      <c r="J7719" s="23">
        <v>48</v>
      </c>
      <c r="K7719" s="37">
        <v>0</v>
      </c>
      <c r="L7719" s="37">
        <v>4</v>
      </c>
      <c r="M7719" s="22">
        <f>IF(OR(ISBLANK(C7719),C7719=""),"",ROUND((C7719-B7719)*24,2))</f>
        <v>25.02</v>
      </c>
      <c r="N7719" s="40" t="str">
        <f>IF(OR(ISBLANK(C7719),C7719="",M7719=""),"In Progress",IF(M7719&lt;=J7719,"Met","Breached"))</f>
        <v>Met</v>
      </c>
    </row>
    <row r="7720" ht="19" customHeight="1" spans="1:14" x14ac:dyDescent="0.25">
      <c r="A7720" s="19" t="s">
        <v>7834</v>
      </c>
      <c r="B7720" s="33">
        <v>46271.759722222225</v>
      </c>
      <c r="D7720" s="19" t="s">
        <v>42</v>
      </c>
      <c r="E7720" s="19" t="s">
        <v>69</v>
      </c>
      <c r="F7720" s="19" t="s">
        <v>43</v>
      </c>
      <c r="G7720" s="19" t="s">
        <v>121</v>
      </c>
      <c r="H7720" s="19" t="s">
        <v>67</v>
      </c>
      <c r="I7720" s="19" t="s">
        <v>108</v>
      </c>
      <c r="J7720" s="20">
        <v>120</v>
      </c>
      <c r="K7720" s="34">
        <v>0</v>
      </c>
      <c r="M7720" s="19" t="str">
        <f>IF(OR(ISBLANK(C7720),C7720=""),"",ROUND((C7720-B7720)*24,2))</f>
        <v/>
      </c>
      <c r="N7720" s="19" t="str">
        <f>IF(OR(ISBLANK(C7720),C7720="",M7720=""),"In Progress",IF(M7720&lt;=J7720,"Met","Breached"))</f>
        <v>In Progress</v>
      </c>
    </row>
    <row r="7721" ht="19" customHeight="1" spans="1:14" x14ac:dyDescent="0.25">
      <c r="A7721" s="22" t="s">
        <v>7835</v>
      </c>
      <c r="B7721" s="36">
        <v>46284.92569444445</v>
      </c>
      <c r="C7721" s="36">
        <v>46285.78472222222</v>
      </c>
      <c r="D7721" s="22" t="s">
        <v>33</v>
      </c>
      <c r="E7721" s="22" t="s">
        <v>61</v>
      </c>
      <c r="F7721" s="22" t="s">
        <v>45</v>
      </c>
      <c r="G7721" s="22" t="s">
        <v>113</v>
      </c>
      <c r="H7721" s="22" t="s">
        <v>67</v>
      </c>
      <c r="I7721" s="22" t="s">
        <v>108</v>
      </c>
      <c r="J7721" s="23">
        <v>12</v>
      </c>
      <c r="K7721" s="37">
        <v>0</v>
      </c>
      <c r="M7721" s="22">
        <f>IF(OR(ISBLANK(C7721),C7721=""),"",ROUND((C7721-B7721)*24,2))</f>
        <v>20.62</v>
      </c>
      <c r="N7721" s="38" t="str">
        <f>IF(OR(ISBLANK(C7721),C7721="",M7721=""),"In Progress",IF(M7721&lt;=J7721,"Met","Breached"))</f>
        <v>Breached</v>
      </c>
    </row>
    <row r="7722" ht="19" customHeight="1" spans="1:14" x14ac:dyDescent="0.25">
      <c r="A7722" s="19" t="s">
        <v>7836</v>
      </c>
      <c r="B7722" s="33">
        <v>45976.95416666666</v>
      </c>
      <c r="C7722" s="33">
        <v>45980.12291666667</v>
      </c>
      <c r="D7722" s="19" t="s">
        <v>36</v>
      </c>
      <c r="E7722" s="19" t="s">
        <v>65</v>
      </c>
      <c r="F7722" s="19" t="s">
        <v>45</v>
      </c>
      <c r="G7722" s="19" t="s">
        <v>116</v>
      </c>
      <c r="H7722" s="19" t="s">
        <v>63</v>
      </c>
      <c r="I7722" s="19" t="s">
        <v>114</v>
      </c>
      <c r="J7722" s="20">
        <v>48</v>
      </c>
      <c r="K7722" s="34">
        <v>0</v>
      </c>
      <c r="M7722" s="19">
        <f>IF(OR(ISBLANK(C7722),C7722=""),"",ROUND((C7722-B7722)*24,2))</f>
        <v>76.05</v>
      </c>
      <c r="N7722" s="39" t="str">
        <f>IF(OR(ISBLANK(C7722),C7722="",M7722=""),"In Progress",IF(M7722&lt;=J7722,"Met","Breached"))</f>
        <v>Breached</v>
      </c>
    </row>
    <row r="7723" ht="19" customHeight="1" spans="1:14" x14ac:dyDescent="0.25">
      <c r="A7723" s="22" t="s">
        <v>7837</v>
      </c>
      <c r="B7723" s="36">
        <v>45992.52013888889</v>
      </c>
      <c r="C7723" s="36">
        <v>45996.32708333334</v>
      </c>
      <c r="D7723" s="22" t="s">
        <v>33</v>
      </c>
      <c r="E7723" s="22" t="s">
        <v>69</v>
      </c>
      <c r="F7723" s="22" t="s">
        <v>34</v>
      </c>
      <c r="G7723" s="22" t="s">
        <v>116</v>
      </c>
      <c r="H7723" s="22" t="s">
        <v>67</v>
      </c>
      <c r="I7723" s="22" t="s">
        <v>111</v>
      </c>
      <c r="J7723" s="23">
        <v>120</v>
      </c>
      <c r="K7723" s="37">
        <v>0</v>
      </c>
      <c r="L7723" s="37">
        <v>5</v>
      </c>
      <c r="M7723" s="22">
        <f>IF(OR(ISBLANK(C7723),C7723=""),"",ROUND((C7723-B7723)*24,2))</f>
        <v>91.37</v>
      </c>
      <c r="N7723" s="40" t="str">
        <f>IF(OR(ISBLANK(C7723),C7723="",M7723=""),"In Progress",IF(M7723&lt;=J7723,"Met","Breached"))</f>
        <v>Met</v>
      </c>
    </row>
    <row r="7724" ht="19" customHeight="1" spans="1:14" x14ac:dyDescent="0.25">
      <c r="A7724" s="19" t="s">
        <v>7838</v>
      </c>
      <c r="B7724" s="33">
        <v>45844.37847222222</v>
      </c>
      <c r="C7724" s="33">
        <v>45846.853472222225</v>
      </c>
      <c r="D7724" s="19" t="s">
        <v>33</v>
      </c>
      <c r="E7724" s="19" t="s">
        <v>69</v>
      </c>
      <c r="F7724" s="19" t="s">
        <v>40</v>
      </c>
      <c r="G7724" s="19" t="s">
        <v>116</v>
      </c>
      <c r="H7724" s="19" t="s">
        <v>59</v>
      </c>
      <c r="I7724" s="19" t="s">
        <v>111</v>
      </c>
      <c r="J7724" s="20">
        <v>120</v>
      </c>
      <c r="K7724" s="34">
        <v>1</v>
      </c>
      <c r="M7724" s="19">
        <f>IF(OR(ISBLANK(C7724),C7724=""),"",ROUND((C7724-B7724)*24,2))</f>
        <v>59.4</v>
      </c>
      <c r="N7724" s="35" t="str">
        <f>IF(OR(ISBLANK(C7724),C7724="",M7724=""),"In Progress",IF(M7724&lt;=J7724,"Met","Breached"))</f>
        <v>Met</v>
      </c>
    </row>
    <row r="7725" ht="19" customHeight="1" spans="1:14" x14ac:dyDescent="0.25">
      <c r="A7725" s="22" t="s">
        <v>7839</v>
      </c>
      <c r="B7725" s="36">
        <v>46254.16736111111</v>
      </c>
      <c r="C7725" s="36">
        <v>46254.70763888889</v>
      </c>
      <c r="D7725" s="22" t="s">
        <v>33</v>
      </c>
      <c r="E7725" s="22" t="s">
        <v>61</v>
      </c>
      <c r="F7725" s="22" t="s">
        <v>40</v>
      </c>
      <c r="G7725" s="22" t="s">
        <v>126</v>
      </c>
      <c r="H7725" s="22" t="s">
        <v>59</v>
      </c>
      <c r="I7725" s="22" t="s">
        <v>147</v>
      </c>
      <c r="J7725" s="23">
        <v>12</v>
      </c>
      <c r="K7725" s="37">
        <v>0</v>
      </c>
      <c r="L7725" s="37">
        <v>2</v>
      </c>
      <c r="M7725" s="22">
        <f>IF(OR(ISBLANK(C7725),C7725=""),"",ROUND((C7725-B7725)*24,2))</f>
        <v>12.97</v>
      </c>
      <c r="N7725" s="38" t="str">
        <f>IF(OR(ISBLANK(C7725),C7725="",M7725=""),"In Progress",IF(M7725&lt;=J7725,"Met","Breached"))</f>
        <v>Breached</v>
      </c>
    </row>
    <row r="7726" ht="19" customHeight="1" spans="1:14" x14ac:dyDescent="0.25">
      <c r="A7726" s="19" t="s">
        <v>7840</v>
      </c>
      <c r="B7726" s="33">
        <v>45946.54236111111</v>
      </c>
      <c r="C7726" s="33">
        <v>45947.65347222222</v>
      </c>
      <c r="D7726" s="19" t="s">
        <v>33</v>
      </c>
      <c r="E7726" s="19" t="s">
        <v>65</v>
      </c>
      <c r="F7726" s="19" t="s">
        <v>34</v>
      </c>
      <c r="G7726" s="19" t="s">
        <v>126</v>
      </c>
      <c r="H7726" s="19" t="s">
        <v>59</v>
      </c>
      <c r="I7726" s="19" t="s">
        <v>111</v>
      </c>
      <c r="J7726" s="20">
        <v>48</v>
      </c>
      <c r="K7726" s="34">
        <v>1</v>
      </c>
      <c r="L7726" s="34">
        <v>4</v>
      </c>
      <c r="M7726" s="19">
        <f>IF(OR(ISBLANK(C7726),C7726=""),"",ROUND((C7726-B7726)*24,2))</f>
        <v>26.67</v>
      </c>
      <c r="N7726" s="35" t="str">
        <f>IF(OR(ISBLANK(C7726),C7726="",M7726=""),"In Progress",IF(M7726&lt;=J7726,"Met","Breached"))</f>
        <v>Met</v>
      </c>
    </row>
    <row r="7727" ht="19" customHeight="1" spans="1:14" x14ac:dyDescent="0.25">
      <c r="A7727" s="22" t="s">
        <v>7841</v>
      </c>
      <c r="B7727" s="36">
        <v>45988.17291666666</v>
      </c>
      <c r="D7727" s="22" t="s">
        <v>39</v>
      </c>
      <c r="E7727" s="22" t="s">
        <v>61</v>
      </c>
      <c r="F7727" s="22" t="s">
        <v>37</v>
      </c>
      <c r="G7727" s="22" t="s">
        <v>110</v>
      </c>
      <c r="H7727" s="22" t="s">
        <v>59</v>
      </c>
      <c r="I7727" s="22" t="s">
        <v>111</v>
      </c>
      <c r="J7727" s="23">
        <v>12</v>
      </c>
      <c r="K7727" s="37">
        <v>0</v>
      </c>
      <c r="M7727" s="22" t="str">
        <f>IF(OR(ISBLANK(C7727),C7727=""),"",ROUND((C7727-B7727)*24,2))</f>
        <v/>
      </c>
      <c r="N7727" s="22" t="str">
        <f>IF(OR(ISBLANK(C7727),C7727="",M7727=""),"In Progress",IF(M7727&lt;=J7727,"Met","Breached"))</f>
        <v>In Progress</v>
      </c>
    </row>
    <row r="7728" ht="19" customHeight="1" spans="1:14" x14ac:dyDescent="0.25">
      <c r="A7728" s="19" t="s">
        <v>7842</v>
      </c>
      <c r="B7728" s="33">
        <v>45773.67152777778</v>
      </c>
      <c r="C7728" s="33">
        <v>45776.91458333333</v>
      </c>
      <c r="D7728" s="19" t="s">
        <v>33</v>
      </c>
      <c r="E7728" s="19" t="s">
        <v>65</v>
      </c>
      <c r="F7728" s="19" t="s">
        <v>43</v>
      </c>
      <c r="G7728" s="19" t="s">
        <v>63</v>
      </c>
      <c r="H7728" s="19" t="s">
        <v>59</v>
      </c>
      <c r="I7728" s="19" t="s">
        <v>123</v>
      </c>
      <c r="J7728" s="20">
        <v>48</v>
      </c>
      <c r="K7728" s="34">
        <v>0</v>
      </c>
      <c r="L7728" s="34">
        <v>2</v>
      </c>
      <c r="M7728" s="19">
        <f>IF(OR(ISBLANK(C7728),C7728=""),"",ROUND((C7728-B7728)*24,2))</f>
        <v>77.83</v>
      </c>
      <c r="N7728" s="39" t="str">
        <f>IF(OR(ISBLANK(C7728),C7728="",M7728=""),"In Progress",IF(M7728&lt;=J7728,"Met","Breached"))</f>
        <v>Breached</v>
      </c>
    </row>
    <row r="7729" ht="19" customHeight="1" spans="1:14" x14ac:dyDescent="0.25">
      <c r="A7729" s="22" t="s">
        <v>7843</v>
      </c>
      <c r="B7729" s="36">
        <v>46283.11944444444</v>
      </c>
      <c r="C7729" s="36">
        <v>46284.37361111111</v>
      </c>
      <c r="D7729" s="22" t="s">
        <v>33</v>
      </c>
      <c r="E7729" s="22" t="s">
        <v>65</v>
      </c>
      <c r="F7729" s="22" t="s">
        <v>45</v>
      </c>
      <c r="G7729" s="22" t="s">
        <v>113</v>
      </c>
      <c r="H7729" s="22" t="s">
        <v>71</v>
      </c>
      <c r="I7729" s="22" t="s">
        <v>108</v>
      </c>
      <c r="J7729" s="23">
        <v>48</v>
      </c>
      <c r="K7729" s="37">
        <v>0</v>
      </c>
      <c r="M7729" s="22">
        <f>IF(OR(ISBLANK(C7729),C7729=""),"",ROUND((C7729-B7729)*24,2))</f>
        <v>30.1</v>
      </c>
      <c r="N7729" s="40" t="str">
        <f>IF(OR(ISBLANK(C7729),C7729="",M7729=""),"In Progress",IF(M7729&lt;=J7729,"Met","Breached"))</f>
        <v>Met</v>
      </c>
    </row>
    <row r="7730" ht="19" customHeight="1" spans="1:14" x14ac:dyDescent="0.25">
      <c r="A7730" s="19" t="s">
        <v>7844</v>
      </c>
      <c r="B7730" s="33">
        <v>45674.33541666667</v>
      </c>
      <c r="D7730" s="19" t="s">
        <v>39</v>
      </c>
      <c r="E7730" s="19" t="s">
        <v>65</v>
      </c>
      <c r="F7730" s="19" t="s">
        <v>40</v>
      </c>
      <c r="G7730" s="19" t="s">
        <v>110</v>
      </c>
      <c r="H7730" s="19" t="s">
        <v>59</v>
      </c>
      <c r="I7730" s="19" t="s">
        <v>111</v>
      </c>
      <c r="J7730" s="20">
        <v>48</v>
      </c>
      <c r="K7730" s="34">
        <v>0</v>
      </c>
      <c r="M7730" s="19" t="str">
        <f>IF(OR(ISBLANK(C7730),C7730=""),"",ROUND((C7730-B7730)*24,2))</f>
        <v/>
      </c>
      <c r="N7730" s="19" t="str">
        <f>IF(OR(ISBLANK(C7730),C7730="",M7730=""),"In Progress",IF(M7730&lt;=J7730,"Met","Breached"))</f>
        <v>In Progress</v>
      </c>
    </row>
    <row r="7731" ht="19" customHeight="1" spans="1:14" x14ac:dyDescent="0.25">
      <c r="A7731" s="22" t="s">
        <v>7845</v>
      </c>
      <c r="B7731" s="36">
        <v>45845.19305555556</v>
      </c>
      <c r="C7731" s="36">
        <v>45846.70625</v>
      </c>
      <c r="D7731" s="22" t="s">
        <v>36</v>
      </c>
      <c r="E7731" s="22" t="s">
        <v>65</v>
      </c>
      <c r="F7731" s="22" t="s">
        <v>34</v>
      </c>
      <c r="G7731" s="22" t="s">
        <v>126</v>
      </c>
      <c r="H7731" s="22" t="s">
        <v>63</v>
      </c>
      <c r="I7731" s="22" t="s">
        <v>147</v>
      </c>
      <c r="J7731" s="23">
        <v>48</v>
      </c>
      <c r="K7731" s="37">
        <v>0</v>
      </c>
      <c r="L7731" s="37">
        <v>5</v>
      </c>
      <c r="M7731" s="22">
        <f>IF(OR(ISBLANK(C7731),C7731=""),"",ROUND((C7731-B7731)*24,2))</f>
        <v>36.32</v>
      </c>
      <c r="N7731" s="40" t="str">
        <f>IF(OR(ISBLANK(C7731),C7731="",M7731=""),"In Progress",IF(M7731&lt;=J7731,"Met","Breached"))</f>
        <v>Met</v>
      </c>
    </row>
    <row r="7732" ht="19" customHeight="1" spans="1:14" x14ac:dyDescent="0.25">
      <c r="A7732" s="19" t="s">
        <v>7846</v>
      </c>
      <c r="B7732" s="33">
        <v>45765.72361111111</v>
      </c>
      <c r="C7732" s="33">
        <v>45767.24166666667</v>
      </c>
      <c r="D7732" s="19" t="s">
        <v>33</v>
      </c>
      <c r="E7732" s="19" t="s">
        <v>65</v>
      </c>
      <c r="F7732" s="19" t="s">
        <v>37</v>
      </c>
      <c r="G7732" s="19" t="s">
        <v>116</v>
      </c>
      <c r="H7732" s="19" t="s">
        <v>67</v>
      </c>
      <c r="I7732" s="19" t="s">
        <v>147</v>
      </c>
      <c r="J7732" s="20">
        <v>48</v>
      </c>
      <c r="K7732" s="34">
        <v>0</v>
      </c>
      <c r="L7732" s="34">
        <v>3</v>
      </c>
      <c r="M7732" s="19">
        <f>IF(OR(ISBLANK(C7732),C7732=""),"",ROUND((C7732-B7732)*24,2))</f>
        <v>36.43</v>
      </c>
      <c r="N7732" s="35" t="str">
        <f>IF(OR(ISBLANK(C7732),C7732="",M7732=""),"In Progress",IF(M7732&lt;=J7732,"Met","Breached"))</f>
        <v>Met</v>
      </c>
    </row>
    <row r="7733" ht="19" customHeight="1" spans="1:14" x14ac:dyDescent="0.25">
      <c r="A7733" s="22" t="s">
        <v>7847</v>
      </c>
      <c r="B7733" s="36">
        <v>45685.44791666667</v>
      </c>
      <c r="C7733" s="36">
        <v>45685.60902777778</v>
      </c>
      <c r="D7733" s="22" t="s">
        <v>33</v>
      </c>
      <c r="E7733" s="22" t="s">
        <v>57</v>
      </c>
      <c r="F7733" s="22" t="s">
        <v>37</v>
      </c>
      <c r="G7733" s="22" t="s">
        <v>110</v>
      </c>
      <c r="H7733" s="22" t="s">
        <v>59</v>
      </c>
      <c r="I7733" s="22" t="s">
        <v>108</v>
      </c>
      <c r="J7733" s="23">
        <v>4</v>
      </c>
      <c r="K7733" s="37">
        <v>0</v>
      </c>
      <c r="L7733" s="37">
        <v>4</v>
      </c>
      <c r="M7733" s="22">
        <f>IF(OR(ISBLANK(C7733),C7733=""),"",ROUND((C7733-B7733)*24,2))</f>
        <v>3.87</v>
      </c>
      <c r="N7733" s="40" t="str">
        <f>IF(OR(ISBLANK(C7733),C7733="",M7733=""),"In Progress",IF(M7733&lt;=J7733,"Met","Breached"))</f>
        <v>Met</v>
      </c>
    </row>
    <row r="7734" ht="19" customHeight="1" spans="1:14" x14ac:dyDescent="0.25">
      <c r="A7734" s="19" t="s">
        <v>7848</v>
      </c>
      <c r="B7734" s="33">
        <v>46188.775</v>
      </c>
      <c r="D7734" s="19" t="s">
        <v>42</v>
      </c>
      <c r="E7734" s="19" t="s">
        <v>69</v>
      </c>
      <c r="F7734" s="19" t="s">
        <v>45</v>
      </c>
      <c r="G7734" s="19" t="s">
        <v>116</v>
      </c>
      <c r="H7734" s="19" t="s">
        <v>71</v>
      </c>
      <c r="I7734" s="19" t="s">
        <v>123</v>
      </c>
      <c r="J7734" s="20">
        <v>120</v>
      </c>
      <c r="K7734" s="34">
        <v>0</v>
      </c>
      <c r="M7734" s="19" t="str">
        <f>IF(OR(ISBLANK(C7734),C7734=""),"",ROUND((C7734-B7734)*24,2))</f>
        <v/>
      </c>
      <c r="N7734" s="19" t="str">
        <f>IF(OR(ISBLANK(C7734),C7734="",M7734=""),"In Progress",IF(M7734&lt;=J7734,"Met","Breached"))</f>
        <v>In Progress</v>
      </c>
    </row>
    <row r="7735" ht="19" customHeight="1" spans="1:14" x14ac:dyDescent="0.25">
      <c r="A7735" s="22" t="s">
        <v>7849</v>
      </c>
      <c r="B7735" s="36">
        <v>45868.28125</v>
      </c>
      <c r="C7735" s="36">
        <v>45870.393055555556</v>
      </c>
      <c r="D7735" s="22" t="s">
        <v>36</v>
      </c>
      <c r="E7735" s="22" t="s">
        <v>65</v>
      </c>
      <c r="F7735" s="22" t="s">
        <v>45</v>
      </c>
      <c r="G7735" s="22" t="s">
        <v>110</v>
      </c>
      <c r="H7735" s="22" t="s">
        <v>71</v>
      </c>
      <c r="I7735" s="22" t="s">
        <v>117</v>
      </c>
      <c r="J7735" s="23">
        <v>48</v>
      </c>
      <c r="K7735" s="37">
        <v>0</v>
      </c>
      <c r="L7735" s="37">
        <v>1</v>
      </c>
      <c r="M7735" s="22">
        <f>IF(OR(ISBLANK(C7735),C7735=""),"",ROUND((C7735-B7735)*24,2))</f>
        <v>50.68</v>
      </c>
      <c r="N7735" s="38" t="str">
        <f>IF(OR(ISBLANK(C7735),C7735="",M7735=""),"In Progress",IF(M7735&lt;=J7735,"Met","Breached"))</f>
        <v>Breached</v>
      </c>
    </row>
    <row r="7736" ht="19" customHeight="1" spans="1:14" x14ac:dyDescent="0.25">
      <c r="A7736" s="19" t="s">
        <v>7850</v>
      </c>
      <c r="B7736" s="33">
        <v>45992.21736111111</v>
      </c>
      <c r="C7736" s="33">
        <v>45994.805555555555</v>
      </c>
      <c r="D7736" s="19" t="s">
        <v>36</v>
      </c>
      <c r="E7736" s="19" t="s">
        <v>65</v>
      </c>
      <c r="F7736" s="19" t="s">
        <v>37</v>
      </c>
      <c r="G7736" s="19" t="s">
        <v>126</v>
      </c>
      <c r="H7736" s="19" t="s">
        <v>63</v>
      </c>
      <c r="I7736" s="19" t="s">
        <v>108</v>
      </c>
      <c r="J7736" s="20">
        <v>48</v>
      </c>
      <c r="K7736" s="34">
        <v>1</v>
      </c>
      <c r="L7736" s="34">
        <v>2</v>
      </c>
      <c r="M7736" s="19">
        <f>IF(OR(ISBLANK(C7736),C7736=""),"",ROUND((C7736-B7736)*24,2))</f>
        <v>62.12</v>
      </c>
      <c r="N7736" s="39" t="str">
        <f>IF(OR(ISBLANK(C7736),C7736="",M7736=""),"In Progress",IF(M7736&lt;=J7736,"Met","Breached"))</f>
        <v>Breached</v>
      </c>
    </row>
    <row r="7737" ht="19" customHeight="1" spans="1:14" x14ac:dyDescent="0.25">
      <c r="A7737" s="22" t="s">
        <v>7851</v>
      </c>
      <c r="B7737" s="36">
        <v>45822.53611111111</v>
      </c>
      <c r="D7737" s="22" t="s">
        <v>42</v>
      </c>
      <c r="E7737" s="22" t="s">
        <v>65</v>
      </c>
      <c r="F7737" s="22" t="s">
        <v>43</v>
      </c>
      <c r="G7737" s="22" t="s">
        <v>126</v>
      </c>
      <c r="H7737" s="22" t="s">
        <v>67</v>
      </c>
      <c r="I7737" s="22" t="s">
        <v>117</v>
      </c>
      <c r="J7737" s="23">
        <v>48</v>
      </c>
      <c r="K7737" s="37">
        <v>0</v>
      </c>
      <c r="M7737" s="22" t="str">
        <f>IF(OR(ISBLANK(C7737),C7737=""),"",ROUND((C7737-B7737)*24,2))</f>
        <v/>
      </c>
      <c r="N7737" s="22" t="str">
        <f>IF(OR(ISBLANK(C7737),C7737="",M7737=""),"In Progress",IF(M7737&lt;=J7737,"Met","Breached"))</f>
        <v>In Progress</v>
      </c>
    </row>
    <row r="7738" ht="19" customHeight="1" spans="1:14" x14ac:dyDescent="0.25">
      <c r="A7738" s="19" t="s">
        <v>7852</v>
      </c>
      <c r="B7738" s="33">
        <v>45668.75833333333</v>
      </c>
      <c r="D7738" s="19" t="s">
        <v>39</v>
      </c>
      <c r="E7738" s="19" t="s">
        <v>61</v>
      </c>
      <c r="F7738" s="19" t="s">
        <v>43</v>
      </c>
      <c r="G7738" s="19" t="s">
        <v>63</v>
      </c>
      <c r="H7738" s="19" t="s">
        <v>59</v>
      </c>
      <c r="I7738" s="19" t="s">
        <v>123</v>
      </c>
      <c r="J7738" s="20">
        <v>12</v>
      </c>
      <c r="K7738" s="34">
        <v>0</v>
      </c>
      <c r="M7738" s="19" t="str">
        <f>IF(OR(ISBLANK(C7738),C7738=""),"",ROUND((C7738-B7738)*24,2))</f>
        <v/>
      </c>
      <c r="N7738" s="19" t="str">
        <f>IF(OR(ISBLANK(C7738),C7738="",M7738=""),"In Progress",IF(M7738&lt;=J7738,"Met","Breached"))</f>
        <v>In Progress</v>
      </c>
    </row>
    <row r="7739" ht="19" customHeight="1" spans="1:14" x14ac:dyDescent="0.25">
      <c r="A7739" s="22" t="s">
        <v>7853</v>
      </c>
      <c r="B7739" s="36">
        <v>46146.663194444445</v>
      </c>
      <c r="C7739" s="36">
        <v>46146.71527777778</v>
      </c>
      <c r="D7739" s="22" t="s">
        <v>33</v>
      </c>
      <c r="E7739" s="22" t="s">
        <v>57</v>
      </c>
      <c r="F7739" s="22" t="s">
        <v>37</v>
      </c>
      <c r="G7739" s="22" t="s">
        <v>113</v>
      </c>
      <c r="H7739" s="22" t="s">
        <v>63</v>
      </c>
      <c r="I7739" s="22" t="s">
        <v>108</v>
      </c>
      <c r="J7739" s="23">
        <v>4</v>
      </c>
      <c r="K7739" s="37">
        <v>0</v>
      </c>
      <c r="L7739" s="37">
        <v>1</v>
      </c>
      <c r="M7739" s="22">
        <f>IF(OR(ISBLANK(C7739),C7739=""),"",ROUND((C7739-B7739)*24,2))</f>
        <v>1.25</v>
      </c>
      <c r="N7739" s="40" t="str">
        <f>IF(OR(ISBLANK(C7739),C7739="",M7739=""),"In Progress",IF(M7739&lt;=J7739,"Met","Breached"))</f>
        <v>Met</v>
      </c>
    </row>
    <row r="7740" ht="19" customHeight="1" spans="1:14" x14ac:dyDescent="0.25">
      <c r="A7740" s="19" t="s">
        <v>7854</v>
      </c>
      <c r="B7740" s="33">
        <v>46000.51527777778</v>
      </c>
      <c r="C7740" s="33">
        <v>46008.44305555556</v>
      </c>
      <c r="D7740" s="19" t="s">
        <v>33</v>
      </c>
      <c r="E7740" s="19" t="s">
        <v>69</v>
      </c>
      <c r="F7740" s="19" t="s">
        <v>45</v>
      </c>
      <c r="G7740" s="19" t="s">
        <v>121</v>
      </c>
      <c r="H7740" s="19" t="s">
        <v>59</v>
      </c>
      <c r="I7740" s="19" t="s">
        <v>117</v>
      </c>
      <c r="J7740" s="20">
        <v>120</v>
      </c>
      <c r="K7740" s="34">
        <v>0</v>
      </c>
      <c r="L7740" s="34">
        <v>3</v>
      </c>
      <c r="M7740" s="19">
        <f>IF(OR(ISBLANK(C7740),C7740=""),"",ROUND((C7740-B7740)*24,2))</f>
        <v>190.27</v>
      </c>
      <c r="N7740" s="39" t="str">
        <f>IF(OR(ISBLANK(C7740),C7740="",M7740=""),"In Progress",IF(M7740&lt;=J7740,"Met","Breached"))</f>
        <v>Breached</v>
      </c>
    </row>
    <row r="7741" ht="19" customHeight="1" spans="1:14" x14ac:dyDescent="0.25">
      <c r="A7741" s="22" t="s">
        <v>7855</v>
      </c>
      <c r="B7741" s="36">
        <v>45661.22013888889</v>
      </c>
      <c r="C7741" s="36">
        <v>45661.47430555556</v>
      </c>
      <c r="D7741" s="22" t="s">
        <v>33</v>
      </c>
      <c r="E7741" s="22" t="s">
        <v>57</v>
      </c>
      <c r="F7741" s="22" t="s">
        <v>43</v>
      </c>
      <c r="G7741" s="22" t="s">
        <v>126</v>
      </c>
      <c r="H7741" s="22" t="s">
        <v>71</v>
      </c>
      <c r="I7741" s="22" t="s">
        <v>123</v>
      </c>
      <c r="J7741" s="23">
        <v>4</v>
      </c>
      <c r="K7741" s="37">
        <v>0</v>
      </c>
      <c r="L7741" s="37">
        <v>3</v>
      </c>
      <c r="M7741" s="22">
        <f>IF(OR(ISBLANK(C7741),C7741=""),"",ROUND((C7741-B7741)*24,2))</f>
        <v>6.1</v>
      </c>
      <c r="N7741" s="38" t="str">
        <f>IF(OR(ISBLANK(C7741),C7741="",M7741=""),"In Progress",IF(M7741&lt;=J7741,"Met","Breached"))</f>
        <v>Breached</v>
      </c>
    </row>
    <row r="7742" ht="19" customHeight="1" spans="1:14" x14ac:dyDescent="0.25">
      <c r="A7742" s="19" t="s">
        <v>7856</v>
      </c>
      <c r="B7742" s="33">
        <v>45943.680555555555</v>
      </c>
      <c r="C7742" s="33">
        <v>45949.74930555555</v>
      </c>
      <c r="D7742" s="19" t="s">
        <v>36</v>
      </c>
      <c r="E7742" s="19" t="s">
        <v>69</v>
      </c>
      <c r="F7742" s="19" t="s">
        <v>43</v>
      </c>
      <c r="G7742" s="19" t="s">
        <v>113</v>
      </c>
      <c r="H7742" s="19" t="s">
        <v>63</v>
      </c>
      <c r="I7742" s="19" t="s">
        <v>108</v>
      </c>
      <c r="J7742" s="20">
        <v>120</v>
      </c>
      <c r="K7742" s="34">
        <v>0</v>
      </c>
      <c r="L7742" s="34">
        <v>3</v>
      </c>
      <c r="M7742" s="19">
        <f>IF(OR(ISBLANK(C7742),C7742=""),"",ROUND((C7742-B7742)*24,2))</f>
        <v>145.65</v>
      </c>
      <c r="N7742" s="39" t="str">
        <f>IF(OR(ISBLANK(C7742),C7742="",M7742=""),"In Progress",IF(M7742&lt;=J7742,"Met","Breached"))</f>
        <v>Breached</v>
      </c>
    </row>
    <row r="7743" ht="19" customHeight="1" spans="1:14" x14ac:dyDescent="0.25">
      <c r="A7743" s="22" t="s">
        <v>7857</v>
      </c>
      <c r="B7743" s="36">
        <v>45858.53263888889</v>
      </c>
      <c r="C7743" s="36">
        <v>45863.038194444445</v>
      </c>
      <c r="D7743" s="22" t="s">
        <v>33</v>
      </c>
      <c r="E7743" s="22" t="s">
        <v>69</v>
      </c>
      <c r="F7743" s="22" t="s">
        <v>40</v>
      </c>
      <c r="G7743" s="22" t="s">
        <v>113</v>
      </c>
      <c r="H7743" s="22" t="s">
        <v>59</v>
      </c>
      <c r="I7743" s="22" t="s">
        <v>147</v>
      </c>
      <c r="J7743" s="23">
        <v>120</v>
      </c>
      <c r="K7743" s="37">
        <v>0</v>
      </c>
      <c r="L7743" s="37">
        <v>3</v>
      </c>
      <c r="M7743" s="22">
        <f>IF(OR(ISBLANK(C7743),C7743=""),"",ROUND((C7743-B7743)*24,2))</f>
        <v>108.13</v>
      </c>
      <c r="N7743" s="40" t="str">
        <f>IF(OR(ISBLANK(C7743),C7743="",M7743=""),"In Progress",IF(M7743&lt;=J7743,"Met","Breached"))</f>
        <v>Met</v>
      </c>
    </row>
    <row r="7744" ht="19" customHeight="1" spans="1:14" x14ac:dyDescent="0.25">
      <c r="A7744" s="19" t="s">
        <v>7858</v>
      </c>
      <c r="B7744" s="33">
        <v>46194.125</v>
      </c>
      <c r="D7744" s="19" t="s">
        <v>39</v>
      </c>
      <c r="E7744" s="19" t="s">
        <v>65</v>
      </c>
      <c r="F7744" s="19" t="s">
        <v>45</v>
      </c>
      <c r="G7744" s="19" t="s">
        <v>63</v>
      </c>
      <c r="H7744" s="19" t="s">
        <v>59</v>
      </c>
      <c r="I7744" s="19" t="s">
        <v>111</v>
      </c>
      <c r="J7744" s="20">
        <v>48</v>
      </c>
      <c r="K7744" s="34">
        <v>0</v>
      </c>
      <c r="M7744" s="19" t="str">
        <f>IF(OR(ISBLANK(C7744),C7744=""),"",ROUND((C7744-B7744)*24,2))</f>
        <v/>
      </c>
      <c r="N7744" s="19" t="str">
        <f>IF(OR(ISBLANK(C7744),C7744="",M7744=""),"In Progress",IF(M7744&lt;=J7744,"Met","Breached"))</f>
        <v>In Progress</v>
      </c>
    </row>
    <row r="7745" ht="19" customHeight="1" spans="1:14" x14ac:dyDescent="0.25">
      <c r="A7745" s="22" t="s">
        <v>7859</v>
      </c>
      <c r="B7745" s="36">
        <v>45757.78125</v>
      </c>
      <c r="D7745" s="22" t="s">
        <v>39</v>
      </c>
      <c r="E7745" s="22" t="s">
        <v>65</v>
      </c>
      <c r="F7745" s="22" t="s">
        <v>34</v>
      </c>
      <c r="G7745" s="22" t="s">
        <v>126</v>
      </c>
      <c r="H7745" s="22" t="s">
        <v>71</v>
      </c>
      <c r="I7745" s="22" t="s">
        <v>123</v>
      </c>
      <c r="J7745" s="23">
        <v>48</v>
      </c>
      <c r="K7745" s="37">
        <v>0</v>
      </c>
      <c r="M7745" s="22" t="str">
        <f>IF(OR(ISBLANK(C7745),C7745=""),"",ROUND((C7745-B7745)*24,2))</f>
        <v/>
      </c>
      <c r="N7745" s="22" t="str">
        <f>IF(OR(ISBLANK(C7745),C7745="",M7745=""),"In Progress",IF(M7745&lt;=J7745,"Met","Breached"))</f>
        <v>In Progress</v>
      </c>
    </row>
    <row r="7746" ht="19" customHeight="1" spans="1:14" x14ac:dyDescent="0.25">
      <c r="A7746" s="19" t="s">
        <v>7860</v>
      </c>
      <c r="B7746" s="33">
        <v>45720.89097222222</v>
      </c>
      <c r="C7746" s="33">
        <v>45721.74097222222</v>
      </c>
      <c r="D7746" s="19" t="s">
        <v>36</v>
      </c>
      <c r="E7746" s="19" t="s">
        <v>61</v>
      </c>
      <c r="F7746" s="19" t="s">
        <v>40</v>
      </c>
      <c r="G7746" s="19" t="s">
        <v>63</v>
      </c>
      <c r="H7746" s="19" t="s">
        <v>59</v>
      </c>
      <c r="I7746" s="19" t="s">
        <v>117</v>
      </c>
      <c r="J7746" s="20">
        <v>12</v>
      </c>
      <c r="K7746" s="34">
        <v>0</v>
      </c>
      <c r="L7746" s="34">
        <v>3</v>
      </c>
      <c r="M7746" s="19">
        <f>IF(OR(ISBLANK(C7746),C7746=""),"",ROUND((C7746-B7746)*24,2))</f>
        <v>20.4</v>
      </c>
      <c r="N7746" s="39" t="str">
        <f>IF(OR(ISBLANK(C7746),C7746="",M7746=""),"In Progress",IF(M7746&lt;=J7746,"Met","Breached"))</f>
        <v>Breached</v>
      </c>
    </row>
    <row r="7747" ht="19" customHeight="1" spans="1:14" x14ac:dyDescent="0.25">
      <c r="A7747" s="22" t="s">
        <v>7861</v>
      </c>
      <c r="B7747" s="36">
        <v>46041.86875</v>
      </c>
      <c r="C7747" s="36">
        <v>46042.3625</v>
      </c>
      <c r="D7747" s="22" t="s">
        <v>33</v>
      </c>
      <c r="E7747" s="22" t="s">
        <v>61</v>
      </c>
      <c r="F7747" s="22" t="s">
        <v>45</v>
      </c>
      <c r="G7747" s="22" t="s">
        <v>126</v>
      </c>
      <c r="H7747" s="22" t="s">
        <v>63</v>
      </c>
      <c r="I7747" s="22" t="s">
        <v>114</v>
      </c>
      <c r="J7747" s="23">
        <v>12</v>
      </c>
      <c r="K7747" s="37">
        <v>0</v>
      </c>
      <c r="L7747" s="37">
        <v>3</v>
      </c>
      <c r="M7747" s="22">
        <f>IF(OR(ISBLANK(C7747),C7747=""),"",ROUND((C7747-B7747)*24,2))</f>
        <v>11.85</v>
      </c>
      <c r="N7747" s="40" t="str">
        <f>IF(OR(ISBLANK(C7747),C7747="",M7747=""),"In Progress",IF(M7747&lt;=J7747,"Met","Breached"))</f>
        <v>Met</v>
      </c>
    </row>
    <row r="7748" ht="19" customHeight="1" spans="1:14" x14ac:dyDescent="0.25">
      <c r="A7748" s="19" t="s">
        <v>7862</v>
      </c>
      <c r="B7748" s="33">
        <v>45696.48958333333</v>
      </c>
      <c r="C7748" s="33">
        <v>45696.992361111115</v>
      </c>
      <c r="D7748" s="19" t="s">
        <v>33</v>
      </c>
      <c r="E7748" s="19" t="s">
        <v>61</v>
      </c>
      <c r="F7748" s="19" t="s">
        <v>43</v>
      </c>
      <c r="G7748" s="19" t="s">
        <v>121</v>
      </c>
      <c r="H7748" s="19" t="s">
        <v>67</v>
      </c>
      <c r="I7748" s="19" t="s">
        <v>108</v>
      </c>
      <c r="J7748" s="20">
        <v>12</v>
      </c>
      <c r="K7748" s="34">
        <v>0</v>
      </c>
      <c r="L7748" s="34">
        <v>4</v>
      </c>
      <c r="M7748" s="19">
        <f>IF(OR(ISBLANK(C7748),C7748=""),"",ROUND((C7748-B7748)*24,2))</f>
        <v>12.07</v>
      </c>
      <c r="N7748" s="39" t="str">
        <f>IF(OR(ISBLANK(C7748),C7748="",M7748=""),"In Progress",IF(M7748&lt;=J7748,"Met","Breached"))</f>
        <v>Breached</v>
      </c>
    </row>
    <row r="7749" ht="19" customHeight="1" spans="1:14" x14ac:dyDescent="0.25">
      <c r="A7749" s="22" t="s">
        <v>7863</v>
      </c>
      <c r="B7749" s="36">
        <v>46169.771527777775</v>
      </c>
      <c r="D7749" s="22" t="s">
        <v>39</v>
      </c>
      <c r="E7749" s="22" t="s">
        <v>69</v>
      </c>
      <c r="F7749" s="22" t="s">
        <v>37</v>
      </c>
      <c r="G7749" s="22" t="s">
        <v>110</v>
      </c>
      <c r="H7749" s="22" t="s">
        <v>59</v>
      </c>
      <c r="I7749" s="22" t="s">
        <v>108</v>
      </c>
      <c r="J7749" s="23">
        <v>120</v>
      </c>
      <c r="K7749" s="37">
        <v>0</v>
      </c>
      <c r="M7749" s="22" t="str">
        <f>IF(OR(ISBLANK(C7749),C7749=""),"",ROUND((C7749-B7749)*24,2))</f>
        <v/>
      </c>
      <c r="N7749" s="22" t="str">
        <f>IF(OR(ISBLANK(C7749),C7749="",M7749=""),"In Progress",IF(M7749&lt;=J7749,"Met","Breached"))</f>
        <v>In Progress</v>
      </c>
    </row>
    <row r="7750" ht="19" customHeight="1" spans="1:14" x14ac:dyDescent="0.25">
      <c r="A7750" s="19" t="s">
        <v>7864</v>
      </c>
      <c r="B7750" s="33">
        <v>46209.61666666667</v>
      </c>
      <c r="C7750" s="33">
        <v>46210.652083333334</v>
      </c>
      <c r="D7750" s="19" t="s">
        <v>33</v>
      </c>
      <c r="E7750" s="19" t="s">
        <v>65</v>
      </c>
      <c r="F7750" s="19" t="s">
        <v>45</v>
      </c>
      <c r="G7750" s="19" t="s">
        <v>126</v>
      </c>
      <c r="H7750" s="19" t="s">
        <v>59</v>
      </c>
      <c r="I7750" s="19" t="s">
        <v>117</v>
      </c>
      <c r="J7750" s="20">
        <v>48</v>
      </c>
      <c r="K7750" s="34">
        <v>0</v>
      </c>
      <c r="L7750" s="34">
        <v>4</v>
      </c>
      <c r="M7750" s="19">
        <f>IF(OR(ISBLANK(C7750),C7750=""),"",ROUND((C7750-B7750)*24,2))</f>
        <v>24.85</v>
      </c>
      <c r="N7750" s="35" t="str">
        <f>IF(OR(ISBLANK(C7750),C7750="",M7750=""),"In Progress",IF(M7750&lt;=J7750,"Met","Breached"))</f>
        <v>Met</v>
      </c>
    </row>
    <row r="7751" ht="19" customHeight="1" spans="1:14" x14ac:dyDescent="0.25">
      <c r="A7751" s="22" t="s">
        <v>7865</v>
      </c>
      <c r="B7751" s="36">
        <v>45850.74097222222</v>
      </c>
      <c r="D7751" s="22" t="s">
        <v>42</v>
      </c>
      <c r="E7751" s="22" t="s">
        <v>65</v>
      </c>
      <c r="F7751" s="22" t="s">
        <v>40</v>
      </c>
      <c r="G7751" s="22" t="s">
        <v>116</v>
      </c>
      <c r="H7751" s="22" t="s">
        <v>59</v>
      </c>
      <c r="I7751" s="22" t="s">
        <v>108</v>
      </c>
      <c r="J7751" s="23">
        <v>48</v>
      </c>
      <c r="K7751" s="37">
        <v>0</v>
      </c>
      <c r="M7751" s="22" t="str">
        <f>IF(OR(ISBLANK(C7751),C7751=""),"",ROUND((C7751-B7751)*24,2))</f>
        <v/>
      </c>
      <c r="N7751" s="22" t="str">
        <f>IF(OR(ISBLANK(C7751),C7751="",M7751=""),"In Progress",IF(M7751&lt;=J7751,"Met","Breached"))</f>
        <v>In Progress</v>
      </c>
    </row>
    <row r="7752" ht="19" customHeight="1" spans="1:14" x14ac:dyDescent="0.25">
      <c r="A7752" s="19" t="s">
        <v>7866</v>
      </c>
      <c r="B7752" s="33">
        <v>45729.14166666666</v>
      </c>
      <c r="C7752" s="33">
        <v>45729.933333333334</v>
      </c>
      <c r="D7752" s="19" t="s">
        <v>33</v>
      </c>
      <c r="E7752" s="19" t="s">
        <v>61</v>
      </c>
      <c r="F7752" s="19" t="s">
        <v>34</v>
      </c>
      <c r="G7752" s="19" t="s">
        <v>121</v>
      </c>
      <c r="H7752" s="19" t="s">
        <v>63</v>
      </c>
      <c r="I7752" s="19" t="s">
        <v>123</v>
      </c>
      <c r="J7752" s="20">
        <v>12</v>
      </c>
      <c r="K7752" s="34">
        <v>0</v>
      </c>
      <c r="M7752" s="19">
        <f>IF(OR(ISBLANK(C7752),C7752=""),"",ROUND((C7752-B7752)*24,2))</f>
        <v>19</v>
      </c>
      <c r="N7752" s="39" t="str">
        <f>IF(OR(ISBLANK(C7752),C7752="",M7752=""),"In Progress",IF(M7752&lt;=J7752,"Met","Breached"))</f>
        <v>Breached</v>
      </c>
    </row>
    <row r="7753" ht="19" customHeight="1" spans="1:14" x14ac:dyDescent="0.25">
      <c r="A7753" s="22" t="s">
        <v>7867</v>
      </c>
      <c r="B7753" s="36">
        <v>46181.15625</v>
      </c>
      <c r="C7753" s="36">
        <v>46182.99375</v>
      </c>
      <c r="D7753" s="22" t="s">
        <v>33</v>
      </c>
      <c r="E7753" s="22" t="s">
        <v>65</v>
      </c>
      <c r="F7753" s="22" t="s">
        <v>37</v>
      </c>
      <c r="G7753" s="22" t="s">
        <v>116</v>
      </c>
      <c r="H7753" s="22" t="s">
        <v>63</v>
      </c>
      <c r="I7753" s="22" t="s">
        <v>147</v>
      </c>
      <c r="J7753" s="23">
        <v>48</v>
      </c>
      <c r="K7753" s="37">
        <v>0</v>
      </c>
      <c r="L7753" s="37">
        <v>1</v>
      </c>
      <c r="M7753" s="22">
        <f>IF(OR(ISBLANK(C7753),C7753=""),"",ROUND((C7753-B7753)*24,2))</f>
        <v>44.1</v>
      </c>
      <c r="N7753" s="40" t="str">
        <f>IF(OR(ISBLANK(C7753),C7753="",M7753=""),"In Progress",IF(M7753&lt;=J7753,"Met","Breached"))</f>
        <v>Met</v>
      </c>
    </row>
    <row r="7754" ht="19" customHeight="1" spans="1:14" x14ac:dyDescent="0.25">
      <c r="A7754" s="19" t="s">
        <v>7868</v>
      </c>
      <c r="B7754" s="33">
        <v>46070.81458333333</v>
      </c>
      <c r="C7754" s="33">
        <v>46070.91527777778</v>
      </c>
      <c r="D7754" s="19" t="s">
        <v>33</v>
      </c>
      <c r="E7754" s="19" t="s">
        <v>57</v>
      </c>
      <c r="F7754" s="19" t="s">
        <v>37</v>
      </c>
      <c r="G7754" s="19" t="s">
        <v>121</v>
      </c>
      <c r="H7754" s="19" t="s">
        <v>59</v>
      </c>
      <c r="I7754" s="19" t="s">
        <v>123</v>
      </c>
      <c r="J7754" s="20">
        <v>4</v>
      </c>
      <c r="K7754" s="34">
        <v>0</v>
      </c>
      <c r="L7754" s="34">
        <v>3</v>
      </c>
      <c r="M7754" s="19">
        <f>IF(OR(ISBLANK(C7754),C7754=""),"",ROUND((C7754-B7754)*24,2))</f>
        <v>2.42</v>
      </c>
      <c r="N7754" s="35" t="str">
        <f>IF(OR(ISBLANK(C7754),C7754="",M7754=""),"In Progress",IF(M7754&lt;=J7754,"Met","Breached"))</f>
        <v>Met</v>
      </c>
    </row>
    <row r="7755" ht="19" customHeight="1" spans="1:14" x14ac:dyDescent="0.25">
      <c r="A7755" s="22" t="s">
        <v>7869</v>
      </c>
      <c r="B7755" s="36">
        <v>46090.652083333334</v>
      </c>
      <c r="C7755" s="36">
        <v>46090.86041666666</v>
      </c>
      <c r="D7755" s="22" t="s">
        <v>33</v>
      </c>
      <c r="E7755" s="22" t="s">
        <v>57</v>
      </c>
      <c r="F7755" s="22" t="s">
        <v>40</v>
      </c>
      <c r="G7755" s="22" t="s">
        <v>63</v>
      </c>
      <c r="H7755" s="22" t="s">
        <v>59</v>
      </c>
      <c r="I7755" s="22" t="s">
        <v>108</v>
      </c>
      <c r="J7755" s="23">
        <v>4</v>
      </c>
      <c r="K7755" s="37">
        <v>0</v>
      </c>
      <c r="M7755" s="22">
        <f>IF(OR(ISBLANK(C7755),C7755=""),"",ROUND((C7755-B7755)*24,2))</f>
        <v>5</v>
      </c>
      <c r="N7755" s="38" t="str">
        <f>IF(OR(ISBLANK(C7755),C7755="",M7755=""),"In Progress",IF(M7755&lt;=J7755,"Met","Breached"))</f>
        <v>Breached</v>
      </c>
    </row>
    <row r="7756" ht="19" customHeight="1" spans="1:14" x14ac:dyDescent="0.25">
      <c r="A7756" s="19" t="s">
        <v>7870</v>
      </c>
      <c r="B7756" s="33">
        <v>46036.757638888885</v>
      </c>
      <c r="C7756" s="33">
        <v>46039.2</v>
      </c>
      <c r="D7756" s="19" t="s">
        <v>33</v>
      </c>
      <c r="E7756" s="19" t="s">
        <v>65</v>
      </c>
      <c r="F7756" s="19" t="s">
        <v>45</v>
      </c>
      <c r="G7756" s="19" t="s">
        <v>116</v>
      </c>
      <c r="H7756" s="19" t="s">
        <v>59</v>
      </c>
      <c r="I7756" s="19" t="s">
        <v>114</v>
      </c>
      <c r="J7756" s="20">
        <v>48</v>
      </c>
      <c r="K7756" s="34">
        <v>0</v>
      </c>
      <c r="L7756" s="34">
        <v>1</v>
      </c>
      <c r="M7756" s="19">
        <f>IF(OR(ISBLANK(C7756),C7756=""),"",ROUND((C7756-B7756)*24,2))</f>
        <v>58.62</v>
      </c>
      <c r="N7756" s="39" t="str">
        <f>IF(OR(ISBLANK(C7756),C7756="",M7756=""),"In Progress",IF(M7756&lt;=J7756,"Met","Breached"))</f>
        <v>Breached</v>
      </c>
    </row>
    <row r="7757" ht="19" customHeight="1" spans="1:14" x14ac:dyDescent="0.25">
      <c r="A7757" s="22" t="s">
        <v>7871</v>
      </c>
      <c r="B7757" s="36">
        <v>46119.38680555555</v>
      </c>
      <c r="C7757" s="36">
        <v>46121.697222222225</v>
      </c>
      <c r="D7757" s="22" t="s">
        <v>36</v>
      </c>
      <c r="E7757" s="22" t="s">
        <v>65</v>
      </c>
      <c r="F7757" s="22" t="s">
        <v>43</v>
      </c>
      <c r="G7757" s="22" t="s">
        <v>63</v>
      </c>
      <c r="H7757" s="22" t="s">
        <v>71</v>
      </c>
      <c r="I7757" s="22" t="s">
        <v>147</v>
      </c>
      <c r="J7757" s="23">
        <v>48</v>
      </c>
      <c r="K7757" s="37">
        <v>0</v>
      </c>
      <c r="M7757" s="22">
        <f>IF(OR(ISBLANK(C7757),C7757=""),"",ROUND((C7757-B7757)*24,2))</f>
        <v>55.45</v>
      </c>
      <c r="N7757" s="38" t="str">
        <f>IF(OR(ISBLANK(C7757),C7757="",M7757=""),"In Progress",IF(M7757&lt;=J7757,"Met","Breached"))</f>
        <v>Breached</v>
      </c>
    </row>
    <row r="7758" ht="19" customHeight="1" spans="1:14" x14ac:dyDescent="0.25">
      <c r="A7758" s="19" t="s">
        <v>7872</v>
      </c>
      <c r="B7758" s="33">
        <v>45811.67569444445</v>
      </c>
      <c r="C7758" s="33">
        <v>45812.995833333334</v>
      </c>
      <c r="D7758" s="19" t="s">
        <v>33</v>
      </c>
      <c r="E7758" s="19" t="s">
        <v>65</v>
      </c>
      <c r="F7758" s="19" t="s">
        <v>37</v>
      </c>
      <c r="G7758" s="19" t="s">
        <v>116</v>
      </c>
      <c r="H7758" s="19" t="s">
        <v>67</v>
      </c>
      <c r="I7758" s="19" t="s">
        <v>111</v>
      </c>
      <c r="J7758" s="20">
        <v>48</v>
      </c>
      <c r="K7758" s="34">
        <v>0</v>
      </c>
      <c r="M7758" s="19">
        <f>IF(OR(ISBLANK(C7758),C7758=""),"",ROUND((C7758-B7758)*24,2))</f>
        <v>31.68</v>
      </c>
      <c r="N7758" s="35" t="str">
        <f>IF(OR(ISBLANK(C7758),C7758="",M7758=""),"In Progress",IF(M7758&lt;=J7758,"Met","Breached"))</f>
        <v>Met</v>
      </c>
    </row>
    <row r="7759" ht="19" customHeight="1" spans="1:14" x14ac:dyDescent="0.25">
      <c r="A7759" s="22" t="s">
        <v>7873</v>
      </c>
      <c r="B7759" s="36">
        <v>45742.17916666667</v>
      </c>
      <c r="D7759" s="22" t="s">
        <v>39</v>
      </c>
      <c r="E7759" s="22" t="s">
        <v>61</v>
      </c>
      <c r="F7759" s="22" t="s">
        <v>37</v>
      </c>
      <c r="G7759" s="22" t="s">
        <v>126</v>
      </c>
      <c r="H7759" s="22" t="s">
        <v>59</v>
      </c>
      <c r="I7759" s="22" t="s">
        <v>147</v>
      </c>
      <c r="J7759" s="23">
        <v>12</v>
      </c>
      <c r="K7759" s="37">
        <v>0</v>
      </c>
      <c r="M7759" s="22" t="str">
        <f>IF(OR(ISBLANK(C7759),C7759=""),"",ROUND((C7759-B7759)*24,2))</f>
        <v/>
      </c>
      <c r="N7759" s="22" t="str">
        <f>IF(OR(ISBLANK(C7759),C7759="",M7759=""),"In Progress",IF(M7759&lt;=J7759,"Met","Breached"))</f>
        <v>In Progress</v>
      </c>
    </row>
    <row r="7760" ht="19" customHeight="1" spans="1:14" x14ac:dyDescent="0.25">
      <c r="A7760" s="19" t="s">
        <v>7874</v>
      </c>
      <c r="B7760" s="33">
        <v>46189.96944444445</v>
      </c>
      <c r="C7760" s="33">
        <v>46191.09305555555</v>
      </c>
      <c r="D7760" s="19" t="s">
        <v>33</v>
      </c>
      <c r="E7760" s="19" t="s">
        <v>65</v>
      </c>
      <c r="F7760" s="19" t="s">
        <v>40</v>
      </c>
      <c r="G7760" s="19" t="s">
        <v>121</v>
      </c>
      <c r="H7760" s="19" t="s">
        <v>63</v>
      </c>
      <c r="I7760" s="19" t="s">
        <v>111</v>
      </c>
      <c r="J7760" s="20">
        <v>48</v>
      </c>
      <c r="K7760" s="34">
        <v>0</v>
      </c>
      <c r="L7760" s="34">
        <v>1</v>
      </c>
      <c r="M7760" s="19">
        <f>IF(OR(ISBLANK(C7760),C7760=""),"",ROUND((C7760-B7760)*24,2))</f>
        <v>26.97</v>
      </c>
      <c r="N7760" s="35" t="str">
        <f>IF(OR(ISBLANK(C7760),C7760="",M7760=""),"In Progress",IF(M7760&lt;=J7760,"Met","Breached"))</f>
        <v>Met</v>
      </c>
    </row>
    <row r="7761" ht="19" customHeight="1" spans="1:14" x14ac:dyDescent="0.25">
      <c r="A7761" s="22" t="s">
        <v>7875</v>
      </c>
      <c r="B7761" s="36">
        <v>46113.566666666666</v>
      </c>
      <c r="D7761" s="22" t="s">
        <v>42</v>
      </c>
      <c r="E7761" s="22" t="s">
        <v>65</v>
      </c>
      <c r="F7761" s="22" t="s">
        <v>45</v>
      </c>
      <c r="G7761" s="22" t="s">
        <v>126</v>
      </c>
      <c r="H7761" s="22" t="s">
        <v>67</v>
      </c>
      <c r="I7761" s="22" t="s">
        <v>108</v>
      </c>
      <c r="J7761" s="23">
        <v>48</v>
      </c>
      <c r="K7761" s="37">
        <v>0</v>
      </c>
      <c r="M7761" s="22" t="str">
        <f>IF(OR(ISBLANK(C7761),C7761=""),"",ROUND((C7761-B7761)*24,2))</f>
        <v/>
      </c>
      <c r="N7761" s="22" t="str">
        <f>IF(OR(ISBLANK(C7761),C7761="",M7761=""),"In Progress",IF(M7761&lt;=J7761,"Met","Breached"))</f>
        <v>In Progress</v>
      </c>
    </row>
    <row r="7762" ht="19" customHeight="1" spans="1:14" x14ac:dyDescent="0.25">
      <c r="A7762" s="19" t="s">
        <v>7876</v>
      </c>
      <c r="B7762" s="33">
        <v>45761.910416666666</v>
      </c>
      <c r="C7762" s="33">
        <v>45762.23055555555</v>
      </c>
      <c r="D7762" s="19" t="s">
        <v>33</v>
      </c>
      <c r="E7762" s="19" t="s">
        <v>61</v>
      </c>
      <c r="F7762" s="19" t="s">
        <v>45</v>
      </c>
      <c r="G7762" s="19" t="s">
        <v>116</v>
      </c>
      <c r="H7762" s="19" t="s">
        <v>63</v>
      </c>
      <c r="I7762" s="19" t="s">
        <v>147</v>
      </c>
      <c r="J7762" s="20">
        <v>12</v>
      </c>
      <c r="K7762" s="34">
        <v>0</v>
      </c>
      <c r="L7762" s="34">
        <v>5</v>
      </c>
      <c r="M7762" s="19">
        <f>IF(OR(ISBLANK(C7762),C7762=""),"",ROUND((C7762-B7762)*24,2))</f>
        <v>7.68</v>
      </c>
      <c r="N7762" s="35" t="str">
        <f>IF(OR(ISBLANK(C7762),C7762="",M7762=""),"In Progress",IF(M7762&lt;=J7762,"Met","Breached"))</f>
        <v>Met</v>
      </c>
    </row>
    <row r="7763" ht="19" customHeight="1" spans="1:14" x14ac:dyDescent="0.25">
      <c r="A7763" s="22" t="s">
        <v>7877</v>
      </c>
      <c r="B7763" s="36">
        <v>45978.84444444445</v>
      </c>
      <c r="C7763" s="36">
        <v>45979.21805555555</v>
      </c>
      <c r="D7763" s="22" t="s">
        <v>33</v>
      </c>
      <c r="E7763" s="22" t="s">
        <v>61</v>
      </c>
      <c r="F7763" s="22" t="s">
        <v>43</v>
      </c>
      <c r="G7763" s="22" t="s">
        <v>113</v>
      </c>
      <c r="H7763" s="22" t="s">
        <v>59</v>
      </c>
      <c r="I7763" s="22" t="s">
        <v>123</v>
      </c>
      <c r="J7763" s="23">
        <v>12</v>
      </c>
      <c r="K7763" s="37">
        <v>0</v>
      </c>
      <c r="L7763" s="37">
        <v>1</v>
      </c>
      <c r="M7763" s="22">
        <f>IF(OR(ISBLANK(C7763),C7763=""),"",ROUND((C7763-B7763)*24,2))</f>
        <v>8.97</v>
      </c>
      <c r="N7763" s="40" t="str">
        <f>IF(OR(ISBLANK(C7763),C7763="",M7763=""),"In Progress",IF(M7763&lt;=J7763,"Met","Breached"))</f>
        <v>Met</v>
      </c>
    </row>
    <row r="7764" ht="19" customHeight="1" spans="1:14" x14ac:dyDescent="0.25">
      <c r="A7764" s="19" t="s">
        <v>7878</v>
      </c>
      <c r="B7764" s="33">
        <v>46193.8125</v>
      </c>
      <c r="D7764" s="19" t="s">
        <v>39</v>
      </c>
      <c r="E7764" s="19" t="s">
        <v>65</v>
      </c>
      <c r="F7764" s="19" t="s">
        <v>45</v>
      </c>
      <c r="G7764" s="19" t="s">
        <v>110</v>
      </c>
      <c r="H7764" s="19" t="s">
        <v>59</v>
      </c>
      <c r="I7764" s="19" t="s">
        <v>147</v>
      </c>
      <c r="J7764" s="20">
        <v>48</v>
      </c>
      <c r="K7764" s="34">
        <v>0</v>
      </c>
      <c r="M7764" s="19" t="str">
        <f>IF(OR(ISBLANK(C7764),C7764=""),"",ROUND((C7764-B7764)*24,2))</f>
        <v/>
      </c>
      <c r="N7764" s="19" t="str">
        <f>IF(OR(ISBLANK(C7764),C7764="",M7764=""),"In Progress",IF(M7764&lt;=J7764,"Met","Breached"))</f>
        <v>In Progress</v>
      </c>
    </row>
    <row r="7765" ht="19" customHeight="1" spans="1:14" x14ac:dyDescent="0.25">
      <c r="A7765" s="22" t="s">
        <v>7879</v>
      </c>
      <c r="B7765" s="36">
        <v>46259.04375</v>
      </c>
      <c r="C7765" s="36">
        <v>46260.64375</v>
      </c>
      <c r="D7765" s="22" t="s">
        <v>36</v>
      </c>
      <c r="E7765" s="22" t="s">
        <v>65</v>
      </c>
      <c r="F7765" s="22" t="s">
        <v>34</v>
      </c>
      <c r="G7765" s="22" t="s">
        <v>126</v>
      </c>
      <c r="H7765" s="22" t="s">
        <v>63</v>
      </c>
      <c r="I7765" s="22" t="s">
        <v>117</v>
      </c>
      <c r="J7765" s="23">
        <v>48</v>
      </c>
      <c r="K7765" s="37">
        <v>0</v>
      </c>
      <c r="L7765" s="37">
        <v>3</v>
      </c>
      <c r="M7765" s="22">
        <f>IF(OR(ISBLANK(C7765),C7765=""),"",ROUND((C7765-B7765)*24,2))</f>
        <v>38.4</v>
      </c>
      <c r="N7765" s="40" t="str">
        <f>IF(OR(ISBLANK(C7765),C7765="",M7765=""),"In Progress",IF(M7765&lt;=J7765,"Met","Breached"))</f>
        <v>Met</v>
      </c>
    </row>
    <row r="7766" ht="19" customHeight="1" spans="1:14" x14ac:dyDescent="0.25">
      <c r="A7766" s="19" t="s">
        <v>7880</v>
      </c>
      <c r="B7766" s="33">
        <v>46076.51875</v>
      </c>
      <c r="C7766" s="33">
        <v>46076.75069444445</v>
      </c>
      <c r="D7766" s="19" t="s">
        <v>33</v>
      </c>
      <c r="E7766" s="19" t="s">
        <v>61</v>
      </c>
      <c r="F7766" s="19" t="s">
        <v>45</v>
      </c>
      <c r="G7766" s="19" t="s">
        <v>63</v>
      </c>
      <c r="H7766" s="19" t="s">
        <v>59</v>
      </c>
      <c r="I7766" s="19" t="s">
        <v>114</v>
      </c>
      <c r="J7766" s="20">
        <v>12</v>
      </c>
      <c r="K7766" s="34">
        <v>0</v>
      </c>
      <c r="M7766" s="19">
        <f>IF(OR(ISBLANK(C7766),C7766=""),"",ROUND((C7766-B7766)*24,2))</f>
        <v>5.57</v>
      </c>
      <c r="N7766" s="35" t="str">
        <f>IF(OR(ISBLANK(C7766),C7766="",M7766=""),"In Progress",IF(M7766&lt;=J7766,"Met","Breached"))</f>
        <v>Met</v>
      </c>
    </row>
    <row r="7767" ht="19" customHeight="1" spans="1:14" x14ac:dyDescent="0.25">
      <c r="A7767" s="22" t="s">
        <v>7881</v>
      </c>
      <c r="B7767" s="36">
        <v>46044.89791666667</v>
      </c>
      <c r="C7767" s="36">
        <v>46046.0875</v>
      </c>
      <c r="D7767" s="22" t="s">
        <v>33</v>
      </c>
      <c r="E7767" s="22" t="s">
        <v>65</v>
      </c>
      <c r="F7767" s="22" t="s">
        <v>40</v>
      </c>
      <c r="G7767" s="22" t="s">
        <v>110</v>
      </c>
      <c r="H7767" s="22" t="s">
        <v>59</v>
      </c>
      <c r="I7767" s="22" t="s">
        <v>123</v>
      </c>
      <c r="J7767" s="23">
        <v>48</v>
      </c>
      <c r="K7767" s="37">
        <v>0</v>
      </c>
      <c r="L7767" s="37">
        <v>4</v>
      </c>
      <c r="M7767" s="22">
        <f>IF(OR(ISBLANK(C7767),C7767=""),"",ROUND((C7767-B7767)*24,2))</f>
        <v>28.55</v>
      </c>
      <c r="N7767" s="40" t="str">
        <f>IF(OR(ISBLANK(C7767),C7767="",M7767=""),"In Progress",IF(M7767&lt;=J7767,"Met","Breached"))</f>
        <v>Met</v>
      </c>
    </row>
    <row r="7768" ht="19" customHeight="1" spans="1:14" x14ac:dyDescent="0.25">
      <c r="A7768" s="19" t="s">
        <v>7882</v>
      </c>
      <c r="B7768" s="33">
        <v>45725.26875</v>
      </c>
      <c r="C7768" s="33">
        <v>45725.50347222222</v>
      </c>
      <c r="D7768" s="19" t="s">
        <v>36</v>
      </c>
      <c r="E7768" s="19" t="s">
        <v>57</v>
      </c>
      <c r="F7768" s="19" t="s">
        <v>34</v>
      </c>
      <c r="G7768" s="19" t="s">
        <v>63</v>
      </c>
      <c r="H7768" s="19" t="s">
        <v>59</v>
      </c>
      <c r="I7768" s="19" t="s">
        <v>114</v>
      </c>
      <c r="J7768" s="20">
        <v>4</v>
      </c>
      <c r="K7768" s="34">
        <v>0</v>
      </c>
      <c r="L7768" s="34">
        <v>3</v>
      </c>
      <c r="M7768" s="19">
        <f>IF(OR(ISBLANK(C7768),C7768=""),"",ROUND((C7768-B7768)*24,2))</f>
        <v>5.63</v>
      </c>
      <c r="N7768" s="39" t="str">
        <f>IF(OR(ISBLANK(C7768),C7768="",M7768=""),"In Progress",IF(M7768&lt;=J7768,"Met","Breached"))</f>
        <v>Breached</v>
      </c>
    </row>
    <row r="7769" ht="19" customHeight="1" spans="1:14" x14ac:dyDescent="0.25">
      <c r="A7769" s="22" t="s">
        <v>7883</v>
      </c>
      <c r="B7769" s="36">
        <v>46282.535416666666</v>
      </c>
      <c r="D7769" s="22" t="s">
        <v>39</v>
      </c>
      <c r="E7769" s="22" t="s">
        <v>65</v>
      </c>
      <c r="F7769" s="22" t="s">
        <v>45</v>
      </c>
      <c r="G7769" s="22" t="s">
        <v>113</v>
      </c>
      <c r="H7769" s="22" t="s">
        <v>59</v>
      </c>
      <c r="I7769" s="22" t="s">
        <v>117</v>
      </c>
      <c r="J7769" s="23">
        <v>48</v>
      </c>
      <c r="K7769" s="37">
        <v>0</v>
      </c>
      <c r="M7769" s="22" t="str">
        <f>IF(OR(ISBLANK(C7769),C7769=""),"",ROUND((C7769-B7769)*24,2))</f>
        <v/>
      </c>
      <c r="N7769" s="22" t="str">
        <f>IF(OR(ISBLANK(C7769),C7769="",M7769=""),"In Progress",IF(M7769&lt;=J7769,"Met","Breached"))</f>
        <v>In Progress</v>
      </c>
    </row>
    <row r="7770" ht="19" customHeight="1" spans="1:14" x14ac:dyDescent="0.25">
      <c r="A7770" s="19" t="s">
        <v>7884</v>
      </c>
      <c r="B7770" s="33">
        <v>46196.504166666666</v>
      </c>
      <c r="C7770" s="33">
        <v>46200.29722222222</v>
      </c>
      <c r="D7770" s="19" t="s">
        <v>33</v>
      </c>
      <c r="E7770" s="19" t="s">
        <v>69</v>
      </c>
      <c r="F7770" s="19" t="s">
        <v>40</v>
      </c>
      <c r="G7770" s="19" t="s">
        <v>126</v>
      </c>
      <c r="H7770" s="19" t="s">
        <v>63</v>
      </c>
      <c r="I7770" s="19" t="s">
        <v>111</v>
      </c>
      <c r="J7770" s="20">
        <v>120</v>
      </c>
      <c r="K7770" s="34">
        <v>0</v>
      </c>
      <c r="L7770" s="34">
        <v>4</v>
      </c>
      <c r="M7770" s="19">
        <f>IF(OR(ISBLANK(C7770),C7770=""),"",ROUND((C7770-B7770)*24,2))</f>
        <v>91.03</v>
      </c>
      <c r="N7770" s="35" t="str">
        <f>IF(OR(ISBLANK(C7770),C7770="",M7770=""),"In Progress",IF(M7770&lt;=J7770,"Met","Breached"))</f>
        <v>Met</v>
      </c>
    </row>
    <row r="7771" ht="19" customHeight="1" spans="1:14" x14ac:dyDescent="0.25">
      <c r="A7771" s="22" t="s">
        <v>7885</v>
      </c>
      <c r="B7771" s="36">
        <v>46004.01597222222</v>
      </c>
      <c r="C7771" s="36">
        <v>46006.46597222222</v>
      </c>
      <c r="D7771" s="22" t="s">
        <v>33</v>
      </c>
      <c r="E7771" s="22" t="s">
        <v>65</v>
      </c>
      <c r="F7771" s="22" t="s">
        <v>45</v>
      </c>
      <c r="G7771" s="22" t="s">
        <v>113</v>
      </c>
      <c r="H7771" s="22" t="s">
        <v>71</v>
      </c>
      <c r="I7771" s="22" t="s">
        <v>114</v>
      </c>
      <c r="J7771" s="23">
        <v>48</v>
      </c>
      <c r="K7771" s="37">
        <v>0</v>
      </c>
      <c r="M7771" s="22">
        <f>IF(OR(ISBLANK(C7771),C7771=""),"",ROUND((C7771-B7771)*24,2))</f>
        <v>58.8</v>
      </c>
      <c r="N7771" s="38" t="str">
        <f>IF(OR(ISBLANK(C7771),C7771="",M7771=""),"In Progress",IF(M7771&lt;=J7771,"Met","Breached"))</f>
        <v>Breached</v>
      </c>
    </row>
    <row r="7772" ht="19" customHeight="1" spans="1:14" x14ac:dyDescent="0.25">
      <c r="A7772" s="19" t="s">
        <v>7886</v>
      </c>
      <c r="B7772" s="33">
        <v>46049.64444444445</v>
      </c>
      <c r="C7772" s="33">
        <v>46051.14027777778</v>
      </c>
      <c r="D7772" s="19" t="s">
        <v>33</v>
      </c>
      <c r="E7772" s="19" t="s">
        <v>65</v>
      </c>
      <c r="F7772" s="19" t="s">
        <v>40</v>
      </c>
      <c r="G7772" s="19" t="s">
        <v>126</v>
      </c>
      <c r="H7772" s="19" t="s">
        <v>63</v>
      </c>
      <c r="I7772" s="19" t="s">
        <v>147</v>
      </c>
      <c r="J7772" s="20">
        <v>48</v>
      </c>
      <c r="K7772" s="34">
        <v>0</v>
      </c>
      <c r="L7772" s="34">
        <v>2</v>
      </c>
      <c r="M7772" s="19">
        <f>IF(OR(ISBLANK(C7772),C7772=""),"",ROUND((C7772-B7772)*24,2))</f>
        <v>35.9</v>
      </c>
      <c r="N7772" s="35" t="str">
        <f>IF(OR(ISBLANK(C7772),C7772="",M7772=""),"In Progress",IF(M7772&lt;=J7772,"Met","Breached"))</f>
        <v>Met</v>
      </c>
    </row>
    <row r="7773" ht="19" customHeight="1" spans="1:14" x14ac:dyDescent="0.25">
      <c r="A7773" s="22" t="s">
        <v>7887</v>
      </c>
      <c r="B7773" s="36">
        <v>45703.86388888889</v>
      </c>
      <c r="C7773" s="36">
        <v>45706.32847222222</v>
      </c>
      <c r="D7773" s="22" t="s">
        <v>33</v>
      </c>
      <c r="E7773" s="22" t="s">
        <v>65</v>
      </c>
      <c r="F7773" s="22" t="s">
        <v>34</v>
      </c>
      <c r="G7773" s="22" t="s">
        <v>126</v>
      </c>
      <c r="H7773" s="22" t="s">
        <v>63</v>
      </c>
      <c r="I7773" s="22" t="s">
        <v>108</v>
      </c>
      <c r="J7773" s="23">
        <v>48</v>
      </c>
      <c r="K7773" s="37">
        <v>0</v>
      </c>
      <c r="L7773" s="37">
        <v>5</v>
      </c>
      <c r="M7773" s="22">
        <f>IF(OR(ISBLANK(C7773),C7773=""),"",ROUND((C7773-B7773)*24,2))</f>
        <v>59.15</v>
      </c>
      <c r="N7773" s="38" t="str">
        <f>IF(OR(ISBLANK(C7773),C7773="",M7773=""),"In Progress",IF(M7773&lt;=J7773,"Met","Breached"))</f>
        <v>Breached</v>
      </c>
    </row>
    <row r="7774" ht="19" customHeight="1" spans="1:14" x14ac:dyDescent="0.25">
      <c r="A7774" s="19" t="s">
        <v>7888</v>
      </c>
      <c r="B7774" s="33">
        <v>45896.54305555555</v>
      </c>
      <c r="C7774" s="33">
        <v>45897.31875</v>
      </c>
      <c r="D7774" s="19" t="s">
        <v>33</v>
      </c>
      <c r="E7774" s="19" t="s">
        <v>61</v>
      </c>
      <c r="F7774" s="19" t="s">
        <v>37</v>
      </c>
      <c r="G7774" s="19" t="s">
        <v>121</v>
      </c>
      <c r="H7774" s="19" t="s">
        <v>59</v>
      </c>
      <c r="I7774" s="19" t="s">
        <v>108</v>
      </c>
      <c r="J7774" s="20">
        <v>12</v>
      </c>
      <c r="K7774" s="34">
        <v>0</v>
      </c>
      <c r="L7774" s="34">
        <v>5</v>
      </c>
      <c r="M7774" s="19">
        <f>IF(OR(ISBLANK(C7774),C7774=""),"",ROUND((C7774-B7774)*24,2))</f>
        <v>18.62</v>
      </c>
      <c r="N7774" s="39" t="str">
        <f>IF(OR(ISBLANK(C7774),C7774="",M7774=""),"In Progress",IF(M7774&lt;=J7774,"Met","Breached"))</f>
        <v>Breached</v>
      </c>
    </row>
    <row r="7775" ht="19" customHeight="1" spans="1:14" x14ac:dyDescent="0.25">
      <c r="A7775" s="22" t="s">
        <v>7889</v>
      </c>
      <c r="B7775" s="36">
        <v>46063.07291666667</v>
      </c>
      <c r="C7775" s="36">
        <v>46065.28611111111</v>
      </c>
      <c r="D7775" s="22" t="s">
        <v>33</v>
      </c>
      <c r="E7775" s="22" t="s">
        <v>65</v>
      </c>
      <c r="F7775" s="22" t="s">
        <v>40</v>
      </c>
      <c r="G7775" s="22" t="s">
        <v>113</v>
      </c>
      <c r="H7775" s="22" t="s">
        <v>63</v>
      </c>
      <c r="I7775" s="22" t="s">
        <v>147</v>
      </c>
      <c r="J7775" s="23">
        <v>48</v>
      </c>
      <c r="K7775" s="37">
        <v>0</v>
      </c>
      <c r="L7775" s="37">
        <v>1</v>
      </c>
      <c r="M7775" s="22">
        <f>IF(OR(ISBLANK(C7775),C7775=""),"",ROUND((C7775-B7775)*24,2))</f>
        <v>53.12</v>
      </c>
      <c r="N7775" s="38" t="str">
        <f>IF(OR(ISBLANK(C7775),C7775="",M7775=""),"In Progress",IF(M7775&lt;=J7775,"Met","Breached"))</f>
        <v>Breached</v>
      </c>
    </row>
    <row r="7776" ht="19" customHeight="1" spans="1:14" x14ac:dyDescent="0.25">
      <c r="A7776" s="19" t="s">
        <v>7890</v>
      </c>
      <c r="B7776" s="33">
        <v>46241.558333333334</v>
      </c>
      <c r="C7776" s="33">
        <v>46245.0125</v>
      </c>
      <c r="D7776" s="19" t="s">
        <v>36</v>
      </c>
      <c r="E7776" s="19" t="s">
        <v>65</v>
      </c>
      <c r="F7776" s="19" t="s">
        <v>34</v>
      </c>
      <c r="G7776" s="19" t="s">
        <v>126</v>
      </c>
      <c r="H7776" s="19" t="s">
        <v>59</v>
      </c>
      <c r="I7776" s="19" t="s">
        <v>117</v>
      </c>
      <c r="J7776" s="20">
        <v>48</v>
      </c>
      <c r="K7776" s="34">
        <v>0</v>
      </c>
      <c r="L7776" s="34">
        <v>4</v>
      </c>
      <c r="M7776" s="19">
        <f>IF(OR(ISBLANK(C7776),C7776=""),"",ROUND((C7776-B7776)*24,2))</f>
        <v>82.9</v>
      </c>
      <c r="N7776" s="39" t="str">
        <f>IF(OR(ISBLANK(C7776),C7776="",M7776=""),"In Progress",IF(M7776&lt;=J7776,"Met","Breached"))</f>
        <v>Breached</v>
      </c>
    </row>
    <row r="7777" ht="19" customHeight="1" spans="1:14" x14ac:dyDescent="0.25">
      <c r="A7777" s="22" t="s">
        <v>7891</v>
      </c>
      <c r="B7777" s="36">
        <v>45999.368055555555</v>
      </c>
      <c r="C7777" s="36">
        <v>45999.53125</v>
      </c>
      <c r="D7777" s="22" t="s">
        <v>33</v>
      </c>
      <c r="E7777" s="22" t="s">
        <v>61</v>
      </c>
      <c r="F7777" s="22" t="s">
        <v>37</v>
      </c>
      <c r="G7777" s="22" t="s">
        <v>110</v>
      </c>
      <c r="H7777" s="22" t="s">
        <v>71</v>
      </c>
      <c r="I7777" s="22" t="s">
        <v>108</v>
      </c>
      <c r="J7777" s="23">
        <v>12</v>
      </c>
      <c r="K7777" s="37">
        <v>0</v>
      </c>
      <c r="L7777" s="37">
        <v>1</v>
      </c>
      <c r="M7777" s="22">
        <f>IF(OR(ISBLANK(C7777),C7777=""),"",ROUND((C7777-B7777)*24,2))</f>
        <v>3.92</v>
      </c>
      <c r="N7777" s="40" t="str">
        <f>IF(OR(ISBLANK(C7777),C7777="",M7777=""),"In Progress",IF(M7777&lt;=J7777,"Met","Breached"))</f>
        <v>Met</v>
      </c>
    </row>
    <row r="7778" ht="19" customHeight="1" spans="1:14" x14ac:dyDescent="0.25">
      <c r="A7778" s="19" t="s">
        <v>7892</v>
      </c>
      <c r="B7778" s="33">
        <v>45966.84027777778</v>
      </c>
      <c r="D7778" s="19" t="s">
        <v>39</v>
      </c>
      <c r="E7778" s="19" t="s">
        <v>61</v>
      </c>
      <c r="F7778" s="19" t="s">
        <v>45</v>
      </c>
      <c r="G7778" s="19" t="s">
        <v>110</v>
      </c>
      <c r="H7778" s="19" t="s">
        <v>59</v>
      </c>
      <c r="I7778" s="19" t="s">
        <v>114</v>
      </c>
      <c r="J7778" s="20">
        <v>12</v>
      </c>
      <c r="K7778" s="34">
        <v>0</v>
      </c>
      <c r="M7778" s="19" t="str">
        <f>IF(OR(ISBLANK(C7778),C7778=""),"",ROUND((C7778-B7778)*24,2))</f>
        <v/>
      </c>
      <c r="N7778" s="19" t="str">
        <f>IF(OR(ISBLANK(C7778),C7778="",M7778=""),"In Progress",IF(M7778&lt;=J7778,"Met","Breached"))</f>
        <v>In Progress</v>
      </c>
    </row>
    <row r="7779" ht="19" customHeight="1" spans="1:14" x14ac:dyDescent="0.25">
      <c r="A7779" s="22" t="s">
        <v>7893</v>
      </c>
      <c r="B7779" s="36">
        <v>46101.21319444444</v>
      </c>
      <c r="D7779" s="22" t="s">
        <v>39</v>
      </c>
      <c r="E7779" s="22" t="s">
        <v>61</v>
      </c>
      <c r="F7779" s="22" t="s">
        <v>45</v>
      </c>
      <c r="G7779" s="22" t="s">
        <v>116</v>
      </c>
      <c r="H7779" s="22" t="s">
        <v>63</v>
      </c>
      <c r="I7779" s="22" t="s">
        <v>114</v>
      </c>
      <c r="J7779" s="23">
        <v>12</v>
      </c>
      <c r="K7779" s="37">
        <v>0</v>
      </c>
      <c r="M7779" s="22" t="str">
        <f>IF(OR(ISBLANK(C7779),C7779=""),"",ROUND((C7779-B7779)*24,2))</f>
        <v/>
      </c>
      <c r="N7779" s="22" t="str">
        <f>IF(OR(ISBLANK(C7779),C7779="",M7779=""),"In Progress",IF(M7779&lt;=J7779,"Met","Breached"))</f>
        <v>In Progress</v>
      </c>
    </row>
    <row r="7780" ht="19" customHeight="1" spans="1:14" x14ac:dyDescent="0.25">
      <c r="A7780" s="19" t="s">
        <v>7894</v>
      </c>
      <c r="B7780" s="33">
        <v>46007.40902777778</v>
      </c>
      <c r="C7780" s="33">
        <v>46012.89722222222</v>
      </c>
      <c r="D7780" s="19" t="s">
        <v>36</v>
      </c>
      <c r="E7780" s="19" t="s">
        <v>69</v>
      </c>
      <c r="F7780" s="19" t="s">
        <v>34</v>
      </c>
      <c r="G7780" s="19" t="s">
        <v>121</v>
      </c>
      <c r="H7780" s="19" t="s">
        <v>63</v>
      </c>
      <c r="I7780" s="19" t="s">
        <v>111</v>
      </c>
      <c r="J7780" s="20">
        <v>120</v>
      </c>
      <c r="K7780" s="34">
        <v>0</v>
      </c>
      <c r="M7780" s="19">
        <f>IF(OR(ISBLANK(C7780),C7780=""),"",ROUND((C7780-B7780)*24,2))</f>
        <v>131.72</v>
      </c>
      <c r="N7780" s="39" t="str">
        <f>IF(OR(ISBLANK(C7780),C7780="",M7780=""),"In Progress",IF(M7780&lt;=J7780,"Met","Breached"))</f>
        <v>Breached</v>
      </c>
    </row>
    <row r="7781" ht="19" customHeight="1" spans="1:14" x14ac:dyDescent="0.25">
      <c r="A7781" s="22" t="s">
        <v>7895</v>
      </c>
      <c r="B7781" s="36">
        <v>46178.336111111115</v>
      </c>
      <c r="C7781" s="36">
        <v>46184.84861111111</v>
      </c>
      <c r="D7781" s="22" t="s">
        <v>36</v>
      </c>
      <c r="E7781" s="22" t="s">
        <v>69</v>
      </c>
      <c r="F7781" s="22" t="s">
        <v>37</v>
      </c>
      <c r="G7781" s="22" t="s">
        <v>116</v>
      </c>
      <c r="H7781" s="22" t="s">
        <v>63</v>
      </c>
      <c r="I7781" s="22" t="s">
        <v>111</v>
      </c>
      <c r="J7781" s="23">
        <v>120</v>
      </c>
      <c r="K7781" s="37">
        <v>0</v>
      </c>
      <c r="M7781" s="22">
        <f>IF(OR(ISBLANK(C7781),C7781=""),"",ROUND((C7781-B7781)*24,2))</f>
        <v>156.3</v>
      </c>
      <c r="N7781" s="38" t="str">
        <f>IF(OR(ISBLANK(C7781),C7781="",M7781=""),"In Progress",IF(M7781&lt;=J7781,"Met","Breached"))</f>
        <v>Breached</v>
      </c>
    </row>
    <row r="7782" ht="19" customHeight="1" spans="1:14" x14ac:dyDescent="0.25">
      <c r="A7782" s="19" t="s">
        <v>7896</v>
      </c>
      <c r="B7782" s="33">
        <v>45990.34027777778</v>
      </c>
      <c r="C7782" s="33">
        <v>45992.01111111111</v>
      </c>
      <c r="D7782" s="19" t="s">
        <v>33</v>
      </c>
      <c r="E7782" s="19" t="s">
        <v>65</v>
      </c>
      <c r="F7782" s="19" t="s">
        <v>40</v>
      </c>
      <c r="G7782" s="19" t="s">
        <v>63</v>
      </c>
      <c r="H7782" s="19" t="s">
        <v>71</v>
      </c>
      <c r="I7782" s="19" t="s">
        <v>147</v>
      </c>
      <c r="J7782" s="20">
        <v>48</v>
      </c>
      <c r="K7782" s="34">
        <v>0</v>
      </c>
      <c r="L7782" s="34">
        <v>3</v>
      </c>
      <c r="M7782" s="19">
        <f>IF(OR(ISBLANK(C7782),C7782=""),"",ROUND((C7782-B7782)*24,2))</f>
        <v>40.1</v>
      </c>
      <c r="N7782" s="35" t="str">
        <f>IF(OR(ISBLANK(C7782),C7782="",M7782=""),"In Progress",IF(M7782&lt;=J7782,"Met","Breached"))</f>
        <v>Met</v>
      </c>
    </row>
    <row r="7783" ht="19" customHeight="1" spans="1:14" x14ac:dyDescent="0.25">
      <c r="A7783" s="22" t="s">
        <v>7897</v>
      </c>
      <c r="B7783" s="36">
        <v>46001.361805555556</v>
      </c>
      <c r="C7783" s="36">
        <v>46001.92916666667</v>
      </c>
      <c r="D7783" s="22" t="s">
        <v>36</v>
      </c>
      <c r="E7783" s="22" t="s">
        <v>61</v>
      </c>
      <c r="F7783" s="22" t="s">
        <v>40</v>
      </c>
      <c r="G7783" s="22" t="s">
        <v>121</v>
      </c>
      <c r="H7783" s="22" t="s">
        <v>59</v>
      </c>
      <c r="I7783" s="22" t="s">
        <v>123</v>
      </c>
      <c r="J7783" s="23">
        <v>12</v>
      </c>
      <c r="K7783" s="37">
        <v>0</v>
      </c>
      <c r="L7783" s="37">
        <v>3</v>
      </c>
      <c r="M7783" s="22">
        <f>IF(OR(ISBLANK(C7783),C7783=""),"",ROUND((C7783-B7783)*24,2))</f>
        <v>13.62</v>
      </c>
      <c r="N7783" s="38" t="str">
        <f>IF(OR(ISBLANK(C7783),C7783="",M7783=""),"In Progress",IF(M7783&lt;=J7783,"Met","Breached"))</f>
        <v>Breached</v>
      </c>
    </row>
    <row r="7784" ht="19" customHeight="1" spans="1:14" x14ac:dyDescent="0.25">
      <c r="A7784" s="19" t="s">
        <v>7898</v>
      </c>
      <c r="B7784" s="33">
        <v>46173.20277777778</v>
      </c>
      <c r="C7784" s="33">
        <v>46173.30625</v>
      </c>
      <c r="D7784" s="19" t="s">
        <v>36</v>
      </c>
      <c r="E7784" s="19" t="s">
        <v>57</v>
      </c>
      <c r="F7784" s="19" t="s">
        <v>43</v>
      </c>
      <c r="G7784" s="19" t="s">
        <v>113</v>
      </c>
      <c r="H7784" s="19" t="s">
        <v>59</v>
      </c>
      <c r="I7784" s="19" t="s">
        <v>123</v>
      </c>
      <c r="J7784" s="20">
        <v>4</v>
      </c>
      <c r="K7784" s="34">
        <v>0</v>
      </c>
      <c r="L7784" s="34">
        <v>3</v>
      </c>
      <c r="M7784" s="19">
        <f>IF(OR(ISBLANK(C7784),C7784=""),"",ROUND((C7784-B7784)*24,2))</f>
        <v>2.48</v>
      </c>
      <c r="N7784" s="35" t="str">
        <f>IF(OR(ISBLANK(C7784),C7784="",M7784=""),"In Progress",IF(M7784&lt;=J7784,"Met","Breached"))</f>
        <v>Met</v>
      </c>
    </row>
    <row r="7785" ht="19" customHeight="1" spans="1:14" x14ac:dyDescent="0.25">
      <c r="A7785" s="22" t="s">
        <v>7899</v>
      </c>
      <c r="B7785" s="36">
        <v>45733.42083333334</v>
      </c>
      <c r="C7785" s="36">
        <v>45734.89791666667</v>
      </c>
      <c r="D7785" s="22" t="s">
        <v>36</v>
      </c>
      <c r="E7785" s="22" t="s">
        <v>65</v>
      </c>
      <c r="F7785" s="22" t="s">
        <v>40</v>
      </c>
      <c r="G7785" s="22" t="s">
        <v>126</v>
      </c>
      <c r="H7785" s="22" t="s">
        <v>63</v>
      </c>
      <c r="I7785" s="22" t="s">
        <v>114</v>
      </c>
      <c r="J7785" s="23">
        <v>48</v>
      </c>
      <c r="K7785" s="37">
        <v>0</v>
      </c>
      <c r="L7785" s="37">
        <v>5</v>
      </c>
      <c r="M7785" s="22">
        <f>IF(OR(ISBLANK(C7785),C7785=""),"",ROUND((C7785-B7785)*24,2))</f>
        <v>35.45</v>
      </c>
      <c r="N7785" s="40" t="str">
        <f>IF(OR(ISBLANK(C7785),C7785="",M7785=""),"In Progress",IF(M7785&lt;=J7785,"Met","Breached"))</f>
        <v>Met</v>
      </c>
    </row>
    <row r="7786" ht="19" customHeight="1" spans="1:14" x14ac:dyDescent="0.25">
      <c r="A7786" s="19" t="s">
        <v>7900</v>
      </c>
      <c r="B7786" s="33">
        <v>45928.42013888889</v>
      </c>
      <c r="C7786" s="33">
        <v>45929.222916666666</v>
      </c>
      <c r="D7786" s="19" t="s">
        <v>33</v>
      </c>
      <c r="E7786" s="19" t="s">
        <v>65</v>
      </c>
      <c r="F7786" s="19" t="s">
        <v>34</v>
      </c>
      <c r="G7786" s="19" t="s">
        <v>113</v>
      </c>
      <c r="H7786" s="19" t="s">
        <v>63</v>
      </c>
      <c r="I7786" s="19" t="s">
        <v>147</v>
      </c>
      <c r="J7786" s="20">
        <v>48</v>
      </c>
      <c r="K7786" s="34">
        <v>0</v>
      </c>
      <c r="L7786" s="34">
        <v>3</v>
      </c>
      <c r="M7786" s="19">
        <f>IF(OR(ISBLANK(C7786),C7786=""),"",ROUND((C7786-B7786)*24,2))</f>
        <v>19.27</v>
      </c>
      <c r="N7786" s="35" t="str">
        <f>IF(OR(ISBLANK(C7786),C7786="",M7786=""),"In Progress",IF(M7786&lt;=J7786,"Met","Breached"))</f>
        <v>Met</v>
      </c>
    </row>
    <row r="7787" ht="19" customHeight="1" spans="1:14" x14ac:dyDescent="0.25">
      <c r="A7787" s="22" t="s">
        <v>7901</v>
      </c>
      <c r="B7787" s="36">
        <v>46213.91458333333</v>
      </c>
      <c r="C7787" s="36">
        <v>46216.259722222225</v>
      </c>
      <c r="D7787" s="22" t="s">
        <v>33</v>
      </c>
      <c r="E7787" s="22" t="s">
        <v>65</v>
      </c>
      <c r="F7787" s="22" t="s">
        <v>43</v>
      </c>
      <c r="G7787" s="22" t="s">
        <v>63</v>
      </c>
      <c r="H7787" s="22" t="s">
        <v>71</v>
      </c>
      <c r="I7787" s="22" t="s">
        <v>108</v>
      </c>
      <c r="J7787" s="23">
        <v>48</v>
      </c>
      <c r="K7787" s="37">
        <v>0</v>
      </c>
      <c r="L7787" s="37">
        <v>3</v>
      </c>
      <c r="M7787" s="22">
        <f>IF(OR(ISBLANK(C7787),C7787=""),"",ROUND((C7787-B7787)*24,2))</f>
        <v>56.28</v>
      </c>
      <c r="N7787" s="38" t="str">
        <f>IF(OR(ISBLANK(C7787),C7787="",M7787=""),"In Progress",IF(M7787&lt;=J7787,"Met","Breached"))</f>
        <v>Breached</v>
      </c>
    </row>
    <row r="7788" ht="19" customHeight="1" spans="1:14" x14ac:dyDescent="0.25">
      <c r="A7788" s="19" t="s">
        <v>7902</v>
      </c>
      <c r="B7788" s="33">
        <v>45867.79722222222</v>
      </c>
      <c r="C7788" s="33">
        <v>45868.316666666666</v>
      </c>
      <c r="D7788" s="19" t="s">
        <v>33</v>
      </c>
      <c r="E7788" s="19" t="s">
        <v>61</v>
      </c>
      <c r="F7788" s="19" t="s">
        <v>34</v>
      </c>
      <c r="G7788" s="19" t="s">
        <v>121</v>
      </c>
      <c r="H7788" s="19" t="s">
        <v>67</v>
      </c>
      <c r="I7788" s="19" t="s">
        <v>114</v>
      </c>
      <c r="J7788" s="20">
        <v>12</v>
      </c>
      <c r="K7788" s="34">
        <v>0</v>
      </c>
      <c r="L7788" s="34">
        <v>3</v>
      </c>
      <c r="M7788" s="19">
        <f>IF(OR(ISBLANK(C7788),C7788=""),"",ROUND((C7788-B7788)*24,2))</f>
        <v>12.47</v>
      </c>
      <c r="N7788" s="39" t="str">
        <f>IF(OR(ISBLANK(C7788),C7788="",M7788=""),"In Progress",IF(M7788&lt;=J7788,"Met","Breached"))</f>
        <v>Breached</v>
      </c>
    </row>
    <row r="7789" ht="19" customHeight="1" spans="1:14" x14ac:dyDescent="0.25">
      <c r="A7789" s="22" t="s">
        <v>7903</v>
      </c>
      <c r="B7789" s="36">
        <v>46083.90277777778</v>
      </c>
      <c r="C7789" s="36">
        <v>46085.71736111111</v>
      </c>
      <c r="D7789" s="22" t="s">
        <v>33</v>
      </c>
      <c r="E7789" s="22" t="s">
        <v>65</v>
      </c>
      <c r="F7789" s="22" t="s">
        <v>43</v>
      </c>
      <c r="G7789" s="22" t="s">
        <v>63</v>
      </c>
      <c r="H7789" s="22" t="s">
        <v>63</v>
      </c>
      <c r="I7789" s="22" t="s">
        <v>147</v>
      </c>
      <c r="J7789" s="23">
        <v>48</v>
      </c>
      <c r="K7789" s="37">
        <v>0</v>
      </c>
      <c r="M7789" s="22">
        <f>IF(OR(ISBLANK(C7789),C7789=""),"",ROUND((C7789-B7789)*24,2))</f>
        <v>43.55</v>
      </c>
      <c r="N7789" s="40" t="str">
        <f>IF(OR(ISBLANK(C7789),C7789="",M7789=""),"In Progress",IF(M7789&lt;=J7789,"Met","Breached"))</f>
        <v>Met</v>
      </c>
    </row>
    <row r="7790" ht="19" customHeight="1" spans="1:14" x14ac:dyDescent="0.25">
      <c r="A7790" s="19" t="s">
        <v>7904</v>
      </c>
      <c r="B7790" s="33">
        <v>45839.42638888889</v>
      </c>
      <c r="C7790" s="33">
        <v>45842.88541666667</v>
      </c>
      <c r="D7790" s="19" t="s">
        <v>33</v>
      </c>
      <c r="E7790" s="19" t="s">
        <v>65</v>
      </c>
      <c r="F7790" s="19" t="s">
        <v>34</v>
      </c>
      <c r="G7790" s="19" t="s">
        <v>126</v>
      </c>
      <c r="H7790" s="19" t="s">
        <v>63</v>
      </c>
      <c r="I7790" s="19" t="s">
        <v>147</v>
      </c>
      <c r="J7790" s="20">
        <v>48</v>
      </c>
      <c r="K7790" s="34">
        <v>0</v>
      </c>
      <c r="L7790" s="34">
        <v>2</v>
      </c>
      <c r="M7790" s="19">
        <f>IF(OR(ISBLANK(C7790),C7790=""),"",ROUND((C7790-B7790)*24,2))</f>
        <v>83.02</v>
      </c>
      <c r="N7790" s="39" t="str">
        <f>IF(OR(ISBLANK(C7790),C7790="",M7790=""),"In Progress",IF(M7790&lt;=J7790,"Met","Breached"))</f>
        <v>Breached</v>
      </c>
    </row>
    <row r="7791" ht="19" customHeight="1" spans="1:14" x14ac:dyDescent="0.25">
      <c r="A7791" s="22" t="s">
        <v>7905</v>
      </c>
      <c r="B7791" s="36">
        <v>45980.475</v>
      </c>
      <c r="D7791" s="22" t="s">
        <v>42</v>
      </c>
      <c r="E7791" s="22" t="s">
        <v>61</v>
      </c>
      <c r="F7791" s="22" t="s">
        <v>37</v>
      </c>
      <c r="G7791" s="22" t="s">
        <v>110</v>
      </c>
      <c r="H7791" s="22" t="s">
        <v>63</v>
      </c>
      <c r="I7791" s="22" t="s">
        <v>108</v>
      </c>
      <c r="J7791" s="23">
        <v>12</v>
      </c>
      <c r="K7791" s="37">
        <v>0</v>
      </c>
      <c r="M7791" s="22" t="str">
        <f>IF(OR(ISBLANK(C7791),C7791=""),"",ROUND((C7791-B7791)*24,2))</f>
        <v/>
      </c>
      <c r="N7791" s="22" t="str">
        <f>IF(OR(ISBLANK(C7791),C7791="",M7791=""),"In Progress",IF(M7791&lt;=J7791,"Met","Breached"))</f>
        <v>In Progress</v>
      </c>
    </row>
    <row r="7792" ht="19" customHeight="1" spans="1:14" x14ac:dyDescent="0.25">
      <c r="A7792" s="19" t="s">
        <v>7906</v>
      </c>
      <c r="B7792" s="33">
        <v>45659.56180555555</v>
      </c>
      <c r="D7792" s="19" t="s">
        <v>39</v>
      </c>
      <c r="E7792" s="19" t="s">
        <v>65</v>
      </c>
      <c r="F7792" s="19" t="s">
        <v>40</v>
      </c>
      <c r="G7792" s="19" t="s">
        <v>126</v>
      </c>
      <c r="H7792" s="19" t="s">
        <v>67</v>
      </c>
      <c r="I7792" s="19" t="s">
        <v>114</v>
      </c>
      <c r="J7792" s="20">
        <v>48</v>
      </c>
      <c r="K7792" s="34">
        <v>0</v>
      </c>
      <c r="M7792" s="19" t="str">
        <f>IF(OR(ISBLANK(C7792),C7792=""),"",ROUND((C7792-B7792)*24,2))</f>
        <v/>
      </c>
      <c r="N7792" s="19" t="str">
        <f>IF(OR(ISBLANK(C7792),C7792="",M7792=""),"In Progress",IF(M7792&lt;=J7792,"Met","Breached"))</f>
        <v>In Progress</v>
      </c>
    </row>
    <row r="7793" ht="19" customHeight="1" spans="1:14" x14ac:dyDescent="0.25">
      <c r="A7793" s="22" t="s">
        <v>7907</v>
      </c>
      <c r="B7793" s="36">
        <v>46083.49166666667</v>
      </c>
      <c r="C7793" s="36">
        <v>46086.28402777778</v>
      </c>
      <c r="D7793" s="22" t="s">
        <v>33</v>
      </c>
      <c r="E7793" s="22" t="s">
        <v>69</v>
      </c>
      <c r="F7793" s="22" t="s">
        <v>43</v>
      </c>
      <c r="G7793" s="22" t="s">
        <v>126</v>
      </c>
      <c r="H7793" s="22" t="s">
        <v>67</v>
      </c>
      <c r="I7793" s="22" t="s">
        <v>108</v>
      </c>
      <c r="J7793" s="23">
        <v>120</v>
      </c>
      <c r="K7793" s="37">
        <v>0</v>
      </c>
      <c r="L7793" s="37">
        <v>3</v>
      </c>
      <c r="M7793" s="22">
        <f>IF(OR(ISBLANK(C7793),C7793=""),"",ROUND((C7793-B7793)*24,2))</f>
        <v>67.02</v>
      </c>
      <c r="N7793" s="40" t="str">
        <f>IF(OR(ISBLANK(C7793),C7793="",M7793=""),"In Progress",IF(M7793&lt;=J7793,"Met","Breached"))</f>
        <v>Met</v>
      </c>
    </row>
    <row r="7794" ht="19" customHeight="1" spans="1:14" x14ac:dyDescent="0.25">
      <c r="A7794" s="19" t="s">
        <v>7908</v>
      </c>
      <c r="B7794" s="33">
        <v>46109.95972222222</v>
      </c>
      <c r="D7794" s="19" t="s">
        <v>42</v>
      </c>
      <c r="E7794" s="19" t="s">
        <v>69</v>
      </c>
      <c r="F7794" s="19" t="s">
        <v>45</v>
      </c>
      <c r="G7794" s="19" t="s">
        <v>113</v>
      </c>
      <c r="H7794" s="19" t="s">
        <v>67</v>
      </c>
      <c r="I7794" s="19" t="s">
        <v>111</v>
      </c>
      <c r="J7794" s="20">
        <v>120</v>
      </c>
      <c r="K7794" s="34">
        <v>0</v>
      </c>
      <c r="M7794" s="19" t="str">
        <f>IF(OR(ISBLANK(C7794),C7794=""),"",ROUND((C7794-B7794)*24,2))</f>
        <v/>
      </c>
      <c r="N7794" s="19" t="str">
        <f>IF(OR(ISBLANK(C7794),C7794="",M7794=""),"In Progress",IF(M7794&lt;=J7794,"Met","Breached"))</f>
        <v>In Progress</v>
      </c>
    </row>
    <row r="7795" ht="19" customHeight="1" spans="1:14" x14ac:dyDescent="0.25">
      <c r="A7795" s="22" t="s">
        <v>7909</v>
      </c>
      <c r="B7795" s="36">
        <v>46130.67361111111</v>
      </c>
      <c r="C7795" s="36">
        <v>46131.01944444445</v>
      </c>
      <c r="D7795" s="22" t="s">
        <v>36</v>
      </c>
      <c r="E7795" s="22" t="s">
        <v>61</v>
      </c>
      <c r="F7795" s="22" t="s">
        <v>40</v>
      </c>
      <c r="G7795" s="22" t="s">
        <v>116</v>
      </c>
      <c r="H7795" s="22" t="s">
        <v>71</v>
      </c>
      <c r="I7795" s="22" t="s">
        <v>108</v>
      </c>
      <c r="J7795" s="23">
        <v>12</v>
      </c>
      <c r="K7795" s="37">
        <v>0</v>
      </c>
      <c r="M7795" s="22">
        <f>IF(OR(ISBLANK(C7795),C7795=""),"",ROUND((C7795-B7795)*24,2))</f>
        <v>8.3</v>
      </c>
      <c r="N7795" s="40" t="str">
        <f>IF(OR(ISBLANK(C7795),C7795="",M7795=""),"In Progress",IF(M7795&lt;=J7795,"Met","Breached"))</f>
        <v>Met</v>
      </c>
    </row>
    <row r="7796" ht="19" customHeight="1" spans="1:14" x14ac:dyDescent="0.25">
      <c r="A7796" s="19" t="s">
        <v>7910</v>
      </c>
      <c r="B7796" s="33">
        <v>45961.777083333334</v>
      </c>
      <c r="C7796" s="33">
        <v>45965.30694444444</v>
      </c>
      <c r="D7796" s="19" t="s">
        <v>33</v>
      </c>
      <c r="E7796" s="19" t="s">
        <v>65</v>
      </c>
      <c r="F7796" s="19" t="s">
        <v>45</v>
      </c>
      <c r="G7796" s="19" t="s">
        <v>116</v>
      </c>
      <c r="H7796" s="19" t="s">
        <v>63</v>
      </c>
      <c r="I7796" s="19" t="s">
        <v>108</v>
      </c>
      <c r="J7796" s="20">
        <v>48</v>
      </c>
      <c r="K7796" s="34">
        <v>0</v>
      </c>
      <c r="L7796" s="34">
        <v>2</v>
      </c>
      <c r="M7796" s="19">
        <f>IF(OR(ISBLANK(C7796),C7796=""),"",ROUND((C7796-B7796)*24,2))</f>
        <v>84.72</v>
      </c>
      <c r="N7796" s="39" t="str">
        <f>IF(OR(ISBLANK(C7796),C7796="",M7796=""),"In Progress",IF(M7796&lt;=J7796,"Met","Breached"))</f>
        <v>Breached</v>
      </c>
    </row>
    <row r="7797" ht="19" customHeight="1" spans="1:14" x14ac:dyDescent="0.25">
      <c r="A7797" s="22" t="s">
        <v>7911</v>
      </c>
      <c r="B7797" s="36">
        <v>46143.27638888889</v>
      </c>
      <c r="C7797" s="36">
        <v>46143.93541666667</v>
      </c>
      <c r="D7797" s="22" t="s">
        <v>33</v>
      </c>
      <c r="E7797" s="22" t="s">
        <v>61</v>
      </c>
      <c r="F7797" s="22" t="s">
        <v>34</v>
      </c>
      <c r="G7797" s="22" t="s">
        <v>116</v>
      </c>
      <c r="H7797" s="22" t="s">
        <v>71</v>
      </c>
      <c r="I7797" s="22" t="s">
        <v>108</v>
      </c>
      <c r="J7797" s="23">
        <v>12</v>
      </c>
      <c r="K7797" s="37">
        <v>0</v>
      </c>
      <c r="L7797" s="37">
        <v>1</v>
      </c>
      <c r="M7797" s="22">
        <f>IF(OR(ISBLANK(C7797),C7797=""),"",ROUND((C7797-B7797)*24,2))</f>
        <v>15.82</v>
      </c>
      <c r="N7797" s="38" t="str">
        <f>IF(OR(ISBLANK(C7797),C7797="",M7797=""),"In Progress",IF(M7797&lt;=J7797,"Met","Breached"))</f>
        <v>Breached</v>
      </c>
    </row>
    <row r="7798" ht="19" customHeight="1" spans="1:14" x14ac:dyDescent="0.25">
      <c r="A7798" s="19" t="s">
        <v>7912</v>
      </c>
      <c r="B7798" s="33">
        <v>46001.04583333334</v>
      </c>
      <c r="C7798" s="33">
        <v>46001.20416666666</v>
      </c>
      <c r="D7798" s="19" t="s">
        <v>33</v>
      </c>
      <c r="E7798" s="19" t="s">
        <v>57</v>
      </c>
      <c r="F7798" s="19" t="s">
        <v>34</v>
      </c>
      <c r="G7798" s="19" t="s">
        <v>63</v>
      </c>
      <c r="H7798" s="19" t="s">
        <v>63</v>
      </c>
      <c r="I7798" s="19" t="s">
        <v>147</v>
      </c>
      <c r="J7798" s="20">
        <v>4</v>
      </c>
      <c r="K7798" s="34">
        <v>0</v>
      </c>
      <c r="L7798" s="34">
        <v>3</v>
      </c>
      <c r="M7798" s="19">
        <f>IF(OR(ISBLANK(C7798),C7798=""),"",ROUND((C7798-B7798)*24,2))</f>
        <v>3.8</v>
      </c>
      <c r="N7798" s="35" t="str">
        <f>IF(OR(ISBLANK(C7798),C7798="",M7798=""),"In Progress",IF(M7798&lt;=J7798,"Met","Breached"))</f>
        <v>Met</v>
      </c>
    </row>
    <row r="7799" ht="19" customHeight="1" spans="1:14" x14ac:dyDescent="0.25">
      <c r="A7799" s="22" t="s">
        <v>7913</v>
      </c>
      <c r="B7799" s="36">
        <v>46165.103472222225</v>
      </c>
      <c r="D7799" s="22" t="s">
        <v>39</v>
      </c>
      <c r="E7799" s="22" t="s">
        <v>65</v>
      </c>
      <c r="F7799" s="22" t="s">
        <v>40</v>
      </c>
      <c r="G7799" s="22" t="s">
        <v>113</v>
      </c>
      <c r="H7799" s="22" t="s">
        <v>67</v>
      </c>
      <c r="I7799" s="22" t="s">
        <v>147</v>
      </c>
      <c r="J7799" s="23">
        <v>48</v>
      </c>
      <c r="K7799" s="37">
        <v>0</v>
      </c>
      <c r="M7799" s="22" t="str">
        <f>IF(OR(ISBLANK(C7799),C7799=""),"",ROUND((C7799-B7799)*24,2))</f>
        <v/>
      </c>
      <c r="N7799" s="22" t="str">
        <f>IF(OR(ISBLANK(C7799),C7799="",M7799=""),"In Progress",IF(M7799&lt;=J7799,"Met","Breached"))</f>
        <v>In Progress</v>
      </c>
    </row>
    <row r="7800" ht="19" customHeight="1" spans="1:14" x14ac:dyDescent="0.25">
      <c r="A7800" s="19" t="s">
        <v>7914</v>
      </c>
      <c r="B7800" s="33">
        <v>46005.67291666666</v>
      </c>
      <c r="D7800" s="19" t="s">
        <v>39</v>
      </c>
      <c r="E7800" s="19" t="s">
        <v>69</v>
      </c>
      <c r="F7800" s="19" t="s">
        <v>40</v>
      </c>
      <c r="G7800" s="19" t="s">
        <v>116</v>
      </c>
      <c r="H7800" s="19" t="s">
        <v>63</v>
      </c>
      <c r="I7800" s="19" t="s">
        <v>123</v>
      </c>
      <c r="J7800" s="20">
        <v>120</v>
      </c>
      <c r="K7800" s="34">
        <v>0</v>
      </c>
      <c r="M7800" s="19" t="str">
        <f>IF(OR(ISBLANK(C7800),C7800=""),"",ROUND((C7800-B7800)*24,2))</f>
        <v/>
      </c>
      <c r="N7800" s="19" t="str">
        <f>IF(OR(ISBLANK(C7800),C7800="",M7800=""),"In Progress",IF(M7800&lt;=J7800,"Met","Breached"))</f>
        <v>In Progress</v>
      </c>
    </row>
    <row r="7801" ht="19" customHeight="1" spans="1:14" x14ac:dyDescent="0.25">
      <c r="A7801" s="22" t="s">
        <v>7915</v>
      </c>
      <c r="B7801" s="36">
        <v>46250.96041666667</v>
      </c>
      <c r="C7801" s="36">
        <v>46253.007638888885</v>
      </c>
      <c r="D7801" s="22" t="s">
        <v>33</v>
      </c>
      <c r="E7801" s="22" t="s">
        <v>69</v>
      </c>
      <c r="F7801" s="22" t="s">
        <v>34</v>
      </c>
      <c r="G7801" s="22" t="s">
        <v>63</v>
      </c>
      <c r="H7801" s="22" t="s">
        <v>59</v>
      </c>
      <c r="I7801" s="22" t="s">
        <v>123</v>
      </c>
      <c r="J7801" s="23">
        <v>120</v>
      </c>
      <c r="K7801" s="37">
        <v>0</v>
      </c>
      <c r="L7801" s="37">
        <v>1</v>
      </c>
      <c r="M7801" s="22">
        <f>IF(OR(ISBLANK(C7801),C7801=""),"",ROUND((C7801-B7801)*24,2))</f>
        <v>49.13</v>
      </c>
      <c r="N7801" s="40" t="str">
        <f>IF(OR(ISBLANK(C7801),C7801="",M7801=""),"In Progress",IF(M7801&lt;=J7801,"Met","Breached"))</f>
        <v>Met</v>
      </c>
    </row>
    <row r="7802" ht="19" customHeight="1" spans="1:14" x14ac:dyDescent="0.25">
      <c r="A7802" s="19" t="s">
        <v>7916</v>
      </c>
      <c r="B7802" s="33">
        <v>45812.67291666666</v>
      </c>
      <c r="D7802" s="19" t="s">
        <v>39</v>
      </c>
      <c r="E7802" s="19" t="s">
        <v>69</v>
      </c>
      <c r="F7802" s="19" t="s">
        <v>34</v>
      </c>
      <c r="G7802" s="19" t="s">
        <v>63</v>
      </c>
      <c r="H7802" s="19" t="s">
        <v>59</v>
      </c>
      <c r="I7802" s="19" t="s">
        <v>123</v>
      </c>
      <c r="J7802" s="20">
        <v>120</v>
      </c>
      <c r="K7802" s="34">
        <v>0</v>
      </c>
      <c r="M7802" s="19" t="str">
        <f>IF(OR(ISBLANK(C7802),C7802=""),"",ROUND((C7802-B7802)*24,2))</f>
        <v/>
      </c>
      <c r="N7802" s="19" t="str">
        <f>IF(OR(ISBLANK(C7802),C7802="",M7802=""),"In Progress",IF(M7802&lt;=J7802,"Met","Breached"))</f>
        <v>In Progress</v>
      </c>
    </row>
    <row r="7803" ht="19" customHeight="1" spans="1:14" x14ac:dyDescent="0.25">
      <c r="A7803" s="22" t="s">
        <v>7917</v>
      </c>
      <c r="B7803" s="36">
        <v>46142.694444444445</v>
      </c>
      <c r="D7803" s="22" t="s">
        <v>39</v>
      </c>
      <c r="E7803" s="22" t="s">
        <v>61</v>
      </c>
      <c r="F7803" s="22" t="s">
        <v>37</v>
      </c>
      <c r="G7803" s="22" t="s">
        <v>121</v>
      </c>
      <c r="H7803" s="22" t="s">
        <v>63</v>
      </c>
      <c r="I7803" s="22" t="s">
        <v>123</v>
      </c>
      <c r="J7803" s="23">
        <v>12</v>
      </c>
      <c r="K7803" s="37">
        <v>0</v>
      </c>
      <c r="M7803" s="22" t="str">
        <f>IF(OR(ISBLANK(C7803),C7803=""),"",ROUND((C7803-B7803)*24,2))</f>
        <v/>
      </c>
      <c r="N7803" s="22" t="str">
        <f>IF(OR(ISBLANK(C7803),C7803="",M7803=""),"In Progress",IF(M7803&lt;=J7803,"Met","Breached"))</f>
        <v>In Progress</v>
      </c>
    </row>
    <row r="7804" ht="19" customHeight="1" spans="1:14" x14ac:dyDescent="0.25">
      <c r="A7804" s="19" t="s">
        <v>7918</v>
      </c>
      <c r="B7804" s="33">
        <v>46145.21805555555</v>
      </c>
      <c r="C7804" s="33">
        <v>46152.00486111111</v>
      </c>
      <c r="D7804" s="19" t="s">
        <v>36</v>
      </c>
      <c r="E7804" s="19" t="s">
        <v>69</v>
      </c>
      <c r="F7804" s="19" t="s">
        <v>45</v>
      </c>
      <c r="G7804" s="19" t="s">
        <v>126</v>
      </c>
      <c r="H7804" s="19" t="s">
        <v>63</v>
      </c>
      <c r="I7804" s="19" t="s">
        <v>114</v>
      </c>
      <c r="J7804" s="20">
        <v>120</v>
      </c>
      <c r="K7804" s="34">
        <v>0</v>
      </c>
      <c r="M7804" s="19">
        <f>IF(OR(ISBLANK(C7804),C7804=""),"",ROUND((C7804-B7804)*24,2))</f>
        <v>162.88</v>
      </c>
      <c r="N7804" s="39" t="str">
        <f>IF(OR(ISBLANK(C7804),C7804="",M7804=""),"In Progress",IF(M7804&lt;=J7804,"Met","Breached"))</f>
        <v>Breached</v>
      </c>
    </row>
    <row r="7805" ht="19" customHeight="1" spans="1:14" x14ac:dyDescent="0.25">
      <c r="A7805" s="22" t="s">
        <v>7919</v>
      </c>
      <c r="B7805" s="36">
        <v>45708.25</v>
      </c>
      <c r="C7805" s="36">
        <v>45708.84236111111</v>
      </c>
      <c r="D7805" s="22" t="s">
        <v>33</v>
      </c>
      <c r="E7805" s="22" t="s">
        <v>61</v>
      </c>
      <c r="F7805" s="22" t="s">
        <v>43</v>
      </c>
      <c r="G7805" s="22" t="s">
        <v>116</v>
      </c>
      <c r="H7805" s="22" t="s">
        <v>59</v>
      </c>
      <c r="I7805" s="22" t="s">
        <v>108</v>
      </c>
      <c r="J7805" s="23">
        <v>12</v>
      </c>
      <c r="K7805" s="37">
        <v>0</v>
      </c>
      <c r="M7805" s="22">
        <f>IF(OR(ISBLANK(C7805),C7805=""),"",ROUND((C7805-B7805)*24,2))</f>
        <v>14.22</v>
      </c>
      <c r="N7805" s="38" t="str">
        <f>IF(OR(ISBLANK(C7805),C7805="",M7805=""),"In Progress",IF(M7805&lt;=J7805,"Met","Breached"))</f>
        <v>Breached</v>
      </c>
    </row>
    <row r="7806" ht="19" customHeight="1" spans="1:14" x14ac:dyDescent="0.25">
      <c r="A7806" s="19" t="s">
        <v>7920</v>
      </c>
      <c r="B7806" s="33">
        <v>46083.93263888889</v>
      </c>
      <c r="C7806" s="33">
        <v>46085.05416666667</v>
      </c>
      <c r="D7806" s="19" t="s">
        <v>33</v>
      </c>
      <c r="E7806" s="19" t="s">
        <v>65</v>
      </c>
      <c r="F7806" s="19" t="s">
        <v>34</v>
      </c>
      <c r="G7806" s="19" t="s">
        <v>113</v>
      </c>
      <c r="H7806" s="19" t="s">
        <v>71</v>
      </c>
      <c r="I7806" s="19" t="s">
        <v>147</v>
      </c>
      <c r="J7806" s="20">
        <v>48</v>
      </c>
      <c r="K7806" s="34">
        <v>0</v>
      </c>
      <c r="L7806" s="34">
        <v>5</v>
      </c>
      <c r="M7806" s="19">
        <f>IF(OR(ISBLANK(C7806),C7806=""),"",ROUND((C7806-B7806)*24,2))</f>
        <v>26.92</v>
      </c>
      <c r="N7806" s="35" t="str">
        <f>IF(OR(ISBLANK(C7806),C7806="",M7806=""),"In Progress",IF(M7806&lt;=J7806,"Met","Breached"))</f>
        <v>Met</v>
      </c>
    </row>
    <row r="7807" ht="19" customHeight="1" spans="1:14" x14ac:dyDescent="0.25">
      <c r="A7807" s="22" t="s">
        <v>7921</v>
      </c>
      <c r="B7807" s="36">
        <v>46058.58263888889</v>
      </c>
      <c r="D7807" s="22" t="s">
        <v>39</v>
      </c>
      <c r="E7807" s="22" t="s">
        <v>65</v>
      </c>
      <c r="F7807" s="22" t="s">
        <v>43</v>
      </c>
      <c r="G7807" s="22" t="s">
        <v>116</v>
      </c>
      <c r="H7807" s="22" t="s">
        <v>67</v>
      </c>
      <c r="I7807" s="22" t="s">
        <v>108</v>
      </c>
      <c r="J7807" s="23">
        <v>48</v>
      </c>
      <c r="K7807" s="37">
        <v>0</v>
      </c>
      <c r="M7807" s="22" t="str">
        <f>IF(OR(ISBLANK(C7807),C7807=""),"",ROUND((C7807-B7807)*24,2))</f>
        <v/>
      </c>
      <c r="N7807" s="22" t="str">
        <f>IF(OR(ISBLANK(C7807),C7807="",M7807=""),"In Progress",IF(M7807&lt;=J7807,"Met","Breached"))</f>
        <v>In Progress</v>
      </c>
    </row>
    <row r="7808" ht="19" customHeight="1" spans="1:14" x14ac:dyDescent="0.25">
      <c r="A7808" s="19" t="s">
        <v>7922</v>
      </c>
      <c r="B7808" s="33">
        <v>45705.00902777778</v>
      </c>
      <c r="C7808" s="33">
        <v>45707.96944444445</v>
      </c>
      <c r="D7808" s="19" t="s">
        <v>33</v>
      </c>
      <c r="E7808" s="19" t="s">
        <v>65</v>
      </c>
      <c r="F7808" s="19" t="s">
        <v>37</v>
      </c>
      <c r="G7808" s="19" t="s">
        <v>110</v>
      </c>
      <c r="H7808" s="19" t="s">
        <v>59</v>
      </c>
      <c r="I7808" s="19" t="s">
        <v>108</v>
      </c>
      <c r="J7808" s="20">
        <v>48</v>
      </c>
      <c r="K7808" s="34">
        <v>0</v>
      </c>
      <c r="L7808" s="34">
        <v>5</v>
      </c>
      <c r="M7808" s="19">
        <f>IF(OR(ISBLANK(C7808),C7808=""),"",ROUND((C7808-B7808)*24,2))</f>
        <v>71.05</v>
      </c>
      <c r="N7808" s="39" t="str">
        <f>IF(OR(ISBLANK(C7808),C7808="",M7808=""),"In Progress",IF(M7808&lt;=J7808,"Met","Breached"))</f>
        <v>Breached</v>
      </c>
    </row>
    <row r="7809" ht="19" customHeight="1" spans="1:14" x14ac:dyDescent="0.25">
      <c r="A7809" s="22" t="s">
        <v>7923</v>
      </c>
      <c r="B7809" s="36">
        <v>45926.85555555555</v>
      </c>
      <c r="C7809" s="36">
        <v>45930.18888888889</v>
      </c>
      <c r="D7809" s="22" t="s">
        <v>33</v>
      </c>
      <c r="E7809" s="22" t="s">
        <v>65</v>
      </c>
      <c r="F7809" s="22" t="s">
        <v>40</v>
      </c>
      <c r="G7809" s="22" t="s">
        <v>121</v>
      </c>
      <c r="H7809" s="22" t="s">
        <v>59</v>
      </c>
      <c r="I7809" s="22" t="s">
        <v>117</v>
      </c>
      <c r="J7809" s="23">
        <v>48</v>
      </c>
      <c r="K7809" s="37">
        <v>0</v>
      </c>
      <c r="L7809" s="37">
        <v>2</v>
      </c>
      <c r="M7809" s="22">
        <f>IF(OR(ISBLANK(C7809),C7809=""),"",ROUND((C7809-B7809)*24,2))</f>
        <v>80</v>
      </c>
      <c r="N7809" s="38" t="str">
        <f>IF(OR(ISBLANK(C7809),C7809="",M7809=""),"In Progress",IF(M7809&lt;=J7809,"Met","Breached"))</f>
        <v>Breached</v>
      </c>
    </row>
    <row r="7810" ht="19" customHeight="1" spans="1:14" x14ac:dyDescent="0.25">
      <c r="A7810" s="19" t="s">
        <v>7924</v>
      </c>
      <c r="B7810" s="33">
        <v>46036.259722222225</v>
      </c>
      <c r="C7810" s="33">
        <v>46036.58819444444</v>
      </c>
      <c r="D7810" s="19" t="s">
        <v>33</v>
      </c>
      <c r="E7810" s="19" t="s">
        <v>61</v>
      </c>
      <c r="F7810" s="19" t="s">
        <v>34</v>
      </c>
      <c r="G7810" s="19" t="s">
        <v>126</v>
      </c>
      <c r="H7810" s="19" t="s">
        <v>59</v>
      </c>
      <c r="I7810" s="19" t="s">
        <v>147</v>
      </c>
      <c r="J7810" s="20">
        <v>12</v>
      </c>
      <c r="K7810" s="34">
        <v>0</v>
      </c>
      <c r="L7810" s="34">
        <v>5</v>
      </c>
      <c r="M7810" s="19">
        <f>IF(OR(ISBLANK(C7810),C7810=""),"",ROUND((C7810-B7810)*24,2))</f>
        <v>7.88</v>
      </c>
      <c r="N7810" s="35" t="str">
        <f>IF(OR(ISBLANK(C7810),C7810="",M7810=""),"In Progress",IF(M7810&lt;=J7810,"Met","Breached"))</f>
        <v>Met</v>
      </c>
    </row>
    <row r="7811" ht="19" customHeight="1" spans="1:14" x14ac:dyDescent="0.25">
      <c r="A7811" s="22" t="s">
        <v>7925</v>
      </c>
      <c r="B7811" s="36">
        <v>46272.8</v>
      </c>
      <c r="D7811" s="22" t="s">
        <v>42</v>
      </c>
      <c r="E7811" s="22" t="s">
        <v>65</v>
      </c>
      <c r="F7811" s="22" t="s">
        <v>40</v>
      </c>
      <c r="G7811" s="22" t="s">
        <v>121</v>
      </c>
      <c r="H7811" s="22" t="s">
        <v>59</v>
      </c>
      <c r="I7811" s="22" t="s">
        <v>123</v>
      </c>
      <c r="J7811" s="23">
        <v>48</v>
      </c>
      <c r="K7811" s="37">
        <v>0</v>
      </c>
      <c r="M7811" s="22" t="str">
        <f>IF(OR(ISBLANK(C7811),C7811=""),"",ROUND((C7811-B7811)*24,2))</f>
        <v/>
      </c>
      <c r="N7811" s="22" t="str">
        <f>IF(OR(ISBLANK(C7811),C7811="",M7811=""),"In Progress",IF(M7811&lt;=J7811,"Met","Breached"))</f>
        <v>In Progress</v>
      </c>
    </row>
    <row r="7812" ht="19" customHeight="1" spans="1:14" x14ac:dyDescent="0.25">
      <c r="A7812" s="19" t="s">
        <v>7926</v>
      </c>
      <c r="B7812" s="33">
        <v>45989.33472222222</v>
      </c>
      <c r="C7812" s="33">
        <v>45989.40694444445</v>
      </c>
      <c r="D7812" s="19" t="s">
        <v>36</v>
      </c>
      <c r="E7812" s="19" t="s">
        <v>57</v>
      </c>
      <c r="F7812" s="19" t="s">
        <v>45</v>
      </c>
      <c r="G7812" s="19" t="s">
        <v>126</v>
      </c>
      <c r="H7812" s="19" t="s">
        <v>67</v>
      </c>
      <c r="I7812" s="19" t="s">
        <v>111</v>
      </c>
      <c r="J7812" s="20">
        <v>4</v>
      </c>
      <c r="K7812" s="34">
        <v>0</v>
      </c>
      <c r="M7812" s="19">
        <f>IF(OR(ISBLANK(C7812),C7812=""),"",ROUND((C7812-B7812)*24,2))</f>
        <v>1.73</v>
      </c>
      <c r="N7812" s="35" t="str">
        <f>IF(OR(ISBLANK(C7812),C7812="",M7812=""),"In Progress",IF(M7812&lt;=J7812,"Met","Breached"))</f>
        <v>Met</v>
      </c>
    </row>
    <row r="7813" ht="19" customHeight="1" spans="1:14" x14ac:dyDescent="0.25">
      <c r="A7813" s="22" t="s">
        <v>7927</v>
      </c>
      <c r="B7813" s="36">
        <v>45828.31527777778</v>
      </c>
      <c r="C7813" s="36">
        <v>45828.83263888889</v>
      </c>
      <c r="D7813" s="22" t="s">
        <v>33</v>
      </c>
      <c r="E7813" s="22" t="s">
        <v>61</v>
      </c>
      <c r="F7813" s="22" t="s">
        <v>43</v>
      </c>
      <c r="G7813" s="22" t="s">
        <v>63</v>
      </c>
      <c r="H7813" s="22" t="s">
        <v>59</v>
      </c>
      <c r="I7813" s="22" t="s">
        <v>147</v>
      </c>
      <c r="J7813" s="23">
        <v>12</v>
      </c>
      <c r="K7813" s="37">
        <v>0</v>
      </c>
      <c r="L7813" s="37">
        <v>1</v>
      </c>
      <c r="M7813" s="22">
        <f>IF(OR(ISBLANK(C7813),C7813=""),"",ROUND((C7813-B7813)*24,2))</f>
        <v>12.42</v>
      </c>
      <c r="N7813" s="38" t="str">
        <f>IF(OR(ISBLANK(C7813),C7813="",M7813=""),"In Progress",IF(M7813&lt;=J7813,"Met","Breached"))</f>
        <v>Breached</v>
      </c>
    </row>
    <row r="7814" ht="19" customHeight="1" spans="1:14" x14ac:dyDescent="0.25">
      <c r="A7814" s="19" t="s">
        <v>7928</v>
      </c>
      <c r="B7814" s="33">
        <v>45984.549305555556</v>
      </c>
      <c r="C7814" s="33">
        <v>45985.72083333333</v>
      </c>
      <c r="D7814" s="19" t="s">
        <v>33</v>
      </c>
      <c r="E7814" s="19" t="s">
        <v>65</v>
      </c>
      <c r="F7814" s="19" t="s">
        <v>37</v>
      </c>
      <c r="G7814" s="19" t="s">
        <v>121</v>
      </c>
      <c r="H7814" s="19" t="s">
        <v>59</v>
      </c>
      <c r="I7814" s="19" t="s">
        <v>123</v>
      </c>
      <c r="J7814" s="20">
        <v>48</v>
      </c>
      <c r="K7814" s="34">
        <v>0</v>
      </c>
      <c r="L7814" s="34">
        <v>2</v>
      </c>
      <c r="M7814" s="19">
        <f>IF(OR(ISBLANK(C7814),C7814=""),"",ROUND((C7814-B7814)*24,2))</f>
        <v>28.12</v>
      </c>
      <c r="N7814" s="35" t="str">
        <f>IF(OR(ISBLANK(C7814),C7814="",M7814=""),"In Progress",IF(M7814&lt;=J7814,"Met","Breached"))</f>
        <v>Met</v>
      </c>
    </row>
    <row r="7815" ht="19" customHeight="1" spans="1:14" x14ac:dyDescent="0.25">
      <c r="A7815" s="22" t="s">
        <v>7929</v>
      </c>
      <c r="B7815" s="36">
        <v>46246.96736111111</v>
      </c>
      <c r="D7815" s="22" t="s">
        <v>39</v>
      </c>
      <c r="E7815" s="22" t="s">
        <v>65</v>
      </c>
      <c r="F7815" s="22" t="s">
        <v>45</v>
      </c>
      <c r="G7815" s="22" t="s">
        <v>113</v>
      </c>
      <c r="H7815" s="22" t="s">
        <v>59</v>
      </c>
      <c r="I7815" s="22" t="s">
        <v>123</v>
      </c>
      <c r="J7815" s="23">
        <v>48</v>
      </c>
      <c r="K7815" s="37">
        <v>0</v>
      </c>
      <c r="M7815" s="22" t="str">
        <f>IF(OR(ISBLANK(C7815),C7815=""),"",ROUND((C7815-B7815)*24,2))</f>
        <v/>
      </c>
      <c r="N7815" s="22" t="str">
        <f>IF(OR(ISBLANK(C7815),C7815="",M7815=""),"In Progress",IF(M7815&lt;=J7815,"Met","Breached"))</f>
        <v>In Progress</v>
      </c>
    </row>
    <row r="7816" ht="19" customHeight="1" spans="1:14" x14ac:dyDescent="0.25">
      <c r="A7816" s="19" t="s">
        <v>7930</v>
      </c>
      <c r="B7816" s="33">
        <v>46230.67361111111</v>
      </c>
      <c r="C7816" s="33">
        <v>46232.28263888889</v>
      </c>
      <c r="D7816" s="19" t="s">
        <v>36</v>
      </c>
      <c r="E7816" s="19" t="s">
        <v>65</v>
      </c>
      <c r="F7816" s="19" t="s">
        <v>43</v>
      </c>
      <c r="G7816" s="19" t="s">
        <v>113</v>
      </c>
      <c r="H7816" s="19" t="s">
        <v>67</v>
      </c>
      <c r="I7816" s="19" t="s">
        <v>117</v>
      </c>
      <c r="J7816" s="20">
        <v>48</v>
      </c>
      <c r="K7816" s="34">
        <v>0</v>
      </c>
      <c r="M7816" s="19">
        <f>IF(OR(ISBLANK(C7816),C7816=""),"",ROUND((C7816-B7816)*24,2))</f>
        <v>38.62</v>
      </c>
      <c r="N7816" s="35" t="str">
        <f>IF(OR(ISBLANK(C7816),C7816="",M7816=""),"In Progress",IF(M7816&lt;=J7816,"Met","Breached"))</f>
        <v>Met</v>
      </c>
    </row>
    <row r="7817" ht="19" customHeight="1" spans="1:14" x14ac:dyDescent="0.25">
      <c r="A7817" s="22" t="s">
        <v>7931</v>
      </c>
      <c r="B7817" s="36">
        <v>45737.95138888889</v>
      </c>
      <c r="C7817" s="36">
        <v>45742.91805555555</v>
      </c>
      <c r="D7817" s="22" t="s">
        <v>36</v>
      </c>
      <c r="E7817" s="22" t="s">
        <v>69</v>
      </c>
      <c r="F7817" s="22" t="s">
        <v>34</v>
      </c>
      <c r="G7817" s="22" t="s">
        <v>110</v>
      </c>
      <c r="H7817" s="22" t="s">
        <v>59</v>
      </c>
      <c r="I7817" s="22" t="s">
        <v>114</v>
      </c>
      <c r="J7817" s="23">
        <v>120</v>
      </c>
      <c r="K7817" s="37">
        <v>0</v>
      </c>
      <c r="L7817" s="37">
        <v>2</v>
      </c>
      <c r="M7817" s="22">
        <f>IF(OR(ISBLANK(C7817),C7817=""),"",ROUND((C7817-B7817)*24,2))</f>
        <v>119.2</v>
      </c>
      <c r="N7817" s="40" t="str">
        <f>IF(OR(ISBLANK(C7817),C7817="",M7817=""),"In Progress",IF(M7817&lt;=J7817,"Met","Breached"))</f>
        <v>Met</v>
      </c>
    </row>
    <row r="7818" ht="19" customHeight="1" spans="1:14" x14ac:dyDescent="0.25">
      <c r="A7818" s="19" t="s">
        <v>7932</v>
      </c>
      <c r="B7818" s="33">
        <v>45842.183333333334</v>
      </c>
      <c r="C7818" s="33">
        <v>45842.40416666667</v>
      </c>
      <c r="D7818" s="19" t="s">
        <v>33</v>
      </c>
      <c r="E7818" s="19" t="s">
        <v>61</v>
      </c>
      <c r="F7818" s="19" t="s">
        <v>37</v>
      </c>
      <c r="G7818" s="19" t="s">
        <v>121</v>
      </c>
      <c r="H7818" s="19" t="s">
        <v>59</v>
      </c>
      <c r="I7818" s="19" t="s">
        <v>117</v>
      </c>
      <c r="J7818" s="20">
        <v>12</v>
      </c>
      <c r="K7818" s="34">
        <v>0</v>
      </c>
      <c r="L7818" s="34">
        <v>1</v>
      </c>
      <c r="M7818" s="19">
        <f>IF(OR(ISBLANK(C7818),C7818=""),"",ROUND((C7818-B7818)*24,2))</f>
        <v>5.3</v>
      </c>
      <c r="N7818" s="35" t="str">
        <f>IF(OR(ISBLANK(C7818),C7818="",M7818=""),"In Progress",IF(M7818&lt;=J7818,"Met","Breached"))</f>
        <v>Met</v>
      </c>
    </row>
    <row r="7819" ht="19" customHeight="1" spans="1:14" x14ac:dyDescent="0.25">
      <c r="A7819" s="22" t="s">
        <v>7933</v>
      </c>
      <c r="B7819" s="36">
        <v>45925.26666666666</v>
      </c>
      <c r="C7819" s="36">
        <v>45926.40833333333</v>
      </c>
      <c r="D7819" s="22" t="s">
        <v>36</v>
      </c>
      <c r="E7819" s="22" t="s">
        <v>65</v>
      </c>
      <c r="F7819" s="22" t="s">
        <v>40</v>
      </c>
      <c r="G7819" s="22" t="s">
        <v>110</v>
      </c>
      <c r="H7819" s="22" t="s">
        <v>59</v>
      </c>
      <c r="I7819" s="22" t="s">
        <v>111</v>
      </c>
      <c r="J7819" s="23">
        <v>48</v>
      </c>
      <c r="K7819" s="37">
        <v>1</v>
      </c>
      <c r="M7819" s="22">
        <f>IF(OR(ISBLANK(C7819),C7819=""),"",ROUND((C7819-B7819)*24,2))</f>
        <v>27.4</v>
      </c>
      <c r="N7819" s="40" t="str">
        <f>IF(OR(ISBLANK(C7819),C7819="",M7819=""),"In Progress",IF(M7819&lt;=J7819,"Met","Breached"))</f>
        <v>Met</v>
      </c>
    </row>
    <row r="7820" ht="19" customHeight="1" spans="1:14" x14ac:dyDescent="0.25">
      <c r="A7820" s="19" t="s">
        <v>7934</v>
      </c>
      <c r="B7820" s="33">
        <v>45956.46944444445</v>
      </c>
      <c r="C7820" s="33">
        <v>45959.43611111111</v>
      </c>
      <c r="D7820" s="19" t="s">
        <v>36</v>
      </c>
      <c r="E7820" s="19" t="s">
        <v>69</v>
      </c>
      <c r="F7820" s="19" t="s">
        <v>43</v>
      </c>
      <c r="G7820" s="19" t="s">
        <v>110</v>
      </c>
      <c r="H7820" s="19" t="s">
        <v>71</v>
      </c>
      <c r="I7820" s="19" t="s">
        <v>111</v>
      </c>
      <c r="J7820" s="20">
        <v>120</v>
      </c>
      <c r="K7820" s="34">
        <v>0</v>
      </c>
      <c r="M7820" s="19">
        <f>IF(OR(ISBLANK(C7820),C7820=""),"",ROUND((C7820-B7820)*24,2))</f>
        <v>71.2</v>
      </c>
      <c r="N7820" s="35" t="str">
        <f>IF(OR(ISBLANK(C7820),C7820="",M7820=""),"In Progress",IF(M7820&lt;=J7820,"Met","Breached"))</f>
        <v>Met</v>
      </c>
    </row>
    <row r="7821" ht="19" customHeight="1" spans="1:14" x14ac:dyDescent="0.25">
      <c r="A7821" s="22" t="s">
        <v>7935</v>
      </c>
      <c r="B7821" s="36">
        <v>46155.381944444445</v>
      </c>
      <c r="C7821" s="36">
        <v>46155.54305555555</v>
      </c>
      <c r="D7821" s="22" t="s">
        <v>33</v>
      </c>
      <c r="E7821" s="22" t="s">
        <v>61</v>
      </c>
      <c r="F7821" s="22" t="s">
        <v>37</v>
      </c>
      <c r="G7821" s="22" t="s">
        <v>116</v>
      </c>
      <c r="H7821" s="22" t="s">
        <v>67</v>
      </c>
      <c r="I7821" s="22" t="s">
        <v>111</v>
      </c>
      <c r="J7821" s="23">
        <v>12</v>
      </c>
      <c r="K7821" s="37">
        <v>0</v>
      </c>
      <c r="L7821" s="37">
        <v>3</v>
      </c>
      <c r="M7821" s="22">
        <f>IF(OR(ISBLANK(C7821),C7821=""),"",ROUND((C7821-B7821)*24,2))</f>
        <v>3.87</v>
      </c>
      <c r="N7821" s="40" t="str">
        <f>IF(OR(ISBLANK(C7821),C7821="",M7821=""),"In Progress",IF(M7821&lt;=J7821,"Met","Breached"))</f>
        <v>Met</v>
      </c>
    </row>
    <row r="7822" ht="19" customHeight="1" spans="1:14" x14ac:dyDescent="0.25">
      <c r="A7822" s="19" t="s">
        <v>7936</v>
      </c>
      <c r="B7822" s="33">
        <v>45815.84583333333</v>
      </c>
      <c r="C7822" s="33">
        <v>45819.30416666667</v>
      </c>
      <c r="D7822" s="19" t="s">
        <v>33</v>
      </c>
      <c r="E7822" s="19" t="s">
        <v>65</v>
      </c>
      <c r="F7822" s="19" t="s">
        <v>43</v>
      </c>
      <c r="G7822" s="19" t="s">
        <v>126</v>
      </c>
      <c r="H7822" s="19" t="s">
        <v>67</v>
      </c>
      <c r="I7822" s="19" t="s">
        <v>117</v>
      </c>
      <c r="J7822" s="20">
        <v>48</v>
      </c>
      <c r="K7822" s="34">
        <v>0</v>
      </c>
      <c r="M7822" s="19">
        <f>IF(OR(ISBLANK(C7822),C7822=""),"",ROUND((C7822-B7822)*24,2))</f>
        <v>83</v>
      </c>
      <c r="N7822" s="39" t="str">
        <f>IF(OR(ISBLANK(C7822),C7822="",M7822=""),"In Progress",IF(M7822&lt;=J7822,"Met","Breached"))</f>
        <v>Breached</v>
      </c>
    </row>
    <row r="7823" ht="19" customHeight="1" spans="1:14" x14ac:dyDescent="0.25">
      <c r="A7823" s="22" t="s">
        <v>7937</v>
      </c>
      <c r="B7823" s="36">
        <v>45933.46527777778</v>
      </c>
      <c r="C7823" s="36">
        <v>45935.20277777778</v>
      </c>
      <c r="D7823" s="22" t="s">
        <v>36</v>
      </c>
      <c r="E7823" s="22" t="s">
        <v>65</v>
      </c>
      <c r="F7823" s="22" t="s">
        <v>40</v>
      </c>
      <c r="G7823" s="22" t="s">
        <v>116</v>
      </c>
      <c r="H7823" s="22" t="s">
        <v>63</v>
      </c>
      <c r="I7823" s="22" t="s">
        <v>108</v>
      </c>
      <c r="J7823" s="23">
        <v>48</v>
      </c>
      <c r="K7823" s="37">
        <v>1</v>
      </c>
      <c r="L7823" s="37">
        <v>3</v>
      </c>
      <c r="M7823" s="22">
        <f>IF(OR(ISBLANK(C7823),C7823=""),"",ROUND((C7823-B7823)*24,2))</f>
        <v>41.7</v>
      </c>
      <c r="N7823" s="40" t="str">
        <f>IF(OR(ISBLANK(C7823),C7823="",M7823=""),"In Progress",IF(M7823&lt;=J7823,"Met","Breached"))</f>
        <v>Met</v>
      </c>
    </row>
    <row r="7824" ht="19" customHeight="1" spans="1:14" x14ac:dyDescent="0.25">
      <c r="A7824" s="19" t="s">
        <v>7938</v>
      </c>
      <c r="B7824" s="33">
        <v>46266.37986111111</v>
      </c>
      <c r="C7824" s="33">
        <v>46269.84236111111</v>
      </c>
      <c r="D7824" s="19" t="s">
        <v>36</v>
      </c>
      <c r="E7824" s="19" t="s">
        <v>69</v>
      </c>
      <c r="F7824" s="19" t="s">
        <v>43</v>
      </c>
      <c r="G7824" s="19" t="s">
        <v>126</v>
      </c>
      <c r="H7824" s="19" t="s">
        <v>63</v>
      </c>
      <c r="I7824" s="19" t="s">
        <v>114</v>
      </c>
      <c r="J7824" s="20">
        <v>120</v>
      </c>
      <c r="K7824" s="34">
        <v>0</v>
      </c>
      <c r="M7824" s="19">
        <f>IF(OR(ISBLANK(C7824),C7824=""),"",ROUND((C7824-B7824)*24,2))</f>
        <v>83.1</v>
      </c>
      <c r="N7824" s="35" t="str">
        <f>IF(OR(ISBLANK(C7824),C7824="",M7824=""),"In Progress",IF(M7824&lt;=J7824,"Met","Breached"))</f>
        <v>Met</v>
      </c>
    </row>
    <row r="7825" ht="19" customHeight="1" spans="1:14" x14ac:dyDescent="0.25">
      <c r="A7825" s="22" t="s">
        <v>7939</v>
      </c>
      <c r="B7825" s="36">
        <v>46206.37291666667</v>
      </c>
      <c r="D7825" s="22" t="s">
        <v>39</v>
      </c>
      <c r="E7825" s="22" t="s">
        <v>61</v>
      </c>
      <c r="F7825" s="22" t="s">
        <v>37</v>
      </c>
      <c r="G7825" s="22" t="s">
        <v>121</v>
      </c>
      <c r="H7825" s="22" t="s">
        <v>67</v>
      </c>
      <c r="I7825" s="22" t="s">
        <v>111</v>
      </c>
      <c r="J7825" s="23">
        <v>12</v>
      </c>
      <c r="K7825" s="37">
        <v>0</v>
      </c>
      <c r="M7825" s="22" t="str">
        <f>IF(OR(ISBLANK(C7825),C7825=""),"",ROUND((C7825-B7825)*24,2))</f>
        <v/>
      </c>
      <c r="N7825" s="22" t="str">
        <f>IF(OR(ISBLANK(C7825),C7825="",M7825=""),"In Progress",IF(M7825&lt;=J7825,"Met","Breached"))</f>
        <v>In Progress</v>
      </c>
    </row>
    <row r="7826" ht="19" customHeight="1" spans="1:14" x14ac:dyDescent="0.25">
      <c r="A7826" s="19" t="s">
        <v>7940</v>
      </c>
      <c r="B7826" s="33">
        <v>46047.714583333334</v>
      </c>
      <c r="C7826" s="33">
        <v>46047.89375</v>
      </c>
      <c r="D7826" s="19" t="s">
        <v>36</v>
      </c>
      <c r="E7826" s="19" t="s">
        <v>61</v>
      </c>
      <c r="F7826" s="19" t="s">
        <v>45</v>
      </c>
      <c r="G7826" s="19" t="s">
        <v>113</v>
      </c>
      <c r="H7826" s="19" t="s">
        <v>71</v>
      </c>
      <c r="I7826" s="19" t="s">
        <v>123</v>
      </c>
      <c r="J7826" s="20">
        <v>12</v>
      </c>
      <c r="K7826" s="34">
        <v>0</v>
      </c>
      <c r="M7826" s="19">
        <f>IF(OR(ISBLANK(C7826),C7826=""),"",ROUND((C7826-B7826)*24,2))</f>
        <v>4.3</v>
      </c>
      <c r="N7826" s="35" t="str">
        <f>IF(OR(ISBLANK(C7826),C7826="",M7826=""),"In Progress",IF(M7826&lt;=J7826,"Met","Breached"))</f>
        <v>Met</v>
      </c>
    </row>
    <row r="7827" ht="19" customHeight="1" spans="1:14" x14ac:dyDescent="0.25">
      <c r="A7827" s="22" t="s">
        <v>7941</v>
      </c>
      <c r="B7827" s="36">
        <v>45854.52777777778</v>
      </c>
      <c r="C7827" s="36">
        <v>45857.39791666667</v>
      </c>
      <c r="D7827" s="22" t="s">
        <v>33</v>
      </c>
      <c r="E7827" s="22" t="s">
        <v>65</v>
      </c>
      <c r="F7827" s="22" t="s">
        <v>37</v>
      </c>
      <c r="G7827" s="22" t="s">
        <v>113</v>
      </c>
      <c r="H7827" s="22" t="s">
        <v>59</v>
      </c>
      <c r="I7827" s="22" t="s">
        <v>114</v>
      </c>
      <c r="J7827" s="23">
        <v>48</v>
      </c>
      <c r="K7827" s="37">
        <v>0</v>
      </c>
      <c r="L7827" s="37">
        <v>3</v>
      </c>
      <c r="M7827" s="22">
        <f>IF(OR(ISBLANK(C7827),C7827=""),"",ROUND((C7827-B7827)*24,2))</f>
        <v>68.88</v>
      </c>
      <c r="N7827" s="38" t="str">
        <f>IF(OR(ISBLANK(C7827),C7827="",M7827=""),"In Progress",IF(M7827&lt;=J7827,"Met","Breached"))</f>
        <v>Breached</v>
      </c>
    </row>
    <row r="7828" ht="19" customHeight="1" spans="1:14" x14ac:dyDescent="0.25">
      <c r="A7828" s="19" t="s">
        <v>7942</v>
      </c>
      <c r="B7828" s="33">
        <v>45977.8125</v>
      </c>
      <c r="C7828" s="33">
        <v>45980.55694444444</v>
      </c>
      <c r="D7828" s="19" t="s">
        <v>33</v>
      </c>
      <c r="E7828" s="19" t="s">
        <v>69</v>
      </c>
      <c r="F7828" s="19" t="s">
        <v>37</v>
      </c>
      <c r="G7828" s="19" t="s">
        <v>121</v>
      </c>
      <c r="H7828" s="19" t="s">
        <v>63</v>
      </c>
      <c r="I7828" s="19" t="s">
        <v>117</v>
      </c>
      <c r="J7828" s="20">
        <v>120</v>
      </c>
      <c r="K7828" s="34">
        <v>0</v>
      </c>
      <c r="L7828" s="34">
        <v>4</v>
      </c>
      <c r="M7828" s="19">
        <f>IF(OR(ISBLANK(C7828),C7828=""),"",ROUND((C7828-B7828)*24,2))</f>
        <v>65.87</v>
      </c>
      <c r="N7828" s="35" t="str">
        <f>IF(OR(ISBLANK(C7828),C7828="",M7828=""),"In Progress",IF(M7828&lt;=J7828,"Met","Breached"))</f>
        <v>Met</v>
      </c>
    </row>
    <row r="7829" ht="19" customHeight="1" spans="1:14" x14ac:dyDescent="0.25">
      <c r="A7829" s="22" t="s">
        <v>7943</v>
      </c>
      <c r="B7829" s="36">
        <v>45999.94583333333</v>
      </c>
      <c r="C7829" s="36">
        <v>46000.80416666667</v>
      </c>
      <c r="D7829" s="22" t="s">
        <v>36</v>
      </c>
      <c r="E7829" s="22" t="s">
        <v>65</v>
      </c>
      <c r="F7829" s="22" t="s">
        <v>45</v>
      </c>
      <c r="G7829" s="22" t="s">
        <v>113</v>
      </c>
      <c r="H7829" s="22" t="s">
        <v>63</v>
      </c>
      <c r="I7829" s="22" t="s">
        <v>108</v>
      </c>
      <c r="J7829" s="23">
        <v>48</v>
      </c>
      <c r="K7829" s="37">
        <v>0</v>
      </c>
      <c r="L7829" s="37">
        <v>1</v>
      </c>
      <c r="M7829" s="22">
        <f>IF(OR(ISBLANK(C7829),C7829=""),"",ROUND((C7829-B7829)*24,2))</f>
        <v>20.6</v>
      </c>
      <c r="N7829" s="40" t="str">
        <f>IF(OR(ISBLANK(C7829),C7829="",M7829=""),"In Progress",IF(M7829&lt;=J7829,"Met","Breached"))</f>
        <v>Met</v>
      </c>
    </row>
    <row r="7830" ht="19" customHeight="1" spans="1:14" x14ac:dyDescent="0.25">
      <c r="A7830" s="19" t="s">
        <v>7944</v>
      </c>
      <c r="B7830" s="33">
        <v>46224.48333333334</v>
      </c>
      <c r="D7830" s="19" t="s">
        <v>39</v>
      </c>
      <c r="E7830" s="19" t="s">
        <v>65</v>
      </c>
      <c r="F7830" s="19" t="s">
        <v>45</v>
      </c>
      <c r="G7830" s="19" t="s">
        <v>126</v>
      </c>
      <c r="H7830" s="19" t="s">
        <v>59</v>
      </c>
      <c r="I7830" s="19" t="s">
        <v>111</v>
      </c>
      <c r="J7830" s="20">
        <v>48</v>
      </c>
      <c r="K7830" s="34">
        <v>0</v>
      </c>
      <c r="M7830" s="19" t="str">
        <f>IF(OR(ISBLANK(C7830),C7830=""),"",ROUND((C7830-B7830)*24,2))</f>
        <v/>
      </c>
      <c r="N7830" s="19" t="str">
        <f>IF(OR(ISBLANK(C7830),C7830="",M7830=""),"In Progress",IF(M7830&lt;=J7830,"Met","Breached"))</f>
        <v>In Progress</v>
      </c>
    </row>
    <row r="7831" ht="19" customHeight="1" spans="1:14" x14ac:dyDescent="0.25">
      <c r="A7831" s="22" t="s">
        <v>7945</v>
      </c>
      <c r="B7831" s="36">
        <v>45715.45416666666</v>
      </c>
      <c r="D7831" s="22" t="s">
        <v>42</v>
      </c>
      <c r="E7831" s="22" t="s">
        <v>65</v>
      </c>
      <c r="F7831" s="22" t="s">
        <v>37</v>
      </c>
      <c r="G7831" s="22" t="s">
        <v>126</v>
      </c>
      <c r="H7831" s="22" t="s">
        <v>59</v>
      </c>
      <c r="I7831" s="22" t="s">
        <v>117</v>
      </c>
      <c r="J7831" s="23">
        <v>48</v>
      </c>
      <c r="K7831" s="37">
        <v>0</v>
      </c>
      <c r="M7831" s="22" t="str">
        <f>IF(OR(ISBLANK(C7831),C7831=""),"",ROUND((C7831-B7831)*24,2))</f>
        <v/>
      </c>
      <c r="N7831" s="22" t="str">
        <f>IF(OR(ISBLANK(C7831),C7831="",M7831=""),"In Progress",IF(M7831&lt;=J7831,"Met","Breached"))</f>
        <v>In Progress</v>
      </c>
    </row>
    <row r="7832" ht="19" customHeight="1" spans="1:14" x14ac:dyDescent="0.25">
      <c r="A7832" s="19" t="s">
        <v>7946</v>
      </c>
      <c r="B7832" s="33">
        <v>45709.14236111111</v>
      </c>
      <c r="C7832" s="33">
        <v>45717.31388888889</v>
      </c>
      <c r="D7832" s="19" t="s">
        <v>33</v>
      </c>
      <c r="E7832" s="19" t="s">
        <v>69</v>
      </c>
      <c r="F7832" s="19" t="s">
        <v>45</v>
      </c>
      <c r="G7832" s="19" t="s">
        <v>116</v>
      </c>
      <c r="H7832" s="19" t="s">
        <v>71</v>
      </c>
      <c r="I7832" s="19" t="s">
        <v>114</v>
      </c>
      <c r="J7832" s="20">
        <v>120</v>
      </c>
      <c r="K7832" s="34">
        <v>0</v>
      </c>
      <c r="M7832" s="19">
        <f>IF(OR(ISBLANK(C7832),C7832=""),"",ROUND((C7832-B7832)*24,2))</f>
        <v>196.12</v>
      </c>
      <c r="N7832" s="39" t="str">
        <f>IF(OR(ISBLANK(C7832),C7832="",M7832=""),"In Progress",IF(M7832&lt;=J7832,"Met","Breached"))</f>
        <v>Breached</v>
      </c>
    </row>
    <row r="7833" ht="19" customHeight="1" spans="1:14" x14ac:dyDescent="0.25">
      <c r="A7833" s="22" t="s">
        <v>7947</v>
      </c>
      <c r="B7833" s="36">
        <v>46056.09236111111</v>
      </c>
      <c r="C7833" s="36">
        <v>46064.88888888889</v>
      </c>
      <c r="D7833" s="22" t="s">
        <v>33</v>
      </c>
      <c r="E7833" s="22" t="s">
        <v>69</v>
      </c>
      <c r="F7833" s="22" t="s">
        <v>37</v>
      </c>
      <c r="G7833" s="22" t="s">
        <v>121</v>
      </c>
      <c r="H7833" s="22" t="s">
        <v>71</v>
      </c>
      <c r="I7833" s="22" t="s">
        <v>117</v>
      </c>
      <c r="J7833" s="23">
        <v>120</v>
      </c>
      <c r="K7833" s="37">
        <v>1</v>
      </c>
      <c r="L7833" s="37">
        <v>1</v>
      </c>
      <c r="M7833" s="22">
        <f>IF(OR(ISBLANK(C7833),C7833=""),"",ROUND((C7833-B7833)*24,2))</f>
        <v>211.12</v>
      </c>
      <c r="N7833" s="38" t="str">
        <f>IF(OR(ISBLANK(C7833),C7833="",M7833=""),"In Progress",IF(M7833&lt;=J7833,"Met","Breached"))</f>
        <v>Breached</v>
      </c>
    </row>
    <row r="7834" ht="19" customHeight="1" spans="1:14" x14ac:dyDescent="0.25">
      <c r="A7834" s="19" t="s">
        <v>7948</v>
      </c>
      <c r="B7834" s="33">
        <v>45899.169444444444</v>
      </c>
      <c r="C7834" s="33">
        <v>45901.66111111111</v>
      </c>
      <c r="D7834" s="19" t="s">
        <v>33</v>
      </c>
      <c r="E7834" s="19" t="s">
        <v>65</v>
      </c>
      <c r="F7834" s="19" t="s">
        <v>43</v>
      </c>
      <c r="G7834" s="19" t="s">
        <v>110</v>
      </c>
      <c r="H7834" s="19" t="s">
        <v>63</v>
      </c>
      <c r="I7834" s="19" t="s">
        <v>111</v>
      </c>
      <c r="J7834" s="20">
        <v>48</v>
      </c>
      <c r="K7834" s="34">
        <v>0</v>
      </c>
      <c r="L7834" s="34">
        <v>2</v>
      </c>
      <c r="M7834" s="19">
        <f>IF(OR(ISBLANK(C7834),C7834=""),"",ROUND((C7834-B7834)*24,2))</f>
        <v>59.8</v>
      </c>
      <c r="N7834" s="39" t="str">
        <f>IF(OR(ISBLANK(C7834),C7834="",M7834=""),"In Progress",IF(M7834&lt;=J7834,"Met","Breached"))</f>
        <v>Breached</v>
      </c>
    </row>
    <row r="7835" ht="19" customHeight="1" spans="1:14" x14ac:dyDescent="0.25">
      <c r="A7835" s="22" t="s">
        <v>7949</v>
      </c>
      <c r="B7835" s="36">
        <v>45833.94583333333</v>
      </c>
      <c r="C7835" s="36">
        <v>45838.87013888889</v>
      </c>
      <c r="D7835" s="22" t="s">
        <v>33</v>
      </c>
      <c r="E7835" s="22" t="s">
        <v>69</v>
      </c>
      <c r="F7835" s="22" t="s">
        <v>40</v>
      </c>
      <c r="G7835" s="22" t="s">
        <v>110</v>
      </c>
      <c r="H7835" s="22" t="s">
        <v>67</v>
      </c>
      <c r="I7835" s="22" t="s">
        <v>147</v>
      </c>
      <c r="J7835" s="23">
        <v>120</v>
      </c>
      <c r="K7835" s="37">
        <v>1</v>
      </c>
      <c r="L7835" s="37">
        <v>5</v>
      </c>
      <c r="M7835" s="22">
        <f>IF(OR(ISBLANK(C7835),C7835=""),"",ROUND((C7835-B7835)*24,2))</f>
        <v>118.18</v>
      </c>
      <c r="N7835" s="40" t="str">
        <f>IF(OR(ISBLANK(C7835),C7835="",M7835=""),"In Progress",IF(M7835&lt;=J7835,"Met","Breached"))</f>
        <v>Met</v>
      </c>
    </row>
    <row r="7836" ht="19" customHeight="1" spans="1:14" x14ac:dyDescent="0.25">
      <c r="A7836" s="19" t="s">
        <v>7950</v>
      </c>
      <c r="B7836" s="33">
        <v>46183.6625</v>
      </c>
      <c r="C7836" s="33">
        <v>46186.86666666667</v>
      </c>
      <c r="D7836" s="19" t="s">
        <v>33</v>
      </c>
      <c r="E7836" s="19" t="s">
        <v>69</v>
      </c>
      <c r="F7836" s="19" t="s">
        <v>40</v>
      </c>
      <c r="G7836" s="19" t="s">
        <v>113</v>
      </c>
      <c r="H7836" s="19" t="s">
        <v>59</v>
      </c>
      <c r="I7836" s="19" t="s">
        <v>108</v>
      </c>
      <c r="J7836" s="20">
        <v>120</v>
      </c>
      <c r="K7836" s="34">
        <v>0</v>
      </c>
      <c r="L7836" s="34">
        <v>1</v>
      </c>
      <c r="M7836" s="19">
        <f>IF(OR(ISBLANK(C7836),C7836=""),"",ROUND((C7836-B7836)*24,2))</f>
        <v>76.9</v>
      </c>
      <c r="N7836" s="35" t="str">
        <f>IF(OR(ISBLANK(C7836),C7836="",M7836=""),"In Progress",IF(M7836&lt;=J7836,"Met","Breached"))</f>
        <v>Met</v>
      </c>
    </row>
    <row r="7837" ht="19" customHeight="1" spans="1:14" x14ac:dyDescent="0.25">
      <c r="A7837" s="22" t="s">
        <v>7951</v>
      </c>
      <c r="B7837" s="36">
        <v>46179.87222222222</v>
      </c>
      <c r="C7837" s="36">
        <v>46185.19027777778</v>
      </c>
      <c r="D7837" s="22" t="s">
        <v>36</v>
      </c>
      <c r="E7837" s="22" t="s">
        <v>69</v>
      </c>
      <c r="F7837" s="22" t="s">
        <v>40</v>
      </c>
      <c r="G7837" s="22" t="s">
        <v>110</v>
      </c>
      <c r="H7837" s="22" t="s">
        <v>71</v>
      </c>
      <c r="I7837" s="22" t="s">
        <v>117</v>
      </c>
      <c r="J7837" s="23">
        <v>120</v>
      </c>
      <c r="K7837" s="37">
        <v>0</v>
      </c>
      <c r="L7837" s="37">
        <v>5</v>
      </c>
      <c r="M7837" s="22">
        <f>IF(OR(ISBLANK(C7837),C7837=""),"",ROUND((C7837-B7837)*24,2))</f>
        <v>127.63</v>
      </c>
      <c r="N7837" s="38" t="str">
        <f>IF(OR(ISBLANK(C7837),C7837="",M7837=""),"In Progress",IF(M7837&lt;=J7837,"Met","Breached"))</f>
        <v>Breached</v>
      </c>
    </row>
    <row r="7838" ht="19" customHeight="1" spans="1:14" x14ac:dyDescent="0.25">
      <c r="A7838" s="19" t="s">
        <v>7952</v>
      </c>
      <c r="B7838" s="33">
        <v>45912.22430555556</v>
      </c>
      <c r="C7838" s="33">
        <v>45912.4625</v>
      </c>
      <c r="D7838" s="19" t="s">
        <v>33</v>
      </c>
      <c r="E7838" s="19" t="s">
        <v>57</v>
      </c>
      <c r="F7838" s="19" t="s">
        <v>40</v>
      </c>
      <c r="G7838" s="19" t="s">
        <v>63</v>
      </c>
      <c r="H7838" s="19" t="s">
        <v>63</v>
      </c>
      <c r="I7838" s="19" t="s">
        <v>108</v>
      </c>
      <c r="J7838" s="20">
        <v>4</v>
      </c>
      <c r="K7838" s="34">
        <v>0</v>
      </c>
      <c r="L7838" s="34">
        <v>1</v>
      </c>
      <c r="M7838" s="19">
        <f>IF(OR(ISBLANK(C7838),C7838=""),"",ROUND((C7838-B7838)*24,2))</f>
        <v>5.72</v>
      </c>
      <c r="N7838" s="39" t="str">
        <f>IF(OR(ISBLANK(C7838),C7838="",M7838=""),"In Progress",IF(M7838&lt;=J7838,"Met","Breached"))</f>
        <v>Breached</v>
      </c>
    </row>
    <row r="7839" ht="19" customHeight="1" spans="1:14" x14ac:dyDescent="0.25">
      <c r="A7839" s="22" t="s">
        <v>7953</v>
      </c>
      <c r="B7839" s="36">
        <v>46139.98402777778</v>
      </c>
      <c r="C7839" s="36">
        <v>46142.91527777778</v>
      </c>
      <c r="D7839" s="22" t="s">
        <v>33</v>
      </c>
      <c r="E7839" s="22" t="s">
        <v>65</v>
      </c>
      <c r="F7839" s="22" t="s">
        <v>45</v>
      </c>
      <c r="G7839" s="22" t="s">
        <v>116</v>
      </c>
      <c r="H7839" s="22" t="s">
        <v>59</v>
      </c>
      <c r="I7839" s="22" t="s">
        <v>114</v>
      </c>
      <c r="J7839" s="23">
        <v>48</v>
      </c>
      <c r="K7839" s="37">
        <v>0</v>
      </c>
      <c r="L7839" s="37">
        <v>2</v>
      </c>
      <c r="M7839" s="22">
        <f>IF(OR(ISBLANK(C7839),C7839=""),"",ROUND((C7839-B7839)*24,2))</f>
        <v>70.35</v>
      </c>
      <c r="N7839" s="38" t="str">
        <f>IF(OR(ISBLANK(C7839),C7839="",M7839=""),"In Progress",IF(M7839&lt;=J7839,"Met","Breached"))</f>
        <v>Breached</v>
      </c>
    </row>
    <row r="7840" ht="19" customHeight="1" spans="1:14" x14ac:dyDescent="0.25">
      <c r="A7840" s="19" t="s">
        <v>7954</v>
      </c>
      <c r="B7840" s="33">
        <v>46216.75</v>
      </c>
      <c r="D7840" s="19" t="s">
        <v>42</v>
      </c>
      <c r="E7840" s="19" t="s">
        <v>65</v>
      </c>
      <c r="F7840" s="19" t="s">
        <v>40</v>
      </c>
      <c r="G7840" s="19" t="s">
        <v>63</v>
      </c>
      <c r="H7840" s="19" t="s">
        <v>71</v>
      </c>
      <c r="I7840" s="19" t="s">
        <v>117</v>
      </c>
      <c r="J7840" s="20">
        <v>48</v>
      </c>
      <c r="K7840" s="34">
        <v>0</v>
      </c>
      <c r="M7840" s="19" t="str">
        <f>IF(OR(ISBLANK(C7840),C7840=""),"",ROUND((C7840-B7840)*24,2))</f>
        <v/>
      </c>
      <c r="N7840" s="19" t="str">
        <f>IF(OR(ISBLANK(C7840),C7840="",M7840=""),"In Progress",IF(M7840&lt;=J7840,"Met","Breached"))</f>
        <v>In Progress</v>
      </c>
    </row>
    <row r="7841" ht="19" customHeight="1" spans="1:14" x14ac:dyDescent="0.25">
      <c r="A7841" s="22" t="s">
        <v>7955</v>
      </c>
      <c r="B7841" s="36">
        <v>46116.3375</v>
      </c>
      <c r="C7841" s="36">
        <v>46118.617361111115</v>
      </c>
      <c r="D7841" s="22" t="s">
        <v>33</v>
      </c>
      <c r="E7841" s="22" t="s">
        <v>65</v>
      </c>
      <c r="F7841" s="22" t="s">
        <v>43</v>
      </c>
      <c r="G7841" s="22" t="s">
        <v>116</v>
      </c>
      <c r="H7841" s="22" t="s">
        <v>67</v>
      </c>
      <c r="I7841" s="22" t="s">
        <v>108</v>
      </c>
      <c r="J7841" s="23">
        <v>48</v>
      </c>
      <c r="K7841" s="37">
        <v>0</v>
      </c>
      <c r="L7841" s="37">
        <v>4</v>
      </c>
      <c r="M7841" s="22">
        <f>IF(OR(ISBLANK(C7841),C7841=""),"",ROUND((C7841-B7841)*24,2))</f>
        <v>54.72</v>
      </c>
      <c r="N7841" s="38" t="str">
        <f>IF(OR(ISBLANK(C7841),C7841="",M7841=""),"In Progress",IF(M7841&lt;=J7841,"Met","Breached"))</f>
        <v>Breached</v>
      </c>
    </row>
    <row r="7842" ht="19" customHeight="1" spans="1:14" x14ac:dyDescent="0.25">
      <c r="A7842" s="19" t="s">
        <v>7956</v>
      </c>
      <c r="B7842" s="33">
        <v>46212.43402777778</v>
      </c>
      <c r="C7842" s="33">
        <v>46212.884722222225</v>
      </c>
      <c r="D7842" s="19" t="s">
        <v>33</v>
      </c>
      <c r="E7842" s="19" t="s">
        <v>61</v>
      </c>
      <c r="F7842" s="19" t="s">
        <v>45</v>
      </c>
      <c r="G7842" s="19" t="s">
        <v>63</v>
      </c>
      <c r="H7842" s="19" t="s">
        <v>67</v>
      </c>
      <c r="I7842" s="19" t="s">
        <v>114</v>
      </c>
      <c r="J7842" s="20">
        <v>12</v>
      </c>
      <c r="K7842" s="34">
        <v>1</v>
      </c>
      <c r="L7842" s="34">
        <v>2</v>
      </c>
      <c r="M7842" s="19">
        <f>IF(OR(ISBLANK(C7842),C7842=""),"",ROUND((C7842-B7842)*24,2))</f>
        <v>10.82</v>
      </c>
      <c r="N7842" s="35" t="str">
        <f>IF(OR(ISBLANK(C7842),C7842="",M7842=""),"In Progress",IF(M7842&lt;=J7842,"Met","Breached"))</f>
        <v>Met</v>
      </c>
    </row>
    <row r="7843" ht="19" customHeight="1" spans="1:14" x14ac:dyDescent="0.25">
      <c r="A7843" s="22" t="s">
        <v>7957</v>
      </c>
      <c r="B7843" s="36">
        <v>46140.76180555555</v>
      </c>
      <c r="C7843" s="36">
        <v>46146.618055555555</v>
      </c>
      <c r="D7843" s="22" t="s">
        <v>33</v>
      </c>
      <c r="E7843" s="22" t="s">
        <v>69</v>
      </c>
      <c r="F7843" s="22" t="s">
        <v>34</v>
      </c>
      <c r="G7843" s="22" t="s">
        <v>113</v>
      </c>
      <c r="H7843" s="22" t="s">
        <v>71</v>
      </c>
      <c r="I7843" s="22" t="s">
        <v>114</v>
      </c>
      <c r="J7843" s="23">
        <v>120</v>
      </c>
      <c r="K7843" s="37">
        <v>0</v>
      </c>
      <c r="L7843" s="37">
        <v>2</v>
      </c>
      <c r="M7843" s="22">
        <f>IF(OR(ISBLANK(C7843),C7843=""),"",ROUND((C7843-B7843)*24,2))</f>
        <v>140.55</v>
      </c>
      <c r="N7843" s="38" t="str">
        <f>IF(OR(ISBLANK(C7843),C7843="",M7843=""),"In Progress",IF(M7843&lt;=J7843,"Met","Breached"))</f>
        <v>Breached</v>
      </c>
    </row>
    <row r="7844" ht="19" customHeight="1" spans="1:14" x14ac:dyDescent="0.25">
      <c r="A7844" s="19" t="s">
        <v>7958</v>
      </c>
      <c r="B7844" s="33">
        <v>45881</v>
      </c>
      <c r="C7844" s="33">
        <v>45888.73958333333</v>
      </c>
      <c r="D7844" s="19" t="s">
        <v>33</v>
      </c>
      <c r="E7844" s="19" t="s">
        <v>69</v>
      </c>
      <c r="F7844" s="19" t="s">
        <v>43</v>
      </c>
      <c r="G7844" s="19" t="s">
        <v>126</v>
      </c>
      <c r="H7844" s="19" t="s">
        <v>71</v>
      </c>
      <c r="I7844" s="19" t="s">
        <v>147</v>
      </c>
      <c r="J7844" s="20">
        <v>120</v>
      </c>
      <c r="K7844" s="34">
        <v>0</v>
      </c>
      <c r="L7844" s="34">
        <v>3</v>
      </c>
      <c r="M7844" s="19">
        <f>IF(OR(ISBLANK(C7844),C7844=""),"",ROUND((C7844-B7844)*24,2))</f>
        <v>185.75</v>
      </c>
      <c r="N7844" s="39" t="str">
        <f>IF(OR(ISBLANK(C7844),C7844="",M7844=""),"In Progress",IF(M7844&lt;=J7844,"Met","Breached"))</f>
        <v>Breached</v>
      </c>
    </row>
    <row r="7845" ht="19" customHeight="1" spans="1:14" x14ac:dyDescent="0.25">
      <c r="A7845" s="22" t="s">
        <v>7959</v>
      </c>
      <c r="B7845" s="36">
        <v>46117.194444444445</v>
      </c>
      <c r="C7845" s="36">
        <v>46117.919444444444</v>
      </c>
      <c r="D7845" s="22" t="s">
        <v>36</v>
      </c>
      <c r="E7845" s="22" t="s">
        <v>61</v>
      </c>
      <c r="F7845" s="22" t="s">
        <v>45</v>
      </c>
      <c r="G7845" s="22" t="s">
        <v>110</v>
      </c>
      <c r="H7845" s="22" t="s">
        <v>59</v>
      </c>
      <c r="I7845" s="22" t="s">
        <v>117</v>
      </c>
      <c r="J7845" s="23">
        <v>12</v>
      </c>
      <c r="K7845" s="37">
        <v>0</v>
      </c>
      <c r="L7845" s="37">
        <v>5</v>
      </c>
      <c r="M7845" s="22">
        <f>IF(OR(ISBLANK(C7845),C7845=""),"",ROUND((C7845-B7845)*24,2))</f>
        <v>17.4</v>
      </c>
      <c r="N7845" s="38" t="str">
        <f>IF(OR(ISBLANK(C7845),C7845="",M7845=""),"In Progress",IF(M7845&lt;=J7845,"Met","Breached"))</f>
        <v>Breached</v>
      </c>
    </row>
    <row r="7846" ht="19" customHeight="1" spans="1:14" x14ac:dyDescent="0.25">
      <c r="A7846" s="19" t="s">
        <v>7960</v>
      </c>
      <c r="B7846" s="33">
        <v>45940.43888888889</v>
      </c>
      <c r="C7846" s="33">
        <v>45940.55347222222</v>
      </c>
      <c r="D7846" s="19" t="s">
        <v>33</v>
      </c>
      <c r="E7846" s="19" t="s">
        <v>57</v>
      </c>
      <c r="F7846" s="19" t="s">
        <v>34</v>
      </c>
      <c r="G7846" s="19" t="s">
        <v>113</v>
      </c>
      <c r="H7846" s="19" t="s">
        <v>59</v>
      </c>
      <c r="I7846" s="19" t="s">
        <v>123</v>
      </c>
      <c r="J7846" s="20">
        <v>4</v>
      </c>
      <c r="K7846" s="34">
        <v>0</v>
      </c>
      <c r="L7846" s="34">
        <v>1</v>
      </c>
      <c r="M7846" s="19">
        <f>IF(OR(ISBLANK(C7846),C7846=""),"",ROUND((C7846-B7846)*24,2))</f>
        <v>2.75</v>
      </c>
      <c r="N7846" s="35" t="str">
        <f>IF(OR(ISBLANK(C7846),C7846="",M7846=""),"In Progress",IF(M7846&lt;=J7846,"Met","Breached"))</f>
        <v>Met</v>
      </c>
    </row>
    <row r="7847" ht="19" customHeight="1" spans="1:14" x14ac:dyDescent="0.25">
      <c r="A7847" s="22" t="s">
        <v>7961</v>
      </c>
      <c r="B7847" s="36">
        <v>46258.38402777778</v>
      </c>
      <c r="D7847" s="22" t="s">
        <v>39</v>
      </c>
      <c r="E7847" s="22" t="s">
        <v>57</v>
      </c>
      <c r="F7847" s="22" t="s">
        <v>34</v>
      </c>
      <c r="G7847" s="22" t="s">
        <v>110</v>
      </c>
      <c r="H7847" s="22" t="s">
        <v>59</v>
      </c>
      <c r="I7847" s="22" t="s">
        <v>147</v>
      </c>
      <c r="J7847" s="23">
        <v>4</v>
      </c>
      <c r="K7847" s="37">
        <v>0</v>
      </c>
      <c r="M7847" s="22" t="str">
        <f>IF(OR(ISBLANK(C7847),C7847=""),"",ROUND((C7847-B7847)*24,2))</f>
        <v/>
      </c>
      <c r="N7847" s="22" t="str">
        <f>IF(OR(ISBLANK(C7847),C7847="",M7847=""),"In Progress",IF(M7847&lt;=J7847,"Met","Breached"))</f>
        <v>In Progress</v>
      </c>
    </row>
    <row r="7848" ht="19" customHeight="1" spans="1:14" x14ac:dyDescent="0.25">
      <c r="A7848" s="19" t="s">
        <v>7962</v>
      </c>
      <c r="B7848" s="33">
        <v>46102.9875</v>
      </c>
      <c r="C7848" s="33">
        <v>46103.69861111111</v>
      </c>
      <c r="D7848" s="19" t="s">
        <v>33</v>
      </c>
      <c r="E7848" s="19" t="s">
        <v>61</v>
      </c>
      <c r="F7848" s="19" t="s">
        <v>45</v>
      </c>
      <c r="G7848" s="19" t="s">
        <v>110</v>
      </c>
      <c r="H7848" s="19" t="s">
        <v>67</v>
      </c>
      <c r="I7848" s="19" t="s">
        <v>147</v>
      </c>
      <c r="J7848" s="20">
        <v>12</v>
      </c>
      <c r="K7848" s="34">
        <v>0</v>
      </c>
      <c r="L7848" s="34">
        <v>1</v>
      </c>
      <c r="M7848" s="19">
        <f>IF(OR(ISBLANK(C7848),C7848=""),"",ROUND((C7848-B7848)*24,2))</f>
        <v>17.07</v>
      </c>
      <c r="N7848" s="39" t="str">
        <f>IF(OR(ISBLANK(C7848),C7848="",M7848=""),"In Progress",IF(M7848&lt;=J7848,"Met","Breached"))</f>
        <v>Breached</v>
      </c>
    </row>
    <row r="7849" ht="19" customHeight="1" spans="1:14" x14ac:dyDescent="0.25">
      <c r="A7849" s="22" t="s">
        <v>7963</v>
      </c>
      <c r="B7849" s="36">
        <v>46103.88125</v>
      </c>
      <c r="C7849" s="36">
        <v>46104.01388888889</v>
      </c>
      <c r="D7849" s="22" t="s">
        <v>36</v>
      </c>
      <c r="E7849" s="22" t="s">
        <v>57</v>
      </c>
      <c r="F7849" s="22" t="s">
        <v>37</v>
      </c>
      <c r="G7849" s="22" t="s">
        <v>110</v>
      </c>
      <c r="H7849" s="22" t="s">
        <v>59</v>
      </c>
      <c r="I7849" s="22" t="s">
        <v>108</v>
      </c>
      <c r="J7849" s="23">
        <v>4</v>
      </c>
      <c r="K7849" s="37">
        <v>0</v>
      </c>
      <c r="M7849" s="22">
        <f>IF(OR(ISBLANK(C7849),C7849=""),"",ROUND((C7849-B7849)*24,2))</f>
        <v>3.18</v>
      </c>
      <c r="N7849" s="40" t="str">
        <f>IF(OR(ISBLANK(C7849),C7849="",M7849=""),"In Progress",IF(M7849&lt;=J7849,"Met","Breached"))</f>
        <v>Met</v>
      </c>
    </row>
    <row r="7850" ht="19" customHeight="1" spans="1:14" x14ac:dyDescent="0.25">
      <c r="A7850" s="19" t="s">
        <v>7964</v>
      </c>
      <c r="B7850" s="33">
        <v>45857.195138888885</v>
      </c>
      <c r="D7850" s="19" t="s">
        <v>39</v>
      </c>
      <c r="E7850" s="19" t="s">
        <v>65</v>
      </c>
      <c r="F7850" s="19" t="s">
        <v>34</v>
      </c>
      <c r="G7850" s="19" t="s">
        <v>63</v>
      </c>
      <c r="H7850" s="19" t="s">
        <v>71</v>
      </c>
      <c r="I7850" s="19" t="s">
        <v>111</v>
      </c>
      <c r="J7850" s="20">
        <v>48</v>
      </c>
      <c r="K7850" s="34">
        <v>0</v>
      </c>
      <c r="M7850" s="19" t="str">
        <f>IF(OR(ISBLANK(C7850),C7850=""),"",ROUND((C7850-B7850)*24,2))</f>
        <v/>
      </c>
      <c r="N7850" s="19" t="str">
        <f>IF(OR(ISBLANK(C7850),C7850="",M7850=""),"In Progress",IF(M7850&lt;=J7850,"Met","Breached"))</f>
        <v>In Progress</v>
      </c>
    </row>
    <row r="7851" ht="19" customHeight="1" spans="1:14" x14ac:dyDescent="0.25">
      <c r="A7851" s="22" t="s">
        <v>7965</v>
      </c>
      <c r="B7851" s="36">
        <v>45724.25138888889</v>
      </c>
      <c r="D7851" s="22" t="s">
        <v>39</v>
      </c>
      <c r="E7851" s="22" t="s">
        <v>61</v>
      </c>
      <c r="F7851" s="22" t="s">
        <v>37</v>
      </c>
      <c r="G7851" s="22" t="s">
        <v>110</v>
      </c>
      <c r="H7851" s="22" t="s">
        <v>59</v>
      </c>
      <c r="I7851" s="22" t="s">
        <v>108</v>
      </c>
      <c r="J7851" s="23">
        <v>12</v>
      </c>
      <c r="K7851" s="37">
        <v>0</v>
      </c>
      <c r="M7851" s="22" t="str">
        <f>IF(OR(ISBLANK(C7851),C7851=""),"",ROUND((C7851-B7851)*24,2))</f>
        <v/>
      </c>
      <c r="N7851" s="22" t="str">
        <f>IF(OR(ISBLANK(C7851),C7851="",M7851=""),"In Progress",IF(M7851&lt;=J7851,"Met","Breached"))</f>
        <v>In Progress</v>
      </c>
    </row>
    <row r="7852" ht="19" customHeight="1" spans="1:14" x14ac:dyDescent="0.25">
      <c r="A7852" s="19" t="s">
        <v>7966</v>
      </c>
      <c r="B7852" s="33">
        <v>46231.12013888889</v>
      </c>
      <c r="C7852" s="33">
        <v>46234.353472222225</v>
      </c>
      <c r="D7852" s="19" t="s">
        <v>33</v>
      </c>
      <c r="E7852" s="19" t="s">
        <v>69</v>
      </c>
      <c r="F7852" s="19" t="s">
        <v>45</v>
      </c>
      <c r="G7852" s="19" t="s">
        <v>116</v>
      </c>
      <c r="H7852" s="19" t="s">
        <v>67</v>
      </c>
      <c r="I7852" s="19" t="s">
        <v>123</v>
      </c>
      <c r="J7852" s="20">
        <v>120</v>
      </c>
      <c r="K7852" s="34">
        <v>0</v>
      </c>
      <c r="L7852" s="34">
        <v>3</v>
      </c>
      <c r="M7852" s="19">
        <f>IF(OR(ISBLANK(C7852),C7852=""),"",ROUND((C7852-B7852)*24,2))</f>
        <v>77.6</v>
      </c>
      <c r="N7852" s="35" t="str">
        <f>IF(OR(ISBLANK(C7852),C7852="",M7852=""),"In Progress",IF(M7852&lt;=J7852,"Met","Breached"))</f>
        <v>Met</v>
      </c>
    </row>
    <row r="7853" ht="19" customHeight="1" spans="1:14" x14ac:dyDescent="0.25">
      <c r="A7853" s="22" t="s">
        <v>7967</v>
      </c>
      <c r="B7853" s="36">
        <v>45979.14027777778</v>
      </c>
      <c r="C7853" s="36">
        <v>45981.43888888889</v>
      </c>
      <c r="D7853" s="22" t="s">
        <v>33</v>
      </c>
      <c r="E7853" s="22" t="s">
        <v>65</v>
      </c>
      <c r="F7853" s="22" t="s">
        <v>34</v>
      </c>
      <c r="G7853" s="22" t="s">
        <v>63</v>
      </c>
      <c r="H7853" s="22" t="s">
        <v>59</v>
      </c>
      <c r="I7853" s="22" t="s">
        <v>117</v>
      </c>
      <c r="J7853" s="23">
        <v>48</v>
      </c>
      <c r="K7853" s="37">
        <v>0</v>
      </c>
      <c r="L7853" s="37">
        <v>5</v>
      </c>
      <c r="M7853" s="22">
        <f>IF(OR(ISBLANK(C7853),C7853=""),"",ROUND((C7853-B7853)*24,2))</f>
        <v>55.17</v>
      </c>
      <c r="N7853" s="38" t="str">
        <f>IF(OR(ISBLANK(C7853),C7853="",M7853=""),"In Progress",IF(M7853&lt;=J7853,"Met","Breached"))</f>
        <v>Breached</v>
      </c>
    </row>
    <row r="7854" ht="19" customHeight="1" spans="1:14" x14ac:dyDescent="0.25">
      <c r="A7854" s="19" t="s">
        <v>7968</v>
      </c>
      <c r="B7854" s="33">
        <v>45983.99444444444</v>
      </c>
      <c r="C7854" s="33">
        <v>45985.83194444445</v>
      </c>
      <c r="D7854" s="19" t="s">
        <v>36</v>
      </c>
      <c r="E7854" s="19" t="s">
        <v>69</v>
      </c>
      <c r="F7854" s="19" t="s">
        <v>34</v>
      </c>
      <c r="G7854" s="19" t="s">
        <v>121</v>
      </c>
      <c r="H7854" s="19" t="s">
        <v>59</v>
      </c>
      <c r="I7854" s="19" t="s">
        <v>117</v>
      </c>
      <c r="J7854" s="20">
        <v>120</v>
      </c>
      <c r="K7854" s="34">
        <v>0</v>
      </c>
      <c r="L7854" s="34">
        <v>3</v>
      </c>
      <c r="M7854" s="19">
        <f>IF(OR(ISBLANK(C7854),C7854=""),"",ROUND((C7854-B7854)*24,2))</f>
        <v>44.1</v>
      </c>
      <c r="N7854" s="35" t="str">
        <f>IF(OR(ISBLANK(C7854),C7854="",M7854=""),"In Progress",IF(M7854&lt;=J7854,"Met","Breached"))</f>
        <v>Met</v>
      </c>
    </row>
    <row r="7855" ht="19" customHeight="1" spans="1:14" x14ac:dyDescent="0.25">
      <c r="A7855" s="22" t="s">
        <v>7969</v>
      </c>
      <c r="B7855" s="36">
        <v>45855.566666666666</v>
      </c>
      <c r="C7855" s="36">
        <v>45856.3</v>
      </c>
      <c r="D7855" s="22" t="s">
        <v>36</v>
      </c>
      <c r="E7855" s="22" t="s">
        <v>61</v>
      </c>
      <c r="F7855" s="22" t="s">
        <v>37</v>
      </c>
      <c r="G7855" s="22" t="s">
        <v>126</v>
      </c>
      <c r="H7855" s="22" t="s">
        <v>59</v>
      </c>
      <c r="I7855" s="22" t="s">
        <v>147</v>
      </c>
      <c r="J7855" s="23">
        <v>12</v>
      </c>
      <c r="K7855" s="37">
        <v>0</v>
      </c>
      <c r="M7855" s="22">
        <f>IF(OR(ISBLANK(C7855),C7855=""),"",ROUND((C7855-B7855)*24,2))</f>
        <v>17.6</v>
      </c>
      <c r="N7855" s="38" t="str">
        <f>IF(OR(ISBLANK(C7855),C7855="",M7855=""),"In Progress",IF(M7855&lt;=J7855,"Met","Breached"))</f>
        <v>Breached</v>
      </c>
    </row>
    <row r="7856" ht="19" customHeight="1" spans="1:14" x14ac:dyDescent="0.25">
      <c r="A7856" s="19" t="s">
        <v>7970</v>
      </c>
      <c r="B7856" s="33">
        <v>46149.554861111115</v>
      </c>
      <c r="C7856" s="33">
        <v>46150.575694444444</v>
      </c>
      <c r="D7856" s="19" t="s">
        <v>36</v>
      </c>
      <c r="E7856" s="19" t="s">
        <v>65</v>
      </c>
      <c r="F7856" s="19" t="s">
        <v>40</v>
      </c>
      <c r="G7856" s="19" t="s">
        <v>116</v>
      </c>
      <c r="H7856" s="19" t="s">
        <v>63</v>
      </c>
      <c r="I7856" s="19" t="s">
        <v>111</v>
      </c>
      <c r="J7856" s="20">
        <v>48</v>
      </c>
      <c r="K7856" s="34">
        <v>0</v>
      </c>
      <c r="L7856" s="34">
        <v>5</v>
      </c>
      <c r="M7856" s="19">
        <f>IF(OR(ISBLANK(C7856),C7856=""),"",ROUND((C7856-B7856)*24,2))</f>
        <v>24.5</v>
      </c>
      <c r="N7856" s="35" t="str">
        <f>IF(OR(ISBLANK(C7856),C7856="",M7856=""),"In Progress",IF(M7856&lt;=J7856,"Met","Breached"))</f>
        <v>Met</v>
      </c>
    </row>
    <row r="7857" ht="19" customHeight="1" spans="1:14" x14ac:dyDescent="0.25">
      <c r="A7857" s="22" t="s">
        <v>7971</v>
      </c>
      <c r="B7857" s="36">
        <v>46254.17569444445</v>
      </c>
      <c r="C7857" s="36">
        <v>46256.85972222222</v>
      </c>
      <c r="D7857" s="22" t="s">
        <v>33</v>
      </c>
      <c r="E7857" s="22" t="s">
        <v>65</v>
      </c>
      <c r="F7857" s="22" t="s">
        <v>34</v>
      </c>
      <c r="G7857" s="22" t="s">
        <v>126</v>
      </c>
      <c r="H7857" s="22" t="s">
        <v>67</v>
      </c>
      <c r="I7857" s="22" t="s">
        <v>117</v>
      </c>
      <c r="J7857" s="23">
        <v>48</v>
      </c>
      <c r="K7857" s="37">
        <v>0</v>
      </c>
      <c r="L7857" s="37">
        <v>2</v>
      </c>
      <c r="M7857" s="22">
        <f>IF(OR(ISBLANK(C7857),C7857=""),"",ROUND((C7857-B7857)*24,2))</f>
        <v>64.42</v>
      </c>
      <c r="N7857" s="38" t="str">
        <f>IF(OR(ISBLANK(C7857),C7857="",M7857=""),"In Progress",IF(M7857&lt;=J7857,"Met","Breached"))</f>
        <v>Breached</v>
      </c>
    </row>
    <row r="7858" ht="19" customHeight="1" spans="1:14" x14ac:dyDescent="0.25">
      <c r="A7858" s="19" t="s">
        <v>7972</v>
      </c>
      <c r="B7858" s="33">
        <v>46135.540972222225</v>
      </c>
      <c r="C7858" s="33">
        <v>46136.55138888889</v>
      </c>
      <c r="D7858" s="19" t="s">
        <v>33</v>
      </c>
      <c r="E7858" s="19" t="s">
        <v>65</v>
      </c>
      <c r="F7858" s="19" t="s">
        <v>40</v>
      </c>
      <c r="G7858" s="19" t="s">
        <v>113</v>
      </c>
      <c r="H7858" s="19" t="s">
        <v>59</v>
      </c>
      <c r="I7858" s="19" t="s">
        <v>111</v>
      </c>
      <c r="J7858" s="20">
        <v>48</v>
      </c>
      <c r="K7858" s="34">
        <v>1</v>
      </c>
      <c r="L7858" s="34">
        <v>1</v>
      </c>
      <c r="M7858" s="19">
        <f>IF(OR(ISBLANK(C7858),C7858=""),"",ROUND((C7858-B7858)*24,2))</f>
        <v>24.25</v>
      </c>
      <c r="N7858" s="35" t="str">
        <f>IF(OR(ISBLANK(C7858),C7858="",M7858=""),"In Progress",IF(M7858&lt;=J7858,"Met","Breached"))</f>
        <v>Met</v>
      </c>
    </row>
    <row r="7859" ht="19" customHeight="1" spans="1:14" x14ac:dyDescent="0.25">
      <c r="A7859" s="22" t="s">
        <v>7973</v>
      </c>
      <c r="B7859" s="36">
        <v>46049.808333333334</v>
      </c>
      <c r="C7859" s="36">
        <v>46050.80902777778</v>
      </c>
      <c r="D7859" s="22" t="s">
        <v>36</v>
      </c>
      <c r="E7859" s="22" t="s">
        <v>65</v>
      </c>
      <c r="F7859" s="22" t="s">
        <v>34</v>
      </c>
      <c r="G7859" s="22" t="s">
        <v>126</v>
      </c>
      <c r="H7859" s="22" t="s">
        <v>63</v>
      </c>
      <c r="I7859" s="22" t="s">
        <v>123</v>
      </c>
      <c r="J7859" s="23">
        <v>48</v>
      </c>
      <c r="K7859" s="37">
        <v>0</v>
      </c>
      <c r="M7859" s="22">
        <f>IF(OR(ISBLANK(C7859),C7859=""),"",ROUND((C7859-B7859)*24,2))</f>
        <v>24.02</v>
      </c>
      <c r="N7859" s="40" t="str">
        <f>IF(OR(ISBLANK(C7859),C7859="",M7859=""),"In Progress",IF(M7859&lt;=J7859,"Met","Breached"))</f>
        <v>Met</v>
      </c>
    </row>
    <row r="7860" ht="19" customHeight="1" spans="1:14" x14ac:dyDescent="0.25">
      <c r="A7860" s="19" t="s">
        <v>7974</v>
      </c>
      <c r="B7860" s="33">
        <v>45765.96388888889</v>
      </c>
      <c r="C7860" s="33">
        <v>45766.05694444444</v>
      </c>
      <c r="D7860" s="19" t="s">
        <v>33</v>
      </c>
      <c r="E7860" s="19" t="s">
        <v>57</v>
      </c>
      <c r="F7860" s="19" t="s">
        <v>45</v>
      </c>
      <c r="G7860" s="19" t="s">
        <v>113</v>
      </c>
      <c r="H7860" s="19" t="s">
        <v>59</v>
      </c>
      <c r="I7860" s="19" t="s">
        <v>114</v>
      </c>
      <c r="J7860" s="20">
        <v>4</v>
      </c>
      <c r="K7860" s="34">
        <v>0</v>
      </c>
      <c r="M7860" s="19">
        <f>IF(OR(ISBLANK(C7860),C7860=""),"",ROUND((C7860-B7860)*24,2))</f>
        <v>2.23</v>
      </c>
      <c r="N7860" s="35" t="str">
        <f>IF(OR(ISBLANK(C7860),C7860="",M7860=""),"In Progress",IF(M7860&lt;=J7860,"Met","Breached"))</f>
        <v>Met</v>
      </c>
    </row>
    <row r="7861" ht="19" customHeight="1" spans="1:14" x14ac:dyDescent="0.25">
      <c r="A7861" s="22" t="s">
        <v>7975</v>
      </c>
      <c r="B7861" s="36">
        <v>46160.54236111111</v>
      </c>
      <c r="C7861" s="36">
        <v>46165.59166666667</v>
      </c>
      <c r="D7861" s="22" t="s">
        <v>33</v>
      </c>
      <c r="E7861" s="22" t="s">
        <v>69</v>
      </c>
      <c r="F7861" s="22" t="s">
        <v>34</v>
      </c>
      <c r="G7861" s="22" t="s">
        <v>63</v>
      </c>
      <c r="H7861" s="22" t="s">
        <v>67</v>
      </c>
      <c r="I7861" s="22" t="s">
        <v>114</v>
      </c>
      <c r="J7861" s="23">
        <v>120</v>
      </c>
      <c r="K7861" s="37">
        <v>0</v>
      </c>
      <c r="L7861" s="37">
        <v>4</v>
      </c>
      <c r="M7861" s="22">
        <f>IF(OR(ISBLANK(C7861),C7861=""),"",ROUND((C7861-B7861)*24,2))</f>
        <v>121.18</v>
      </c>
      <c r="N7861" s="38" t="str">
        <f>IF(OR(ISBLANK(C7861),C7861="",M7861=""),"In Progress",IF(M7861&lt;=J7861,"Met","Breached"))</f>
        <v>Breached</v>
      </c>
    </row>
    <row r="7862" ht="19" customHeight="1" spans="1:14" x14ac:dyDescent="0.25">
      <c r="A7862" s="19" t="s">
        <v>7976</v>
      </c>
      <c r="B7862" s="33">
        <v>45815.92013888889</v>
      </c>
      <c r="D7862" s="19" t="s">
        <v>39</v>
      </c>
      <c r="E7862" s="19" t="s">
        <v>61</v>
      </c>
      <c r="F7862" s="19" t="s">
        <v>40</v>
      </c>
      <c r="G7862" s="19" t="s">
        <v>126</v>
      </c>
      <c r="H7862" s="19" t="s">
        <v>67</v>
      </c>
      <c r="I7862" s="19" t="s">
        <v>114</v>
      </c>
      <c r="J7862" s="20">
        <v>12</v>
      </c>
      <c r="K7862" s="34">
        <v>0</v>
      </c>
      <c r="M7862" s="19" t="str">
        <f>IF(OR(ISBLANK(C7862),C7862=""),"",ROUND((C7862-B7862)*24,2))</f>
        <v/>
      </c>
      <c r="N7862" s="19" t="str">
        <f>IF(OR(ISBLANK(C7862),C7862="",M7862=""),"In Progress",IF(M7862&lt;=J7862,"Met","Breached"))</f>
        <v>In Progress</v>
      </c>
    </row>
    <row r="7863" ht="19" customHeight="1" spans="1:14" x14ac:dyDescent="0.25">
      <c r="A7863" s="22" t="s">
        <v>7977</v>
      </c>
      <c r="B7863" s="36">
        <v>46161.68680555555</v>
      </c>
      <c r="D7863" s="22" t="s">
        <v>42</v>
      </c>
      <c r="E7863" s="22" t="s">
        <v>65</v>
      </c>
      <c r="F7863" s="22" t="s">
        <v>40</v>
      </c>
      <c r="G7863" s="22" t="s">
        <v>113</v>
      </c>
      <c r="H7863" s="22" t="s">
        <v>59</v>
      </c>
      <c r="I7863" s="22" t="s">
        <v>123</v>
      </c>
      <c r="J7863" s="23">
        <v>48</v>
      </c>
      <c r="K7863" s="37">
        <v>0</v>
      </c>
      <c r="M7863" s="22" t="str">
        <f>IF(OR(ISBLANK(C7863),C7863=""),"",ROUND((C7863-B7863)*24,2))</f>
        <v/>
      </c>
      <c r="N7863" s="22" t="str">
        <f>IF(OR(ISBLANK(C7863),C7863="",M7863=""),"In Progress",IF(M7863&lt;=J7863,"Met","Breached"))</f>
        <v>In Progress</v>
      </c>
    </row>
    <row r="7864" ht="19" customHeight="1" spans="1:14" x14ac:dyDescent="0.25">
      <c r="A7864" s="19" t="s">
        <v>7978</v>
      </c>
      <c r="B7864" s="33">
        <v>45891.61875</v>
      </c>
      <c r="C7864" s="33">
        <v>45893.66458333333</v>
      </c>
      <c r="D7864" s="19" t="s">
        <v>33</v>
      </c>
      <c r="E7864" s="19" t="s">
        <v>65</v>
      </c>
      <c r="F7864" s="19" t="s">
        <v>37</v>
      </c>
      <c r="G7864" s="19" t="s">
        <v>126</v>
      </c>
      <c r="H7864" s="19" t="s">
        <v>59</v>
      </c>
      <c r="I7864" s="19" t="s">
        <v>147</v>
      </c>
      <c r="J7864" s="20">
        <v>48</v>
      </c>
      <c r="K7864" s="34">
        <v>0</v>
      </c>
      <c r="M7864" s="19">
        <f>IF(OR(ISBLANK(C7864),C7864=""),"",ROUND((C7864-B7864)*24,2))</f>
        <v>49.1</v>
      </c>
      <c r="N7864" s="39" t="str">
        <f>IF(OR(ISBLANK(C7864),C7864="",M7864=""),"In Progress",IF(M7864&lt;=J7864,"Met","Breached"))</f>
        <v>Breached</v>
      </c>
    </row>
    <row r="7865" ht="19" customHeight="1" spans="1:14" x14ac:dyDescent="0.25">
      <c r="A7865" s="22" t="s">
        <v>7979</v>
      </c>
      <c r="B7865" s="36">
        <v>45935.92083333334</v>
      </c>
      <c r="D7865" s="22" t="s">
        <v>39</v>
      </c>
      <c r="E7865" s="22" t="s">
        <v>65</v>
      </c>
      <c r="F7865" s="22" t="s">
        <v>45</v>
      </c>
      <c r="G7865" s="22" t="s">
        <v>126</v>
      </c>
      <c r="H7865" s="22" t="s">
        <v>59</v>
      </c>
      <c r="I7865" s="22" t="s">
        <v>117</v>
      </c>
      <c r="J7865" s="23">
        <v>48</v>
      </c>
      <c r="K7865" s="37">
        <v>0</v>
      </c>
      <c r="M7865" s="22" t="str">
        <f>IF(OR(ISBLANK(C7865),C7865=""),"",ROUND((C7865-B7865)*24,2))</f>
        <v/>
      </c>
      <c r="N7865" s="22" t="str">
        <f>IF(OR(ISBLANK(C7865),C7865="",M7865=""),"In Progress",IF(M7865&lt;=J7865,"Met","Breached"))</f>
        <v>In Progress</v>
      </c>
    </row>
    <row r="7866" ht="19" customHeight="1" spans="1:14" x14ac:dyDescent="0.25">
      <c r="A7866" s="19" t="s">
        <v>7980</v>
      </c>
      <c r="B7866" s="33">
        <v>45834.5875</v>
      </c>
      <c r="D7866" s="19" t="s">
        <v>39</v>
      </c>
      <c r="E7866" s="19" t="s">
        <v>61</v>
      </c>
      <c r="F7866" s="19" t="s">
        <v>45</v>
      </c>
      <c r="G7866" s="19" t="s">
        <v>121</v>
      </c>
      <c r="H7866" s="19" t="s">
        <v>67</v>
      </c>
      <c r="I7866" s="19" t="s">
        <v>147</v>
      </c>
      <c r="J7866" s="20">
        <v>12</v>
      </c>
      <c r="K7866" s="34">
        <v>0</v>
      </c>
      <c r="M7866" s="19" t="str">
        <f>IF(OR(ISBLANK(C7866),C7866=""),"",ROUND((C7866-B7866)*24,2))</f>
        <v/>
      </c>
      <c r="N7866" s="19" t="str">
        <f>IF(OR(ISBLANK(C7866),C7866="",M7866=""),"In Progress",IF(M7866&lt;=J7866,"Met","Breached"))</f>
        <v>In Progress</v>
      </c>
    </row>
    <row r="7867" ht="19" customHeight="1" spans="1:14" x14ac:dyDescent="0.25">
      <c r="A7867" s="22" t="s">
        <v>7981</v>
      </c>
      <c r="B7867" s="36">
        <v>45834.38541666667</v>
      </c>
      <c r="C7867" s="36">
        <v>45837.78611111111</v>
      </c>
      <c r="D7867" s="22" t="s">
        <v>33</v>
      </c>
      <c r="E7867" s="22" t="s">
        <v>65</v>
      </c>
      <c r="F7867" s="22" t="s">
        <v>45</v>
      </c>
      <c r="G7867" s="22" t="s">
        <v>121</v>
      </c>
      <c r="H7867" s="22" t="s">
        <v>59</v>
      </c>
      <c r="I7867" s="22" t="s">
        <v>111</v>
      </c>
      <c r="J7867" s="23">
        <v>48</v>
      </c>
      <c r="K7867" s="37">
        <v>0</v>
      </c>
      <c r="M7867" s="22">
        <f>IF(OR(ISBLANK(C7867),C7867=""),"",ROUND((C7867-B7867)*24,2))</f>
        <v>81.62</v>
      </c>
      <c r="N7867" s="38" t="str">
        <f>IF(OR(ISBLANK(C7867),C7867="",M7867=""),"In Progress",IF(M7867&lt;=J7867,"Met","Breached"))</f>
        <v>Breached</v>
      </c>
    </row>
    <row r="7868" ht="19" customHeight="1" spans="1:14" x14ac:dyDescent="0.25">
      <c r="A7868" s="19" t="s">
        <v>7982</v>
      </c>
      <c r="B7868" s="33">
        <v>46034.25555555556</v>
      </c>
      <c r="C7868" s="33">
        <v>46037.28472222222</v>
      </c>
      <c r="D7868" s="19" t="s">
        <v>33</v>
      </c>
      <c r="E7868" s="19" t="s">
        <v>69</v>
      </c>
      <c r="F7868" s="19" t="s">
        <v>40</v>
      </c>
      <c r="G7868" s="19" t="s">
        <v>113</v>
      </c>
      <c r="H7868" s="19" t="s">
        <v>63</v>
      </c>
      <c r="I7868" s="19" t="s">
        <v>117</v>
      </c>
      <c r="J7868" s="20">
        <v>120</v>
      </c>
      <c r="K7868" s="34">
        <v>0</v>
      </c>
      <c r="M7868" s="19">
        <f>IF(OR(ISBLANK(C7868),C7868=""),"",ROUND((C7868-B7868)*24,2))</f>
        <v>72.7</v>
      </c>
      <c r="N7868" s="35" t="str">
        <f>IF(OR(ISBLANK(C7868),C7868="",M7868=""),"In Progress",IF(M7868&lt;=J7868,"Met","Breached"))</f>
        <v>Met</v>
      </c>
    </row>
    <row r="7869" ht="19" customHeight="1" spans="1:14" x14ac:dyDescent="0.25">
      <c r="A7869" s="22" t="s">
        <v>7983</v>
      </c>
      <c r="B7869" s="36">
        <v>45715.71805555555</v>
      </c>
      <c r="C7869" s="36">
        <v>45718.15277777778</v>
      </c>
      <c r="D7869" s="22" t="s">
        <v>33</v>
      </c>
      <c r="E7869" s="22" t="s">
        <v>65</v>
      </c>
      <c r="F7869" s="22" t="s">
        <v>40</v>
      </c>
      <c r="G7869" s="22" t="s">
        <v>121</v>
      </c>
      <c r="H7869" s="22" t="s">
        <v>63</v>
      </c>
      <c r="I7869" s="22" t="s">
        <v>123</v>
      </c>
      <c r="J7869" s="23">
        <v>48</v>
      </c>
      <c r="K7869" s="37">
        <v>0</v>
      </c>
      <c r="M7869" s="22">
        <f>IF(OR(ISBLANK(C7869),C7869=""),"",ROUND((C7869-B7869)*24,2))</f>
        <v>58.43</v>
      </c>
      <c r="N7869" s="38" t="str">
        <f>IF(OR(ISBLANK(C7869),C7869="",M7869=""),"In Progress",IF(M7869&lt;=J7869,"Met","Breached"))</f>
        <v>Breached</v>
      </c>
    </row>
    <row r="7870" ht="19" customHeight="1" spans="1:14" x14ac:dyDescent="0.25">
      <c r="A7870" s="19" t="s">
        <v>7984</v>
      </c>
      <c r="B7870" s="33">
        <v>46065.6375</v>
      </c>
      <c r="C7870" s="33">
        <v>46067.288888888885</v>
      </c>
      <c r="D7870" s="19" t="s">
        <v>33</v>
      </c>
      <c r="E7870" s="19" t="s">
        <v>65</v>
      </c>
      <c r="F7870" s="19" t="s">
        <v>45</v>
      </c>
      <c r="G7870" s="19" t="s">
        <v>121</v>
      </c>
      <c r="H7870" s="19" t="s">
        <v>59</v>
      </c>
      <c r="I7870" s="19" t="s">
        <v>117</v>
      </c>
      <c r="J7870" s="20">
        <v>48</v>
      </c>
      <c r="K7870" s="34">
        <v>0</v>
      </c>
      <c r="L7870" s="34">
        <v>2</v>
      </c>
      <c r="M7870" s="19">
        <f>IF(OR(ISBLANK(C7870),C7870=""),"",ROUND((C7870-B7870)*24,2))</f>
        <v>39.63</v>
      </c>
      <c r="N7870" s="35" t="str">
        <f>IF(OR(ISBLANK(C7870),C7870="",M7870=""),"In Progress",IF(M7870&lt;=J7870,"Met","Breached"))</f>
        <v>Met</v>
      </c>
    </row>
    <row r="7871" ht="19" customHeight="1" spans="1:14" x14ac:dyDescent="0.25">
      <c r="A7871" s="22" t="s">
        <v>7985</v>
      </c>
      <c r="B7871" s="36">
        <v>46013.63958333334</v>
      </c>
      <c r="C7871" s="36">
        <v>46013.91527777778</v>
      </c>
      <c r="D7871" s="22" t="s">
        <v>33</v>
      </c>
      <c r="E7871" s="22" t="s">
        <v>57</v>
      </c>
      <c r="F7871" s="22" t="s">
        <v>34</v>
      </c>
      <c r="G7871" s="22" t="s">
        <v>126</v>
      </c>
      <c r="H7871" s="22" t="s">
        <v>63</v>
      </c>
      <c r="I7871" s="22" t="s">
        <v>111</v>
      </c>
      <c r="J7871" s="23">
        <v>4</v>
      </c>
      <c r="K7871" s="37">
        <v>1</v>
      </c>
      <c r="L7871" s="37">
        <v>1</v>
      </c>
      <c r="M7871" s="22">
        <f>IF(OR(ISBLANK(C7871),C7871=""),"",ROUND((C7871-B7871)*24,2))</f>
        <v>6.62</v>
      </c>
      <c r="N7871" s="38" t="str">
        <f>IF(OR(ISBLANK(C7871),C7871="",M7871=""),"In Progress",IF(M7871&lt;=J7871,"Met","Breached"))</f>
        <v>Breached</v>
      </c>
    </row>
    <row r="7872" ht="19" customHeight="1" spans="1:14" x14ac:dyDescent="0.25">
      <c r="A7872" s="19" t="s">
        <v>7986</v>
      </c>
      <c r="B7872" s="33">
        <v>45747.62708333333</v>
      </c>
      <c r="C7872" s="33">
        <v>45749.34652777778</v>
      </c>
      <c r="D7872" s="19" t="s">
        <v>33</v>
      </c>
      <c r="E7872" s="19" t="s">
        <v>65</v>
      </c>
      <c r="F7872" s="19" t="s">
        <v>37</v>
      </c>
      <c r="G7872" s="19" t="s">
        <v>116</v>
      </c>
      <c r="H7872" s="19" t="s">
        <v>59</v>
      </c>
      <c r="I7872" s="19" t="s">
        <v>108</v>
      </c>
      <c r="J7872" s="20">
        <v>48</v>
      </c>
      <c r="K7872" s="34">
        <v>0</v>
      </c>
      <c r="L7872" s="34">
        <v>3</v>
      </c>
      <c r="M7872" s="19">
        <f>IF(OR(ISBLANK(C7872),C7872=""),"",ROUND((C7872-B7872)*24,2))</f>
        <v>41.27</v>
      </c>
      <c r="N7872" s="35" t="str">
        <f>IF(OR(ISBLANK(C7872),C7872="",M7872=""),"In Progress",IF(M7872&lt;=J7872,"Met","Breached"))</f>
        <v>Met</v>
      </c>
    </row>
    <row r="7873" ht="19" customHeight="1" spans="1:14" x14ac:dyDescent="0.25">
      <c r="A7873" s="22" t="s">
        <v>7987</v>
      </c>
      <c r="B7873" s="36">
        <v>45875.30416666667</v>
      </c>
      <c r="C7873" s="36">
        <v>45875.75208333333</v>
      </c>
      <c r="D7873" s="22" t="s">
        <v>36</v>
      </c>
      <c r="E7873" s="22" t="s">
        <v>61</v>
      </c>
      <c r="F7873" s="22" t="s">
        <v>34</v>
      </c>
      <c r="G7873" s="22" t="s">
        <v>121</v>
      </c>
      <c r="H7873" s="22" t="s">
        <v>59</v>
      </c>
      <c r="I7873" s="22" t="s">
        <v>108</v>
      </c>
      <c r="J7873" s="23">
        <v>12</v>
      </c>
      <c r="K7873" s="37">
        <v>0</v>
      </c>
      <c r="L7873" s="37">
        <v>1</v>
      </c>
      <c r="M7873" s="22">
        <f>IF(OR(ISBLANK(C7873),C7873=""),"",ROUND((C7873-B7873)*24,2))</f>
        <v>10.75</v>
      </c>
      <c r="N7873" s="40" t="str">
        <f>IF(OR(ISBLANK(C7873),C7873="",M7873=""),"In Progress",IF(M7873&lt;=J7873,"Met","Breached"))</f>
        <v>Met</v>
      </c>
    </row>
    <row r="7874" ht="19" customHeight="1" spans="1:14" x14ac:dyDescent="0.25">
      <c r="A7874" s="19" t="s">
        <v>7988</v>
      </c>
      <c r="B7874" s="33">
        <v>46129.72430555556</v>
      </c>
      <c r="C7874" s="33">
        <v>46129.898611111115</v>
      </c>
      <c r="D7874" s="19" t="s">
        <v>33</v>
      </c>
      <c r="E7874" s="19" t="s">
        <v>61</v>
      </c>
      <c r="F7874" s="19" t="s">
        <v>45</v>
      </c>
      <c r="G7874" s="19" t="s">
        <v>63</v>
      </c>
      <c r="H7874" s="19" t="s">
        <v>63</v>
      </c>
      <c r="I7874" s="19" t="s">
        <v>123</v>
      </c>
      <c r="J7874" s="20">
        <v>12</v>
      </c>
      <c r="K7874" s="34">
        <v>0</v>
      </c>
      <c r="M7874" s="19">
        <f>IF(OR(ISBLANK(C7874),C7874=""),"",ROUND((C7874-B7874)*24,2))</f>
        <v>4.18</v>
      </c>
      <c r="N7874" s="35" t="str">
        <f>IF(OR(ISBLANK(C7874),C7874="",M7874=""),"In Progress",IF(M7874&lt;=J7874,"Met","Breached"))</f>
        <v>Met</v>
      </c>
    </row>
    <row r="7875" ht="19" customHeight="1" spans="1:14" x14ac:dyDescent="0.25">
      <c r="A7875" s="22" t="s">
        <v>7989</v>
      </c>
      <c r="B7875" s="36">
        <v>45976.35555555555</v>
      </c>
      <c r="C7875" s="36">
        <v>45976.41527777778</v>
      </c>
      <c r="D7875" s="22" t="s">
        <v>33</v>
      </c>
      <c r="E7875" s="22" t="s">
        <v>57</v>
      </c>
      <c r="F7875" s="22" t="s">
        <v>43</v>
      </c>
      <c r="G7875" s="22" t="s">
        <v>113</v>
      </c>
      <c r="H7875" s="22" t="s">
        <v>59</v>
      </c>
      <c r="I7875" s="22" t="s">
        <v>123</v>
      </c>
      <c r="J7875" s="23">
        <v>4</v>
      </c>
      <c r="K7875" s="37">
        <v>0</v>
      </c>
      <c r="L7875" s="37">
        <v>1</v>
      </c>
      <c r="M7875" s="22">
        <f>IF(OR(ISBLANK(C7875),C7875=""),"",ROUND((C7875-B7875)*24,2))</f>
        <v>1.43</v>
      </c>
      <c r="N7875" s="40" t="str">
        <f>IF(OR(ISBLANK(C7875),C7875="",M7875=""),"In Progress",IF(M7875&lt;=J7875,"Met","Breached"))</f>
        <v>Met</v>
      </c>
    </row>
    <row r="7876" ht="19" customHeight="1" spans="1:14" x14ac:dyDescent="0.25">
      <c r="A7876" s="19" t="s">
        <v>7990</v>
      </c>
      <c r="B7876" s="33">
        <v>45898.60763888889</v>
      </c>
      <c r="C7876" s="33">
        <v>45900.07847222222</v>
      </c>
      <c r="D7876" s="19" t="s">
        <v>33</v>
      </c>
      <c r="E7876" s="19" t="s">
        <v>65</v>
      </c>
      <c r="F7876" s="19" t="s">
        <v>43</v>
      </c>
      <c r="G7876" s="19" t="s">
        <v>121</v>
      </c>
      <c r="H7876" s="19" t="s">
        <v>59</v>
      </c>
      <c r="I7876" s="19" t="s">
        <v>111</v>
      </c>
      <c r="J7876" s="20">
        <v>48</v>
      </c>
      <c r="K7876" s="34">
        <v>0</v>
      </c>
      <c r="M7876" s="19">
        <f>IF(OR(ISBLANK(C7876),C7876=""),"",ROUND((C7876-B7876)*24,2))</f>
        <v>35.3</v>
      </c>
      <c r="N7876" s="35" t="str">
        <f>IF(OR(ISBLANK(C7876),C7876="",M7876=""),"In Progress",IF(M7876&lt;=J7876,"Met","Breached"))</f>
        <v>Met</v>
      </c>
    </row>
    <row r="7877" ht="19" customHeight="1" spans="1:14" x14ac:dyDescent="0.25">
      <c r="A7877" s="22" t="s">
        <v>7991</v>
      </c>
      <c r="B7877" s="36">
        <v>46171.975</v>
      </c>
      <c r="D7877" s="22" t="s">
        <v>42</v>
      </c>
      <c r="E7877" s="22" t="s">
        <v>61</v>
      </c>
      <c r="F7877" s="22" t="s">
        <v>43</v>
      </c>
      <c r="G7877" s="22" t="s">
        <v>121</v>
      </c>
      <c r="H7877" s="22" t="s">
        <v>63</v>
      </c>
      <c r="I7877" s="22" t="s">
        <v>111</v>
      </c>
      <c r="J7877" s="23">
        <v>12</v>
      </c>
      <c r="K7877" s="37">
        <v>0</v>
      </c>
      <c r="M7877" s="22" t="str">
        <f>IF(OR(ISBLANK(C7877),C7877=""),"",ROUND((C7877-B7877)*24,2))</f>
        <v/>
      </c>
      <c r="N7877" s="22" t="str">
        <f>IF(OR(ISBLANK(C7877),C7877="",M7877=""),"In Progress",IF(M7877&lt;=J7877,"Met","Breached"))</f>
        <v>In Progress</v>
      </c>
    </row>
    <row r="7878" ht="19" customHeight="1" spans="1:14" x14ac:dyDescent="0.25">
      <c r="A7878" s="19" t="s">
        <v>7992</v>
      </c>
      <c r="B7878" s="33">
        <v>45909.06527777778</v>
      </c>
      <c r="C7878" s="33">
        <v>45909.84444444445</v>
      </c>
      <c r="D7878" s="19" t="s">
        <v>33</v>
      </c>
      <c r="E7878" s="19" t="s">
        <v>65</v>
      </c>
      <c r="F7878" s="19" t="s">
        <v>43</v>
      </c>
      <c r="G7878" s="19" t="s">
        <v>126</v>
      </c>
      <c r="H7878" s="19" t="s">
        <v>71</v>
      </c>
      <c r="I7878" s="19" t="s">
        <v>123</v>
      </c>
      <c r="J7878" s="20">
        <v>48</v>
      </c>
      <c r="K7878" s="34">
        <v>0</v>
      </c>
      <c r="L7878" s="34">
        <v>1</v>
      </c>
      <c r="M7878" s="19">
        <f>IF(OR(ISBLANK(C7878),C7878=""),"",ROUND((C7878-B7878)*24,2))</f>
        <v>18.7</v>
      </c>
      <c r="N7878" s="35" t="str">
        <f>IF(OR(ISBLANK(C7878),C7878="",M7878=""),"In Progress",IF(M7878&lt;=J7878,"Met","Breached"))</f>
        <v>Met</v>
      </c>
    </row>
    <row r="7879" ht="19" customHeight="1" spans="1:14" x14ac:dyDescent="0.25">
      <c r="A7879" s="22" t="s">
        <v>7993</v>
      </c>
      <c r="B7879" s="36">
        <v>46153.9625</v>
      </c>
      <c r="D7879" s="22" t="s">
        <v>39</v>
      </c>
      <c r="E7879" s="22" t="s">
        <v>61</v>
      </c>
      <c r="F7879" s="22" t="s">
        <v>45</v>
      </c>
      <c r="G7879" s="22" t="s">
        <v>110</v>
      </c>
      <c r="H7879" s="22" t="s">
        <v>63</v>
      </c>
      <c r="I7879" s="22" t="s">
        <v>123</v>
      </c>
      <c r="J7879" s="23">
        <v>12</v>
      </c>
      <c r="K7879" s="37">
        <v>0</v>
      </c>
      <c r="M7879" s="22" t="str">
        <f>IF(OR(ISBLANK(C7879),C7879=""),"",ROUND((C7879-B7879)*24,2))</f>
        <v/>
      </c>
      <c r="N7879" s="22" t="str">
        <f>IF(OR(ISBLANK(C7879),C7879="",M7879=""),"In Progress",IF(M7879&lt;=J7879,"Met","Breached"))</f>
        <v>In Progress</v>
      </c>
    </row>
    <row r="7880" ht="19" customHeight="1" spans="1:14" x14ac:dyDescent="0.25">
      <c r="A7880" s="19" t="s">
        <v>7994</v>
      </c>
      <c r="B7880" s="33">
        <v>46256.695138888885</v>
      </c>
      <c r="C7880" s="33">
        <v>46258.04305555555</v>
      </c>
      <c r="D7880" s="19" t="s">
        <v>33</v>
      </c>
      <c r="E7880" s="19" t="s">
        <v>65</v>
      </c>
      <c r="F7880" s="19" t="s">
        <v>40</v>
      </c>
      <c r="G7880" s="19" t="s">
        <v>113</v>
      </c>
      <c r="H7880" s="19" t="s">
        <v>63</v>
      </c>
      <c r="I7880" s="19" t="s">
        <v>117</v>
      </c>
      <c r="J7880" s="20">
        <v>48</v>
      </c>
      <c r="K7880" s="34">
        <v>0</v>
      </c>
      <c r="L7880" s="34">
        <v>4</v>
      </c>
      <c r="M7880" s="19">
        <f>IF(OR(ISBLANK(C7880),C7880=""),"",ROUND((C7880-B7880)*24,2))</f>
        <v>32.35</v>
      </c>
      <c r="N7880" s="35" t="str">
        <f>IF(OR(ISBLANK(C7880),C7880="",M7880=""),"In Progress",IF(M7880&lt;=J7880,"Met","Breached"))</f>
        <v>Met</v>
      </c>
    </row>
    <row r="7881" ht="19" customHeight="1" spans="1:14" x14ac:dyDescent="0.25">
      <c r="A7881" s="22" t="s">
        <v>7995</v>
      </c>
      <c r="B7881" s="36">
        <v>45693.02986111111</v>
      </c>
      <c r="D7881" s="22" t="s">
        <v>39</v>
      </c>
      <c r="E7881" s="22" t="s">
        <v>65</v>
      </c>
      <c r="F7881" s="22" t="s">
        <v>37</v>
      </c>
      <c r="G7881" s="22" t="s">
        <v>121</v>
      </c>
      <c r="H7881" s="22" t="s">
        <v>67</v>
      </c>
      <c r="I7881" s="22" t="s">
        <v>114</v>
      </c>
      <c r="J7881" s="23">
        <v>48</v>
      </c>
      <c r="K7881" s="37">
        <v>0</v>
      </c>
      <c r="M7881" s="22" t="str">
        <f>IF(OR(ISBLANK(C7881),C7881=""),"",ROUND((C7881-B7881)*24,2))</f>
        <v/>
      </c>
      <c r="N7881" s="22" t="str">
        <f>IF(OR(ISBLANK(C7881),C7881="",M7881=""),"In Progress",IF(M7881&lt;=J7881,"Met","Breached"))</f>
        <v>In Progress</v>
      </c>
    </row>
    <row r="7882" ht="19" customHeight="1" spans="1:14" x14ac:dyDescent="0.25">
      <c r="A7882" s="19" t="s">
        <v>7996</v>
      </c>
      <c r="B7882" s="33">
        <v>46234.433333333334</v>
      </c>
      <c r="C7882" s="33">
        <v>46237.76111111111</v>
      </c>
      <c r="D7882" s="19" t="s">
        <v>33</v>
      </c>
      <c r="E7882" s="19" t="s">
        <v>69</v>
      </c>
      <c r="F7882" s="19" t="s">
        <v>43</v>
      </c>
      <c r="G7882" s="19" t="s">
        <v>126</v>
      </c>
      <c r="H7882" s="19" t="s">
        <v>59</v>
      </c>
      <c r="I7882" s="19" t="s">
        <v>108</v>
      </c>
      <c r="J7882" s="20">
        <v>120</v>
      </c>
      <c r="K7882" s="34">
        <v>0</v>
      </c>
      <c r="M7882" s="19">
        <f>IF(OR(ISBLANK(C7882),C7882=""),"",ROUND((C7882-B7882)*24,2))</f>
        <v>79.87</v>
      </c>
      <c r="N7882" s="35" t="str">
        <f>IF(OR(ISBLANK(C7882),C7882="",M7882=""),"In Progress",IF(M7882&lt;=J7882,"Met","Breached"))</f>
        <v>Met</v>
      </c>
    </row>
    <row r="7883" ht="19" customHeight="1" spans="1:14" x14ac:dyDescent="0.25">
      <c r="A7883" s="22" t="s">
        <v>7997</v>
      </c>
      <c r="B7883" s="36">
        <v>46181.910416666666</v>
      </c>
      <c r="C7883" s="36">
        <v>46185.28194444445</v>
      </c>
      <c r="D7883" s="22" t="s">
        <v>36</v>
      </c>
      <c r="E7883" s="22" t="s">
        <v>65</v>
      </c>
      <c r="F7883" s="22" t="s">
        <v>45</v>
      </c>
      <c r="G7883" s="22" t="s">
        <v>121</v>
      </c>
      <c r="H7883" s="22" t="s">
        <v>59</v>
      </c>
      <c r="I7883" s="22" t="s">
        <v>123</v>
      </c>
      <c r="J7883" s="23">
        <v>48</v>
      </c>
      <c r="K7883" s="37">
        <v>0</v>
      </c>
      <c r="M7883" s="22">
        <f>IF(OR(ISBLANK(C7883),C7883=""),"",ROUND((C7883-B7883)*24,2))</f>
        <v>80.92</v>
      </c>
      <c r="N7883" s="38" t="str">
        <f>IF(OR(ISBLANK(C7883),C7883="",M7883=""),"In Progress",IF(M7883&lt;=J7883,"Met","Breached"))</f>
        <v>Breached</v>
      </c>
    </row>
    <row r="7884" ht="19" customHeight="1" spans="1:14" x14ac:dyDescent="0.25">
      <c r="A7884" s="19" t="s">
        <v>7998</v>
      </c>
      <c r="B7884" s="33">
        <v>46016.15</v>
      </c>
      <c r="D7884" s="19" t="s">
        <v>39</v>
      </c>
      <c r="E7884" s="19" t="s">
        <v>65</v>
      </c>
      <c r="F7884" s="19" t="s">
        <v>37</v>
      </c>
      <c r="G7884" s="19" t="s">
        <v>126</v>
      </c>
      <c r="H7884" s="19" t="s">
        <v>59</v>
      </c>
      <c r="I7884" s="19" t="s">
        <v>114</v>
      </c>
      <c r="J7884" s="20">
        <v>48</v>
      </c>
      <c r="K7884" s="34">
        <v>0</v>
      </c>
      <c r="M7884" s="19" t="str">
        <f>IF(OR(ISBLANK(C7884),C7884=""),"",ROUND((C7884-B7884)*24,2))</f>
        <v/>
      </c>
      <c r="N7884" s="19" t="str">
        <f>IF(OR(ISBLANK(C7884),C7884="",M7884=""),"In Progress",IF(M7884&lt;=J7884,"Met","Breached"))</f>
        <v>In Progress</v>
      </c>
    </row>
    <row r="7885" ht="19" customHeight="1" spans="1:14" x14ac:dyDescent="0.25">
      <c r="A7885" s="22" t="s">
        <v>7999</v>
      </c>
      <c r="B7885" s="36">
        <v>46155.43402777778</v>
      </c>
      <c r="C7885" s="36">
        <v>46156.634722222225</v>
      </c>
      <c r="D7885" s="22" t="s">
        <v>33</v>
      </c>
      <c r="E7885" s="22" t="s">
        <v>65</v>
      </c>
      <c r="F7885" s="22" t="s">
        <v>40</v>
      </c>
      <c r="G7885" s="22" t="s">
        <v>63</v>
      </c>
      <c r="H7885" s="22" t="s">
        <v>59</v>
      </c>
      <c r="I7885" s="22" t="s">
        <v>123</v>
      </c>
      <c r="J7885" s="23">
        <v>48</v>
      </c>
      <c r="K7885" s="37">
        <v>0</v>
      </c>
      <c r="L7885" s="37">
        <v>2</v>
      </c>
      <c r="M7885" s="22">
        <f>IF(OR(ISBLANK(C7885),C7885=""),"",ROUND((C7885-B7885)*24,2))</f>
        <v>28.82</v>
      </c>
      <c r="N7885" s="40" t="str">
        <f>IF(OR(ISBLANK(C7885),C7885="",M7885=""),"In Progress",IF(M7885&lt;=J7885,"Met","Breached"))</f>
        <v>Met</v>
      </c>
    </row>
    <row r="7886" ht="19" customHeight="1" spans="1:14" x14ac:dyDescent="0.25">
      <c r="A7886" s="19" t="s">
        <v>8000</v>
      </c>
      <c r="B7886" s="33">
        <v>46273.73263888889</v>
      </c>
      <c r="C7886" s="33">
        <v>46276.4125</v>
      </c>
      <c r="D7886" s="19" t="s">
        <v>36</v>
      </c>
      <c r="E7886" s="19" t="s">
        <v>65</v>
      </c>
      <c r="F7886" s="19" t="s">
        <v>37</v>
      </c>
      <c r="G7886" s="19" t="s">
        <v>110</v>
      </c>
      <c r="H7886" s="19" t="s">
        <v>63</v>
      </c>
      <c r="I7886" s="19" t="s">
        <v>114</v>
      </c>
      <c r="J7886" s="20">
        <v>48</v>
      </c>
      <c r="K7886" s="34">
        <v>0</v>
      </c>
      <c r="L7886" s="34">
        <v>5</v>
      </c>
      <c r="M7886" s="19">
        <f>IF(OR(ISBLANK(C7886),C7886=""),"",ROUND((C7886-B7886)*24,2))</f>
        <v>64.32</v>
      </c>
      <c r="N7886" s="39" t="str">
        <f>IF(OR(ISBLANK(C7886),C7886="",M7886=""),"In Progress",IF(M7886&lt;=J7886,"Met","Breached"))</f>
        <v>Breached</v>
      </c>
    </row>
    <row r="7887" ht="19" customHeight="1" spans="1:14" x14ac:dyDescent="0.25">
      <c r="A7887" s="22" t="s">
        <v>8001</v>
      </c>
      <c r="B7887" s="36">
        <v>45946.134722222225</v>
      </c>
      <c r="C7887" s="36">
        <v>45950.538194444445</v>
      </c>
      <c r="D7887" s="22" t="s">
        <v>33</v>
      </c>
      <c r="E7887" s="22" t="s">
        <v>69</v>
      </c>
      <c r="F7887" s="22" t="s">
        <v>34</v>
      </c>
      <c r="G7887" s="22" t="s">
        <v>126</v>
      </c>
      <c r="H7887" s="22" t="s">
        <v>63</v>
      </c>
      <c r="I7887" s="22" t="s">
        <v>123</v>
      </c>
      <c r="J7887" s="23">
        <v>120</v>
      </c>
      <c r="K7887" s="37">
        <v>0</v>
      </c>
      <c r="L7887" s="37">
        <v>2</v>
      </c>
      <c r="M7887" s="22">
        <f>IF(OR(ISBLANK(C7887),C7887=""),"",ROUND((C7887-B7887)*24,2))</f>
        <v>105.68</v>
      </c>
      <c r="N7887" s="40" t="str">
        <f>IF(OR(ISBLANK(C7887),C7887="",M7887=""),"In Progress",IF(M7887&lt;=J7887,"Met","Breached"))</f>
        <v>Met</v>
      </c>
    </row>
    <row r="7888" ht="19" customHeight="1" spans="1:14" x14ac:dyDescent="0.25">
      <c r="A7888" s="19" t="s">
        <v>8002</v>
      </c>
      <c r="B7888" s="33">
        <v>46283.10972222222</v>
      </c>
      <c r="C7888" s="33">
        <v>46286.40416666667</v>
      </c>
      <c r="D7888" s="19" t="s">
        <v>36</v>
      </c>
      <c r="E7888" s="19" t="s">
        <v>65</v>
      </c>
      <c r="F7888" s="19" t="s">
        <v>45</v>
      </c>
      <c r="G7888" s="19" t="s">
        <v>116</v>
      </c>
      <c r="H7888" s="19" t="s">
        <v>63</v>
      </c>
      <c r="I7888" s="19" t="s">
        <v>114</v>
      </c>
      <c r="J7888" s="20">
        <v>48</v>
      </c>
      <c r="K7888" s="34">
        <v>0</v>
      </c>
      <c r="L7888" s="34">
        <v>1</v>
      </c>
      <c r="M7888" s="19">
        <f>IF(OR(ISBLANK(C7888),C7888=""),"",ROUND((C7888-B7888)*24,2))</f>
        <v>79.07</v>
      </c>
      <c r="N7888" s="39" t="str">
        <f>IF(OR(ISBLANK(C7888),C7888="",M7888=""),"In Progress",IF(M7888&lt;=J7888,"Met","Breached"))</f>
        <v>Breached</v>
      </c>
    </row>
    <row r="7889" ht="19" customHeight="1" spans="1:14" x14ac:dyDescent="0.25">
      <c r="A7889" s="22" t="s">
        <v>8003</v>
      </c>
      <c r="B7889" s="36">
        <v>45921.84652777778</v>
      </c>
      <c r="C7889" s="36">
        <v>45922.73611111111</v>
      </c>
      <c r="D7889" s="22" t="s">
        <v>36</v>
      </c>
      <c r="E7889" s="22" t="s">
        <v>65</v>
      </c>
      <c r="F7889" s="22" t="s">
        <v>37</v>
      </c>
      <c r="G7889" s="22" t="s">
        <v>113</v>
      </c>
      <c r="H7889" s="22" t="s">
        <v>59</v>
      </c>
      <c r="I7889" s="22" t="s">
        <v>114</v>
      </c>
      <c r="J7889" s="23">
        <v>48</v>
      </c>
      <c r="K7889" s="37">
        <v>0</v>
      </c>
      <c r="L7889" s="37">
        <v>2</v>
      </c>
      <c r="M7889" s="22">
        <f>IF(OR(ISBLANK(C7889),C7889=""),"",ROUND((C7889-B7889)*24,2))</f>
        <v>21.35</v>
      </c>
      <c r="N7889" s="40" t="str">
        <f>IF(OR(ISBLANK(C7889),C7889="",M7889=""),"In Progress",IF(M7889&lt;=J7889,"Met","Breached"))</f>
        <v>Met</v>
      </c>
    </row>
    <row r="7890" ht="19" customHeight="1" spans="1:14" x14ac:dyDescent="0.25">
      <c r="A7890" s="19" t="s">
        <v>8004</v>
      </c>
      <c r="B7890" s="33">
        <v>46051.072222222225</v>
      </c>
      <c r="C7890" s="33">
        <v>46059.13541666667</v>
      </c>
      <c r="D7890" s="19" t="s">
        <v>36</v>
      </c>
      <c r="E7890" s="19" t="s">
        <v>69</v>
      </c>
      <c r="F7890" s="19" t="s">
        <v>45</v>
      </c>
      <c r="G7890" s="19" t="s">
        <v>121</v>
      </c>
      <c r="H7890" s="19" t="s">
        <v>59</v>
      </c>
      <c r="I7890" s="19" t="s">
        <v>147</v>
      </c>
      <c r="J7890" s="20">
        <v>120</v>
      </c>
      <c r="K7890" s="34">
        <v>0</v>
      </c>
      <c r="M7890" s="19">
        <f>IF(OR(ISBLANK(C7890),C7890=""),"",ROUND((C7890-B7890)*24,2))</f>
        <v>193.52</v>
      </c>
      <c r="N7890" s="39" t="str">
        <f>IF(OR(ISBLANK(C7890),C7890="",M7890=""),"In Progress",IF(M7890&lt;=J7890,"Met","Breached"))</f>
        <v>Breached</v>
      </c>
    </row>
    <row r="7891" ht="19" customHeight="1" spans="1:14" x14ac:dyDescent="0.25">
      <c r="A7891" s="22" t="s">
        <v>8005</v>
      </c>
      <c r="B7891" s="36">
        <v>45857.82083333333</v>
      </c>
      <c r="C7891" s="36">
        <v>45862.7625</v>
      </c>
      <c r="D7891" s="22" t="s">
        <v>33</v>
      </c>
      <c r="E7891" s="22" t="s">
        <v>69</v>
      </c>
      <c r="F7891" s="22" t="s">
        <v>34</v>
      </c>
      <c r="G7891" s="22" t="s">
        <v>113</v>
      </c>
      <c r="H7891" s="22" t="s">
        <v>63</v>
      </c>
      <c r="I7891" s="22" t="s">
        <v>108</v>
      </c>
      <c r="J7891" s="23">
        <v>120</v>
      </c>
      <c r="K7891" s="37">
        <v>0</v>
      </c>
      <c r="L7891" s="37">
        <v>5</v>
      </c>
      <c r="M7891" s="22">
        <f>IF(OR(ISBLANK(C7891),C7891=""),"",ROUND((C7891-B7891)*24,2))</f>
        <v>118.6</v>
      </c>
      <c r="N7891" s="40" t="str">
        <f>IF(OR(ISBLANK(C7891),C7891="",M7891=""),"In Progress",IF(M7891&lt;=J7891,"Met","Breached"))</f>
        <v>Met</v>
      </c>
    </row>
    <row r="7892" ht="19" customHeight="1" spans="1:14" x14ac:dyDescent="0.25">
      <c r="A7892" s="19" t="s">
        <v>8006</v>
      </c>
      <c r="B7892" s="33">
        <v>45895.84652777778</v>
      </c>
      <c r="C7892" s="33">
        <v>45895.99930555555</v>
      </c>
      <c r="D7892" s="19" t="s">
        <v>36</v>
      </c>
      <c r="E7892" s="19" t="s">
        <v>57</v>
      </c>
      <c r="F7892" s="19" t="s">
        <v>34</v>
      </c>
      <c r="G7892" s="19" t="s">
        <v>121</v>
      </c>
      <c r="H7892" s="19" t="s">
        <v>59</v>
      </c>
      <c r="I7892" s="19" t="s">
        <v>117</v>
      </c>
      <c r="J7892" s="20">
        <v>4</v>
      </c>
      <c r="K7892" s="34">
        <v>0</v>
      </c>
      <c r="L7892" s="34">
        <v>2</v>
      </c>
      <c r="M7892" s="19">
        <f>IF(OR(ISBLANK(C7892),C7892=""),"",ROUND((C7892-B7892)*24,2))</f>
        <v>3.67</v>
      </c>
      <c r="N7892" s="35" t="str">
        <f>IF(OR(ISBLANK(C7892),C7892="",M7892=""),"In Progress",IF(M7892&lt;=J7892,"Met","Breached"))</f>
        <v>Met</v>
      </c>
    </row>
    <row r="7893" ht="19" customHeight="1" spans="1:14" x14ac:dyDescent="0.25">
      <c r="A7893" s="22" t="s">
        <v>8007</v>
      </c>
      <c r="B7893" s="36">
        <v>45940.134722222225</v>
      </c>
      <c r="C7893" s="36">
        <v>45941.20138888889</v>
      </c>
      <c r="D7893" s="22" t="s">
        <v>33</v>
      </c>
      <c r="E7893" s="22" t="s">
        <v>65</v>
      </c>
      <c r="F7893" s="22" t="s">
        <v>40</v>
      </c>
      <c r="G7893" s="22" t="s">
        <v>116</v>
      </c>
      <c r="H7893" s="22" t="s">
        <v>59</v>
      </c>
      <c r="I7893" s="22" t="s">
        <v>117</v>
      </c>
      <c r="J7893" s="23">
        <v>48</v>
      </c>
      <c r="K7893" s="37">
        <v>1</v>
      </c>
      <c r="L7893" s="37">
        <v>1</v>
      </c>
      <c r="M7893" s="22">
        <f>IF(OR(ISBLANK(C7893),C7893=""),"",ROUND((C7893-B7893)*24,2))</f>
        <v>25.6</v>
      </c>
      <c r="N7893" s="40" t="str">
        <f>IF(OR(ISBLANK(C7893),C7893="",M7893=""),"In Progress",IF(M7893&lt;=J7893,"Met","Breached"))</f>
        <v>Met</v>
      </c>
    </row>
    <row r="7894" ht="19" customHeight="1" spans="1:14" x14ac:dyDescent="0.25">
      <c r="A7894" s="19" t="s">
        <v>8008</v>
      </c>
      <c r="B7894" s="33">
        <v>45774.31805555556</v>
      </c>
      <c r="C7894" s="33">
        <v>45774.49444444444</v>
      </c>
      <c r="D7894" s="19" t="s">
        <v>33</v>
      </c>
      <c r="E7894" s="19" t="s">
        <v>57</v>
      </c>
      <c r="F7894" s="19" t="s">
        <v>34</v>
      </c>
      <c r="G7894" s="19" t="s">
        <v>63</v>
      </c>
      <c r="H7894" s="19" t="s">
        <v>59</v>
      </c>
      <c r="I7894" s="19" t="s">
        <v>108</v>
      </c>
      <c r="J7894" s="20">
        <v>4</v>
      </c>
      <c r="K7894" s="34">
        <v>0</v>
      </c>
      <c r="L7894" s="34">
        <v>4</v>
      </c>
      <c r="M7894" s="19">
        <f>IF(OR(ISBLANK(C7894),C7894=""),"",ROUND((C7894-B7894)*24,2))</f>
        <v>4.23</v>
      </c>
      <c r="N7894" s="39" t="str">
        <f>IF(OR(ISBLANK(C7894),C7894="",M7894=""),"In Progress",IF(M7894&lt;=J7894,"Met","Breached"))</f>
        <v>Breached</v>
      </c>
    </row>
    <row r="7895" ht="19" customHeight="1" spans="1:14" x14ac:dyDescent="0.25">
      <c r="A7895" s="22" t="s">
        <v>8009</v>
      </c>
      <c r="B7895" s="36">
        <v>46185.976388888885</v>
      </c>
      <c r="C7895" s="36">
        <v>46186.59027777778</v>
      </c>
      <c r="D7895" s="22" t="s">
        <v>33</v>
      </c>
      <c r="E7895" s="22" t="s">
        <v>61</v>
      </c>
      <c r="F7895" s="22" t="s">
        <v>37</v>
      </c>
      <c r="G7895" s="22" t="s">
        <v>121</v>
      </c>
      <c r="H7895" s="22" t="s">
        <v>63</v>
      </c>
      <c r="I7895" s="22" t="s">
        <v>108</v>
      </c>
      <c r="J7895" s="23">
        <v>12</v>
      </c>
      <c r="K7895" s="37">
        <v>0</v>
      </c>
      <c r="L7895" s="37">
        <v>2</v>
      </c>
      <c r="M7895" s="22">
        <f>IF(OR(ISBLANK(C7895),C7895=""),"",ROUND((C7895-B7895)*24,2))</f>
        <v>14.73</v>
      </c>
      <c r="N7895" s="38" t="str">
        <f>IF(OR(ISBLANK(C7895),C7895="",M7895=""),"In Progress",IF(M7895&lt;=J7895,"Met","Breached"))</f>
        <v>Breached</v>
      </c>
    </row>
    <row r="7896" ht="19" customHeight="1" spans="1:14" x14ac:dyDescent="0.25">
      <c r="A7896" s="19" t="s">
        <v>8010</v>
      </c>
      <c r="B7896" s="33">
        <v>46196.01041666667</v>
      </c>
      <c r="C7896" s="33">
        <v>46197.59583333333</v>
      </c>
      <c r="D7896" s="19" t="s">
        <v>36</v>
      </c>
      <c r="E7896" s="19" t="s">
        <v>69</v>
      </c>
      <c r="F7896" s="19" t="s">
        <v>43</v>
      </c>
      <c r="G7896" s="19" t="s">
        <v>113</v>
      </c>
      <c r="H7896" s="19" t="s">
        <v>59</v>
      </c>
      <c r="I7896" s="19" t="s">
        <v>147</v>
      </c>
      <c r="J7896" s="20">
        <v>120</v>
      </c>
      <c r="K7896" s="34">
        <v>0</v>
      </c>
      <c r="L7896" s="34">
        <v>4</v>
      </c>
      <c r="M7896" s="19">
        <f>IF(OR(ISBLANK(C7896),C7896=""),"",ROUND((C7896-B7896)*24,2))</f>
        <v>38.05</v>
      </c>
      <c r="N7896" s="35" t="str">
        <f>IF(OR(ISBLANK(C7896),C7896="",M7896=""),"In Progress",IF(M7896&lt;=J7896,"Met","Breached"))</f>
        <v>Met</v>
      </c>
    </row>
    <row r="7897" ht="19" customHeight="1" spans="1:14" x14ac:dyDescent="0.25">
      <c r="A7897" s="22" t="s">
        <v>8011</v>
      </c>
      <c r="B7897" s="36">
        <v>45685.37708333333</v>
      </c>
      <c r="D7897" s="22" t="s">
        <v>39</v>
      </c>
      <c r="E7897" s="22" t="s">
        <v>65</v>
      </c>
      <c r="F7897" s="22" t="s">
        <v>40</v>
      </c>
      <c r="G7897" s="22" t="s">
        <v>63</v>
      </c>
      <c r="H7897" s="22" t="s">
        <v>59</v>
      </c>
      <c r="I7897" s="22" t="s">
        <v>123</v>
      </c>
      <c r="J7897" s="23">
        <v>48</v>
      </c>
      <c r="K7897" s="37">
        <v>0</v>
      </c>
      <c r="M7897" s="22" t="str">
        <f>IF(OR(ISBLANK(C7897),C7897=""),"",ROUND((C7897-B7897)*24,2))</f>
        <v/>
      </c>
      <c r="N7897" s="22" t="str">
        <f>IF(OR(ISBLANK(C7897),C7897="",M7897=""),"In Progress",IF(M7897&lt;=J7897,"Met","Breached"))</f>
        <v>In Progress</v>
      </c>
    </row>
    <row r="7898" ht="19" customHeight="1" spans="1:14" x14ac:dyDescent="0.25">
      <c r="A7898" s="19" t="s">
        <v>8012</v>
      </c>
      <c r="B7898" s="33">
        <v>46113.59652777778</v>
      </c>
      <c r="C7898" s="33">
        <v>46121.79722222222</v>
      </c>
      <c r="D7898" s="19" t="s">
        <v>33</v>
      </c>
      <c r="E7898" s="19" t="s">
        <v>69</v>
      </c>
      <c r="F7898" s="19" t="s">
        <v>40</v>
      </c>
      <c r="G7898" s="19" t="s">
        <v>110</v>
      </c>
      <c r="H7898" s="19" t="s">
        <v>67</v>
      </c>
      <c r="I7898" s="19" t="s">
        <v>114</v>
      </c>
      <c r="J7898" s="20">
        <v>120</v>
      </c>
      <c r="K7898" s="34">
        <v>0</v>
      </c>
      <c r="L7898" s="34">
        <v>4</v>
      </c>
      <c r="M7898" s="19">
        <f>IF(OR(ISBLANK(C7898),C7898=""),"",ROUND((C7898-B7898)*24,2))</f>
        <v>196.82</v>
      </c>
      <c r="N7898" s="39" t="str">
        <f>IF(OR(ISBLANK(C7898),C7898="",M7898=""),"In Progress",IF(M7898&lt;=J7898,"Met","Breached"))</f>
        <v>Breached</v>
      </c>
    </row>
    <row r="7899" ht="19" customHeight="1" spans="1:14" x14ac:dyDescent="0.25">
      <c r="A7899" s="22" t="s">
        <v>8013</v>
      </c>
      <c r="B7899" s="36">
        <v>45860.59027777778</v>
      </c>
      <c r="C7899" s="36">
        <v>45863.05069444445</v>
      </c>
      <c r="D7899" s="22" t="s">
        <v>36</v>
      </c>
      <c r="E7899" s="22" t="s">
        <v>69</v>
      </c>
      <c r="F7899" s="22" t="s">
        <v>43</v>
      </c>
      <c r="G7899" s="22" t="s">
        <v>110</v>
      </c>
      <c r="H7899" s="22" t="s">
        <v>59</v>
      </c>
      <c r="I7899" s="22" t="s">
        <v>114</v>
      </c>
      <c r="J7899" s="23">
        <v>120</v>
      </c>
      <c r="K7899" s="37">
        <v>0</v>
      </c>
      <c r="L7899" s="37">
        <v>3</v>
      </c>
      <c r="M7899" s="22">
        <f>IF(OR(ISBLANK(C7899),C7899=""),"",ROUND((C7899-B7899)*24,2))</f>
        <v>59.05</v>
      </c>
      <c r="N7899" s="40" t="str">
        <f>IF(OR(ISBLANK(C7899),C7899="",M7899=""),"In Progress",IF(M7899&lt;=J7899,"Met","Breached"))</f>
        <v>Met</v>
      </c>
    </row>
    <row r="7900" ht="19" customHeight="1" spans="1:14" x14ac:dyDescent="0.25">
      <c r="A7900" s="19" t="s">
        <v>8014</v>
      </c>
      <c r="B7900" s="33">
        <v>45698.254166666666</v>
      </c>
      <c r="D7900" s="19" t="s">
        <v>39</v>
      </c>
      <c r="E7900" s="19" t="s">
        <v>65</v>
      </c>
      <c r="F7900" s="19" t="s">
        <v>40</v>
      </c>
      <c r="G7900" s="19" t="s">
        <v>110</v>
      </c>
      <c r="H7900" s="19" t="s">
        <v>59</v>
      </c>
      <c r="I7900" s="19" t="s">
        <v>123</v>
      </c>
      <c r="J7900" s="20">
        <v>48</v>
      </c>
      <c r="K7900" s="34">
        <v>0</v>
      </c>
      <c r="M7900" s="19" t="str">
        <f>IF(OR(ISBLANK(C7900),C7900=""),"",ROUND((C7900-B7900)*24,2))</f>
        <v/>
      </c>
      <c r="N7900" s="19" t="str">
        <f>IF(OR(ISBLANK(C7900),C7900="",M7900=""),"In Progress",IF(M7900&lt;=J7900,"Met","Breached"))</f>
        <v>In Progress</v>
      </c>
    </row>
    <row r="7901" ht="19" customHeight="1" spans="1:14" x14ac:dyDescent="0.25">
      <c r="A7901" s="22" t="s">
        <v>8015</v>
      </c>
      <c r="B7901" s="36">
        <v>46111.36666666667</v>
      </c>
      <c r="C7901" s="36">
        <v>46113.461805555555</v>
      </c>
      <c r="D7901" s="22" t="s">
        <v>36</v>
      </c>
      <c r="E7901" s="22" t="s">
        <v>65</v>
      </c>
      <c r="F7901" s="22" t="s">
        <v>37</v>
      </c>
      <c r="G7901" s="22" t="s">
        <v>116</v>
      </c>
      <c r="H7901" s="22" t="s">
        <v>59</v>
      </c>
      <c r="I7901" s="22" t="s">
        <v>117</v>
      </c>
      <c r="J7901" s="23">
        <v>48</v>
      </c>
      <c r="K7901" s="37">
        <v>0</v>
      </c>
      <c r="L7901" s="37">
        <v>2</v>
      </c>
      <c r="M7901" s="22">
        <f>IF(OR(ISBLANK(C7901),C7901=""),"",ROUND((C7901-B7901)*24,2))</f>
        <v>50.28</v>
      </c>
      <c r="N7901" s="38" t="str">
        <f>IF(OR(ISBLANK(C7901),C7901="",M7901=""),"In Progress",IF(M7901&lt;=J7901,"Met","Breached"))</f>
        <v>Breached</v>
      </c>
    </row>
    <row r="7902" ht="19" customHeight="1" spans="1:14" x14ac:dyDescent="0.25">
      <c r="A7902" s="19" t="s">
        <v>8016</v>
      </c>
      <c r="B7902" s="33">
        <v>45900.37291666667</v>
      </c>
      <c r="C7902" s="33">
        <v>45908.70486111111</v>
      </c>
      <c r="D7902" s="19" t="s">
        <v>33</v>
      </c>
      <c r="E7902" s="19" t="s">
        <v>69</v>
      </c>
      <c r="F7902" s="19" t="s">
        <v>37</v>
      </c>
      <c r="G7902" s="19" t="s">
        <v>110</v>
      </c>
      <c r="H7902" s="19" t="s">
        <v>67</v>
      </c>
      <c r="I7902" s="19" t="s">
        <v>111</v>
      </c>
      <c r="J7902" s="20">
        <v>120</v>
      </c>
      <c r="K7902" s="34">
        <v>0</v>
      </c>
      <c r="M7902" s="19">
        <f>IF(OR(ISBLANK(C7902),C7902=""),"",ROUND((C7902-B7902)*24,2))</f>
        <v>199.97</v>
      </c>
      <c r="N7902" s="39" t="str">
        <f>IF(OR(ISBLANK(C7902),C7902="",M7902=""),"In Progress",IF(M7902&lt;=J7902,"Met","Breached"))</f>
        <v>Breached</v>
      </c>
    </row>
    <row r="7903" ht="19" customHeight="1" spans="1:14" x14ac:dyDescent="0.25">
      <c r="A7903" s="22" t="s">
        <v>8017</v>
      </c>
      <c r="B7903" s="36">
        <v>45838.78611111111</v>
      </c>
      <c r="C7903" s="36">
        <v>45841.14722222222</v>
      </c>
      <c r="D7903" s="22" t="s">
        <v>33</v>
      </c>
      <c r="E7903" s="22" t="s">
        <v>65</v>
      </c>
      <c r="F7903" s="22" t="s">
        <v>45</v>
      </c>
      <c r="G7903" s="22" t="s">
        <v>126</v>
      </c>
      <c r="H7903" s="22" t="s">
        <v>71</v>
      </c>
      <c r="I7903" s="22" t="s">
        <v>117</v>
      </c>
      <c r="J7903" s="23">
        <v>48</v>
      </c>
      <c r="K7903" s="37">
        <v>0</v>
      </c>
      <c r="L7903" s="37">
        <v>3</v>
      </c>
      <c r="M7903" s="22">
        <f>IF(OR(ISBLANK(C7903),C7903=""),"",ROUND((C7903-B7903)*24,2))</f>
        <v>56.67</v>
      </c>
      <c r="N7903" s="38" t="str">
        <f>IF(OR(ISBLANK(C7903),C7903="",M7903=""),"In Progress",IF(M7903&lt;=J7903,"Met","Breached"))</f>
        <v>Breached</v>
      </c>
    </row>
    <row r="7904" ht="19" customHeight="1" spans="1:14" x14ac:dyDescent="0.25">
      <c r="A7904" s="19" t="s">
        <v>8018</v>
      </c>
      <c r="B7904" s="33">
        <v>45881.896527777775</v>
      </c>
      <c r="C7904" s="33">
        <v>45882.98472222222</v>
      </c>
      <c r="D7904" s="19" t="s">
        <v>33</v>
      </c>
      <c r="E7904" s="19" t="s">
        <v>65</v>
      </c>
      <c r="F7904" s="19" t="s">
        <v>40</v>
      </c>
      <c r="G7904" s="19" t="s">
        <v>116</v>
      </c>
      <c r="H7904" s="19" t="s">
        <v>67</v>
      </c>
      <c r="I7904" s="19" t="s">
        <v>147</v>
      </c>
      <c r="J7904" s="20">
        <v>48</v>
      </c>
      <c r="K7904" s="34">
        <v>0</v>
      </c>
      <c r="L7904" s="34">
        <v>4</v>
      </c>
      <c r="M7904" s="19">
        <f>IF(OR(ISBLANK(C7904),C7904=""),"",ROUND((C7904-B7904)*24,2))</f>
        <v>26.12</v>
      </c>
      <c r="N7904" s="35" t="str">
        <f>IF(OR(ISBLANK(C7904),C7904="",M7904=""),"In Progress",IF(M7904&lt;=J7904,"Met","Breached"))</f>
        <v>Met</v>
      </c>
    </row>
    <row r="7905" ht="19" customHeight="1" spans="1:14" x14ac:dyDescent="0.25">
      <c r="A7905" s="22" t="s">
        <v>8019</v>
      </c>
      <c r="B7905" s="36">
        <v>45710.07916666666</v>
      </c>
      <c r="C7905" s="36">
        <v>45713.43472222222</v>
      </c>
      <c r="D7905" s="22" t="s">
        <v>33</v>
      </c>
      <c r="E7905" s="22" t="s">
        <v>65</v>
      </c>
      <c r="F7905" s="22" t="s">
        <v>37</v>
      </c>
      <c r="G7905" s="22" t="s">
        <v>63</v>
      </c>
      <c r="H7905" s="22" t="s">
        <v>71</v>
      </c>
      <c r="I7905" s="22" t="s">
        <v>123</v>
      </c>
      <c r="J7905" s="23">
        <v>48</v>
      </c>
      <c r="K7905" s="37">
        <v>0</v>
      </c>
      <c r="L7905" s="37">
        <v>3</v>
      </c>
      <c r="M7905" s="22">
        <f>IF(OR(ISBLANK(C7905),C7905=""),"",ROUND((C7905-B7905)*24,2))</f>
        <v>80.53</v>
      </c>
      <c r="N7905" s="38" t="str">
        <f>IF(OR(ISBLANK(C7905),C7905="",M7905=""),"In Progress",IF(M7905&lt;=J7905,"Met","Breached"))</f>
        <v>Breached</v>
      </c>
    </row>
    <row r="7906" ht="19" customHeight="1" spans="1:14" x14ac:dyDescent="0.25">
      <c r="A7906" s="19" t="s">
        <v>8020</v>
      </c>
      <c r="B7906" s="33">
        <v>45717.370833333334</v>
      </c>
      <c r="C7906" s="33">
        <v>45718.57083333333</v>
      </c>
      <c r="D7906" s="19" t="s">
        <v>36</v>
      </c>
      <c r="E7906" s="19" t="s">
        <v>65</v>
      </c>
      <c r="F7906" s="19" t="s">
        <v>34</v>
      </c>
      <c r="G7906" s="19" t="s">
        <v>116</v>
      </c>
      <c r="H7906" s="19" t="s">
        <v>63</v>
      </c>
      <c r="I7906" s="19" t="s">
        <v>123</v>
      </c>
      <c r="J7906" s="20">
        <v>48</v>
      </c>
      <c r="K7906" s="34">
        <v>0</v>
      </c>
      <c r="L7906" s="34">
        <v>4</v>
      </c>
      <c r="M7906" s="19">
        <f>IF(OR(ISBLANK(C7906),C7906=""),"",ROUND((C7906-B7906)*24,2))</f>
        <v>28.8</v>
      </c>
      <c r="N7906" s="35" t="str">
        <f>IF(OR(ISBLANK(C7906),C7906="",M7906=""),"In Progress",IF(M7906&lt;=J7906,"Met","Breached"))</f>
        <v>Met</v>
      </c>
    </row>
    <row r="7907" ht="19" customHeight="1" spans="1:14" x14ac:dyDescent="0.25">
      <c r="A7907" s="22" t="s">
        <v>8021</v>
      </c>
      <c r="B7907" s="36">
        <v>46181.09583333333</v>
      </c>
      <c r="C7907" s="36">
        <v>46184.42847222222</v>
      </c>
      <c r="D7907" s="22" t="s">
        <v>33</v>
      </c>
      <c r="E7907" s="22" t="s">
        <v>65</v>
      </c>
      <c r="F7907" s="22" t="s">
        <v>37</v>
      </c>
      <c r="G7907" s="22" t="s">
        <v>126</v>
      </c>
      <c r="H7907" s="22" t="s">
        <v>67</v>
      </c>
      <c r="I7907" s="22" t="s">
        <v>114</v>
      </c>
      <c r="J7907" s="23">
        <v>48</v>
      </c>
      <c r="K7907" s="37">
        <v>0</v>
      </c>
      <c r="L7907" s="37">
        <v>5</v>
      </c>
      <c r="M7907" s="22">
        <f>IF(OR(ISBLANK(C7907),C7907=""),"",ROUND((C7907-B7907)*24,2))</f>
        <v>79.98</v>
      </c>
      <c r="N7907" s="38" t="str">
        <f>IF(OR(ISBLANK(C7907),C7907="",M7907=""),"In Progress",IF(M7907&lt;=J7907,"Met","Breached"))</f>
        <v>Breached</v>
      </c>
    </row>
    <row r="7908" ht="19" customHeight="1" spans="1:14" x14ac:dyDescent="0.25">
      <c r="A7908" s="19" t="s">
        <v>8022</v>
      </c>
      <c r="B7908" s="33">
        <v>45669.51944444445</v>
      </c>
      <c r="C7908" s="33">
        <v>45676.49930555555</v>
      </c>
      <c r="D7908" s="19" t="s">
        <v>33</v>
      </c>
      <c r="E7908" s="19" t="s">
        <v>69</v>
      </c>
      <c r="F7908" s="19" t="s">
        <v>40</v>
      </c>
      <c r="G7908" s="19" t="s">
        <v>116</v>
      </c>
      <c r="H7908" s="19" t="s">
        <v>71</v>
      </c>
      <c r="I7908" s="19" t="s">
        <v>123</v>
      </c>
      <c r="J7908" s="20">
        <v>120</v>
      </c>
      <c r="K7908" s="34">
        <v>0</v>
      </c>
      <c r="L7908" s="34">
        <v>5</v>
      </c>
      <c r="M7908" s="19">
        <f>IF(OR(ISBLANK(C7908),C7908=""),"",ROUND((C7908-B7908)*24,2))</f>
        <v>167.52</v>
      </c>
      <c r="N7908" s="39" t="str">
        <f>IF(OR(ISBLANK(C7908),C7908="",M7908=""),"In Progress",IF(M7908&lt;=J7908,"Met","Breached"))</f>
        <v>Breached</v>
      </c>
    </row>
    <row r="7909" ht="19" customHeight="1" spans="1:14" x14ac:dyDescent="0.25">
      <c r="A7909" s="22" t="s">
        <v>8023</v>
      </c>
      <c r="B7909" s="36">
        <v>45910.066666666666</v>
      </c>
      <c r="C7909" s="36">
        <v>45910.40625</v>
      </c>
      <c r="D7909" s="22" t="s">
        <v>36</v>
      </c>
      <c r="E7909" s="22" t="s">
        <v>61</v>
      </c>
      <c r="F7909" s="22" t="s">
        <v>43</v>
      </c>
      <c r="G7909" s="22" t="s">
        <v>113</v>
      </c>
      <c r="H7909" s="22" t="s">
        <v>59</v>
      </c>
      <c r="I7909" s="22" t="s">
        <v>114</v>
      </c>
      <c r="J7909" s="23">
        <v>12</v>
      </c>
      <c r="K7909" s="37">
        <v>0</v>
      </c>
      <c r="M7909" s="22">
        <f>IF(OR(ISBLANK(C7909),C7909=""),"",ROUND((C7909-B7909)*24,2))</f>
        <v>8.15</v>
      </c>
      <c r="N7909" s="40" t="str">
        <f>IF(OR(ISBLANK(C7909),C7909="",M7909=""),"In Progress",IF(M7909&lt;=J7909,"Met","Breached"))</f>
        <v>Met</v>
      </c>
    </row>
    <row r="7910" ht="19" customHeight="1" spans="1:14" x14ac:dyDescent="0.25">
      <c r="A7910" s="19" t="s">
        <v>8024</v>
      </c>
      <c r="B7910" s="33">
        <v>45839.228472222225</v>
      </c>
      <c r="D7910" s="19" t="s">
        <v>39</v>
      </c>
      <c r="E7910" s="19" t="s">
        <v>65</v>
      </c>
      <c r="F7910" s="19" t="s">
        <v>45</v>
      </c>
      <c r="G7910" s="19" t="s">
        <v>113</v>
      </c>
      <c r="H7910" s="19" t="s">
        <v>59</v>
      </c>
      <c r="I7910" s="19" t="s">
        <v>114</v>
      </c>
      <c r="J7910" s="20">
        <v>48</v>
      </c>
      <c r="K7910" s="34">
        <v>0</v>
      </c>
      <c r="M7910" s="19" t="str">
        <f>IF(OR(ISBLANK(C7910),C7910=""),"",ROUND((C7910-B7910)*24,2))</f>
        <v/>
      </c>
      <c r="N7910" s="19" t="str">
        <f>IF(OR(ISBLANK(C7910),C7910="",M7910=""),"In Progress",IF(M7910&lt;=J7910,"Met","Breached"))</f>
        <v>In Progress</v>
      </c>
    </row>
    <row r="7911" ht="19" customHeight="1" spans="1:14" x14ac:dyDescent="0.25">
      <c r="A7911" s="22" t="s">
        <v>8025</v>
      </c>
      <c r="B7911" s="36">
        <v>46019.100694444445</v>
      </c>
      <c r="C7911" s="36">
        <v>46023.84513888889</v>
      </c>
      <c r="D7911" s="22" t="s">
        <v>36</v>
      </c>
      <c r="E7911" s="22" t="s">
        <v>69</v>
      </c>
      <c r="F7911" s="22" t="s">
        <v>34</v>
      </c>
      <c r="G7911" s="22" t="s">
        <v>121</v>
      </c>
      <c r="H7911" s="22" t="s">
        <v>63</v>
      </c>
      <c r="I7911" s="22" t="s">
        <v>114</v>
      </c>
      <c r="J7911" s="23">
        <v>120</v>
      </c>
      <c r="K7911" s="37">
        <v>0</v>
      </c>
      <c r="M7911" s="22">
        <f>IF(OR(ISBLANK(C7911),C7911=""),"",ROUND((C7911-B7911)*24,2))</f>
        <v>113.87</v>
      </c>
      <c r="N7911" s="40" t="str">
        <f>IF(OR(ISBLANK(C7911),C7911="",M7911=""),"In Progress",IF(M7911&lt;=J7911,"Met","Breached"))</f>
        <v>Met</v>
      </c>
    </row>
    <row r="7912" ht="19" customHeight="1" spans="1:14" x14ac:dyDescent="0.25">
      <c r="A7912" s="19" t="s">
        <v>8026</v>
      </c>
      <c r="B7912" s="33">
        <v>45885.788194444445</v>
      </c>
      <c r="C7912" s="33">
        <v>45888.50347222222</v>
      </c>
      <c r="D7912" s="19" t="s">
        <v>33</v>
      </c>
      <c r="E7912" s="19" t="s">
        <v>65</v>
      </c>
      <c r="F7912" s="19" t="s">
        <v>40</v>
      </c>
      <c r="G7912" s="19" t="s">
        <v>116</v>
      </c>
      <c r="H7912" s="19" t="s">
        <v>63</v>
      </c>
      <c r="I7912" s="19" t="s">
        <v>114</v>
      </c>
      <c r="J7912" s="20">
        <v>48</v>
      </c>
      <c r="K7912" s="34">
        <v>0</v>
      </c>
      <c r="M7912" s="19">
        <f>IF(OR(ISBLANK(C7912),C7912=""),"",ROUND((C7912-B7912)*24,2))</f>
        <v>65.17</v>
      </c>
      <c r="N7912" s="39" t="str">
        <f>IF(OR(ISBLANK(C7912),C7912="",M7912=""),"In Progress",IF(M7912&lt;=J7912,"Met","Breached"))</f>
        <v>Breached</v>
      </c>
    </row>
    <row r="7913" ht="19" customHeight="1" spans="1:14" x14ac:dyDescent="0.25">
      <c r="A7913" s="22" t="s">
        <v>8027</v>
      </c>
      <c r="B7913" s="36">
        <v>45747.02222222222</v>
      </c>
      <c r="C7913" s="36">
        <v>45751.77638888889</v>
      </c>
      <c r="D7913" s="22" t="s">
        <v>36</v>
      </c>
      <c r="E7913" s="22" t="s">
        <v>69</v>
      </c>
      <c r="F7913" s="22" t="s">
        <v>40</v>
      </c>
      <c r="G7913" s="22" t="s">
        <v>116</v>
      </c>
      <c r="H7913" s="22" t="s">
        <v>63</v>
      </c>
      <c r="I7913" s="22" t="s">
        <v>147</v>
      </c>
      <c r="J7913" s="23">
        <v>120</v>
      </c>
      <c r="K7913" s="37">
        <v>0</v>
      </c>
      <c r="L7913" s="37">
        <v>3</v>
      </c>
      <c r="M7913" s="22">
        <f>IF(OR(ISBLANK(C7913),C7913=""),"",ROUND((C7913-B7913)*24,2))</f>
        <v>114.1</v>
      </c>
      <c r="N7913" s="40" t="str">
        <f>IF(OR(ISBLANK(C7913),C7913="",M7913=""),"In Progress",IF(M7913&lt;=J7913,"Met","Breached"))</f>
        <v>Met</v>
      </c>
    </row>
    <row r="7914" ht="19" customHeight="1" spans="1:14" x14ac:dyDescent="0.25">
      <c r="A7914" s="19" t="s">
        <v>8028</v>
      </c>
      <c r="B7914" s="33">
        <v>46115.555555555555</v>
      </c>
      <c r="D7914" s="19" t="s">
        <v>42</v>
      </c>
      <c r="E7914" s="19" t="s">
        <v>57</v>
      </c>
      <c r="F7914" s="19" t="s">
        <v>43</v>
      </c>
      <c r="G7914" s="19" t="s">
        <v>63</v>
      </c>
      <c r="H7914" s="19" t="s">
        <v>71</v>
      </c>
      <c r="I7914" s="19" t="s">
        <v>147</v>
      </c>
      <c r="J7914" s="20">
        <v>4</v>
      </c>
      <c r="K7914" s="34">
        <v>0</v>
      </c>
      <c r="M7914" s="19" t="str">
        <f>IF(OR(ISBLANK(C7914),C7914=""),"",ROUND((C7914-B7914)*24,2))</f>
        <v/>
      </c>
      <c r="N7914" s="19" t="str">
        <f>IF(OR(ISBLANK(C7914),C7914="",M7914=""),"In Progress",IF(M7914&lt;=J7914,"Met","Breached"))</f>
        <v>In Progress</v>
      </c>
    </row>
    <row r="7915" ht="19" customHeight="1" spans="1:14" x14ac:dyDescent="0.25">
      <c r="A7915" s="22" t="s">
        <v>8029</v>
      </c>
      <c r="B7915" s="36">
        <v>45710.33263888889</v>
      </c>
      <c r="C7915" s="36">
        <v>45711.20277777778</v>
      </c>
      <c r="D7915" s="22" t="s">
        <v>33</v>
      </c>
      <c r="E7915" s="22" t="s">
        <v>65</v>
      </c>
      <c r="F7915" s="22" t="s">
        <v>43</v>
      </c>
      <c r="G7915" s="22" t="s">
        <v>110</v>
      </c>
      <c r="H7915" s="22" t="s">
        <v>63</v>
      </c>
      <c r="I7915" s="22" t="s">
        <v>108</v>
      </c>
      <c r="J7915" s="23">
        <v>48</v>
      </c>
      <c r="K7915" s="37">
        <v>0</v>
      </c>
      <c r="L7915" s="37">
        <v>3</v>
      </c>
      <c r="M7915" s="22">
        <f>IF(OR(ISBLANK(C7915),C7915=""),"",ROUND((C7915-B7915)*24,2))</f>
        <v>20.88</v>
      </c>
      <c r="N7915" s="40" t="str">
        <f>IF(OR(ISBLANK(C7915),C7915="",M7915=""),"In Progress",IF(M7915&lt;=J7915,"Met","Breached"))</f>
        <v>Met</v>
      </c>
    </row>
    <row r="7916" ht="19" customHeight="1" spans="1:14" x14ac:dyDescent="0.25">
      <c r="A7916" s="19" t="s">
        <v>8030</v>
      </c>
      <c r="B7916" s="33">
        <v>46260.518055555556</v>
      </c>
      <c r="D7916" s="19" t="s">
        <v>39</v>
      </c>
      <c r="E7916" s="19" t="s">
        <v>61</v>
      </c>
      <c r="F7916" s="19" t="s">
        <v>34</v>
      </c>
      <c r="G7916" s="19" t="s">
        <v>116</v>
      </c>
      <c r="H7916" s="19" t="s">
        <v>63</v>
      </c>
      <c r="I7916" s="19" t="s">
        <v>114</v>
      </c>
      <c r="J7916" s="20">
        <v>12</v>
      </c>
      <c r="K7916" s="34">
        <v>0</v>
      </c>
      <c r="M7916" s="19" t="str">
        <f>IF(OR(ISBLANK(C7916),C7916=""),"",ROUND((C7916-B7916)*24,2))</f>
        <v/>
      </c>
      <c r="N7916" s="19" t="str">
        <f>IF(OR(ISBLANK(C7916),C7916="",M7916=""),"In Progress",IF(M7916&lt;=J7916,"Met","Breached"))</f>
        <v>In Progress</v>
      </c>
    </row>
    <row r="7917" ht="19" customHeight="1" spans="1:14" x14ac:dyDescent="0.25">
      <c r="A7917" s="22" t="s">
        <v>8031</v>
      </c>
      <c r="B7917" s="36">
        <v>46284.96875</v>
      </c>
      <c r="C7917" s="36">
        <v>46285.25277777778</v>
      </c>
      <c r="D7917" s="22" t="s">
        <v>33</v>
      </c>
      <c r="E7917" s="22" t="s">
        <v>61</v>
      </c>
      <c r="F7917" s="22" t="s">
        <v>43</v>
      </c>
      <c r="G7917" s="22" t="s">
        <v>110</v>
      </c>
      <c r="H7917" s="22" t="s">
        <v>63</v>
      </c>
      <c r="I7917" s="22" t="s">
        <v>108</v>
      </c>
      <c r="J7917" s="23">
        <v>12</v>
      </c>
      <c r="K7917" s="37">
        <v>0</v>
      </c>
      <c r="M7917" s="22">
        <f>IF(OR(ISBLANK(C7917),C7917=""),"",ROUND((C7917-B7917)*24,2))</f>
        <v>6.82</v>
      </c>
      <c r="N7917" s="40" t="str">
        <f>IF(OR(ISBLANK(C7917),C7917="",M7917=""),"In Progress",IF(M7917&lt;=J7917,"Met","Breached"))</f>
        <v>Met</v>
      </c>
    </row>
    <row r="7918" ht="19" customHeight="1" spans="1:14" x14ac:dyDescent="0.25">
      <c r="A7918" s="19" t="s">
        <v>8032</v>
      </c>
      <c r="B7918" s="33">
        <v>46021.27222222222</v>
      </c>
      <c r="C7918" s="33">
        <v>46021.540972222225</v>
      </c>
      <c r="D7918" s="19" t="s">
        <v>33</v>
      </c>
      <c r="E7918" s="19" t="s">
        <v>57</v>
      </c>
      <c r="F7918" s="19" t="s">
        <v>40</v>
      </c>
      <c r="G7918" s="19" t="s">
        <v>113</v>
      </c>
      <c r="H7918" s="19" t="s">
        <v>59</v>
      </c>
      <c r="I7918" s="19" t="s">
        <v>114</v>
      </c>
      <c r="J7918" s="20">
        <v>4</v>
      </c>
      <c r="K7918" s="34">
        <v>1</v>
      </c>
      <c r="L7918" s="34">
        <v>4</v>
      </c>
      <c r="M7918" s="19">
        <f>IF(OR(ISBLANK(C7918),C7918=""),"",ROUND((C7918-B7918)*24,2))</f>
        <v>6.45</v>
      </c>
      <c r="N7918" s="39" t="str">
        <f>IF(OR(ISBLANK(C7918),C7918="",M7918=""),"In Progress",IF(M7918&lt;=J7918,"Met","Breached"))</f>
        <v>Breached</v>
      </c>
    </row>
    <row r="7919" ht="19" customHeight="1" spans="1:14" x14ac:dyDescent="0.25">
      <c r="A7919" s="22" t="s">
        <v>8033</v>
      </c>
      <c r="B7919" s="36">
        <v>46269.94861111111</v>
      </c>
      <c r="C7919" s="36">
        <v>46272.56180555555</v>
      </c>
      <c r="D7919" s="22" t="s">
        <v>33</v>
      </c>
      <c r="E7919" s="22" t="s">
        <v>65</v>
      </c>
      <c r="F7919" s="22" t="s">
        <v>37</v>
      </c>
      <c r="G7919" s="22" t="s">
        <v>63</v>
      </c>
      <c r="H7919" s="22" t="s">
        <v>59</v>
      </c>
      <c r="I7919" s="22" t="s">
        <v>114</v>
      </c>
      <c r="J7919" s="23">
        <v>48</v>
      </c>
      <c r="K7919" s="37">
        <v>0</v>
      </c>
      <c r="L7919" s="37">
        <v>3</v>
      </c>
      <c r="M7919" s="22">
        <f>IF(OR(ISBLANK(C7919),C7919=""),"",ROUND((C7919-B7919)*24,2))</f>
        <v>62.72</v>
      </c>
      <c r="N7919" s="38" t="str">
        <f>IF(OR(ISBLANK(C7919),C7919="",M7919=""),"In Progress",IF(M7919&lt;=J7919,"Met","Breached"))</f>
        <v>Breached</v>
      </c>
    </row>
    <row r="7920" ht="19" customHeight="1" spans="1:14" x14ac:dyDescent="0.25">
      <c r="A7920" s="19" t="s">
        <v>8034</v>
      </c>
      <c r="B7920" s="33">
        <v>45885.30763888889</v>
      </c>
      <c r="D7920" s="19" t="s">
        <v>42</v>
      </c>
      <c r="E7920" s="19" t="s">
        <v>69</v>
      </c>
      <c r="F7920" s="19" t="s">
        <v>34</v>
      </c>
      <c r="G7920" s="19" t="s">
        <v>126</v>
      </c>
      <c r="H7920" s="19" t="s">
        <v>59</v>
      </c>
      <c r="I7920" s="19" t="s">
        <v>111</v>
      </c>
      <c r="J7920" s="20">
        <v>120</v>
      </c>
      <c r="K7920" s="34">
        <v>0</v>
      </c>
      <c r="M7920" s="19" t="str">
        <f>IF(OR(ISBLANK(C7920),C7920=""),"",ROUND((C7920-B7920)*24,2))</f>
        <v/>
      </c>
      <c r="N7920" s="19" t="str">
        <f>IF(OR(ISBLANK(C7920),C7920="",M7920=""),"In Progress",IF(M7920&lt;=J7920,"Met","Breached"))</f>
        <v>In Progress</v>
      </c>
    </row>
    <row r="7921" ht="19" customHeight="1" spans="1:14" x14ac:dyDescent="0.25">
      <c r="A7921" s="22" t="s">
        <v>8035</v>
      </c>
      <c r="B7921" s="36">
        <v>45698.07847222222</v>
      </c>
      <c r="C7921" s="36">
        <v>45698.31041666667</v>
      </c>
      <c r="D7921" s="22" t="s">
        <v>33</v>
      </c>
      <c r="E7921" s="22" t="s">
        <v>57</v>
      </c>
      <c r="F7921" s="22" t="s">
        <v>40</v>
      </c>
      <c r="G7921" s="22" t="s">
        <v>63</v>
      </c>
      <c r="H7921" s="22" t="s">
        <v>63</v>
      </c>
      <c r="I7921" s="22" t="s">
        <v>147</v>
      </c>
      <c r="J7921" s="23">
        <v>4</v>
      </c>
      <c r="K7921" s="37">
        <v>0</v>
      </c>
      <c r="M7921" s="22">
        <f>IF(OR(ISBLANK(C7921),C7921=""),"",ROUND((C7921-B7921)*24,2))</f>
        <v>5.57</v>
      </c>
      <c r="N7921" s="38" t="str">
        <f>IF(OR(ISBLANK(C7921),C7921="",M7921=""),"In Progress",IF(M7921&lt;=J7921,"Met","Breached"))</f>
        <v>Breached</v>
      </c>
    </row>
    <row r="7922" ht="19" customHeight="1" spans="1:14" x14ac:dyDescent="0.25">
      <c r="A7922" s="19" t="s">
        <v>8036</v>
      </c>
      <c r="B7922" s="33">
        <v>45751.611805555556</v>
      </c>
      <c r="C7922" s="33">
        <v>45751.82708333334</v>
      </c>
      <c r="D7922" s="19" t="s">
        <v>33</v>
      </c>
      <c r="E7922" s="19" t="s">
        <v>61</v>
      </c>
      <c r="F7922" s="19" t="s">
        <v>43</v>
      </c>
      <c r="G7922" s="19" t="s">
        <v>121</v>
      </c>
      <c r="H7922" s="19" t="s">
        <v>71</v>
      </c>
      <c r="I7922" s="19" t="s">
        <v>108</v>
      </c>
      <c r="J7922" s="20">
        <v>12</v>
      </c>
      <c r="K7922" s="34">
        <v>0</v>
      </c>
      <c r="M7922" s="19">
        <f>IF(OR(ISBLANK(C7922),C7922=""),"",ROUND((C7922-B7922)*24,2))</f>
        <v>5.17</v>
      </c>
      <c r="N7922" s="35" t="str">
        <f>IF(OR(ISBLANK(C7922),C7922="",M7922=""),"In Progress",IF(M7922&lt;=J7922,"Met","Breached"))</f>
        <v>Met</v>
      </c>
    </row>
    <row r="7923" ht="19" customHeight="1" spans="1:14" x14ac:dyDescent="0.25">
      <c r="A7923" s="22" t="s">
        <v>8037</v>
      </c>
      <c r="B7923" s="36">
        <v>45929.61944444444</v>
      </c>
      <c r="D7923" s="22" t="s">
        <v>39</v>
      </c>
      <c r="E7923" s="22" t="s">
        <v>65</v>
      </c>
      <c r="F7923" s="22" t="s">
        <v>34</v>
      </c>
      <c r="G7923" s="22" t="s">
        <v>110</v>
      </c>
      <c r="H7923" s="22" t="s">
        <v>63</v>
      </c>
      <c r="I7923" s="22" t="s">
        <v>147</v>
      </c>
      <c r="J7923" s="23">
        <v>48</v>
      </c>
      <c r="K7923" s="37">
        <v>0</v>
      </c>
      <c r="M7923" s="22" t="str">
        <f>IF(OR(ISBLANK(C7923),C7923=""),"",ROUND((C7923-B7923)*24,2))</f>
        <v/>
      </c>
      <c r="N7923" s="22" t="str">
        <f>IF(OR(ISBLANK(C7923),C7923="",M7923=""),"In Progress",IF(M7923&lt;=J7923,"Met","Breached"))</f>
        <v>In Progress</v>
      </c>
    </row>
    <row r="7924" ht="19" customHeight="1" spans="1:14" x14ac:dyDescent="0.25">
      <c r="A7924" s="19" t="s">
        <v>8038</v>
      </c>
      <c r="B7924" s="33">
        <v>45871.42569444445</v>
      </c>
      <c r="C7924" s="33">
        <v>45880.00833333333</v>
      </c>
      <c r="D7924" s="19" t="s">
        <v>36</v>
      </c>
      <c r="E7924" s="19" t="s">
        <v>69</v>
      </c>
      <c r="F7924" s="19" t="s">
        <v>45</v>
      </c>
      <c r="G7924" s="19" t="s">
        <v>110</v>
      </c>
      <c r="H7924" s="19" t="s">
        <v>59</v>
      </c>
      <c r="I7924" s="19" t="s">
        <v>123</v>
      </c>
      <c r="J7924" s="20">
        <v>120</v>
      </c>
      <c r="K7924" s="34">
        <v>0</v>
      </c>
      <c r="L7924" s="34">
        <v>2</v>
      </c>
      <c r="M7924" s="19">
        <f>IF(OR(ISBLANK(C7924),C7924=""),"",ROUND((C7924-B7924)*24,2))</f>
        <v>205.98</v>
      </c>
      <c r="N7924" s="39" t="str">
        <f>IF(OR(ISBLANK(C7924),C7924="",M7924=""),"In Progress",IF(M7924&lt;=J7924,"Met","Breached"))</f>
        <v>Breached</v>
      </c>
    </row>
    <row r="7925" ht="19" customHeight="1" spans="1:14" x14ac:dyDescent="0.25">
      <c r="A7925" s="22" t="s">
        <v>8039</v>
      </c>
      <c r="B7925" s="36">
        <v>46261.74652777778</v>
      </c>
      <c r="C7925" s="36">
        <v>46262.11944444444</v>
      </c>
      <c r="D7925" s="22" t="s">
        <v>33</v>
      </c>
      <c r="E7925" s="22" t="s">
        <v>61</v>
      </c>
      <c r="F7925" s="22" t="s">
        <v>43</v>
      </c>
      <c r="G7925" s="22" t="s">
        <v>116</v>
      </c>
      <c r="H7925" s="22" t="s">
        <v>59</v>
      </c>
      <c r="I7925" s="22" t="s">
        <v>147</v>
      </c>
      <c r="J7925" s="23">
        <v>12</v>
      </c>
      <c r="K7925" s="37">
        <v>0</v>
      </c>
      <c r="L7925" s="37">
        <v>3</v>
      </c>
      <c r="M7925" s="22">
        <f>IF(OR(ISBLANK(C7925),C7925=""),"",ROUND((C7925-B7925)*24,2))</f>
        <v>8.95</v>
      </c>
      <c r="N7925" s="40" t="str">
        <f>IF(OR(ISBLANK(C7925),C7925="",M7925=""),"In Progress",IF(M7925&lt;=J7925,"Met","Breached"))</f>
        <v>Met</v>
      </c>
    </row>
    <row r="7926" ht="19" customHeight="1" spans="1:14" x14ac:dyDescent="0.25">
      <c r="A7926" s="19" t="s">
        <v>8040</v>
      </c>
      <c r="B7926" s="33">
        <v>46236.07430555555</v>
      </c>
      <c r="C7926" s="33">
        <v>46239.13333333333</v>
      </c>
      <c r="D7926" s="19" t="s">
        <v>36</v>
      </c>
      <c r="E7926" s="19" t="s">
        <v>65</v>
      </c>
      <c r="F7926" s="19" t="s">
        <v>37</v>
      </c>
      <c r="G7926" s="19" t="s">
        <v>110</v>
      </c>
      <c r="H7926" s="19" t="s">
        <v>63</v>
      </c>
      <c r="I7926" s="19" t="s">
        <v>147</v>
      </c>
      <c r="J7926" s="20">
        <v>48</v>
      </c>
      <c r="K7926" s="34">
        <v>0</v>
      </c>
      <c r="M7926" s="19">
        <f>IF(OR(ISBLANK(C7926),C7926=""),"",ROUND((C7926-B7926)*24,2))</f>
        <v>73.42</v>
      </c>
      <c r="N7926" s="39" t="str">
        <f>IF(OR(ISBLANK(C7926),C7926="",M7926=""),"In Progress",IF(M7926&lt;=J7926,"Met","Breached"))</f>
        <v>Breached</v>
      </c>
    </row>
    <row r="7927" ht="19" customHeight="1" spans="1:14" x14ac:dyDescent="0.25">
      <c r="A7927" s="22" t="s">
        <v>8041</v>
      </c>
      <c r="B7927" s="36">
        <v>46118.89236111111</v>
      </c>
      <c r="C7927" s="36">
        <v>46126.90347222222</v>
      </c>
      <c r="D7927" s="22" t="s">
        <v>33</v>
      </c>
      <c r="E7927" s="22" t="s">
        <v>69</v>
      </c>
      <c r="F7927" s="22" t="s">
        <v>34</v>
      </c>
      <c r="G7927" s="22" t="s">
        <v>110</v>
      </c>
      <c r="H7927" s="22" t="s">
        <v>59</v>
      </c>
      <c r="I7927" s="22" t="s">
        <v>108</v>
      </c>
      <c r="J7927" s="23">
        <v>120</v>
      </c>
      <c r="K7927" s="37">
        <v>0</v>
      </c>
      <c r="M7927" s="22">
        <f>IF(OR(ISBLANK(C7927),C7927=""),"",ROUND((C7927-B7927)*24,2))</f>
        <v>192.27</v>
      </c>
      <c r="N7927" s="38" t="str">
        <f>IF(OR(ISBLANK(C7927),C7927="",M7927=""),"In Progress",IF(M7927&lt;=J7927,"Met","Breached"))</f>
        <v>Breached</v>
      </c>
    </row>
    <row r="7928" ht="19" customHeight="1" spans="1:14" x14ac:dyDescent="0.25">
      <c r="A7928" s="19" t="s">
        <v>8042</v>
      </c>
      <c r="B7928" s="33">
        <v>46284.71388888889</v>
      </c>
      <c r="D7928" s="19" t="s">
        <v>39</v>
      </c>
      <c r="E7928" s="19" t="s">
        <v>65</v>
      </c>
      <c r="F7928" s="19" t="s">
        <v>37</v>
      </c>
      <c r="G7928" s="19" t="s">
        <v>110</v>
      </c>
      <c r="H7928" s="19" t="s">
        <v>63</v>
      </c>
      <c r="I7928" s="19" t="s">
        <v>117</v>
      </c>
      <c r="J7928" s="20">
        <v>48</v>
      </c>
      <c r="K7928" s="34">
        <v>0</v>
      </c>
      <c r="M7928" s="19" t="str">
        <f>IF(OR(ISBLANK(C7928),C7928=""),"",ROUND((C7928-B7928)*24,2))</f>
        <v/>
      </c>
      <c r="N7928" s="19" t="str">
        <f>IF(OR(ISBLANK(C7928),C7928="",M7928=""),"In Progress",IF(M7928&lt;=J7928,"Met","Breached"))</f>
        <v>In Progress</v>
      </c>
    </row>
    <row r="7929" ht="19" customHeight="1" spans="1:14" x14ac:dyDescent="0.25">
      <c r="A7929" s="22" t="s">
        <v>8043</v>
      </c>
      <c r="B7929" s="36">
        <v>46247.86458333333</v>
      </c>
      <c r="C7929" s="36">
        <v>46248.17569444445</v>
      </c>
      <c r="D7929" s="22" t="s">
        <v>36</v>
      </c>
      <c r="E7929" s="22" t="s">
        <v>61</v>
      </c>
      <c r="F7929" s="22" t="s">
        <v>37</v>
      </c>
      <c r="G7929" s="22" t="s">
        <v>121</v>
      </c>
      <c r="H7929" s="22" t="s">
        <v>67</v>
      </c>
      <c r="I7929" s="22" t="s">
        <v>123</v>
      </c>
      <c r="J7929" s="23">
        <v>12</v>
      </c>
      <c r="K7929" s="37">
        <v>0</v>
      </c>
      <c r="M7929" s="22">
        <f>IF(OR(ISBLANK(C7929),C7929=""),"",ROUND((C7929-B7929)*24,2))</f>
        <v>7.47</v>
      </c>
      <c r="N7929" s="40" t="str">
        <f>IF(OR(ISBLANK(C7929),C7929="",M7929=""),"In Progress",IF(M7929&lt;=J7929,"Met","Breached"))</f>
        <v>Met</v>
      </c>
    </row>
    <row r="7930" ht="19" customHeight="1" spans="1:14" x14ac:dyDescent="0.25">
      <c r="A7930" s="19" t="s">
        <v>8044</v>
      </c>
      <c r="B7930" s="33">
        <v>46235.20208333334</v>
      </c>
      <c r="C7930" s="33">
        <v>46238.46875</v>
      </c>
      <c r="D7930" s="19" t="s">
        <v>33</v>
      </c>
      <c r="E7930" s="19" t="s">
        <v>65</v>
      </c>
      <c r="F7930" s="19" t="s">
        <v>34</v>
      </c>
      <c r="G7930" s="19" t="s">
        <v>113</v>
      </c>
      <c r="H7930" s="19" t="s">
        <v>59</v>
      </c>
      <c r="I7930" s="19" t="s">
        <v>108</v>
      </c>
      <c r="J7930" s="20">
        <v>48</v>
      </c>
      <c r="K7930" s="34">
        <v>1</v>
      </c>
      <c r="M7930" s="19">
        <f>IF(OR(ISBLANK(C7930),C7930=""),"",ROUND((C7930-B7930)*24,2))</f>
        <v>78.4</v>
      </c>
      <c r="N7930" s="39" t="str">
        <f>IF(OR(ISBLANK(C7930),C7930="",M7930=""),"In Progress",IF(M7930&lt;=J7930,"Met","Breached"))</f>
        <v>Breached</v>
      </c>
    </row>
    <row r="7931" ht="19" customHeight="1" spans="1:14" x14ac:dyDescent="0.25">
      <c r="A7931" s="22" t="s">
        <v>8045</v>
      </c>
      <c r="B7931" s="36">
        <v>46010.80347222222</v>
      </c>
      <c r="C7931" s="36">
        <v>46013.50277777778</v>
      </c>
      <c r="D7931" s="22" t="s">
        <v>33</v>
      </c>
      <c r="E7931" s="22" t="s">
        <v>65</v>
      </c>
      <c r="F7931" s="22" t="s">
        <v>37</v>
      </c>
      <c r="G7931" s="22" t="s">
        <v>113</v>
      </c>
      <c r="H7931" s="22" t="s">
        <v>71</v>
      </c>
      <c r="I7931" s="22" t="s">
        <v>114</v>
      </c>
      <c r="J7931" s="23">
        <v>48</v>
      </c>
      <c r="K7931" s="37">
        <v>0</v>
      </c>
      <c r="L7931" s="37">
        <v>2</v>
      </c>
      <c r="M7931" s="22">
        <f>IF(OR(ISBLANK(C7931),C7931=""),"",ROUND((C7931-B7931)*24,2))</f>
        <v>64.78</v>
      </c>
      <c r="N7931" s="38" t="str">
        <f>IF(OR(ISBLANK(C7931),C7931="",M7931=""),"In Progress",IF(M7931&lt;=J7931,"Met","Breached"))</f>
        <v>Breached</v>
      </c>
    </row>
    <row r="7932" ht="19" customHeight="1" spans="1:14" x14ac:dyDescent="0.25">
      <c r="A7932" s="19" t="s">
        <v>8046</v>
      </c>
      <c r="B7932" s="33">
        <v>45834.69652777778</v>
      </c>
      <c r="D7932" s="19" t="s">
        <v>39</v>
      </c>
      <c r="E7932" s="19" t="s">
        <v>69</v>
      </c>
      <c r="F7932" s="19" t="s">
        <v>40</v>
      </c>
      <c r="G7932" s="19" t="s">
        <v>63</v>
      </c>
      <c r="H7932" s="19" t="s">
        <v>59</v>
      </c>
      <c r="I7932" s="19" t="s">
        <v>147</v>
      </c>
      <c r="J7932" s="20">
        <v>120</v>
      </c>
      <c r="K7932" s="34">
        <v>0</v>
      </c>
      <c r="M7932" s="19" t="str">
        <f>IF(OR(ISBLANK(C7932),C7932=""),"",ROUND((C7932-B7932)*24,2))</f>
        <v/>
      </c>
      <c r="N7932" s="19" t="str">
        <f>IF(OR(ISBLANK(C7932),C7932="",M7932=""),"In Progress",IF(M7932&lt;=J7932,"Met","Breached"))</f>
        <v>In Progress</v>
      </c>
    </row>
    <row r="7933" ht="19" customHeight="1" spans="1:14" x14ac:dyDescent="0.25">
      <c r="A7933" s="22" t="s">
        <v>8047</v>
      </c>
      <c r="B7933" s="36">
        <v>46083.05972222222</v>
      </c>
      <c r="D7933" s="22" t="s">
        <v>39</v>
      </c>
      <c r="E7933" s="22" t="s">
        <v>65</v>
      </c>
      <c r="F7933" s="22" t="s">
        <v>43</v>
      </c>
      <c r="G7933" s="22" t="s">
        <v>121</v>
      </c>
      <c r="H7933" s="22" t="s">
        <v>67</v>
      </c>
      <c r="I7933" s="22" t="s">
        <v>147</v>
      </c>
      <c r="J7933" s="23">
        <v>48</v>
      </c>
      <c r="K7933" s="37">
        <v>0</v>
      </c>
      <c r="M7933" s="22" t="str">
        <f>IF(OR(ISBLANK(C7933),C7933=""),"",ROUND((C7933-B7933)*24,2))</f>
        <v/>
      </c>
      <c r="N7933" s="22" t="str">
        <f>IF(OR(ISBLANK(C7933),C7933="",M7933=""),"In Progress",IF(M7933&lt;=J7933,"Met","Breached"))</f>
        <v>In Progress</v>
      </c>
    </row>
    <row r="7934" ht="19" customHeight="1" spans="1:14" x14ac:dyDescent="0.25">
      <c r="A7934" s="19" t="s">
        <v>8048</v>
      </c>
      <c r="B7934" s="33">
        <v>46006.59444444445</v>
      </c>
      <c r="C7934" s="33">
        <v>46007.28402777778</v>
      </c>
      <c r="D7934" s="19" t="s">
        <v>36</v>
      </c>
      <c r="E7934" s="19" t="s">
        <v>65</v>
      </c>
      <c r="F7934" s="19" t="s">
        <v>43</v>
      </c>
      <c r="G7934" s="19" t="s">
        <v>121</v>
      </c>
      <c r="H7934" s="19" t="s">
        <v>59</v>
      </c>
      <c r="I7934" s="19" t="s">
        <v>147</v>
      </c>
      <c r="J7934" s="20">
        <v>48</v>
      </c>
      <c r="K7934" s="34">
        <v>0</v>
      </c>
      <c r="L7934" s="34">
        <v>2</v>
      </c>
      <c r="M7934" s="19">
        <f>IF(OR(ISBLANK(C7934),C7934=""),"",ROUND((C7934-B7934)*24,2))</f>
        <v>16.55</v>
      </c>
      <c r="N7934" s="35" t="str">
        <f>IF(OR(ISBLANK(C7934),C7934="",M7934=""),"In Progress",IF(M7934&lt;=J7934,"Met","Breached"))</f>
        <v>Met</v>
      </c>
    </row>
    <row r="7935" ht="19" customHeight="1" spans="1:14" x14ac:dyDescent="0.25">
      <c r="A7935" s="22" t="s">
        <v>8049</v>
      </c>
      <c r="B7935" s="36">
        <v>45857.17708333333</v>
      </c>
      <c r="C7935" s="36">
        <v>45861.888194444444</v>
      </c>
      <c r="D7935" s="22" t="s">
        <v>36</v>
      </c>
      <c r="E7935" s="22" t="s">
        <v>69</v>
      </c>
      <c r="F7935" s="22" t="s">
        <v>45</v>
      </c>
      <c r="G7935" s="22" t="s">
        <v>126</v>
      </c>
      <c r="H7935" s="22" t="s">
        <v>59</v>
      </c>
      <c r="I7935" s="22" t="s">
        <v>117</v>
      </c>
      <c r="J7935" s="23">
        <v>120</v>
      </c>
      <c r="K7935" s="37">
        <v>0</v>
      </c>
      <c r="L7935" s="37">
        <v>5</v>
      </c>
      <c r="M7935" s="22">
        <f>IF(OR(ISBLANK(C7935),C7935=""),"",ROUND((C7935-B7935)*24,2))</f>
        <v>113.07</v>
      </c>
      <c r="N7935" s="40" t="str">
        <f>IF(OR(ISBLANK(C7935),C7935="",M7935=""),"In Progress",IF(M7935&lt;=J7935,"Met","Breached"))</f>
        <v>Met</v>
      </c>
    </row>
    <row r="7936" ht="19" customHeight="1" spans="1:14" x14ac:dyDescent="0.25">
      <c r="A7936" s="19" t="s">
        <v>8050</v>
      </c>
      <c r="B7936" s="33">
        <v>45758.97013888889</v>
      </c>
      <c r="D7936" s="19" t="s">
        <v>42</v>
      </c>
      <c r="E7936" s="19" t="s">
        <v>69</v>
      </c>
      <c r="F7936" s="19" t="s">
        <v>43</v>
      </c>
      <c r="G7936" s="19" t="s">
        <v>63</v>
      </c>
      <c r="H7936" s="19" t="s">
        <v>59</v>
      </c>
      <c r="I7936" s="19" t="s">
        <v>108</v>
      </c>
      <c r="J7936" s="20">
        <v>120</v>
      </c>
      <c r="K7936" s="34">
        <v>0</v>
      </c>
      <c r="M7936" s="19" t="str">
        <f>IF(OR(ISBLANK(C7936),C7936=""),"",ROUND((C7936-B7936)*24,2))</f>
        <v/>
      </c>
      <c r="N7936" s="19" t="str">
        <f>IF(OR(ISBLANK(C7936),C7936="",M7936=""),"In Progress",IF(M7936&lt;=J7936,"Met","Breached"))</f>
        <v>In Progress</v>
      </c>
    </row>
    <row r="7937" ht="19" customHeight="1" spans="1:14" x14ac:dyDescent="0.25">
      <c r="A7937" s="22" t="s">
        <v>8051</v>
      </c>
      <c r="B7937" s="36">
        <v>45972.11875</v>
      </c>
      <c r="C7937" s="36">
        <v>45979.67916666667</v>
      </c>
      <c r="D7937" s="22" t="s">
        <v>33</v>
      </c>
      <c r="E7937" s="22" t="s">
        <v>69</v>
      </c>
      <c r="F7937" s="22" t="s">
        <v>37</v>
      </c>
      <c r="G7937" s="22" t="s">
        <v>126</v>
      </c>
      <c r="H7937" s="22" t="s">
        <v>71</v>
      </c>
      <c r="I7937" s="22" t="s">
        <v>123</v>
      </c>
      <c r="J7937" s="23">
        <v>120</v>
      </c>
      <c r="K7937" s="37">
        <v>0</v>
      </c>
      <c r="L7937" s="37">
        <v>4</v>
      </c>
      <c r="M7937" s="22">
        <f>IF(OR(ISBLANK(C7937),C7937=""),"",ROUND((C7937-B7937)*24,2))</f>
        <v>181.45</v>
      </c>
      <c r="N7937" s="38" t="str">
        <f>IF(OR(ISBLANK(C7937),C7937="",M7937=""),"In Progress",IF(M7937&lt;=J7937,"Met","Breached"))</f>
        <v>Breached</v>
      </c>
    </row>
    <row r="7938" ht="19" customHeight="1" spans="1:14" x14ac:dyDescent="0.25">
      <c r="A7938" s="19" t="s">
        <v>8052</v>
      </c>
      <c r="B7938" s="33">
        <v>46108.12847222222</v>
      </c>
      <c r="C7938" s="33">
        <v>46115.71736111111</v>
      </c>
      <c r="D7938" s="19" t="s">
        <v>36</v>
      </c>
      <c r="E7938" s="19" t="s">
        <v>69</v>
      </c>
      <c r="F7938" s="19" t="s">
        <v>43</v>
      </c>
      <c r="G7938" s="19" t="s">
        <v>63</v>
      </c>
      <c r="H7938" s="19" t="s">
        <v>63</v>
      </c>
      <c r="I7938" s="19" t="s">
        <v>147</v>
      </c>
      <c r="J7938" s="20">
        <v>120</v>
      </c>
      <c r="K7938" s="34">
        <v>0</v>
      </c>
      <c r="L7938" s="34">
        <v>4</v>
      </c>
      <c r="M7938" s="19">
        <f>IF(OR(ISBLANK(C7938),C7938=""),"",ROUND((C7938-B7938)*24,2))</f>
        <v>182.13</v>
      </c>
      <c r="N7938" s="39" t="str">
        <f>IF(OR(ISBLANK(C7938),C7938="",M7938=""),"In Progress",IF(M7938&lt;=J7938,"Met","Breached"))</f>
        <v>Breached</v>
      </c>
    </row>
    <row r="7939" ht="19" customHeight="1" spans="1:14" x14ac:dyDescent="0.25">
      <c r="A7939" s="22" t="s">
        <v>8053</v>
      </c>
      <c r="B7939" s="36">
        <v>46116.50138888889</v>
      </c>
      <c r="C7939" s="36">
        <v>46119.31875</v>
      </c>
      <c r="D7939" s="22" t="s">
        <v>36</v>
      </c>
      <c r="E7939" s="22" t="s">
        <v>65</v>
      </c>
      <c r="F7939" s="22" t="s">
        <v>34</v>
      </c>
      <c r="G7939" s="22" t="s">
        <v>121</v>
      </c>
      <c r="H7939" s="22" t="s">
        <v>59</v>
      </c>
      <c r="I7939" s="22" t="s">
        <v>123</v>
      </c>
      <c r="J7939" s="23">
        <v>48</v>
      </c>
      <c r="K7939" s="37">
        <v>0</v>
      </c>
      <c r="L7939" s="37">
        <v>1</v>
      </c>
      <c r="M7939" s="22">
        <f>IF(OR(ISBLANK(C7939),C7939=""),"",ROUND((C7939-B7939)*24,2))</f>
        <v>67.62</v>
      </c>
      <c r="N7939" s="38" t="str">
        <f>IF(OR(ISBLANK(C7939),C7939="",M7939=""),"In Progress",IF(M7939&lt;=J7939,"Met","Breached"))</f>
        <v>Breached</v>
      </c>
    </row>
    <row r="7940" ht="19" customHeight="1" spans="1:14" x14ac:dyDescent="0.25">
      <c r="A7940" s="19" t="s">
        <v>8054</v>
      </c>
      <c r="B7940" s="33">
        <v>46238.17222222222</v>
      </c>
      <c r="C7940" s="33">
        <v>46240.336111111115</v>
      </c>
      <c r="D7940" s="19" t="s">
        <v>33</v>
      </c>
      <c r="E7940" s="19" t="s">
        <v>65</v>
      </c>
      <c r="F7940" s="19" t="s">
        <v>43</v>
      </c>
      <c r="G7940" s="19" t="s">
        <v>116</v>
      </c>
      <c r="H7940" s="19" t="s">
        <v>67</v>
      </c>
      <c r="I7940" s="19" t="s">
        <v>123</v>
      </c>
      <c r="J7940" s="20">
        <v>48</v>
      </c>
      <c r="K7940" s="34">
        <v>0</v>
      </c>
      <c r="L7940" s="34">
        <v>3</v>
      </c>
      <c r="M7940" s="19">
        <f>IF(OR(ISBLANK(C7940),C7940=""),"",ROUND((C7940-B7940)*24,2))</f>
        <v>51.93</v>
      </c>
      <c r="N7940" s="39" t="str">
        <f>IF(OR(ISBLANK(C7940),C7940="",M7940=""),"In Progress",IF(M7940&lt;=J7940,"Met","Breached"))</f>
        <v>Breached</v>
      </c>
    </row>
    <row r="7941" ht="19" customHeight="1" spans="1:14" x14ac:dyDescent="0.25">
      <c r="A7941" s="22" t="s">
        <v>8055</v>
      </c>
      <c r="B7941" s="36">
        <v>45958.73333333334</v>
      </c>
      <c r="C7941" s="36">
        <v>45958.87361111111</v>
      </c>
      <c r="D7941" s="22" t="s">
        <v>33</v>
      </c>
      <c r="E7941" s="22" t="s">
        <v>57</v>
      </c>
      <c r="F7941" s="22" t="s">
        <v>34</v>
      </c>
      <c r="G7941" s="22" t="s">
        <v>121</v>
      </c>
      <c r="H7941" s="22" t="s">
        <v>67</v>
      </c>
      <c r="I7941" s="22" t="s">
        <v>111</v>
      </c>
      <c r="J7941" s="23">
        <v>4</v>
      </c>
      <c r="K7941" s="37">
        <v>0</v>
      </c>
      <c r="L7941" s="37">
        <v>2</v>
      </c>
      <c r="M7941" s="22">
        <f>IF(OR(ISBLANK(C7941),C7941=""),"",ROUND((C7941-B7941)*24,2))</f>
        <v>3.37</v>
      </c>
      <c r="N7941" s="40" t="str">
        <f>IF(OR(ISBLANK(C7941),C7941="",M7941=""),"In Progress",IF(M7941&lt;=J7941,"Met","Breached"))</f>
        <v>Met</v>
      </c>
    </row>
    <row r="7942" ht="19" customHeight="1" spans="1:14" x14ac:dyDescent="0.25">
      <c r="A7942" s="19" t="s">
        <v>8056</v>
      </c>
      <c r="B7942" s="33">
        <v>46087.50277777778</v>
      </c>
      <c r="C7942" s="33">
        <v>46089.165972222225</v>
      </c>
      <c r="D7942" s="19" t="s">
        <v>36</v>
      </c>
      <c r="E7942" s="19" t="s">
        <v>69</v>
      </c>
      <c r="F7942" s="19" t="s">
        <v>45</v>
      </c>
      <c r="G7942" s="19" t="s">
        <v>116</v>
      </c>
      <c r="H7942" s="19" t="s">
        <v>63</v>
      </c>
      <c r="I7942" s="19" t="s">
        <v>108</v>
      </c>
      <c r="J7942" s="20">
        <v>120</v>
      </c>
      <c r="K7942" s="34">
        <v>0</v>
      </c>
      <c r="M7942" s="19">
        <f>IF(OR(ISBLANK(C7942),C7942=""),"",ROUND((C7942-B7942)*24,2))</f>
        <v>39.92</v>
      </c>
      <c r="N7942" s="35" t="str">
        <f>IF(OR(ISBLANK(C7942),C7942="",M7942=""),"In Progress",IF(M7942&lt;=J7942,"Met","Breached"))</f>
        <v>Met</v>
      </c>
    </row>
    <row r="7943" ht="19" customHeight="1" spans="1:14" x14ac:dyDescent="0.25">
      <c r="A7943" s="22" t="s">
        <v>8057</v>
      </c>
      <c r="B7943" s="36">
        <v>46172.34027777778</v>
      </c>
      <c r="C7943" s="36">
        <v>46172.518055555556</v>
      </c>
      <c r="D7943" s="22" t="s">
        <v>36</v>
      </c>
      <c r="E7943" s="22" t="s">
        <v>61</v>
      </c>
      <c r="F7943" s="22" t="s">
        <v>37</v>
      </c>
      <c r="G7943" s="22" t="s">
        <v>110</v>
      </c>
      <c r="H7943" s="22" t="s">
        <v>59</v>
      </c>
      <c r="I7943" s="22" t="s">
        <v>147</v>
      </c>
      <c r="J7943" s="23">
        <v>12</v>
      </c>
      <c r="K7943" s="37">
        <v>0</v>
      </c>
      <c r="L7943" s="37">
        <v>5</v>
      </c>
      <c r="M7943" s="22">
        <f>IF(OR(ISBLANK(C7943),C7943=""),"",ROUND((C7943-B7943)*24,2))</f>
        <v>4.27</v>
      </c>
      <c r="N7943" s="40" t="str">
        <f>IF(OR(ISBLANK(C7943),C7943="",M7943=""),"In Progress",IF(M7943&lt;=J7943,"Met","Breached"))</f>
        <v>Met</v>
      </c>
    </row>
    <row r="7944" ht="19" customHeight="1" spans="1:14" x14ac:dyDescent="0.25">
      <c r="A7944" s="19" t="s">
        <v>8058</v>
      </c>
      <c r="B7944" s="33">
        <v>46015.22777777778</v>
      </c>
      <c r="C7944" s="33">
        <v>46015.39722222222</v>
      </c>
      <c r="D7944" s="19" t="s">
        <v>33</v>
      </c>
      <c r="E7944" s="19" t="s">
        <v>61</v>
      </c>
      <c r="F7944" s="19" t="s">
        <v>34</v>
      </c>
      <c r="G7944" s="19" t="s">
        <v>121</v>
      </c>
      <c r="H7944" s="19" t="s">
        <v>71</v>
      </c>
      <c r="I7944" s="19" t="s">
        <v>123</v>
      </c>
      <c r="J7944" s="20">
        <v>12</v>
      </c>
      <c r="K7944" s="34">
        <v>0</v>
      </c>
      <c r="L7944" s="34">
        <v>4</v>
      </c>
      <c r="M7944" s="19">
        <f>IF(OR(ISBLANK(C7944),C7944=""),"",ROUND((C7944-B7944)*24,2))</f>
        <v>4.07</v>
      </c>
      <c r="N7944" s="35" t="str">
        <f>IF(OR(ISBLANK(C7944),C7944="",M7944=""),"In Progress",IF(M7944&lt;=J7944,"Met","Breached"))</f>
        <v>Met</v>
      </c>
    </row>
    <row r="7945" ht="19" customHeight="1" spans="1:14" x14ac:dyDescent="0.25">
      <c r="A7945" s="22" t="s">
        <v>8059</v>
      </c>
      <c r="B7945" s="36">
        <v>46111.794444444444</v>
      </c>
      <c r="C7945" s="36">
        <v>46116.61944444444</v>
      </c>
      <c r="D7945" s="22" t="s">
        <v>36</v>
      </c>
      <c r="E7945" s="22" t="s">
        <v>69</v>
      </c>
      <c r="F7945" s="22" t="s">
        <v>37</v>
      </c>
      <c r="G7945" s="22" t="s">
        <v>116</v>
      </c>
      <c r="H7945" s="22" t="s">
        <v>67</v>
      </c>
      <c r="I7945" s="22" t="s">
        <v>114</v>
      </c>
      <c r="J7945" s="23">
        <v>120</v>
      </c>
      <c r="K7945" s="37">
        <v>1</v>
      </c>
      <c r="L7945" s="37">
        <v>5</v>
      </c>
      <c r="M7945" s="22">
        <f>IF(OR(ISBLANK(C7945),C7945=""),"",ROUND((C7945-B7945)*24,2))</f>
        <v>115.8</v>
      </c>
      <c r="N7945" s="40" t="str">
        <f>IF(OR(ISBLANK(C7945),C7945="",M7945=""),"In Progress",IF(M7945&lt;=J7945,"Met","Breached"))</f>
        <v>Met</v>
      </c>
    </row>
    <row r="7946" ht="19" customHeight="1" spans="1:14" x14ac:dyDescent="0.25">
      <c r="A7946" s="19" t="s">
        <v>8060</v>
      </c>
      <c r="B7946" s="33">
        <v>45874.38888888889</v>
      </c>
      <c r="D7946" s="19" t="s">
        <v>39</v>
      </c>
      <c r="E7946" s="19" t="s">
        <v>65</v>
      </c>
      <c r="F7946" s="19" t="s">
        <v>34</v>
      </c>
      <c r="G7946" s="19" t="s">
        <v>110</v>
      </c>
      <c r="H7946" s="19" t="s">
        <v>63</v>
      </c>
      <c r="I7946" s="19" t="s">
        <v>108</v>
      </c>
      <c r="J7946" s="20">
        <v>48</v>
      </c>
      <c r="K7946" s="34">
        <v>0</v>
      </c>
      <c r="M7946" s="19" t="str">
        <f>IF(OR(ISBLANK(C7946),C7946=""),"",ROUND((C7946-B7946)*24,2))</f>
        <v/>
      </c>
      <c r="N7946" s="19" t="str">
        <f>IF(OR(ISBLANK(C7946),C7946="",M7946=""),"In Progress",IF(M7946&lt;=J7946,"Met","Breached"))</f>
        <v>In Progress</v>
      </c>
    </row>
    <row r="7947" ht="19" customHeight="1" spans="1:14" x14ac:dyDescent="0.25">
      <c r="A7947" s="22" t="s">
        <v>8061</v>
      </c>
      <c r="B7947" s="36">
        <v>46176.23819444445</v>
      </c>
      <c r="D7947" s="22" t="s">
        <v>39</v>
      </c>
      <c r="E7947" s="22" t="s">
        <v>61</v>
      </c>
      <c r="F7947" s="22" t="s">
        <v>34</v>
      </c>
      <c r="G7947" s="22" t="s">
        <v>63</v>
      </c>
      <c r="H7947" s="22" t="s">
        <v>59</v>
      </c>
      <c r="I7947" s="22" t="s">
        <v>108</v>
      </c>
      <c r="J7947" s="23">
        <v>12</v>
      </c>
      <c r="K7947" s="37">
        <v>0</v>
      </c>
      <c r="M7947" s="22" t="str">
        <f>IF(OR(ISBLANK(C7947),C7947=""),"",ROUND((C7947-B7947)*24,2))</f>
        <v/>
      </c>
      <c r="N7947" s="22" t="str">
        <f>IF(OR(ISBLANK(C7947),C7947="",M7947=""),"In Progress",IF(M7947&lt;=J7947,"Met","Breached"))</f>
        <v>In Progress</v>
      </c>
    </row>
    <row r="7948" ht="19" customHeight="1" spans="1:14" x14ac:dyDescent="0.25">
      <c r="A7948" s="19" t="s">
        <v>8062</v>
      </c>
      <c r="B7948" s="33">
        <v>46277.804861111115</v>
      </c>
      <c r="C7948" s="33">
        <v>46280.493055555555</v>
      </c>
      <c r="D7948" s="19" t="s">
        <v>36</v>
      </c>
      <c r="E7948" s="19" t="s">
        <v>69</v>
      </c>
      <c r="F7948" s="19" t="s">
        <v>45</v>
      </c>
      <c r="G7948" s="19" t="s">
        <v>63</v>
      </c>
      <c r="H7948" s="19" t="s">
        <v>67</v>
      </c>
      <c r="I7948" s="19" t="s">
        <v>123</v>
      </c>
      <c r="J7948" s="20">
        <v>120</v>
      </c>
      <c r="K7948" s="34">
        <v>0</v>
      </c>
      <c r="M7948" s="19">
        <f>IF(OR(ISBLANK(C7948),C7948=""),"",ROUND((C7948-B7948)*24,2))</f>
        <v>64.52</v>
      </c>
      <c r="N7948" s="35" t="str">
        <f>IF(OR(ISBLANK(C7948),C7948="",M7948=""),"In Progress",IF(M7948&lt;=J7948,"Met","Breached"))</f>
        <v>Met</v>
      </c>
    </row>
    <row r="7949" ht="19" customHeight="1" spans="1:14" x14ac:dyDescent="0.25">
      <c r="A7949" s="22" t="s">
        <v>8063</v>
      </c>
      <c r="B7949" s="36">
        <v>45883.40277777778</v>
      </c>
      <c r="C7949" s="36">
        <v>45886.19652777778</v>
      </c>
      <c r="D7949" s="22" t="s">
        <v>36</v>
      </c>
      <c r="E7949" s="22" t="s">
        <v>65</v>
      </c>
      <c r="F7949" s="22" t="s">
        <v>43</v>
      </c>
      <c r="G7949" s="22" t="s">
        <v>63</v>
      </c>
      <c r="H7949" s="22" t="s">
        <v>63</v>
      </c>
      <c r="I7949" s="22" t="s">
        <v>123</v>
      </c>
      <c r="J7949" s="23">
        <v>48</v>
      </c>
      <c r="K7949" s="37">
        <v>0</v>
      </c>
      <c r="L7949" s="37">
        <v>2</v>
      </c>
      <c r="M7949" s="22">
        <f>IF(OR(ISBLANK(C7949),C7949=""),"",ROUND((C7949-B7949)*24,2))</f>
        <v>67.05</v>
      </c>
      <c r="N7949" s="38" t="str">
        <f>IF(OR(ISBLANK(C7949),C7949="",M7949=""),"In Progress",IF(M7949&lt;=J7949,"Met","Breached"))</f>
        <v>Breached</v>
      </c>
    </row>
    <row r="7950" ht="19" customHeight="1" spans="1:14" x14ac:dyDescent="0.25">
      <c r="A7950" s="19" t="s">
        <v>8064</v>
      </c>
      <c r="B7950" s="33">
        <v>46060.85763888889</v>
      </c>
      <c r="D7950" s="19" t="s">
        <v>39</v>
      </c>
      <c r="E7950" s="19" t="s">
        <v>61</v>
      </c>
      <c r="F7950" s="19" t="s">
        <v>43</v>
      </c>
      <c r="G7950" s="19" t="s">
        <v>113</v>
      </c>
      <c r="H7950" s="19" t="s">
        <v>63</v>
      </c>
      <c r="I7950" s="19" t="s">
        <v>114</v>
      </c>
      <c r="J7950" s="20">
        <v>12</v>
      </c>
      <c r="K7950" s="34">
        <v>0</v>
      </c>
      <c r="M7950" s="19" t="str">
        <f>IF(OR(ISBLANK(C7950),C7950=""),"",ROUND((C7950-B7950)*24,2))</f>
        <v/>
      </c>
      <c r="N7950" s="19" t="str">
        <f>IF(OR(ISBLANK(C7950),C7950="",M7950=""),"In Progress",IF(M7950&lt;=J7950,"Met","Breached"))</f>
        <v>In Progress</v>
      </c>
    </row>
    <row r="7951" ht="19" customHeight="1" spans="1:14" x14ac:dyDescent="0.25">
      <c r="A7951" s="22" t="s">
        <v>8065</v>
      </c>
      <c r="B7951" s="36">
        <v>45697.87708333333</v>
      </c>
      <c r="C7951" s="36">
        <v>45700.48819444445</v>
      </c>
      <c r="D7951" s="22" t="s">
        <v>36</v>
      </c>
      <c r="E7951" s="22" t="s">
        <v>65</v>
      </c>
      <c r="F7951" s="22" t="s">
        <v>45</v>
      </c>
      <c r="G7951" s="22" t="s">
        <v>126</v>
      </c>
      <c r="H7951" s="22" t="s">
        <v>71</v>
      </c>
      <c r="I7951" s="22" t="s">
        <v>123</v>
      </c>
      <c r="J7951" s="23">
        <v>48</v>
      </c>
      <c r="K7951" s="37">
        <v>0</v>
      </c>
      <c r="L7951" s="37">
        <v>5</v>
      </c>
      <c r="M7951" s="22">
        <f>IF(OR(ISBLANK(C7951),C7951=""),"",ROUND((C7951-B7951)*24,2))</f>
        <v>62.67</v>
      </c>
      <c r="N7951" s="38" t="str">
        <f>IF(OR(ISBLANK(C7951),C7951="",M7951=""),"In Progress",IF(M7951&lt;=J7951,"Met","Breached"))</f>
        <v>Breached</v>
      </c>
    </row>
    <row r="7952" ht="19" customHeight="1" spans="1:14" x14ac:dyDescent="0.25">
      <c r="A7952" s="19" t="s">
        <v>8066</v>
      </c>
      <c r="B7952" s="33">
        <v>46070.554861111115</v>
      </c>
      <c r="C7952" s="33">
        <v>46070.774305555555</v>
      </c>
      <c r="D7952" s="19" t="s">
        <v>36</v>
      </c>
      <c r="E7952" s="19" t="s">
        <v>61</v>
      </c>
      <c r="F7952" s="19" t="s">
        <v>43</v>
      </c>
      <c r="G7952" s="19" t="s">
        <v>126</v>
      </c>
      <c r="H7952" s="19" t="s">
        <v>71</v>
      </c>
      <c r="I7952" s="19" t="s">
        <v>123</v>
      </c>
      <c r="J7952" s="20">
        <v>12</v>
      </c>
      <c r="K7952" s="34">
        <v>0</v>
      </c>
      <c r="L7952" s="34">
        <v>4</v>
      </c>
      <c r="M7952" s="19">
        <f>IF(OR(ISBLANK(C7952),C7952=""),"",ROUND((C7952-B7952)*24,2))</f>
        <v>5.27</v>
      </c>
      <c r="N7952" s="35" t="str">
        <f>IF(OR(ISBLANK(C7952),C7952="",M7952=""),"In Progress",IF(M7952&lt;=J7952,"Met","Breached"))</f>
        <v>Met</v>
      </c>
    </row>
    <row r="7953" ht="19" customHeight="1" spans="1:14" x14ac:dyDescent="0.25">
      <c r="A7953" s="22" t="s">
        <v>8067</v>
      </c>
      <c r="B7953" s="36">
        <v>45868.51041666667</v>
      </c>
      <c r="C7953" s="36">
        <v>45868.879166666666</v>
      </c>
      <c r="D7953" s="22" t="s">
        <v>36</v>
      </c>
      <c r="E7953" s="22" t="s">
        <v>61</v>
      </c>
      <c r="F7953" s="22" t="s">
        <v>43</v>
      </c>
      <c r="G7953" s="22" t="s">
        <v>110</v>
      </c>
      <c r="H7953" s="22" t="s">
        <v>71</v>
      </c>
      <c r="I7953" s="22" t="s">
        <v>114</v>
      </c>
      <c r="J7953" s="23">
        <v>12</v>
      </c>
      <c r="K7953" s="37">
        <v>0</v>
      </c>
      <c r="L7953" s="37">
        <v>5</v>
      </c>
      <c r="M7953" s="22">
        <f>IF(OR(ISBLANK(C7953),C7953=""),"",ROUND((C7953-B7953)*24,2))</f>
        <v>8.85</v>
      </c>
      <c r="N7953" s="40" t="str">
        <f>IF(OR(ISBLANK(C7953),C7953="",M7953=""),"In Progress",IF(M7953&lt;=J7953,"Met","Breached"))</f>
        <v>Met</v>
      </c>
    </row>
    <row r="7954" ht="19" customHeight="1" spans="1:14" x14ac:dyDescent="0.25">
      <c r="A7954" s="19" t="s">
        <v>8068</v>
      </c>
      <c r="B7954" s="33">
        <v>45821.10972222222</v>
      </c>
      <c r="C7954" s="33">
        <v>45821.58333333333</v>
      </c>
      <c r="D7954" s="19" t="s">
        <v>36</v>
      </c>
      <c r="E7954" s="19" t="s">
        <v>61</v>
      </c>
      <c r="F7954" s="19" t="s">
        <v>45</v>
      </c>
      <c r="G7954" s="19" t="s">
        <v>126</v>
      </c>
      <c r="H7954" s="19" t="s">
        <v>59</v>
      </c>
      <c r="I7954" s="19" t="s">
        <v>114</v>
      </c>
      <c r="J7954" s="20">
        <v>12</v>
      </c>
      <c r="K7954" s="34">
        <v>0</v>
      </c>
      <c r="L7954" s="34">
        <v>4</v>
      </c>
      <c r="M7954" s="19">
        <f>IF(OR(ISBLANK(C7954),C7954=""),"",ROUND((C7954-B7954)*24,2))</f>
        <v>11.37</v>
      </c>
      <c r="N7954" s="35" t="str">
        <f>IF(OR(ISBLANK(C7954),C7954="",M7954=""),"In Progress",IF(M7954&lt;=J7954,"Met","Breached"))</f>
        <v>Met</v>
      </c>
    </row>
    <row r="7955" ht="19" customHeight="1" spans="1:14" x14ac:dyDescent="0.25">
      <c r="A7955" s="22" t="s">
        <v>8069</v>
      </c>
      <c r="B7955" s="36">
        <v>46238.52777777778</v>
      </c>
      <c r="C7955" s="36">
        <v>46241.54236111111</v>
      </c>
      <c r="D7955" s="22" t="s">
        <v>36</v>
      </c>
      <c r="E7955" s="22" t="s">
        <v>65</v>
      </c>
      <c r="F7955" s="22" t="s">
        <v>34</v>
      </c>
      <c r="G7955" s="22" t="s">
        <v>113</v>
      </c>
      <c r="H7955" s="22" t="s">
        <v>63</v>
      </c>
      <c r="I7955" s="22" t="s">
        <v>108</v>
      </c>
      <c r="J7955" s="23">
        <v>48</v>
      </c>
      <c r="K7955" s="37">
        <v>0</v>
      </c>
      <c r="L7955" s="37">
        <v>2</v>
      </c>
      <c r="M7955" s="22">
        <f>IF(OR(ISBLANK(C7955),C7955=""),"",ROUND((C7955-B7955)*24,2))</f>
        <v>72.35</v>
      </c>
      <c r="N7955" s="38" t="str">
        <f>IF(OR(ISBLANK(C7955),C7955="",M7955=""),"In Progress",IF(M7955&lt;=J7955,"Met","Breached"))</f>
        <v>Breached</v>
      </c>
    </row>
    <row r="7956" ht="19" customHeight="1" spans="1:14" x14ac:dyDescent="0.25">
      <c r="A7956" s="19" t="s">
        <v>8070</v>
      </c>
      <c r="B7956" s="33">
        <v>46159.93680555555</v>
      </c>
      <c r="C7956" s="33">
        <v>46162.19027777778</v>
      </c>
      <c r="D7956" s="19" t="s">
        <v>33</v>
      </c>
      <c r="E7956" s="19" t="s">
        <v>65</v>
      </c>
      <c r="F7956" s="19" t="s">
        <v>37</v>
      </c>
      <c r="G7956" s="19" t="s">
        <v>63</v>
      </c>
      <c r="H7956" s="19" t="s">
        <v>63</v>
      </c>
      <c r="I7956" s="19" t="s">
        <v>117</v>
      </c>
      <c r="J7956" s="20">
        <v>48</v>
      </c>
      <c r="K7956" s="34">
        <v>0</v>
      </c>
      <c r="L7956" s="34">
        <v>1</v>
      </c>
      <c r="M7956" s="19">
        <f>IF(OR(ISBLANK(C7956),C7956=""),"",ROUND((C7956-B7956)*24,2))</f>
        <v>54.08</v>
      </c>
      <c r="N7956" s="39" t="str">
        <f>IF(OR(ISBLANK(C7956),C7956="",M7956=""),"In Progress",IF(M7956&lt;=J7956,"Met","Breached"))</f>
        <v>Breached</v>
      </c>
    </row>
    <row r="7957" ht="19" customHeight="1" spans="1:14" x14ac:dyDescent="0.25">
      <c r="A7957" s="22" t="s">
        <v>8071</v>
      </c>
      <c r="B7957" s="36">
        <v>45825.54513888889</v>
      </c>
      <c r="C7957" s="36">
        <v>45827.379166666666</v>
      </c>
      <c r="D7957" s="22" t="s">
        <v>36</v>
      </c>
      <c r="E7957" s="22" t="s">
        <v>65</v>
      </c>
      <c r="F7957" s="22" t="s">
        <v>34</v>
      </c>
      <c r="G7957" s="22" t="s">
        <v>113</v>
      </c>
      <c r="H7957" s="22" t="s">
        <v>59</v>
      </c>
      <c r="I7957" s="22" t="s">
        <v>123</v>
      </c>
      <c r="J7957" s="23">
        <v>48</v>
      </c>
      <c r="K7957" s="37">
        <v>0</v>
      </c>
      <c r="L7957" s="37">
        <v>3</v>
      </c>
      <c r="M7957" s="22">
        <f>IF(OR(ISBLANK(C7957),C7957=""),"",ROUND((C7957-B7957)*24,2))</f>
        <v>44.02</v>
      </c>
      <c r="N7957" s="40" t="str">
        <f>IF(OR(ISBLANK(C7957),C7957="",M7957=""),"In Progress",IF(M7957&lt;=J7957,"Met","Breached"))</f>
        <v>Met</v>
      </c>
    </row>
    <row r="7958" ht="19" customHeight="1" spans="1:14" x14ac:dyDescent="0.25">
      <c r="A7958" s="19" t="s">
        <v>8072</v>
      </c>
      <c r="B7958" s="33">
        <v>45784.461111111115</v>
      </c>
      <c r="C7958" s="33">
        <v>45787.913194444445</v>
      </c>
      <c r="D7958" s="19" t="s">
        <v>33</v>
      </c>
      <c r="E7958" s="19" t="s">
        <v>65</v>
      </c>
      <c r="F7958" s="19" t="s">
        <v>45</v>
      </c>
      <c r="G7958" s="19" t="s">
        <v>110</v>
      </c>
      <c r="H7958" s="19" t="s">
        <v>59</v>
      </c>
      <c r="I7958" s="19" t="s">
        <v>108</v>
      </c>
      <c r="J7958" s="20">
        <v>48</v>
      </c>
      <c r="K7958" s="34">
        <v>0</v>
      </c>
      <c r="M7958" s="19">
        <f>IF(OR(ISBLANK(C7958),C7958=""),"",ROUND((C7958-B7958)*24,2))</f>
        <v>82.85</v>
      </c>
      <c r="N7958" s="39" t="str">
        <f>IF(OR(ISBLANK(C7958),C7958="",M7958=""),"In Progress",IF(M7958&lt;=J7958,"Met","Breached"))</f>
        <v>Breached</v>
      </c>
    </row>
    <row r="7959" ht="19" customHeight="1" spans="1:14" x14ac:dyDescent="0.25">
      <c r="A7959" s="22" t="s">
        <v>8073</v>
      </c>
      <c r="B7959" s="36">
        <v>45911.195138888885</v>
      </c>
      <c r="C7959" s="36">
        <v>45912.17222222222</v>
      </c>
      <c r="D7959" s="22" t="s">
        <v>36</v>
      </c>
      <c r="E7959" s="22" t="s">
        <v>65</v>
      </c>
      <c r="F7959" s="22" t="s">
        <v>45</v>
      </c>
      <c r="G7959" s="22" t="s">
        <v>121</v>
      </c>
      <c r="H7959" s="22" t="s">
        <v>63</v>
      </c>
      <c r="I7959" s="22" t="s">
        <v>123</v>
      </c>
      <c r="J7959" s="23">
        <v>48</v>
      </c>
      <c r="K7959" s="37">
        <v>0</v>
      </c>
      <c r="L7959" s="37">
        <v>2</v>
      </c>
      <c r="M7959" s="22">
        <f>IF(OR(ISBLANK(C7959),C7959=""),"",ROUND((C7959-B7959)*24,2))</f>
        <v>23.45</v>
      </c>
      <c r="N7959" s="40" t="str">
        <f>IF(OR(ISBLANK(C7959),C7959="",M7959=""),"In Progress",IF(M7959&lt;=J7959,"Met","Breached"))</f>
        <v>Met</v>
      </c>
    </row>
    <row r="7960" ht="19" customHeight="1" spans="1:14" x14ac:dyDescent="0.25">
      <c r="A7960" s="19" t="s">
        <v>8074</v>
      </c>
      <c r="B7960" s="33">
        <v>46027.964583333334</v>
      </c>
      <c r="C7960" s="33">
        <v>46028.59236111111</v>
      </c>
      <c r="D7960" s="19" t="s">
        <v>36</v>
      </c>
      <c r="E7960" s="19" t="s">
        <v>65</v>
      </c>
      <c r="F7960" s="19" t="s">
        <v>37</v>
      </c>
      <c r="G7960" s="19" t="s">
        <v>121</v>
      </c>
      <c r="H7960" s="19" t="s">
        <v>63</v>
      </c>
      <c r="I7960" s="19" t="s">
        <v>108</v>
      </c>
      <c r="J7960" s="20">
        <v>48</v>
      </c>
      <c r="K7960" s="34">
        <v>0</v>
      </c>
      <c r="M7960" s="19">
        <f>IF(OR(ISBLANK(C7960),C7960=""),"",ROUND((C7960-B7960)*24,2))</f>
        <v>15.07</v>
      </c>
      <c r="N7960" s="35" t="str">
        <f>IF(OR(ISBLANK(C7960),C7960="",M7960=""),"In Progress",IF(M7960&lt;=J7960,"Met","Breached"))</f>
        <v>Met</v>
      </c>
    </row>
    <row r="7961" ht="19" customHeight="1" spans="1:14" x14ac:dyDescent="0.25">
      <c r="A7961" s="22" t="s">
        <v>8075</v>
      </c>
      <c r="B7961" s="36">
        <v>46058.476388888885</v>
      </c>
      <c r="C7961" s="36">
        <v>46058.92291666666</v>
      </c>
      <c r="D7961" s="22" t="s">
        <v>36</v>
      </c>
      <c r="E7961" s="22" t="s">
        <v>61</v>
      </c>
      <c r="F7961" s="22" t="s">
        <v>45</v>
      </c>
      <c r="G7961" s="22" t="s">
        <v>110</v>
      </c>
      <c r="H7961" s="22" t="s">
        <v>59</v>
      </c>
      <c r="I7961" s="22" t="s">
        <v>117</v>
      </c>
      <c r="J7961" s="23">
        <v>12</v>
      </c>
      <c r="K7961" s="37">
        <v>0</v>
      </c>
      <c r="L7961" s="37">
        <v>1</v>
      </c>
      <c r="M7961" s="22">
        <f>IF(OR(ISBLANK(C7961),C7961=""),"",ROUND((C7961-B7961)*24,2))</f>
        <v>10.72</v>
      </c>
      <c r="N7961" s="40" t="str">
        <f>IF(OR(ISBLANK(C7961),C7961="",M7961=""),"In Progress",IF(M7961&lt;=J7961,"Met","Breached"))</f>
        <v>Met</v>
      </c>
    </row>
    <row r="7962" ht="19" customHeight="1" spans="1:14" x14ac:dyDescent="0.25">
      <c r="A7962" s="19" t="s">
        <v>8076</v>
      </c>
      <c r="B7962" s="33">
        <v>45819.600694444445</v>
      </c>
      <c r="C7962" s="33">
        <v>45821.40972222222</v>
      </c>
      <c r="D7962" s="19" t="s">
        <v>36</v>
      </c>
      <c r="E7962" s="19" t="s">
        <v>65</v>
      </c>
      <c r="F7962" s="19" t="s">
        <v>40</v>
      </c>
      <c r="G7962" s="19" t="s">
        <v>126</v>
      </c>
      <c r="H7962" s="19" t="s">
        <v>59</v>
      </c>
      <c r="I7962" s="19" t="s">
        <v>114</v>
      </c>
      <c r="J7962" s="20">
        <v>48</v>
      </c>
      <c r="K7962" s="34">
        <v>0</v>
      </c>
      <c r="L7962" s="34">
        <v>3</v>
      </c>
      <c r="M7962" s="19">
        <f>IF(OR(ISBLANK(C7962),C7962=""),"",ROUND((C7962-B7962)*24,2))</f>
        <v>43.42</v>
      </c>
      <c r="N7962" s="35" t="str">
        <f>IF(OR(ISBLANK(C7962),C7962="",M7962=""),"In Progress",IF(M7962&lt;=J7962,"Met","Breached"))</f>
        <v>Met</v>
      </c>
    </row>
    <row r="7963" ht="19" customHeight="1" spans="1:14" x14ac:dyDescent="0.25">
      <c r="A7963" s="22" t="s">
        <v>8077</v>
      </c>
      <c r="B7963" s="36">
        <v>46271.0375</v>
      </c>
      <c r="C7963" s="36">
        <v>46271.504166666666</v>
      </c>
      <c r="D7963" s="22" t="s">
        <v>36</v>
      </c>
      <c r="E7963" s="22" t="s">
        <v>61</v>
      </c>
      <c r="F7963" s="22" t="s">
        <v>43</v>
      </c>
      <c r="G7963" s="22" t="s">
        <v>126</v>
      </c>
      <c r="H7963" s="22" t="s">
        <v>59</v>
      </c>
      <c r="I7963" s="22" t="s">
        <v>123</v>
      </c>
      <c r="J7963" s="23">
        <v>12</v>
      </c>
      <c r="K7963" s="37">
        <v>1</v>
      </c>
      <c r="L7963" s="37">
        <v>5</v>
      </c>
      <c r="M7963" s="22">
        <f>IF(OR(ISBLANK(C7963),C7963=""),"",ROUND((C7963-B7963)*24,2))</f>
        <v>11.2</v>
      </c>
      <c r="N7963" s="40" t="str">
        <f>IF(OR(ISBLANK(C7963),C7963="",M7963=""),"In Progress",IF(M7963&lt;=J7963,"Met","Breached"))</f>
        <v>Met</v>
      </c>
    </row>
    <row r="7964" ht="19" customHeight="1" spans="1:14" x14ac:dyDescent="0.25">
      <c r="A7964" s="19" t="s">
        <v>8078</v>
      </c>
      <c r="B7964" s="33">
        <v>45870.82152777778</v>
      </c>
      <c r="C7964" s="33">
        <v>45872.81736111111</v>
      </c>
      <c r="D7964" s="19" t="s">
        <v>33</v>
      </c>
      <c r="E7964" s="19" t="s">
        <v>69</v>
      </c>
      <c r="F7964" s="19" t="s">
        <v>45</v>
      </c>
      <c r="G7964" s="19" t="s">
        <v>110</v>
      </c>
      <c r="H7964" s="19" t="s">
        <v>59</v>
      </c>
      <c r="I7964" s="19" t="s">
        <v>114</v>
      </c>
      <c r="J7964" s="20">
        <v>120</v>
      </c>
      <c r="K7964" s="34">
        <v>1</v>
      </c>
      <c r="L7964" s="34">
        <v>3</v>
      </c>
      <c r="M7964" s="19">
        <f>IF(OR(ISBLANK(C7964),C7964=""),"",ROUND((C7964-B7964)*24,2))</f>
        <v>47.9</v>
      </c>
      <c r="N7964" s="35" t="str">
        <f>IF(OR(ISBLANK(C7964),C7964="",M7964=""),"In Progress",IF(M7964&lt;=J7964,"Met","Breached"))</f>
        <v>Met</v>
      </c>
    </row>
    <row r="7965" ht="19" customHeight="1" spans="1:14" x14ac:dyDescent="0.25">
      <c r="A7965" s="22" t="s">
        <v>8079</v>
      </c>
      <c r="B7965" s="36">
        <v>46151.23472222222</v>
      </c>
      <c r="C7965" s="36">
        <v>46152.726388888885</v>
      </c>
      <c r="D7965" s="22" t="s">
        <v>33</v>
      </c>
      <c r="E7965" s="22" t="s">
        <v>65</v>
      </c>
      <c r="F7965" s="22" t="s">
        <v>37</v>
      </c>
      <c r="G7965" s="22" t="s">
        <v>113</v>
      </c>
      <c r="H7965" s="22" t="s">
        <v>59</v>
      </c>
      <c r="I7965" s="22" t="s">
        <v>117</v>
      </c>
      <c r="J7965" s="23">
        <v>48</v>
      </c>
      <c r="K7965" s="37">
        <v>0</v>
      </c>
      <c r="L7965" s="37">
        <v>3</v>
      </c>
      <c r="M7965" s="22">
        <f>IF(OR(ISBLANK(C7965),C7965=""),"",ROUND((C7965-B7965)*24,2))</f>
        <v>35.8</v>
      </c>
      <c r="N7965" s="40" t="str">
        <f>IF(OR(ISBLANK(C7965),C7965="",M7965=""),"In Progress",IF(M7965&lt;=J7965,"Met","Breached"))</f>
        <v>Met</v>
      </c>
    </row>
    <row r="7966" ht="19" customHeight="1" spans="1:14" x14ac:dyDescent="0.25">
      <c r="A7966" s="19" t="s">
        <v>8080</v>
      </c>
      <c r="B7966" s="33">
        <v>45842.97430555556</v>
      </c>
      <c r="C7966" s="33">
        <v>45851.339583333334</v>
      </c>
      <c r="D7966" s="19" t="s">
        <v>33</v>
      </c>
      <c r="E7966" s="19" t="s">
        <v>69</v>
      </c>
      <c r="F7966" s="19" t="s">
        <v>37</v>
      </c>
      <c r="G7966" s="19" t="s">
        <v>110</v>
      </c>
      <c r="H7966" s="19" t="s">
        <v>59</v>
      </c>
      <c r="I7966" s="19" t="s">
        <v>117</v>
      </c>
      <c r="J7966" s="20">
        <v>120</v>
      </c>
      <c r="K7966" s="34">
        <v>0</v>
      </c>
      <c r="L7966" s="34">
        <v>5</v>
      </c>
      <c r="M7966" s="19">
        <f>IF(OR(ISBLANK(C7966),C7966=""),"",ROUND((C7966-B7966)*24,2))</f>
        <v>200.77</v>
      </c>
      <c r="N7966" s="39" t="str">
        <f>IF(OR(ISBLANK(C7966),C7966="",M7966=""),"In Progress",IF(M7966&lt;=J7966,"Met","Breached"))</f>
        <v>Breached</v>
      </c>
    </row>
    <row r="7967" ht="19" customHeight="1" spans="1:14" x14ac:dyDescent="0.25">
      <c r="A7967" s="22" t="s">
        <v>8081</v>
      </c>
      <c r="B7967" s="36">
        <v>45659.57916666666</v>
      </c>
      <c r="C7967" s="36">
        <v>45661.56458333333</v>
      </c>
      <c r="D7967" s="22" t="s">
        <v>33</v>
      </c>
      <c r="E7967" s="22" t="s">
        <v>65</v>
      </c>
      <c r="F7967" s="22" t="s">
        <v>37</v>
      </c>
      <c r="G7967" s="22" t="s">
        <v>116</v>
      </c>
      <c r="H7967" s="22" t="s">
        <v>63</v>
      </c>
      <c r="I7967" s="22" t="s">
        <v>117</v>
      </c>
      <c r="J7967" s="23">
        <v>48</v>
      </c>
      <c r="K7967" s="37">
        <v>0</v>
      </c>
      <c r="L7967" s="37">
        <v>1</v>
      </c>
      <c r="M7967" s="22">
        <f>IF(OR(ISBLANK(C7967),C7967=""),"",ROUND((C7967-B7967)*24,2))</f>
        <v>47.65</v>
      </c>
      <c r="N7967" s="40" t="str">
        <f>IF(OR(ISBLANK(C7967),C7967="",M7967=""),"In Progress",IF(M7967&lt;=J7967,"Met","Breached"))</f>
        <v>Met</v>
      </c>
    </row>
    <row r="7968" ht="19" customHeight="1" spans="1:14" x14ac:dyDescent="0.25">
      <c r="A7968" s="19" t="s">
        <v>8082</v>
      </c>
      <c r="B7968" s="33">
        <v>46120.84583333333</v>
      </c>
      <c r="C7968" s="33">
        <v>46122.46319444444</v>
      </c>
      <c r="D7968" s="19" t="s">
        <v>33</v>
      </c>
      <c r="E7968" s="19" t="s">
        <v>69</v>
      </c>
      <c r="F7968" s="19" t="s">
        <v>45</v>
      </c>
      <c r="G7968" s="19" t="s">
        <v>126</v>
      </c>
      <c r="H7968" s="19" t="s">
        <v>59</v>
      </c>
      <c r="I7968" s="19" t="s">
        <v>147</v>
      </c>
      <c r="J7968" s="20">
        <v>120</v>
      </c>
      <c r="K7968" s="34">
        <v>0</v>
      </c>
      <c r="L7968" s="34">
        <v>1</v>
      </c>
      <c r="M7968" s="19">
        <f>IF(OR(ISBLANK(C7968),C7968=""),"",ROUND((C7968-B7968)*24,2))</f>
        <v>38.82</v>
      </c>
      <c r="N7968" s="35" t="str">
        <f>IF(OR(ISBLANK(C7968),C7968="",M7968=""),"In Progress",IF(M7968&lt;=J7968,"Met","Breached"))</f>
        <v>Met</v>
      </c>
    </row>
    <row r="7969" ht="19" customHeight="1" spans="1:14" x14ac:dyDescent="0.25">
      <c r="A7969" s="22" t="s">
        <v>8083</v>
      </c>
      <c r="B7969" s="36">
        <v>46115.26388888889</v>
      </c>
      <c r="C7969" s="36">
        <v>46115.55763888889</v>
      </c>
      <c r="D7969" s="22" t="s">
        <v>33</v>
      </c>
      <c r="E7969" s="22" t="s">
        <v>57</v>
      </c>
      <c r="F7969" s="22" t="s">
        <v>45</v>
      </c>
      <c r="G7969" s="22" t="s">
        <v>110</v>
      </c>
      <c r="H7969" s="22" t="s">
        <v>59</v>
      </c>
      <c r="I7969" s="22" t="s">
        <v>123</v>
      </c>
      <c r="J7969" s="23">
        <v>4</v>
      </c>
      <c r="K7969" s="37">
        <v>0</v>
      </c>
      <c r="L7969" s="37">
        <v>1</v>
      </c>
      <c r="M7969" s="22">
        <f>IF(OR(ISBLANK(C7969),C7969=""),"",ROUND((C7969-B7969)*24,2))</f>
        <v>7.05</v>
      </c>
      <c r="N7969" s="38" t="str">
        <f>IF(OR(ISBLANK(C7969),C7969="",M7969=""),"In Progress",IF(M7969&lt;=J7969,"Met","Breached"))</f>
        <v>Breached</v>
      </c>
    </row>
    <row r="7970" ht="19" customHeight="1" spans="1:14" x14ac:dyDescent="0.25">
      <c r="A7970" s="19" t="s">
        <v>8084</v>
      </c>
      <c r="B7970" s="33">
        <v>45732.367361111115</v>
      </c>
      <c r="C7970" s="33">
        <v>45737.84375</v>
      </c>
      <c r="D7970" s="19" t="s">
        <v>33</v>
      </c>
      <c r="E7970" s="19" t="s">
        <v>69</v>
      </c>
      <c r="F7970" s="19" t="s">
        <v>34</v>
      </c>
      <c r="G7970" s="19" t="s">
        <v>116</v>
      </c>
      <c r="H7970" s="19" t="s">
        <v>59</v>
      </c>
      <c r="I7970" s="19" t="s">
        <v>114</v>
      </c>
      <c r="J7970" s="20">
        <v>120</v>
      </c>
      <c r="K7970" s="34">
        <v>0</v>
      </c>
      <c r="M7970" s="19">
        <f>IF(OR(ISBLANK(C7970),C7970=""),"",ROUND((C7970-B7970)*24,2))</f>
        <v>131.43</v>
      </c>
      <c r="N7970" s="39" t="str">
        <f>IF(OR(ISBLANK(C7970),C7970="",M7970=""),"In Progress",IF(M7970&lt;=J7970,"Met","Breached"))</f>
        <v>Breached</v>
      </c>
    </row>
    <row r="7971" ht="19" customHeight="1" spans="1:14" x14ac:dyDescent="0.25">
      <c r="A7971" s="22" t="s">
        <v>8085</v>
      </c>
      <c r="B7971" s="36">
        <v>46215.993055555555</v>
      </c>
      <c r="C7971" s="36">
        <v>46219.447222222225</v>
      </c>
      <c r="D7971" s="22" t="s">
        <v>33</v>
      </c>
      <c r="E7971" s="22" t="s">
        <v>65</v>
      </c>
      <c r="F7971" s="22" t="s">
        <v>40</v>
      </c>
      <c r="G7971" s="22" t="s">
        <v>113</v>
      </c>
      <c r="H7971" s="22" t="s">
        <v>59</v>
      </c>
      <c r="I7971" s="22" t="s">
        <v>108</v>
      </c>
      <c r="J7971" s="23">
        <v>48</v>
      </c>
      <c r="K7971" s="37">
        <v>0</v>
      </c>
      <c r="L7971" s="37">
        <v>3</v>
      </c>
      <c r="M7971" s="22">
        <f>IF(OR(ISBLANK(C7971),C7971=""),"",ROUND((C7971-B7971)*24,2))</f>
        <v>82.9</v>
      </c>
      <c r="N7971" s="38" t="str">
        <f>IF(OR(ISBLANK(C7971),C7971="",M7971=""),"In Progress",IF(M7971&lt;=J7971,"Met","Breached"))</f>
        <v>Breached</v>
      </c>
    </row>
    <row r="7972" ht="19" customHeight="1" spans="1:14" x14ac:dyDescent="0.25">
      <c r="A7972" s="19" t="s">
        <v>8086</v>
      </c>
      <c r="B7972" s="33">
        <v>46011.21736111111</v>
      </c>
      <c r="C7972" s="33">
        <v>46017.601388888885</v>
      </c>
      <c r="D7972" s="19" t="s">
        <v>36</v>
      </c>
      <c r="E7972" s="19" t="s">
        <v>69</v>
      </c>
      <c r="F7972" s="19" t="s">
        <v>43</v>
      </c>
      <c r="G7972" s="19" t="s">
        <v>126</v>
      </c>
      <c r="H7972" s="19" t="s">
        <v>59</v>
      </c>
      <c r="I7972" s="19" t="s">
        <v>123</v>
      </c>
      <c r="J7972" s="20">
        <v>120</v>
      </c>
      <c r="K7972" s="34">
        <v>0</v>
      </c>
      <c r="L7972" s="34">
        <v>4</v>
      </c>
      <c r="M7972" s="19">
        <f>IF(OR(ISBLANK(C7972),C7972=""),"",ROUND((C7972-B7972)*24,2))</f>
        <v>153.22</v>
      </c>
      <c r="N7972" s="39" t="str">
        <f>IF(OR(ISBLANK(C7972),C7972="",M7972=""),"In Progress",IF(M7972&lt;=J7972,"Met","Breached"))</f>
        <v>Breached</v>
      </c>
    </row>
    <row r="7973" ht="19" customHeight="1" spans="1:14" x14ac:dyDescent="0.25">
      <c r="A7973" s="22" t="s">
        <v>8087</v>
      </c>
      <c r="B7973" s="36">
        <v>45770.25486111111</v>
      </c>
      <c r="D7973" s="22" t="s">
        <v>39</v>
      </c>
      <c r="E7973" s="22" t="s">
        <v>65</v>
      </c>
      <c r="F7973" s="22" t="s">
        <v>34</v>
      </c>
      <c r="G7973" s="22" t="s">
        <v>116</v>
      </c>
      <c r="H7973" s="22" t="s">
        <v>59</v>
      </c>
      <c r="I7973" s="22" t="s">
        <v>108</v>
      </c>
      <c r="J7973" s="23">
        <v>48</v>
      </c>
      <c r="K7973" s="37">
        <v>0</v>
      </c>
      <c r="M7973" s="22" t="str">
        <f>IF(OR(ISBLANK(C7973),C7973=""),"",ROUND((C7973-B7973)*24,2))</f>
        <v/>
      </c>
      <c r="N7973" s="22" t="str">
        <f>IF(OR(ISBLANK(C7973),C7973="",M7973=""),"In Progress",IF(M7973&lt;=J7973,"Met","Breached"))</f>
        <v>In Progress</v>
      </c>
    </row>
    <row r="7974" ht="19" customHeight="1" spans="1:14" x14ac:dyDescent="0.25">
      <c r="A7974" s="19" t="s">
        <v>8088</v>
      </c>
      <c r="B7974" s="33">
        <v>45766.75</v>
      </c>
      <c r="C7974" s="33">
        <v>45773.58541666667</v>
      </c>
      <c r="D7974" s="19" t="s">
        <v>36</v>
      </c>
      <c r="E7974" s="19" t="s">
        <v>69</v>
      </c>
      <c r="F7974" s="19" t="s">
        <v>43</v>
      </c>
      <c r="G7974" s="19" t="s">
        <v>113</v>
      </c>
      <c r="H7974" s="19" t="s">
        <v>59</v>
      </c>
      <c r="I7974" s="19" t="s">
        <v>111</v>
      </c>
      <c r="J7974" s="20">
        <v>120</v>
      </c>
      <c r="K7974" s="34">
        <v>0</v>
      </c>
      <c r="M7974" s="19">
        <f>IF(OR(ISBLANK(C7974),C7974=""),"",ROUND((C7974-B7974)*24,2))</f>
        <v>164.05</v>
      </c>
      <c r="N7974" s="39" t="str">
        <f>IF(OR(ISBLANK(C7974),C7974="",M7974=""),"In Progress",IF(M7974&lt;=J7974,"Met","Breached"))</f>
        <v>Breached</v>
      </c>
    </row>
    <row r="7975" ht="19" customHeight="1" spans="1:14" x14ac:dyDescent="0.25">
      <c r="A7975" s="22" t="s">
        <v>8089</v>
      </c>
      <c r="B7975" s="36">
        <v>45701.304861111115</v>
      </c>
      <c r="C7975" s="36">
        <v>45702.15069444444</v>
      </c>
      <c r="D7975" s="22" t="s">
        <v>33</v>
      </c>
      <c r="E7975" s="22" t="s">
        <v>61</v>
      </c>
      <c r="F7975" s="22" t="s">
        <v>45</v>
      </c>
      <c r="G7975" s="22" t="s">
        <v>121</v>
      </c>
      <c r="H7975" s="22" t="s">
        <v>59</v>
      </c>
      <c r="I7975" s="22" t="s">
        <v>117</v>
      </c>
      <c r="J7975" s="23">
        <v>12</v>
      </c>
      <c r="K7975" s="37">
        <v>0</v>
      </c>
      <c r="M7975" s="22">
        <f>IF(OR(ISBLANK(C7975),C7975=""),"",ROUND((C7975-B7975)*24,2))</f>
        <v>20.3</v>
      </c>
      <c r="N7975" s="38" t="str">
        <f>IF(OR(ISBLANK(C7975),C7975="",M7975=""),"In Progress",IF(M7975&lt;=J7975,"Met","Breached"))</f>
        <v>Breached</v>
      </c>
    </row>
    <row r="7976" ht="19" customHeight="1" spans="1:14" x14ac:dyDescent="0.25">
      <c r="A7976" s="19" t="s">
        <v>8090</v>
      </c>
      <c r="B7976" s="33">
        <v>45929.95972222222</v>
      </c>
      <c r="D7976" s="19" t="s">
        <v>42</v>
      </c>
      <c r="E7976" s="19" t="s">
        <v>65</v>
      </c>
      <c r="F7976" s="19" t="s">
        <v>34</v>
      </c>
      <c r="G7976" s="19" t="s">
        <v>110</v>
      </c>
      <c r="H7976" s="19" t="s">
        <v>59</v>
      </c>
      <c r="I7976" s="19" t="s">
        <v>111</v>
      </c>
      <c r="J7976" s="20">
        <v>48</v>
      </c>
      <c r="K7976" s="34">
        <v>0</v>
      </c>
      <c r="M7976" s="19" t="str">
        <f>IF(OR(ISBLANK(C7976),C7976=""),"",ROUND((C7976-B7976)*24,2))</f>
        <v/>
      </c>
      <c r="N7976" s="19" t="str">
        <f>IF(OR(ISBLANK(C7976),C7976="",M7976=""),"In Progress",IF(M7976&lt;=J7976,"Met","Breached"))</f>
        <v>In Progress</v>
      </c>
    </row>
    <row r="7977" ht="19" customHeight="1" spans="1:14" x14ac:dyDescent="0.25">
      <c r="A7977" s="22" t="s">
        <v>8091</v>
      </c>
      <c r="B7977" s="36">
        <v>45683.353472222225</v>
      </c>
      <c r="C7977" s="36">
        <v>45684.87430555555</v>
      </c>
      <c r="D7977" s="22" t="s">
        <v>33</v>
      </c>
      <c r="E7977" s="22" t="s">
        <v>69</v>
      </c>
      <c r="F7977" s="22" t="s">
        <v>40</v>
      </c>
      <c r="G7977" s="22" t="s">
        <v>110</v>
      </c>
      <c r="H7977" s="22" t="s">
        <v>67</v>
      </c>
      <c r="I7977" s="22" t="s">
        <v>114</v>
      </c>
      <c r="J7977" s="23">
        <v>120</v>
      </c>
      <c r="K7977" s="37">
        <v>1</v>
      </c>
      <c r="M7977" s="22">
        <f>IF(OR(ISBLANK(C7977),C7977=""),"",ROUND((C7977-B7977)*24,2))</f>
        <v>36.5</v>
      </c>
      <c r="N7977" s="40" t="str">
        <f>IF(OR(ISBLANK(C7977),C7977="",M7977=""),"In Progress",IF(M7977&lt;=J7977,"Met","Breached"))</f>
        <v>Met</v>
      </c>
    </row>
    <row r="7978" ht="19" customHeight="1" spans="1:14" x14ac:dyDescent="0.25">
      <c r="A7978" s="19" t="s">
        <v>8092</v>
      </c>
      <c r="B7978" s="33">
        <v>46162.775</v>
      </c>
      <c r="C7978" s="33">
        <v>46168.05902777778</v>
      </c>
      <c r="D7978" s="19" t="s">
        <v>36</v>
      </c>
      <c r="E7978" s="19" t="s">
        <v>69</v>
      </c>
      <c r="F7978" s="19" t="s">
        <v>43</v>
      </c>
      <c r="G7978" s="19" t="s">
        <v>63</v>
      </c>
      <c r="H7978" s="19" t="s">
        <v>59</v>
      </c>
      <c r="I7978" s="19" t="s">
        <v>147</v>
      </c>
      <c r="J7978" s="20">
        <v>120</v>
      </c>
      <c r="K7978" s="34">
        <v>0</v>
      </c>
      <c r="L7978" s="34">
        <v>2</v>
      </c>
      <c r="M7978" s="19">
        <f>IF(OR(ISBLANK(C7978),C7978=""),"",ROUND((C7978-B7978)*24,2))</f>
        <v>126.82</v>
      </c>
      <c r="N7978" s="39" t="str">
        <f>IF(OR(ISBLANK(C7978),C7978="",M7978=""),"In Progress",IF(M7978&lt;=J7978,"Met","Breached"))</f>
        <v>Breached</v>
      </c>
    </row>
    <row r="7979" ht="19" customHeight="1" spans="1:14" x14ac:dyDescent="0.25">
      <c r="A7979" s="22" t="s">
        <v>8093</v>
      </c>
      <c r="B7979" s="36">
        <v>46265.28402777778</v>
      </c>
      <c r="D7979" s="22" t="s">
        <v>42</v>
      </c>
      <c r="E7979" s="22" t="s">
        <v>65</v>
      </c>
      <c r="F7979" s="22" t="s">
        <v>45</v>
      </c>
      <c r="G7979" s="22" t="s">
        <v>126</v>
      </c>
      <c r="H7979" s="22" t="s">
        <v>59</v>
      </c>
      <c r="I7979" s="22" t="s">
        <v>147</v>
      </c>
      <c r="J7979" s="23">
        <v>48</v>
      </c>
      <c r="K7979" s="37">
        <v>0</v>
      </c>
      <c r="M7979" s="22" t="str">
        <f>IF(OR(ISBLANK(C7979),C7979=""),"",ROUND((C7979-B7979)*24,2))</f>
        <v/>
      </c>
      <c r="N7979" s="22" t="str">
        <f>IF(OR(ISBLANK(C7979),C7979="",M7979=""),"In Progress",IF(M7979&lt;=J7979,"Met","Breached"))</f>
        <v>In Progress</v>
      </c>
    </row>
    <row r="7980" ht="19" customHeight="1" spans="1:14" x14ac:dyDescent="0.25">
      <c r="A7980" s="19" t="s">
        <v>8094</v>
      </c>
      <c r="B7980" s="33">
        <v>45821.736805555556</v>
      </c>
      <c r="C7980" s="33">
        <v>45824.88888888889</v>
      </c>
      <c r="D7980" s="19" t="s">
        <v>33</v>
      </c>
      <c r="E7980" s="19" t="s">
        <v>65</v>
      </c>
      <c r="F7980" s="19" t="s">
        <v>43</v>
      </c>
      <c r="G7980" s="19" t="s">
        <v>121</v>
      </c>
      <c r="H7980" s="19" t="s">
        <v>59</v>
      </c>
      <c r="I7980" s="19" t="s">
        <v>147</v>
      </c>
      <c r="J7980" s="20">
        <v>48</v>
      </c>
      <c r="K7980" s="34">
        <v>0</v>
      </c>
      <c r="L7980" s="34">
        <v>4</v>
      </c>
      <c r="M7980" s="19">
        <f>IF(OR(ISBLANK(C7980),C7980=""),"",ROUND((C7980-B7980)*24,2))</f>
        <v>75.65</v>
      </c>
      <c r="N7980" s="39" t="str">
        <f>IF(OR(ISBLANK(C7980),C7980="",M7980=""),"In Progress",IF(M7980&lt;=J7980,"Met","Breached"))</f>
        <v>Breached</v>
      </c>
    </row>
    <row r="7981" ht="19" customHeight="1" spans="1:14" x14ac:dyDescent="0.25">
      <c r="A7981" s="22" t="s">
        <v>8095</v>
      </c>
      <c r="B7981" s="36">
        <v>46201.74375</v>
      </c>
      <c r="C7981" s="36">
        <v>46205.2625</v>
      </c>
      <c r="D7981" s="22" t="s">
        <v>33</v>
      </c>
      <c r="E7981" s="22" t="s">
        <v>65</v>
      </c>
      <c r="F7981" s="22" t="s">
        <v>43</v>
      </c>
      <c r="G7981" s="22" t="s">
        <v>126</v>
      </c>
      <c r="H7981" s="22" t="s">
        <v>63</v>
      </c>
      <c r="I7981" s="22" t="s">
        <v>117</v>
      </c>
      <c r="J7981" s="23">
        <v>48</v>
      </c>
      <c r="K7981" s="37">
        <v>0</v>
      </c>
      <c r="L7981" s="37">
        <v>4</v>
      </c>
      <c r="M7981" s="22">
        <f>IF(OR(ISBLANK(C7981),C7981=""),"",ROUND((C7981-B7981)*24,2))</f>
        <v>84.45</v>
      </c>
      <c r="N7981" s="38" t="str">
        <f>IF(OR(ISBLANK(C7981),C7981="",M7981=""),"In Progress",IF(M7981&lt;=J7981,"Met","Breached"))</f>
        <v>Breached</v>
      </c>
    </row>
    <row r="7982" ht="19" customHeight="1" spans="1:14" x14ac:dyDescent="0.25">
      <c r="A7982" s="19" t="s">
        <v>8096</v>
      </c>
      <c r="B7982" s="33">
        <v>45899.65972222222</v>
      </c>
      <c r="D7982" s="19" t="s">
        <v>39</v>
      </c>
      <c r="E7982" s="19" t="s">
        <v>65</v>
      </c>
      <c r="F7982" s="19" t="s">
        <v>34</v>
      </c>
      <c r="G7982" s="19" t="s">
        <v>63</v>
      </c>
      <c r="H7982" s="19" t="s">
        <v>59</v>
      </c>
      <c r="I7982" s="19" t="s">
        <v>111</v>
      </c>
      <c r="J7982" s="20">
        <v>48</v>
      </c>
      <c r="K7982" s="34">
        <v>0</v>
      </c>
      <c r="M7982" s="19" t="str">
        <f>IF(OR(ISBLANK(C7982),C7982=""),"",ROUND((C7982-B7982)*24,2))</f>
        <v/>
      </c>
      <c r="N7982" s="19" t="str">
        <f>IF(OR(ISBLANK(C7982),C7982="",M7982=""),"In Progress",IF(M7982&lt;=J7982,"Met","Breached"))</f>
        <v>In Progress</v>
      </c>
    </row>
    <row r="7983" ht="19" customHeight="1" spans="1:14" x14ac:dyDescent="0.25">
      <c r="A7983" s="22" t="s">
        <v>8097</v>
      </c>
      <c r="B7983" s="36">
        <v>45956.97222222222</v>
      </c>
      <c r="D7983" s="22" t="s">
        <v>39</v>
      </c>
      <c r="E7983" s="22" t="s">
        <v>65</v>
      </c>
      <c r="F7983" s="22" t="s">
        <v>37</v>
      </c>
      <c r="G7983" s="22" t="s">
        <v>121</v>
      </c>
      <c r="H7983" s="22" t="s">
        <v>63</v>
      </c>
      <c r="I7983" s="22" t="s">
        <v>123</v>
      </c>
      <c r="J7983" s="23">
        <v>48</v>
      </c>
      <c r="K7983" s="37">
        <v>0</v>
      </c>
      <c r="M7983" s="22" t="str">
        <f>IF(OR(ISBLANK(C7983),C7983=""),"",ROUND((C7983-B7983)*24,2))</f>
        <v/>
      </c>
      <c r="N7983" s="22" t="str">
        <f>IF(OR(ISBLANK(C7983),C7983="",M7983=""),"In Progress",IF(M7983&lt;=J7983,"Met","Breached"))</f>
        <v>In Progress</v>
      </c>
    </row>
    <row r="7984" ht="19" customHeight="1" spans="1:14" x14ac:dyDescent="0.25">
      <c r="A7984" s="19" t="s">
        <v>8098</v>
      </c>
      <c r="B7984" s="33">
        <v>45817.774305555555</v>
      </c>
      <c r="C7984" s="33">
        <v>45818.03055555555</v>
      </c>
      <c r="D7984" s="19" t="s">
        <v>33</v>
      </c>
      <c r="E7984" s="19" t="s">
        <v>61</v>
      </c>
      <c r="F7984" s="19" t="s">
        <v>37</v>
      </c>
      <c r="G7984" s="19" t="s">
        <v>63</v>
      </c>
      <c r="H7984" s="19" t="s">
        <v>59</v>
      </c>
      <c r="I7984" s="19" t="s">
        <v>114</v>
      </c>
      <c r="J7984" s="20">
        <v>12</v>
      </c>
      <c r="K7984" s="34">
        <v>0</v>
      </c>
      <c r="L7984" s="34">
        <v>4</v>
      </c>
      <c r="M7984" s="19">
        <f>IF(OR(ISBLANK(C7984),C7984=""),"",ROUND((C7984-B7984)*24,2))</f>
        <v>6.15</v>
      </c>
      <c r="N7984" s="35" t="str">
        <f>IF(OR(ISBLANK(C7984),C7984="",M7984=""),"In Progress",IF(M7984&lt;=J7984,"Met","Breached"))</f>
        <v>Met</v>
      </c>
    </row>
    <row r="7985" ht="19" customHeight="1" spans="1:14" x14ac:dyDescent="0.25">
      <c r="A7985" s="22" t="s">
        <v>8099</v>
      </c>
      <c r="B7985" s="36">
        <v>45913.209027777775</v>
      </c>
      <c r="C7985" s="36">
        <v>45916.56319444445</v>
      </c>
      <c r="D7985" s="22" t="s">
        <v>33</v>
      </c>
      <c r="E7985" s="22" t="s">
        <v>65</v>
      </c>
      <c r="F7985" s="22" t="s">
        <v>34</v>
      </c>
      <c r="G7985" s="22" t="s">
        <v>126</v>
      </c>
      <c r="H7985" s="22" t="s">
        <v>59</v>
      </c>
      <c r="I7985" s="22" t="s">
        <v>111</v>
      </c>
      <c r="J7985" s="23">
        <v>48</v>
      </c>
      <c r="K7985" s="37">
        <v>0</v>
      </c>
      <c r="L7985" s="37">
        <v>5</v>
      </c>
      <c r="M7985" s="22">
        <f>IF(OR(ISBLANK(C7985),C7985=""),"",ROUND((C7985-B7985)*24,2))</f>
        <v>80.5</v>
      </c>
      <c r="N7985" s="38" t="str">
        <f>IF(OR(ISBLANK(C7985),C7985="",M7985=""),"In Progress",IF(M7985&lt;=J7985,"Met","Breached"))</f>
        <v>Breached</v>
      </c>
    </row>
    <row r="7986" ht="19" customHeight="1" spans="1:14" x14ac:dyDescent="0.25">
      <c r="A7986" s="19" t="s">
        <v>8100</v>
      </c>
      <c r="B7986" s="33">
        <v>45700.634722222225</v>
      </c>
      <c r="C7986" s="33">
        <v>45700.78472222222</v>
      </c>
      <c r="D7986" s="19" t="s">
        <v>36</v>
      </c>
      <c r="E7986" s="19" t="s">
        <v>61</v>
      </c>
      <c r="F7986" s="19" t="s">
        <v>40</v>
      </c>
      <c r="G7986" s="19" t="s">
        <v>121</v>
      </c>
      <c r="H7986" s="19" t="s">
        <v>59</v>
      </c>
      <c r="I7986" s="19" t="s">
        <v>114</v>
      </c>
      <c r="J7986" s="20">
        <v>12</v>
      </c>
      <c r="K7986" s="34">
        <v>0</v>
      </c>
      <c r="M7986" s="19">
        <f>IF(OR(ISBLANK(C7986),C7986=""),"",ROUND((C7986-B7986)*24,2))</f>
        <v>3.6</v>
      </c>
      <c r="N7986" s="35" t="str">
        <f>IF(OR(ISBLANK(C7986),C7986="",M7986=""),"In Progress",IF(M7986&lt;=J7986,"Met","Breached"))</f>
        <v>Met</v>
      </c>
    </row>
    <row r="7987" ht="19" customHeight="1" spans="1:14" x14ac:dyDescent="0.25">
      <c r="A7987" s="22" t="s">
        <v>8101</v>
      </c>
      <c r="B7987" s="36">
        <v>45708.27569444444</v>
      </c>
      <c r="C7987" s="36">
        <v>45708.32986111111</v>
      </c>
      <c r="D7987" s="22" t="s">
        <v>33</v>
      </c>
      <c r="E7987" s="22" t="s">
        <v>57</v>
      </c>
      <c r="F7987" s="22" t="s">
        <v>34</v>
      </c>
      <c r="G7987" s="22" t="s">
        <v>126</v>
      </c>
      <c r="H7987" s="22" t="s">
        <v>59</v>
      </c>
      <c r="I7987" s="22" t="s">
        <v>108</v>
      </c>
      <c r="J7987" s="23">
        <v>4</v>
      </c>
      <c r="K7987" s="37">
        <v>0</v>
      </c>
      <c r="L7987" s="37">
        <v>5</v>
      </c>
      <c r="M7987" s="22">
        <f>IF(OR(ISBLANK(C7987),C7987=""),"",ROUND((C7987-B7987)*24,2))</f>
        <v>1.3</v>
      </c>
      <c r="N7987" s="40" t="str">
        <f>IF(OR(ISBLANK(C7987),C7987="",M7987=""),"In Progress",IF(M7987&lt;=J7987,"Met","Breached"))</f>
        <v>Met</v>
      </c>
    </row>
    <row r="7988" ht="19" customHeight="1" spans="1:14" x14ac:dyDescent="0.25">
      <c r="A7988" s="19" t="s">
        <v>8102</v>
      </c>
      <c r="B7988" s="33">
        <v>45858.308333333334</v>
      </c>
      <c r="C7988" s="33">
        <v>45860.93611111111</v>
      </c>
      <c r="D7988" s="19" t="s">
        <v>33</v>
      </c>
      <c r="E7988" s="19" t="s">
        <v>65</v>
      </c>
      <c r="F7988" s="19" t="s">
        <v>34</v>
      </c>
      <c r="G7988" s="19" t="s">
        <v>121</v>
      </c>
      <c r="H7988" s="19" t="s">
        <v>63</v>
      </c>
      <c r="I7988" s="19" t="s">
        <v>117</v>
      </c>
      <c r="J7988" s="20">
        <v>48</v>
      </c>
      <c r="K7988" s="34">
        <v>0</v>
      </c>
      <c r="L7988" s="34">
        <v>4</v>
      </c>
      <c r="M7988" s="19">
        <f>IF(OR(ISBLANK(C7988),C7988=""),"",ROUND((C7988-B7988)*24,2))</f>
        <v>63.07</v>
      </c>
      <c r="N7988" s="39" t="str">
        <f>IF(OR(ISBLANK(C7988),C7988="",M7988=""),"In Progress",IF(M7988&lt;=J7988,"Met","Breached"))</f>
        <v>Breached</v>
      </c>
    </row>
    <row r="7989" ht="19" customHeight="1" spans="1:14" x14ac:dyDescent="0.25">
      <c r="A7989" s="22" t="s">
        <v>8103</v>
      </c>
      <c r="B7989" s="36">
        <v>46127.15625</v>
      </c>
      <c r="C7989" s="36">
        <v>46129.95416666666</v>
      </c>
      <c r="D7989" s="22" t="s">
        <v>33</v>
      </c>
      <c r="E7989" s="22" t="s">
        <v>65</v>
      </c>
      <c r="F7989" s="22" t="s">
        <v>37</v>
      </c>
      <c r="G7989" s="22" t="s">
        <v>126</v>
      </c>
      <c r="H7989" s="22" t="s">
        <v>63</v>
      </c>
      <c r="I7989" s="22" t="s">
        <v>117</v>
      </c>
      <c r="J7989" s="23">
        <v>48</v>
      </c>
      <c r="K7989" s="37">
        <v>0</v>
      </c>
      <c r="L7989" s="37">
        <v>3</v>
      </c>
      <c r="M7989" s="22">
        <f>IF(OR(ISBLANK(C7989),C7989=""),"",ROUND((C7989-B7989)*24,2))</f>
        <v>67.15</v>
      </c>
      <c r="N7989" s="38" t="str">
        <f>IF(OR(ISBLANK(C7989),C7989="",M7989=""),"In Progress",IF(M7989&lt;=J7989,"Met","Breached"))</f>
        <v>Breached</v>
      </c>
    </row>
    <row r="7990" ht="19" customHeight="1" spans="1:14" x14ac:dyDescent="0.25">
      <c r="A7990" s="19" t="s">
        <v>8104</v>
      </c>
      <c r="B7990" s="33">
        <v>46209.197222222225</v>
      </c>
      <c r="C7990" s="33">
        <v>46211.91180555556</v>
      </c>
      <c r="D7990" s="19" t="s">
        <v>33</v>
      </c>
      <c r="E7990" s="19" t="s">
        <v>65</v>
      </c>
      <c r="F7990" s="19" t="s">
        <v>34</v>
      </c>
      <c r="G7990" s="19" t="s">
        <v>113</v>
      </c>
      <c r="H7990" s="19" t="s">
        <v>67</v>
      </c>
      <c r="I7990" s="19" t="s">
        <v>123</v>
      </c>
      <c r="J7990" s="20">
        <v>48</v>
      </c>
      <c r="K7990" s="34">
        <v>0</v>
      </c>
      <c r="L7990" s="34">
        <v>5</v>
      </c>
      <c r="M7990" s="19">
        <f>IF(OR(ISBLANK(C7990),C7990=""),"",ROUND((C7990-B7990)*24,2))</f>
        <v>65.15</v>
      </c>
      <c r="N7990" s="39" t="str">
        <f>IF(OR(ISBLANK(C7990),C7990="",M7990=""),"In Progress",IF(M7990&lt;=J7990,"Met","Breached"))</f>
        <v>Breached</v>
      </c>
    </row>
    <row r="7991" ht="19" customHeight="1" spans="1:14" x14ac:dyDescent="0.25">
      <c r="A7991" s="22" t="s">
        <v>8105</v>
      </c>
      <c r="B7991" s="36">
        <v>46233.1375</v>
      </c>
      <c r="C7991" s="36">
        <v>46236.680555555555</v>
      </c>
      <c r="D7991" s="22" t="s">
        <v>36</v>
      </c>
      <c r="E7991" s="22" t="s">
        <v>65</v>
      </c>
      <c r="F7991" s="22" t="s">
        <v>43</v>
      </c>
      <c r="G7991" s="22" t="s">
        <v>116</v>
      </c>
      <c r="H7991" s="22" t="s">
        <v>71</v>
      </c>
      <c r="I7991" s="22" t="s">
        <v>111</v>
      </c>
      <c r="J7991" s="23">
        <v>48</v>
      </c>
      <c r="K7991" s="37">
        <v>0</v>
      </c>
      <c r="M7991" s="22">
        <f>IF(OR(ISBLANK(C7991),C7991=""),"",ROUND((C7991-B7991)*24,2))</f>
        <v>85.03</v>
      </c>
      <c r="N7991" s="38" t="str">
        <f>IF(OR(ISBLANK(C7991),C7991="",M7991=""),"In Progress",IF(M7991&lt;=J7991,"Met","Breached"))</f>
        <v>Breached</v>
      </c>
    </row>
    <row r="7992" ht="19" customHeight="1" spans="1:14" x14ac:dyDescent="0.25">
      <c r="A7992" s="19" t="s">
        <v>8106</v>
      </c>
      <c r="B7992" s="33">
        <v>46176.93125</v>
      </c>
      <c r="D7992" s="19" t="s">
        <v>39</v>
      </c>
      <c r="E7992" s="19" t="s">
        <v>69</v>
      </c>
      <c r="F7992" s="19" t="s">
        <v>37</v>
      </c>
      <c r="G7992" s="19" t="s">
        <v>110</v>
      </c>
      <c r="H7992" s="19" t="s">
        <v>63</v>
      </c>
      <c r="I7992" s="19" t="s">
        <v>117</v>
      </c>
      <c r="J7992" s="20">
        <v>120</v>
      </c>
      <c r="K7992" s="34">
        <v>0</v>
      </c>
      <c r="M7992" s="19" t="str">
        <f>IF(OR(ISBLANK(C7992),C7992=""),"",ROUND((C7992-B7992)*24,2))</f>
        <v/>
      </c>
      <c r="N7992" s="19" t="str">
        <f>IF(OR(ISBLANK(C7992),C7992="",M7992=""),"In Progress",IF(M7992&lt;=J7992,"Met","Breached"))</f>
        <v>In Progress</v>
      </c>
    </row>
    <row r="7993" ht="19" customHeight="1" spans="1:14" x14ac:dyDescent="0.25">
      <c r="A7993" s="22" t="s">
        <v>8107</v>
      </c>
      <c r="B7993" s="36">
        <v>45890.29027777778</v>
      </c>
      <c r="D7993" s="22" t="s">
        <v>39</v>
      </c>
      <c r="E7993" s="22" t="s">
        <v>69</v>
      </c>
      <c r="F7993" s="22" t="s">
        <v>40</v>
      </c>
      <c r="G7993" s="22" t="s">
        <v>110</v>
      </c>
      <c r="H7993" s="22" t="s">
        <v>63</v>
      </c>
      <c r="I7993" s="22" t="s">
        <v>114</v>
      </c>
      <c r="J7993" s="23">
        <v>120</v>
      </c>
      <c r="K7993" s="37">
        <v>0</v>
      </c>
      <c r="M7993" s="22" t="str">
        <f>IF(OR(ISBLANK(C7993),C7993=""),"",ROUND((C7993-B7993)*24,2))</f>
        <v/>
      </c>
      <c r="N7993" s="22" t="str">
        <f>IF(OR(ISBLANK(C7993),C7993="",M7993=""),"In Progress",IF(M7993&lt;=J7993,"Met","Breached"))</f>
        <v>In Progress</v>
      </c>
    </row>
    <row r="7994" ht="19" customHeight="1" spans="1:14" x14ac:dyDescent="0.25">
      <c r="A7994" s="19" t="s">
        <v>8108</v>
      </c>
      <c r="B7994" s="33">
        <v>45889.84583333333</v>
      </c>
      <c r="C7994" s="33">
        <v>45890.29861111111</v>
      </c>
      <c r="D7994" s="19" t="s">
        <v>33</v>
      </c>
      <c r="E7994" s="19" t="s">
        <v>61</v>
      </c>
      <c r="F7994" s="19" t="s">
        <v>40</v>
      </c>
      <c r="G7994" s="19" t="s">
        <v>121</v>
      </c>
      <c r="H7994" s="19" t="s">
        <v>59</v>
      </c>
      <c r="I7994" s="19" t="s">
        <v>111</v>
      </c>
      <c r="J7994" s="20">
        <v>12</v>
      </c>
      <c r="K7994" s="34">
        <v>0</v>
      </c>
      <c r="L7994" s="34">
        <v>4</v>
      </c>
      <c r="M7994" s="19">
        <f>IF(OR(ISBLANK(C7994),C7994=""),"",ROUND((C7994-B7994)*24,2))</f>
        <v>10.87</v>
      </c>
      <c r="N7994" s="35" t="str">
        <f>IF(OR(ISBLANK(C7994),C7994="",M7994=""),"In Progress",IF(M7994&lt;=J7994,"Met","Breached"))</f>
        <v>Met</v>
      </c>
    </row>
    <row r="7995" ht="19" customHeight="1" spans="1:14" x14ac:dyDescent="0.25">
      <c r="A7995" s="22" t="s">
        <v>8109</v>
      </c>
      <c r="B7995" s="36">
        <v>46109.74513888889</v>
      </c>
      <c r="C7995" s="36">
        <v>46112.174305555556</v>
      </c>
      <c r="D7995" s="22" t="s">
        <v>33</v>
      </c>
      <c r="E7995" s="22" t="s">
        <v>65</v>
      </c>
      <c r="F7995" s="22" t="s">
        <v>34</v>
      </c>
      <c r="G7995" s="22" t="s">
        <v>116</v>
      </c>
      <c r="H7995" s="22" t="s">
        <v>59</v>
      </c>
      <c r="I7995" s="22" t="s">
        <v>111</v>
      </c>
      <c r="J7995" s="23">
        <v>48</v>
      </c>
      <c r="K7995" s="37">
        <v>0</v>
      </c>
      <c r="L7995" s="37">
        <v>3</v>
      </c>
      <c r="M7995" s="22">
        <f>IF(OR(ISBLANK(C7995),C7995=""),"",ROUND((C7995-B7995)*24,2))</f>
        <v>58.3</v>
      </c>
      <c r="N7995" s="38" t="str">
        <f>IF(OR(ISBLANK(C7995),C7995="",M7995=""),"In Progress",IF(M7995&lt;=J7995,"Met","Breached"))</f>
        <v>Breached</v>
      </c>
    </row>
    <row r="7996" ht="19" customHeight="1" spans="1:14" x14ac:dyDescent="0.25">
      <c r="A7996" s="19" t="s">
        <v>8110</v>
      </c>
      <c r="B7996" s="33">
        <v>45786.67847222222</v>
      </c>
      <c r="C7996" s="33">
        <v>45789.54722222222</v>
      </c>
      <c r="D7996" s="19" t="s">
        <v>33</v>
      </c>
      <c r="E7996" s="19" t="s">
        <v>65</v>
      </c>
      <c r="F7996" s="19" t="s">
        <v>34</v>
      </c>
      <c r="G7996" s="19" t="s">
        <v>116</v>
      </c>
      <c r="H7996" s="19" t="s">
        <v>67</v>
      </c>
      <c r="I7996" s="19" t="s">
        <v>108</v>
      </c>
      <c r="J7996" s="20">
        <v>48</v>
      </c>
      <c r="K7996" s="34">
        <v>0</v>
      </c>
      <c r="L7996" s="34">
        <v>3</v>
      </c>
      <c r="M7996" s="19">
        <f>IF(OR(ISBLANK(C7996),C7996=""),"",ROUND((C7996-B7996)*24,2))</f>
        <v>68.85</v>
      </c>
      <c r="N7996" s="39" t="str">
        <f>IF(OR(ISBLANK(C7996),C7996="",M7996=""),"In Progress",IF(M7996&lt;=J7996,"Met","Breached"))</f>
        <v>Breached</v>
      </c>
    </row>
    <row r="7997" ht="19" customHeight="1" spans="1:14" x14ac:dyDescent="0.25">
      <c r="A7997" s="22" t="s">
        <v>8111</v>
      </c>
      <c r="B7997" s="36">
        <v>46126.1125</v>
      </c>
      <c r="C7997" s="36">
        <v>46131.63541666667</v>
      </c>
      <c r="D7997" s="22" t="s">
        <v>33</v>
      </c>
      <c r="E7997" s="22" t="s">
        <v>69</v>
      </c>
      <c r="F7997" s="22" t="s">
        <v>40</v>
      </c>
      <c r="G7997" s="22" t="s">
        <v>126</v>
      </c>
      <c r="H7997" s="22" t="s">
        <v>71</v>
      </c>
      <c r="I7997" s="22" t="s">
        <v>117</v>
      </c>
      <c r="J7997" s="23">
        <v>120</v>
      </c>
      <c r="K7997" s="37">
        <v>0</v>
      </c>
      <c r="L7997" s="37">
        <v>1</v>
      </c>
      <c r="M7997" s="22">
        <f>IF(OR(ISBLANK(C7997),C7997=""),"",ROUND((C7997-B7997)*24,2))</f>
        <v>132.55</v>
      </c>
      <c r="N7997" s="38" t="str">
        <f>IF(OR(ISBLANK(C7997),C7997="",M7997=""),"In Progress",IF(M7997&lt;=J7997,"Met","Breached"))</f>
        <v>Breached</v>
      </c>
    </row>
    <row r="7998" ht="19" customHeight="1" spans="1:14" x14ac:dyDescent="0.25">
      <c r="A7998" s="19" t="s">
        <v>8112</v>
      </c>
      <c r="B7998" s="33">
        <v>45828.481944444444</v>
      </c>
      <c r="C7998" s="33">
        <v>45829.04027777778</v>
      </c>
      <c r="D7998" s="19" t="s">
        <v>33</v>
      </c>
      <c r="E7998" s="19" t="s">
        <v>61</v>
      </c>
      <c r="F7998" s="19" t="s">
        <v>45</v>
      </c>
      <c r="G7998" s="19" t="s">
        <v>113</v>
      </c>
      <c r="H7998" s="19" t="s">
        <v>59</v>
      </c>
      <c r="I7998" s="19" t="s">
        <v>108</v>
      </c>
      <c r="J7998" s="20">
        <v>12</v>
      </c>
      <c r="K7998" s="34">
        <v>0</v>
      </c>
      <c r="L7998" s="34">
        <v>3</v>
      </c>
      <c r="M7998" s="19">
        <f>IF(OR(ISBLANK(C7998),C7998=""),"",ROUND((C7998-B7998)*24,2))</f>
        <v>13.4</v>
      </c>
      <c r="N7998" s="39" t="str">
        <f>IF(OR(ISBLANK(C7998),C7998="",M7998=""),"In Progress",IF(M7998&lt;=J7998,"Met","Breached"))</f>
        <v>Breached</v>
      </c>
    </row>
    <row r="7999" ht="19" customHeight="1" spans="1:14" x14ac:dyDescent="0.25">
      <c r="A7999" s="22" t="s">
        <v>8113</v>
      </c>
      <c r="B7999" s="36">
        <v>46182.13402777778</v>
      </c>
      <c r="C7999" s="36">
        <v>46184.62569444445</v>
      </c>
      <c r="D7999" s="22" t="s">
        <v>36</v>
      </c>
      <c r="E7999" s="22" t="s">
        <v>69</v>
      </c>
      <c r="F7999" s="22" t="s">
        <v>45</v>
      </c>
      <c r="G7999" s="22" t="s">
        <v>113</v>
      </c>
      <c r="H7999" s="22" t="s">
        <v>59</v>
      </c>
      <c r="I7999" s="22" t="s">
        <v>147</v>
      </c>
      <c r="J7999" s="23">
        <v>120</v>
      </c>
      <c r="K7999" s="37">
        <v>0</v>
      </c>
      <c r="M7999" s="22">
        <f>IF(OR(ISBLANK(C7999),C7999=""),"",ROUND((C7999-B7999)*24,2))</f>
        <v>59.8</v>
      </c>
      <c r="N7999" s="40" t="str">
        <f>IF(OR(ISBLANK(C7999),C7999="",M7999=""),"In Progress",IF(M7999&lt;=J7999,"Met","Breached"))</f>
        <v>Met</v>
      </c>
    </row>
    <row r="8000" ht="19" customHeight="1" spans="1:14" x14ac:dyDescent="0.25">
      <c r="A8000" s="19" t="s">
        <v>8114</v>
      </c>
      <c r="B8000" s="33">
        <v>46256.93472222222</v>
      </c>
      <c r="C8000" s="33">
        <v>46259.21875</v>
      </c>
      <c r="D8000" s="19" t="s">
        <v>33</v>
      </c>
      <c r="E8000" s="19" t="s">
        <v>65</v>
      </c>
      <c r="F8000" s="19" t="s">
        <v>34</v>
      </c>
      <c r="G8000" s="19" t="s">
        <v>116</v>
      </c>
      <c r="H8000" s="19" t="s">
        <v>59</v>
      </c>
      <c r="I8000" s="19" t="s">
        <v>147</v>
      </c>
      <c r="J8000" s="20">
        <v>48</v>
      </c>
      <c r="K8000" s="34">
        <v>0</v>
      </c>
      <c r="L8000" s="34">
        <v>3</v>
      </c>
      <c r="M8000" s="19">
        <f>IF(OR(ISBLANK(C8000),C8000=""),"",ROUND((C8000-B8000)*24,2))</f>
        <v>54.82</v>
      </c>
      <c r="N8000" s="39" t="str">
        <f>IF(OR(ISBLANK(C8000),C8000="",M8000=""),"In Progress",IF(M8000&lt;=J8000,"Met","Breached"))</f>
        <v>Breached</v>
      </c>
    </row>
    <row r="8001" ht="19" customHeight="1" spans="1:14" x14ac:dyDescent="0.25">
      <c r="A8001" s="22" t="s">
        <v>8115</v>
      </c>
      <c r="B8001" s="36">
        <v>45794.28680555556</v>
      </c>
      <c r="C8001" s="36">
        <v>45796.19652777778</v>
      </c>
      <c r="D8001" s="22" t="s">
        <v>36</v>
      </c>
      <c r="E8001" s="22" t="s">
        <v>69</v>
      </c>
      <c r="F8001" s="22" t="s">
        <v>37</v>
      </c>
      <c r="G8001" s="22" t="s">
        <v>116</v>
      </c>
      <c r="H8001" s="22" t="s">
        <v>63</v>
      </c>
      <c r="I8001" s="22" t="s">
        <v>111</v>
      </c>
      <c r="J8001" s="23">
        <v>120</v>
      </c>
      <c r="K8001" s="37">
        <v>0</v>
      </c>
      <c r="L8001" s="37">
        <v>4</v>
      </c>
      <c r="M8001" s="22">
        <f>IF(OR(ISBLANK(C8001),C8001=""),"",ROUND((C8001-B8001)*24,2))</f>
        <v>45.83</v>
      </c>
      <c r="N8001" s="40" t="str">
        <f>IF(OR(ISBLANK(C8001),C8001="",M8001=""),"In Progress",IF(M8001&lt;=J8001,"Met","Breached"))</f>
        <v>Met</v>
      </c>
    </row>
    <row r="8002" ht="19" customHeight="1" spans="1:14" x14ac:dyDescent="0.25">
      <c r="A8002" s="19" t="s">
        <v>8116</v>
      </c>
      <c r="B8002" s="33">
        <v>45666.80347222222</v>
      </c>
      <c r="D8002" s="19" t="s">
        <v>42</v>
      </c>
      <c r="E8002" s="19" t="s">
        <v>65</v>
      </c>
      <c r="F8002" s="19" t="s">
        <v>40</v>
      </c>
      <c r="G8002" s="19" t="s">
        <v>116</v>
      </c>
      <c r="H8002" s="19" t="s">
        <v>71</v>
      </c>
      <c r="I8002" s="19" t="s">
        <v>123</v>
      </c>
      <c r="J8002" s="20">
        <v>48</v>
      </c>
      <c r="K8002" s="34">
        <v>0</v>
      </c>
      <c r="M8002" s="19" t="str">
        <f>IF(OR(ISBLANK(C8002),C8002=""),"",ROUND((C8002-B8002)*24,2))</f>
        <v/>
      </c>
      <c r="N8002" s="19" t="str">
        <f>IF(OR(ISBLANK(C8002),C8002="",M8002=""),"In Progress",IF(M8002&lt;=J8002,"Met","Breached"))</f>
        <v>In Progress</v>
      </c>
    </row>
    <row r="8003" ht="19" customHeight="1" spans="1:14" x14ac:dyDescent="0.25">
      <c r="A8003" s="22" t="s">
        <v>8117</v>
      </c>
      <c r="B8003" s="36">
        <v>46181.39375</v>
      </c>
      <c r="D8003" s="22" t="s">
        <v>39</v>
      </c>
      <c r="E8003" s="22" t="s">
        <v>65</v>
      </c>
      <c r="F8003" s="22" t="s">
        <v>43</v>
      </c>
      <c r="G8003" s="22" t="s">
        <v>113</v>
      </c>
      <c r="H8003" s="22" t="s">
        <v>63</v>
      </c>
      <c r="I8003" s="22" t="s">
        <v>108</v>
      </c>
      <c r="J8003" s="23">
        <v>48</v>
      </c>
      <c r="K8003" s="37">
        <v>0</v>
      </c>
      <c r="M8003" s="22" t="str">
        <f>IF(OR(ISBLANK(C8003),C8003=""),"",ROUND((C8003-B8003)*24,2))</f>
        <v/>
      </c>
      <c r="N8003" s="22" t="str">
        <f>IF(OR(ISBLANK(C8003),C8003="",M8003=""),"In Progress",IF(M8003&lt;=J8003,"Met","Breached"))</f>
        <v>In Progress</v>
      </c>
    </row>
    <row r="8004" ht="24" customHeight="1" spans="1:14" x14ac:dyDescent="0.25">
      <c r="A8004" s="41" t="s">
        <v>8118</v>
      </c>
      <c r="B8004" s="41" t="s">
        <v>8119</v>
      </c>
      <c r="C8004" s="41" t="s">
        <v>8119</v>
      </c>
      <c r="D8004" s="41" t="s">
        <v>8119</v>
      </c>
      <c r="E8004" s="41" t="s">
        <v>8119</v>
      </c>
      <c r="F8004" s="41" t="s">
        <v>8119</v>
      </c>
      <c r="G8004" s="41" t="s">
        <v>8119</v>
      </c>
      <c r="H8004" s="41" t="s">
        <v>8119</v>
      </c>
      <c r="I8004" s="41" t="s">
        <v>8119</v>
      </c>
      <c r="J8004" s="42">
        <f>AVERAGE(J4:J8003)</f>
        <v>53.32</v>
      </c>
      <c r="K8004" s="43">
        <f>SUM(K4:K8003)</f>
        <v>415</v>
      </c>
      <c r="L8004" s="44">
        <f>AVERAGE(L4:L8003)</f>
        <v>2.9627329192546585</v>
      </c>
      <c r="M8004" s="45">
        <f>AVERAGEIF(M4:M8003,"&gt;0")</f>
        <v>55.608194870140366</v>
      </c>
      <c r="N8004" s="46">
        <f>COUNTIF(N4:N8003,"Met")/(COUNTIF(N4:N8003,"Met")+COUNTIF(N4:N8003,"Breached"))</f>
        <v>0.47185029843523146</v>
      </c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uBV6Cqd++pXQTbBInNncvi9a91RYueMKy2ceH2fGHmDEDF/BFe2onUPkNIPTEV0pRniX1egn05Hw1QaQCn7zMg==" saltValue="wz0TcGlpbFTVLceQG8v16Q==" spinCount="100000"/>
  <autoFilter ref="A3:N8003"/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H34"/>
  <sheetViews>
    <sheetView workbookViewId="0"/>
  </sheetViews>
  <sheetFormatPr defaultRowHeight="15" outlineLevelRow="0" outlineLevelCol="0" x14ac:dyDescent="55"/>
  <cols>
    <col min="1" max="1" width="22" customWidth="1"/>
    <col min="2" max="2" width="18" customWidth="1"/>
    <col min="3" max="6" width="14" customWidth="1"/>
    <col min="7" max="7" width="16" customWidth="1"/>
    <col min="8" max="8" width="18" customWidth="1"/>
  </cols>
  <sheetData>
    <row r="1" ht="26" customHeight="1" spans="1:8" x14ac:dyDescent="0.25">
      <c r="A1" s="28" t="s">
        <v>8120</v>
      </c>
      <c r="B1" s="28"/>
      <c r="C1" s="28"/>
      <c r="D1" s="28"/>
      <c r="E1" s="28"/>
      <c r="F1" s="28"/>
      <c r="G1" s="28"/>
      <c r="H1" s="28"/>
    </row>
    <row r="3" spans="1:8" x14ac:dyDescent="0.25">
      <c r="A3" s="47" t="s">
        <v>28</v>
      </c>
      <c r="B3" s="47" t="s">
        <v>101</v>
      </c>
      <c r="C3" s="48" t="s">
        <v>8121</v>
      </c>
      <c r="D3" s="48" t="s">
        <v>23</v>
      </c>
      <c r="E3" s="48" t="s">
        <v>24</v>
      </c>
      <c r="F3" s="48" t="s">
        <v>30</v>
      </c>
      <c r="G3" s="48" t="s">
        <v>8122</v>
      </c>
      <c r="H3" s="48" t="s">
        <v>8123</v>
      </c>
    </row>
    <row r="4" ht="19" customHeight="1" spans="1:8" x14ac:dyDescent="0.25">
      <c r="A4" s="19" t="s">
        <v>34</v>
      </c>
      <c r="B4" s="19" t="s">
        <v>123</v>
      </c>
      <c r="C4" s="20">
        <v>307</v>
      </c>
      <c r="D4" s="20">
        <v>242</v>
      </c>
      <c r="E4" s="20">
        <v>109</v>
      </c>
      <c r="F4" s="20">
        <v>133</v>
      </c>
      <c r="G4" s="21">
        <v>0.45041322314049587</v>
      </c>
      <c r="H4" s="49">
        <v>60.964807162534484</v>
      </c>
    </row>
    <row r="5" ht="19" customHeight="1" spans="1:8" x14ac:dyDescent="0.25">
      <c r="A5" s="22" t="s">
        <v>34</v>
      </c>
      <c r="B5" s="22" t="s">
        <v>147</v>
      </c>
      <c r="C5" s="23">
        <v>272</v>
      </c>
      <c r="D5" s="23">
        <v>212</v>
      </c>
      <c r="E5" s="23">
        <v>110</v>
      </c>
      <c r="F5" s="23">
        <v>102</v>
      </c>
      <c r="G5" s="24">
        <v>0.5188679245283019</v>
      </c>
      <c r="H5" s="50">
        <v>55.549213836478</v>
      </c>
    </row>
    <row r="6" ht="19" customHeight="1" spans="1:8" x14ac:dyDescent="0.25">
      <c r="A6" s="19" t="s">
        <v>34</v>
      </c>
      <c r="B6" s="19" t="s">
        <v>108</v>
      </c>
      <c r="C6" s="20">
        <v>287</v>
      </c>
      <c r="D6" s="20">
        <v>223</v>
      </c>
      <c r="E6" s="20">
        <v>101</v>
      </c>
      <c r="F6" s="20">
        <v>122</v>
      </c>
      <c r="G6" s="21">
        <v>0.452914798206278</v>
      </c>
      <c r="H6" s="49">
        <v>55.72503736920778</v>
      </c>
    </row>
    <row r="7" ht="19" customHeight="1" spans="1:8" x14ac:dyDescent="0.25">
      <c r="A7" s="22" t="s">
        <v>34</v>
      </c>
      <c r="B7" s="22" t="s">
        <v>117</v>
      </c>
      <c r="C7" s="23">
        <v>274</v>
      </c>
      <c r="D7" s="23">
        <v>211</v>
      </c>
      <c r="E7" s="23">
        <v>103</v>
      </c>
      <c r="F7" s="23">
        <v>108</v>
      </c>
      <c r="G7" s="24">
        <v>0.4881516587677725</v>
      </c>
      <c r="H7" s="50">
        <v>55.09533965244862</v>
      </c>
    </row>
    <row r="8" ht="19" customHeight="1" spans="1:8" x14ac:dyDescent="0.25">
      <c r="A8" s="19" t="s">
        <v>34</v>
      </c>
      <c r="B8" s="19" t="s">
        <v>114</v>
      </c>
      <c r="C8" s="20">
        <v>243</v>
      </c>
      <c r="D8" s="20">
        <v>193</v>
      </c>
      <c r="E8" s="20">
        <v>97</v>
      </c>
      <c r="F8" s="20">
        <v>96</v>
      </c>
      <c r="G8" s="21">
        <v>0.5025906735751295</v>
      </c>
      <c r="H8" s="49">
        <v>56.79257340241796</v>
      </c>
    </row>
    <row r="9" ht="19" customHeight="1" spans="1:8" x14ac:dyDescent="0.25">
      <c r="A9" s="22" t="s">
        <v>34</v>
      </c>
      <c r="B9" s="22" t="s">
        <v>111</v>
      </c>
      <c r="C9" s="23">
        <v>273</v>
      </c>
      <c r="D9" s="23">
        <v>212</v>
      </c>
      <c r="E9" s="23">
        <v>96</v>
      </c>
      <c r="F9" s="23">
        <v>116</v>
      </c>
      <c r="G9" s="24">
        <v>0.4528301886792453</v>
      </c>
      <c r="H9" s="50">
        <v>55.2693396226415</v>
      </c>
    </row>
    <row r="10" ht="19" customHeight="1" spans="1:8" x14ac:dyDescent="0.25">
      <c r="A10" s="19" t="s">
        <v>37</v>
      </c>
      <c r="B10" s="19" t="s">
        <v>123</v>
      </c>
      <c r="C10" s="20">
        <v>292</v>
      </c>
      <c r="D10" s="20">
        <v>222</v>
      </c>
      <c r="E10" s="20">
        <v>103</v>
      </c>
      <c r="F10" s="20">
        <v>119</v>
      </c>
      <c r="G10" s="21">
        <v>0.46396396396396394</v>
      </c>
      <c r="H10" s="49">
        <v>52.14121621621623</v>
      </c>
    </row>
    <row r="11" ht="19" customHeight="1" spans="1:8" x14ac:dyDescent="0.25">
      <c r="A11" s="22" t="s">
        <v>37</v>
      </c>
      <c r="B11" s="22" t="s">
        <v>147</v>
      </c>
      <c r="C11" s="23">
        <v>293</v>
      </c>
      <c r="D11" s="23">
        <v>227</v>
      </c>
      <c r="E11" s="23">
        <v>104</v>
      </c>
      <c r="F11" s="23">
        <v>123</v>
      </c>
      <c r="G11" s="24">
        <v>0.4581497797356828</v>
      </c>
      <c r="H11" s="50">
        <v>53.51292217327458</v>
      </c>
    </row>
    <row r="12" ht="19" customHeight="1" spans="1:8" x14ac:dyDescent="0.25">
      <c r="A12" s="19" t="s">
        <v>37</v>
      </c>
      <c r="B12" s="19" t="s">
        <v>108</v>
      </c>
      <c r="C12" s="20">
        <v>264</v>
      </c>
      <c r="D12" s="20">
        <v>200</v>
      </c>
      <c r="E12" s="20">
        <v>91</v>
      </c>
      <c r="F12" s="20">
        <v>109</v>
      </c>
      <c r="G12" s="21">
        <v>0.455</v>
      </c>
      <c r="H12" s="49">
        <v>54.26483333333336</v>
      </c>
    </row>
    <row r="13" ht="19" customHeight="1" spans="1:8" x14ac:dyDescent="0.25">
      <c r="A13" s="22" t="s">
        <v>37</v>
      </c>
      <c r="B13" s="22" t="s">
        <v>117</v>
      </c>
      <c r="C13" s="23">
        <v>263</v>
      </c>
      <c r="D13" s="23">
        <v>200</v>
      </c>
      <c r="E13" s="23">
        <v>97</v>
      </c>
      <c r="F13" s="23">
        <v>103</v>
      </c>
      <c r="G13" s="24">
        <v>0.485</v>
      </c>
      <c r="H13" s="50">
        <v>51.99774999999999</v>
      </c>
    </row>
    <row r="14" ht="19" customHeight="1" spans="1:8" x14ac:dyDescent="0.25">
      <c r="A14" s="19" t="s">
        <v>37</v>
      </c>
      <c r="B14" s="19" t="s">
        <v>114</v>
      </c>
      <c r="C14" s="20">
        <v>251</v>
      </c>
      <c r="D14" s="20">
        <v>193</v>
      </c>
      <c r="E14" s="20">
        <v>97</v>
      </c>
      <c r="F14" s="20">
        <v>96</v>
      </c>
      <c r="G14" s="21">
        <v>0.5025906735751295</v>
      </c>
      <c r="H14" s="49">
        <v>54.91623488773748</v>
      </c>
    </row>
    <row r="15" ht="19" customHeight="1" spans="1:8" x14ac:dyDescent="0.25">
      <c r="A15" s="22" t="s">
        <v>37</v>
      </c>
      <c r="B15" s="22" t="s">
        <v>111</v>
      </c>
      <c r="C15" s="23">
        <v>253</v>
      </c>
      <c r="D15" s="23">
        <v>200</v>
      </c>
      <c r="E15" s="23">
        <v>94</v>
      </c>
      <c r="F15" s="23">
        <v>106</v>
      </c>
      <c r="G15" s="24">
        <v>0.47</v>
      </c>
      <c r="H15" s="50">
        <v>57.302500000000016</v>
      </c>
    </row>
    <row r="16" ht="19" customHeight="1" spans="1:8" x14ac:dyDescent="0.25">
      <c r="A16" s="19" t="s">
        <v>40</v>
      </c>
      <c r="B16" s="19" t="s">
        <v>123</v>
      </c>
      <c r="C16" s="20">
        <v>288</v>
      </c>
      <c r="D16" s="20">
        <v>221</v>
      </c>
      <c r="E16" s="20">
        <v>105</v>
      </c>
      <c r="F16" s="20">
        <v>116</v>
      </c>
      <c r="G16" s="21">
        <v>0.4751131221719457</v>
      </c>
      <c r="H16" s="49">
        <v>53.73069381598795</v>
      </c>
    </row>
    <row r="17" ht="19" customHeight="1" spans="1:8" x14ac:dyDescent="0.25">
      <c r="A17" s="22" t="s">
        <v>40</v>
      </c>
      <c r="B17" s="22" t="s">
        <v>147</v>
      </c>
      <c r="C17" s="23">
        <v>252</v>
      </c>
      <c r="D17" s="23">
        <v>209</v>
      </c>
      <c r="E17" s="23">
        <v>93</v>
      </c>
      <c r="F17" s="23">
        <v>116</v>
      </c>
      <c r="G17" s="24">
        <v>0.4449760765550239</v>
      </c>
      <c r="H17" s="50">
        <v>59.75167464114837</v>
      </c>
    </row>
    <row r="18" ht="19" customHeight="1" spans="1:8" x14ac:dyDescent="0.25">
      <c r="A18" s="19" t="s">
        <v>40</v>
      </c>
      <c r="B18" s="19" t="s">
        <v>108</v>
      </c>
      <c r="C18" s="20">
        <v>259</v>
      </c>
      <c r="D18" s="20">
        <v>206</v>
      </c>
      <c r="E18" s="20">
        <v>90</v>
      </c>
      <c r="F18" s="20">
        <v>116</v>
      </c>
      <c r="G18" s="21">
        <v>0.4368932038834951</v>
      </c>
      <c r="H18" s="49">
        <v>56.20865695792877</v>
      </c>
    </row>
    <row r="19" ht="19" customHeight="1" spans="1:8" x14ac:dyDescent="0.25">
      <c r="A19" s="22" t="s">
        <v>40</v>
      </c>
      <c r="B19" s="22" t="s">
        <v>117</v>
      </c>
      <c r="C19" s="23">
        <v>265</v>
      </c>
      <c r="D19" s="23">
        <v>206</v>
      </c>
      <c r="E19" s="23">
        <v>101</v>
      </c>
      <c r="F19" s="23">
        <v>105</v>
      </c>
      <c r="G19" s="24">
        <v>0.49029126213592233</v>
      </c>
      <c r="H19" s="50">
        <v>57.51480582524274</v>
      </c>
    </row>
    <row r="20" ht="19" customHeight="1" spans="1:8" x14ac:dyDescent="0.25">
      <c r="A20" s="19" t="s">
        <v>40</v>
      </c>
      <c r="B20" s="19" t="s">
        <v>114</v>
      </c>
      <c r="C20" s="20">
        <v>266</v>
      </c>
      <c r="D20" s="20">
        <v>193</v>
      </c>
      <c r="E20" s="20">
        <v>88</v>
      </c>
      <c r="F20" s="20">
        <v>105</v>
      </c>
      <c r="G20" s="21">
        <v>0.45595854922279794</v>
      </c>
      <c r="H20" s="49">
        <v>54.317443868739204</v>
      </c>
    </row>
    <row r="21" ht="19" customHeight="1" spans="1:8" x14ac:dyDescent="0.25">
      <c r="A21" s="22" t="s">
        <v>40</v>
      </c>
      <c r="B21" s="22" t="s">
        <v>111</v>
      </c>
      <c r="C21" s="23">
        <v>262</v>
      </c>
      <c r="D21" s="23">
        <v>214</v>
      </c>
      <c r="E21" s="23">
        <v>101</v>
      </c>
      <c r="F21" s="23">
        <v>113</v>
      </c>
      <c r="G21" s="24">
        <v>0.4719626168224299</v>
      </c>
      <c r="H21" s="50">
        <v>50.90443925233644</v>
      </c>
    </row>
    <row r="22" ht="19" customHeight="1" spans="1:8" x14ac:dyDescent="0.25">
      <c r="A22" s="19" t="s">
        <v>43</v>
      </c>
      <c r="B22" s="19" t="s">
        <v>123</v>
      </c>
      <c r="C22" s="20">
        <v>263</v>
      </c>
      <c r="D22" s="20">
        <v>205</v>
      </c>
      <c r="E22" s="20">
        <v>102</v>
      </c>
      <c r="F22" s="20">
        <v>103</v>
      </c>
      <c r="G22" s="21">
        <v>0.4975609756097561</v>
      </c>
      <c r="H22" s="49">
        <v>52.23910569105692</v>
      </c>
    </row>
    <row r="23" ht="19" customHeight="1" spans="1:8" x14ac:dyDescent="0.25">
      <c r="A23" s="22" t="s">
        <v>43</v>
      </c>
      <c r="B23" s="22" t="s">
        <v>147</v>
      </c>
      <c r="C23" s="23">
        <v>256</v>
      </c>
      <c r="D23" s="23">
        <v>211</v>
      </c>
      <c r="E23" s="23">
        <v>95</v>
      </c>
      <c r="F23" s="23">
        <v>116</v>
      </c>
      <c r="G23" s="24">
        <v>0.45023696682464454</v>
      </c>
      <c r="H23" s="50">
        <v>62.02480252764613</v>
      </c>
    </row>
    <row r="24" ht="19" customHeight="1" spans="1:8" x14ac:dyDescent="0.25">
      <c r="A24" s="19" t="s">
        <v>43</v>
      </c>
      <c r="B24" s="19" t="s">
        <v>108</v>
      </c>
      <c r="C24" s="20">
        <v>267</v>
      </c>
      <c r="D24" s="20">
        <v>212</v>
      </c>
      <c r="E24" s="20">
        <v>102</v>
      </c>
      <c r="F24" s="20">
        <v>110</v>
      </c>
      <c r="G24" s="21">
        <v>0.4811320754716981</v>
      </c>
      <c r="H24" s="49">
        <v>58.733883647798734</v>
      </c>
    </row>
    <row r="25" ht="19" customHeight="1" spans="1:8" x14ac:dyDescent="0.25">
      <c r="A25" s="22" t="s">
        <v>43</v>
      </c>
      <c r="B25" s="22" t="s">
        <v>117</v>
      </c>
      <c r="C25" s="23">
        <v>266</v>
      </c>
      <c r="D25" s="23">
        <v>196</v>
      </c>
      <c r="E25" s="23">
        <v>97</v>
      </c>
      <c r="F25" s="23">
        <v>99</v>
      </c>
      <c r="G25" s="24">
        <v>0.49489795918367346</v>
      </c>
      <c r="H25" s="50">
        <v>54.297534013605436</v>
      </c>
    </row>
    <row r="26" ht="19" customHeight="1" spans="1:8" x14ac:dyDescent="0.25">
      <c r="A26" s="19" t="s">
        <v>43</v>
      </c>
      <c r="B26" s="19" t="s">
        <v>114</v>
      </c>
      <c r="C26" s="20">
        <v>276</v>
      </c>
      <c r="D26" s="20">
        <v>214</v>
      </c>
      <c r="E26" s="20">
        <v>98</v>
      </c>
      <c r="F26" s="20">
        <v>116</v>
      </c>
      <c r="G26" s="21">
        <v>0.45794392523364486</v>
      </c>
      <c r="H26" s="49">
        <v>53.4318535825545</v>
      </c>
    </row>
    <row r="27" ht="19" customHeight="1" spans="1:8" x14ac:dyDescent="0.25">
      <c r="A27" s="22" t="s">
        <v>43</v>
      </c>
      <c r="B27" s="22" t="s">
        <v>111</v>
      </c>
      <c r="C27" s="23">
        <v>258</v>
      </c>
      <c r="D27" s="23">
        <v>191</v>
      </c>
      <c r="E27" s="23">
        <v>103</v>
      </c>
      <c r="F27" s="23">
        <v>88</v>
      </c>
      <c r="G27" s="24">
        <v>0.5392670157068062</v>
      </c>
      <c r="H27" s="50">
        <v>53.90558464223386</v>
      </c>
    </row>
    <row r="28" ht="19" customHeight="1" spans="1:8" x14ac:dyDescent="0.25">
      <c r="A28" s="19" t="s">
        <v>45</v>
      </c>
      <c r="B28" s="19" t="s">
        <v>123</v>
      </c>
      <c r="C28" s="20">
        <v>252</v>
      </c>
      <c r="D28" s="20">
        <v>183</v>
      </c>
      <c r="E28" s="20">
        <v>81</v>
      </c>
      <c r="F28" s="20">
        <v>102</v>
      </c>
      <c r="G28" s="21">
        <v>0.4426229508196721</v>
      </c>
      <c r="H28" s="49">
        <v>56.90956284153004</v>
      </c>
    </row>
    <row r="29" ht="19" customHeight="1" spans="1:8" x14ac:dyDescent="0.25">
      <c r="A29" s="22" t="s">
        <v>45</v>
      </c>
      <c r="B29" s="22" t="s">
        <v>147</v>
      </c>
      <c r="C29" s="23">
        <v>271</v>
      </c>
      <c r="D29" s="23">
        <v>215</v>
      </c>
      <c r="E29" s="23">
        <v>98</v>
      </c>
      <c r="F29" s="23">
        <v>117</v>
      </c>
      <c r="G29" s="24">
        <v>0.4558139534883721</v>
      </c>
      <c r="H29" s="50">
        <v>57.35759689922487</v>
      </c>
    </row>
    <row r="30" ht="19" customHeight="1" spans="1:8" x14ac:dyDescent="0.25">
      <c r="A30" s="19" t="s">
        <v>45</v>
      </c>
      <c r="B30" s="19" t="s">
        <v>108</v>
      </c>
      <c r="C30" s="20">
        <v>256</v>
      </c>
      <c r="D30" s="20">
        <v>201</v>
      </c>
      <c r="E30" s="20">
        <v>88</v>
      </c>
      <c r="F30" s="20">
        <v>113</v>
      </c>
      <c r="G30" s="21">
        <v>0.43781094527363185</v>
      </c>
      <c r="H30" s="49">
        <v>56.950414593698184</v>
      </c>
    </row>
    <row r="31" ht="19" customHeight="1" spans="1:8" x14ac:dyDescent="0.25">
      <c r="A31" s="22" t="s">
        <v>45</v>
      </c>
      <c r="B31" s="22" t="s">
        <v>117</v>
      </c>
      <c r="C31" s="23">
        <v>263</v>
      </c>
      <c r="D31" s="23">
        <v>190</v>
      </c>
      <c r="E31" s="23">
        <v>90</v>
      </c>
      <c r="F31" s="23">
        <v>100</v>
      </c>
      <c r="G31" s="24">
        <v>0.47368421052631576</v>
      </c>
      <c r="H31" s="50">
        <v>53.60035087719298</v>
      </c>
    </row>
    <row r="32" ht="19" customHeight="1" spans="1:8" x14ac:dyDescent="0.25">
      <c r="A32" s="19" t="s">
        <v>45</v>
      </c>
      <c r="B32" s="19" t="s">
        <v>114</v>
      </c>
      <c r="C32" s="20">
        <v>263</v>
      </c>
      <c r="D32" s="20">
        <v>209</v>
      </c>
      <c r="E32" s="20">
        <v>91</v>
      </c>
      <c r="F32" s="20">
        <v>118</v>
      </c>
      <c r="G32" s="21">
        <v>0.4354066985645933</v>
      </c>
      <c r="H32" s="49">
        <v>56.38532695374803</v>
      </c>
    </row>
    <row r="33" ht="19" customHeight="1" spans="1:8" x14ac:dyDescent="0.25">
      <c r="A33" s="22" t="s">
        <v>45</v>
      </c>
      <c r="B33" s="22" t="s">
        <v>111</v>
      </c>
      <c r="C33" s="23">
        <v>245</v>
      </c>
      <c r="D33" s="23">
        <v>188</v>
      </c>
      <c r="E33" s="23">
        <v>100</v>
      </c>
      <c r="F33" s="23">
        <v>88</v>
      </c>
      <c r="G33" s="24">
        <v>0.5319148936170213</v>
      </c>
      <c r="H33" s="50">
        <v>55.701329787234044</v>
      </c>
    </row>
    <row r="34" ht="24" customHeight="1" spans="1:8" x14ac:dyDescent="0.25">
      <c r="A34" s="41" t="s">
        <v>8124</v>
      </c>
      <c r="B34" s="41" t="s">
        <v>8125</v>
      </c>
      <c r="C34" s="51">
        <f>SUM(C4:C33)</f>
        <v>8000</v>
      </c>
      <c r="D34" s="51">
        <f>SUM(D4:D33)</f>
        <v>6199</v>
      </c>
      <c r="E34" s="51">
        <f>SUM(E4:E33)</f>
        <v>2925</v>
      </c>
      <c r="F34" s="51">
        <f>SUM(F4:F33)</f>
        <v>3274</v>
      </c>
      <c r="G34" s="46">
        <f>IF(D34&gt;0, E34/(E34+F34), 0)</f>
        <v>0.47185029843523146</v>
      </c>
      <c r="H34" s="52">
        <f>AVERAGEIF(H4:H33,"&gt;0")</f>
        <v>55.608194870140366</v>
      </c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CN2v8cWOWvRzcipfWKtSdW1yIvjTmbbHcUoGVpn9gZtBS8/7MWPtdcd/a02SJAR/LUk4LNiTC3DvJ09M4eW3Bg==" saltValue="P/lRKtuhkWEwCQ8VE5+Hig==" spinCount="100000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F9"/>
  <sheetViews>
    <sheetView workbookViewId="0"/>
  </sheetViews>
  <sheetFormatPr defaultRowHeight="15" outlineLevelRow="0" outlineLevelCol="0" x14ac:dyDescent="55"/>
  <cols>
    <col min="1" max="1" width="22" customWidth="1"/>
    <col min="2" max="5" width="16" customWidth="1"/>
    <col min="6" max="6" width="18" customWidth="1"/>
  </cols>
  <sheetData>
    <row r="1" ht="26" customHeight="1" spans="1:6" x14ac:dyDescent="0.25">
      <c r="A1" s="28" t="s">
        <v>8126</v>
      </c>
      <c r="B1" s="28"/>
      <c r="C1" s="28"/>
      <c r="D1" s="28"/>
      <c r="E1" s="28"/>
      <c r="F1" s="28"/>
    </row>
    <row r="3" spans="1:6" x14ac:dyDescent="0.25">
      <c r="A3" s="53" t="s">
        <v>28</v>
      </c>
      <c r="B3" s="54" t="s">
        <v>57</v>
      </c>
      <c r="C3" s="54" t="s">
        <v>61</v>
      </c>
      <c r="D3" s="54" t="s">
        <v>65</v>
      </c>
      <c r="E3" s="54" t="s">
        <v>69</v>
      </c>
      <c r="F3" s="54" t="s">
        <v>8127</v>
      </c>
    </row>
    <row r="4" ht="20" customHeight="1" spans="1:6" x14ac:dyDescent="0.25">
      <c r="A4" s="19" t="s">
        <v>34</v>
      </c>
      <c r="B4" s="20">
        <v>124</v>
      </c>
      <c r="C4" s="20">
        <v>364</v>
      </c>
      <c r="D4" s="20">
        <v>772</v>
      </c>
      <c r="E4" s="20">
        <v>396</v>
      </c>
      <c r="F4" s="20">
        <f>SUM(B4:E4)</f>
        <v>1656</v>
      </c>
    </row>
    <row r="5" ht="20" customHeight="1" spans="1:6" x14ac:dyDescent="0.25">
      <c r="A5" s="22" t="s">
        <v>37</v>
      </c>
      <c r="B5" s="23">
        <v>119</v>
      </c>
      <c r="C5" s="23">
        <v>379</v>
      </c>
      <c r="D5" s="23">
        <v>751</v>
      </c>
      <c r="E5" s="23">
        <v>367</v>
      </c>
      <c r="F5" s="23">
        <f>SUM(B5:E5)</f>
        <v>1616</v>
      </c>
    </row>
    <row r="6" ht="20" customHeight="1" spans="1:6" x14ac:dyDescent="0.25">
      <c r="A6" s="19" t="s">
        <v>40</v>
      </c>
      <c r="B6" s="20">
        <v>141</v>
      </c>
      <c r="C6" s="20">
        <v>366</v>
      </c>
      <c r="D6" s="20">
        <v>706</v>
      </c>
      <c r="E6" s="20">
        <v>379</v>
      </c>
      <c r="F6" s="20">
        <f>SUM(B6:E6)</f>
        <v>1592</v>
      </c>
    </row>
    <row r="7" ht="20" customHeight="1" spans="1:6" x14ac:dyDescent="0.25">
      <c r="A7" s="22" t="s">
        <v>43</v>
      </c>
      <c r="B7" s="23">
        <v>136</v>
      </c>
      <c r="C7" s="23">
        <v>327</v>
      </c>
      <c r="D7" s="23">
        <v>749</v>
      </c>
      <c r="E7" s="23">
        <v>374</v>
      </c>
      <c r="F7" s="23">
        <f>SUM(B7:E7)</f>
        <v>1586</v>
      </c>
    </row>
    <row r="8" ht="20" customHeight="1" spans="1:6" x14ac:dyDescent="0.25">
      <c r="A8" s="19" t="s">
        <v>45</v>
      </c>
      <c r="B8" s="20">
        <v>121</v>
      </c>
      <c r="C8" s="20">
        <v>350</v>
      </c>
      <c r="D8" s="20">
        <v>719</v>
      </c>
      <c r="E8" s="20">
        <v>360</v>
      </c>
      <c r="F8" s="20">
        <f>SUM(B8:E8)</f>
        <v>1550</v>
      </c>
    </row>
    <row r="9" ht="24" customHeight="1" spans="1:6" x14ac:dyDescent="0.25">
      <c r="A9" s="41" t="s">
        <v>8128</v>
      </c>
      <c r="B9" s="51">
        <f>SUM(B4:B8)</f>
        <v>641</v>
      </c>
      <c r="C9" s="51">
        <f>SUM(C4:C8)</f>
        <v>1786</v>
      </c>
      <c r="D9" s="51">
        <f>SUM(D4:D8)</f>
        <v>3697</v>
      </c>
      <c r="E9" s="51">
        <f>SUM(E4:E8)</f>
        <v>1876</v>
      </c>
      <c r="F9" s="51">
        <f>SUM(F4:F8)</f>
        <v>8000</v>
      </c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21m3lqF/H71MbppuQEdd0hjdGp32fiN1msy019DUEKr1OXUXvJFij7rLsDXlqEO6A6dSmkiZO1oigqPqkqc9xw==" saltValue="r2eC9N3LC5CJo36SNdAncQ==" spinCount="100000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H9"/>
  <sheetViews>
    <sheetView workbookViewId="0"/>
  </sheetViews>
  <sheetFormatPr defaultRowHeight="15" outlineLevelRow="0" outlineLevelCol="0" x14ac:dyDescent="55"/>
  <cols>
    <col min="1" max="1" width="22" customWidth="1"/>
    <col min="2" max="6" width="14" customWidth="1"/>
    <col min="7" max="8" width="16" customWidth="1"/>
  </cols>
  <sheetData>
    <row r="1" ht="26" customHeight="1" spans="1:8" x14ac:dyDescent="0.25">
      <c r="A1" s="28" t="s">
        <v>8129</v>
      </c>
      <c r="B1" s="28"/>
      <c r="C1" s="28"/>
      <c r="D1" s="28"/>
      <c r="E1" s="28"/>
      <c r="F1" s="28"/>
      <c r="G1" s="28"/>
      <c r="H1" s="28"/>
    </row>
    <row r="3" spans="1:8" x14ac:dyDescent="0.25">
      <c r="A3" s="53" t="s">
        <v>28</v>
      </c>
      <c r="B3" s="54" t="s">
        <v>82</v>
      </c>
      <c r="C3" s="54" t="s">
        <v>84</v>
      </c>
      <c r="D3" s="54" t="s">
        <v>86</v>
      </c>
      <c r="E3" s="54" t="s">
        <v>88</v>
      </c>
      <c r="F3" s="54" t="s">
        <v>90</v>
      </c>
      <c r="G3" s="54" t="s">
        <v>8130</v>
      </c>
      <c r="H3" s="54" t="s">
        <v>8131</v>
      </c>
    </row>
    <row r="4" ht="20" customHeight="1" spans="1:8" x14ac:dyDescent="0.25">
      <c r="A4" s="19" t="s">
        <v>34</v>
      </c>
      <c r="B4" s="20">
        <v>187</v>
      </c>
      <c r="C4" s="20">
        <v>174</v>
      </c>
      <c r="D4" s="20">
        <v>202</v>
      </c>
      <c r="E4" s="20">
        <v>176</v>
      </c>
      <c r="F4" s="20">
        <v>184</v>
      </c>
      <c r="G4" s="20">
        <f>SUM(B4:F4)</f>
        <v>923</v>
      </c>
      <c r="H4" s="55">
        <f>IF(G4&gt;0, (B4*1+C4*2+D4*3+E4*4+F4*5)/G4, 0)</f>
        <v>2.9956663055254604</v>
      </c>
    </row>
    <row r="5" ht="20" customHeight="1" spans="1:8" x14ac:dyDescent="0.25">
      <c r="A5" s="22" t="s">
        <v>37</v>
      </c>
      <c r="B5" s="23">
        <v>198</v>
      </c>
      <c r="C5" s="23">
        <v>198</v>
      </c>
      <c r="D5" s="23">
        <v>162</v>
      </c>
      <c r="E5" s="23">
        <v>181</v>
      </c>
      <c r="F5" s="23">
        <v>176</v>
      </c>
      <c r="G5" s="23">
        <f>SUM(B5:F5)</f>
        <v>915</v>
      </c>
      <c r="H5" s="56">
        <f>IF(G5&gt;0, (B5*1+C5*2+D5*3+E5*4+F5*5)/G5, 0)</f>
        <v>2.933333333333333</v>
      </c>
    </row>
    <row r="6" ht="20" customHeight="1" spans="1:8" x14ac:dyDescent="0.25">
      <c r="A6" s="19" t="s">
        <v>40</v>
      </c>
      <c r="B6" s="20">
        <v>197</v>
      </c>
      <c r="C6" s="20">
        <v>181</v>
      </c>
      <c r="D6" s="20">
        <v>206</v>
      </c>
      <c r="E6" s="20">
        <v>171</v>
      </c>
      <c r="F6" s="20">
        <v>187</v>
      </c>
      <c r="G6" s="20">
        <f>SUM(B6:F6)</f>
        <v>942</v>
      </c>
      <c r="H6" s="55">
        <f>IF(G6&gt;0, (B6*1+C6*2+D6*3+E6*4+F6*5)/G6, 0)</f>
        <v>2.968152866242038</v>
      </c>
    </row>
    <row r="7" ht="20" customHeight="1" spans="1:8" x14ac:dyDescent="0.25">
      <c r="A7" s="22" t="s">
        <v>43</v>
      </c>
      <c r="B7" s="23">
        <v>185</v>
      </c>
      <c r="C7" s="23">
        <v>173</v>
      </c>
      <c r="D7" s="23">
        <v>168</v>
      </c>
      <c r="E7" s="23">
        <v>173</v>
      </c>
      <c r="F7" s="23">
        <v>174</v>
      </c>
      <c r="G7" s="23">
        <f>SUM(B7:F7)</f>
        <v>873</v>
      </c>
      <c r="H7" s="56">
        <f>IF(G7&gt;0, (B7*1+C7*2+D7*3+E7*4+F7*5)/G7, 0)</f>
        <v>2.974799541809851</v>
      </c>
    </row>
    <row r="8" ht="20" customHeight="1" spans="1:8" x14ac:dyDescent="0.25">
      <c r="A8" s="19" t="s">
        <v>45</v>
      </c>
      <c r="B8" s="20">
        <v>169</v>
      </c>
      <c r="C8" s="20">
        <v>190</v>
      </c>
      <c r="D8" s="20">
        <v>176</v>
      </c>
      <c r="E8" s="20">
        <v>163</v>
      </c>
      <c r="F8" s="20">
        <v>157</v>
      </c>
      <c r="G8" s="20">
        <f>SUM(B8:F8)</f>
        <v>855</v>
      </c>
      <c r="H8" s="55">
        <f>IF(G8&gt;0, (B8*1+C8*2+D8*3+E8*4+F8*5)/G8, 0)</f>
        <v>2.9403508771929823</v>
      </c>
    </row>
    <row r="9" ht="24" customHeight="1" spans="1:8" x14ac:dyDescent="0.25">
      <c r="A9" s="41" t="s">
        <v>8132</v>
      </c>
      <c r="B9" s="51">
        <f>SUM(B4:B8)</f>
        <v>936</v>
      </c>
      <c r="C9" s="51">
        <f>SUM(C4:C8)</f>
        <v>916</v>
      </c>
      <c r="D9" s="51">
        <f>SUM(D4:D8)</f>
        <v>914</v>
      </c>
      <c r="E9" s="51">
        <f>SUM(E4:E8)</f>
        <v>864</v>
      </c>
      <c r="F9" s="51">
        <f>SUM(F4:F8)</f>
        <v>878</v>
      </c>
      <c r="G9" s="51">
        <f>SUM(G4:G8)</f>
        <v>4508</v>
      </c>
      <c r="H9" s="44">
        <f>IF(G9&gt;0, (B9*1+C9*2+D9*3+E9*4+F9*5)/G9, 0)</f>
        <v>2.9627329192546585</v>
      </c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fDH1j4Zr6plfxMXNEF0fZopEjvcBi+WO5ib2zAbWBAXtzdpWJZ5V1HbpeX1pniyxOI6zqA/ZgSaIE0eq3j0nAg==" saltValue="KiiogfyWY8SUKzOBwB0hOg==" spinCount="100000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K27"/>
  <sheetViews>
    <sheetView workbookViewId="0"/>
  </sheetViews>
  <sheetFormatPr defaultRowHeight="15" outlineLevelRow="0" outlineLevelCol="0" x14ac:dyDescent="55"/>
  <cols>
    <col min="1" max="1" width="14" customWidth="1"/>
    <col min="2" max="2" width="30" customWidth="1"/>
    <col min="3" max="4" width="16" customWidth="1"/>
    <col min="5" max="5" width="18" customWidth="1"/>
    <col min="6" max="6" width="20" customWidth="1"/>
    <col min="7" max="7" width="22" customWidth="1"/>
    <col min="8" max="9" width="12" customWidth="1"/>
    <col min="10" max="10" width="14" customWidth="1"/>
    <col min="11" max="11" width="48" customWidth="1"/>
  </cols>
  <sheetData>
    <row r="1" ht="26" customHeight="1" spans="1:11" x14ac:dyDescent="0.25">
      <c r="A1" s="28" t="s">
        <v>8133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ht="22" customHeight="1" spans="1:11" x14ac:dyDescent="0.25">
      <c r="A2" s="57" t="str">
        <f>IF(COUNTIF(J5:J10,"FAIL")=0,"AUDIT STATUS: VERIFIED — 100% RECONCILED (0 DISCREPANCIES)","AUDIT STATUS: FAILED — RECONCILIATION MISMATCH DETECTED")</f>
        <v>AUDIT STATUS: VERIFIED — 100% RECONCILED (0 DISCREPANCIES)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4" ht="22" customHeight="1" spans="1:11" x14ac:dyDescent="0.25">
      <c r="A4" s="15" t="s">
        <v>8134</v>
      </c>
      <c r="B4" s="15" t="s">
        <v>8135</v>
      </c>
      <c r="C4" s="16" t="s">
        <v>8136</v>
      </c>
      <c r="D4" s="16" t="s">
        <v>8137</v>
      </c>
      <c r="E4" s="16" t="s">
        <v>8138</v>
      </c>
      <c r="F4" s="15" t="s">
        <v>8139</v>
      </c>
      <c r="G4" s="15" t="s">
        <v>8140</v>
      </c>
      <c r="H4" s="16" t="s">
        <v>8141</v>
      </c>
      <c r="I4" s="16" t="s">
        <v>8142</v>
      </c>
      <c r="J4" s="58" t="s">
        <v>8143</v>
      </c>
      <c r="K4" s="15" t="s">
        <v>8144</v>
      </c>
    </row>
    <row r="5" ht="20" customHeight="1" spans="1:11" x14ac:dyDescent="0.25">
      <c r="A5" s="59" t="s">
        <v>8145</v>
      </c>
      <c r="B5" s="19" t="s">
        <v>8146</v>
      </c>
      <c r="C5" s="20">
        <v>8000</v>
      </c>
      <c r="D5" s="20">
        <v>8000</v>
      </c>
      <c r="E5" s="20">
        <v>8000</v>
      </c>
      <c r="F5" s="20">
        <f>'Service Desk Overview'!B7</f>
        <v>8000</v>
      </c>
      <c r="G5" s="20">
        <f>COUNTA('Ticket Operations Ledger'!A4:A8003)</f>
        <v>8000</v>
      </c>
      <c r="H5" s="60">
        <f>ABS(F5-G5)</f>
        <v>0</v>
      </c>
      <c r="I5" s="60">
        <v>0</v>
      </c>
      <c r="J5" s="61" t="str">
        <f>IF(H5&lt;=I5,"PASS","FAIL")</f>
        <v>PASS</v>
      </c>
      <c r="K5" s="19" t="s">
        <v>8147</v>
      </c>
    </row>
    <row r="6" ht="20" customHeight="1" spans="1:11" x14ac:dyDescent="0.25">
      <c r="A6" s="62" t="s">
        <v>8148</v>
      </c>
      <c r="B6" s="22" t="s">
        <v>8149</v>
      </c>
      <c r="C6" s="23">
        <v>6199</v>
      </c>
      <c r="D6" s="23">
        <v>8000</v>
      </c>
      <c r="E6" s="23">
        <v>6199</v>
      </c>
      <c r="F6" s="23">
        <f>'Service Desk Overview'!D7</f>
        <v>6199</v>
      </c>
      <c r="G6" s="23">
        <f>COUNTIF('Ticket Operations Ledger'!D4:D8003,"Closed")+COUNTIF('Ticket Operations Ledger'!D4:D8003,"Resolved")</f>
        <v>6199</v>
      </c>
      <c r="H6" s="63">
        <f>ABS(F6-G6)</f>
        <v>0</v>
      </c>
      <c r="I6" s="63">
        <v>0</v>
      </c>
      <c r="J6" s="64" t="str">
        <f>IF(H6&lt;=I6,"PASS","FAIL")</f>
        <v>PASS</v>
      </c>
      <c r="K6" s="22" t="s">
        <v>8150</v>
      </c>
    </row>
    <row r="7" ht="20" customHeight="1" spans="1:11" x14ac:dyDescent="0.25">
      <c r="A7" s="59" t="s">
        <v>8151</v>
      </c>
      <c r="B7" s="19" t="s">
        <v>8152</v>
      </c>
      <c r="C7" s="20">
        <v>2925</v>
      </c>
      <c r="D7" s="20">
        <v>6199</v>
      </c>
      <c r="E7" s="21">
        <v>0.47185029843523146</v>
      </c>
      <c r="F7" s="21">
        <f>'Service Desk Overview'!G7</f>
        <v>0.47185029843523146</v>
      </c>
      <c r="G7" s="21">
        <f>COUNTIF('Ticket Operations Ledger'!N4:N8003,"Met")/(COUNTIF('Ticket Operations Ledger'!N4:N8003,"Met")+COUNTIF('Ticket Operations Ledger'!N4:N8003,"Breached"))</f>
        <v>0.47185029843523146</v>
      </c>
      <c r="H7" s="60">
        <f>ABS(F7-G7)</f>
        <v>0</v>
      </c>
      <c r="I7" s="60">
        <v>0.0001</v>
      </c>
      <c r="J7" s="61" t="str">
        <f>IF(H7&lt;=I7,"PASS","FAIL")</f>
        <v>PASS</v>
      </c>
      <c r="K7" s="19" t="s">
        <v>8153</v>
      </c>
    </row>
    <row r="8" ht="20" customHeight="1" spans="1:11" x14ac:dyDescent="0.25">
      <c r="A8" s="62" t="s">
        <v>8154</v>
      </c>
      <c r="B8" s="22" t="s">
        <v>8155</v>
      </c>
      <c r="C8" s="23">
        <v>344715.2</v>
      </c>
      <c r="D8" s="23">
        <v>6199</v>
      </c>
      <c r="E8" s="50">
        <v>55.608194870140366</v>
      </c>
      <c r="F8" s="50">
        <f>'Service Desk Overview'!J7</f>
        <v>55.608194870140366</v>
      </c>
      <c r="G8" s="50">
        <f>AVERAGEIF('Ticket Operations Ledger'!M4:M8003,"&gt;0")</f>
        <v>55.608194870140366</v>
      </c>
      <c r="H8" s="63">
        <f>ABS(F8-G8)</f>
        <v>0</v>
      </c>
      <c r="I8" s="63">
        <v>0.01</v>
      </c>
      <c r="J8" s="64" t="str">
        <f>IF(H8&lt;=I8,"PASS","FAIL")</f>
        <v>PASS</v>
      </c>
      <c r="K8" s="22" t="s">
        <v>8156</v>
      </c>
    </row>
    <row r="9" ht="20" customHeight="1" spans="1:11" x14ac:dyDescent="0.25">
      <c r="A9" s="59" t="s">
        <v>8157</v>
      </c>
      <c r="B9" s="19" t="s">
        <v>8158</v>
      </c>
      <c r="C9" s="20">
        <v>415</v>
      </c>
      <c r="D9" s="20">
        <v>8000</v>
      </c>
      <c r="E9" s="20">
        <v>415</v>
      </c>
      <c r="F9" s="20">
        <f>'Service Desk Overview'!M7</f>
        <v>415</v>
      </c>
      <c r="G9" s="20">
        <f>SUM('Ticket Operations Ledger'!K4:K8003)</f>
        <v>415</v>
      </c>
      <c r="H9" s="60">
        <f>ABS(F9-G9)</f>
        <v>0</v>
      </c>
      <c r="I9" s="60">
        <v>0</v>
      </c>
      <c r="J9" s="61" t="str">
        <f>IF(H9&lt;=I9,"PASS","FAIL")</f>
        <v>PASS</v>
      </c>
      <c r="K9" s="19" t="s">
        <v>8159</v>
      </c>
    </row>
    <row r="10" ht="20" customHeight="1" spans="1:11" x14ac:dyDescent="0.25">
      <c r="A10" s="62" t="s">
        <v>8160</v>
      </c>
      <c r="B10" s="22" t="s">
        <v>8161</v>
      </c>
      <c r="C10" s="23">
        <v>13356</v>
      </c>
      <c r="D10" s="23">
        <v>4508</v>
      </c>
      <c r="E10" s="65">
        <v>2.9627329192546585</v>
      </c>
      <c r="F10" s="65">
        <f>'Service Desk Overview'!O7</f>
        <v>2.9627329192546585</v>
      </c>
      <c r="G10" s="65">
        <f>AVERAGE('Ticket Operations Ledger'!L4:L8003)</f>
        <v>2.9627329192546585</v>
      </c>
      <c r="H10" s="63">
        <f>ABS(F10-G10)</f>
        <v>0</v>
      </c>
      <c r="I10" s="63">
        <v>0.001</v>
      </c>
      <c r="J10" s="64" t="str">
        <f>IF(H10&lt;=I10,"PASS","FAIL")</f>
        <v>PASS</v>
      </c>
      <c r="K10" s="22" t="s">
        <v>8162</v>
      </c>
    </row>
    <row r="12" ht="22" customHeight="1" spans="1:11" x14ac:dyDescent="0.25">
      <c r="A12" s="66" t="s">
        <v>8163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</row>
    <row r="13" ht="20" customHeight="1" spans="1:11" x14ac:dyDescent="0.25">
      <c r="A13" s="59" t="s">
        <v>8164</v>
      </c>
      <c r="B13" s="19" t="s">
        <v>8165</v>
      </c>
      <c r="C13" s="19"/>
      <c r="D13" s="19"/>
      <c r="E13" s="19"/>
      <c r="F13" s="19"/>
      <c r="G13" s="19"/>
      <c r="H13" s="19"/>
      <c r="I13" s="19"/>
      <c r="J13" s="61" t="str">
        <f>IF(('Service Desk Overview'!D7+1801)='Service Desk Overview'!B7,"PASS — BALANCED","FAIL")</f>
        <v>PASS — BALANCED</v>
      </c>
      <c r="K13" s="19" t="s">
        <v>8166</v>
      </c>
    </row>
    <row r="14" ht="20" customHeight="1" spans="1:11" x14ac:dyDescent="0.25">
      <c r="A14" s="62" t="s">
        <v>8167</v>
      </c>
      <c r="B14" s="22" t="s">
        <v>8168</v>
      </c>
      <c r="C14" s="22"/>
      <c r="D14" s="22"/>
      <c r="E14" s="22"/>
      <c r="F14" s="22"/>
      <c r="G14" s="22"/>
      <c r="H14" s="22"/>
      <c r="I14" s="22"/>
      <c r="J14" s="64" t="str">
        <f>IF((COUNTIF('Ticket Operations Ledger'!N4:N8003,"Met")+COUNTIF('Ticket Operations Ledger'!N4:N8003,"Breached"))='Service Desk Overview'!D7,"PASS — BALANCED","FAIL")</f>
        <v>PASS — BALANCED</v>
      </c>
      <c r="K14" s="22" t="s">
        <v>8169</v>
      </c>
    </row>
    <row r="15" ht="20" customHeight="1" spans="1:11" x14ac:dyDescent="0.25">
      <c r="A15" s="59" t="s">
        <v>8170</v>
      </c>
      <c r="B15" s="19" t="s">
        <v>8171</v>
      </c>
      <c r="C15" s="19"/>
      <c r="D15" s="19"/>
      <c r="E15" s="19"/>
      <c r="F15" s="19"/>
      <c r="G15" s="19"/>
      <c r="H15" s="19"/>
      <c r="I15" s="19"/>
      <c r="J15" s="61" t="str">
        <f>IF('Service Desk Overview'!L19='Service Desk Overview'!B7,"PASS — BALANCED","FAIL")</f>
        <v>PASS — BALANCED</v>
      </c>
      <c r="K15" s="19" t="s">
        <v>8172</v>
      </c>
    </row>
    <row r="16" ht="20" customHeight="1" spans="1:11" x14ac:dyDescent="0.25">
      <c r="A16" s="62" t="s">
        <v>8173</v>
      </c>
      <c r="B16" s="22" t="s">
        <v>8174</v>
      </c>
      <c r="C16" s="22"/>
      <c r="D16" s="22"/>
      <c r="E16" s="22"/>
      <c r="F16" s="22"/>
      <c r="G16" s="22"/>
      <c r="H16" s="22"/>
      <c r="I16" s="22"/>
      <c r="J16" s="64" t="str">
        <f>IF('Service Desk Overview'!I26='Service Desk Overview'!B7,"PASS — BALANCED","FAIL")</f>
        <v>PASS — BALANCED</v>
      </c>
      <c r="K16" s="22" t="s">
        <v>8175</v>
      </c>
    </row>
    <row r="17" ht="20" customHeight="1" spans="1:11" x14ac:dyDescent="0.25">
      <c r="A17" s="59" t="s">
        <v>8176</v>
      </c>
      <c r="B17" s="19" t="s">
        <v>8177</v>
      </c>
      <c r="C17" s="19"/>
      <c r="D17" s="19"/>
      <c r="E17" s="19"/>
      <c r="F17" s="19"/>
      <c r="G17" s="19"/>
      <c r="H17" s="19"/>
      <c r="I17" s="19"/>
      <c r="J17" s="61" t="str">
        <f>IF('Service Desk Overview'!L26='Service Desk Overview'!B7,"PASS — BALANCED","FAIL")</f>
        <v>PASS — BALANCED</v>
      </c>
      <c r="K17" s="19" t="s">
        <v>8178</v>
      </c>
    </row>
    <row r="19" ht="22" customHeight="1" spans="1:11" x14ac:dyDescent="0.25">
      <c r="A19" s="66" t="s">
        <v>8179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</row>
    <row r="20" ht="20" customHeight="1" spans="1:11" x14ac:dyDescent="0.25">
      <c r="A20" s="59" t="s">
        <v>8180</v>
      </c>
      <c r="B20" s="19" t="s">
        <v>8181</v>
      </c>
      <c r="C20" s="19"/>
      <c r="D20" s="19"/>
      <c r="E20" s="19"/>
      <c r="F20" s="19"/>
      <c r="G20" s="19"/>
      <c r="H20" s="19"/>
      <c r="I20" s="19"/>
      <c r="J20" s="67" t="s">
        <v>8182</v>
      </c>
      <c r="K20" s="19" t="s">
        <v>8183</v>
      </c>
    </row>
    <row r="21" ht="20" customHeight="1" spans="1:11" x14ac:dyDescent="0.25">
      <c r="A21" s="62" t="s">
        <v>8184</v>
      </c>
      <c r="B21" s="22" t="s">
        <v>8185</v>
      </c>
      <c r="C21" s="22"/>
      <c r="D21" s="22"/>
      <c r="E21" s="22"/>
      <c r="F21" s="22"/>
      <c r="G21" s="22"/>
      <c r="H21" s="22"/>
      <c r="I21" s="22"/>
      <c r="J21" s="64" t="s">
        <v>8186</v>
      </c>
      <c r="K21" s="22" t="s">
        <v>8187</v>
      </c>
    </row>
    <row r="22" ht="20" customHeight="1" spans="1:11" x14ac:dyDescent="0.25">
      <c r="A22" s="59" t="s">
        <v>8188</v>
      </c>
      <c r="B22" s="19" t="s">
        <v>8189</v>
      </c>
      <c r="C22" s="19"/>
      <c r="D22" s="19"/>
      <c r="E22" s="19"/>
      <c r="F22" s="19"/>
      <c r="G22" s="19"/>
      <c r="H22" s="19"/>
      <c r="I22" s="19"/>
      <c r="J22" s="61" t="s">
        <v>8190</v>
      </c>
      <c r="K22" s="19" t="s">
        <v>8191</v>
      </c>
    </row>
    <row r="23" ht="20" customHeight="1" spans="1:11" x14ac:dyDescent="0.25">
      <c r="A23" s="62" t="s">
        <v>8192</v>
      </c>
      <c r="B23" s="22" t="s">
        <v>8193</v>
      </c>
      <c r="C23" s="22"/>
      <c r="D23" s="22"/>
      <c r="E23" s="22"/>
      <c r="F23" s="22"/>
      <c r="G23" s="22"/>
      <c r="H23" s="22"/>
      <c r="I23" s="22"/>
      <c r="J23" s="68" t="s">
        <v>8194</v>
      </c>
      <c r="K23" s="22" t="s">
        <v>8195</v>
      </c>
    </row>
    <row r="24" ht="20" customHeight="1" spans="1:11" x14ac:dyDescent="0.25">
      <c r="A24" s="59" t="s">
        <v>8196</v>
      </c>
      <c r="B24" s="19" t="s">
        <v>8197</v>
      </c>
      <c r="C24" s="19"/>
      <c r="D24" s="19"/>
      <c r="E24" s="19"/>
      <c r="F24" s="19"/>
      <c r="G24" s="19"/>
      <c r="H24" s="19"/>
      <c r="I24" s="19"/>
      <c r="J24" s="61" t="s">
        <v>8198</v>
      </c>
      <c r="K24" s="19" t="s">
        <v>8199</v>
      </c>
    </row>
    <row r="25" ht="20" customHeight="1" spans="1:11" x14ac:dyDescent="0.25">
      <c r="A25" s="62" t="s">
        <v>8200</v>
      </c>
      <c r="B25" s="22" t="s">
        <v>8201</v>
      </c>
      <c r="C25" s="22"/>
      <c r="D25" s="22"/>
      <c r="E25" s="22"/>
      <c r="F25" s="22"/>
      <c r="G25" s="22"/>
      <c r="H25" s="22"/>
      <c r="I25" s="22"/>
      <c r="J25" s="64" t="s">
        <v>8202</v>
      </c>
      <c r="K25" s="22" t="s">
        <v>8203</v>
      </c>
    </row>
    <row r="26" ht="20" customHeight="1" spans="1:11" x14ac:dyDescent="0.25">
      <c r="A26" s="59" t="s">
        <v>8204</v>
      </c>
      <c r="B26" s="19" t="s">
        <v>8205</v>
      </c>
      <c r="C26" s="19"/>
      <c r="D26" s="19"/>
      <c r="E26" s="19"/>
      <c r="F26" s="19"/>
      <c r="G26" s="19"/>
      <c r="H26" s="19"/>
      <c r="I26" s="19"/>
      <c r="J26" s="67" t="s">
        <v>8206</v>
      </c>
      <c r="K26" s="19" t="s">
        <v>8207</v>
      </c>
    </row>
    <row r="27" ht="20" customHeight="1" spans="1:11" x14ac:dyDescent="0.25">
      <c r="A27" s="62" t="s">
        <v>8208</v>
      </c>
      <c r="B27" s="22" t="s">
        <v>8209</v>
      </c>
      <c r="C27" s="22"/>
      <c r="D27" s="22"/>
      <c r="E27" s="22"/>
      <c r="F27" s="22"/>
      <c r="G27" s="22"/>
      <c r="H27" s="22"/>
      <c r="I27" s="22"/>
      <c r="J27" s="68" t="s">
        <v>8210</v>
      </c>
      <c r="K27" s="22" t="s">
        <v>8211</v>
      </c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F3sbiWbmT3liQGzJF8kzytzUXyq2nO3zjQ8yP7vb8o9nVHlvJL3/c0s1O6Yj4O9VCcrXlMqJAdw5ZM3tKuCfxQ==" saltValue="ltdDx+wAmzA6yLWVLoizIw==" spinCount="100000"/>
  <mergeCells count="17">
    <mergeCell ref="A1:K1"/>
    <mergeCell ref="A2:K2"/>
    <mergeCell ref="A12:K12"/>
    <mergeCell ref="B13:I13"/>
    <mergeCell ref="B14:I14"/>
    <mergeCell ref="B15:I15"/>
    <mergeCell ref="B16:I16"/>
    <mergeCell ref="B17:I17"/>
    <mergeCell ref="A19:K19"/>
    <mergeCell ref="B20:I20"/>
    <mergeCell ref="B21:I21"/>
    <mergeCell ref="B22:I22"/>
    <mergeCell ref="B23:I23"/>
    <mergeCell ref="B24:I24"/>
    <mergeCell ref="B25:I25"/>
    <mergeCell ref="B26:I26"/>
    <mergeCell ref="B27:I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 Desk Overview</vt:lpstr>
      <vt:lpstr>Ticket Operations Ledger</vt:lpstr>
      <vt:lpstr>SLA &amp; Resolver Performance</vt:lpstr>
      <vt:lpstr>Priority &amp; Workload Matrix</vt:lpstr>
      <vt:lpstr>Customer Feedback Analysis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to Dashboards by Datta Sable (excel.dattasable.com)</dc:creator>
  <dc:title/>
  <dc:subject/>
  <dc:description/>
  <cp:keywords/>
  <cp:category/>
  <cp:lastModifiedBy>Unknown</cp:lastModifiedBy>
  <dcterms:created xsi:type="dcterms:W3CDTF">2026-10-23T12:39:57Z</dcterms:created>
  <dcterms:modified xsi:type="dcterms:W3CDTF">2026-10-23T12:39:57Z</dcterms:modified>
</cp:coreProperties>
</file>